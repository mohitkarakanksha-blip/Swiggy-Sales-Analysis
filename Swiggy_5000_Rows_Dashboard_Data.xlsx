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Swiggy-Sales-Analysis\"/>
    </mc:Choice>
  </mc:AlternateContent>
  <xr:revisionPtr revIDLastSave="0" documentId="8_{149E3D97-2674-46A6-A8C1-A282D38E4EE1}" xr6:coauthVersionLast="47" xr6:coauthVersionMax="47" xr10:uidLastSave="{00000000-0000-0000-0000-000000000000}"/>
  <bookViews>
    <workbookView xWindow="-120" yWindow="-120" windowWidth="29040" windowHeight="15720" activeTab="1" xr2:uid="{00000000-000D-0000-FFFF-FFFF00000000}"/>
  </bookViews>
  <sheets>
    <sheet name="Swiggy_Data" sheetId="1" r:id="rId1"/>
    <sheet name="Swiggy Dashboard" sheetId="3" r:id="rId2"/>
    <sheet name="Data_Dictionary" sheetId="2" r:id="rId3"/>
    <sheet name="chart1" sheetId="13" r:id="rId4"/>
    <sheet name="chart2" sheetId="6" r:id="rId5"/>
    <sheet name="chart3" sheetId="7" r:id="rId6"/>
    <sheet name="chart4" sheetId="8" r:id="rId7"/>
    <sheet name="chart5" sheetId="9" r:id="rId8"/>
    <sheet name="chart6" sheetId="15" r:id="rId9"/>
  </sheets>
  <definedNames>
    <definedName name="Slicer_Category">#N/A</definedName>
    <definedName name="Slicer_Category1">#N/A</definedName>
    <definedName name="Slicer_City">#N/A</definedName>
    <definedName name="Slicer_City1">#N/A</definedName>
    <definedName name="Slicer_Customer_Type">#N/A</definedName>
    <definedName name="Slicer_Month">#N/A</definedName>
    <definedName name="Slicer_Month1">#N/A</definedName>
    <definedName name="Slicer_Order_Status">#N/A</definedName>
    <definedName name="Slicer_Payment_Method">#N/A</definedName>
    <definedName name="Slicer_Payment_Method1">#N/A</definedName>
  </definedNames>
  <calcPr calcId="191029" iterateDelta="1E-4"/>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AD5" i="1"/>
  <c r="Z5" i="1"/>
  <c r="AE5" i="1"/>
  <c r="AC5" i="1"/>
  <c r="AB5" i="1"/>
  <c r="AA5" i="1"/>
</calcChain>
</file>

<file path=xl/sharedStrings.xml><?xml version="1.0" encoding="utf-8"?>
<sst xmlns="http://schemas.openxmlformats.org/spreadsheetml/2006/main" count="55144" uniqueCount="5144">
  <si>
    <t>Order_ID</t>
  </si>
  <si>
    <t>Order_Date</t>
  </si>
  <si>
    <t>Month</t>
  </si>
  <si>
    <t>Month_Number</t>
  </si>
  <si>
    <t>Day</t>
  </si>
  <si>
    <t>Day_Name</t>
  </si>
  <si>
    <t>City</t>
  </si>
  <si>
    <t>Restaurant</t>
  </si>
  <si>
    <t>Cuisine</t>
  </si>
  <si>
    <t>Item</t>
  </si>
  <si>
    <t>Category</t>
  </si>
  <si>
    <t>Quantity</t>
  </si>
  <si>
    <t>Item_Price</t>
  </si>
  <si>
    <t>Discount</t>
  </si>
  <si>
    <t>Delivery_Fee</t>
  </si>
  <si>
    <t>Order_Value</t>
  </si>
  <si>
    <t>Final_Amount</t>
  </si>
  <si>
    <t>Payment_Method</t>
  </si>
  <si>
    <t>Order_Status</t>
  </si>
  <si>
    <t>Customer_Type</t>
  </si>
  <si>
    <t>Delivery_Time_Min</t>
  </si>
  <si>
    <t>Rating</t>
  </si>
  <si>
    <t>SWG100446</t>
  </si>
  <si>
    <t>Jan</t>
  </si>
  <si>
    <t>Wednesday</t>
  </si>
  <si>
    <t>Delhi</t>
  </si>
  <si>
    <t>Behrouz Biryani</t>
  </si>
  <si>
    <t>Beverages</t>
  </si>
  <si>
    <t>Idli Sambar</t>
  </si>
  <si>
    <t>Beverage</t>
  </si>
  <si>
    <t>Debit Card</t>
  </si>
  <si>
    <t>Delivered</t>
  </si>
  <si>
    <t>New</t>
  </si>
  <si>
    <t>SWG100648</t>
  </si>
  <si>
    <t>Bengaluru</t>
  </si>
  <si>
    <t>Barbeque Nation</t>
  </si>
  <si>
    <t>Burger</t>
  </si>
  <si>
    <t>Veg Momos</t>
  </si>
  <si>
    <t>Main Course</t>
  </si>
  <si>
    <t>UPI</t>
  </si>
  <si>
    <t>Returning</t>
  </si>
  <si>
    <t>SWG100677</t>
  </si>
  <si>
    <t>Local Kitchen</t>
  </si>
  <si>
    <t>Biryani</t>
  </si>
  <si>
    <t>Veg Biryani</t>
  </si>
  <si>
    <t>Snacks</t>
  </si>
  <si>
    <t>Cancelled</t>
  </si>
  <si>
    <t>SWG100755</t>
  </si>
  <si>
    <t>Subway</t>
  </si>
  <si>
    <t>Pizza</t>
  </si>
  <si>
    <t>Paneer Butter Masala</t>
  </si>
  <si>
    <t>SWG100848</t>
  </si>
  <si>
    <t>The Good Bowl</t>
  </si>
  <si>
    <t>Masala Dosa</t>
  </si>
  <si>
    <t>SWG100991</t>
  </si>
  <si>
    <t>Nashik</t>
  </si>
  <si>
    <t>Biryani Blues</t>
  </si>
  <si>
    <t>Desserts</t>
  </si>
  <si>
    <t>Dessert</t>
  </si>
  <si>
    <t>SWG101028</t>
  </si>
  <si>
    <t>Domino's Pizza</t>
  </si>
  <si>
    <t>Chinese</t>
  </si>
  <si>
    <t>Chicken Burger</t>
  </si>
  <si>
    <t>SWG101164</t>
  </si>
  <si>
    <t>Pune</t>
  </si>
  <si>
    <t>Cafe Coffee Day</t>
  </si>
  <si>
    <t>Veg Burger</t>
  </si>
  <si>
    <t>SWG101987</t>
  </si>
  <si>
    <t>Faasos</t>
  </si>
  <si>
    <t>Momos</t>
  </si>
  <si>
    <t>Cold Coffee</t>
  </si>
  <si>
    <t>SWG102010</t>
  </si>
  <si>
    <t>SWG102070</t>
  </si>
  <si>
    <t>Nagpur</t>
  </si>
  <si>
    <t>Chicken Pizza</t>
  </si>
  <si>
    <t>Credit Card</t>
  </si>
  <si>
    <t>SWG103071</t>
  </si>
  <si>
    <t>Burger Singh</t>
  </si>
  <si>
    <t>French Fries</t>
  </si>
  <si>
    <t>SWG103275</t>
  </si>
  <si>
    <t>Mumbai</t>
  </si>
  <si>
    <t>Wow! Momo</t>
  </si>
  <si>
    <t>Chocolate Cake</t>
  </si>
  <si>
    <t>SWG103580</t>
  </si>
  <si>
    <t>Aurangabad</t>
  </si>
  <si>
    <t>Fast Food</t>
  </si>
  <si>
    <t>SWG104191</t>
  </si>
  <si>
    <t>SWG100063</t>
  </si>
  <si>
    <t>Thursday</t>
  </si>
  <si>
    <t>SWG100206</t>
  </si>
  <si>
    <t>Indore</t>
  </si>
  <si>
    <t>Out for Delivery</t>
  </si>
  <si>
    <t>SWG100263</t>
  </si>
  <si>
    <t>SWG101289</t>
  </si>
  <si>
    <t>Fried Rice</t>
  </si>
  <si>
    <t>SWG101823</t>
  </si>
  <si>
    <t>Bhopal</t>
  </si>
  <si>
    <t>North Indian</t>
  </si>
  <si>
    <t>Wallet</t>
  </si>
  <si>
    <t>SWG101948</t>
  </si>
  <si>
    <t>SWG102173</t>
  </si>
  <si>
    <t>Veg Pizza</t>
  </si>
  <si>
    <t>SWG102910</t>
  </si>
  <si>
    <t>South Indian</t>
  </si>
  <si>
    <t>SWG103152</t>
  </si>
  <si>
    <t>Rolls Mania</t>
  </si>
  <si>
    <t>SWG103330</t>
  </si>
  <si>
    <t>SWG104249</t>
  </si>
  <si>
    <t>Pizza Hut</t>
  </si>
  <si>
    <t>SWG104323</t>
  </si>
  <si>
    <t>Preparing</t>
  </si>
  <si>
    <t>SWG104758</t>
  </si>
  <si>
    <t>Cash on Delivery</t>
  </si>
  <si>
    <t>SWG100895</t>
  </si>
  <si>
    <t>Friday</t>
  </si>
  <si>
    <t>Hyderabad</t>
  </si>
  <si>
    <t>SWG101518</t>
  </si>
  <si>
    <t>SWG101577</t>
  </si>
  <si>
    <t>SWG101864</t>
  </si>
  <si>
    <t>Chicken Biryani</t>
  </si>
  <si>
    <t>SWG102124</t>
  </si>
  <si>
    <t>SWG102321</t>
  </si>
  <si>
    <t>SWG102657</t>
  </si>
  <si>
    <t>Chicken Momos</t>
  </si>
  <si>
    <t>SWG102677</t>
  </si>
  <si>
    <t>SWG102731</t>
  </si>
  <si>
    <t>SWG103769</t>
  </si>
  <si>
    <t>SWG103930</t>
  </si>
  <si>
    <t>SWG104131</t>
  </si>
  <si>
    <t>SWG104205</t>
  </si>
  <si>
    <t>SWG104489</t>
  </si>
  <si>
    <t>SWG104687</t>
  </si>
  <si>
    <t>SWG104845</t>
  </si>
  <si>
    <t>SWG100325</t>
  </si>
  <si>
    <t>Saturday</t>
  </si>
  <si>
    <t>McDonald's</t>
  </si>
  <si>
    <t>SWG100496</t>
  </si>
  <si>
    <t>SWG100948</t>
  </si>
  <si>
    <t>SWG100968</t>
  </si>
  <si>
    <t>KFC</t>
  </si>
  <si>
    <t>SWG101328</t>
  </si>
  <si>
    <t>SWG101486</t>
  </si>
  <si>
    <t>SWG101723</t>
  </si>
  <si>
    <t>SWG101911</t>
  </si>
  <si>
    <t>SWG102728</t>
  </si>
  <si>
    <t>SWG103077</t>
  </si>
  <si>
    <t>SWG103866</t>
  </si>
  <si>
    <t>SWG104104</t>
  </si>
  <si>
    <t>SWG100128</t>
  </si>
  <si>
    <t>Sunday</t>
  </si>
  <si>
    <t>SWG100415</t>
  </si>
  <si>
    <t>SWG100613</t>
  </si>
  <si>
    <t>SWG100720</t>
  </si>
  <si>
    <t>SWG100842</t>
  </si>
  <si>
    <t>SWG101044</t>
  </si>
  <si>
    <t>SWG101091</t>
  </si>
  <si>
    <t>SWG101561</t>
  </si>
  <si>
    <t>SWG102051</t>
  </si>
  <si>
    <t>SWG102281</t>
  </si>
  <si>
    <t>SWG102330</t>
  </si>
  <si>
    <t>SWG102431</t>
  </si>
  <si>
    <t>SWG102909</t>
  </si>
  <si>
    <t>SWG103477</t>
  </si>
  <si>
    <t>SWG103494</t>
  </si>
  <si>
    <t>SWG103907</t>
  </si>
  <si>
    <t>SWG104270</t>
  </si>
  <si>
    <t>SWG104797</t>
  </si>
  <si>
    <t>SWG100334</t>
  </si>
  <si>
    <t>Monday</t>
  </si>
  <si>
    <t>SWG100741</t>
  </si>
  <si>
    <t>SWG100934</t>
  </si>
  <si>
    <t>SWG100964</t>
  </si>
  <si>
    <t>Pasta</t>
  </si>
  <si>
    <t>SWG103931</t>
  </si>
  <si>
    <t>SWG104308</t>
  </si>
  <si>
    <t>SWG104537</t>
  </si>
  <si>
    <t>SWG104663</t>
  </si>
  <si>
    <t>SWG100605</t>
  </si>
  <si>
    <t>Tuesday</t>
  </si>
  <si>
    <t>SWG100894</t>
  </si>
  <si>
    <t>SWG101277</t>
  </si>
  <si>
    <t>SWG101462</t>
  </si>
  <si>
    <t>SWG101650</t>
  </si>
  <si>
    <t>SWG101714</t>
  </si>
  <si>
    <t>SWG101859</t>
  </si>
  <si>
    <t>SWG102381</t>
  </si>
  <si>
    <t>SWG102467</t>
  </si>
  <si>
    <t>SWG102862</t>
  </si>
  <si>
    <t>SWG103379</t>
  </si>
  <si>
    <t>SWG103836</t>
  </si>
  <si>
    <t>SWG104253</t>
  </si>
  <si>
    <t>SWG104372</t>
  </si>
  <si>
    <t>SWG104616</t>
  </si>
  <si>
    <t>SWG104945</t>
  </si>
  <si>
    <t>SWG100687</t>
  </si>
  <si>
    <t>SWG100828</t>
  </si>
  <si>
    <t>SWG100875</t>
  </si>
  <si>
    <t>SWG101250</t>
  </si>
  <si>
    <t>SWG101764</t>
  </si>
  <si>
    <t>SWG101941</t>
  </si>
  <si>
    <t>SWG102044</t>
  </si>
  <si>
    <t>SWG102543</t>
  </si>
  <si>
    <t>SWG102565</t>
  </si>
  <si>
    <t>SWG102966</t>
  </si>
  <si>
    <t>SWG102989</t>
  </si>
  <si>
    <t>SWG103181</t>
  </si>
  <si>
    <t>SWG103288</t>
  </si>
  <si>
    <t>SWG103475</t>
  </si>
  <si>
    <t>SWG103933</t>
  </si>
  <si>
    <t>SWG103977</t>
  </si>
  <si>
    <t>SWG103980</t>
  </si>
  <si>
    <t>SWG104743</t>
  </si>
  <si>
    <t>SWG104935</t>
  </si>
  <si>
    <t>SWG100097</t>
  </si>
  <si>
    <t>SWG100269</t>
  </si>
  <si>
    <t>SWG100601</t>
  </si>
  <si>
    <t>SWG101319</t>
  </si>
  <si>
    <t>SWG101567</t>
  </si>
  <si>
    <t>SWG101597</t>
  </si>
  <si>
    <t>SWG101783</t>
  </si>
  <si>
    <t>SWG101843</t>
  </si>
  <si>
    <t>SWG102203</t>
  </si>
  <si>
    <t>SWG104166</t>
  </si>
  <si>
    <t>SWG100484</t>
  </si>
  <si>
    <t>SWG100714</t>
  </si>
  <si>
    <t>SWG101003</t>
  </si>
  <si>
    <t>SWG101090</t>
  </si>
  <si>
    <t>SWG101972</t>
  </si>
  <si>
    <t>SWG102205</t>
  </si>
  <si>
    <t>SWG102524</t>
  </si>
  <si>
    <t>SWG102601</t>
  </si>
  <si>
    <t>SWG102683</t>
  </si>
  <si>
    <t>SWG103651</t>
  </si>
  <si>
    <t>SWG104015</t>
  </si>
  <si>
    <t>SWG104168</t>
  </si>
  <si>
    <t>SWG101122</t>
  </si>
  <si>
    <t>SWG101292</t>
  </si>
  <si>
    <t>SWG101379</t>
  </si>
  <si>
    <t>SWG101538</t>
  </si>
  <si>
    <t>SWG101801</t>
  </si>
  <si>
    <t>SWG102240</t>
  </si>
  <si>
    <t>SWG102600</t>
  </si>
  <si>
    <t>SWG103725</t>
  </si>
  <si>
    <t>SWG103942</t>
  </si>
  <si>
    <t>SWG104577</t>
  </si>
  <si>
    <t>SWG104975</t>
  </si>
  <si>
    <t>SWG100518</t>
  </si>
  <si>
    <t>SWG100681</t>
  </si>
  <si>
    <t>SWG100851</t>
  </si>
  <si>
    <t>SWG101423</t>
  </si>
  <si>
    <t>SWG101433</t>
  </si>
  <si>
    <t>SWG101667</t>
  </si>
  <si>
    <t>SWG101700</t>
  </si>
  <si>
    <t>SWG101754</t>
  </si>
  <si>
    <t>SWG101870</t>
  </si>
  <si>
    <t>SWG101872</t>
  </si>
  <si>
    <t>SWG102020</t>
  </si>
  <si>
    <t>SWG102133</t>
  </si>
  <si>
    <t>SWG102318</t>
  </si>
  <si>
    <t>SWG102368</t>
  </si>
  <si>
    <t>SWG102412</t>
  </si>
  <si>
    <t>SWG102695</t>
  </si>
  <si>
    <t>SWG102999</t>
  </si>
  <si>
    <t>SWG103498</t>
  </si>
  <si>
    <t>SWG103667</t>
  </si>
  <si>
    <t>SWG103840</t>
  </si>
  <si>
    <t>SWG104263</t>
  </si>
  <si>
    <t>SWG100151</t>
  </si>
  <si>
    <t>SWG100378</t>
  </si>
  <si>
    <t>SWG100554</t>
  </si>
  <si>
    <t>SWG100916</t>
  </si>
  <si>
    <t>SWG101007</t>
  </si>
  <si>
    <t>SWG101670</t>
  </si>
  <si>
    <t>SWG102484</t>
  </si>
  <si>
    <t>SWG102689</t>
  </si>
  <si>
    <t>SWG103542</t>
  </si>
  <si>
    <t>SWG103621</t>
  </si>
  <si>
    <t>SWG103721</t>
  </si>
  <si>
    <t>SWG103748</t>
  </si>
  <si>
    <t>SWG103781</t>
  </si>
  <si>
    <t>SWG103793</t>
  </si>
  <si>
    <t>SWG104238</t>
  </si>
  <si>
    <t>SWG104923</t>
  </si>
  <si>
    <t>SWG100050</t>
  </si>
  <si>
    <t>SWG100675</t>
  </si>
  <si>
    <t>SWG100885</t>
  </si>
  <si>
    <t>SWG100891</t>
  </si>
  <si>
    <t>SWG101057</t>
  </si>
  <si>
    <t>SWG101318</t>
  </si>
  <si>
    <t>SWG101472</t>
  </si>
  <si>
    <t>SWG101869</t>
  </si>
  <si>
    <t>SWG101946</t>
  </si>
  <si>
    <t>SWG101955</t>
  </si>
  <si>
    <t>SWG102382</t>
  </si>
  <si>
    <t>SWG102470</t>
  </si>
  <si>
    <t>SWG102697</t>
  </si>
  <si>
    <t>SWG102730</t>
  </si>
  <si>
    <t>SWG103656</t>
  </si>
  <si>
    <t>SWG104290</t>
  </si>
  <si>
    <t>SWG104880</t>
  </si>
  <si>
    <t>SWG100092</t>
  </si>
  <si>
    <t>SWG100134</t>
  </si>
  <si>
    <t>SWG100903</t>
  </si>
  <si>
    <t>SWG101077</t>
  </si>
  <si>
    <t>SWG101103</t>
  </si>
  <si>
    <t>SWG101485</t>
  </si>
  <si>
    <t>SWG101748</t>
  </si>
  <si>
    <t>SWG101775</t>
  </si>
  <si>
    <t>SWG103188</t>
  </si>
  <si>
    <t>SWG103915</t>
  </si>
  <si>
    <t>SWG100497</t>
  </si>
  <si>
    <t>SWG101454</t>
  </si>
  <si>
    <t>SWG101490</t>
  </si>
  <si>
    <t>SWG103001</t>
  </si>
  <si>
    <t>SWG103161</t>
  </si>
  <si>
    <t>SWG103612</t>
  </si>
  <si>
    <t>SWG103753</t>
  </si>
  <si>
    <t>SWG103841</t>
  </si>
  <si>
    <t>SWG104152</t>
  </si>
  <si>
    <t>SWG104423</t>
  </si>
  <si>
    <t>SWG104742</t>
  </si>
  <si>
    <t>SWG100329</t>
  </si>
  <si>
    <t>SWG101183</t>
  </si>
  <si>
    <t>SWG101344</t>
  </si>
  <si>
    <t>SWG101408</t>
  </si>
  <si>
    <t>SWG101428</t>
  </si>
  <si>
    <t>SWG101675</t>
  </si>
  <si>
    <t>SWG101699</t>
  </si>
  <si>
    <t>SWG102516</t>
  </si>
  <si>
    <t>SWG102550</t>
  </si>
  <si>
    <t>SWG102902</t>
  </si>
  <si>
    <t>SWG103260</t>
  </si>
  <si>
    <t>SWG103500</t>
  </si>
  <si>
    <t>SWG103804</t>
  </si>
  <si>
    <t>SWG103879</t>
  </si>
  <si>
    <t>SWG104038</t>
  </si>
  <si>
    <t>SWG104306</t>
  </si>
  <si>
    <t>SWG104610</t>
  </si>
  <si>
    <t>SWG104624</t>
  </si>
  <si>
    <t>SWG100352</t>
  </si>
  <si>
    <t>SWG101227</t>
  </si>
  <si>
    <t>SWG101935</t>
  </si>
  <si>
    <t>SWG102623</t>
  </si>
  <si>
    <t>SWG104469</t>
  </si>
  <si>
    <t>SWG104562</t>
  </si>
  <si>
    <t>SWG100566</t>
  </si>
  <si>
    <t>SWG100636</t>
  </si>
  <si>
    <t>SWG101226</t>
  </si>
  <si>
    <t>SWG102097</t>
  </si>
  <si>
    <t>SWG102219</t>
  </si>
  <si>
    <t>SWG102259</t>
  </si>
  <si>
    <t>SWG102660</t>
  </si>
  <si>
    <t>SWG102756</t>
  </si>
  <si>
    <t>SWG103278</t>
  </si>
  <si>
    <t>SWG103568</t>
  </si>
  <si>
    <t>SWG103961</t>
  </si>
  <si>
    <t>SWG104279</t>
  </si>
  <si>
    <t>SWG104592</t>
  </si>
  <si>
    <t>SWG104856</t>
  </si>
  <si>
    <t>SWG100383</t>
  </si>
  <si>
    <t>SWG100671</t>
  </si>
  <si>
    <t>SWG100987</t>
  </si>
  <si>
    <t>SWG101296</t>
  </si>
  <si>
    <t>SWG101569</t>
  </si>
  <si>
    <t>SWG101914</t>
  </si>
  <si>
    <t>SWG102007</t>
  </si>
  <si>
    <t>SWG102420</t>
  </si>
  <si>
    <t>SWG102699</t>
  </si>
  <si>
    <t>SWG102711</t>
  </si>
  <si>
    <t>SWG102724</t>
  </si>
  <si>
    <t>SWG102933</t>
  </si>
  <si>
    <t>SWG103496</t>
  </si>
  <si>
    <t>SWG104334</t>
  </si>
  <si>
    <t>SWG104680</t>
  </si>
  <si>
    <t>SWG104915</t>
  </si>
  <si>
    <t>SWG100006</t>
  </si>
  <si>
    <t>SWG100044</t>
  </si>
  <si>
    <t>SWG101740</t>
  </si>
  <si>
    <t>SWG101937</t>
  </si>
  <si>
    <t>SWG102145</t>
  </si>
  <si>
    <t>SWG102511</t>
  </si>
  <si>
    <t>SWG102859</t>
  </si>
  <si>
    <t>SWG102876</t>
  </si>
  <si>
    <t>SWG103005</t>
  </si>
  <si>
    <t>SWG103082</t>
  </si>
  <si>
    <t>SWG103195</t>
  </si>
  <si>
    <t>SWG103452</t>
  </si>
  <si>
    <t>SWG103639</t>
  </si>
  <si>
    <t>SWG103730</t>
  </si>
  <si>
    <t>SWG103777</t>
  </si>
  <si>
    <t>SWG104498</t>
  </si>
  <si>
    <t>SWG100025</t>
  </si>
  <si>
    <t>SWG100307</t>
  </si>
  <si>
    <t>SWG100846</t>
  </si>
  <si>
    <t>SWG101702</t>
  </si>
  <si>
    <t>SWG101734</t>
  </si>
  <si>
    <t>SWG101863</t>
  </si>
  <si>
    <t>SWG102640</t>
  </si>
  <si>
    <t>SWG102911</t>
  </si>
  <si>
    <t>SWG103547</t>
  </si>
  <si>
    <t>SWG103660</t>
  </si>
  <si>
    <t>SWG104153</t>
  </si>
  <si>
    <t>SWG104250</t>
  </si>
  <si>
    <t>SWG104328</t>
  </si>
  <si>
    <t>SWG104662</t>
  </si>
  <si>
    <t>SWG104792</t>
  </si>
  <si>
    <t>SWG100482</t>
  </si>
  <si>
    <t>SWG100747</t>
  </si>
  <si>
    <t>SWG101062</t>
  </si>
  <si>
    <t>SWG101129</t>
  </si>
  <si>
    <t>SWG101657</t>
  </si>
  <si>
    <t>SWG102661</t>
  </si>
  <si>
    <t>SWG103368</t>
  </si>
  <si>
    <t>SWG103595</t>
  </si>
  <si>
    <t>SWG103648</t>
  </si>
  <si>
    <t>SWG103718</t>
  </si>
  <si>
    <t>SWG104512</t>
  </si>
  <si>
    <t>SWG101772</t>
  </si>
  <si>
    <t>SWG101909</t>
  </si>
  <si>
    <t>SWG102712</t>
  </si>
  <si>
    <t>SWG102738</t>
  </si>
  <si>
    <t>SWG103723</t>
  </si>
  <si>
    <t>SWG103807</t>
  </si>
  <si>
    <t>SWG104102</t>
  </si>
  <si>
    <t>SWG104103</t>
  </si>
  <si>
    <t>SWG100580</t>
  </si>
  <si>
    <t>SWG100914</t>
  </si>
  <si>
    <t>SWG100918</t>
  </si>
  <si>
    <t>SWG101177</t>
  </si>
  <si>
    <t>SWG101190</t>
  </si>
  <si>
    <t>SWG101414</t>
  </si>
  <si>
    <t>SWG101444</t>
  </si>
  <si>
    <t>SWG101599</t>
  </si>
  <si>
    <t>SWG101873</t>
  </si>
  <si>
    <t>SWG102392</t>
  </si>
  <si>
    <t>SWG102405</t>
  </si>
  <si>
    <t>SWG102408</t>
  </si>
  <si>
    <t>SWG103017</t>
  </si>
  <si>
    <t>SWG103578</t>
  </si>
  <si>
    <t>SWG103885</t>
  </si>
  <si>
    <t>SWG104145</t>
  </si>
  <si>
    <t>SWG104368</t>
  </si>
  <si>
    <t>SWG104626</t>
  </si>
  <si>
    <t>SWG104634</t>
  </si>
  <si>
    <t>SWG104852</t>
  </si>
  <si>
    <t>SWG100375</t>
  </si>
  <si>
    <t>SWG100872</t>
  </si>
  <si>
    <t>SWG100977</t>
  </si>
  <si>
    <t>SWG101450</t>
  </si>
  <si>
    <t>SWG101720</t>
  </si>
  <si>
    <t>SWG102061</t>
  </si>
  <si>
    <t>SWG102202</t>
  </si>
  <si>
    <t>SWG102948</t>
  </si>
  <si>
    <t>SWG103191</t>
  </si>
  <si>
    <t>SWG103884</t>
  </si>
  <si>
    <t>SWG104929</t>
  </si>
  <si>
    <t>SWG100316</t>
  </si>
  <si>
    <t>SWG101352</t>
  </si>
  <si>
    <t>SWG101735</t>
  </si>
  <si>
    <t>SWG101758</t>
  </si>
  <si>
    <t>SWG101766</t>
  </si>
  <si>
    <t>SWG102163</t>
  </si>
  <si>
    <t>SWG102282</t>
  </si>
  <si>
    <t>SWG103629</t>
  </si>
  <si>
    <t>SWG104818</t>
  </si>
  <si>
    <t>SWG100109</t>
  </si>
  <si>
    <t>SWG100164</t>
  </si>
  <si>
    <t>SWG100696</t>
  </si>
  <si>
    <t>SWG100886</t>
  </si>
  <si>
    <t>SWG100906</t>
  </si>
  <si>
    <t>SWG101963</t>
  </si>
  <si>
    <t>SWG102559</t>
  </si>
  <si>
    <t>SWG102897</t>
  </si>
  <si>
    <t>SWG103204</t>
  </si>
  <si>
    <t>SWG103325</t>
  </si>
  <si>
    <t>SWG103739</t>
  </si>
  <si>
    <t>SWG103770</t>
  </si>
  <si>
    <t>SWG103773</t>
  </si>
  <si>
    <t>SWG103876</t>
  </si>
  <si>
    <t>SWG104576</t>
  </si>
  <si>
    <t>SWG104788</t>
  </si>
  <si>
    <t>SWG104868</t>
  </si>
  <si>
    <t>SWG100149</t>
  </si>
  <si>
    <t>SWG100614</t>
  </si>
  <si>
    <t>SWG101152</t>
  </si>
  <si>
    <t>SWG101330</t>
  </si>
  <si>
    <t>SWG101375</t>
  </si>
  <si>
    <t>SWG101505</t>
  </si>
  <si>
    <t>SWG101591</t>
  </si>
  <si>
    <t>SWG101715</t>
  </si>
  <si>
    <t>SWG102522</t>
  </si>
  <si>
    <t>SWG102645</t>
  </si>
  <si>
    <t>SWG103808</t>
  </si>
  <si>
    <t>SWG104295</t>
  </si>
  <si>
    <t>SWG104630</t>
  </si>
  <si>
    <t>SWG104724</t>
  </si>
  <si>
    <t>SWG104855</t>
  </si>
  <si>
    <t>SWG104936</t>
  </si>
  <si>
    <t>SWG100801</t>
  </si>
  <si>
    <t>SWG102323</t>
  </si>
  <si>
    <t>SWG102662</t>
  </si>
  <si>
    <t>SWG102751</t>
  </si>
  <si>
    <t>SWG103109</t>
  </si>
  <si>
    <t>SWG103357</t>
  </si>
  <si>
    <t>SWG103417</t>
  </si>
  <si>
    <t>SWG103573</t>
  </si>
  <si>
    <t>SWG103661</t>
  </si>
  <si>
    <t>SWG104142</t>
  </si>
  <si>
    <t>SWG104654</t>
  </si>
  <si>
    <t>SWG100959</t>
  </si>
  <si>
    <t>SWG101656</t>
  </si>
  <si>
    <t>SWG102418</t>
  </si>
  <si>
    <t>SWG102830</t>
  </si>
  <si>
    <t>SWG103398</t>
  </si>
  <si>
    <t>SWG103645</t>
  </si>
  <si>
    <t>SWG103752</t>
  </si>
  <si>
    <t>SWG101220</t>
  </si>
  <si>
    <t>Feb</t>
  </si>
  <si>
    <t>SWG101800</t>
  </si>
  <si>
    <t>SWG102617</t>
  </si>
  <si>
    <t>SWG102931</t>
  </si>
  <si>
    <t>SWG102997</t>
  </si>
  <si>
    <t>SWG103649</t>
  </si>
  <si>
    <t>SWG104162</t>
  </si>
  <si>
    <t>SWG104218</t>
  </si>
  <si>
    <t>SWG104523</t>
  </si>
  <si>
    <t>SWG100114</t>
  </si>
  <si>
    <t>SWG100305</t>
  </si>
  <si>
    <t>SWG100507</t>
  </si>
  <si>
    <t>SWG101716</t>
  </si>
  <si>
    <t>SWG103834</t>
  </si>
  <si>
    <t>SWG104276</t>
  </si>
  <si>
    <t>SWG100761</t>
  </si>
  <si>
    <t>SWG100814</t>
  </si>
  <si>
    <t>SWG100854</t>
  </si>
  <si>
    <t>SWG100927</t>
  </si>
  <si>
    <t>SWG101343</t>
  </si>
  <si>
    <t>SWG101495</t>
  </si>
  <si>
    <t>SWG102501</t>
  </si>
  <si>
    <t>SWG103045</t>
  </si>
  <si>
    <t>SWG104021</t>
  </si>
  <si>
    <t>SWG100058</t>
  </si>
  <si>
    <t>SWG100123</t>
  </si>
  <si>
    <t>SWG100326</t>
  </si>
  <si>
    <t>SWG100523</t>
  </si>
  <si>
    <t>SWG100708</t>
  </si>
  <si>
    <t>SWG101027</t>
  </si>
  <si>
    <t>SWG101900</t>
  </si>
  <si>
    <t>SWG102012</t>
  </si>
  <si>
    <t>SWG102802</t>
  </si>
  <si>
    <t>SWG103107</t>
  </si>
  <si>
    <t>SWG103165</t>
  </si>
  <si>
    <t>SWG103178</t>
  </si>
  <si>
    <t>SWG103424</t>
  </si>
  <si>
    <t>SWG103561</t>
  </si>
  <si>
    <t>SWG103591</t>
  </si>
  <si>
    <t>SWG104539</t>
  </si>
  <si>
    <t>SWG100150</t>
  </si>
  <si>
    <t>SWG100381</t>
  </si>
  <si>
    <t>SWG100545</t>
  </si>
  <si>
    <t>SWG100962</t>
  </si>
  <si>
    <t>SWG101285</t>
  </si>
  <si>
    <t>SWG101396</t>
  </si>
  <si>
    <t>SWG102189</t>
  </si>
  <si>
    <t>SWG102267</t>
  </si>
  <si>
    <t>SWG102308</t>
  </si>
  <si>
    <t>SWG102833</t>
  </si>
  <si>
    <t>SWG103996</t>
  </si>
  <si>
    <t>SWG104526</t>
  </si>
  <si>
    <t>SWG100267</t>
  </si>
  <si>
    <t>SWG100337</t>
  </si>
  <si>
    <t>SWG100551</t>
  </si>
  <si>
    <t>SWG101608</t>
  </si>
  <si>
    <t>SWG101691</t>
  </si>
  <si>
    <t>SWG101892</t>
  </si>
  <si>
    <t>SWG103257</t>
  </si>
  <si>
    <t>SWG103420</t>
  </si>
  <si>
    <t>SWG103579</t>
  </si>
  <si>
    <t>SWG103581</t>
  </si>
  <si>
    <t>SWG104450</t>
  </si>
  <si>
    <t>SWG104466</t>
  </si>
  <si>
    <t>SWG100310</t>
  </si>
  <si>
    <t>SWG100995</t>
  </si>
  <si>
    <t>SWG101017</t>
  </si>
  <si>
    <t>SWG101083</t>
  </si>
  <si>
    <t>SWG101126</t>
  </si>
  <si>
    <t>SWG101603</t>
  </si>
  <si>
    <t>SWG102343</t>
  </si>
  <si>
    <t>SWG102568</t>
  </si>
  <si>
    <t>SWG102720</t>
  </si>
  <si>
    <t>SWG103102</t>
  </si>
  <si>
    <t>SWG103197</t>
  </si>
  <si>
    <t>SWG104136</t>
  </si>
  <si>
    <t>SWG104429</t>
  </si>
  <si>
    <t>SWG104493</t>
  </si>
  <si>
    <t>SWG104816</t>
  </si>
  <si>
    <t>SWG100249</t>
  </si>
  <si>
    <t>SWG100372</t>
  </si>
  <si>
    <t>SWG100476</t>
  </si>
  <si>
    <t>SWG100585</t>
  </si>
  <si>
    <t>SWG100637</t>
  </si>
  <si>
    <t>SWG100765</t>
  </si>
  <si>
    <t>SWG100908</t>
  </si>
  <si>
    <t>SWG101071</t>
  </si>
  <si>
    <t>SWG101415</t>
  </si>
  <si>
    <t>SWG101484</t>
  </si>
  <si>
    <t>SWG101503</t>
  </si>
  <si>
    <t>SWG101661</t>
  </si>
  <si>
    <t>SWG101725</t>
  </si>
  <si>
    <t>SWG102032</t>
  </si>
  <si>
    <t>SWG102183</t>
  </si>
  <si>
    <t>SWG102620</t>
  </si>
  <si>
    <t>SWG103088</t>
  </si>
  <si>
    <t>SWG103267</t>
  </si>
  <si>
    <t>SWG103324</t>
  </si>
  <si>
    <t>SWG103984</t>
  </si>
  <si>
    <t>SWG104151</t>
  </si>
  <si>
    <t>SWG104406</t>
  </si>
  <si>
    <t>SWG104540</t>
  </si>
  <si>
    <t>SWG100960</t>
  </si>
  <si>
    <t>SWG101320</t>
  </si>
  <si>
    <t>SWG101598</t>
  </si>
  <si>
    <t>SWG101614</t>
  </si>
  <si>
    <t>SWG101623</t>
  </si>
  <si>
    <t>SWG101625</t>
  </si>
  <si>
    <t>SWG101936</t>
  </si>
  <si>
    <t>SWG102452</t>
  </si>
  <si>
    <t>SWG102986</t>
  </si>
  <si>
    <t>SWG104079</t>
  </si>
  <si>
    <t>SWG104099</t>
  </si>
  <si>
    <t>SWG104691</t>
  </si>
  <si>
    <t>SWG104747</t>
  </si>
  <si>
    <t>SWG100090</t>
  </si>
  <si>
    <t>SWG100108</t>
  </si>
  <si>
    <t>SWG100699</t>
  </si>
  <si>
    <t>SWG101342</t>
  </si>
  <si>
    <t>SWG101810</t>
  </si>
  <si>
    <t>SWG101848</t>
  </si>
  <si>
    <t>SWG101951</t>
  </si>
  <si>
    <t>SWG103046</t>
  </si>
  <si>
    <t>SWG103148</t>
  </si>
  <si>
    <t>SWG103259</t>
  </si>
  <si>
    <t>SWG103266</t>
  </si>
  <si>
    <t>SWG103312</t>
  </si>
  <si>
    <t>SWG103366</t>
  </si>
  <si>
    <t>SWG103740</t>
  </si>
  <si>
    <t>SWG104057</t>
  </si>
  <si>
    <t>SWG104089</t>
  </si>
  <si>
    <t>SWG104335</t>
  </si>
  <si>
    <t>SWG104402</t>
  </si>
  <si>
    <t>SWG100136</t>
  </si>
  <si>
    <t>SWG100588</t>
  </si>
  <si>
    <t>SWG100932</t>
  </si>
  <si>
    <t>SWG101051</t>
  </si>
  <si>
    <t>SWG101076</t>
  </si>
  <si>
    <t>SWG101340</t>
  </si>
  <si>
    <t>SWG101413</t>
  </si>
  <si>
    <t>SWG102252</t>
  </si>
  <si>
    <t>SWG102263</t>
  </si>
  <si>
    <t>SWG102371</t>
  </si>
  <si>
    <t>SWG102510</t>
  </si>
  <si>
    <t>SWG102512</t>
  </si>
  <si>
    <t>SWG102954</t>
  </si>
  <si>
    <t>SWG102976</t>
  </si>
  <si>
    <t>SWG103446</t>
  </si>
  <si>
    <t>SWG100515</t>
  </si>
  <si>
    <t>SWG100820</t>
  </si>
  <si>
    <t>SWG102140</t>
  </si>
  <si>
    <t>SWG102425</t>
  </si>
  <si>
    <t>SWG102547</t>
  </si>
  <si>
    <t>SWG102898</t>
  </si>
  <si>
    <t>SWG103243</t>
  </si>
  <si>
    <t>SWG103843</t>
  </si>
  <si>
    <t>SWG104222</t>
  </si>
  <si>
    <t>SWG104244</t>
  </si>
  <si>
    <t>SWG104401</t>
  </si>
  <si>
    <t>SWG104910</t>
  </si>
  <si>
    <t>SWG100070</t>
  </si>
  <si>
    <t>SWG100166</t>
  </si>
  <si>
    <t>SWG100516</t>
  </si>
  <si>
    <t>SWG100656</t>
  </si>
  <si>
    <t>SWG101426</t>
  </si>
  <si>
    <t>SWG101998</t>
  </si>
  <si>
    <t>SWG102651</t>
  </si>
  <si>
    <t>SWG102849</t>
  </si>
  <si>
    <t>SWG102952</t>
  </si>
  <si>
    <t>SWG103788</t>
  </si>
  <si>
    <t>SWG103993</t>
  </si>
  <si>
    <t>SWG104723</t>
  </si>
  <si>
    <t>SWG100160</t>
  </si>
  <si>
    <t>SWG101642</t>
  </si>
  <si>
    <t>SWG101653</t>
  </si>
  <si>
    <t>SWG103274</t>
  </si>
  <si>
    <t>SWG103405</t>
  </si>
  <si>
    <t>SWG103607</t>
  </si>
  <si>
    <t>SWG103853</t>
  </si>
  <si>
    <t>SWG104556</t>
  </si>
  <si>
    <t>SWG104678</t>
  </si>
  <si>
    <t>SWG104946</t>
  </si>
  <si>
    <t>SWG100333</t>
  </si>
  <si>
    <t>SWG100707</t>
  </si>
  <si>
    <t>SWG100853</t>
  </si>
  <si>
    <t>SWG101365</t>
  </si>
  <si>
    <t>SWG101671</t>
  </si>
  <si>
    <t>SWG101774</t>
  </si>
  <si>
    <t>SWG101812</t>
  </si>
  <si>
    <t>SWG103101</t>
  </si>
  <si>
    <t>SWG103273</t>
  </si>
  <si>
    <t>SWG103497</t>
  </si>
  <si>
    <t>SWG103792</t>
  </si>
  <si>
    <t>SWG103920</t>
  </si>
  <si>
    <t>SWG104093</t>
  </si>
  <si>
    <t>SWG104380</t>
  </si>
  <si>
    <t>SWG104554</t>
  </si>
  <si>
    <t>SWG100421</t>
  </si>
  <si>
    <t>SWG100470</t>
  </si>
  <si>
    <t>SWG100672</t>
  </si>
  <si>
    <t>SWG100861</t>
  </si>
  <si>
    <t>SWG100990</t>
  </si>
  <si>
    <t>SWG101108</t>
  </si>
  <si>
    <t>SWG101451</t>
  </si>
  <si>
    <t>SWG101564</t>
  </si>
  <si>
    <t>SWG102196</t>
  </si>
  <si>
    <t>SWG102778</t>
  </si>
  <si>
    <t>SWG102780</t>
  </si>
  <si>
    <t>SWG102972</t>
  </si>
  <si>
    <t>SWG103067</t>
  </si>
  <si>
    <t>SWG103187</t>
  </si>
  <si>
    <t>SWG103384</t>
  </si>
  <si>
    <t>SWG103489</t>
  </si>
  <si>
    <t>SWG103901</t>
  </si>
  <si>
    <t>SWG104149</t>
  </si>
  <si>
    <t>SWG104282</t>
  </si>
  <si>
    <t>SWG104410</t>
  </si>
  <si>
    <t>SWG104581</t>
  </si>
  <si>
    <t>SWG100115</t>
  </si>
  <si>
    <t>SWG100452</t>
  </si>
  <si>
    <t>SWG100869</t>
  </si>
  <si>
    <t>SWG102521</t>
  </si>
  <si>
    <t>SWG103371</t>
  </si>
  <si>
    <t>SWG103528</t>
  </si>
  <si>
    <t>SWG103951</t>
  </si>
  <si>
    <t>SWG104172</t>
  </si>
  <si>
    <t>SWG104349</t>
  </si>
  <si>
    <t>SWG104363</t>
  </si>
  <si>
    <t>SWG104602</t>
  </si>
  <si>
    <t>SWG104658</t>
  </si>
  <si>
    <t>SWG104710</t>
  </si>
  <si>
    <t>SWG104862</t>
  </si>
  <si>
    <t>SWG100029</t>
  </si>
  <si>
    <t>SWG100328</t>
  </si>
  <si>
    <t>SWG101201</t>
  </si>
  <si>
    <t>SWG101212</t>
  </si>
  <si>
    <t>SWG102212</t>
  </si>
  <si>
    <t>SWG102230</t>
  </si>
  <si>
    <t>SWG102278</t>
  </si>
  <si>
    <t>SWG102370</t>
  </si>
  <si>
    <t>SWG102577</t>
  </si>
  <si>
    <t>SWG102807</t>
  </si>
  <si>
    <t>SWG102930</t>
  </si>
  <si>
    <t>SWG103239</t>
  </si>
  <si>
    <t>SWG103345</t>
  </si>
  <si>
    <t>SWG103677</t>
  </si>
  <si>
    <t>SWG103783</t>
  </si>
  <si>
    <t>SWG103894</t>
  </si>
  <si>
    <t>SWG104208</t>
  </si>
  <si>
    <t>SWG104673</t>
  </si>
  <si>
    <t>SWG104704</t>
  </si>
  <si>
    <t>SWG100061</t>
  </si>
  <si>
    <t>SWG101768</t>
  </si>
  <si>
    <t>SWG101916</t>
  </si>
  <si>
    <t>SWG102217</t>
  </si>
  <si>
    <t>SWG102288</t>
  </si>
  <si>
    <t>SWG102648</t>
  </si>
  <si>
    <t>SWG102790</t>
  </si>
  <si>
    <t>SWG103168</t>
  </si>
  <si>
    <t>SWG103941</t>
  </si>
  <si>
    <t>SWG104278</t>
  </si>
  <si>
    <t>SWG104875</t>
  </si>
  <si>
    <t>SWG104983</t>
  </si>
  <si>
    <t>SWG100036</t>
  </si>
  <si>
    <t>SWG100313</t>
  </si>
  <si>
    <t>SWG100394</t>
  </si>
  <si>
    <t>SWG100756</t>
  </si>
  <si>
    <t>SWG100804</t>
  </si>
  <si>
    <t>SWG100840</t>
  </si>
  <si>
    <t>SWG101151</t>
  </si>
  <si>
    <t>SWG101262</t>
  </si>
  <si>
    <t>SWG102154</t>
  </si>
  <si>
    <t>SWG102560</t>
  </si>
  <si>
    <t>SWG102800</t>
  </si>
  <si>
    <t>SWG103321</t>
  </si>
  <si>
    <t>SWG103411</t>
  </si>
  <si>
    <t>SWG103449</t>
  </si>
  <si>
    <t>SWG104182</t>
  </si>
  <si>
    <t>SWG104872</t>
  </si>
  <si>
    <t>SWG100142</t>
  </si>
  <si>
    <t>SWG100197</t>
  </si>
  <si>
    <t>SWG100575</t>
  </si>
  <si>
    <t>SWG101544</t>
  </si>
  <si>
    <t>SWG102162</t>
  </si>
  <si>
    <t>SWG102502</t>
  </si>
  <si>
    <t>SWG103653</t>
  </si>
  <si>
    <t>SWG103896</t>
  </si>
  <si>
    <t>SWG104517</t>
  </si>
  <si>
    <t>SWG104986</t>
  </si>
  <si>
    <t>SWG100054</t>
  </si>
  <si>
    <t>SWG100085</t>
  </si>
  <si>
    <t>SWG100215</t>
  </si>
  <si>
    <t>SWG100412</t>
  </si>
  <si>
    <t>SWG100581</t>
  </si>
  <si>
    <t>SWG100748</t>
  </si>
  <si>
    <t>SWG100816</t>
  </si>
  <si>
    <t>SWG101302</t>
  </si>
  <si>
    <t>SWG102074</t>
  </si>
  <si>
    <t>SWG103633</t>
  </si>
  <si>
    <t>SWG103640</t>
  </si>
  <si>
    <t>SWG103658</t>
  </si>
  <si>
    <t>SWG103787</t>
  </si>
  <si>
    <t>SWG103790</t>
  </si>
  <si>
    <t>SWG104265</t>
  </si>
  <si>
    <t>SWG100064</t>
  </si>
  <si>
    <t>SWG100209</t>
  </si>
  <si>
    <t>SWG100277</t>
  </si>
  <si>
    <t>SWG100355</t>
  </si>
  <si>
    <t>SWG100409</t>
  </si>
  <si>
    <t>SWG100678</t>
  </si>
  <si>
    <t>SWG100773</t>
  </si>
  <si>
    <t>SWG101257</t>
  </si>
  <si>
    <t>SWG101563</t>
  </si>
  <si>
    <t>SWG102694</t>
  </si>
  <si>
    <t>SWG103552</t>
  </si>
  <si>
    <t>SWG103652</t>
  </si>
  <si>
    <t>SWG103785</t>
  </si>
  <si>
    <t>SWG103912</t>
  </si>
  <si>
    <t>SWG104121</t>
  </si>
  <si>
    <t>SWG104389</t>
  </si>
  <si>
    <t>SWG104741</t>
  </si>
  <si>
    <t>SWG100038</t>
  </si>
  <si>
    <t>SWG101166</t>
  </si>
  <si>
    <t>SWG101239</t>
  </si>
  <si>
    <t>SWG101246</t>
  </si>
  <si>
    <t>SWG101388</t>
  </si>
  <si>
    <t>SWG101878</t>
  </si>
  <si>
    <t>SWG102317</t>
  </si>
  <si>
    <t>SWG102736</t>
  </si>
  <si>
    <t>SWG102971</t>
  </si>
  <si>
    <t>SWG103628</t>
  </si>
  <si>
    <t>SWG103835</t>
  </si>
  <si>
    <t>SWG104006</t>
  </si>
  <si>
    <t>SWG104524</t>
  </si>
  <si>
    <t>SWG104885</t>
  </si>
  <si>
    <t>SWG100865</t>
  </si>
  <si>
    <t>SWG100883</t>
  </si>
  <si>
    <t>SWG101622</t>
  </si>
  <si>
    <t>SWG102438</t>
  </si>
  <si>
    <t>SWG103381</t>
  </si>
  <si>
    <t>SWG103710</t>
  </si>
  <si>
    <t>SWG104453</t>
  </si>
  <si>
    <t>SWG104804</t>
  </si>
  <si>
    <t>SWG104995</t>
  </si>
  <si>
    <t>SWG100584</t>
  </si>
  <si>
    <t>SWG101430</t>
  </si>
  <si>
    <t>SWG102723</t>
  </si>
  <si>
    <t>SWG102829</t>
  </si>
  <si>
    <t>SWG102913</t>
  </si>
  <si>
    <t>SWG103564</t>
  </si>
  <si>
    <t>SWG103900</t>
  </si>
  <si>
    <t>SWG104271</t>
  </si>
  <si>
    <t>SWG104301</t>
  </si>
  <si>
    <t>SWG104655</t>
  </si>
  <si>
    <t>SWG100356</t>
  </si>
  <si>
    <t>SWG100402</t>
  </si>
  <si>
    <t>SWG100436</t>
  </si>
  <si>
    <t>SWG100444</t>
  </si>
  <si>
    <t>SWG100644</t>
  </si>
  <si>
    <t>SWG100655</t>
  </si>
  <si>
    <t>SWG101719</t>
  </si>
  <si>
    <t>SWG101747</t>
  </si>
  <si>
    <t>SWG102291</t>
  </si>
  <si>
    <t>SWG102946</t>
  </si>
  <si>
    <t>SWG104049</t>
  </si>
  <si>
    <t>SWG104309</t>
  </si>
  <si>
    <t>SWG104457</t>
  </si>
  <si>
    <t>SWG104979</t>
  </si>
  <si>
    <t>SWG100030</t>
  </si>
  <si>
    <t>SWG101311</t>
  </si>
  <si>
    <t>SWG101448</t>
  </si>
  <si>
    <t>SWG101546</t>
  </si>
  <si>
    <t>SWG101636</t>
  </si>
  <si>
    <t>SWG101637</t>
  </si>
  <si>
    <t>SWG101896</t>
  </si>
  <si>
    <t>SWG102015</t>
  </si>
  <si>
    <t>SWG102924</t>
  </si>
  <si>
    <t>SWG103012</t>
  </si>
  <si>
    <t>SWG103264</t>
  </si>
  <si>
    <t>SWG103432</t>
  </si>
  <si>
    <t>SWG103665</t>
  </si>
  <si>
    <t>SWG103855</t>
  </si>
  <si>
    <t>SWG103880</t>
  </si>
  <si>
    <t>SWG103968</t>
  </si>
  <si>
    <t>SWG104159</t>
  </si>
  <si>
    <t>SWG104275</t>
  </si>
  <si>
    <t>SWG104353</t>
  </si>
  <si>
    <t>SWG104692</t>
  </si>
  <si>
    <t>SWG104725</t>
  </si>
  <si>
    <t>SWG104745</t>
  </si>
  <si>
    <t>SWG104892</t>
  </si>
  <si>
    <t>SWG104909</t>
  </si>
  <si>
    <t>SWG100262</t>
  </si>
  <si>
    <t>Mar</t>
  </si>
  <si>
    <t>SWG100413</t>
  </si>
  <si>
    <t>SWG101031</t>
  </si>
  <si>
    <t>SWG101688</t>
  </si>
  <si>
    <t>SWG101760</t>
  </si>
  <si>
    <t>SWG102221</t>
  </si>
  <si>
    <t>SWG102428</t>
  </si>
  <si>
    <t>SWG102520</t>
  </si>
  <si>
    <t>SWG102744</t>
  </si>
  <si>
    <t>SWG103029</t>
  </si>
  <si>
    <t>SWG104695</t>
  </si>
  <si>
    <t>SWG100838</t>
  </si>
  <si>
    <t>SWG100870</t>
  </si>
  <si>
    <t>SWG101411</t>
  </si>
  <si>
    <t>SWG101532</t>
  </si>
  <si>
    <t>SWG101571</t>
  </si>
  <si>
    <t>SWG102788</t>
  </si>
  <si>
    <t>SWG102894</t>
  </si>
  <si>
    <t>SWG102895</t>
  </si>
  <si>
    <t>SWG103220</t>
  </si>
  <si>
    <t>SWG103608</t>
  </si>
  <si>
    <t>SWG103917</t>
  </si>
  <si>
    <t>SWG104418</t>
  </si>
  <si>
    <t>SWG104481</t>
  </si>
  <si>
    <t>SWG104515</t>
  </si>
  <si>
    <t>SWG104771</t>
  </si>
  <si>
    <t>SWG104824</t>
  </si>
  <si>
    <t>SWG104854</t>
  </si>
  <si>
    <t>SWG104859</t>
  </si>
  <si>
    <t>SWG100116</t>
  </si>
  <si>
    <t>SWG100161</t>
  </si>
  <si>
    <t>SWG100561</t>
  </si>
  <si>
    <t>SWG100973</t>
  </si>
  <si>
    <t>SWG101047</t>
  </si>
  <si>
    <t>SWG101539</t>
  </si>
  <si>
    <t>SWG101574</t>
  </si>
  <si>
    <t>SWG102465</t>
  </si>
  <si>
    <t>SWG102475</t>
  </si>
  <si>
    <t>SWG103162</t>
  </si>
  <si>
    <t>SWG103344</t>
  </si>
  <si>
    <t>SWG103922</t>
  </si>
  <si>
    <t>SWG104303</t>
  </si>
  <si>
    <t>SWG104623</t>
  </si>
  <si>
    <t>SWG104693</t>
  </si>
  <si>
    <t>SWG104702</t>
  </si>
  <si>
    <t>SWG104736</t>
  </si>
  <si>
    <t>SWG104765</t>
  </si>
  <si>
    <t>SWG100101</t>
  </si>
  <si>
    <t>SWG100138</t>
  </si>
  <si>
    <t>SWG100397</t>
  </si>
  <si>
    <t>SWG100731</t>
  </si>
  <si>
    <t>SWG101063</t>
  </si>
  <si>
    <t>SWG101175</t>
  </si>
  <si>
    <t>SWG101197</t>
  </si>
  <si>
    <t>SWG101209</t>
  </si>
  <si>
    <t>SWG101550</t>
  </si>
  <si>
    <t>SWG102081</t>
  </si>
  <si>
    <t>SWG102462</t>
  </si>
  <si>
    <t>SWG103003</t>
  </si>
  <si>
    <t>SWG103127</t>
  </si>
  <si>
    <t>SWG103367</t>
  </si>
  <si>
    <t>SWG103538</t>
  </si>
  <si>
    <t>SWG104207</t>
  </si>
  <si>
    <t>SWG104411</t>
  </si>
  <si>
    <t>SWG104471</t>
  </si>
  <si>
    <t>SWG104791</t>
  </si>
  <si>
    <t>SWG101366</t>
  </si>
  <si>
    <t>SWG101790</t>
  </si>
  <si>
    <t>SWG101989</t>
  </si>
  <si>
    <t>SWG103167</t>
  </si>
  <si>
    <t>SWG103392</t>
  </si>
  <si>
    <t>SWG103482</t>
  </si>
  <si>
    <t>SWG104732</t>
  </si>
  <si>
    <t>SWG104897</t>
  </si>
  <si>
    <t>SWG104972</t>
  </si>
  <si>
    <t>SWG100094</t>
  </si>
  <si>
    <t>SWG100512</t>
  </si>
  <si>
    <t>SWG100723</t>
  </si>
  <si>
    <t>SWG101516</t>
  </si>
  <si>
    <t>SWG102109</t>
  </si>
  <si>
    <t>SWG102483</t>
  </si>
  <si>
    <t>SWG102906</t>
  </si>
  <si>
    <t>SWG103180</t>
  </si>
  <si>
    <t>SWG103576</t>
  </si>
  <si>
    <t>SWG103697</t>
  </si>
  <si>
    <t>SWG103775</t>
  </si>
  <si>
    <t>SWG104214</t>
  </si>
  <si>
    <t>SWG104355</t>
  </si>
  <si>
    <t>SWG100158</t>
  </si>
  <si>
    <t>SWG100784</t>
  </si>
  <si>
    <t>SWG101924</t>
  </si>
  <si>
    <t>SWG101964</t>
  </si>
  <si>
    <t>SWG102350</t>
  </si>
  <si>
    <t>SWG102385</t>
  </si>
  <si>
    <t>SWG102687</t>
  </si>
  <si>
    <t>SWG102914</t>
  </si>
  <si>
    <t>SWG102949</t>
  </si>
  <si>
    <t>SWG103064</t>
  </si>
  <si>
    <t>SWG103613</t>
  </si>
  <si>
    <t>SWG100920</t>
  </si>
  <si>
    <t>SWG101074</t>
  </si>
  <si>
    <t>SWG101261</t>
  </si>
  <si>
    <t>SWG102289</t>
  </si>
  <si>
    <t>SWG102379</t>
  </si>
  <si>
    <t>SWG103076</t>
  </si>
  <si>
    <t>SWG103207</t>
  </si>
  <si>
    <t>SWG103403</t>
  </si>
  <si>
    <t>SWG103575</t>
  </si>
  <si>
    <t>SWG100298</t>
  </si>
  <si>
    <t>SWG100919</t>
  </si>
  <si>
    <t>SWG101584</t>
  </si>
  <si>
    <t>SWG102216</t>
  </si>
  <si>
    <t>SWG102260</t>
  </si>
  <si>
    <t>SWG102410</t>
  </si>
  <si>
    <t>SWG102935</t>
  </si>
  <si>
    <t>SWG103150</t>
  </si>
  <si>
    <t>SWG103437</t>
  </si>
  <si>
    <t>SWG103891</t>
  </si>
  <si>
    <t>SWG103948</t>
  </si>
  <si>
    <t>SWG104064</t>
  </si>
  <si>
    <t>SWG104371</t>
  </si>
  <si>
    <t>SWG104853</t>
  </si>
  <si>
    <t>SWG100458</t>
  </si>
  <si>
    <t>SWG100469</t>
  </si>
  <si>
    <t>SWG100578</t>
  </si>
  <si>
    <t>SWG100813</t>
  </si>
  <si>
    <t>SWG101021</t>
  </si>
  <si>
    <t>SWG101120</t>
  </si>
  <si>
    <t>SWG101392</t>
  </si>
  <si>
    <t>SWG102076</t>
  </si>
  <si>
    <t>SWG102228</t>
  </si>
  <si>
    <t>SWG102540</t>
  </si>
  <si>
    <t>SWG102804</t>
  </si>
  <si>
    <t>SWG102878</t>
  </si>
  <si>
    <t>SWG103438</t>
  </si>
  <si>
    <t>SWG104112</t>
  </si>
  <si>
    <t>SWG104273</t>
  </si>
  <si>
    <t>SWG104413</t>
  </si>
  <si>
    <t>SWG104505</t>
  </si>
  <si>
    <t>SWG100627</t>
  </si>
  <si>
    <t>SWG100946</t>
  </si>
  <si>
    <t>SWG102275</t>
  </si>
  <si>
    <t>SWG102703</t>
  </si>
  <si>
    <t>SWG102812</t>
  </si>
  <si>
    <t>SWG102848</t>
  </si>
  <si>
    <t>SWG102863</t>
  </si>
  <si>
    <t>SWG103499</t>
  </si>
  <si>
    <t>SWG103508</t>
  </si>
  <si>
    <t>SWG103945</t>
  </si>
  <si>
    <t>SWG104200</t>
  </si>
  <si>
    <t>SWG104793</t>
  </si>
  <si>
    <t>SWG102185</t>
  </si>
  <si>
    <t>SWG102727</t>
  </si>
  <si>
    <t>SWG104317</t>
  </si>
  <si>
    <t>SWG104611</t>
  </si>
  <si>
    <t>SWG104726</t>
  </si>
  <si>
    <t>SWG104977</t>
  </si>
  <si>
    <t>SWG100004</t>
  </si>
  <si>
    <t>SWG100764</t>
  </si>
  <si>
    <t>SWG101547</t>
  </si>
  <si>
    <t>SWG101759</t>
  </si>
  <si>
    <t>SWG101789</t>
  </si>
  <si>
    <t>SWG101793</t>
  </si>
  <si>
    <t>SWG102209</t>
  </si>
  <si>
    <t>SWG102673</t>
  </si>
  <si>
    <t>SWG102970</t>
  </si>
  <si>
    <t>SWG103214</t>
  </si>
  <si>
    <t>SWG103280</t>
  </si>
  <si>
    <t>SWG103602</t>
  </si>
  <si>
    <t>SWG104587</t>
  </si>
  <si>
    <t>SWG104992</t>
  </si>
  <si>
    <t>SWG100858</t>
  </si>
  <si>
    <t>SWG101405</t>
  </si>
  <si>
    <t>SWG101526</t>
  </si>
  <si>
    <t>SWG101845</t>
  </si>
  <si>
    <t>SWG102082</t>
  </si>
  <si>
    <t>SWG102088</t>
  </si>
  <si>
    <t>SWG102272</t>
  </si>
  <si>
    <t>SWG102383</t>
  </si>
  <si>
    <t>SWG103128</t>
  </si>
  <si>
    <t>SWG103355</t>
  </si>
  <si>
    <t>SWG104198</t>
  </si>
  <si>
    <t>SWG104347</t>
  </si>
  <si>
    <t>SWG104378</t>
  </si>
  <si>
    <t>SWG104397</t>
  </si>
  <si>
    <t>SWG104443</t>
  </si>
  <si>
    <t>SWG104637</t>
  </si>
  <si>
    <t>SWG104953</t>
  </si>
  <si>
    <t>SWG100602</t>
  </si>
  <si>
    <t>SWG101684</t>
  </si>
  <si>
    <t>SWG102182</t>
  </si>
  <si>
    <t>SWG102808</t>
  </si>
  <si>
    <t>SWG102965</t>
  </si>
  <si>
    <t>SWG103650</t>
  </si>
  <si>
    <t>SWG103791</t>
  </si>
  <si>
    <t>SWG103995</t>
  </si>
  <si>
    <t>SWG104326</t>
  </si>
  <si>
    <t>SWG104779</t>
  </si>
  <si>
    <t>SWG104858</t>
  </si>
  <si>
    <t>SWG100281</t>
  </si>
  <si>
    <t>SWG100535</t>
  </si>
  <si>
    <t>SWG100785</t>
  </si>
  <si>
    <t>SWG100967</t>
  </si>
  <si>
    <t>SWG101179</t>
  </si>
  <si>
    <t>SWG101335</t>
  </si>
  <si>
    <t>SWG101729</t>
  </si>
  <si>
    <t>SWG102700</t>
  </si>
  <si>
    <t>SWG102783</t>
  </si>
  <si>
    <t>SWG103050</t>
  </si>
  <si>
    <t>SWG103370</t>
  </si>
  <si>
    <t>SWG103404</t>
  </si>
  <si>
    <t>SWG103513</t>
  </si>
  <si>
    <t>SWG103600</t>
  </si>
  <si>
    <t>SWG103674</t>
  </si>
  <si>
    <t>SWG104888</t>
  </si>
  <si>
    <t>SWG104930</t>
  </si>
  <si>
    <t>SWG100462</t>
  </si>
  <si>
    <t>SWG100570</t>
  </si>
  <si>
    <t>SWG100600</t>
  </si>
  <si>
    <t>SWG101026</t>
  </si>
  <si>
    <t>SWG101347</t>
  </si>
  <si>
    <t>SWG101811</t>
  </si>
  <si>
    <t>SWG102065</t>
  </si>
  <si>
    <t>SWG102110</t>
  </si>
  <si>
    <t>SWG102750</t>
  </si>
  <si>
    <t>SWG102921</t>
  </si>
  <si>
    <t>SWG103036</t>
  </si>
  <si>
    <t>SWG103185</t>
  </si>
  <si>
    <t>SWG103206</t>
  </si>
  <si>
    <t>SWG104071</t>
  </si>
  <si>
    <t>SWG104209</t>
  </si>
  <si>
    <t>SWG104545</t>
  </si>
  <si>
    <t>SWG101666</t>
  </si>
  <si>
    <t>SWG101827</t>
  </si>
  <si>
    <t>SWG102090</t>
  </si>
  <si>
    <t>SWG102174</t>
  </si>
  <si>
    <t>SWG102243</t>
  </si>
  <si>
    <t>SWG103431</t>
  </si>
  <si>
    <t>SWG104434</t>
  </si>
  <si>
    <t>SWG104809</t>
  </si>
  <si>
    <t>SWG100754</t>
  </si>
  <si>
    <t>SWG100855</t>
  </si>
  <si>
    <t>SWG100887</t>
  </si>
  <si>
    <t>SWG101046</t>
  </si>
  <si>
    <t>SWG101229</t>
  </si>
  <si>
    <t>SWG101269</t>
  </si>
  <si>
    <t>SWG102242</t>
  </si>
  <si>
    <t>SWG102580</t>
  </si>
  <si>
    <t>SWG102781</t>
  </si>
  <si>
    <t>SWG103925</t>
  </si>
  <si>
    <t>SWG104223</t>
  </si>
  <si>
    <t>SWG101718</t>
  </si>
  <si>
    <t>SWG101765</t>
  </si>
  <si>
    <t>SWG102409</t>
  </si>
  <si>
    <t>SWG102479</t>
  </si>
  <si>
    <t>SWG102536</t>
  </si>
  <si>
    <t>SWG102940</t>
  </si>
  <si>
    <t>SWG103678</t>
  </si>
  <si>
    <t>SWG103863</t>
  </si>
  <si>
    <t>SWG104288</t>
  </si>
  <si>
    <t>SWG104360</t>
  </si>
  <si>
    <t>SWG104796</t>
  </si>
  <si>
    <t>SWG100663</t>
  </si>
  <si>
    <t>SWG101435</t>
  </si>
  <si>
    <t>SWG101814</t>
  </si>
  <si>
    <t>SWG101976</t>
  </si>
  <si>
    <t>SWG102446</t>
  </si>
  <si>
    <t>SWG104243</t>
  </si>
  <si>
    <t>SWG100060</t>
  </si>
  <si>
    <t>SWG100103</t>
  </si>
  <si>
    <t>SWG100203</t>
  </si>
  <si>
    <t>SWG100805</t>
  </si>
  <si>
    <t>SWG101307</t>
  </si>
  <si>
    <t>SWG101440</t>
  </si>
  <si>
    <t>SWG101612</t>
  </si>
  <si>
    <t>SWG102892</t>
  </si>
  <si>
    <t>SWG103336</t>
  </si>
  <si>
    <t>SWG103985</t>
  </si>
  <si>
    <t>SWG104184</t>
  </si>
  <si>
    <t>SWG104195</t>
  </si>
  <si>
    <t>SWG104756</t>
  </si>
  <si>
    <t>SWG100710</t>
  </si>
  <si>
    <t>SWG101288</t>
  </si>
  <si>
    <t>SWG101468</t>
  </si>
  <si>
    <t>SWG101662</t>
  </si>
  <si>
    <t>SWG101889</t>
  </si>
  <si>
    <t>SWG102098</t>
  </si>
  <si>
    <t>SWG102373</t>
  </si>
  <si>
    <t>SWG102505</t>
  </si>
  <si>
    <t>SWG102741</t>
  </si>
  <si>
    <t>SWG102877</t>
  </si>
  <si>
    <t>SWG103303</t>
  </si>
  <si>
    <t>SWG103521</t>
  </si>
  <si>
    <t>SWG104045</t>
  </si>
  <si>
    <t>SWG104313</t>
  </si>
  <si>
    <t>SWG104675</t>
  </si>
  <si>
    <t>SWG100751</t>
  </si>
  <si>
    <t>SWG100931</t>
  </si>
  <si>
    <t>SWG102439</t>
  </si>
  <si>
    <t>SWG103119</t>
  </si>
  <si>
    <t>SWG103609</t>
  </si>
  <si>
    <t>SWG103706</t>
  </si>
  <si>
    <t>SWG104257</t>
  </si>
  <si>
    <t>SWG104356</t>
  </si>
  <si>
    <t>SWG104376</t>
  </si>
  <si>
    <t>SWG104503</t>
  </si>
  <si>
    <t>SWG100562</t>
  </si>
  <si>
    <t>SWG101010</t>
  </si>
  <si>
    <t>SWG101203</t>
  </si>
  <si>
    <t>SWG101733</t>
  </si>
  <si>
    <t>SWG101743</t>
  </si>
  <si>
    <t>SWG101855</t>
  </si>
  <si>
    <t>SWG101860</t>
  </si>
  <si>
    <t>SWG101957</t>
  </si>
  <si>
    <t>SWG102190</t>
  </si>
  <si>
    <t>SWG102338</t>
  </si>
  <si>
    <t>SWG102831</t>
  </si>
  <si>
    <t>SWG102855</t>
  </si>
  <si>
    <t>SWG103111</t>
  </si>
  <si>
    <t>SWG103306</t>
  </si>
  <si>
    <t>SWG103327</t>
  </si>
  <si>
    <t>SWG103908</t>
  </si>
  <si>
    <t>SWG103987</t>
  </si>
  <si>
    <t>SWG104084</t>
  </si>
  <si>
    <t>SWG104286</t>
  </si>
  <si>
    <t>SWG104338</t>
  </si>
  <si>
    <t>SWG104502</t>
  </si>
  <si>
    <t>SWG104988</t>
  </si>
  <si>
    <t>SWG100753</t>
  </si>
  <si>
    <t>SWG101282</t>
  </si>
  <si>
    <t>SWG102125</t>
  </si>
  <si>
    <t>SWG102249</t>
  </si>
  <si>
    <t>SWG102969</t>
  </si>
  <si>
    <t>SWG104128</t>
  </si>
  <si>
    <t>SWG104559</t>
  </si>
  <si>
    <t>SWG100156</t>
  </si>
  <si>
    <t>SWG100465</t>
  </si>
  <si>
    <t>SWG100911</t>
  </si>
  <si>
    <t>SWG101088</t>
  </si>
  <si>
    <t>SWG101457</t>
  </si>
  <si>
    <t>SWG101816</t>
  </si>
  <si>
    <t>SWG102052</t>
  </si>
  <si>
    <t>SWG102472</t>
  </si>
  <si>
    <t>SWG102636</t>
  </si>
  <si>
    <t>SWG102690</t>
  </si>
  <si>
    <t>SWG102890</t>
  </si>
  <si>
    <t>SWG102900</t>
  </si>
  <si>
    <t>SWG102920</t>
  </si>
  <si>
    <t>SWG103156</t>
  </si>
  <si>
    <t>SWG103923</t>
  </si>
  <si>
    <t>SWG103992</t>
  </si>
  <si>
    <t>SWG104642</t>
  </si>
  <si>
    <t>SWG104836</t>
  </si>
  <si>
    <t>SWG101245</t>
  </si>
  <si>
    <t>SWG101348</t>
  </si>
  <si>
    <t>SWG101871</t>
  </si>
  <si>
    <t>SWG101944</t>
  </si>
  <si>
    <t>SWG102541</t>
  </si>
  <si>
    <t>SWG102546</t>
  </si>
  <si>
    <t>SWG102880</t>
  </si>
  <si>
    <t>SWG103215</t>
  </si>
  <si>
    <t>SWG103425</t>
  </si>
  <si>
    <t>SWG104544</t>
  </si>
  <si>
    <t>SWG104551</t>
  </si>
  <si>
    <t>SWG100011</t>
  </si>
  <si>
    <t>SWG101268</t>
  </si>
  <si>
    <t>SWG101809</t>
  </si>
  <si>
    <t>SWG102650</t>
  </si>
  <si>
    <t>SWG103688</t>
  </si>
  <si>
    <t>SWG103988</t>
  </si>
  <si>
    <t>SWG104185</t>
  </si>
  <si>
    <t>SWG104484</t>
  </si>
  <si>
    <t>SWG104951</t>
  </si>
  <si>
    <t>SWG100048</t>
  </si>
  <si>
    <t>SWG100453</t>
  </si>
  <si>
    <t>SWG101049</t>
  </si>
  <si>
    <t>SWG101052</t>
  </si>
  <si>
    <t>SWG101445</t>
  </si>
  <si>
    <t>SWG101582</t>
  </si>
  <si>
    <t>SWG102085</t>
  </si>
  <si>
    <t>SWG102106</t>
  </si>
  <si>
    <t>SWG102959</t>
  </si>
  <si>
    <t>SWG103141</t>
  </si>
  <si>
    <t>SWG103959</t>
  </si>
  <si>
    <t>SWG104024</t>
  </si>
  <si>
    <t>SWG104245</t>
  </si>
  <si>
    <t>SWG100526</t>
  </si>
  <si>
    <t>SWG100529</t>
  </si>
  <si>
    <t>SWG100691</t>
  </si>
  <si>
    <t>SWG100992</t>
  </si>
  <si>
    <t>SWG101178</t>
  </si>
  <si>
    <t>SWG101607</t>
  </si>
  <si>
    <t>SWG101834</t>
  </si>
  <si>
    <t>SWG102078</t>
  </si>
  <si>
    <t>SWG102176</t>
  </si>
  <si>
    <t>SWG102692</t>
  </si>
  <si>
    <t>SWG102786</t>
  </si>
  <si>
    <t>SWG102813</t>
  </si>
  <si>
    <t>SWG103245</t>
  </si>
  <si>
    <t>SWG103285</t>
  </si>
  <si>
    <t>SWG103867</t>
  </si>
  <si>
    <t>SWG103881</t>
  </si>
  <si>
    <t>SWG103955</t>
  </si>
  <si>
    <t>SWG104921</t>
  </si>
  <si>
    <t>SWG100633</t>
  </si>
  <si>
    <t>Apr</t>
  </si>
  <si>
    <t>SWG103099</t>
  </si>
  <si>
    <t>SWG103483</t>
  </si>
  <si>
    <t>SWG104007</t>
  </si>
  <si>
    <t>SWG104035</t>
  </si>
  <si>
    <t>SWG104044</t>
  </si>
  <si>
    <t>SWG104438</t>
  </si>
  <si>
    <t>SWG104823</t>
  </si>
  <si>
    <t>SWG100056</t>
  </si>
  <si>
    <t>SWG100388</t>
  </si>
  <si>
    <t>SWG100435</t>
  </si>
  <si>
    <t>SWG100843</t>
  </si>
  <si>
    <t>SWG101149</t>
  </si>
  <si>
    <t>SWG101264</t>
  </si>
  <si>
    <t>SWG101634</t>
  </si>
  <si>
    <t>SWG101739</t>
  </si>
  <si>
    <t>SWG101817</t>
  </si>
  <si>
    <t>SWG102416</t>
  </si>
  <si>
    <t>SWG102469</t>
  </si>
  <si>
    <t>SWG102943</t>
  </si>
  <si>
    <t>SWG103457</t>
  </si>
  <si>
    <t>SWG103522</t>
  </si>
  <si>
    <t>SWG103821</t>
  </si>
  <si>
    <t>SWG104468</t>
  </si>
  <si>
    <t>SWG104727</t>
  </si>
  <si>
    <t>SWG100528</t>
  </si>
  <si>
    <t>SWG100836</t>
  </si>
  <si>
    <t>SWG101762</t>
  </si>
  <si>
    <t>SWG101901</t>
  </si>
  <si>
    <t>SWG101977</t>
  </si>
  <si>
    <t>SWG102114</t>
  </si>
  <si>
    <t>SWG103193</t>
  </si>
  <si>
    <t>SWG103227</t>
  </si>
  <si>
    <t>SWG103331</t>
  </si>
  <si>
    <t>SWG103932</t>
  </si>
  <si>
    <t>SWG103991</t>
  </si>
  <si>
    <t>SWG104025</t>
  </si>
  <si>
    <t>SWG104396</t>
  </si>
  <si>
    <t>SWG104599</t>
  </si>
  <si>
    <t>SWG104641</t>
  </si>
  <si>
    <t>SWG104906</t>
  </si>
  <si>
    <t>SWG104999</t>
  </si>
  <si>
    <t>SWG100471</t>
  </si>
  <si>
    <t>SWG100972</t>
  </si>
  <si>
    <t>SWG101018</t>
  </si>
  <si>
    <t>SWG103728</t>
  </si>
  <si>
    <t>SWG103982</t>
  </si>
  <si>
    <t>SWG104030</t>
  </si>
  <si>
    <t>SWG104425</t>
  </si>
  <si>
    <t>SWG104563</t>
  </si>
  <si>
    <t>SWG104749</t>
  </si>
  <si>
    <t>SWG104922</t>
  </si>
  <si>
    <t>SWG100342</t>
  </si>
  <si>
    <t>SWG100519</t>
  </si>
  <si>
    <t>SWG100763</t>
  </si>
  <si>
    <t>SWG100827</t>
  </si>
  <si>
    <t>SWG100953</t>
  </si>
  <si>
    <t>SWG101019</t>
  </si>
  <si>
    <t>SWG101113</t>
  </si>
  <si>
    <t>SWG101798</t>
  </si>
  <si>
    <t>SWG102398</t>
  </si>
  <si>
    <t>SWG102649</t>
  </si>
  <si>
    <t>SWG104247</t>
  </si>
  <si>
    <t>SWG104964</t>
  </si>
  <si>
    <t>SWG100143</t>
  </si>
  <si>
    <t>SWG100192</t>
  </si>
  <si>
    <t>SWG100449</t>
  </si>
  <si>
    <t>SWG100493</t>
  </si>
  <si>
    <t>SWG100546</t>
  </si>
  <si>
    <t>SWG101267</t>
  </si>
  <si>
    <t>SWG101501</t>
  </si>
  <si>
    <t>SWG101918</t>
  </si>
  <si>
    <t>SWG102415</t>
  </si>
  <si>
    <t>SWG103683</t>
  </si>
  <si>
    <t>SWG103872</t>
  </si>
  <si>
    <t>SWG104189</t>
  </si>
  <si>
    <t>SWG104699</t>
  </si>
  <si>
    <t>SWG104794</t>
  </si>
  <si>
    <t>SWG100233</t>
  </si>
  <si>
    <t>SWG100320</t>
  </si>
  <si>
    <t>SWG101084</t>
  </si>
  <si>
    <t>SWG101263</t>
  </si>
  <si>
    <t>SWG102448</t>
  </si>
  <si>
    <t>SWG102523</t>
  </si>
  <si>
    <t>SWG102953</t>
  </si>
  <si>
    <t>SWG104269</t>
  </si>
  <si>
    <t>SWG104533</t>
  </si>
  <si>
    <t>SWG100229</t>
  </si>
  <si>
    <t>SWG100737</t>
  </si>
  <si>
    <t>SWG100792</t>
  </si>
  <si>
    <t>SWG101332</t>
  </si>
  <si>
    <t>SWG101358</t>
  </si>
  <si>
    <t>SWG101387</t>
  </si>
  <si>
    <t>SWG101478</t>
  </si>
  <si>
    <t>SWG101586</t>
  </si>
  <si>
    <t>SWG102093</t>
  </si>
  <si>
    <t>SWG102903</t>
  </si>
  <si>
    <t>SWG102905</t>
  </si>
  <si>
    <t>SWG102916</t>
  </si>
  <si>
    <t>SWG103860</t>
  </si>
  <si>
    <t>SWG104319</t>
  </si>
  <si>
    <t>SWG104367</t>
  </si>
  <si>
    <t>SWG104976</t>
  </si>
  <si>
    <t>SWG100119</t>
  </si>
  <si>
    <t>SWG100256</t>
  </si>
  <si>
    <t>SWG100271</t>
  </si>
  <si>
    <t>SWG100288</t>
  </si>
  <si>
    <t>SWG100335</t>
  </si>
  <si>
    <t>SWG100343</t>
  </si>
  <si>
    <t>SWG100544</t>
  </si>
  <si>
    <t>SWG100579</t>
  </si>
  <si>
    <t>SWG100739</t>
  </si>
  <si>
    <t>SWG101568</t>
  </si>
  <si>
    <t>SWG101724</t>
  </si>
  <si>
    <t>SWG102440</t>
  </si>
  <si>
    <t>SWG102926</t>
  </si>
  <si>
    <t>SWG103354</t>
  </si>
  <si>
    <t>SWG103464</t>
  </si>
  <si>
    <t>SWG104032</t>
  </si>
  <si>
    <t>SWG104070</t>
  </si>
  <si>
    <t>SWG100012</t>
  </si>
  <si>
    <t>SWG100477</t>
  </si>
  <si>
    <t>SWG100487</t>
  </si>
  <si>
    <t>SWG100568</t>
  </si>
  <si>
    <t>SWG101942</t>
  </si>
  <si>
    <t>SWG102220</t>
  </si>
  <si>
    <t>SWG102821</t>
  </si>
  <si>
    <t>SWG103104</t>
  </si>
  <si>
    <t>SWG103375</t>
  </si>
  <si>
    <t>SWG103702</t>
  </si>
  <si>
    <t>SWG103751</t>
  </si>
  <si>
    <t>SWG103758</t>
  </si>
  <si>
    <t>SWG104217</t>
  </si>
  <si>
    <t>SWG104352</t>
  </si>
  <si>
    <t>SWG100125</t>
  </si>
  <si>
    <t>SWG100201</t>
  </si>
  <si>
    <t>SWG100410</t>
  </si>
  <si>
    <t>SWG100509</t>
  </si>
  <si>
    <t>SWG100933</t>
  </si>
  <si>
    <t>SWG101013</t>
  </si>
  <si>
    <t>SWG101159</t>
  </si>
  <si>
    <t>SWG101425</t>
  </si>
  <si>
    <t>SWG102366</t>
  </si>
  <si>
    <t>SWG102454</t>
  </si>
  <si>
    <t>SWG102542</t>
  </si>
  <si>
    <t>SWG102706</t>
  </si>
  <si>
    <t>SWG102990</t>
  </si>
  <si>
    <t>SWG102993</t>
  </si>
  <si>
    <t>SWG103479</t>
  </si>
  <si>
    <t>SWG103722</t>
  </si>
  <si>
    <t>SWG103736</t>
  </si>
  <si>
    <t>SWG103997</t>
  </si>
  <si>
    <t>SWG104009</t>
  </si>
  <si>
    <t>SWG101421</t>
  </si>
  <si>
    <t>SWG101805</t>
  </si>
  <si>
    <t>SWG102094</t>
  </si>
  <si>
    <t>SWG102096</t>
  </si>
  <si>
    <t>SWG102118</t>
  </si>
  <si>
    <t>SWG102262</t>
  </si>
  <si>
    <t>SWG102299</t>
  </si>
  <si>
    <t>SWG103010</t>
  </si>
  <si>
    <t>SWG103116</t>
  </si>
  <si>
    <t>SWG103512</t>
  </si>
  <si>
    <t>SWG103795</t>
  </si>
  <si>
    <t>SWG103803</t>
  </si>
  <si>
    <t>SWG103897</t>
  </si>
  <si>
    <t>SWG104177</t>
  </si>
  <si>
    <t>SWG104492</t>
  </si>
  <si>
    <t>SWG100000</t>
  </si>
  <si>
    <t>SWG100007</t>
  </si>
  <si>
    <t>SWG100416</t>
  </si>
  <si>
    <t>SWG100786</t>
  </si>
  <si>
    <t>SWG101470</t>
  </si>
  <si>
    <t>SWG101830</t>
  </si>
  <si>
    <t>SWG102451</t>
  </si>
  <si>
    <t>SWG103286</t>
  </si>
  <si>
    <t>SWG104092</t>
  </si>
  <si>
    <t>SWG104127</t>
  </si>
  <si>
    <t>SWG104619</t>
  </si>
  <si>
    <t>SWG100283</t>
  </si>
  <si>
    <t>SWG100368</t>
  </si>
  <si>
    <t>SWG101056</t>
  </si>
  <si>
    <t>SWG101069</t>
  </si>
  <si>
    <t>SWG101070</t>
  </si>
  <si>
    <t>SWG101136</t>
  </si>
  <si>
    <t>SWG101139</t>
  </si>
  <si>
    <t>SWG101412</t>
  </si>
  <si>
    <t>SWG102328</t>
  </si>
  <si>
    <t>SWG102678</t>
  </si>
  <si>
    <t>SWG102974</t>
  </si>
  <si>
    <t>SWG103467</t>
  </si>
  <si>
    <t>SWG103594</t>
  </si>
  <si>
    <t>SWG103820</t>
  </si>
  <si>
    <t>SWG103857</t>
  </si>
  <si>
    <t>SWG103868</t>
  </si>
  <si>
    <t>SWG104187</t>
  </si>
  <si>
    <t>SWG104558</t>
  </si>
  <si>
    <t>SWG104744</t>
  </si>
  <si>
    <t>SWG104808</t>
  </si>
  <si>
    <t>SWG104902</t>
  </si>
  <si>
    <t>SWG100531</t>
  </si>
  <si>
    <t>SWG100738</t>
  </si>
  <si>
    <t>SWG101588</t>
  </si>
  <si>
    <t>SWG101919</t>
  </si>
  <si>
    <t>SWG102514</t>
  </si>
  <si>
    <t>SWG102581</t>
  </si>
  <si>
    <t>SWG103315</t>
  </si>
  <si>
    <t>SWG104058</t>
  </si>
  <si>
    <t>SWG100065</t>
  </si>
  <si>
    <t>SWG100428</t>
  </si>
  <si>
    <t>SWG100803</t>
  </si>
  <si>
    <t>SWG101148</t>
  </si>
  <si>
    <t>SWG101838</t>
  </si>
  <si>
    <t>SWG102170</t>
  </si>
  <si>
    <t>SWG102314</t>
  </si>
  <si>
    <t>SWG102836</t>
  </si>
  <si>
    <t>SWG102845</t>
  </si>
  <si>
    <t>SWG103251</t>
  </si>
  <si>
    <t>SWG104381</t>
  </si>
  <si>
    <t>SWG100003</t>
  </si>
  <si>
    <t>SWG100867</t>
  </si>
  <si>
    <t>SWG101554</t>
  </si>
  <si>
    <t>SWG101992</t>
  </si>
  <si>
    <t>SWG102146</t>
  </si>
  <si>
    <t>SWG102792</t>
  </si>
  <si>
    <t>SWG102854</t>
  </si>
  <si>
    <t>SWG102992</t>
  </si>
  <si>
    <t>SWG103352</t>
  </si>
  <si>
    <t>SWG103698</t>
  </si>
  <si>
    <t>SWG103972</t>
  </si>
  <si>
    <t>SWG104444</t>
  </si>
  <si>
    <t>SWG104465</t>
  </si>
  <si>
    <t>SWG104698</t>
  </si>
  <si>
    <t>SWG100165</t>
  </si>
  <si>
    <t>SWG100414</t>
  </si>
  <si>
    <t>SWG101419</t>
  </si>
  <si>
    <t>SWG101475</t>
  </si>
  <si>
    <t>SWG101491</t>
  </si>
  <si>
    <t>SWG102002</t>
  </si>
  <si>
    <t>SWG102181</t>
  </si>
  <si>
    <t>SWG102231</t>
  </si>
  <si>
    <t>SWG102664</t>
  </si>
  <si>
    <t>SWG103056</t>
  </si>
  <si>
    <t>SWG103277</t>
  </si>
  <si>
    <t>SWG103504</t>
  </si>
  <si>
    <t>SWG103935</t>
  </si>
  <si>
    <t>SWG103966</t>
  </si>
  <si>
    <t>SWG104337</t>
  </si>
  <si>
    <t>SWG104561</t>
  </si>
  <si>
    <t>SWG100586</t>
  </si>
  <si>
    <t>SWG100922</t>
  </si>
  <si>
    <t>SWG101331</t>
  </si>
  <si>
    <t>SWG102266</t>
  </si>
  <si>
    <t>SWG102548</t>
  </si>
  <si>
    <t>SWG102749</t>
  </si>
  <si>
    <t>SWG103004</t>
  </si>
  <si>
    <t>SWG103228</t>
  </si>
  <si>
    <t>SWG103281</t>
  </si>
  <si>
    <t>SWG103434</t>
  </si>
  <si>
    <t>SWG103448</t>
  </si>
  <si>
    <t>SWG103759</t>
  </si>
  <si>
    <t>SWG104073</t>
  </si>
  <si>
    <t>SWG104087</t>
  </si>
  <si>
    <t>SWG104211</t>
  </si>
  <si>
    <t>SWG104500</t>
  </si>
  <si>
    <t>SWG104538</t>
  </si>
  <si>
    <t>SWG101161</t>
  </si>
  <si>
    <t>SWG102121</t>
  </si>
  <si>
    <t>SWG102401</t>
  </si>
  <si>
    <t>SWG103120</t>
  </si>
  <si>
    <t>SWG103155</t>
  </si>
  <si>
    <t>SWG104527</t>
  </si>
  <si>
    <t>SWG104775</t>
  </si>
  <si>
    <t>SWG104866</t>
  </si>
  <si>
    <t>SWG104997</t>
  </si>
  <si>
    <t>SWG100822</t>
  </si>
  <si>
    <t>SWG100896</t>
  </si>
  <si>
    <t>SWG100924</t>
  </si>
  <si>
    <t>SWG100926</t>
  </si>
  <si>
    <t>SWG100928</t>
  </si>
  <si>
    <t>SWG101078</t>
  </si>
  <si>
    <t>SWG101138</t>
  </si>
  <si>
    <t>SWG101389</t>
  </si>
  <si>
    <t>SWG101857</t>
  </si>
  <si>
    <t>SWG101954</t>
  </si>
  <si>
    <t>SWG102569</t>
  </si>
  <si>
    <t>SWG102668</t>
  </si>
  <si>
    <t>SWG102709</t>
  </si>
  <si>
    <t>SWG103460</t>
  </si>
  <si>
    <t>SWG103623</t>
  </si>
  <si>
    <t>SWG103802</t>
  </si>
  <si>
    <t>SWG103846</t>
  </si>
  <si>
    <t>SWG104173</t>
  </si>
  <si>
    <t>SWG104409</t>
  </si>
  <si>
    <t>SWG100261</t>
  </si>
  <si>
    <t>SWG100287</t>
  </si>
  <si>
    <t>SWG100778</t>
  </si>
  <si>
    <t>SWG100947</t>
  </si>
  <si>
    <t>SWG101284</t>
  </si>
  <si>
    <t>SWG102503</t>
  </si>
  <si>
    <t>SWG102688</t>
  </si>
  <si>
    <t>SWG102912</t>
  </si>
  <si>
    <t>SWG103709</t>
  </si>
  <si>
    <t>SWG104091</t>
  </si>
  <si>
    <t>SWG104146</t>
  </si>
  <si>
    <t>SWG104555</t>
  </si>
  <si>
    <t>SWG104908</t>
  </si>
  <si>
    <t>SWG100195</t>
  </si>
  <si>
    <t>SWG100200</t>
  </si>
  <si>
    <t>SWG100202</t>
  </si>
  <si>
    <t>SWG100205</t>
  </si>
  <si>
    <t>SWG100282</t>
  </si>
  <si>
    <t>SWG100876</t>
  </si>
  <si>
    <t>SWG100988</t>
  </si>
  <si>
    <t>SWG101232</t>
  </si>
  <si>
    <t>SWG101381</t>
  </si>
  <si>
    <t>SWG101673</t>
  </si>
  <si>
    <t>SWG102513</t>
  </si>
  <si>
    <t>SWG102615</t>
  </si>
  <si>
    <t>SWG102761</t>
  </si>
  <si>
    <t>SWG102766</t>
  </si>
  <si>
    <t>SWG102793</t>
  </si>
  <si>
    <t>SWG103307</t>
  </si>
  <si>
    <t>SWG103399</t>
  </si>
  <si>
    <t>SWG103571</t>
  </si>
  <si>
    <t>SWG104033</t>
  </si>
  <si>
    <t>SWG104262</t>
  </si>
  <si>
    <t>SWG104877</t>
  </si>
  <si>
    <t>SWG100361</t>
  </si>
  <si>
    <t>SWG100534</t>
  </si>
  <si>
    <t>SWG101233</t>
  </si>
  <si>
    <t>SWG101613</t>
  </si>
  <si>
    <t>SWG102059</t>
  </si>
  <si>
    <t>SWG102348</t>
  </si>
  <si>
    <t>SWG102609</t>
  </si>
  <si>
    <t>SWG102984</t>
  </si>
  <si>
    <t>SWG103546</t>
  </si>
  <si>
    <t>SWG104047</t>
  </si>
  <si>
    <t>SWG104255</t>
  </si>
  <si>
    <t>SWG104463</t>
  </si>
  <si>
    <t>SWG104838</t>
  </si>
  <si>
    <t>SWG100530</t>
  </si>
  <si>
    <t>SWG101114</t>
  </si>
  <si>
    <t>SWG101316</t>
  </si>
  <si>
    <t>SWG101619</t>
  </si>
  <si>
    <t>SWG102327</t>
  </si>
  <si>
    <t>SWG103094</t>
  </si>
  <si>
    <t>SWG104572</t>
  </si>
  <si>
    <t>SWG100177</t>
  </si>
  <si>
    <t>SWG100280</t>
  </si>
  <si>
    <t>SWG100345</t>
  </si>
  <si>
    <t>SWG101828</t>
  </si>
  <si>
    <t>SWG102304</t>
  </si>
  <si>
    <t>SWG102463</t>
  </si>
  <si>
    <t>SWG102765</t>
  </si>
  <si>
    <t>SWG102942</t>
  </si>
  <si>
    <t>SWG103395</t>
  </si>
  <si>
    <t>SWG103531</t>
  </si>
  <si>
    <t>SWG104041</t>
  </si>
  <si>
    <t>SWG104052</t>
  </si>
  <si>
    <t>SWG104086</t>
  </si>
  <si>
    <t>SWG104109</t>
  </si>
  <si>
    <t>SWG104671</t>
  </si>
  <si>
    <t>SWG104941</t>
  </si>
  <si>
    <t>SWG100439</t>
  </si>
  <si>
    <t>SWG100653</t>
  </si>
  <si>
    <t>SWG101172</t>
  </si>
  <si>
    <t>SWG101349</t>
  </si>
  <si>
    <t>SWG101461</t>
  </si>
  <si>
    <t>SWG101787</t>
  </si>
  <si>
    <t>SWG101921</t>
  </si>
  <si>
    <t>SWG102129</t>
  </si>
  <si>
    <t>SWG102149</t>
  </si>
  <si>
    <t>SWG102407</t>
  </si>
  <si>
    <t>SWG102498</t>
  </si>
  <si>
    <t>SWG102753</t>
  </si>
  <si>
    <t>SWG102887</t>
  </si>
  <si>
    <t>SWG103085</t>
  </si>
  <si>
    <t>SWG103329</t>
  </si>
  <si>
    <t>SWG103484</t>
  </si>
  <si>
    <t>SWG104029</t>
  </si>
  <si>
    <t>SWG104631</t>
  </si>
  <si>
    <t>SWG100451</t>
  </si>
  <si>
    <t>SWG100769</t>
  </si>
  <si>
    <t>SWG100971</t>
  </si>
  <si>
    <t>SWG100982</t>
  </si>
  <si>
    <t>SWG101095</t>
  </si>
  <si>
    <t>SWG101207</t>
  </si>
  <si>
    <t>SWG101974</t>
  </si>
  <si>
    <t>SWG102198</t>
  </si>
  <si>
    <t>SWG102329</t>
  </si>
  <si>
    <t>SWG102659</t>
  </si>
  <si>
    <t>SWG102771</t>
  </si>
  <si>
    <t>SWG102796</t>
  </si>
  <si>
    <t>SWG103322</t>
  </si>
  <si>
    <t>SWG103374</t>
  </si>
  <si>
    <t>SWG103630</t>
  </si>
  <si>
    <t>SWG103784</t>
  </si>
  <si>
    <t>SWG104274</t>
  </si>
  <si>
    <t>SWG104542</t>
  </si>
  <si>
    <t>SWG104585</t>
  </si>
  <si>
    <t>SWG104645</t>
  </si>
  <si>
    <t>SWG104914</t>
  </si>
  <si>
    <t>SWG100721</t>
  </si>
  <si>
    <t>SWG100905</t>
  </si>
  <si>
    <t>SWG101295</t>
  </si>
  <si>
    <t>SWG101883</t>
  </si>
  <si>
    <t>SWG102011</t>
  </si>
  <si>
    <t>SWG102057</t>
  </si>
  <si>
    <t>SWG102234</t>
  </si>
  <si>
    <t>SWG102584</t>
  </si>
  <si>
    <t>SWG102619</t>
  </si>
  <si>
    <t>SWG102726</t>
  </si>
  <si>
    <t>SWG103668</t>
  </si>
  <si>
    <t>SWG103816</t>
  </si>
  <si>
    <t>SWG103869</t>
  </si>
  <si>
    <t>SWG104960</t>
  </si>
  <si>
    <t>SWG104969</t>
  </si>
  <si>
    <t>SWG100278</t>
  </si>
  <si>
    <t>SWG100432</t>
  </si>
  <si>
    <t>SWG101271</t>
  </si>
  <si>
    <t>SWG101310</t>
  </si>
  <si>
    <t>SWG101581</t>
  </si>
  <si>
    <t>SWG101703</t>
  </si>
  <si>
    <t>SWG101997</t>
  </si>
  <si>
    <t>SWG102517</t>
  </si>
  <si>
    <t>SWG102842</t>
  </si>
  <si>
    <t>SWG103133</t>
  </si>
  <si>
    <t>SWG103157</t>
  </si>
  <si>
    <t>SWG103627</t>
  </si>
  <si>
    <t>SWG103716</t>
  </si>
  <si>
    <t>SWG104638</t>
  </si>
  <si>
    <t>SWG104799</t>
  </si>
  <si>
    <t>SWG100176</t>
  </si>
  <si>
    <t>May</t>
  </si>
  <si>
    <t>SWG100862</t>
  </si>
  <si>
    <t>SWG101991</t>
  </si>
  <si>
    <t>SWG102206</t>
  </si>
  <si>
    <t>SWG102316</t>
  </si>
  <si>
    <t>SWG102335</t>
  </si>
  <si>
    <t>SWG102698</t>
  </si>
  <si>
    <t>SWG103131</t>
  </si>
  <si>
    <t>SWG103696</t>
  </si>
  <si>
    <t>SWG104491</t>
  </si>
  <si>
    <t>SWG100008</t>
  </si>
  <si>
    <t>SWG100445</t>
  </si>
  <si>
    <t>SWG100591</t>
  </si>
  <si>
    <t>SWG100611</t>
  </si>
  <si>
    <t>SWG100688</t>
  </si>
  <si>
    <t>SWG100839</t>
  </si>
  <si>
    <t>SWG101364</t>
  </si>
  <si>
    <t>SWG101836</t>
  </si>
  <si>
    <t>SWG101876</t>
  </si>
  <si>
    <t>SWG102616</t>
  </si>
  <si>
    <t>SWG103356</t>
  </si>
  <si>
    <t>SWG103418</t>
  </si>
  <si>
    <t>SWG103918</t>
  </si>
  <si>
    <t>SWG104570</t>
  </si>
  <si>
    <t>SWG104697</t>
  </si>
  <si>
    <t>SWG100224</t>
  </si>
  <si>
    <t>SWG101092</t>
  </si>
  <si>
    <t>SWG101590</t>
  </si>
  <si>
    <t>SWG101842</t>
  </si>
  <si>
    <t>SWG103610</t>
  </si>
  <si>
    <t>SWG104175</t>
  </si>
  <si>
    <t>SWG104459</t>
  </si>
  <si>
    <t>SWG104682</t>
  </si>
  <si>
    <t>SWG100235</t>
  </si>
  <si>
    <t>SWG100427</t>
  </si>
  <si>
    <t>SWG101602</t>
  </si>
  <si>
    <t>SWG102150</t>
  </si>
  <si>
    <t>SWG102459</t>
  </si>
  <si>
    <t>SWG102608</t>
  </si>
  <si>
    <t>SWG102782</t>
  </si>
  <si>
    <t>SWG103070</t>
  </si>
  <si>
    <t>SWG103130</t>
  </si>
  <si>
    <t>SWG103422</t>
  </si>
  <si>
    <t>SWG103864</t>
  </si>
  <si>
    <t>SWG104261</t>
  </si>
  <si>
    <t>SWG104324</t>
  </si>
  <si>
    <t>SWG104707</t>
  </si>
  <si>
    <t>SWG100399</t>
  </si>
  <si>
    <t>SWG101060</t>
  </si>
  <si>
    <t>SWG101931</t>
  </si>
  <si>
    <t>SWG102207</t>
  </si>
  <si>
    <t>SWG102253</t>
  </si>
  <si>
    <t>SWG102918</t>
  </si>
  <si>
    <t>SWG103154</t>
  </si>
  <si>
    <t>SWG103415</t>
  </si>
  <si>
    <t>SWG103419</t>
  </si>
  <si>
    <t>SWG103459</t>
  </si>
  <si>
    <t>SWG103969</t>
  </si>
  <si>
    <t>SWG104849</t>
  </si>
  <si>
    <t>SWG100213</t>
  </si>
  <si>
    <t>SWG100450</t>
  </si>
  <si>
    <t>SWG100638</t>
  </si>
  <si>
    <t>SWG100643</t>
  </si>
  <si>
    <t>SWG100818</t>
  </si>
  <si>
    <t>SWG100912</t>
  </si>
  <si>
    <t>SWG102027</t>
  </si>
  <si>
    <t>SWG102039</t>
  </si>
  <si>
    <t>SWG102626</t>
  </si>
  <si>
    <t>SWG102815</t>
  </si>
  <si>
    <t>SWG103389</t>
  </si>
  <si>
    <t>SWG103433</t>
  </si>
  <si>
    <t>SWG103555</t>
  </si>
  <si>
    <t>SWG103839</t>
  </si>
  <si>
    <t>SWG104193</t>
  </si>
  <si>
    <t>SWG104264</t>
  </si>
  <si>
    <t>SWG104568</t>
  </si>
  <si>
    <t>SWG104990</t>
  </si>
  <si>
    <t>SWG100365</t>
  </si>
  <si>
    <t>SWG100442</t>
  </si>
  <si>
    <t>SWG100882</t>
  </si>
  <si>
    <t>SWG101147</t>
  </si>
  <si>
    <t>SWG101865</t>
  </si>
  <si>
    <t>SWG102864</t>
  </si>
  <si>
    <t>SWG103158</t>
  </si>
  <si>
    <t>SWG103272</t>
  </si>
  <si>
    <t>SWG103302</t>
  </si>
  <si>
    <t>SWG103346</t>
  </si>
  <si>
    <t>SWG103588</t>
  </si>
  <si>
    <t>SWG103673</t>
  </si>
  <si>
    <t>SWG104393</t>
  </si>
  <si>
    <t>SWG104430</t>
  </si>
  <si>
    <t>SWG104583</t>
  </si>
  <si>
    <t>SWG100170</t>
  </si>
  <si>
    <t>SWG100248</t>
  </si>
  <si>
    <t>SWG100304</t>
  </si>
  <si>
    <t>SWG100351</t>
  </si>
  <si>
    <t>SWG101184</t>
  </si>
  <si>
    <t>SWG101313</t>
  </si>
  <si>
    <t>SWG101338</t>
  </si>
  <si>
    <t>SWG102414</t>
  </si>
  <si>
    <t>SWG102666</t>
  </si>
  <si>
    <t>SWG103014</t>
  </si>
  <si>
    <t>SWG103074</t>
  </si>
  <si>
    <t>SWG103586</t>
  </si>
  <si>
    <t>SWG104220</t>
  </si>
  <si>
    <t>SWG104292</t>
  </si>
  <si>
    <t>SWG104607</t>
  </si>
  <si>
    <t>SWG104939</t>
  </si>
  <si>
    <t>SWG100099</t>
  </si>
  <si>
    <t>SWG100252</t>
  </si>
  <si>
    <t>SWG100443</t>
  </si>
  <si>
    <t>SWG101409</t>
  </si>
  <si>
    <t>SWG102046</t>
  </si>
  <si>
    <t>SWG102103</t>
  </si>
  <si>
    <t>SWG102518</t>
  </si>
  <si>
    <t>SWG102674</t>
  </si>
  <si>
    <t>SWG102818</t>
  </si>
  <si>
    <t>SWG102988</t>
  </si>
  <si>
    <t>SWG103002</t>
  </si>
  <si>
    <t>SWG104022</t>
  </si>
  <si>
    <t>SWG104487</t>
  </si>
  <si>
    <t>SWG104506</t>
  </si>
  <si>
    <t>SWG104772</t>
  </si>
  <si>
    <t>SWG100207</t>
  </si>
  <si>
    <t>SWG100214</t>
  </si>
  <si>
    <t>SWG101009</t>
  </si>
  <si>
    <t>SWG101112</t>
  </si>
  <si>
    <t>SWG101367</t>
  </si>
  <si>
    <t>SWG101731</t>
  </si>
  <si>
    <t>SWG101958</t>
  </si>
  <si>
    <t>SWG102005</t>
  </si>
  <si>
    <t>SWG102280</t>
  </si>
  <si>
    <t>SWG102295</t>
  </si>
  <si>
    <t>SWG102387</t>
  </si>
  <si>
    <t>SWG102427</t>
  </si>
  <si>
    <t>SWG102434</t>
  </si>
  <si>
    <t>SWG102519</t>
  </si>
  <si>
    <t>SWG100015</t>
  </si>
  <si>
    <t>SWG100041</t>
  </si>
  <si>
    <t>SWG100126</t>
  </si>
  <si>
    <t>SWG100275</t>
  </si>
  <si>
    <t>SWG101241</t>
  </si>
  <si>
    <t>SWG101417</t>
  </si>
  <si>
    <t>SWG101479</t>
  </si>
  <si>
    <t>SWG101897</t>
  </si>
  <si>
    <t>SWG101933</t>
  </si>
  <si>
    <t>SWG102879</t>
  </si>
  <si>
    <t>SWG103018</t>
  </si>
  <si>
    <t>SWG103035</t>
  </si>
  <si>
    <t>SWG104918</t>
  </si>
  <si>
    <t>SWG100625</t>
  </si>
  <si>
    <t>SWG101048</t>
  </si>
  <si>
    <t>SWG101237</t>
  </si>
  <si>
    <t>SWG102095</t>
  </si>
  <si>
    <t>SWG102175</t>
  </si>
  <si>
    <t>SWG102708</t>
  </si>
  <si>
    <t>SWG102710</t>
  </si>
  <si>
    <t>SWG103201</t>
  </si>
  <si>
    <t>SWG103856</t>
  </si>
  <si>
    <t>SWG104081</t>
  </si>
  <si>
    <t>SWG104395</t>
  </si>
  <si>
    <t>SWG104694</t>
  </si>
  <si>
    <t>SWG100592</t>
  </si>
  <si>
    <t>SWG100744</t>
  </si>
  <si>
    <t>SWG100806</t>
  </si>
  <si>
    <t>SWG100849</t>
  </si>
  <si>
    <t>SWG100980</t>
  </si>
  <si>
    <t>SWG101144</t>
  </si>
  <si>
    <t>SWG101651</t>
  </si>
  <si>
    <t>SWG101983</t>
  </si>
  <si>
    <t>SWG102134</t>
  </si>
  <si>
    <t>SWG102473</t>
  </si>
  <si>
    <t>SWG102551</t>
  </si>
  <si>
    <t>SWG103023</t>
  </si>
  <si>
    <t>SWG103870</t>
  </si>
  <si>
    <t>SWG104080</t>
  </si>
  <si>
    <t>SWG104495</t>
  </si>
  <si>
    <t>SWG104890</t>
  </si>
  <si>
    <t>SWG100162</t>
  </si>
  <si>
    <t>SWG100654</t>
  </si>
  <si>
    <t>SWG100970</t>
  </si>
  <si>
    <t>SWG101073</t>
  </si>
  <si>
    <t>SWG101127</t>
  </si>
  <si>
    <t>SWG101355</t>
  </si>
  <si>
    <t>SWG101717</t>
  </si>
  <si>
    <t>SWG102378</t>
  </si>
  <si>
    <t>SWG103027</t>
  </si>
  <si>
    <t>SWG103096</t>
  </si>
  <si>
    <t>SWG103426</t>
  </si>
  <si>
    <t>SWG103831</t>
  </si>
  <si>
    <t>SWG104343</t>
  </si>
  <si>
    <t>SWG104560</t>
  </si>
  <si>
    <t>SWG100043</t>
  </si>
  <si>
    <t>SWG100110</t>
  </si>
  <si>
    <t>SWG100302</t>
  </si>
  <si>
    <t>SWG102630</t>
  </si>
  <si>
    <t>SWG103574</t>
  </si>
  <si>
    <t>SWG103844</t>
  </si>
  <si>
    <t>SWG104480</t>
  </si>
  <si>
    <t>SWG100100</t>
  </si>
  <si>
    <t>SWG100617</t>
  </si>
  <si>
    <t>SWG100692</t>
  </si>
  <si>
    <t>SWG101105</t>
  </si>
  <si>
    <t>SWG102062</t>
  </si>
  <si>
    <t>SWG102168</t>
  </si>
  <si>
    <t>SWG102273</t>
  </si>
  <si>
    <t>SWG102320</t>
  </si>
  <si>
    <t>SWG102573</t>
  </si>
  <si>
    <t>SWG102669</t>
  </si>
  <si>
    <t>SWG103225</t>
  </si>
  <si>
    <t>SWG103242</t>
  </si>
  <si>
    <t>SWG103584</t>
  </si>
  <si>
    <t>SWG104661</t>
  </si>
  <si>
    <t>SWG104711</t>
  </si>
  <si>
    <t>SWG100182</t>
  </si>
  <si>
    <t>SWG100956</t>
  </si>
  <si>
    <t>SWG101025</t>
  </si>
  <si>
    <t>SWG101169</t>
  </si>
  <si>
    <t>SWG101463</t>
  </si>
  <si>
    <t>SWG101592</t>
  </si>
  <si>
    <t>SWG102785</t>
  </si>
  <si>
    <t>SWG102998</t>
  </si>
  <si>
    <t>SWG103700</t>
  </si>
  <si>
    <t>SWG103754</t>
  </si>
  <si>
    <t>SWG103994</t>
  </si>
  <si>
    <t>SWG104374</t>
  </si>
  <si>
    <t>SWG104451</t>
  </si>
  <si>
    <t>SWG104536</t>
  </si>
  <si>
    <t>SWG104589</t>
  </si>
  <si>
    <t>SWG100808</t>
  </si>
  <si>
    <t>SWG101005</t>
  </si>
  <si>
    <t>SWG102241</t>
  </si>
  <si>
    <t>SWG102481</t>
  </si>
  <si>
    <t>SWG102567</t>
  </si>
  <si>
    <t>SWG102789</t>
  </si>
  <si>
    <t>SWG102925</t>
  </si>
  <si>
    <t>SWG103786</t>
  </si>
  <si>
    <t>SWG103800</t>
  </si>
  <si>
    <t>SWG104125</t>
  </si>
  <si>
    <t>SWG104377</t>
  </si>
  <si>
    <t>SWG104427</t>
  </si>
  <si>
    <t>SWG104571</t>
  </si>
  <si>
    <t>SWG104752</t>
  </si>
  <si>
    <t>SWG104850</t>
  </si>
  <si>
    <t>SWG100102</t>
  </si>
  <si>
    <t>SWG100997</t>
  </si>
  <si>
    <t>SWG102557</t>
  </si>
  <si>
    <t>SWG103057</t>
  </si>
  <si>
    <t>SWG103454</t>
  </si>
  <si>
    <t>SWG103462</t>
  </si>
  <si>
    <t>SWG103695</t>
  </si>
  <si>
    <t>SWG103957</t>
  </si>
  <si>
    <t>SWG104067</t>
  </si>
  <si>
    <t>SWG104167</t>
  </si>
  <si>
    <t>SWG104473</t>
  </si>
  <si>
    <t>SWG104652</t>
  </si>
  <si>
    <t>SWG104865</t>
  </si>
  <si>
    <t>SWG100266</t>
  </si>
  <si>
    <t>SWG100989</t>
  </si>
  <si>
    <t>SWG101529</t>
  </si>
  <si>
    <t>SWG102590</t>
  </si>
  <si>
    <t>SWG103490</t>
  </si>
  <si>
    <t>SWG103733</t>
  </si>
  <si>
    <t>SWG104268</t>
  </si>
  <si>
    <t>SWG104508</t>
  </si>
  <si>
    <t>SWG104820</t>
  </si>
  <si>
    <t>SWG100607</t>
  </si>
  <si>
    <t>SWG100640</t>
  </si>
  <si>
    <t>SWG101135</t>
  </si>
  <si>
    <t>SWG101216</t>
  </si>
  <si>
    <t>SWG101499</t>
  </si>
  <si>
    <t>SWG102158</t>
  </si>
  <si>
    <t>SWG102197</t>
  </si>
  <si>
    <t>SWG102406</t>
  </si>
  <si>
    <t>SWG102417</t>
  </si>
  <si>
    <t>SWG103237</t>
  </si>
  <si>
    <t>SWG103582</t>
  </si>
  <si>
    <t>SWG103705</t>
  </si>
  <si>
    <t>SWG103978</t>
  </si>
  <si>
    <t>SWG104013</t>
  </si>
  <si>
    <t>SWG104199</t>
  </si>
  <si>
    <t>SWG104285</t>
  </si>
  <si>
    <t>SWG104552</t>
  </si>
  <si>
    <t>SWG104597</t>
  </si>
  <si>
    <t>SWG100386</t>
  </si>
  <si>
    <t>SWG100993</t>
  </si>
  <si>
    <t>SWG101519</t>
  </si>
  <si>
    <t>SWG102073</t>
  </si>
  <si>
    <t>SWG102345</t>
  </si>
  <si>
    <t>SWG102872</t>
  </si>
  <si>
    <t>SWG103087</t>
  </si>
  <si>
    <t>SWG103103</t>
  </si>
  <si>
    <t>SWG103142</t>
  </si>
  <si>
    <t>SWG103231</t>
  </si>
  <si>
    <t>SWG104907</t>
  </si>
  <si>
    <t>SWG100147</t>
  </si>
  <si>
    <t>SWG100387</t>
  </si>
  <si>
    <t>SWG100676</t>
  </si>
  <si>
    <t>SWG101064</t>
  </si>
  <si>
    <t>SWG101447</t>
  </si>
  <si>
    <t>SWG101837</t>
  </si>
  <si>
    <t>SWG102108</t>
  </si>
  <si>
    <t>SWG102112</t>
  </si>
  <si>
    <t>SWG102238</t>
  </si>
  <si>
    <t>SWG102363</t>
  </si>
  <si>
    <t>SWG102869</t>
  </si>
  <si>
    <t>SWG102937</t>
  </si>
  <si>
    <t>SWG103080</t>
  </si>
  <si>
    <t>SWG103311</t>
  </si>
  <si>
    <t>SWG103874</t>
  </si>
  <si>
    <t>SWG104829</t>
  </si>
  <si>
    <t>SWG104901</t>
  </si>
  <si>
    <t>SWG100232</t>
  </si>
  <si>
    <t>SWG100259</t>
  </si>
  <si>
    <t>SWG100425</t>
  </si>
  <si>
    <t>SWG100464</t>
  </si>
  <si>
    <t>SWG100577</t>
  </si>
  <si>
    <t>SWG100583</t>
  </si>
  <si>
    <t>SWG100680</t>
  </si>
  <si>
    <t>SWG101225</t>
  </si>
  <si>
    <t>SWG102169</t>
  </si>
  <si>
    <t>SWG102322</t>
  </si>
  <si>
    <t>SWG102672</t>
  </si>
  <si>
    <t>SWG102917</t>
  </si>
  <si>
    <t>SWG103617</t>
  </si>
  <si>
    <t>SWG104633</t>
  </si>
  <si>
    <t>SWG104942</t>
  </si>
  <si>
    <t>SWG100431</t>
  </si>
  <si>
    <t>SWG100621</t>
  </si>
  <si>
    <t>SWG100702</t>
  </si>
  <si>
    <t>SWG100752</t>
  </si>
  <si>
    <t>SWG100915</t>
  </si>
  <si>
    <t>SWG101066</t>
  </si>
  <si>
    <t>SWG101575</t>
  </si>
  <si>
    <t>SWG101761</t>
  </si>
  <si>
    <t>SWG101961</t>
  </si>
  <si>
    <t>SWG102060</t>
  </si>
  <si>
    <t>SWG102319</t>
  </si>
  <si>
    <t>SWG103478</t>
  </si>
  <si>
    <t>SWG103614</t>
  </si>
  <si>
    <t>SWG104386</t>
  </si>
  <si>
    <t>SWG100598</t>
  </si>
  <si>
    <t>SWG100724</t>
  </si>
  <si>
    <t>SWG100923</t>
  </si>
  <si>
    <t>SWG101337</t>
  </si>
  <si>
    <t>SWG101522</t>
  </si>
  <si>
    <t>SWG102172</t>
  </si>
  <si>
    <t>SWG102225</t>
  </si>
  <si>
    <t>SWG102250</t>
  </si>
  <si>
    <t>SWG102421</t>
  </si>
  <si>
    <t>SWG102763</t>
  </si>
  <si>
    <t>SWG103299</t>
  </si>
  <si>
    <t>SWG103353</t>
  </si>
  <si>
    <t>SWG103743</t>
  </si>
  <si>
    <t>SWG104657</t>
  </si>
  <si>
    <t>SWG104762</t>
  </si>
  <si>
    <t>SWG100243</t>
  </si>
  <si>
    <t>SWG100272</t>
  </si>
  <si>
    <t>SWG100324</t>
  </si>
  <si>
    <t>SWG100430</t>
  </si>
  <si>
    <t>SWG100492</t>
  </si>
  <si>
    <t>SWG100670</t>
  </si>
  <si>
    <t>SWG101283</t>
  </si>
  <si>
    <t>SWG101631</t>
  </si>
  <si>
    <t>SWG101745</t>
  </si>
  <si>
    <t>SWG101877</t>
  </si>
  <si>
    <t>SWG102071</t>
  </si>
  <si>
    <t>SWG103108</t>
  </si>
  <si>
    <t>SWG103190</t>
  </si>
  <si>
    <t>SWG103270</t>
  </si>
  <si>
    <t>SWG103304</t>
  </si>
  <si>
    <t>SWG103481</t>
  </si>
  <si>
    <t>SWG103501</t>
  </si>
  <si>
    <t>SWG103537</t>
  </si>
  <si>
    <t>SWG103699</t>
  </si>
  <si>
    <t>SWG104090</t>
  </si>
  <si>
    <t>SWG104241</t>
  </si>
  <si>
    <t>SWG104584</t>
  </si>
  <si>
    <t>SWG104650</t>
  </si>
  <si>
    <t>SWG100240</t>
  </si>
  <si>
    <t>SWG100244</t>
  </si>
  <si>
    <t>SWG100645</t>
  </si>
  <si>
    <t>SWG101121</t>
  </si>
  <si>
    <t>SWG101206</t>
  </si>
  <si>
    <t>SWG101398</t>
  </si>
  <si>
    <t>SWG101548</t>
  </si>
  <si>
    <t>SWG101818</t>
  </si>
  <si>
    <t>SWG102552</t>
  </si>
  <si>
    <t>SWG102776</t>
  </si>
  <si>
    <t>SWG102868</t>
  </si>
  <si>
    <t>SWG103069</t>
  </si>
  <si>
    <t>SWG103385</t>
  </si>
  <si>
    <t>SWG103654</t>
  </si>
  <si>
    <t>SWG104246</t>
  </si>
  <si>
    <t>SWG104336</t>
  </si>
  <si>
    <t>SWG104934</t>
  </si>
  <si>
    <t>SWG100662</t>
  </si>
  <si>
    <t>SWG101167</t>
  </si>
  <si>
    <t>SWG101376</t>
  </si>
  <si>
    <t>SWG101439</t>
  </si>
  <si>
    <t>SWG102235</t>
  </si>
  <si>
    <t>SWG102284</t>
  </si>
  <si>
    <t>SWG102337</t>
  </si>
  <si>
    <t>SWG102441</t>
  </si>
  <si>
    <t>SWG102480</t>
  </si>
  <si>
    <t>SWG102588</t>
  </si>
  <si>
    <t>SWG102624</t>
  </si>
  <si>
    <t>SWG102625</t>
  </si>
  <si>
    <t>SWG103170</t>
  </si>
  <si>
    <t>SWG103492</t>
  </si>
  <si>
    <t>SWG103772</t>
  </si>
  <si>
    <t>SWG104069</t>
  </si>
  <si>
    <t>SWG104156</t>
  </si>
  <si>
    <t>SWG104873</t>
  </si>
  <si>
    <t>SWG100016</t>
  </si>
  <si>
    <t>SWG100400</t>
  </si>
  <si>
    <t>SWG100943</t>
  </si>
  <si>
    <t>SWG101198</t>
  </si>
  <si>
    <t>SWG101891</t>
  </si>
  <si>
    <t>SWG102236</t>
  </si>
  <si>
    <t>SWG102306</t>
  </si>
  <si>
    <t>SWG102637</t>
  </si>
  <si>
    <t>SWG103053</t>
  </si>
  <si>
    <t>SWG103118</t>
  </si>
  <si>
    <t>SWG104362</t>
  </si>
  <si>
    <t>SWG104472</t>
  </si>
  <si>
    <t>SWG104541</t>
  </si>
  <si>
    <t>SWG104564</t>
  </si>
  <si>
    <t>SWG104933</t>
  </si>
  <si>
    <t>SWG100254</t>
  </si>
  <si>
    <t>SWG100364</t>
  </si>
  <si>
    <t>SWG100548</t>
  </si>
  <si>
    <t>SWG100582</t>
  </si>
  <si>
    <t>SWG100824</t>
  </si>
  <si>
    <t>SWG101281</t>
  </si>
  <si>
    <t>SWG102038</t>
  </si>
  <si>
    <t>SWG102347</t>
  </si>
  <si>
    <t>SWG102429</t>
  </si>
  <si>
    <t>SWG102631</t>
  </si>
  <si>
    <t>SWG104248</t>
  </si>
  <si>
    <t>SWG104408</t>
  </si>
  <si>
    <t>SWG100014</t>
  </si>
  <si>
    <t>Jun</t>
  </si>
  <si>
    <t>SWG100189</t>
  </si>
  <si>
    <t>SWG100276</t>
  </si>
  <si>
    <t>SWG100504</t>
  </si>
  <si>
    <t>SWG100547</t>
  </si>
  <si>
    <t>SWG100954</t>
  </si>
  <si>
    <t>SWG101189</t>
  </si>
  <si>
    <t>SWG101390</t>
  </si>
  <si>
    <t>SWG101474</t>
  </si>
  <si>
    <t>SWG101915</t>
  </si>
  <si>
    <t>SWG102210</t>
  </si>
  <si>
    <t>SWG102218</t>
  </si>
  <si>
    <t>SWG102549</t>
  </si>
  <si>
    <t>SWG102748</t>
  </si>
  <si>
    <t>SWG102832</t>
  </si>
  <si>
    <t>SWG102893</t>
  </si>
  <si>
    <t>SWG103470</t>
  </si>
  <si>
    <t>SWG103560</t>
  </si>
  <si>
    <t>SWG104586</t>
  </si>
  <si>
    <t>SWG100289</t>
  </si>
  <si>
    <t>SWG100395</t>
  </si>
  <si>
    <t>SWG101065</t>
  </si>
  <si>
    <t>SWG101346</t>
  </si>
  <si>
    <t>SWG101524</t>
  </si>
  <si>
    <t>SWG101542</t>
  </si>
  <si>
    <t>SWG101776</t>
  </si>
  <si>
    <t>SWG102132</t>
  </si>
  <si>
    <t>SWG102605</t>
  </si>
  <si>
    <t>SWG103218</t>
  </si>
  <si>
    <t>SWG103289</t>
  </si>
  <si>
    <t>SWG103833</t>
  </si>
  <si>
    <t>SWG104174</t>
  </si>
  <si>
    <t>SWG104513</t>
  </si>
  <si>
    <t>SWG104519</t>
  </si>
  <si>
    <t>SWG104860</t>
  </si>
  <si>
    <t>SWG100463</t>
  </si>
  <si>
    <t>SWG100766</t>
  </si>
  <si>
    <t>SWG100890</t>
  </si>
  <si>
    <t>SWG101173</t>
  </si>
  <si>
    <t>SWG101199</t>
  </si>
  <si>
    <t>SWG101329</t>
  </si>
  <si>
    <t>SWG101404</t>
  </si>
  <si>
    <t>SWG101829</t>
  </si>
  <si>
    <t>SWG102131</t>
  </si>
  <si>
    <t>SWG102213</t>
  </si>
  <si>
    <t>SWG102359</t>
  </si>
  <si>
    <t>SWG102714</t>
  </si>
  <si>
    <t>SWG102871</t>
  </si>
  <si>
    <t>SWG102934</t>
  </si>
  <si>
    <t>SWG103022</t>
  </si>
  <si>
    <t>SWG103115</t>
  </si>
  <si>
    <t>SWG103407</t>
  </si>
  <si>
    <t>SWG103502</t>
  </si>
  <si>
    <t>SWG103681</t>
  </si>
  <si>
    <t>SWG103964</t>
  </si>
  <si>
    <t>SWG104050</t>
  </si>
  <si>
    <t>SWG104078</t>
  </si>
  <si>
    <t>SWG104329</t>
  </si>
  <si>
    <t>SWG104357</t>
  </si>
  <si>
    <t>SWG100366</t>
  </si>
  <si>
    <t>SWG100835</t>
  </si>
  <si>
    <t>SWG101648</t>
  </si>
  <si>
    <t>SWG101672</t>
  </si>
  <si>
    <t>SWG102468</t>
  </si>
  <si>
    <t>SWG103328</t>
  </si>
  <si>
    <t>SWG103408</t>
  </si>
  <si>
    <t>SWG104010</t>
  </si>
  <si>
    <t>SWG104020</t>
  </si>
  <si>
    <t>SWG104884</t>
  </si>
  <si>
    <t>SWG104948</t>
  </si>
  <si>
    <t>SWG100686</t>
  </si>
  <si>
    <t>SWG101200</t>
  </si>
  <si>
    <t>SWG102000</t>
  </si>
  <si>
    <t>SWG102166</t>
  </si>
  <si>
    <t>SWG102443</t>
  </si>
  <si>
    <t>SWG103039</t>
  </si>
  <si>
    <t>SWG103066</t>
  </si>
  <si>
    <t>SWG103363</t>
  </si>
  <si>
    <t>SWG103378</t>
  </si>
  <si>
    <t>SWG103694</t>
  </si>
  <si>
    <t>SWG103817</t>
  </si>
  <si>
    <t>SWG103944</t>
  </si>
  <si>
    <t>SWG103998</t>
  </si>
  <si>
    <t>SWG104636</t>
  </si>
  <si>
    <t>SWG104774</t>
  </si>
  <si>
    <t>SWG104919</t>
  </si>
  <si>
    <t>SWG100091</t>
  </si>
  <si>
    <t>SWG101079</t>
  </si>
  <si>
    <t>SWG101082</t>
  </si>
  <si>
    <t>SWG101104</t>
  </si>
  <si>
    <t>SWG101107</t>
  </si>
  <si>
    <t>SWG101728</t>
  </si>
  <si>
    <t>SWG102048</t>
  </si>
  <si>
    <t>SWG102164</t>
  </si>
  <si>
    <t>SWG103199</t>
  </si>
  <si>
    <t>SWG103387</t>
  </si>
  <si>
    <t>SWG103693</t>
  </si>
  <si>
    <t>SWG103859</t>
  </si>
  <si>
    <t>SWG104304</t>
  </si>
  <si>
    <t>SWG104332</t>
  </si>
  <si>
    <t>SWG100309</t>
  </si>
  <si>
    <t>SWG100332</t>
  </si>
  <si>
    <t>SWG100429</t>
  </si>
  <si>
    <t>SWG101221</t>
  </si>
  <si>
    <t>SWG101309</t>
  </si>
  <si>
    <t>SWG101520</t>
  </si>
  <si>
    <t>SWG101660</t>
  </si>
  <si>
    <t>SWG102171</t>
  </si>
  <si>
    <t>SWG102315</t>
  </si>
  <si>
    <t>SWG102375</t>
  </si>
  <si>
    <t>SWG102377</t>
  </si>
  <si>
    <t>SWG102740</t>
  </si>
  <si>
    <t>SWG103006</t>
  </si>
  <si>
    <t>SWG103163</t>
  </si>
  <si>
    <t>SWG103293</t>
  </si>
  <si>
    <t>SWG103637</t>
  </si>
  <si>
    <t>SWG101097</t>
  </si>
  <si>
    <t>SWG101473</t>
  </si>
  <si>
    <t>SWG101908</t>
  </si>
  <si>
    <t>SWG102091</t>
  </si>
  <si>
    <t>SWG102184</t>
  </si>
  <si>
    <t>SWG102742</t>
  </si>
  <si>
    <t>SWG103902</t>
  </si>
  <si>
    <t>SWG104706</t>
  </si>
  <si>
    <t>SWG100152</t>
  </si>
  <si>
    <t>SWG100191</t>
  </si>
  <si>
    <t>SWG100218</t>
  </si>
  <si>
    <t>SWG100268</t>
  </si>
  <si>
    <t>SWG100502</t>
  </si>
  <si>
    <t>SWG100658</t>
  </si>
  <si>
    <t>SWG100837</t>
  </si>
  <si>
    <t>SWG101578</t>
  </si>
  <si>
    <t>SWG101658</t>
  </si>
  <si>
    <t>SWG101813</t>
  </si>
  <si>
    <t>SWG102239</t>
  </si>
  <si>
    <t>SWG102283</t>
  </si>
  <si>
    <t>SWG102423</t>
  </si>
  <si>
    <t>SWG102491</t>
  </si>
  <si>
    <t>SWG102595</t>
  </si>
  <si>
    <t>SWG102865</t>
  </si>
  <si>
    <t>SWG103372</t>
  </si>
  <si>
    <t>SWG103655</t>
  </si>
  <si>
    <t>SWG103848</t>
  </si>
  <si>
    <t>SWG104023</t>
  </si>
  <si>
    <t>SWG104553</t>
  </si>
  <si>
    <t>SWG100023</t>
  </si>
  <si>
    <t>SWG100279</t>
  </si>
  <si>
    <t>SWG100297</t>
  </si>
  <si>
    <t>SWG100348</t>
  </si>
  <si>
    <t>SWG101001</t>
  </si>
  <si>
    <t>SWG101194</t>
  </si>
  <si>
    <t>SWG101280</t>
  </si>
  <si>
    <t>SWG101489</t>
  </si>
  <si>
    <t>SWG101819</t>
  </si>
  <si>
    <t>SWG102017</t>
  </si>
  <si>
    <t>SWG102083</t>
  </si>
  <si>
    <t>SWG102233</t>
  </si>
  <si>
    <t>SWG102341</t>
  </si>
  <si>
    <t>SWG102773</t>
  </si>
  <si>
    <t>SWG102885</t>
  </si>
  <si>
    <t>SWG103139</t>
  </si>
  <si>
    <t>SWG103301</t>
  </si>
  <si>
    <t>SWG103913</t>
  </si>
  <si>
    <t>SWG103936</t>
  </si>
  <si>
    <t>SWG104421</t>
  </si>
  <si>
    <t>SWG104787</t>
  </si>
  <si>
    <t>SWG100071</t>
  </si>
  <si>
    <t>SWG100768</t>
  </si>
  <si>
    <t>SWG101244</t>
  </si>
  <si>
    <t>SWG101749</t>
  </si>
  <si>
    <t>SWG102739</t>
  </si>
  <si>
    <t>SWG103008</t>
  </si>
  <si>
    <t>SWG103210</t>
  </si>
  <si>
    <t>SWG103441</t>
  </si>
  <si>
    <t>SWG103615</t>
  </si>
  <si>
    <t>SWG103701</t>
  </si>
  <si>
    <t>SWG103763</t>
  </si>
  <si>
    <t>SWG103830</t>
  </si>
  <si>
    <t>SWG104163</t>
  </si>
  <si>
    <t>SWG104227</t>
  </si>
  <si>
    <t>SWG104573</t>
  </si>
  <si>
    <t>SWG100104</t>
  </si>
  <si>
    <t>SWG100294</t>
  </si>
  <si>
    <t>SWG100506</t>
  </si>
  <si>
    <t>SWG100593</t>
  </si>
  <si>
    <t>SWG101682</t>
  </si>
  <si>
    <t>SWG101750</t>
  </si>
  <si>
    <t>SWG101965</t>
  </si>
  <si>
    <t>SWG102384</t>
  </si>
  <si>
    <t>SWG102839</t>
  </si>
  <si>
    <t>SWG103043</t>
  </si>
  <si>
    <t>SWG103527</t>
  </si>
  <si>
    <t>SWG103567</t>
  </si>
  <si>
    <t>SWG103801</t>
  </si>
  <si>
    <t>SWG104031</t>
  </si>
  <si>
    <t>SWG104795</t>
  </si>
  <si>
    <t>SWG104827</t>
  </si>
  <si>
    <t>SWG100539</t>
  </si>
  <si>
    <t>SWG100668</t>
  </si>
  <si>
    <t>SWG100690</t>
  </si>
  <si>
    <t>SWG101380</t>
  </si>
  <si>
    <t>SWG101711</t>
  </si>
  <si>
    <t>SWG101968</t>
  </si>
  <si>
    <t>SWG102226</t>
  </si>
  <si>
    <t>SWG102271</t>
  </si>
  <si>
    <t>SWG102397</t>
  </si>
  <si>
    <t>SWG102492</t>
  </si>
  <si>
    <t>SWG102589</t>
  </si>
  <si>
    <t>SWG102968</t>
  </si>
  <si>
    <t>SWG103135</t>
  </si>
  <si>
    <t>SWG103480</t>
  </si>
  <si>
    <t>SWG103590</t>
  </si>
  <si>
    <t>SWG104101</t>
  </si>
  <si>
    <t>SWG104375</t>
  </si>
  <si>
    <t>SWG104432</t>
  </si>
  <si>
    <t>SWG100184</t>
  </si>
  <si>
    <t>SWG100615</t>
  </si>
  <si>
    <t>SWG100749</t>
  </si>
  <si>
    <t>SWG101043</t>
  </si>
  <si>
    <t>SWG101273</t>
  </si>
  <si>
    <t>SWG101345</t>
  </si>
  <si>
    <t>SWG101995</t>
  </si>
  <si>
    <t>SWG102874</t>
  </si>
  <si>
    <t>SWG103439</t>
  </si>
  <si>
    <t>SWG103473</t>
  </si>
  <si>
    <t>SWG103794</t>
  </si>
  <si>
    <t>SWG104550</t>
  </si>
  <si>
    <t>SWG104790</t>
  </si>
  <si>
    <t>SWG100799</t>
  </si>
  <si>
    <t>SWG101235</t>
  </si>
  <si>
    <t>SWG101784</t>
  </si>
  <si>
    <t>SWG101799</t>
  </si>
  <si>
    <t>SWG101832</t>
  </si>
  <si>
    <t>SWG102372</t>
  </si>
  <si>
    <t>SWG103332</t>
  </si>
  <si>
    <t>SWG103756</t>
  </si>
  <si>
    <t>SWG104327</t>
  </si>
  <si>
    <t>SWG104385</t>
  </si>
  <si>
    <t>SWG104769</t>
  </si>
  <si>
    <t>SWG104837</t>
  </si>
  <si>
    <t>SWG104879</t>
  </si>
  <si>
    <t>SWG104917</t>
  </si>
  <si>
    <t>SWG100046</t>
  </si>
  <si>
    <t>SWG100632</t>
  </si>
  <si>
    <t>SWG102222</t>
  </si>
  <si>
    <t>SWG102254</t>
  </si>
  <si>
    <t>SWG102265</t>
  </si>
  <si>
    <t>SWG102919</t>
  </si>
  <si>
    <t>SWG102957</t>
  </si>
  <si>
    <t>SWG103376</t>
  </si>
  <si>
    <t>SWG104192</t>
  </si>
  <si>
    <t>SWG104283</t>
  </si>
  <si>
    <t>SWG104579</t>
  </si>
  <si>
    <t>SWG100513</t>
  </si>
  <si>
    <t>SWG100608</t>
  </si>
  <si>
    <t>SWG101008</t>
  </si>
  <si>
    <t>SWG101357</t>
  </si>
  <si>
    <t>SWG101633</t>
  </si>
  <si>
    <t>SWG102945</t>
  </si>
  <si>
    <t>SWG103276</t>
  </si>
  <si>
    <t>SWG104126</t>
  </si>
  <si>
    <t>SWG104233</t>
  </si>
  <si>
    <t>SWG104405</t>
  </si>
  <si>
    <t>SWG104462</t>
  </si>
  <si>
    <t>SWG100296</t>
  </si>
  <si>
    <t>SWG101639</t>
  </si>
  <si>
    <t>SWG102084</t>
  </si>
  <si>
    <t>SWG102582</t>
  </si>
  <si>
    <t>SWG102899</t>
  </si>
  <si>
    <t>SWG103559</t>
  </si>
  <si>
    <t>SWG103946</t>
  </si>
  <si>
    <t>SWG104117</t>
  </si>
  <si>
    <t>SWG104138</t>
  </si>
  <si>
    <t>SWG104197</t>
  </si>
  <si>
    <t>SWG104312</t>
  </si>
  <si>
    <t>SWG100031</t>
  </si>
  <si>
    <t>SWG100159</t>
  </si>
  <si>
    <t>SWG100373</t>
  </si>
  <si>
    <t>SWG100406</t>
  </si>
  <si>
    <t>SWG100609</t>
  </si>
  <si>
    <t>SWG100844</t>
  </si>
  <si>
    <t>SWG101494</t>
  </si>
  <si>
    <t>SWG101596</t>
  </si>
  <si>
    <t>SWG101645</t>
  </si>
  <si>
    <t>SWG102208</t>
  </si>
  <si>
    <t>SWG103421</t>
  </si>
  <si>
    <t>SWG103825</t>
  </si>
  <si>
    <t>SWG104002</t>
  </si>
  <si>
    <t>SWG104403</t>
  </si>
  <si>
    <t>SWG104738</t>
  </si>
  <si>
    <t>SWG104878</t>
  </si>
  <si>
    <t>SWG100148</t>
  </si>
  <si>
    <t>SWG101141</t>
  </si>
  <si>
    <t>SWG101481</t>
  </si>
  <si>
    <t>SWG101986</t>
  </si>
  <si>
    <t>SWG102653</t>
  </si>
  <si>
    <t>SWG103550</t>
  </si>
  <si>
    <t>SWG103809</t>
  </si>
  <si>
    <t>SWG104000</t>
  </si>
  <si>
    <t>SWG104625</t>
  </si>
  <si>
    <t>SWG104857</t>
  </si>
  <si>
    <t>SWG100120</t>
  </si>
  <si>
    <t>SWG100188</t>
  </si>
  <si>
    <t>SWG100216</t>
  </si>
  <si>
    <t>SWG100330</t>
  </si>
  <si>
    <t>SWG101006</t>
  </si>
  <si>
    <t>SWG101420</t>
  </si>
  <si>
    <t>SWG102193</t>
  </si>
  <si>
    <t>SWG102297</t>
  </si>
  <si>
    <t>SWG102612</t>
  </si>
  <si>
    <t>SWG103175</t>
  </si>
  <si>
    <t>SWG103364</t>
  </si>
  <si>
    <t>SWG100382</t>
  </si>
  <si>
    <t>SWG100639</t>
  </si>
  <si>
    <t>SWG100657</t>
  </si>
  <si>
    <t>SWG100659</t>
  </si>
  <si>
    <t>SWG100757</t>
  </si>
  <si>
    <t>SWG100978</t>
  </si>
  <si>
    <t>SWG101111</t>
  </si>
  <si>
    <t>SWG101362</t>
  </si>
  <si>
    <t>SWG101881</t>
  </si>
  <si>
    <t>SWG102194</t>
  </si>
  <si>
    <t>SWG102411</t>
  </si>
  <si>
    <t>SWG102490</t>
  </si>
  <si>
    <t>SWG102539</t>
  </si>
  <si>
    <t>SWG102757</t>
  </si>
  <si>
    <t>SWG103124</t>
  </si>
  <si>
    <t>SWG103488</t>
  </si>
  <si>
    <t>SWG103605</t>
  </si>
  <si>
    <t>SWG103761</t>
  </si>
  <si>
    <t>SWG104014</t>
  </si>
  <si>
    <t>SWG104040</t>
  </si>
  <si>
    <t>SWG104674</t>
  </si>
  <si>
    <t>SWG104773</t>
  </si>
  <si>
    <t>SWG100359</t>
  </si>
  <si>
    <t>SWG100606</t>
  </si>
  <si>
    <t>SWG101767</t>
  </si>
  <si>
    <t>SWG101835</t>
  </si>
  <si>
    <t>SWG102614</t>
  </si>
  <si>
    <t>SWG102825</t>
  </si>
  <si>
    <t>SWG103186</t>
  </si>
  <si>
    <t>SWG103291</t>
  </si>
  <si>
    <t>SWG103903</t>
  </si>
  <si>
    <t>SWG104435</t>
  </si>
  <si>
    <t>SWG100035</t>
  </si>
  <si>
    <t>SWG101230</t>
  </si>
  <si>
    <t>SWG101708</t>
  </si>
  <si>
    <t>SWG101732</t>
  </si>
  <si>
    <t>SWG101993</t>
  </si>
  <si>
    <t>SWG102053</t>
  </si>
  <si>
    <t>SWG102229</t>
  </si>
  <si>
    <t>SWG103296</t>
  </si>
  <si>
    <t>SWG103523</t>
  </si>
  <si>
    <t>SWG103717</t>
  </si>
  <si>
    <t>SWG103819</t>
  </si>
  <si>
    <t>SWG103827</t>
  </si>
  <si>
    <t>SWG103895</t>
  </si>
  <si>
    <t>SWG104210</t>
  </si>
  <si>
    <t>SWG104590</t>
  </si>
  <si>
    <t>SWG104595</t>
  </si>
  <si>
    <t>SWG100306</t>
  </si>
  <si>
    <t>SWG100371</t>
  </si>
  <si>
    <t>SWG101464</t>
  </si>
  <si>
    <t>SWG101606</t>
  </si>
  <si>
    <t>SWG101610</t>
  </si>
  <si>
    <t>SWG102086</t>
  </si>
  <si>
    <t>SWG102991</t>
  </si>
  <si>
    <t>SWG103052</t>
  </si>
  <si>
    <t>SWG103394</t>
  </si>
  <si>
    <t>SWG104384</t>
  </si>
  <si>
    <t>SWG104802</t>
  </si>
  <si>
    <t>SWG104817</t>
  </si>
  <si>
    <t>SWG100543</t>
  </si>
  <si>
    <t>SWG100567</t>
  </si>
  <si>
    <t>SWG100727</t>
  </si>
  <si>
    <t>SWG100736</t>
  </si>
  <si>
    <t>SWG101195</t>
  </si>
  <si>
    <t>SWG101205</t>
  </si>
  <si>
    <t>SWG101517</t>
  </si>
  <si>
    <t>SWG101566</t>
  </si>
  <si>
    <t>SWG101917</t>
  </si>
  <si>
    <t>SWG102901</t>
  </si>
  <si>
    <t>SWG103236</t>
  </si>
  <si>
    <t>SWG103295</t>
  </si>
  <si>
    <t>SWG103707</t>
  </si>
  <si>
    <t>SWG104315</t>
  </si>
  <si>
    <t>SWG104528</t>
  </si>
  <si>
    <t>SWG100505</t>
  </si>
  <si>
    <t>SWG100695</t>
  </si>
  <si>
    <t>SWG101002</t>
  </si>
  <si>
    <t>SWG101248</t>
  </si>
  <si>
    <t>SWG101572</t>
  </si>
  <si>
    <t>SWG101852</t>
  </si>
  <si>
    <t>SWG102035</t>
  </si>
  <si>
    <t>SWG102436</t>
  </si>
  <si>
    <t>SWG102461</t>
  </si>
  <si>
    <t>SWG102861</t>
  </si>
  <si>
    <t>SWG102886</t>
  </si>
  <si>
    <t>SWG102960</t>
  </si>
  <si>
    <t>SWG103657</t>
  </si>
  <si>
    <t>SWG104390</t>
  </si>
  <si>
    <t>SWG104759</t>
  </si>
  <si>
    <t>SWG104801</t>
  </si>
  <si>
    <t>SWG100137</t>
  </si>
  <si>
    <t>SWG100508</t>
  </si>
  <si>
    <t>SWG101059</t>
  </si>
  <si>
    <t>SWG101075</t>
  </si>
  <si>
    <t>SWG101187</t>
  </si>
  <si>
    <t>SWG101808</t>
  </si>
  <si>
    <t>SWG102018</t>
  </si>
  <si>
    <t>SWG103200</t>
  </si>
  <si>
    <t>SWG103519</t>
  </si>
  <si>
    <t>SWG103711</t>
  </si>
  <si>
    <t>SWG104132</t>
  </si>
  <si>
    <t>SWG104258</t>
  </si>
  <si>
    <t>SWG104441</t>
  </si>
  <si>
    <t>SWG104954</t>
  </si>
  <si>
    <t>SWG100194</t>
  </si>
  <si>
    <t>SWG100405</t>
  </si>
  <si>
    <t>SWG100489</t>
  </si>
  <si>
    <t>SWG100879</t>
  </si>
  <si>
    <t>SWG100935</t>
  </si>
  <si>
    <t>SWG101191</t>
  </si>
  <si>
    <t>SWG102357</t>
  </si>
  <si>
    <t>SWG103044</t>
  </si>
  <si>
    <t>SWG100341</t>
  </si>
  <si>
    <t>SWG100587</t>
  </si>
  <si>
    <t>SWG101372</t>
  </si>
  <si>
    <t>SWG101644</t>
  </si>
  <si>
    <t>SWG101771</t>
  </si>
  <si>
    <t>SWG102022</t>
  </si>
  <si>
    <t>SWG102488</t>
  </si>
  <si>
    <t>SWG102594</t>
  </si>
  <si>
    <t>SWG103824</t>
  </si>
  <si>
    <t>SWG103889</t>
  </si>
  <si>
    <t>SWG104043</t>
  </si>
  <si>
    <t>SWG104107</t>
  </si>
  <si>
    <t>SWG104115</t>
  </si>
  <si>
    <t>SWG104653</t>
  </si>
  <si>
    <t>SWG104949</t>
  </si>
  <si>
    <t>SWG100631</t>
  </si>
  <si>
    <t>Jul</t>
  </si>
  <si>
    <t>SWG101162</t>
  </si>
  <si>
    <t>SWG101188</t>
  </si>
  <si>
    <t>SWG101274</t>
  </si>
  <si>
    <t>SWG102824</t>
  </si>
  <si>
    <t>SWG102844</t>
  </si>
  <si>
    <t>SWG103806</t>
  </si>
  <si>
    <t>SWG104287</t>
  </si>
  <si>
    <t>SWG104449</t>
  </si>
  <si>
    <t>SWG104688</t>
  </si>
  <si>
    <t>SWG104814</t>
  </si>
  <si>
    <t>SWG104886</t>
  </si>
  <si>
    <t>SWG104894</t>
  </si>
  <si>
    <t>SWG100553</t>
  </si>
  <si>
    <t>SWG100825</t>
  </si>
  <si>
    <t>SWG101482</t>
  </si>
  <si>
    <t>SWG101885</t>
  </si>
  <si>
    <t>SWG102474</t>
  </si>
  <si>
    <t>SWG102497</t>
  </si>
  <si>
    <t>SWG102604</t>
  </si>
  <si>
    <t>SWG102760</t>
  </si>
  <si>
    <t>SWG102762</t>
  </si>
  <si>
    <t>SWG103160</t>
  </si>
  <si>
    <t>SWG103265</t>
  </si>
  <si>
    <t>SWG103509</t>
  </si>
  <si>
    <t>SWG103647</t>
  </si>
  <si>
    <t>SWG104212</t>
  </si>
  <si>
    <t>SWG104840</t>
  </si>
  <si>
    <t>SWG104867</t>
  </si>
  <si>
    <t>SWG100223</t>
  </si>
  <si>
    <t>SWG100809</t>
  </si>
  <si>
    <t>SWG100830</t>
  </si>
  <si>
    <t>SWG101102</t>
  </si>
  <si>
    <t>SWG102034</t>
  </si>
  <si>
    <t>SWG102656</t>
  </si>
  <si>
    <t>SWG102853</t>
  </si>
  <si>
    <t>SWG103495</t>
  </si>
  <si>
    <t>SWG103562</t>
  </si>
  <si>
    <t>SWG103622</t>
  </si>
  <si>
    <t>SWG103952</t>
  </si>
  <si>
    <t>SWG104920</t>
  </si>
  <si>
    <t>SWG100466</t>
  </si>
  <si>
    <t>SWG101509</t>
  </si>
  <si>
    <t>SWG102031</t>
  </si>
  <si>
    <t>SWG104148</t>
  </si>
  <si>
    <t>SWG104475</t>
  </si>
  <si>
    <t>SWG104666</t>
  </si>
  <si>
    <t>SWG100396</t>
  </si>
  <si>
    <t>SWG100589</t>
  </si>
  <si>
    <t>SWG100693</t>
  </si>
  <si>
    <t>SWG101620</t>
  </si>
  <si>
    <t>SWG101929</t>
  </si>
  <si>
    <t>SWG102671</t>
  </si>
  <si>
    <t>SWG102707</t>
  </si>
  <si>
    <t>SWG102735</t>
  </si>
  <si>
    <t>SWG103712</t>
  </si>
  <si>
    <t>SWG103822</t>
  </si>
  <si>
    <t>SWG104474</t>
  </si>
  <si>
    <t>SWG100154</t>
  </si>
  <si>
    <t>SWG100204</t>
  </si>
  <si>
    <t>SWG100236</t>
  </si>
  <si>
    <t>SWG100565</t>
  </si>
  <si>
    <t>SWG100892</t>
  </si>
  <si>
    <t>SWG101382</t>
  </si>
  <si>
    <t>SWG101530</t>
  </si>
  <si>
    <t>SWG103826</t>
  </si>
  <si>
    <t>SWG103954</t>
  </si>
  <si>
    <t>SWG103986</t>
  </si>
  <si>
    <t>SWG104454</t>
  </si>
  <si>
    <t>SWG104805</t>
  </si>
  <si>
    <t>SWG104833</t>
  </si>
  <si>
    <t>SWG100032</t>
  </si>
  <si>
    <t>SWG100089</t>
  </si>
  <si>
    <t>SWG100344</t>
  </si>
  <si>
    <t>SWG101287</t>
  </si>
  <si>
    <t>SWG101476</t>
  </si>
  <si>
    <t>SWG101649</t>
  </si>
  <si>
    <t>SWG101679</t>
  </si>
  <si>
    <t>SWG101867</t>
  </si>
  <si>
    <t>SWG102257</t>
  </si>
  <si>
    <t>SWG102493</t>
  </si>
  <si>
    <t>SWG102722</t>
  </si>
  <si>
    <t>SWG102743</t>
  </si>
  <si>
    <t>SWG102828</t>
  </si>
  <si>
    <t>SWG103358</t>
  </si>
  <si>
    <t>SWG103585</t>
  </si>
  <si>
    <t>SWG103604</t>
  </si>
  <si>
    <t>SWG103619</t>
  </si>
  <si>
    <t>SWG103811</t>
  </si>
  <si>
    <t>SWG103899</t>
  </si>
  <si>
    <t>SWG104074</t>
  </si>
  <si>
    <t>SWG104120</t>
  </si>
  <si>
    <t>SWG104460</t>
  </si>
  <si>
    <t>SWG100005</t>
  </si>
  <si>
    <t>SWG100456</t>
  </si>
  <si>
    <t>SWG101210</t>
  </si>
  <si>
    <t>SWG102654</t>
  </si>
  <si>
    <t>SWG103025</t>
  </si>
  <si>
    <t>SWG103238</t>
  </si>
  <si>
    <t>SWG103543</t>
  </si>
  <si>
    <t>SWG104100</t>
  </si>
  <si>
    <t>SWG104228</t>
  </si>
  <si>
    <t>SWG104883</t>
  </si>
  <si>
    <t>SWG100034</t>
  </si>
  <si>
    <t>SWG100079</t>
  </si>
  <si>
    <t>SWG100173</t>
  </si>
  <si>
    <t>SWG100398</t>
  </si>
  <si>
    <t>SWG100549</t>
  </si>
  <si>
    <t>SWG100650</t>
  </si>
  <si>
    <t>SWG101363</t>
  </si>
  <si>
    <t>SWG102358</t>
  </si>
  <si>
    <t>SWG102444</t>
  </si>
  <si>
    <t>SWG102585</t>
  </si>
  <si>
    <t>SWG103042</t>
  </si>
  <si>
    <t>SWG103106</t>
  </si>
  <si>
    <t>SWG103241</t>
  </si>
  <si>
    <t>SWG104143</t>
  </si>
  <si>
    <t>SWG100068</t>
  </si>
  <si>
    <t>SWG100346</t>
  </si>
  <si>
    <t>SWG100651</t>
  </si>
  <si>
    <t>SWG101647</t>
  </si>
  <si>
    <t>SWG102464</t>
  </si>
  <si>
    <t>SWG102494</t>
  </si>
  <si>
    <t>SWG102658</t>
  </si>
  <si>
    <t>SWG103075</t>
  </si>
  <si>
    <t>SWG103081</t>
  </si>
  <si>
    <t>SWG103593</t>
  </si>
  <si>
    <t>SWG103662</t>
  </si>
  <si>
    <t>SWG104180</t>
  </si>
  <si>
    <t>SWG104870</t>
  </si>
  <si>
    <t>SWG100021</t>
  </si>
  <si>
    <t>SWG100327</t>
  </si>
  <si>
    <t>SWG100457</t>
  </si>
  <si>
    <t>SWG100541</t>
  </si>
  <si>
    <t>SWG100701</t>
  </si>
  <si>
    <t>SWG100787</t>
  </si>
  <si>
    <t>SWG100904</t>
  </si>
  <si>
    <t>SWG101698</t>
  </si>
  <si>
    <t>SWG101707</t>
  </si>
  <si>
    <t>SWG102080</t>
  </si>
  <si>
    <t>SWG102515</t>
  </si>
  <si>
    <t>SWG102755</t>
  </si>
  <si>
    <t>SWG102809</t>
  </si>
  <si>
    <t>SWG102927</t>
  </si>
  <si>
    <t>SWG103249</t>
  </si>
  <si>
    <t>SWG103268</t>
  </si>
  <si>
    <t>SWG103516</t>
  </si>
  <si>
    <t>SWG104213</t>
  </si>
  <si>
    <t>SWG104722</t>
  </si>
  <si>
    <t>SWG104998</t>
  </si>
  <si>
    <t>SWG101370</t>
  </si>
  <si>
    <t>SWG101525</t>
  </si>
  <si>
    <t>SWG101701</t>
  </si>
  <si>
    <t>SWG102055</t>
  </si>
  <si>
    <t>SWG103383</t>
  </si>
  <si>
    <t>SWG104059</t>
  </si>
  <si>
    <t>SWG104235</t>
  </si>
  <si>
    <t>SWG104621</t>
  </si>
  <si>
    <t>SWG104900</t>
  </si>
  <si>
    <t>SWG100292</t>
  </si>
  <si>
    <t>SWG100612</t>
  </si>
  <si>
    <t>SWG100974</t>
  </si>
  <si>
    <t>SWG101231</t>
  </si>
  <si>
    <t>SWG101831</t>
  </si>
  <si>
    <t>SWG103209</t>
  </si>
  <si>
    <t>SWG103558</t>
  </si>
  <si>
    <t>SWG103592</t>
  </si>
  <si>
    <t>SWG104186</t>
  </si>
  <si>
    <t>SWG104659</t>
  </si>
  <si>
    <t>SWG100303</t>
  </si>
  <si>
    <t>SWG100832</t>
  </si>
  <si>
    <t>SWG100834</t>
  </si>
  <si>
    <t>SWG101294</t>
  </si>
  <si>
    <t>SWG101593</t>
  </si>
  <si>
    <t>SWG101736</t>
  </si>
  <si>
    <t>SWG101973</t>
  </si>
  <si>
    <t>SWG103362</t>
  </si>
  <si>
    <t>SWG103858</t>
  </si>
  <si>
    <t>SWG104096</t>
  </si>
  <si>
    <t>SWG104593</t>
  </si>
  <si>
    <t>SWG104768</t>
  </si>
  <si>
    <t>SWG100417</t>
  </si>
  <si>
    <t>SWG100532</t>
  </si>
  <si>
    <t>SWG101087</t>
  </si>
  <si>
    <t>SWG101693</t>
  </si>
  <si>
    <t>SWG102276</t>
  </si>
  <si>
    <t>SWG102360</t>
  </si>
  <si>
    <t>SWG102500</t>
  </si>
  <si>
    <t>SWG102860</t>
  </si>
  <si>
    <t>SWG102888</t>
  </si>
  <si>
    <t>SWG103020</t>
  </si>
  <si>
    <t>SWG103149</t>
  </si>
  <si>
    <t>SWG103380</t>
  </si>
  <si>
    <t>SWG103427</t>
  </si>
  <si>
    <t>SWG104507</t>
  </si>
  <si>
    <t>SWG100712</t>
  </si>
  <si>
    <t>SWG100742</t>
  </si>
  <si>
    <t>SWG101291</t>
  </si>
  <si>
    <t>SWG102961</t>
  </si>
  <si>
    <t>SWG104065</t>
  </si>
  <si>
    <t>SWG104281</t>
  </si>
  <si>
    <t>SWG104847</t>
  </si>
  <si>
    <t>SWG104869</t>
  </si>
  <si>
    <t>SWG100181</t>
  </si>
  <si>
    <t>SWG100219</t>
  </si>
  <si>
    <t>SWG100230</t>
  </si>
  <si>
    <t>SWG100945</t>
  </si>
  <si>
    <t>SWG101072</t>
  </si>
  <si>
    <t>SWG101192</t>
  </si>
  <si>
    <t>SWG101442</t>
  </si>
  <si>
    <t>SWG101533</t>
  </si>
  <si>
    <t>SWG102013</t>
  </si>
  <si>
    <t>SWG102774</t>
  </si>
  <si>
    <t>SWG102779</t>
  </si>
  <si>
    <t>SWG102797</t>
  </si>
  <si>
    <t>SWG102904</t>
  </si>
  <si>
    <t>SWG103708</t>
  </si>
  <si>
    <t>SWG104190</t>
  </si>
  <si>
    <t>SWG100246</t>
  </si>
  <si>
    <t>SWG101455</t>
  </si>
  <si>
    <t>SWG101543</t>
  </si>
  <si>
    <t>SWG101769</t>
  </si>
  <si>
    <t>SWG102111</t>
  </si>
  <si>
    <t>SWG102870</t>
  </si>
  <si>
    <t>SWG103882</t>
  </si>
  <si>
    <t>SWG104075</t>
  </si>
  <si>
    <t>SWG104647</t>
  </si>
  <si>
    <t>SWG101128</t>
  </si>
  <si>
    <t>SWG101443</t>
  </si>
  <si>
    <t>SWG102287</t>
  </si>
  <si>
    <t>SWG102535</t>
  </si>
  <si>
    <t>SWG102545</t>
  </si>
  <si>
    <t>SWG100111</t>
  </si>
  <si>
    <t>SWG100234</t>
  </si>
  <si>
    <t>SWG100703</t>
  </si>
  <si>
    <t>SWG101324</t>
  </si>
  <si>
    <t>SWG101403</t>
  </si>
  <si>
    <t>SWG101406</t>
  </si>
  <si>
    <t>SWG103068</t>
  </si>
  <si>
    <t>SWG103122</t>
  </si>
  <si>
    <t>SWG103176</t>
  </si>
  <si>
    <t>SWG103323</t>
  </si>
  <si>
    <t>SWG103429</t>
  </si>
  <si>
    <t>SWG103587</t>
  </si>
  <si>
    <t>SWG103729</t>
  </si>
  <si>
    <t>SWG104574</t>
  </si>
  <si>
    <t>SWG104712</t>
  </si>
  <si>
    <t>SWG100072</t>
  </si>
  <si>
    <t>SWG100634</t>
  </si>
  <si>
    <t>SWG100750</t>
  </si>
  <si>
    <t>SWG100907</t>
  </si>
  <si>
    <t>SWG101170</t>
  </si>
  <si>
    <t>SWG101308</t>
  </si>
  <si>
    <t>SWG101820</t>
  </si>
  <si>
    <t>SWG101898</t>
  </si>
  <si>
    <t>SWG102223</t>
  </si>
  <si>
    <t>SWG102719</t>
  </si>
  <si>
    <t>SWG103316</t>
  </si>
  <si>
    <t>SWG103388</t>
  </si>
  <si>
    <t>SWG103926</t>
  </si>
  <si>
    <t>SWG104161</t>
  </si>
  <si>
    <t>SWG104299</t>
  </si>
  <si>
    <t>SWG104305</t>
  </si>
  <si>
    <t>SWG104496</t>
  </si>
  <si>
    <t>SWG100222</t>
  </si>
  <si>
    <t>SWG100665</t>
  </si>
  <si>
    <t>SWG100976</t>
  </si>
  <si>
    <t>SWG102153</t>
  </si>
  <si>
    <t>SWG102530</t>
  </si>
  <si>
    <t>SWG102634</t>
  </si>
  <si>
    <t>SWG102867</t>
  </si>
  <si>
    <t>SWG103143</t>
  </si>
  <si>
    <t>SWG103515</t>
  </si>
  <si>
    <t>SWG104056</t>
  </si>
  <si>
    <t>SWG104417</t>
  </si>
  <si>
    <t>SWG104881</t>
  </si>
  <si>
    <t>SWG100473</t>
  </si>
  <si>
    <t>SWG101710</t>
  </si>
  <si>
    <t>SWG101849</t>
  </si>
  <si>
    <t>SWG101994</t>
  </si>
  <si>
    <t>SWG103396</t>
  </si>
  <si>
    <t>SWG103557</t>
  </si>
  <si>
    <t>SWG103676</t>
  </si>
  <si>
    <t>SWG104242</t>
  </si>
  <si>
    <t>SWG104316</t>
  </si>
  <si>
    <t>SWG104664</t>
  </si>
  <si>
    <t>SWG104751</t>
  </si>
  <si>
    <t>SWG104786</t>
  </si>
  <si>
    <t>SWG100758</t>
  </si>
  <si>
    <t>SWG100817</t>
  </si>
  <si>
    <t>SWG101791</t>
  </si>
  <si>
    <t>SWG102847</t>
  </si>
  <si>
    <t>SWG103664</t>
  </si>
  <si>
    <t>SWG103862</t>
  </si>
  <si>
    <t>SWG104476</t>
  </si>
  <si>
    <t>SWG104601</t>
  </si>
  <si>
    <t>SWG100059</t>
  </si>
  <si>
    <t>SWG100573</t>
  </si>
  <si>
    <t>SWG101665</t>
  </si>
  <si>
    <t>SWG101778</t>
  </si>
  <si>
    <t>SWG102019</t>
  </si>
  <si>
    <t>SWG102388</t>
  </si>
  <si>
    <t>SWG103126</t>
  </si>
  <si>
    <t>SWG104037</t>
  </si>
  <si>
    <t>SWG104147</t>
  </si>
  <si>
    <t>SWG104254</t>
  </si>
  <si>
    <t>SWG104578</t>
  </si>
  <si>
    <t>SWG104648</t>
  </si>
  <si>
    <t>SWG104689</t>
  </si>
  <si>
    <t>SWG100133</t>
  </si>
  <si>
    <t>SWG100781</t>
  </si>
  <si>
    <t>SWG100880</t>
  </si>
  <si>
    <t>SWG101902</t>
  </si>
  <si>
    <t>SWG102001</t>
  </si>
  <si>
    <t>SWG103092</t>
  </si>
  <si>
    <t>SWG104344</t>
  </si>
  <si>
    <t>SWG104486</t>
  </si>
  <si>
    <t>SWG104629</t>
  </si>
  <si>
    <t>SWG104709</t>
  </si>
  <si>
    <t>SWG104754</t>
  </si>
  <si>
    <t>SWG104780</t>
  </si>
  <si>
    <t>SWG104841</t>
  </si>
  <si>
    <t>SWG104911</t>
  </si>
  <si>
    <t>SWG104963</t>
  </si>
  <si>
    <t>SWG100082</t>
  </si>
  <si>
    <t>SWG100274</t>
  </si>
  <si>
    <t>SWG100295</t>
  </si>
  <si>
    <t>SWG101757</t>
  </si>
  <si>
    <t>SWG101861</t>
  </si>
  <si>
    <t>SWG102211</t>
  </si>
  <si>
    <t>SWG102313</t>
  </si>
  <si>
    <t>SWG103545</t>
  </si>
  <si>
    <t>SWG103842</t>
  </si>
  <si>
    <t>SWG104322</t>
  </si>
  <si>
    <t>SWG104846</t>
  </si>
  <si>
    <t>SWG101315</t>
  </si>
  <si>
    <t>SWG101317</t>
  </si>
  <si>
    <t>SWG101792</t>
  </si>
  <si>
    <t>SWG102300</t>
  </si>
  <si>
    <t>SWG102696</t>
  </si>
  <si>
    <t>SWG103686</t>
  </si>
  <si>
    <t>SWG103937</t>
  </si>
  <si>
    <t>SWG104442</t>
  </si>
  <si>
    <t>SWG104567</t>
  </si>
  <si>
    <t>SWG104719</t>
  </si>
  <si>
    <t>SWG104905</t>
  </si>
  <si>
    <t>SWG104938</t>
  </si>
  <si>
    <t>SWG101137</t>
  </si>
  <si>
    <t>SWG101181</t>
  </si>
  <si>
    <t>SWG101488</t>
  </si>
  <si>
    <t>SWG101704</t>
  </si>
  <si>
    <t>SWG102975</t>
  </si>
  <si>
    <t>SWG103093</t>
  </si>
  <si>
    <t>SWG103219</t>
  </si>
  <si>
    <t>SWG103320</t>
  </si>
  <si>
    <t>SWG103749</t>
  </si>
  <si>
    <t>SWG103924</t>
  </si>
  <si>
    <t>SWG104259</t>
  </si>
  <si>
    <t>SWG104887</t>
  </si>
  <si>
    <t>SWG101218</t>
  </si>
  <si>
    <t>SWG101890</t>
  </si>
  <si>
    <t>SWG102558</t>
  </si>
  <si>
    <t>SWG102705</t>
  </si>
  <si>
    <t>SWG102747</t>
  </si>
  <si>
    <t>SWG103028</t>
  </si>
  <si>
    <t>SWG103732</t>
  </si>
  <si>
    <t>SWG104721</t>
  </si>
  <si>
    <t>SWG104863</t>
  </si>
  <si>
    <t>SWG100704</t>
  </si>
  <si>
    <t>SWG100917</t>
  </si>
  <si>
    <t>SWG100985</t>
  </si>
  <si>
    <t>SWG103062</t>
  </si>
  <si>
    <t>SWG104130</t>
  </si>
  <si>
    <t>SWG104404</t>
  </si>
  <si>
    <t>SWG104955</t>
  </si>
  <si>
    <t>SWG100081</t>
  </si>
  <si>
    <t>Aug</t>
  </si>
  <si>
    <t>SWG100664</t>
  </si>
  <si>
    <t>SWG101042</t>
  </si>
  <si>
    <t>SWG101907</t>
  </si>
  <si>
    <t>SWG102107</t>
  </si>
  <si>
    <t>SWG102485</t>
  </si>
  <si>
    <t>SWG102487</t>
  </si>
  <si>
    <t>SWG102611</t>
  </si>
  <si>
    <t>SWG102646</t>
  </si>
  <si>
    <t>SWG102834</t>
  </si>
  <si>
    <t>SWG102939</t>
  </si>
  <si>
    <t>SWG103032</t>
  </si>
  <si>
    <t>SWG103343</t>
  </si>
  <si>
    <t>SWG103719</t>
  </si>
  <si>
    <t>SWG104154</t>
  </si>
  <si>
    <t>SWG104534</t>
  </si>
  <si>
    <t>SWG100122</t>
  </si>
  <si>
    <t>SWG100863</t>
  </si>
  <si>
    <t>SWG100884</t>
  </si>
  <si>
    <t>SWG101155</t>
  </si>
  <si>
    <t>SWG101786</t>
  </si>
  <si>
    <t>SWG101807</t>
  </si>
  <si>
    <t>SWG102200</t>
  </si>
  <si>
    <t>SWG102534</t>
  </si>
  <si>
    <t>SWG102936</t>
  </si>
  <si>
    <t>SWG102941</t>
  </si>
  <si>
    <t>SWG103217</t>
  </si>
  <si>
    <t>SWG103468</t>
  </si>
  <si>
    <t>SWG103549</t>
  </si>
  <si>
    <t>SWG103644</t>
  </si>
  <si>
    <t>SWG103684</t>
  </si>
  <si>
    <t>SWG103854</t>
  </si>
  <si>
    <t>SWG104169</t>
  </si>
  <si>
    <t>SWG104280</t>
  </si>
  <si>
    <t>SWG104478</t>
  </si>
  <si>
    <t>SWG104547</t>
  </si>
  <si>
    <t>SWG104903</t>
  </si>
  <si>
    <t>SWG100009</t>
  </si>
  <si>
    <t>SWG100077</t>
  </si>
  <si>
    <t>SWG100392</t>
  </si>
  <si>
    <t>SWG100524</t>
  </si>
  <si>
    <t>SWG100594</t>
  </si>
  <si>
    <t>SWG101217</t>
  </si>
  <si>
    <t>SWG101312</t>
  </si>
  <si>
    <t>SWG101333</t>
  </si>
  <si>
    <t>SWG101441</t>
  </si>
  <si>
    <t>SWG101467</t>
  </si>
  <si>
    <t>SWG101565</t>
  </si>
  <si>
    <t>SWG102296</t>
  </si>
  <si>
    <t>SWG103117</t>
  </si>
  <si>
    <t>SWG103294</t>
  </si>
  <si>
    <t>SWG103626</t>
  </si>
  <si>
    <t>SWG104289</t>
  </si>
  <si>
    <t>SWG104291</t>
  </si>
  <si>
    <t>SWG104730</t>
  </si>
  <si>
    <t>SWG104950</t>
  </si>
  <si>
    <t>SWG100117</t>
  </si>
  <si>
    <t>SWG100888</t>
  </si>
  <si>
    <t>SWG101101</t>
  </si>
  <si>
    <t>SWG101436</t>
  </si>
  <si>
    <t>SWG101576</t>
  </si>
  <si>
    <t>SWG101630</t>
  </si>
  <si>
    <t>SWG102024</t>
  </si>
  <si>
    <t>SWG102376</t>
  </si>
  <si>
    <t>SWG102732</t>
  </si>
  <si>
    <t>SWG103033</t>
  </si>
  <si>
    <t>SWG103179</t>
  </si>
  <si>
    <t>SWG103514</t>
  </si>
  <si>
    <t>SWG103764</t>
  </si>
  <si>
    <t>SWG103898</t>
  </si>
  <si>
    <t>SWG104001</t>
  </si>
  <si>
    <t>SWG104230</t>
  </si>
  <si>
    <t>SWG104985</t>
  </si>
  <si>
    <t>SWG100087</t>
  </si>
  <si>
    <t>SWG100536</t>
  </si>
  <si>
    <t>SWG100556</t>
  </si>
  <si>
    <t>SWG100563</t>
  </si>
  <si>
    <t>SWG100623</t>
  </si>
  <si>
    <t>SWG100732</t>
  </si>
  <si>
    <t>SWG101410</t>
  </si>
  <si>
    <t>SWG101803</t>
  </si>
  <si>
    <t>SWG102028</t>
  </si>
  <si>
    <t>SWG102583</t>
  </si>
  <si>
    <t>SWG102846</t>
  </si>
  <si>
    <t>SWG103715</t>
  </si>
  <si>
    <t>SWG103852</t>
  </si>
  <si>
    <t>SWG104181</t>
  </si>
  <si>
    <t>SWG104803</t>
  </si>
  <si>
    <t>SWG100069</t>
  </si>
  <si>
    <t>SWG100129</t>
  </si>
  <si>
    <t>SWG100217</t>
  </si>
  <si>
    <t>SWG100474</t>
  </si>
  <si>
    <t>SWG100856</t>
  </si>
  <si>
    <t>SWG101134</t>
  </si>
  <si>
    <t>SWG101557</t>
  </si>
  <si>
    <t>SWG102058</t>
  </si>
  <si>
    <t>SWG102261</t>
  </si>
  <si>
    <t>SWG102881</t>
  </si>
  <si>
    <t>SWG103041</t>
  </si>
  <si>
    <t>SWG103223</t>
  </si>
  <si>
    <t>SWG103713</t>
  </si>
  <si>
    <t>SWG103865</t>
  </si>
  <si>
    <t>SWG104302</t>
  </si>
  <si>
    <t>SWG104757</t>
  </si>
  <si>
    <t>SWG101356</t>
  </si>
  <si>
    <t>SWG101697</t>
  </si>
  <si>
    <t>SWG102476</t>
  </si>
  <si>
    <t>SWG102686</t>
  </si>
  <si>
    <t>SWG103098</t>
  </si>
  <si>
    <t>SWG103520</t>
  </si>
  <si>
    <t>SWG104314</t>
  </si>
  <si>
    <t>SWG104331</t>
  </si>
  <si>
    <t>SWG100208</t>
  </si>
  <si>
    <t>SWG100331</t>
  </si>
  <si>
    <t>SWG100468</t>
  </si>
  <si>
    <t>SWG100642</t>
  </si>
  <si>
    <t>SWG100697</t>
  </si>
  <si>
    <t>SWG100705</t>
  </si>
  <si>
    <t>SWG100966</t>
  </si>
  <si>
    <t>SWG101912</t>
  </si>
  <si>
    <t>SWG102079</t>
  </si>
  <si>
    <t>SWG102201</t>
  </si>
  <si>
    <t>SWG102570</t>
  </si>
  <si>
    <t>SWG102838</t>
  </si>
  <si>
    <t>SWG102840</t>
  </si>
  <si>
    <t>SWG102987</t>
  </si>
  <si>
    <t>SWG104670</t>
  </si>
  <si>
    <t>SWG104729</t>
  </si>
  <si>
    <t>SWG100595</t>
  </si>
  <si>
    <t>SWG101882</t>
  </si>
  <si>
    <t>SWG102130</t>
  </si>
  <si>
    <t>SWG102457</t>
  </si>
  <si>
    <t>SWG102509</t>
  </si>
  <si>
    <t>SWG102729</t>
  </si>
  <si>
    <t>SWG103631</t>
  </si>
  <si>
    <t>SWG104063</t>
  </si>
  <si>
    <t>SWG104088</t>
  </si>
  <si>
    <t>SWG104681</t>
  </si>
  <si>
    <t>SWG104684</t>
  </si>
  <si>
    <t>SWG100144</t>
  </si>
  <si>
    <t>SWG100480</t>
  </si>
  <si>
    <t>SWG100775</t>
  </si>
  <si>
    <t>SWG101234</t>
  </si>
  <si>
    <t>SWG101300</t>
  </si>
  <si>
    <t>SWG101690</t>
  </si>
  <si>
    <t>SWG101777</t>
  </si>
  <si>
    <t>SWG102618</t>
  </si>
  <si>
    <t>SWG103147</t>
  </si>
  <si>
    <t>SWG103565</t>
  </si>
  <si>
    <t>SWG103828</t>
  </si>
  <si>
    <t>SWG103929</t>
  </si>
  <si>
    <t>SWG104750</t>
  </si>
  <si>
    <t>SWG104770</t>
  </si>
  <si>
    <t>SWG104916</t>
  </si>
  <si>
    <t>SWG104965</t>
  </si>
  <si>
    <t>SWG100354</t>
  </si>
  <si>
    <t>SWG100490</t>
  </si>
  <si>
    <t>SWG100574</t>
  </si>
  <si>
    <t>SWG100590</t>
  </si>
  <si>
    <t>SWG100963</t>
  </si>
  <si>
    <t>SWG101275</t>
  </si>
  <si>
    <t>SWG101469</t>
  </si>
  <si>
    <t>SWG101677</t>
  </si>
  <si>
    <t>SWG101847</t>
  </si>
  <si>
    <t>SWG102033</t>
  </si>
  <si>
    <t>SWG102572</t>
  </si>
  <si>
    <t>SWG102702</t>
  </si>
  <si>
    <t>SWG103011</t>
  </si>
  <si>
    <t>SWG103347</t>
  </si>
  <si>
    <t>SWG103928</t>
  </si>
  <si>
    <t>SWG104959</t>
  </si>
  <si>
    <t>SWG100211</t>
  </si>
  <si>
    <t>SWG100550</t>
  </si>
  <si>
    <t>SWG100683</t>
  </si>
  <si>
    <t>SWG100725</t>
  </si>
  <si>
    <t>SWG101215</t>
  </si>
  <si>
    <t>SWG101314</t>
  </si>
  <si>
    <t>SWG101616</t>
  </si>
  <si>
    <t>SWG101669</t>
  </si>
  <si>
    <t>SWG101686</t>
  </si>
  <si>
    <t>SWG102116</t>
  </si>
  <si>
    <t>SWG102633</t>
  </si>
  <si>
    <t>SWG102679</t>
  </si>
  <si>
    <t>SWG103435</t>
  </si>
  <si>
    <t>SWG103832</t>
  </si>
  <si>
    <t>SWG103916</t>
  </si>
  <si>
    <t>SWG104660</t>
  </si>
  <si>
    <t>SWG104764</t>
  </si>
  <si>
    <t>SWG100174</t>
  </si>
  <si>
    <t>SWG100185</t>
  </si>
  <si>
    <t>SWG100212</t>
  </si>
  <si>
    <t>SWG100986</t>
  </si>
  <si>
    <t>SWG101067</t>
  </si>
  <si>
    <t>SWG101824</t>
  </si>
  <si>
    <t>SWG101938</t>
  </si>
  <si>
    <t>SWG103095</t>
  </si>
  <si>
    <t>SWG103308</t>
  </si>
  <si>
    <t>SWG103534</t>
  </si>
  <si>
    <t>SWG103851</t>
  </si>
  <si>
    <t>SWG104412</t>
  </si>
  <si>
    <t>SWG100317</t>
  </si>
  <si>
    <t>SWG100789</t>
  </si>
  <si>
    <t>SWG100938</t>
  </si>
  <si>
    <t>SWG101301</t>
  </si>
  <si>
    <t>SWG101541</t>
  </si>
  <si>
    <t>SWG101555</t>
  </si>
  <si>
    <t>SWG101594</t>
  </si>
  <si>
    <t>SWG101601</t>
  </si>
  <si>
    <t>SWG101721</t>
  </si>
  <si>
    <t>SWG102232</t>
  </si>
  <si>
    <t>SWG102344</t>
  </si>
  <si>
    <t>SWG102599</t>
  </si>
  <si>
    <t>SWG103034</t>
  </si>
  <si>
    <t>SWG103861</t>
  </si>
  <si>
    <t>SWG103914</t>
  </si>
  <si>
    <t>SWG100124</t>
  </si>
  <si>
    <t>SWG100286</t>
  </si>
  <si>
    <t>SWG100542</t>
  </si>
  <si>
    <t>SWG100669</t>
  </si>
  <si>
    <t>SWG100902</t>
  </si>
  <si>
    <t>SWG101385</t>
  </si>
  <si>
    <t>SWG101399</t>
  </si>
  <si>
    <t>SWG101493</t>
  </si>
  <si>
    <t>SWG101502</t>
  </si>
  <si>
    <t>SWG101579</t>
  </si>
  <si>
    <t>SWG101713</t>
  </si>
  <si>
    <t>SWG102507</t>
  </si>
  <si>
    <t>SWG102713</t>
  </si>
  <si>
    <t>SWG102955</t>
  </si>
  <si>
    <t>SWG103024</t>
  </si>
  <si>
    <t>SWG103083</t>
  </si>
  <si>
    <t>SWG103145</t>
  </si>
  <si>
    <t>SWG103745</t>
  </si>
  <si>
    <t>SWG103780</t>
  </si>
  <si>
    <t>SWG100700</t>
  </si>
  <si>
    <t>SWG100925</t>
  </si>
  <si>
    <t>SWG101099</t>
  </si>
  <si>
    <t>SWG101782</t>
  </si>
  <si>
    <t>SWG101923</t>
  </si>
  <si>
    <t>SWG102138</t>
  </si>
  <si>
    <t>SWG102556</t>
  </si>
  <si>
    <t>SWG102758</t>
  </si>
  <si>
    <t>SWG102852</t>
  </si>
  <si>
    <t>SWG103511</t>
  </si>
  <si>
    <t>SWG103810</t>
  </si>
  <si>
    <t>SWG103845</t>
  </si>
  <si>
    <t>SWG104016</t>
  </si>
  <si>
    <t>SWG104150</t>
  </si>
  <si>
    <t>SWG100438</t>
  </si>
  <si>
    <t>SWG100667</t>
  </si>
  <si>
    <t>SWG100782</t>
  </si>
  <si>
    <t>SWG100941</t>
  </si>
  <si>
    <t>SWG100961</t>
  </si>
  <si>
    <t>SWG101037</t>
  </si>
  <si>
    <t>SWG101260</t>
  </si>
  <si>
    <t>SWG101418</t>
  </si>
  <si>
    <t>SWG101966</t>
  </si>
  <si>
    <t>SWG102269</t>
  </si>
  <si>
    <t>SWG102471</t>
  </si>
  <si>
    <t>SWG102667</t>
  </si>
  <si>
    <t>SWG102733</t>
  </si>
  <si>
    <t>SWG103750</t>
  </si>
  <si>
    <t>SWG100311</t>
  </si>
  <si>
    <t>SWG100604</t>
  </si>
  <si>
    <t>SWG102286</t>
  </si>
  <si>
    <t>SWG102478</t>
  </si>
  <si>
    <t>SWG102716</t>
  </si>
  <si>
    <t>SWG103813</t>
  </si>
  <si>
    <t>SWG104333</t>
  </si>
  <si>
    <t>SWG104461</t>
  </si>
  <si>
    <t>SWG104810</t>
  </si>
  <si>
    <t>SWG104926</t>
  </si>
  <si>
    <t>SWG100107</t>
  </si>
  <si>
    <t>SWG100140</t>
  </si>
  <si>
    <t>SWG100145</t>
  </si>
  <si>
    <t>SWG100172</t>
  </si>
  <si>
    <t>SWG100910</t>
  </si>
  <si>
    <t>SWG101081</t>
  </si>
  <si>
    <t>SWG101956</t>
  </si>
  <si>
    <t>SWG101959</t>
  </si>
  <si>
    <t>SWG102339</t>
  </si>
  <si>
    <t>SWG102460</t>
  </si>
  <si>
    <t>SWG102685</t>
  </si>
  <si>
    <t>SWG102816</t>
  </si>
  <si>
    <t>SWG103632</t>
  </si>
  <si>
    <t>SWG104967</t>
  </si>
  <si>
    <t>SWG101384</t>
  </si>
  <si>
    <t>SWG102064</t>
  </si>
  <si>
    <t>SWG102268</t>
  </si>
  <si>
    <t>SWG102506</t>
  </si>
  <si>
    <t>SWG102527</t>
  </si>
  <si>
    <t>SWG102554</t>
  </si>
  <si>
    <t>SWG102938</t>
  </si>
  <si>
    <t>SWG103194</t>
  </si>
  <si>
    <t>SWG103583</t>
  </si>
  <si>
    <t>SWG104656</t>
  </si>
  <si>
    <t>SWG104806</t>
  </si>
  <si>
    <t>SWG100178</t>
  </si>
  <si>
    <t>SWG100193</t>
  </si>
  <si>
    <t>SWG100270</t>
  </si>
  <si>
    <t>SWG100336</t>
  </si>
  <si>
    <t>SWG100569</t>
  </si>
  <si>
    <t>SWG100673</t>
  </si>
  <si>
    <t>SWG100850</t>
  </si>
  <si>
    <t>SWG100921</t>
  </si>
  <si>
    <t>SWG101674</t>
  </si>
  <si>
    <t>SWG101685</t>
  </si>
  <si>
    <t>SWG101826</t>
  </si>
  <si>
    <t>SWG102508</t>
  </si>
  <si>
    <t>SWG102622</t>
  </si>
  <si>
    <t>SWG103254</t>
  </si>
  <si>
    <t>SWG103636</t>
  </si>
  <si>
    <t>SWG103829</t>
  </si>
  <si>
    <t>SWG103878</t>
  </si>
  <si>
    <t>SWG104351</t>
  </si>
  <si>
    <t>SWG104646</t>
  </si>
  <si>
    <t>SWG100187</t>
  </si>
  <si>
    <t>SWG101293</t>
  </si>
  <si>
    <t>SWG102043</t>
  </si>
  <si>
    <t>SWG102691</t>
  </si>
  <si>
    <t>SWG103410</t>
  </si>
  <si>
    <t>SWG103616</t>
  </si>
  <si>
    <t>SWG104511</t>
  </si>
  <si>
    <t>SWG104575</t>
  </si>
  <si>
    <t>SWG104683</t>
  </si>
  <si>
    <t>SWG104957</t>
  </si>
  <si>
    <t>SWG100596</t>
  </si>
  <si>
    <t>SWG100819</t>
  </si>
  <si>
    <t>SWG101327</t>
  </si>
  <si>
    <t>SWG101652</t>
  </si>
  <si>
    <t>SWG102638</t>
  </si>
  <si>
    <t>SWG103338</t>
  </si>
  <si>
    <t>SWG103720</t>
  </si>
  <si>
    <t>SWG103779</t>
  </si>
  <si>
    <t>SWG103934</t>
  </si>
  <si>
    <t>SWG104569</t>
  </si>
  <si>
    <t>SWG104701</t>
  </si>
  <si>
    <t>SWG104843</t>
  </si>
  <si>
    <t>SWG104944</t>
  </si>
  <si>
    <t>SWG100027</t>
  </si>
  <si>
    <t>SWG100774</t>
  </si>
  <si>
    <t>SWG100930</t>
  </si>
  <si>
    <t>SWG101023</t>
  </si>
  <si>
    <t>SWG101508</t>
  </si>
  <si>
    <t>SWG101511</t>
  </si>
  <si>
    <t>SWG101738</t>
  </si>
  <si>
    <t>SWG101780</t>
  </si>
  <si>
    <t>SWG102632</t>
  </si>
  <si>
    <t>SWG103505</t>
  </si>
  <si>
    <t>SWG103746</t>
  </si>
  <si>
    <t>SWG104994</t>
  </si>
  <si>
    <t>SWG100083</t>
  </si>
  <si>
    <t>SWG100146</t>
  </si>
  <si>
    <t>SWG100454</t>
  </si>
  <si>
    <t>SWG101050</t>
  </si>
  <si>
    <t>SWG101321</t>
  </si>
  <si>
    <t>SWG101360</t>
  </si>
  <si>
    <t>SWG101627</t>
  </si>
  <si>
    <t>SWG101934</t>
  </si>
  <si>
    <t>SWG102324</t>
  </si>
  <si>
    <t>SWG102349</t>
  </si>
  <si>
    <t>SWG103233</t>
  </si>
  <si>
    <t>SWG103762</t>
  </si>
  <si>
    <t>SWG104062</t>
  </si>
  <si>
    <t>SWG104379</t>
  </si>
  <si>
    <t>SWG104520</t>
  </si>
  <si>
    <t>SWG104748</t>
  </si>
  <si>
    <t>SWG100308</t>
  </si>
  <si>
    <t>SWG100472</t>
  </si>
  <si>
    <t>SWG100897</t>
  </si>
  <si>
    <t>SWG101879</t>
  </si>
  <si>
    <t>SWG102404</t>
  </si>
  <si>
    <t>SWG102629</t>
  </si>
  <si>
    <t>SWG102973</t>
  </si>
  <si>
    <t>SWG104439</t>
  </si>
  <si>
    <t>SWG100447</t>
  </si>
  <si>
    <t>SWG100599</t>
  </si>
  <si>
    <t>SWG100726</t>
  </si>
  <si>
    <t>SWG100864</t>
  </si>
  <si>
    <t>SWG100899</t>
  </si>
  <si>
    <t>SWG101259</t>
  </si>
  <si>
    <t>SWG101397</t>
  </si>
  <si>
    <t>SWG101512</t>
  </si>
  <si>
    <t>SWG102165</t>
  </si>
  <si>
    <t>SWG102369</t>
  </si>
  <si>
    <t>SWG103305</t>
  </si>
  <si>
    <t>SWG103524</t>
  </si>
  <si>
    <t>SWG104137</t>
  </si>
  <si>
    <t>SWG104549</t>
  </si>
  <si>
    <t>SWG104600</t>
  </si>
  <si>
    <t>SWG104665</t>
  </si>
  <si>
    <t>SWG104767</t>
  </si>
  <si>
    <t>SWG104947</t>
  </si>
  <si>
    <t>SWG104958</t>
  </si>
  <si>
    <t>SWG100231</t>
  </si>
  <si>
    <t>SWG100706</t>
  </si>
  <si>
    <t>SWG100821</t>
  </si>
  <si>
    <t>SWG101943</t>
  </si>
  <si>
    <t>SWG102777</t>
  </si>
  <si>
    <t>SWG103283</t>
  </si>
  <si>
    <t>SWG103938</t>
  </si>
  <si>
    <t>SWG104239</t>
  </si>
  <si>
    <t>SWG100141</t>
  </si>
  <si>
    <t>SWG101558</t>
  </si>
  <si>
    <t>SWG101570</t>
  </si>
  <si>
    <t>SWG102187</t>
  </si>
  <si>
    <t>SWG102255</t>
  </si>
  <si>
    <t>SWG103229</t>
  </si>
  <si>
    <t>SWG103679</t>
  </si>
  <si>
    <t>SWG103906</t>
  </si>
  <si>
    <t>SWG104027</t>
  </si>
  <si>
    <t>SWG104157</t>
  </si>
  <si>
    <t>SWG104178</t>
  </si>
  <si>
    <t>SWG104622</t>
  </si>
  <si>
    <t>SWG100051</t>
  </si>
  <si>
    <t>SWG100522</t>
  </si>
  <si>
    <t>SWG100641</t>
  </si>
  <si>
    <t>SWG100717</t>
  </si>
  <si>
    <t>SWG101695</t>
  </si>
  <si>
    <t>SWG101821</t>
  </si>
  <si>
    <t>SWG102023</t>
  </si>
  <si>
    <t>SWG102227</t>
  </si>
  <si>
    <t>SWG102486</t>
  </si>
  <si>
    <t>SWG102525</t>
  </si>
  <si>
    <t>SWG103518</t>
  </si>
  <si>
    <t>SWG103904</t>
  </si>
  <si>
    <t>SWG103989</t>
  </si>
  <si>
    <t>SWG104085</t>
  </si>
  <si>
    <t>SWG104490</t>
  </si>
  <si>
    <t>SWG104499</t>
  </si>
  <si>
    <t>SWG104904</t>
  </si>
  <si>
    <t>SWG100155</t>
  </si>
  <si>
    <t>SWG100958</t>
  </si>
  <si>
    <t>SWG101115</t>
  </si>
  <si>
    <t>SWG101552</t>
  </si>
  <si>
    <t>SWG101875</t>
  </si>
  <si>
    <t>SWG101899</t>
  </si>
  <si>
    <t>SWG101928</t>
  </si>
  <si>
    <t>SWG102701</t>
  </si>
  <si>
    <t>SWG102928</t>
  </si>
  <si>
    <t>SWG103310</t>
  </si>
  <si>
    <t>SWG100039</t>
  </si>
  <si>
    <t>Sep</t>
  </si>
  <si>
    <t>SWG101176</t>
  </si>
  <si>
    <t>SWG101400</t>
  </si>
  <si>
    <t>SWG102367</t>
  </si>
  <si>
    <t>SWG103837</t>
  </si>
  <si>
    <t>SWG104391</t>
  </si>
  <si>
    <t>SWG101507</t>
  </si>
  <si>
    <t>SWG102014</t>
  </si>
  <si>
    <t>SWG102089</t>
  </si>
  <si>
    <t>SWG102801</t>
  </si>
  <si>
    <t>SWG103248</t>
  </si>
  <si>
    <t>SWG103416</t>
  </si>
  <si>
    <t>SWG103974</t>
  </si>
  <si>
    <t>SWG104204</t>
  </si>
  <si>
    <t>SWG104407</t>
  </si>
  <si>
    <t>SWG104603</t>
  </si>
  <si>
    <t>SWG104735</t>
  </si>
  <si>
    <t>SWG100370</t>
  </si>
  <si>
    <t>SWG100485</t>
  </si>
  <si>
    <t>SWG101325</t>
  </si>
  <si>
    <t>SWG101391</t>
  </si>
  <si>
    <t>SWG101930</t>
  </si>
  <si>
    <t>SWG102477</t>
  </si>
  <si>
    <t>SWG102995</t>
  </si>
  <si>
    <t>SWG103491</t>
  </si>
  <si>
    <t>SWG103493</t>
  </si>
  <si>
    <t>SWG104565</t>
  </si>
  <si>
    <t>SWG104582</t>
  </si>
  <si>
    <t>SWG104598</t>
  </si>
  <si>
    <t>SWG104876</t>
  </si>
  <si>
    <t>SWG100220</t>
  </si>
  <si>
    <t>SWG100374</t>
  </si>
  <si>
    <t>SWG100461</t>
  </si>
  <si>
    <t>SWG100500</t>
  </si>
  <si>
    <t>SWG100802</t>
  </si>
  <si>
    <t>SWG100957</t>
  </si>
  <si>
    <t>SWG101253</t>
  </si>
  <si>
    <t>SWG101497</t>
  </si>
  <si>
    <t>SWG102531</t>
  </si>
  <si>
    <t>SWG103013</t>
  </si>
  <si>
    <t>SWG103072</t>
  </si>
  <si>
    <t>SWG103976</t>
  </si>
  <si>
    <t>SWG104019</t>
  </si>
  <si>
    <t>SWG104229</t>
  </si>
  <si>
    <t>SWG104557</t>
  </si>
  <si>
    <t>SWG104580</t>
  </si>
  <si>
    <t>SWG102332</t>
  </si>
  <si>
    <t>SWG102866</t>
  </si>
  <si>
    <t>SWG102950</t>
  </si>
  <si>
    <t>SWG103040</t>
  </si>
  <si>
    <t>SWG103065</t>
  </si>
  <si>
    <t>SWG103671</t>
  </si>
  <si>
    <t>SWG103911</t>
  </si>
  <si>
    <t>SWG104018</t>
  </si>
  <si>
    <t>SWG104108</t>
  </si>
  <si>
    <t>SWG104294</t>
  </si>
  <si>
    <t>SWG104364</t>
  </si>
  <si>
    <t>SWG104398</t>
  </si>
  <si>
    <t>SWG100538</t>
  </si>
  <si>
    <t>SWG100798</t>
  </si>
  <si>
    <t>SWG100823</t>
  </si>
  <si>
    <t>SWG100860</t>
  </si>
  <si>
    <t>SWG101258</t>
  </si>
  <si>
    <t>SWG101655</t>
  </si>
  <si>
    <t>SWG102354</t>
  </si>
  <si>
    <t>SWG103469</t>
  </si>
  <si>
    <t>SWG103517</t>
  </si>
  <si>
    <t>SWG104119</t>
  </si>
  <si>
    <t>SWG100483</t>
  </si>
  <si>
    <t>SWG100491</t>
  </si>
  <si>
    <t>SWG100767</t>
  </si>
  <si>
    <t>SWG101395</t>
  </si>
  <si>
    <t>SWG101458</t>
  </si>
  <si>
    <t>SWG101920</t>
  </si>
  <si>
    <t>SWG102857</t>
  </si>
  <si>
    <t>SWG103287</t>
  </si>
  <si>
    <t>SWG103450</t>
  </si>
  <si>
    <t>SWG103471</t>
  </si>
  <si>
    <t>SWG103510</t>
  </si>
  <si>
    <t>SWG104713</t>
  </si>
  <si>
    <t>SWG100718</t>
  </si>
  <si>
    <t>SWG100776</t>
  </si>
  <si>
    <t>SWG101186</t>
  </si>
  <si>
    <t>SWG101496</t>
  </si>
  <si>
    <t>SWG101605</t>
  </si>
  <si>
    <t>SWG101712</t>
  </si>
  <si>
    <t>SWG101858</t>
  </si>
  <si>
    <t>SWG102003</t>
  </si>
  <si>
    <t>SWG102025</t>
  </si>
  <si>
    <t>SWG102767</t>
  </si>
  <si>
    <t>SWG102768</t>
  </si>
  <si>
    <t>SWG103097</t>
  </si>
  <si>
    <t>SWG103129</t>
  </si>
  <si>
    <t>SWG104196</t>
  </si>
  <si>
    <t>SWG104627</t>
  </si>
  <si>
    <t>SWG104981</t>
  </si>
  <si>
    <t>SWG100078</t>
  </si>
  <si>
    <t>SWG100088</t>
  </si>
  <si>
    <t>SWG100241</t>
  </si>
  <si>
    <t>SWG100258</t>
  </si>
  <si>
    <t>SWG100628</t>
  </si>
  <si>
    <t>SWG100666</t>
  </si>
  <si>
    <t>SWG100788</t>
  </si>
  <si>
    <t>SWG102447</t>
  </si>
  <si>
    <t>SWG102504</t>
  </si>
  <si>
    <t>SWG103090</t>
  </si>
  <si>
    <t>SWG103465</t>
  </si>
  <si>
    <t>SWG103778</t>
  </si>
  <si>
    <t>SWG103950</t>
  </si>
  <si>
    <t>SWG104003</t>
  </si>
  <si>
    <t>SWG104464</t>
  </si>
  <si>
    <t>SWG100026</t>
  </si>
  <si>
    <t>SWG100347</t>
  </si>
  <si>
    <t>SWG100521</t>
  </si>
  <si>
    <t>SWG100603</t>
  </si>
  <si>
    <t>SWG100709</t>
  </si>
  <si>
    <t>SWG100878</t>
  </si>
  <si>
    <t>SWG102394</t>
  </si>
  <si>
    <t>SWG102437</t>
  </si>
  <si>
    <t>SWG104628</t>
  </si>
  <si>
    <t>SWG104830</t>
  </si>
  <si>
    <t>SWG100265</t>
  </si>
  <si>
    <t>SWG100285</t>
  </si>
  <si>
    <t>SWG100479</t>
  </si>
  <si>
    <t>SWG101086</t>
  </si>
  <si>
    <t>SWG101123</t>
  </si>
  <si>
    <t>SWG102244</t>
  </si>
  <si>
    <t>SWG102426</t>
  </si>
  <si>
    <t>SWG102737</t>
  </si>
  <si>
    <t>SWG102795</t>
  </si>
  <si>
    <t>SWG102951</t>
  </si>
  <si>
    <t>SWG104114</t>
  </si>
  <si>
    <t>SWG104165</t>
  </si>
  <si>
    <t>SWG100130</t>
  </si>
  <si>
    <t>SWG100225</t>
  </si>
  <si>
    <t>SWG100779</t>
  </si>
  <si>
    <t>SWG101255</t>
  </si>
  <si>
    <t>SWG102586</t>
  </si>
  <si>
    <t>SWG103159</t>
  </si>
  <si>
    <t>SWG103169</t>
  </si>
  <si>
    <t>SWG103999</t>
  </si>
  <si>
    <t>SWG104164</t>
  </si>
  <si>
    <t>SWG104807</t>
  </si>
  <si>
    <t>SWG100349</t>
  </si>
  <si>
    <t>SWG100711</t>
  </si>
  <si>
    <t>SWG101299</t>
  </si>
  <si>
    <t>SWG102390</t>
  </si>
  <si>
    <t>SWG102466</t>
  </si>
  <si>
    <t>SWG102496</t>
  </si>
  <si>
    <t>SWG102574</t>
  </si>
  <si>
    <t>SWG102635</t>
  </si>
  <si>
    <t>SWG103744</t>
  </si>
  <si>
    <t>SWG104066</t>
  </si>
  <si>
    <t>SWG104479</t>
  </si>
  <si>
    <t>SWG104703</t>
  </si>
  <si>
    <t>SWG104815</t>
  </si>
  <si>
    <t>SWG104842</t>
  </si>
  <si>
    <t>SWG104952</t>
  </si>
  <si>
    <t>SWG100127</t>
  </si>
  <si>
    <t>SWG100494</t>
  </si>
  <si>
    <t>SWG100874</t>
  </si>
  <si>
    <t>SWG101157</t>
  </si>
  <si>
    <t>SWG101214</t>
  </si>
  <si>
    <t>SWG101228</t>
  </si>
  <si>
    <t>SWG101746</t>
  </si>
  <si>
    <t>SWG101982</t>
  </si>
  <si>
    <t>SWG103213</t>
  </si>
  <si>
    <t>SWG103589</t>
  </si>
  <si>
    <t>SWG104048</t>
  </si>
  <si>
    <t>SWG104789</t>
  </si>
  <si>
    <t>SWG100018</t>
  </si>
  <si>
    <t>SWG100501</t>
  </si>
  <si>
    <t>SWG101664</t>
  </si>
  <si>
    <t>SWG102245</t>
  </si>
  <si>
    <t>SWG102298</t>
  </si>
  <si>
    <t>SWG102353</t>
  </si>
  <si>
    <t>SWG102592</t>
  </si>
  <si>
    <t>SWG102644</t>
  </si>
  <si>
    <t>SWG103313</t>
  </si>
  <si>
    <t>SWG103335</t>
  </si>
  <si>
    <t>SWG103797</t>
  </si>
  <si>
    <t>SWG104354</t>
  </si>
  <si>
    <t>SWG104456</t>
  </si>
  <si>
    <t>SWG104811</t>
  </si>
  <si>
    <t>SWG100179</t>
  </si>
  <si>
    <t>SWG100239</t>
  </si>
  <si>
    <t>SWG100679</t>
  </si>
  <si>
    <t>SWG100746</t>
  </si>
  <si>
    <t>SWG100770</t>
  </si>
  <si>
    <t>SWG101000</t>
  </si>
  <si>
    <t>SWG101559</t>
  </si>
  <si>
    <t>SWG102292</t>
  </si>
  <si>
    <t>SWG102791</t>
  </si>
  <si>
    <t>SWG102982</t>
  </si>
  <si>
    <t>SWG103326</t>
  </si>
  <si>
    <t>SWG103603</t>
  </si>
  <si>
    <t>SWG100066</t>
  </si>
  <si>
    <t>SWG100759</t>
  </si>
  <si>
    <t>SWG101545</t>
  </si>
  <si>
    <t>SWG102449</t>
  </si>
  <si>
    <t>SWG102450</t>
  </si>
  <si>
    <t>SWG102721</t>
  </si>
  <si>
    <t>SWG102775</t>
  </si>
  <si>
    <t>SWG102814</t>
  </si>
  <si>
    <t>SWG102994</t>
  </si>
  <si>
    <t>SWG103009</t>
  </si>
  <si>
    <t>SWG103205</t>
  </si>
  <si>
    <t>SWG103406</t>
  </si>
  <si>
    <t>SWG103525</t>
  </si>
  <si>
    <t>SWG103598</t>
  </si>
  <si>
    <t>SWG103663</t>
  </si>
  <si>
    <t>SWG103965</t>
  </si>
  <si>
    <t>SWG104477</t>
  </si>
  <si>
    <t>SWG104899</t>
  </si>
  <si>
    <t>SWG100106</t>
  </si>
  <si>
    <t>SWG101004</t>
  </si>
  <si>
    <t>SWG101106</t>
  </si>
  <si>
    <t>SWG101297</t>
  </si>
  <si>
    <t>SWG101562</t>
  </si>
  <si>
    <t>SWG101600</t>
  </si>
  <si>
    <t>SWG101967</t>
  </si>
  <si>
    <t>SWG102561</t>
  </si>
  <si>
    <t>SWG102562</t>
  </si>
  <si>
    <t>SWG102676</t>
  </si>
  <si>
    <t>SWG102810</t>
  </si>
  <si>
    <t>SWG104543</t>
  </si>
  <si>
    <t>SWG100418</t>
  </si>
  <si>
    <t>SWG100815</t>
  </si>
  <si>
    <t>SWG101560</t>
  </si>
  <si>
    <t>SWG101629</t>
  </si>
  <si>
    <t>SWG101744</t>
  </si>
  <si>
    <t>SWG101844</t>
  </si>
  <si>
    <t>SWG101926</t>
  </si>
  <si>
    <t>SWG102362</t>
  </si>
  <si>
    <t>SWG102956</t>
  </si>
  <si>
    <t>SWG103216</t>
  </si>
  <si>
    <t>SWG103222</t>
  </si>
  <si>
    <t>SWG103413</t>
  </si>
  <si>
    <t>SWG104201</t>
  </si>
  <si>
    <t>SWG104383</t>
  </si>
  <si>
    <t>SWG100257</t>
  </si>
  <si>
    <t>SWG101279</t>
  </si>
  <si>
    <t>SWG102179</t>
  </si>
  <si>
    <t>SWG102191</t>
  </si>
  <si>
    <t>SWG102248</t>
  </si>
  <si>
    <t>SWG102445</t>
  </si>
  <si>
    <t>SWG102979</t>
  </si>
  <si>
    <t>SWG103766</t>
  </si>
  <si>
    <t>SWG100057</t>
  </si>
  <si>
    <t>SWG100314</t>
  </si>
  <si>
    <t>SWG100385</t>
  </si>
  <si>
    <t>SWG100411</t>
  </si>
  <si>
    <t>SWG100527</t>
  </si>
  <si>
    <t>SWG100929</t>
  </si>
  <si>
    <t>SWG101238</t>
  </si>
  <si>
    <t>SWG101265</t>
  </si>
  <si>
    <t>SWG101438</t>
  </si>
  <si>
    <t>SWG101850</t>
  </si>
  <si>
    <t>SWG101985</t>
  </si>
  <si>
    <t>SWG102047</t>
  </si>
  <si>
    <t>SWG102285</t>
  </si>
  <si>
    <t>SWG102305</t>
  </si>
  <si>
    <t>SWG102533</t>
  </si>
  <si>
    <t>SWG103151</t>
  </si>
  <si>
    <t>SWG103569</t>
  </si>
  <si>
    <t>SWG103666</t>
  </si>
  <si>
    <t>SWG103690</t>
  </si>
  <si>
    <t>SWG103765</t>
  </si>
  <si>
    <t>SWG103850</t>
  </si>
  <si>
    <t>SWG104440</t>
  </si>
  <si>
    <t>SWG104812</t>
  </si>
  <si>
    <t>SWG104962</t>
  </si>
  <si>
    <t>SWG100052</t>
  </si>
  <si>
    <t>SWG100571</t>
  </si>
  <si>
    <t>SWG101016</t>
  </si>
  <si>
    <t>SWG102123</t>
  </si>
  <si>
    <t>SWG103026</t>
  </si>
  <si>
    <t>SWG103137</t>
  </si>
  <si>
    <t>SWG103255</t>
  </si>
  <si>
    <t>SWG103596</t>
  </si>
  <si>
    <t>SWG104017</t>
  </si>
  <si>
    <t>SWG104728</t>
  </si>
  <si>
    <t>SWG101243</t>
  </si>
  <si>
    <t>SWG101453</t>
  </si>
  <si>
    <t>SWG101513</t>
  </si>
  <si>
    <t>SWG101978</t>
  </si>
  <si>
    <t>SWG102391</t>
  </si>
  <si>
    <t>SWG102432</t>
  </si>
  <si>
    <t>SWG102587</t>
  </si>
  <si>
    <t>SWG103319</t>
  </si>
  <si>
    <t>SWG104054</t>
  </si>
  <si>
    <t>SWG104318</t>
  </si>
  <si>
    <t>SWG104346</t>
  </si>
  <si>
    <t>SWG104358</t>
  </si>
  <si>
    <t>SWG100253</t>
  </si>
  <si>
    <t>SWG100728</t>
  </si>
  <si>
    <t>SWG101035</t>
  </si>
  <si>
    <t>SWG101156</t>
  </si>
  <si>
    <t>SWG101377</t>
  </si>
  <si>
    <t>SWG101587</t>
  </si>
  <si>
    <t>SWG101806</t>
  </si>
  <si>
    <t>SWG102119</t>
  </si>
  <si>
    <t>SWG102435</t>
  </si>
  <si>
    <t>SWG102963</t>
  </si>
  <si>
    <t>SWG103166</t>
  </si>
  <si>
    <t>SWG103269</t>
  </si>
  <si>
    <t>SWG103486</t>
  </si>
  <si>
    <t>SWG103888</t>
  </si>
  <si>
    <t>SWG104740</t>
  </si>
  <si>
    <t>SWG100113</t>
  </si>
  <si>
    <t>SWG100198</t>
  </si>
  <si>
    <t>SWG100510</t>
  </si>
  <si>
    <t>SWG100552</t>
  </si>
  <si>
    <t>SWG100772</t>
  </si>
  <si>
    <t>SWG101359</t>
  </si>
  <si>
    <t>SWG101446</t>
  </si>
  <si>
    <t>SWG101932</t>
  </si>
  <si>
    <t>SWG102621</t>
  </si>
  <si>
    <t>SWG102964</t>
  </si>
  <si>
    <t>SWG102978</t>
  </si>
  <si>
    <t>SWG103164</t>
  </si>
  <si>
    <t>SWG103221</t>
  </si>
  <si>
    <t>SWG103282</t>
  </si>
  <si>
    <t>SWG103337</t>
  </si>
  <si>
    <t>SWG103805</t>
  </si>
  <si>
    <t>SWG104874</t>
  </si>
  <si>
    <t>SWG104912</t>
  </si>
  <si>
    <t>SWG104970</t>
  </si>
  <si>
    <t>SWG100426</t>
  </si>
  <si>
    <t>SWG101498</t>
  </si>
  <si>
    <t>SWG101580</t>
  </si>
  <si>
    <t>SWG101640</t>
  </si>
  <si>
    <t>SWG102087</t>
  </si>
  <si>
    <t>SWG102277</t>
  </si>
  <si>
    <t>SWG102593</t>
  </si>
  <si>
    <t>SWG102643</t>
  </si>
  <si>
    <t>SWG103007</t>
  </si>
  <si>
    <t>SWG103638</t>
  </si>
  <si>
    <t>SWG104612</t>
  </si>
  <si>
    <t>SWG104739</t>
  </si>
  <si>
    <t>SWG104776</t>
  </si>
  <si>
    <t>SWG104831</t>
  </si>
  <si>
    <t>SWG100073</t>
  </si>
  <si>
    <t>SWG101038</t>
  </si>
  <si>
    <t>SWG101459</t>
  </si>
  <si>
    <t>SWG101706</t>
  </si>
  <si>
    <t>SWG101975</t>
  </si>
  <si>
    <t>SWG102399</t>
  </si>
  <si>
    <t>SWG102841</t>
  </si>
  <si>
    <t>SWG102944</t>
  </si>
  <si>
    <t>SWG103114</t>
  </si>
  <si>
    <t>SWG104226</t>
  </si>
  <si>
    <t>SWG100002</t>
  </si>
  <si>
    <t>SWG100033</t>
  </si>
  <si>
    <t>SWG100076</t>
  </si>
  <si>
    <t>SWG100408</t>
  </si>
  <si>
    <t>SWG101726</t>
  </si>
  <si>
    <t>SWG101756</t>
  </si>
  <si>
    <t>SWG102139</t>
  </si>
  <si>
    <t>SWG102155</t>
  </si>
  <si>
    <t>SWG102204</t>
  </si>
  <si>
    <t>SWG102602</t>
  </si>
  <si>
    <t>SWG103059</t>
  </si>
  <si>
    <t>SWG104095</t>
  </si>
  <si>
    <t>SWG104188</t>
  </si>
  <si>
    <t>SWG104216</t>
  </si>
  <si>
    <t>SWG104394</t>
  </si>
  <si>
    <t>SWG104651</t>
  </si>
  <si>
    <t>SWG104987</t>
  </si>
  <si>
    <t>SWG100455</t>
  </si>
  <si>
    <t>SWG100684</t>
  </si>
  <si>
    <t>SWG101510</t>
  </si>
  <si>
    <t>SWG102342</t>
  </si>
  <si>
    <t>SWG103063</t>
  </si>
  <si>
    <t>SWG103818</t>
  </si>
  <si>
    <t>SWG103947</t>
  </si>
  <si>
    <t>SWG104158</t>
  </si>
  <si>
    <t>SWG104256</t>
  </si>
  <si>
    <t>SWG100367</t>
  </si>
  <si>
    <t>SWG100560</t>
  </si>
  <si>
    <t>SWG100811</t>
  </si>
  <si>
    <t>SWG100909</t>
  </si>
  <si>
    <t>SWG101015</t>
  </si>
  <si>
    <t>SWG101471</t>
  </si>
  <si>
    <t>SWG101779</t>
  </si>
  <si>
    <t>SWG102453</t>
  </si>
  <si>
    <t>SWG102603</t>
  </si>
  <si>
    <t>SWG102725</t>
  </si>
  <si>
    <t>SWG103054</t>
  </si>
  <si>
    <t>SWG103463</t>
  </si>
  <si>
    <t>SWG103726</t>
  </si>
  <si>
    <t>SWG103971</t>
  </si>
  <si>
    <t>SWG104170</t>
  </si>
  <si>
    <t>SWG104400</t>
  </si>
  <si>
    <t>SWG104971</t>
  </si>
  <si>
    <t>SWG100047</t>
  </si>
  <si>
    <t>Oct</t>
  </si>
  <si>
    <t>SWG100900</t>
  </si>
  <si>
    <t>SWG101500</t>
  </si>
  <si>
    <t>SWG101755</t>
  </si>
  <si>
    <t>SWG101795</t>
  </si>
  <si>
    <t>SWG103428</t>
  </si>
  <si>
    <t>SWG103682</t>
  </si>
  <si>
    <t>SWG103768</t>
  </si>
  <si>
    <t>SWG103960</t>
  </si>
  <si>
    <t>SWG104039</t>
  </si>
  <si>
    <t>SWG100434</t>
  </si>
  <si>
    <t>SWG100629</t>
  </si>
  <si>
    <t>SWG100984</t>
  </si>
  <si>
    <t>SWG101424</t>
  </si>
  <si>
    <t>SWG102159</t>
  </si>
  <si>
    <t>SWG102996</t>
  </si>
  <si>
    <t>SWG103121</t>
  </si>
  <si>
    <t>SWG103132</t>
  </si>
  <si>
    <t>SWG103386</t>
  </si>
  <si>
    <t>SWG103472</t>
  </si>
  <si>
    <t>SWG103641</t>
  </si>
  <si>
    <t>SWG104431</t>
  </si>
  <si>
    <t>SWG101984</t>
  </si>
  <si>
    <t>SWG102021</t>
  </si>
  <si>
    <t>SWG102389</t>
  </si>
  <si>
    <t>SWG103173</t>
  </si>
  <si>
    <t>SWG103198</t>
  </si>
  <si>
    <t>SWG104819</t>
  </si>
  <si>
    <t>SWG104861</t>
  </si>
  <si>
    <t>SWG104966</t>
  </si>
  <si>
    <t>SWG104982</t>
  </si>
  <si>
    <t>SWG100022</t>
  </si>
  <si>
    <t>SWG100300</t>
  </si>
  <si>
    <t>SWG100318</t>
  </si>
  <si>
    <t>SWG100537</t>
  </si>
  <si>
    <t>SWG100841</t>
  </si>
  <si>
    <t>SWG100944</t>
  </si>
  <si>
    <t>SWG101794</t>
  </si>
  <si>
    <t>SWG102157</t>
  </si>
  <si>
    <t>SWG102199</t>
  </si>
  <si>
    <t>SWG102528</t>
  </si>
  <si>
    <t>SWG102553</t>
  </si>
  <si>
    <t>SWG102932</t>
  </si>
  <si>
    <t>SWG103038</t>
  </si>
  <si>
    <t>SWG103262</t>
  </si>
  <si>
    <t>SWG103351</t>
  </si>
  <si>
    <t>SWG103556</t>
  </si>
  <si>
    <t>SWG103919</t>
  </si>
  <si>
    <t>SWG104514</t>
  </si>
  <si>
    <t>SWG104731</t>
  </si>
  <si>
    <t>SWG104889</t>
  </si>
  <si>
    <t>SWG100459</t>
  </si>
  <si>
    <t>SWG101326</t>
  </si>
  <si>
    <t>SWG101692</t>
  </si>
  <si>
    <t>SWG102610</t>
  </si>
  <si>
    <t>SWG102652</t>
  </si>
  <si>
    <t>SWG103436</t>
  </si>
  <si>
    <t>SWG103877</t>
  </si>
  <si>
    <t>SWG104008</t>
  </si>
  <si>
    <t>SWG104060</t>
  </si>
  <si>
    <t>SWG104365</t>
  </si>
  <si>
    <t>SWG104778</t>
  </si>
  <si>
    <t>SWG100441</t>
  </si>
  <si>
    <t>SWG100555</t>
  </si>
  <si>
    <t>SWG102099</t>
  </si>
  <si>
    <t>SWG102325</t>
  </si>
  <si>
    <t>SWG102958</t>
  </si>
  <si>
    <t>SWG103051</t>
  </si>
  <si>
    <t>SWG103348</t>
  </si>
  <si>
    <t>SWG104082</t>
  </si>
  <si>
    <t>SWG104110</t>
  </si>
  <si>
    <t>SWG104761</t>
  </si>
  <si>
    <t>SWG104781</t>
  </si>
  <si>
    <t>SWG100086</t>
  </si>
  <si>
    <t>SWG100227</t>
  </si>
  <si>
    <t>SWG100338</t>
  </si>
  <si>
    <t>SWG100360</t>
  </si>
  <si>
    <t>SWG100498</t>
  </si>
  <si>
    <t>SWG101306</t>
  </si>
  <si>
    <t>SWG101753</t>
  </si>
  <si>
    <t>SWG102256</t>
  </si>
  <si>
    <t>SWG102819</t>
  </si>
  <si>
    <t>SWG103458</t>
  </si>
  <si>
    <t>SWG103796</t>
  </si>
  <si>
    <t>SWG104097</t>
  </si>
  <si>
    <t>SWG104296</t>
  </si>
  <si>
    <t>SWG104325</t>
  </si>
  <si>
    <t>SWG100353</t>
  </si>
  <si>
    <t>SWG100831</t>
  </si>
  <si>
    <t>SWG101322</t>
  </si>
  <si>
    <t>SWG101752</t>
  </si>
  <si>
    <t>SWG102151</t>
  </si>
  <si>
    <t>SWG102393</t>
  </si>
  <si>
    <t>SWG102665</t>
  </si>
  <si>
    <t>SWG103021</t>
  </si>
  <si>
    <t>SWG103112</t>
  </si>
  <si>
    <t>SWG103643</t>
  </si>
  <si>
    <t>SWG103727</t>
  </si>
  <si>
    <t>SWG100730</t>
  </si>
  <si>
    <t>SWG100859</t>
  </si>
  <si>
    <t>SWG100936</t>
  </si>
  <si>
    <t>SWG101117</t>
  </si>
  <si>
    <t>SWG101374</t>
  </si>
  <si>
    <t>SWG101456</t>
  </si>
  <si>
    <t>SWG101940</t>
  </si>
  <si>
    <t>SWG102008</t>
  </si>
  <si>
    <t>SWG102126</t>
  </si>
  <si>
    <t>SWG102499</t>
  </si>
  <si>
    <t>SWG103570</t>
  </si>
  <si>
    <t>SWG103905</t>
  </si>
  <si>
    <t>SWG104072</t>
  </si>
  <si>
    <t>SWG104609</t>
  </si>
  <si>
    <t>SWG104614</t>
  </si>
  <si>
    <t>SWG104632</t>
  </si>
  <si>
    <t>SWG100132</t>
  </si>
  <si>
    <t>SWG100175</t>
  </si>
  <si>
    <t>SWG100315</t>
  </si>
  <si>
    <t>SWG100610</t>
  </si>
  <si>
    <t>SWG100735</t>
  </si>
  <si>
    <t>SWG101119</t>
  </si>
  <si>
    <t>SWG102647</t>
  </si>
  <si>
    <t>SWG102983</t>
  </si>
  <si>
    <t>SWG103015</t>
  </si>
  <si>
    <t>SWG103224</t>
  </si>
  <si>
    <t>SWG103823</t>
  </si>
  <si>
    <t>SWG104098</t>
  </si>
  <si>
    <t>SWG104236</t>
  </si>
  <si>
    <t>SWG104267</t>
  </si>
  <si>
    <t>SWG104345</t>
  </si>
  <si>
    <t>SWG104388</t>
  </si>
  <si>
    <t>SWG104509</t>
  </si>
  <si>
    <t>SWG100157</t>
  </si>
  <si>
    <t>SWG100163</t>
  </si>
  <si>
    <t>SWG100321</t>
  </si>
  <si>
    <t>SWG100572</t>
  </si>
  <si>
    <t>SWG101611</t>
  </si>
  <si>
    <t>SWG101990</t>
  </si>
  <si>
    <t>SWG102529</t>
  </si>
  <si>
    <t>SWG102947</t>
  </si>
  <si>
    <t>SWG103123</t>
  </si>
  <si>
    <t>SWG103350</t>
  </si>
  <si>
    <t>SWG103476</t>
  </si>
  <si>
    <t>SWG104369</t>
  </si>
  <si>
    <t>SWG104447</t>
  </si>
  <si>
    <t>SWG100467</t>
  </si>
  <si>
    <t>SWG100517</t>
  </si>
  <si>
    <t>SWG100807</t>
  </si>
  <si>
    <t>SWG101196</t>
  </si>
  <si>
    <t>SWG101222</t>
  </si>
  <si>
    <t>SWG101286</t>
  </si>
  <si>
    <t>SWG101709</t>
  </si>
  <si>
    <t>SWG101722</t>
  </si>
  <si>
    <t>SWG101727</t>
  </si>
  <si>
    <t>SWG102009</t>
  </si>
  <si>
    <t>SWG102030</t>
  </si>
  <si>
    <t>SWG102642</t>
  </si>
  <si>
    <t>SWG103314</t>
  </si>
  <si>
    <t>SWG103430</t>
  </si>
  <si>
    <t>SWG103967</t>
  </si>
  <si>
    <t>SWG104548</t>
  </si>
  <si>
    <t>SWG100168</t>
  </si>
  <si>
    <t>SWG100319</t>
  </si>
  <si>
    <t>SWG100559</t>
  </si>
  <si>
    <t>SWG100716</t>
  </si>
  <si>
    <t>SWG100794</t>
  </si>
  <si>
    <t>SWG101040</t>
  </si>
  <si>
    <t>SWG101224</t>
  </si>
  <si>
    <t>SWG102303</t>
  </si>
  <si>
    <t>SWG102336</t>
  </si>
  <si>
    <t>SWG103037</t>
  </si>
  <si>
    <t>SWG103136</t>
  </si>
  <si>
    <t>SWG103563</t>
  </si>
  <si>
    <t>SWG101150</t>
  </si>
  <si>
    <t>SWG101354</t>
  </si>
  <si>
    <t>SWG101971</t>
  </si>
  <si>
    <t>SWG102072</t>
  </si>
  <si>
    <t>SWG102310</t>
  </si>
  <si>
    <t>SWG102430</t>
  </si>
  <si>
    <t>SWG103544</t>
  </si>
  <si>
    <t>SWG104160</t>
  </si>
  <si>
    <t>SWG104822</t>
  </si>
  <si>
    <t>SWG100362</t>
  </si>
  <si>
    <t>SWG100391</t>
  </si>
  <si>
    <t>SWG100760</t>
  </si>
  <si>
    <t>SWG101058</t>
  </si>
  <si>
    <t>SWG101242</t>
  </si>
  <si>
    <t>SWG101247</t>
  </si>
  <si>
    <t>SWG101270</t>
  </si>
  <si>
    <t>SWG101452</t>
  </si>
  <si>
    <t>SWG101730</t>
  </si>
  <si>
    <t>SWG101886</t>
  </si>
  <si>
    <t>SWG102264</t>
  </si>
  <si>
    <t>SWG102340</t>
  </si>
  <si>
    <t>SWG102413</t>
  </si>
  <si>
    <t>SWG102597</t>
  </si>
  <si>
    <t>SWG102598</t>
  </si>
  <si>
    <t>SWG102613</t>
  </si>
  <si>
    <t>SWG103361</t>
  </si>
  <si>
    <t>SWG103875</t>
  </si>
  <si>
    <t>SWG104382</t>
  </si>
  <si>
    <t>SWG104882</t>
  </si>
  <si>
    <t>SWG100105</t>
  </si>
  <si>
    <t>SWG100299</t>
  </si>
  <si>
    <t>SWG100478</t>
  </si>
  <si>
    <t>SWG100722</t>
  </si>
  <si>
    <t>SWG100942</t>
  </si>
  <si>
    <t>SWG101080</t>
  </si>
  <si>
    <t>SWG101085</t>
  </si>
  <si>
    <t>SWG101394</t>
  </si>
  <si>
    <t>SWG101628</t>
  </si>
  <si>
    <t>SWG101804</t>
  </si>
  <si>
    <t>SWG101825</t>
  </si>
  <si>
    <t>SWG102069</t>
  </si>
  <si>
    <t>SWG102396</t>
  </si>
  <si>
    <t>SWG102891</t>
  </si>
  <si>
    <t>SWG103061</t>
  </si>
  <si>
    <t>SWG104225</t>
  </si>
  <si>
    <t>SWG104284</t>
  </si>
  <si>
    <t>SWG104566</t>
  </si>
  <si>
    <t>SWG104591</t>
  </si>
  <si>
    <t>SWG100448</t>
  </si>
  <si>
    <t>SWG100488</t>
  </si>
  <si>
    <t>SWG102054</t>
  </si>
  <si>
    <t>SWG102160</t>
  </si>
  <si>
    <t>SWG102532</t>
  </si>
  <si>
    <t>SWG103377</t>
  </si>
  <si>
    <t>SWG103597</t>
  </si>
  <si>
    <t>SWG103606</t>
  </si>
  <si>
    <t>SWG103624</t>
  </si>
  <si>
    <t>SWG103669</t>
  </si>
  <si>
    <t>SWG104106</t>
  </si>
  <si>
    <t>SWG104341</t>
  </si>
  <si>
    <t>SWG104415</t>
  </si>
  <si>
    <t>SWG104980</t>
  </si>
  <si>
    <t>SWG101041</t>
  </si>
  <si>
    <t>SWG101174</t>
  </si>
  <si>
    <t>SWG101266</t>
  </si>
  <si>
    <t>SWG101416</t>
  </si>
  <si>
    <t>SWG102117</t>
  </si>
  <si>
    <t>SWG102167</t>
  </si>
  <si>
    <t>SWG102247</t>
  </si>
  <si>
    <t>SWG102301</t>
  </si>
  <si>
    <t>SWG102374</t>
  </si>
  <si>
    <t>SWG103232</t>
  </si>
  <si>
    <t>SWG104321</t>
  </si>
  <si>
    <t>SWG104504</t>
  </si>
  <si>
    <t>SWG104832</t>
  </si>
  <si>
    <t>SWG104835</t>
  </si>
  <si>
    <t>SWG100626</t>
  </si>
  <si>
    <t>SWG100873</t>
  </si>
  <si>
    <t>SWG101116</t>
  </si>
  <si>
    <t>SWG101373</t>
  </si>
  <si>
    <t>SWG102152</t>
  </si>
  <si>
    <t>SWG102346</t>
  </si>
  <si>
    <t>SWG102578</t>
  </si>
  <si>
    <t>SWG103577</t>
  </si>
  <si>
    <t>SWG103767</t>
  </si>
  <si>
    <t>SWG104183</t>
  </si>
  <si>
    <t>SWG104668</t>
  </si>
  <si>
    <t>SWG104734</t>
  </si>
  <si>
    <t>SWG104928</t>
  </si>
  <si>
    <t>SWG100118</t>
  </si>
  <si>
    <t>SWG100996</t>
  </si>
  <si>
    <t>SWG101145</t>
  </si>
  <si>
    <t>SWG101298</t>
  </si>
  <si>
    <t>SWG101334</t>
  </si>
  <si>
    <t>SWG101480</t>
  </si>
  <si>
    <t>SWG101523</t>
  </si>
  <si>
    <t>SWG101531</t>
  </si>
  <si>
    <t>SWG101910</t>
  </si>
  <si>
    <t>SWG101949</t>
  </si>
  <si>
    <t>SWG102006</t>
  </si>
  <si>
    <t>SWG102136</t>
  </si>
  <si>
    <t>SWG102215</t>
  </si>
  <si>
    <t>SWG102237</t>
  </si>
  <si>
    <t>SWG102715</t>
  </si>
  <si>
    <t>SWG103734</t>
  </si>
  <si>
    <t>SWG104925</t>
  </si>
  <si>
    <t>SWG104956</t>
  </si>
  <si>
    <t>SWG104989</t>
  </si>
  <si>
    <t>SWG100020</t>
  </si>
  <si>
    <t>SWG100226</t>
  </si>
  <si>
    <t>SWG100790</t>
  </si>
  <si>
    <t>SWG100901</t>
  </si>
  <si>
    <t>SWG101096</t>
  </si>
  <si>
    <t>SWG101180</t>
  </si>
  <si>
    <t>SWG102036</t>
  </si>
  <si>
    <t>SWG102923</t>
  </si>
  <si>
    <t>SWG103079</t>
  </si>
  <si>
    <t>SWG103349</t>
  </si>
  <si>
    <t>SWG103391</t>
  </si>
  <si>
    <t>SWG103539</t>
  </si>
  <si>
    <t>SWG103685</t>
  </si>
  <si>
    <t>SWG103921</t>
  </si>
  <si>
    <t>SWG104766</t>
  </si>
  <si>
    <t>SWG100199</t>
  </si>
  <si>
    <t>SWG101055</t>
  </si>
  <si>
    <t>SWG101383</t>
  </si>
  <si>
    <t>SWG101534</t>
  </si>
  <si>
    <t>SWG101668</t>
  </si>
  <si>
    <t>SWG101927</t>
  </si>
  <si>
    <t>SWG102663</t>
  </si>
  <si>
    <t>SWG102817</t>
  </si>
  <si>
    <t>SWG103246</t>
  </si>
  <si>
    <t>SWG103625</t>
  </si>
  <si>
    <t>SWG103634</t>
  </si>
  <si>
    <t>SWG104330</t>
  </si>
  <si>
    <t>SWG104446</t>
  </si>
  <si>
    <t>SWG104531</t>
  </si>
  <si>
    <t>SWG104606</t>
  </si>
  <si>
    <t>SWG104717</t>
  </si>
  <si>
    <t>SWG100080</t>
  </si>
  <si>
    <t>SWG101029</t>
  </si>
  <si>
    <t>SWG101053</t>
  </si>
  <si>
    <t>SWG101153</t>
  </si>
  <si>
    <t>SWG101378</t>
  </si>
  <si>
    <t>SWG101407</t>
  </si>
  <si>
    <t>SWG103334</t>
  </si>
  <si>
    <t>SWG104416</t>
  </si>
  <si>
    <t>SWG104913</t>
  </si>
  <si>
    <t>SWG104937</t>
  </si>
  <si>
    <t>SWG104991</t>
  </si>
  <si>
    <t>SWG104993</t>
  </si>
  <si>
    <t>SWG101154</t>
  </si>
  <si>
    <t>SWG101866</t>
  </si>
  <si>
    <t>SWG102823</t>
  </si>
  <si>
    <t>SWG102967</t>
  </si>
  <si>
    <t>SWG100255</t>
  </si>
  <si>
    <t>SWG101945</t>
  </si>
  <si>
    <t>SWG102188</t>
  </si>
  <si>
    <t>SWG103553</t>
  </si>
  <si>
    <t>SWG103735</t>
  </si>
  <si>
    <t>SWG104973</t>
  </si>
  <si>
    <t>SWG100369</t>
  </si>
  <si>
    <t>SWG101118</t>
  </si>
  <si>
    <t>SWG102026</t>
  </si>
  <si>
    <t>SWG103973</t>
  </si>
  <si>
    <t>SWG104414</t>
  </si>
  <si>
    <t>SWG104821</t>
  </si>
  <si>
    <t>SWG104932</t>
  </si>
  <si>
    <t>SWG100913</t>
  </si>
  <si>
    <t>SWG100979</t>
  </si>
  <si>
    <t>SWG101888</t>
  </si>
  <si>
    <t>SWG102137</t>
  </si>
  <si>
    <t>SWG102290</t>
  </si>
  <si>
    <t>SWG102307</t>
  </si>
  <si>
    <t>SWG103453</t>
  </si>
  <si>
    <t>SWG104753</t>
  </si>
  <si>
    <t>SWG100093</t>
  </si>
  <si>
    <t>SWG100624</t>
  </si>
  <si>
    <t>SWG100857</t>
  </si>
  <si>
    <t>SWG101477</t>
  </si>
  <si>
    <t>SWG101615</t>
  </si>
  <si>
    <t>SWG101802</t>
  </si>
  <si>
    <t>SWG101874</t>
  </si>
  <si>
    <t>SWG101969</t>
  </si>
  <si>
    <t>SWG102040</t>
  </si>
  <si>
    <t>SWG102772</t>
  </si>
  <si>
    <t>SWG102851</t>
  </si>
  <si>
    <t>SWG103182</t>
  </si>
  <si>
    <t>SWG103284</t>
  </si>
  <si>
    <t>SWG103341</t>
  </si>
  <si>
    <t>SWG103886</t>
  </si>
  <si>
    <t>SWG104370</t>
  </si>
  <si>
    <t>SWG100340</t>
  </si>
  <si>
    <t>SWG100520</t>
  </si>
  <si>
    <t>SWG101132</t>
  </si>
  <si>
    <t>SWG101158</t>
  </si>
  <si>
    <t>SWG101272</t>
  </si>
  <si>
    <t>SWG101504</t>
  </si>
  <si>
    <t>SWG101536</t>
  </si>
  <si>
    <t>SWG102068</t>
  </si>
  <si>
    <t>SWG102143</t>
  </si>
  <si>
    <t>SWG102258</t>
  </si>
  <si>
    <t>SWG102627</t>
  </si>
  <si>
    <t>SWG102684</t>
  </si>
  <si>
    <t>SWG102803</t>
  </si>
  <si>
    <t>SWG103000</t>
  </si>
  <si>
    <t>SWG103086</t>
  </si>
  <si>
    <t>SWG103240</t>
  </si>
  <si>
    <t>SWG103927</t>
  </si>
  <si>
    <t>SWG104522</t>
  </si>
  <si>
    <t>SWG104800</t>
  </si>
  <si>
    <t>SWG100661</t>
  </si>
  <si>
    <t>SWG100713</t>
  </si>
  <si>
    <t>SWG100780</t>
  </si>
  <si>
    <t>SWG100881</t>
  </si>
  <si>
    <t>SWG101098</t>
  </si>
  <si>
    <t>SWG101130</t>
  </si>
  <si>
    <t>SWG101290</t>
  </si>
  <si>
    <t>SWG101432</t>
  </si>
  <si>
    <t>SWG101741</t>
  </si>
  <si>
    <t>SWG101970</t>
  </si>
  <si>
    <t>SWG102063</t>
  </si>
  <si>
    <t>SWG102148</t>
  </si>
  <si>
    <t>SWG102311</t>
  </si>
  <si>
    <t>SWG102769</t>
  </si>
  <si>
    <t>SWG103078</t>
  </si>
  <si>
    <t>SWG103566</t>
  </si>
  <si>
    <t>SWG103742</t>
  </si>
  <si>
    <t>SWG103789</t>
  </si>
  <si>
    <t>SWG104076</t>
  </si>
  <si>
    <t>SWG104134</t>
  </si>
  <si>
    <t>SWG104501</t>
  </si>
  <si>
    <t>SWG100075</t>
  </si>
  <si>
    <t>SWG100264</t>
  </si>
  <si>
    <t>SWG100273</t>
  </si>
  <si>
    <t>SWG100301</t>
  </si>
  <si>
    <t>SWG100323</t>
  </si>
  <si>
    <t>SWG101638</t>
  </si>
  <si>
    <t>SWG102075</t>
  </si>
  <si>
    <t>SWG102128</t>
  </si>
  <si>
    <t>SWG102135</t>
  </si>
  <si>
    <t>SWG103172</t>
  </si>
  <si>
    <t>SWG103503</t>
  </si>
  <si>
    <t>SWG103737</t>
  </si>
  <si>
    <t>SWG104426</t>
  </si>
  <si>
    <t>SWG104834</t>
  </si>
  <si>
    <t>SWG100404</t>
  </si>
  <si>
    <t>Nov</t>
  </si>
  <si>
    <t>SWG100674</t>
  </si>
  <si>
    <t>SWG101020</t>
  </si>
  <si>
    <t>SWG101223</t>
  </si>
  <si>
    <t>SWG101427</t>
  </si>
  <si>
    <t>SWG101527</t>
  </si>
  <si>
    <t>SWG101839</t>
  </si>
  <si>
    <t>SWG101905</t>
  </si>
  <si>
    <t>SWG101996</t>
  </si>
  <si>
    <t>SWG102115</t>
  </si>
  <si>
    <t>SWG102745</t>
  </si>
  <si>
    <t>SWG102882</t>
  </si>
  <si>
    <t>SWG103258</t>
  </si>
  <si>
    <t>SWG103390</t>
  </si>
  <si>
    <t>SWG103440</t>
  </si>
  <si>
    <t>SWG104373</t>
  </si>
  <si>
    <t>SWG104615</t>
  </si>
  <si>
    <t>SWG104618</t>
  </si>
  <si>
    <t>SWG100377</t>
  </si>
  <si>
    <t>SWG100771</t>
  </si>
  <si>
    <t>SWG100791</t>
  </si>
  <si>
    <t>SWG101705</t>
  </si>
  <si>
    <t>SWG102029</t>
  </si>
  <si>
    <t>SWG103412</t>
  </si>
  <si>
    <t>SWG103689</t>
  </si>
  <si>
    <t>SWG104141</t>
  </si>
  <si>
    <t>SWG100042</t>
  </si>
  <si>
    <t>SWG100186</t>
  </si>
  <si>
    <t>SWG101371</t>
  </si>
  <si>
    <t>SWG101887</t>
  </si>
  <si>
    <t>SWG102962</t>
  </si>
  <si>
    <t>SWG103047</t>
  </si>
  <si>
    <t>SWG103196</t>
  </si>
  <si>
    <t>SWG103263</t>
  </si>
  <si>
    <t>SWG103317</t>
  </si>
  <si>
    <t>SWG103704</t>
  </si>
  <si>
    <t>SWG103847</t>
  </si>
  <si>
    <t>SWG100247</t>
  </si>
  <si>
    <t>SWG100424</t>
  </si>
  <si>
    <t>SWG100797</t>
  </si>
  <si>
    <t>SWG102041</t>
  </si>
  <si>
    <t>SWG102456</t>
  </si>
  <si>
    <t>SWG102458</t>
  </si>
  <si>
    <t>SWG102495</t>
  </si>
  <si>
    <t>SWG103140</t>
  </si>
  <si>
    <t>SWG103192</t>
  </si>
  <si>
    <t>SWG103506</t>
  </si>
  <si>
    <t>SWG103909</t>
  </si>
  <si>
    <t>SWG104203</t>
  </si>
  <si>
    <t>SWG100017</t>
  </si>
  <si>
    <t>SWG101068</t>
  </si>
  <si>
    <t>SWG101168</t>
  </si>
  <si>
    <t>SWG101361</t>
  </si>
  <si>
    <t>SWG101763</t>
  </si>
  <si>
    <t>SWG101884</t>
  </si>
  <si>
    <t>SWG103144</t>
  </si>
  <si>
    <t>SWG103444</t>
  </si>
  <si>
    <t>SWG104340</t>
  </si>
  <si>
    <t>SWG104359</t>
  </si>
  <si>
    <t>SWG104620</t>
  </si>
  <si>
    <t>SWG104968</t>
  </si>
  <si>
    <t>SWG100067</t>
  </si>
  <si>
    <t>SWG100293</t>
  </si>
  <si>
    <t>SWG101368</t>
  </si>
  <si>
    <t>SWG101386</t>
  </si>
  <si>
    <t>SWG101551</t>
  </si>
  <si>
    <t>SWG101815</t>
  </si>
  <si>
    <t>SWG102105</t>
  </si>
  <si>
    <t>SWG102192</t>
  </si>
  <si>
    <t>SWG102395</t>
  </si>
  <si>
    <t>SWG102403</t>
  </si>
  <si>
    <t>SWG102717</t>
  </si>
  <si>
    <t>SWG103253</t>
  </si>
  <si>
    <t>SWG103487</t>
  </si>
  <si>
    <t>SWG103757</t>
  </si>
  <si>
    <t>SWG103774</t>
  </si>
  <si>
    <t>SWG104155</t>
  </si>
  <si>
    <t>SWG104293</t>
  </si>
  <si>
    <t>SWG104483</t>
  </si>
  <si>
    <t>SWG104635</t>
  </si>
  <si>
    <t>SWG100423</t>
  </si>
  <si>
    <t>SWG100740</t>
  </si>
  <si>
    <t>SWG100955</t>
  </si>
  <si>
    <t>SWG101276</t>
  </si>
  <si>
    <t>SWG101431</t>
  </si>
  <si>
    <t>SWG101492</t>
  </si>
  <si>
    <t>SWG102056</t>
  </si>
  <si>
    <t>SWG102312</t>
  </si>
  <si>
    <t>SWG102361</t>
  </si>
  <si>
    <t>SWG103202</t>
  </si>
  <si>
    <t>SWG103340</t>
  </si>
  <si>
    <t>SWG103962</t>
  </si>
  <si>
    <t>SWG104488</t>
  </si>
  <si>
    <t>SWG104521</t>
  </si>
  <si>
    <t>SWG100652</t>
  </si>
  <si>
    <t>SWG100715</t>
  </si>
  <si>
    <t>SWG100893</t>
  </si>
  <si>
    <t>SWG101393</t>
  </si>
  <si>
    <t>SWG101894</t>
  </si>
  <si>
    <t>SWG101999</t>
  </si>
  <si>
    <t>SWG102186</t>
  </si>
  <si>
    <t>SWG102704</t>
  </si>
  <si>
    <t>SWG103235</t>
  </si>
  <si>
    <t>SWG103871</t>
  </si>
  <si>
    <t>SWG104068</t>
  </si>
  <si>
    <t>SWG104510</t>
  </si>
  <si>
    <t>SWG104639</t>
  </si>
  <si>
    <t>SWG100380</t>
  </si>
  <si>
    <t>SWG100777</t>
  </si>
  <si>
    <t>SWG101163</t>
  </si>
  <si>
    <t>SWG101171</t>
  </si>
  <si>
    <t>SWG101252</t>
  </si>
  <si>
    <t>SWG101353</t>
  </si>
  <si>
    <t>SWG101556</t>
  </si>
  <si>
    <t>SWG101988</t>
  </si>
  <si>
    <t>SWG102770</t>
  </si>
  <si>
    <t>SWG102820</t>
  </si>
  <si>
    <t>SWG102873</t>
  </si>
  <si>
    <t>SWG103084</t>
  </si>
  <si>
    <t>SWG103373</t>
  </si>
  <si>
    <t>SWG103642</t>
  </si>
  <si>
    <t>SWG103782</t>
  </si>
  <si>
    <t>SWG103838</t>
  </si>
  <si>
    <t>SWG104118</t>
  </si>
  <si>
    <t>SWG104124</t>
  </si>
  <si>
    <t>SWG104194</t>
  </si>
  <si>
    <t>SWG104251</t>
  </si>
  <si>
    <t>SWG104546</t>
  </si>
  <si>
    <t>SWG104672</t>
  </si>
  <si>
    <t>SWG104746</t>
  </si>
  <si>
    <t>SWG104961</t>
  </si>
  <si>
    <t>SWG100024</t>
  </si>
  <si>
    <t>SWG100401</t>
  </si>
  <si>
    <t>SWG100533</t>
  </si>
  <si>
    <t>SWG101654</t>
  </si>
  <si>
    <t>SWG101862</t>
  </si>
  <si>
    <t>SWG102482</t>
  </si>
  <si>
    <t>SWG102526</t>
  </si>
  <si>
    <t>SWG102555</t>
  </si>
  <si>
    <t>SWG102693</t>
  </si>
  <si>
    <t>SWG102752</t>
  </si>
  <si>
    <t>SWG102875</t>
  </si>
  <si>
    <t>SWG103049</t>
  </si>
  <si>
    <t>SWG104140</t>
  </si>
  <si>
    <t>SWG104224</t>
  </si>
  <si>
    <t>SWG104420</t>
  </si>
  <si>
    <t>SWG104530</t>
  </si>
  <si>
    <t>SWG104617</t>
  </si>
  <si>
    <t>SWG104714</t>
  </si>
  <si>
    <t>SWG104718</t>
  </si>
  <si>
    <t>SWG100190</t>
  </si>
  <si>
    <t>SWG100734</t>
  </si>
  <si>
    <t>SWG100939</t>
  </si>
  <si>
    <t>SWG101466</t>
  </si>
  <si>
    <t>SWG102606</t>
  </si>
  <si>
    <t>SWG103414</t>
  </si>
  <si>
    <t>SWG104055</t>
  </si>
  <si>
    <t>SWG104231</t>
  </si>
  <si>
    <t>SWG104361</t>
  </si>
  <si>
    <t>SWG104871</t>
  </si>
  <si>
    <t>SWG100049</t>
  </si>
  <si>
    <t>SWG100379</t>
  </si>
  <si>
    <t>SWG100694</t>
  </si>
  <si>
    <t>SWG101039</t>
  </si>
  <si>
    <t>SWG101140</t>
  </si>
  <si>
    <t>SWG101609</t>
  </si>
  <si>
    <t>SWG101773</t>
  </si>
  <si>
    <t>SWG101953</t>
  </si>
  <si>
    <t>SWG102113</t>
  </si>
  <si>
    <t>SWG102279</t>
  </si>
  <si>
    <t>SWG102365</t>
  </si>
  <si>
    <t>SWG102422</t>
  </si>
  <si>
    <t>SWG102826</t>
  </si>
  <si>
    <t>SWG102977</t>
  </si>
  <si>
    <t>SWG103714</t>
  </si>
  <si>
    <t>SWG104798</t>
  </si>
  <si>
    <t>SWG100322</t>
  </si>
  <si>
    <t>SWG100646</t>
  </si>
  <si>
    <t>SWG100660</t>
  </si>
  <si>
    <t>SWG100845</t>
  </si>
  <si>
    <t>SWG101841</t>
  </si>
  <si>
    <t>SWG103134</t>
  </si>
  <si>
    <t>SWG104129</t>
  </si>
  <si>
    <t>SWG104535</t>
  </si>
  <si>
    <t>SWG104605</t>
  </si>
  <si>
    <t>SWG104708</t>
  </si>
  <si>
    <t>SWG100183</t>
  </si>
  <si>
    <t>SWG100196</t>
  </si>
  <si>
    <t>SWG100440</t>
  </si>
  <si>
    <t>SWG100951</t>
  </si>
  <si>
    <t>SWG101022</t>
  </si>
  <si>
    <t>SWG101219</t>
  </si>
  <si>
    <t>SWG101434</t>
  </si>
  <si>
    <t>SWG101506</t>
  </si>
  <si>
    <t>SWG101617</t>
  </si>
  <si>
    <t>SWG101854</t>
  </si>
  <si>
    <t>SWG101856</t>
  </si>
  <si>
    <t>SWG101952</t>
  </si>
  <si>
    <t>SWG103250</t>
  </si>
  <si>
    <t>SWG104116</t>
  </si>
  <si>
    <t>SWG104277</t>
  </si>
  <si>
    <t>SWG104311</t>
  </si>
  <si>
    <t>SWG104419</t>
  </si>
  <si>
    <t>SWG104716</t>
  </si>
  <si>
    <t>SWG104763</t>
  </si>
  <si>
    <t>SWG104943</t>
  </si>
  <si>
    <t>SWG100433</t>
  </si>
  <si>
    <t>SWG100868</t>
  </si>
  <si>
    <t>SWG101012</t>
  </si>
  <si>
    <t>SWG101165</t>
  </si>
  <si>
    <t>SWG101236</t>
  </si>
  <si>
    <t>SWG101535</t>
  </si>
  <si>
    <t>SWG101687</t>
  </si>
  <si>
    <t>SWG101785</t>
  </si>
  <si>
    <t>SWG102746</t>
  </si>
  <si>
    <t>SWG102764</t>
  </si>
  <si>
    <t>SWG102929</t>
  </si>
  <si>
    <t>SWG104298</t>
  </si>
  <si>
    <t>SWG104433</t>
  </si>
  <si>
    <t>SWG104516</t>
  </si>
  <si>
    <t>SWG100040</t>
  </si>
  <si>
    <t>SWG100937</t>
  </si>
  <si>
    <t>SWG100994</t>
  </si>
  <si>
    <t>SWG101030</t>
  </si>
  <si>
    <t>SWG101032</t>
  </si>
  <si>
    <t>SWG101751</t>
  </si>
  <si>
    <t>SWG101796</t>
  </si>
  <si>
    <t>SWG102246</t>
  </si>
  <si>
    <t>SWG102566</t>
  </si>
  <si>
    <t>SWG102680</t>
  </si>
  <si>
    <t>SWG102806</t>
  </si>
  <si>
    <t>SWG103138</t>
  </si>
  <si>
    <t>SWG103554</t>
  </si>
  <si>
    <t>SWG103692</t>
  </si>
  <si>
    <t>SWG103953</t>
  </si>
  <si>
    <t>SWG104240</t>
  </si>
  <si>
    <t>SWG104604</t>
  </si>
  <si>
    <t>SWG104690</t>
  </si>
  <si>
    <t>SWG100384</t>
  </si>
  <si>
    <t>SWG100619</t>
  </si>
  <si>
    <t>SWG101011</t>
  </si>
  <si>
    <t>SWG101251</t>
  </si>
  <si>
    <t>SWG102334</t>
  </si>
  <si>
    <t>SWG102400</t>
  </si>
  <si>
    <t>SWG103339</t>
  </si>
  <si>
    <t>SWG103382</t>
  </si>
  <si>
    <t>SWG103397</t>
  </si>
  <si>
    <t>SWG103635</t>
  </si>
  <si>
    <t>SWG103814</t>
  </si>
  <si>
    <t>SWG103893</t>
  </si>
  <si>
    <t>SWG103983</t>
  </si>
  <si>
    <t>SWG104179</t>
  </si>
  <si>
    <t>SWG104437</t>
  </si>
  <si>
    <t>SWG104640</t>
  </si>
  <si>
    <t>SWG104896</t>
  </si>
  <si>
    <t>SWG100390</t>
  </si>
  <si>
    <t>SWG100965</t>
  </si>
  <si>
    <t>SWG101089</t>
  </si>
  <si>
    <t>SWG103620</t>
  </si>
  <si>
    <t>SWG104005</t>
  </si>
  <si>
    <t>SWG104307</t>
  </si>
  <si>
    <t>SWG104339</t>
  </si>
  <si>
    <t>SWG104676</t>
  </si>
  <si>
    <t>SWG104924</t>
  </si>
  <si>
    <t>SWG104927</t>
  </si>
  <si>
    <t>SWG100350</t>
  </si>
  <si>
    <t>SWG100357</t>
  </si>
  <si>
    <t>SWG100511</t>
  </si>
  <si>
    <t>SWG101254</t>
  </si>
  <si>
    <t>SWG101589</t>
  </si>
  <si>
    <t>SWG101621</t>
  </si>
  <si>
    <t>SWG102251</t>
  </si>
  <si>
    <t>SWG102356</t>
  </si>
  <si>
    <t>SWG103540</t>
  </si>
  <si>
    <t>SWG103551</t>
  </si>
  <si>
    <t>SWG104028</t>
  </si>
  <si>
    <t>SWG104105</t>
  </si>
  <si>
    <t>SWG104342</t>
  </si>
  <si>
    <t>SWG104685</t>
  </si>
  <si>
    <t>SWG100221</t>
  </si>
  <si>
    <t>SWG100983</t>
  </si>
  <si>
    <t>SWG101109</t>
  </si>
  <si>
    <t>SWG101143</t>
  </si>
  <si>
    <t>SWG101521</t>
  </si>
  <si>
    <t>SWG101696</t>
  </si>
  <si>
    <t>SWG102092</t>
  </si>
  <si>
    <t>SWG102156</t>
  </si>
  <si>
    <t>SWG102579</t>
  </si>
  <si>
    <t>SWG103177</t>
  </si>
  <si>
    <t>SWG103300</t>
  </si>
  <si>
    <t>SWG103456</t>
  </si>
  <si>
    <t>SWG104046</t>
  </si>
  <si>
    <t>SWG104094</t>
  </si>
  <si>
    <t>SWG104171</t>
  </si>
  <si>
    <t>SWG104485</t>
  </si>
  <si>
    <t>SWG100228</t>
  </si>
  <si>
    <t>SWG100486</t>
  </si>
  <si>
    <t>SWG100495</t>
  </si>
  <si>
    <t>SWG101950</t>
  </si>
  <si>
    <t>SWG102016</t>
  </si>
  <si>
    <t>SWG102787</t>
  </si>
  <si>
    <t>SWG103016</t>
  </si>
  <si>
    <t>SWG103055</t>
  </si>
  <si>
    <t>SWG103171</t>
  </si>
  <si>
    <t>SWG103393</t>
  </si>
  <si>
    <t>SWG103401</t>
  </si>
  <si>
    <t>SWG103541</t>
  </si>
  <si>
    <t>SWG103691</t>
  </si>
  <si>
    <t>SWG104310</t>
  </si>
  <si>
    <t>SWG104613</t>
  </si>
  <si>
    <t>SWG100237</t>
  </si>
  <si>
    <t>SWG100407</t>
  </si>
  <si>
    <t>SWG100847</t>
  </si>
  <si>
    <t>SWG100981</t>
  </si>
  <si>
    <t>SWG101336</t>
  </si>
  <si>
    <t>SWG101683</t>
  </si>
  <si>
    <t>SWG101960</t>
  </si>
  <si>
    <t>SWG102142</t>
  </si>
  <si>
    <t>SWG102294</t>
  </si>
  <si>
    <t>SWG102822</t>
  </si>
  <si>
    <t>SWG103771</t>
  </si>
  <si>
    <t>SWG104122</t>
  </si>
  <si>
    <t>SWG104350</t>
  </si>
  <si>
    <t>SWG104782</t>
  </si>
  <si>
    <t>SWG100096</t>
  </si>
  <si>
    <t>SWG100153</t>
  </si>
  <si>
    <t>SWG100622</t>
  </si>
  <si>
    <t>SWG101213</t>
  </si>
  <si>
    <t>SWG102889</t>
  </si>
  <si>
    <t>SWG103125</t>
  </si>
  <si>
    <t>SWG103572</t>
  </si>
  <si>
    <t>SWG104026</t>
  </si>
  <si>
    <t>SWG104077</t>
  </si>
  <si>
    <t>SWG104898</t>
  </si>
  <si>
    <t>SWG100112</t>
  </si>
  <si>
    <t>SWG101034</t>
  </si>
  <si>
    <t>SWG101054</t>
  </si>
  <si>
    <t>SWG101146</t>
  </si>
  <si>
    <t>SWG101256</t>
  </si>
  <si>
    <t>SWG101465</t>
  </si>
  <si>
    <t>SWG101604</t>
  </si>
  <si>
    <t>SWG101851</t>
  </si>
  <si>
    <t>SWG102066</t>
  </si>
  <si>
    <t>SWG102127</t>
  </si>
  <si>
    <t>SWG103105</t>
  </si>
  <si>
    <t>SWG103530</t>
  </si>
  <si>
    <t>SWG103536</t>
  </si>
  <si>
    <t>SWG104252</t>
  </si>
  <si>
    <t>SWG104260</t>
  </si>
  <si>
    <t>SWG100045</t>
  </si>
  <si>
    <t>SWG101014</t>
  </si>
  <si>
    <t>SWG101583</t>
  </si>
  <si>
    <t>SWG102442</t>
  </si>
  <si>
    <t>SWG102576</t>
  </si>
  <si>
    <t>SWG102850</t>
  </si>
  <si>
    <t>SWG103529</t>
  </si>
  <si>
    <t>SWG103755</t>
  </si>
  <si>
    <t>SWG100514</t>
  </si>
  <si>
    <t>SWG100682</t>
  </si>
  <si>
    <t>SWG100810</t>
  </si>
  <si>
    <t>SWG101093</t>
  </si>
  <si>
    <t>SWG101124</t>
  </si>
  <si>
    <t>SWG101278</t>
  </si>
  <si>
    <t>SWG101429</t>
  </si>
  <si>
    <t>SWG101553</t>
  </si>
  <si>
    <t>SWG102122</t>
  </si>
  <si>
    <t>SWG102907</t>
  </si>
  <si>
    <t>SWG102915</t>
  </si>
  <si>
    <t>SWG104387</t>
  </si>
  <si>
    <t>SWG104594</t>
  </si>
  <si>
    <t>SWG100010</t>
  </si>
  <si>
    <t>SWG100169</t>
  </si>
  <si>
    <t>SWG100597</t>
  </si>
  <si>
    <t>SWG100950</t>
  </si>
  <si>
    <t>SWG102102</t>
  </si>
  <si>
    <t>SWG102355</t>
  </si>
  <si>
    <t>SWG103318</t>
  </si>
  <si>
    <t>SWG103849</t>
  </si>
  <si>
    <t>SWG103873</t>
  </si>
  <si>
    <t>SWG103939</t>
  </si>
  <si>
    <t>SWG104266</t>
  </si>
  <si>
    <t>SWG104422</t>
  </si>
  <si>
    <t>SWG104696</t>
  </si>
  <si>
    <t>SWG104813</t>
  </si>
  <si>
    <t>SWG101110</t>
  </si>
  <si>
    <t>SWG101595</t>
  </si>
  <si>
    <t>SWG101904</t>
  </si>
  <si>
    <t>SWG101979</t>
  </si>
  <si>
    <t>SWG103184</t>
  </si>
  <si>
    <t>SWG103279</t>
  </si>
  <si>
    <t>SWG103309</t>
  </si>
  <si>
    <t>SWG103956</t>
  </si>
  <si>
    <t>SWG104135</t>
  </si>
  <si>
    <t>SWG104737</t>
  </si>
  <si>
    <t>SWG100999</t>
  </si>
  <si>
    <t>SWG101540</t>
  </si>
  <si>
    <t>SWG102309</t>
  </si>
  <si>
    <t>SWG102544</t>
  </si>
  <si>
    <t>SWG103091</t>
  </si>
  <si>
    <t>SWG103271</t>
  </si>
  <si>
    <t>SWG103940</t>
  </si>
  <si>
    <t>SWG104677</t>
  </si>
  <si>
    <t>SWG101024</t>
  </si>
  <si>
    <t>SWG101947</t>
  </si>
  <si>
    <t>SWG102004</t>
  </si>
  <si>
    <t>SWG102161</t>
  </si>
  <si>
    <t>SWG102419</t>
  </si>
  <si>
    <t>SWG102607</t>
  </si>
  <si>
    <t>SWG103110</t>
  </si>
  <si>
    <t>SWG103146</t>
  </si>
  <si>
    <t>SWG104272</t>
  </si>
  <si>
    <t>SWG100795</t>
  </si>
  <si>
    <t>Dec</t>
  </si>
  <si>
    <t>SWG100800</t>
  </si>
  <si>
    <t>SWG100969</t>
  </si>
  <si>
    <t>SWG100975</t>
  </si>
  <si>
    <t>SWG101460</t>
  </si>
  <si>
    <t>SWG101689</t>
  </si>
  <si>
    <t>SWG101925</t>
  </si>
  <si>
    <t>SWG103365</t>
  </si>
  <si>
    <t>SWG103659</t>
  </si>
  <si>
    <t>SWG104467</t>
  </si>
  <si>
    <t>SWG104669</t>
  </si>
  <si>
    <t>SWG104679</t>
  </si>
  <si>
    <t>SWG100499</t>
  </si>
  <si>
    <t>SWG100826</t>
  </si>
  <si>
    <t>SWG101632</t>
  </si>
  <si>
    <t>SWG102042</t>
  </si>
  <si>
    <t>SWG102147</t>
  </si>
  <si>
    <t>SWG102380</t>
  </si>
  <si>
    <t>SWG102402</t>
  </si>
  <si>
    <t>SWG102734</t>
  </si>
  <si>
    <t>SWG102843</t>
  </si>
  <si>
    <t>SWG102980</t>
  </si>
  <si>
    <t>SWG103975</t>
  </si>
  <si>
    <t>SWG104237</t>
  </si>
  <si>
    <t>SWG104532</t>
  </si>
  <si>
    <t>SWG104643</t>
  </si>
  <si>
    <t>SWG104755</t>
  </si>
  <si>
    <t>SWG100525</t>
  </si>
  <si>
    <t>SWG100871</t>
  </si>
  <si>
    <t>SWG101202</t>
  </si>
  <si>
    <t>SWG101401</t>
  </si>
  <si>
    <t>SWG101737</t>
  </si>
  <si>
    <t>SWG102571</t>
  </si>
  <si>
    <t>SWG102798</t>
  </si>
  <si>
    <t>SWG103532</t>
  </si>
  <si>
    <t>SWG103533</t>
  </si>
  <si>
    <t>SWG103646</t>
  </si>
  <si>
    <t>SWG103798</t>
  </si>
  <si>
    <t>SWG104206</t>
  </si>
  <si>
    <t>SWG104215</t>
  </si>
  <si>
    <t>SWG100084</t>
  </si>
  <si>
    <t>SWG100250</t>
  </si>
  <si>
    <t>SWG100291</t>
  </si>
  <si>
    <t>SWG100793</t>
  </si>
  <si>
    <t>SWG101573</t>
  </si>
  <si>
    <t>SWG101797</t>
  </si>
  <si>
    <t>SWG102489</t>
  </si>
  <si>
    <t>SWG102856</t>
  </si>
  <si>
    <t>SWG103048</t>
  </si>
  <si>
    <t>SWG103298</t>
  </si>
  <si>
    <t>SWG103466</t>
  </si>
  <si>
    <t>SWG103670</t>
  </si>
  <si>
    <t>SWG103703</t>
  </si>
  <si>
    <t>SWG104297</t>
  </si>
  <si>
    <t>SWG104424</t>
  </si>
  <si>
    <t>SWG104428</t>
  </si>
  <si>
    <t>SWG104452</t>
  </si>
  <si>
    <t>SWG100576</t>
  </si>
  <si>
    <t>SWG100616</t>
  </si>
  <si>
    <t>SWG101045</t>
  </si>
  <si>
    <t>SWG101437</t>
  </si>
  <si>
    <t>SWG102100</t>
  </si>
  <si>
    <t>SWG103887</t>
  </si>
  <si>
    <t>SWG104221</t>
  </si>
  <si>
    <t>SWG104232</t>
  </si>
  <si>
    <t>SWG104234</t>
  </si>
  <si>
    <t>SWG104649</t>
  </si>
  <si>
    <t>SWG104686</t>
  </si>
  <si>
    <t>SWG104851</t>
  </si>
  <si>
    <t>SWG104895</t>
  </si>
  <si>
    <t>SWG100055</t>
  </si>
  <si>
    <t>SWG100167</t>
  </si>
  <si>
    <t>SWG100284</t>
  </si>
  <si>
    <t>SWG100503</t>
  </si>
  <si>
    <t>SWG100812</t>
  </si>
  <si>
    <t>SWG101515</t>
  </si>
  <si>
    <t>SWG101781</t>
  </si>
  <si>
    <t>SWG102037</t>
  </si>
  <si>
    <t>SWG103234</t>
  </si>
  <si>
    <t>SWG103297</t>
  </si>
  <si>
    <t>SWG103731</t>
  </si>
  <si>
    <t>SWG103815</t>
  </si>
  <si>
    <t>SWG104202</t>
  </si>
  <si>
    <t>SWG104783</t>
  </si>
  <si>
    <t>SWG104785</t>
  </si>
  <si>
    <t>SWG104940</t>
  </si>
  <si>
    <t>SWG100475</t>
  </si>
  <si>
    <t>SWG100729</t>
  </si>
  <si>
    <t>SWG100783</t>
  </si>
  <si>
    <t>SWG101339</t>
  </si>
  <si>
    <t>SWG102045</t>
  </si>
  <si>
    <t>SWG102352</t>
  </si>
  <si>
    <t>SWG102884</t>
  </si>
  <si>
    <t>SWG102908</t>
  </si>
  <si>
    <t>SWG103247</t>
  </si>
  <si>
    <t>SWG103451</t>
  </si>
  <si>
    <t>SWG103474</t>
  </si>
  <si>
    <t>SWG104392</t>
  </si>
  <si>
    <t>SWG104455</t>
  </si>
  <si>
    <t>SWG104494</t>
  </si>
  <si>
    <t>SWG104848</t>
  </si>
  <si>
    <t>SWG100363</t>
  </si>
  <si>
    <t>SWG100393</t>
  </si>
  <si>
    <t>SWG100403</t>
  </si>
  <si>
    <t>SWG100564</t>
  </si>
  <si>
    <t>SWG100620</t>
  </si>
  <si>
    <t>SWG100733</t>
  </si>
  <si>
    <t>SWG101208</t>
  </si>
  <si>
    <t>SWG101304</t>
  </si>
  <si>
    <t>SWG101351</t>
  </si>
  <si>
    <t>SWG102293</t>
  </si>
  <si>
    <t>SWG102364</t>
  </si>
  <si>
    <t>SWG102837</t>
  </si>
  <si>
    <t>SWG103208</t>
  </si>
  <si>
    <t>SWG103443</t>
  </si>
  <si>
    <t>SWG103990</t>
  </si>
  <si>
    <t>SWG104133</t>
  </si>
  <si>
    <t>SWG100210</t>
  </si>
  <si>
    <t>SWG102141</t>
  </si>
  <si>
    <t>SWG102537</t>
  </si>
  <si>
    <t>SWG103073</t>
  </si>
  <si>
    <t>SWG103183</t>
  </si>
  <si>
    <t>SWG103292</t>
  </si>
  <si>
    <t>SWG103445</t>
  </si>
  <si>
    <t>SWG103687</t>
  </si>
  <si>
    <t>SWG103760</t>
  </si>
  <si>
    <t>SWG104053</t>
  </si>
  <si>
    <t>SWG104139</t>
  </si>
  <si>
    <t>SWG104864</t>
  </si>
  <si>
    <t>SWG104891</t>
  </si>
  <si>
    <t>SWG100019</t>
  </si>
  <si>
    <t>SWG100098</t>
  </si>
  <si>
    <t>SWG101193</t>
  </si>
  <si>
    <t>SWG101528</t>
  </si>
  <si>
    <t>SWG101537</t>
  </si>
  <si>
    <t>SWG101680</t>
  </si>
  <si>
    <t>SWG101788</t>
  </si>
  <si>
    <t>SWG102104</t>
  </si>
  <si>
    <t>SWG102538</t>
  </si>
  <si>
    <t>SWG102922</t>
  </si>
  <si>
    <t>SWG103113</t>
  </si>
  <si>
    <t>SWG103256</t>
  </si>
  <si>
    <t>SWG103261</t>
  </si>
  <si>
    <t>SWG103402</t>
  </si>
  <si>
    <t>SWG104518</t>
  </si>
  <si>
    <t>SWG104608</t>
  </si>
  <si>
    <t>SWG100028</t>
  </si>
  <si>
    <t>SWG100095</t>
  </si>
  <si>
    <t>SWG101643</t>
  </si>
  <si>
    <t>SWG101962</t>
  </si>
  <si>
    <t>SWG102067</t>
  </si>
  <si>
    <t>SWG102177</t>
  </si>
  <si>
    <t>SWG102224</t>
  </si>
  <si>
    <t>SWG102433</t>
  </si>
  <si>
    <t>SWG102639</t>
  </si>
  <si>
    <t>SWG102883</t>
  </si>
  <si>
    <t>SWG104320</t>
  </si>
  <si>
    <t>SWG104445</t>
  </si>
  <si>
    <t>SWG104893</t>
  </si>
  <si>
    <t>SWG100053</t>
  </si>
  <si>
    <t>SWG100135</t>
  </si>
  <si>
    <t>SWG100242</t>
  </si>
  <si>
    <t>SWG100260</t>
  </si>
  <si>
    <t>SWG100437</t>
  </si>
  <si>
    <t>SWG100635</t>
  </si>
  <si>
    <t>SWG100852</t>
  </si>
  <si>
    <t>SWG101131</t>
  </si>
  <si>
    <t>SWG101160</t>
  </si>
  <si>
    <t>SWG103812</t>
  </si>
  <si>
    <t>SWG104036</t>
  </si>
  <si>
    <t>SWG104733</t>
  </si>
  <si>
    <t>SWG104760</t>
  </si>
  <si>
    <t>SWG100796</t>
  </si>
  <si>
    <t>SWG101182</t>
  </si>
  <si>
    <t>SWG101626</t>
  </si>
  <si>
    <t>SWG102214</t>
  </si>
  <si>
    <t>SWG102386</t>
  </si>
  <si>
    <t>SWG102591</t>
  </si>
  <si>
    <t>SWG103060</t>
  </si>
  <si>
    <t>SWG103211</t>
  </si>
  <si>
    <t>SWG103290</t>
  </si>
  <si>
    <t>SWG104700</t>
  </si>
  <si>
    <t>SWG104826</t>
  </si>
  <si>
    <t>SWG100171</t>
  </si>
  <si>
    <t>SWG100649</t>
  </si>
  <si>
    <t>SWG100689</t>
  </si>
  <si>
    <t>SWG100762</t>
  </si>
  <si>
    <t>SWG101853</t>
  </si>
  <si>
    <t>SWG102326</t>
  </si>
  <si>
    <t>SWG102641</t>
  </si>
  <si>
    <t>SWG103203</t>
  </si>
  <si>
    <t>SWG104399</t>
  </si>
  <si>
    <t>SWG104497</t>
  </si>
  <si>
    <t>SWG104705</t>
  </si>
  <si>
    <t>SWG100001</t>
  </si>
  <si>
    <t>SWG100238</t>
  </si>
  <si>
    <t>SWG100290</t>
  </si>
  <si>
    <t>SWG100339</t>
  </si>
  <si>
    <t>SWG100460</t>
  </si>
  <si>
    <t>SWG101033</t>
  </si>
  <si>
    <t>SWG101249</t>
  </si>
  <si>
    <t>SWG101487</t>
  </si>
  <si>
    <t>SWG101549</t>
  </si>
  <si>
    <t>SWG101618</t>
  </si>
  <si>
    <t>SWG101770</t>
  </si>
  <si>
    <t>SWG102424</t>
  </si>
  <si>
    <t>SWG102805</t>
  </si>
  <si>
    <t>SWG103548</t>
  </si>
  <si>
    <t>SWG103680</t>
  </si>
  <si>
    <t>SWG104011</t>
  </si>
  <si>
    <t>SWG104042</t>
  </si>
  <si>
    <t>SWG100420</t>
  </si>
  <si>
    <t>SWG100866</t>
  </si>
  <si>
    <t>SWG100949</t>
  </si>
  <si>
    <t>SWG100952</t>
  </si>
  <si>
    <t>SWG101906</t>
  </si>
  <si>
    <t>SWG101980</t>
  </si>
  <si>
    <t>SWG102178</t>
  </si>
  <si>
    <t>SWG102563</t>
  </si>
  <si>
    <t>SWG102759</t>
  </si>
  <si>
    <t>SWG102794</t>
  </si>
  <si>
    <t>SWG103058</t>
  </si>
  <si>
    <t>SWG103333</t>
  </si>
  <si>
    <t>SWG104974</t>
  </si>
  <si>
    <t>SWG100074</t>
  </si>
  <si>
    <t>SWG100743</t>
  </si>
  <si>
    <t>SWG102180</t>
  </si>
  <si>
    <t>SWG102596</t>
  </si>
  <si>
    <t>SWG103892</t>
  </si>
  <si>
    <t>SWG103943</t>
  </si>
  <si>
    <t>SWG104113</t>
  </si>
  <si>
    <t>SWG104828</t>
  </si>
  <si>
    <t>SWG100139</t>
  </si>
  <si>
    <t>SWG100245</t>
  </si>
  <si>
    <t>SWG100833</t>
  </si>
  <si>
    <t>SWG101694</t>
  </si>
  <si>
    <t>SWG101893</t>
  </si>
  <si>
    <t>SWG102049</t>
  </si>
  <si>
    <t>SWG102564</t>
  </si>
  <si>
    <t>SWG103507</t>
  </si>
  <si>
    <t>SWG103535</t>
  </si>
  <si>
    <t>SWG103981</t>
  </si>
  <si>
    <t>SWG104219</t>
  </si>
  <si>
    <t>SWG104348</t>
  </si>
  <si>
    <t>SWG104525</t>
  </si>
  <si>
    <t>SWG101061</t>
  </si>
  <si>
    <t>SWG101094</t>
  </si>
  <si>
    <t>SWG101635</t>
  </si>
  <si>
    <t>SWG101822</t>
  </si>
  <si>
    <t>SWG101903</t>
  </si>
  <si>
    <t>SWG102270</t>
  </si>
  <si>
    <t>SWG102274</t>
  </si>
  <si>
    <t>SWG102655</t>
  </si>
  <si>
    <t>SWG103019</t>
  </si>
  <si>
    <t>SWG103244</t>
  </si>
  <si>
    <t>SWG104448</t>
  </si>
  <si>
    <t>SWG100389</t>
  </si>
  <si>
    <t>SWG101422</t>
  </si>
  <si>
    <t>SWG101624</t>
  </si>
  <si>
    <t>SWG101678</t>
  </si>
  <si>
    <t>SWG101922</t>
  </si>
  <si>
    <t>SWG102302</t>
  </si>
  <si>
    <t>SWG102682</t>
  </si>
  <si>
    <t>SWG102896</t>
  </si>
  <si>
    <t>SWG103100</t>
  </si>
  <si>
    <t>SWG103360</t>
  </si>
  <si>
    <t>SWG103447</t>
  </si>
  <si>
    <t>SWG103461</t>
  </si>
  <si>
    <t>SWG103485</t>
  </si>
  <si>
    <t>SWG103672</t>
  </si>
  <si>
    <t>SWG103970</t>
  </si>
  <si>
    <t>SWG104061</t>
  </si>
  <si>
    <t>SWG104470</t>
  </si>
  <si>
    <t>SWG104596</t>
  </si>
  <si>
    <t>SWG100376</t>
  </si>
  <si>
    <t>SWG100422</t>
  </si>
  <si>
    <t>SWG100557</t>
  </si>
  <si>
    <t>SWG100877</t>
  </si>
  <si>
    <t>SWG101303</t>
  </si>
  <si>
    <t>SWG101939</t>
  </si>
  <si>
    <t>SWG102120</t>
  </si>
  <si>
    <t>SWG103089</t>
  </si>
  <si>
    <t>SWG103230</t>
  </si>
  <si>
    <t>SWG103601</t>
  </si>
  <si>
    <t>SWG103741</t>
  </si>
  <si>
    <t>SWG103949</t>
  </si>
  <si>
    <t>SWG104720</t>
  </si>
  <si>
    <t>SWG104844</t>
  </si>
  <si>
    <t>SWG100998</t>
  </si>
  <si>
    <t>SWG101142</t>
  </si>
  <si>
    <t>SWG101341</t>
  </si>
  <si>
    <t>SWG101646</t>
  </si>
  <si>
    <t>SWG101663</t>
  </si>
  <si>
    <t>SWG101880</t>
  </si>
  <si>
    <t>SWG102754</t>
  </si>
  <si>
    <t>SWG102811</t>
  </si>
  <si>
    <t>SWG103776</t>
  </si>
  <si>
    <t>SWG103799</t>
  </si>
  <si>
    <t>SWG104366</t>
  </si>
  <si>
    <t>SWG104777</t>
  </si>
  <si>
    <t>SWG104839</t>
  </si>
  <si>
    <t>SWG100481</t>
  </si>
  <si>
    <t>SWG100540</t>
  </si>
  <si>
    <t>SWG100698</t>
  </si>
  <si>
    <t>SWG101585</t>
  </si>
  <si>
    <t>SWG101742</t>
  </si>
  <si>
    <t>SWG103174</t>
  </si>
  <si>
    <t>SWG103342</t>
  </si>
  <si>
    <t>SWG103423</t>
  </si>
  <si>
    <t>SWG103958</t>
  </si>
  <si>
    <t>SWG104123</t>
  </si>
  <si>
    <t>SWG104144</t>
  </si>
  <si>
    <t>SWG104176</t>
  </si>
  <si>
    <t>SWG104715</t>
  </si>
  <si>
    <t>SWG104784</t>
  </si>
  <si>
    <t>SWG100685</t>
  </si>
  <si>
    <t>SWG100745</t>
  </si>
  <si>
    <t>SWG102050</t>
  </si>
  <si>
    <t>SWG103599</t>
  </si>
  <si>
    <t>SWG103611</t>
  </si>
  <si>
    <t>SWG103618</t>
  </si>
  <si>
    <t>SWG103963</t>
  </si>
  <si>
    <t>SWG104436</t>
  </si>
  <si>
    <t>SWG104984</t>
  </si>
  <si>
    <t>SWG100131</t>
  </si>
  <si>
    <t>SWG100180</t>
  </si>
  <si>
    <t>SWG101240</t>
  </si>
  <si>
    <t>SWG101323</t>
  </si>
  <si>
    <t>SWG101514</t>
  </si>
  <si>
    <t>SWG101833</t>
  </si>
  <si>
    <t>SWG101846</t>
  </si>
  <si>
    <t>SWG102455</t>
  </si>
  <si>
    <t>SWG102718</t>
  </si>
  <si>
    <t>SWG102784</t>
  </si>
  <si>
    <t>SWG103455</t>
  </si>
  <si>
    <t>SWG103738</t>
  </si>
  <si>
    <t>SWG104034</t>
  </si>
  <si>
    <t>SWG100013</t>
  </si>
  <si>
    <t>SWG100062</t>
  </si>
  <si>
    <t>SWG100121</t>
  </si>
  <si>
    <t>SWG100251</t>
  </si>
  <si>
    <t>SWG100358</t>
  </si>
  <si>
    <t>SWG100829</t>
  </si>
  <si>
    <t>SWG101125</t>
  </si>
  <si>
    <t>SWG101211</t>
  </si>
  <si>
    <t>SWG101676</t>
  </si>
  <si>
    <t>SWG101840</t>
  </si>
  <si>
    <t>SWG102331</t>
  </si>
  <si>
    <t>SWG102575</t>
  </si>
  <si>
    <t>SWG102628</t>
  </si>
  <si>
    <t>SWG103369</t>
  </si>
  <si>
    <t>SWG103890</t>
  </si>
  <si>
    <t>SWG104004</t>
  </si>
  <si>
    <t>SWG104667</t>
  </si>
  <si>
    <t>SWG104996</t>
  </si>
  <si>
    <t>SWG100558</t>
  </si>
  <si>
    <t>SWG100647</t>
  </si>
  <si>
    <t>SWG101036</t>
  </si>
  <si>
    <t>SWG101204</t>
  </si>
  <si>
    <t>SWG101895</t>
  </si>
  <si>
    <t>SWG101981</t>
  </si>
  <si>
    <t>SWG102077</t>
  </si>
  <si>
    <t>SWG102351</t>
  </si>
  <si>
    <t>SWG103153</t>
  </si>
  <si>
    <t>SWG103189</t>
  </si>
  <si>
    <t>SWG103212</t>
  </si>
  <si>
    <t>SWG103675</t>
  </si>
  <si>
    <t>SWG103747</t>
  </si>
  <si>
    <t>SWG103910</t>
  </si>
  <si>
    <t>SWG104300</t>
  </si>
  <si>
    <t>SWG101350</t>
  </si>
  <si>
    <t>SWG101868</t>
  </si>
  <si>
    <t>SWG102195</t>
  </si>
  <si>
    <t>SWG102670</t>
  </si>
  <si>
    <t>SWG102681</t>
  </si>
  <si>
    <t>SWG103226</t>
  </si>
  <si>
    <t>SWG103883</t>
  </si>
  <si>
    <t>SWG103979</t>
  </si>
  <si>
    <t>SWG104083</t>
  </si>
  <si>
    <t>SWG104529</t>
  </si>
  <si>
    <t>SWG100898</t>
  </si>
  <si>
    <t>SWG101133</t>
  </si>
  <si>
    <t>SWG101369</t>
  </si>
  <si>
    <t>SWG101641</t>
  </si>
  <si>
    <t>SWG101659</t>
  </si>
  <si>
    <t>SWG102858</t>
  </si>
  <si>
    <t>SWG102985</t>
  </si>
  <si>
    <t>SWG103252</t>
  </si>
  <si>
    <t>SWG103409</t>
  </si>
  <si>
    <t>SWG104458</t>
  </si>
  <si>
    <t>SWG104482</t>
  </si>
  <si>
    <t>SWG104588</t>
  </si>
  <si>
    <t>SWG100037</t>
  </si>
  <si>
    <t>SWG100630</t>
  </si>
  <si>
    <t>SWG101185</t>
  </si>
  <si>
    <t>SWG101305</t>
  </si>
  <si>
    <t>SWG101483</t>
  </si>
  <si>
    <t>SWG101913</t>
  </si>
  <si>
    <t>SWG102144</t>
  </si>
  <si>
    <t>SWG102333</t>
  </si>
  <si>
    <t>SWG102675</t>
  </si>
  <si>
    <t>SWG102827</t>
  </si>
  <si>
    <t>SWG102835</t>
  </si>
  <si>
    <t>SWG103030</t>
  </si>
  <si>
    <t>SWG103031</t>
  </si>
  <si>
    <t>SWG103359</t>
  </si>
  <si>
    <t>SWG103724</t>
  </si>
  <si>
    <t>SWG104012</t>
  </si>
  <si>
    <t>SWG104644</t>
  </si>
  <si>
    <t>SWG104931</t>
  </si>
  <si>
    <t>SWG104978</t>
  </si>
  <si>
    <t>SWG100312</t>
  </si>
  <si>
    <t>SWG100419</t>
  </si>
  <si>
    <t>SWG100618</t>
  </si>
  <si>
    <t>SWG100719</t>
  </si>
  <si>
    <t>SWG100889</t>
  </si>
  <si>
    <t>SWG100940</t>
  </si>
  <si>
    <t>SWG101100</t>
  </si>
  <si>
    <t>SWG101402</t>
  </si>
  <si>
    <t>SWG101449</t>
  </si>
  <si>
    <t>SWG101681</t>
  </si>
  <si>
    <t>SWG102101</t>
  </si>
  <si>
    <t>SWG102799</t>
  </si>
  <si>
    <t>SWG102981</t>
  </si>
  <si>
    <t>SWG103400</t>
  </si>
  <si>
    <t>SWG103442</t>
  </si>
  <si>
    <t>SWG103526</t>
  </si>
  <si>
    <t>SWG104051</t>
  </si>
  <si>
    <t>SWG104111</t>
  </si>
  <si>
    <t>SWG104825</t>
  </si>
  <si>
    <t>Column</t>
  </si>
  <si>
    <t>Meaning</t>
  </si>
  <si>
    <t>Unique order number</t>
  </si>
  <si>
    <t>Order date</t>
  </si>
  <si>
    <t>Month name</t>
  </si>
  <si>
    <t>Month number</t>
  </si>
  <si>
    <t>Day of month</t>
  </si>
  <si>
    <t>Day name</t>
  </si>
  <si>
    <t>Customer city</t>
  </si>
  <si>
    <t>Restaurant name</t>
  </si>
  <si>
    <t>Cuisine type</t>
  </si>
  <si>
    <t>Food item</t>
  </si>
  <si>
    <t>Food category</t>
  </si>
  <si>
    <t>Number of items ordered</t>
  </si>
  <si>
    <t>Price before discount</t>
  </si>
  <si>
    <t>Discount amount</t>
  </si>
  <si>
    <t>Delivery fee</t>
  </si>
  <si>
    <t>Item price × quantity</t>
  </si>
  <si>
    <t>Final payable amount</t>
  </si>
  <si>
    <t>Payment method</t>
  </si>
  <si>
    <t>Order status</t>
  </si>
  <si>
    <t>New or returning customer</t>
  </si>
  <si>
    <t>Delivery time in minutes</t>
  </si>
  <si>
    <t>Customer rating</t>
  </si>
  <si>
    <t>Total Revenue</t>
  </si>
  <si>
    <t>Total_Orders</t>
  </si>
  <si>
    <t>Total Customer</t>
  </si>
  <si>
    <t>Average Rating</t>
  </si>
  <si>
    <t>Average Delivery Time</t>
  </si>
  <si>
    <t>Cancellation Rate</t>
  </si>
  <si>
    <t>SWIGGY DASHBOARD</t>
  </si>
  <si>
    <t>Row Labels</t>
  </si>
  <si>
    <t>Grand Total</t>
  </si>
  <si>
    <t>Sum of Order_Value</t>
  </si>
  <si>
    <t>Count of Order_ID</t>
  </si>
  <si>
    <t>Total_Amount</t>
  </si>
  <si>
    <t>Sum of Final_Amount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</si>
</sst>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hh:mm:ss"/>
    <numFmt numFmtId="165" formatCode="_ [$₹-4009]\ * #,##0.00_ ;_ [$₹-4009]\ * \-#,##0.00_ ;_ [$₹-4009]\ * &quot;-&quot;??_ ;_ @_ "/>
  </numFmts>
  <fonts count="5" x14ac:knownFonts="1">
    <font>
      <sz val="11"/>
      <color theme="1"/>
      <name val="Calibri"/>
      <family val="2"/>
      <scheme val="minor"/>
    </font>
    <font>
      <b/>
      <sz val="11"/>
      <name val="Calibri"/>
    </font>
    <font>
      <sz val="11"/>
      <color theme="1"/>
      <name val="Calibri"/>
      <family val="2"/>
      <scheme val="minor"/>
    </font>
    <font>
      <b/>
      <sz val="11"/>
      <name val="Calibri"/>
      <family val="2"/>
    </font>
    <font>
      <sz val="48"/>
      <color theme="2" tint="-0.499984740745262"/>
      <name val="Algerian"/>
      <family val="5"/>
    </font>
  </fonts>
  <fills count="5">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2" xfId="0" applyFont="1" applyBorder="1" applyAlignment="1">
      <alignment horizontal="center" vertical="top"/>
    </xf>
    <xf numFmtId="0" fontId="0" fillId="2" borderId="1" xfId="0" applyFill="1" applyBorder="1"/>
    <xf numFmtId="165" fontId="0" fillId="0" borderId="1" xfId="0" applyNumberFormat="1" applyBorder="1"/>
    <xf numFmtId="44" fontId="0" fillId="0" borderId="1" xfId="1" applyFont="1" applyBorder="1"/>
    <xf numFmtId="0" fontId="0" fillId="0" borderId="1" xfId="0" applyBorder="1"/>
    <xf numFmtId="0" fontId="0" fillId="0" borderId="0" xfId="0" pivotButton="1"/>
    <xf numFmtId="0" fontId="0" fillId="0" borderId="0" xfId="0" applyAlignment="1">
      <alignment horizontal="left"/>
    </xf>
    <xf numFmtId="0" fontId="3" fillId="0" borderId="2" xfId="0" applyFont="1" applyBorder="1" applyAlignment="1">
      <alignment horizontal="center" vertical="top"/>
    </xf>
    <xf numFmtId="0" fontId="4" fillId="3" borderId="0" xfId="0" applyFont="1" applyFill="1" applyAlignment="1">
      <alignment horizontal="center" vertical="center"/>
    </xf>
    <xf numFmtId="0" fontId="0" fillId="4" borderId="0" xfId="0" applyFill="1" applyAlignment="1">
      <alignment horizontal="center"/>
    </xf>
    <xf numFmtId="0" fontId="0" fillId="0" borderId="0" xfId="0" applyNumberFormat="1"/>
  </cellXfs>
  <cellStyles count="2">
    <cellStyle name="Currency" xfId="1" builtinId="4"/>
    <cellStyle name="Normal" xfId="0" builtinId="0"/>
  </cellStyles>
  <dxfs count="8">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A3D62"/>
      <color rgb="FF2F75B5"/>
      <color rgb="FF009966"/>
      <color rgb="FF008080"/>
      <color rgb="FF0F365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[Swiggy_5000_Rows_Dashboard_Data.xlsx]chart2!PivotTable3</c:name>
    <c:fmtId val="9"/>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b="1" i="1">
                <a:solidFill>
                  <a:schemeClr val="bg2">
                    <a:lumMod val="90000"/>
                  </a:schemeClr>
                </a:solidFill>
                <a:latin typeface="Segoe UI" panose="020B0502040204020203" pitchFamily="34" charset="0"/>
                <a:ea typeface="Segoe UI Black" panose="020B0A02040204020203" pitchFamily="34" charset="0"/>
                <a:cs typeface="Segoe UI" panose="020B0502040204020203" pitchFamily="34" charset="0"/>
              </a:rPr>
              <a:t>REVENUE  BY  CITY</a:t>
            </a:r>
          </a:p>
        </c:rich>
      </c:tx>
      <c:layout>
        <c:manualLayout>
          <c:xMode val="edge"/>
          <c:yMode val="edge"/>
          <c:x val="0.31239566929133855"/>
          <c:y val="4.0645960921551476E-2"/>
        </c:manualLayout>
      </c:layout>
      <c:overlay val="0"/>
      <c:spPr>
        <a:solidFill>
          <a:schemeClr val="bg2">
            <a:lumMod val="10000"/>
          </a:schemeClr>
        </a:solid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chart2!$B$3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chart2!$A$4:$A$14</c:f>
              <c:strCache>
                <c:ptCount val="10"/>
                <c:pt idx="0">
                  <c:v>Aurangabad</c:v>
                </c:pt>
                <c:pt idx="1">
                  <c:v>Bengaluru</c:v>
                </c:pt>
                <c:pt idx="2">
                  <c:v>Bhopal</c:v>
                </c:pt>
                <c:pt idx="3">
                  <c:v>Delhi</c:v>
                </c:pt>
                <c:pt idx="4">
                  <c:v>Hyderabad</c:v>
                </c:pt>
                <c:pt idx="5">
                  <c:v>Indore</c:v>
                </c:pt>
                <c:pt idx="6">
                  <c:v>Mumbai</c:v>
                </c:pt>
                <c:pt idx="7">
                  <c:v>Nagpur</c:v>
                </c:pt>
                <c:pt idx="8">
                  <c:v>Nashik</c:v>
                </c:pt>
                <c:pt idx="9">
                  <c:v>Pune</c:v>
                </c:pt>
              </c:strCache>
            </c:strRef>
          </c:cat>
          <c:val>
            <c:numRef>
              <c:f>chart2!$B$4:$B$14</c:f>
              <c:numCache>
                <c:formatCode>General</c:formatCode>
                <c:ptCount val="10"/>
                <c:pt idx="0">
                  <c:v>267631</c:v>
                </c:pt>
                <c:pt idx="1">
                  <c:v>596646</c:v>
                </c:pt>
                <c:pt idx="2">
                  <c:v>174571</c:v>
                </c:pt>
                <c:pt idx="3">
                  <c:v>410365</c:v>
                </c:pt>
                <c:pt idx="4">
                  <c:v>358945</c:v>
                </c:pt>
                <c:pt idx="5">
                  <c:v>266183</c:v>
                </c:pt>
                <c:pt idx="6">
                  <c:v>721695</c:v>
                </c:pt>
                <c:pt idx="7">
                  <c:v>497743</c:v>
                </c:pt>
                <c:pt idx="8">
                  <c:v>354552</c:v>
                </c:pt>
                <c:pt idx="9">
                  <c:v>598474</c:v>
                </c:pt>
              </c:numCache>
            </c:numRef>
          </c:val>
          <c:extLst>
            <c:ext xmlns:c16="http://schemas.microsoft.com/office/drawing/2014/chart" uri="{C3380CC4-5D6E-409C-BE32-E72D297353CC}">
              <c16:uniqueId val="{00000000-45A4-4D5F-B080-76D2CE96D89E}"/>
            </c:ext>
          </c:extLst>
        </c:ser>
        <c:dLbls>
          <c:showLegendKey val="0"/>
          <c:showVal val="0"/>
          <c:showCatName val="0"/>
          <c:showSerName val="0"/>
          <c:showPercent val="0"/>
          <c:showBubbleSize val="0"/>
        </c:dLbls>
        <c:gapWidth val="219"/>
        <c:overlap val="-27"/>
        <c:axId val="407533951"/>
        <c:axId val="352007119"/>
      </c:barChart>
      <c:catAx>
        <c:axId val="4075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52007119"/>
        <c:crosses val="autoZero"/>
        <c:auto val="1"/>
        <c:lblAlgn val="ctr"/>
        <c:lblOffset val="100"/>
        <c:noMultiLvlLbl val="0"/>
      </c:catAx>
      <c:valAx>
        <c:axId val="352007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40753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[Swiggy_5000_Rows_Dashboard_Data.xlsx]chart3!PivotTable4</c:name>
    <c:fmtId val="5"/>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b="1" i="1">
                <a:solidFill>
                  <a:schemeClr val="bg2">
                    <a:lumMod val="90000"/>
                  </a:schemeClr>
                </a:solidFill>
                <a:latin typeface="Segoe UI" panose="020B0502040204020203" pitchFamily="34" charset="0"/>
                <a:ea typeface="Segoe UI Black" panose="020B0A02040204020203" pitchFamily="34" charset="0"/>
                <a:cs typeface="Segoe UI" panose="020B0502040204020203" pitchFamily="34" charset="0"/>
              </a:rPr>
              <a:t>PRODUCTION BY CATEGORY</a:t>
            </a:r>
          </a:p>
        </c:rich>
      </c:tx>
      <c:layout>
        <c:manualLayout>
          <c:xMode val="edge"/>
          <c:yMode val="edge"/>
          <c:x val="0.31239566929133855"/>
          <c:y val="4.0645960921551476E-2"/>
        </c:manualLayout>
      </c:layout>
      <c:overlay val="0"/>
      <c:spPr>
        <a:solidFill>
          <a:schemeClr val="bg2">
            <a:lumMod val="10000"/>
          </a:schemeClr>
        </a:solidFill>
        <a:ln>
          <a:noFill/>
        </a:ln>
        <a:effectLst/>
      </c:sp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barChart>
        <c:barDir val="col"/>
        <c:grouping val="clustered"/>
        <c:varyColors val="0"/>
        <c:ser>
          <c:idx val="0"/>
          <c:order val="0"/>
          <c:tx>
            <c:strRef>
              <c:f>chart3!$B$1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chart3!$A$2:$A$6</c:f>
              <c:strCache>
                <c:ptCount val="4"/>
                <c:pt idx="0">
                  <c:v>Cancelled</c:v>
                </c:pt>
                <c:pt idx="1">
                  <c:v>Delivered</c:v>
                </c:pt>
                <c:pt idx="2">
                  <c:v>Out for Delivery</c:v>
                </c:pt>
                <c:pt idx="3">
                  <c:v>Preparing</c:v>
                </c:pt>
              </c:strCache>
            </c:strRef>
          </c:cat>
          <c:val>
            <c:numRef>
              <c:f>chart3!$B$2:$B$6</c:f>
              <c:numCache>
                <c:formatCode>General</c:formatCode>
                <c:ptCount val="4"/>
                <c:pt idx="0">
                  <c:v>280</c:v>
                </c:pt>
                <c:pt idx="1">
                  <c:v>4098</c:v>
                </c:pt>
                <c:pt idx="2">
                  <c:v>380</c:v>
                </c:pt>
                <c:pt idx="3">
                  <c:v>242</c:v>
                </c:pt>
              </c:numCache>
            </c:numRef>
          </c:val>
          <c:extLst>
            <c:ext xmlns:c16="http://schemas.microsoft.com/office/drawing/2014/chart" uri="{C3380CC4-5D6E-409C-BE32-E72D297353CC}">
              <c16:uniqueId val="{00000009-34F8-4699-83D6-502A6909F7DA}"/>
            </c:ext>
          </c:extLst>
        </c:ser>
        <c:dLbls>
          <c:showLegendKey val="0"/>
          <c:showVal val="0"/>
          <c:showCatName val="0"/>
          <c:showSerName val="0"/>
          <c:showPercent val="0"/>
          <c:showBubbleSize val="0"/>
        </c:dLbls>
        <c:gapWidth val="219"/>
        <c:overlap val="-27"/>
        <c:axId val="407533951"/>
        <c:axId val="352007119"/>
      </c:barChart>
      <c:catAx>
        <c:axId val="4075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52007119"/>
        <c:crosses val="autoZero"/>
        <c:auto val="1"/>
        <c:lblAlgn val="ctr"/>
        <c:lblOffset val="100"/>
        <c:noMultiLvlLbl val="0"/>
      </c:catAx>
      <c:valAx>
        <c:axId val="352007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407533951"/>
        <c:crosses val="autoZero"/>
        <c:crossBetween val="between"/>
      </c:valAx>
      <c:spPr>
        <a:solidFill>
          <a:srgbClr val="0A3D62"/>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2">
                    <a:lumMod val="20000"/>
                    <a:lumOff val="80000"/>
                  </a:schemeClr>
                </a:solidFill>
                <a:latin typeface="Segoe UI Black" panose="020B0A02040204020203" pitchFamily="34" charset="0"/>
                <a:ea typeface="Segoe UI Black" panose="020B0A02040204020203" pitchFamily="34" charset="0"/>
              </a:rPr>
              <a:t>PRODUCTION BY CATEGORY</a:t>
            </a:r>
          </a:p>
        </c:rich>
      </c:tx>
      <c:layout>
        <c:manualLayout>
          <c:xMode val="edge"/>
          <c:yMode val="edge"/>
          <c:x val="0.2511178915135607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s>
    <c:plotArea>
      <c:layout/>
      <c:pieChart>
        <c:varyColors val="1"/>
        <c:ser>
          <c:idx val="0"/>
          <c:order val="0"/>
          <c:tx>
            <c:strRef>
              <c:f>chart4!$B$3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4E1-4D57-A94A-52D1B28CC221}"/>
              </c:ext>
            </c:extLst>
          </c:dPt>
          <c:dPt>
            <c:idx val="1"/>
            <c:bubble3D val="0"/>
            <c:spPr>
              <a:solidFill>
                <a:schemeClr val="accent2"/>
              </a:solidFill>
              <a:ln>
                <a:noFill/>
              </a:ln>
              <a:effectLst/>
            </c:spPr>
            <c:extLst>
              <c:ext xmlns:c16="http://schemas.microsoft.com/office/drawing/2014/chart" uri="{C3380CC4-5D6E-409C-BE32-E72D297353CC}">
                <c16:uniqueId val="{00000003-14E1-4D57-A94A-52D1B28CC221}"/>
              </c:ext>
            </c:extLst>
          </c:dPt>
          <c:dPt>
            <c:idx val="2"/>
            <c:bubble3D val="0"/>
            <c:spPr>
              <a:solidFill>
                <a:schemeClr val="accent3"/>
              </a:solidFill>
              <a:ln>
                <a:noFill/>
              </a:ln>
              <a:effectLst/>
            </c:spPr>
            <c:extLst>
              <c:ext xmlns:c16="http://schemas.microsoft.com/office/drawing/2014/chart" uri="{C3380CC4-5D6E-409C-BE32-E72D297353CC}">
                <c16:uniqueId val="{00000005-14E1-4D57-A94A-52D1B28CC221}"/>
              </c:ext>
            </c:extLst>
          </c:dPt>
          <c:dPt>
            <c:idx val="3"/>
            <c:bubble3D val="0"/>
            <c:spPr>
              <a:solidFill>
                <a:schemeClr val="accent4"/>
              </a:solidFill>
              <a:ln>
                <a:noFill/>
              </a:ln>
              <a:effectLst/>
            </c:spPr>
            <c:extLst>
              <c:ext xmlns:c16="http://schemas.microsoft.com/office/drawing/2014/chart" uri="{C3380CC4-5D6E-409C-BE32-E72D297353CC}">
                <c16:uniqueId val="{00000007-14E1-4D57-A94A-52D1B28CC221}"/>
              </c:ext>
            </c:extLst>
          </c:dPt>
          <c:dPt>
            <c:idx val="4"/>
            <c:bubble3D val="0"/>
            <c:spPr>
              <a:solidFill>
                <a:schemeClr val="accent5"/>
              </a:solidFill>
              <a:ln>
                <a:noFill/>
              </a:ln>
              <a:effectLst/>
            </c:spPr>
            <c:extLst>
              <c:ext xmlns:c16="http://schemas.microsoft.com/office/drawing/2014/chart" uri="{C3380CC4-5D6E-409C-BE32-E72D297353CC}">
                <c16:uniqueId val="{00000009-14E1-4D57-A94A-52D1B28CC221}"/>
              </c:ext>
            </c:extLst>
          </c:dPt>
          <c:dPt>
            <c:idx val="5"/>
            <c:bubble3D val="0"/>
            <c:spPr>
              <a:solidFill>
                <a:schemeClr val="accent6"/>
              </a:solidFill>
              <a:ln>
                <a:noFill/>
              </a:ln>
              <a:effectLst/>
            </c:spPr>
            <c:extLst>
              <c:ext xmlns:c16="http://schemas.microsoft.com/office/drawing/2014/chart" uri="{C3380CC4-5D6E-409C-BE32-E72D297353CC}">
                <c16:uniqueId val="{0000000B-14E1-4D57-A94A-52D1B28CC22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4E1-4D57-A94A-52D1B28CC22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4E1-4D57-A94A-52D1B28CC22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4E1-4D57-A94A-52D1B28CC22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4E1-4D57-A94A-52D1B28CC221}"/>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14E1-4D57-A94A-52D1B28CC221}"/>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14E1-4D57-A94A-52D1B28CC22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chart4!$B$4:$B$16</c:f>
              <c:numCache>
                <c:formatCode>General</c:formatCode>
                <c:ptCount val="12"/>
                <c:pt idx="0">
                  <c:v>420</c:v>
                </c:pt>
                <c:pt idx="1">
                  <c:v>392</c:v>
                </c:pt>
                <c:pt idx="2">
                  <c:v>404</c:v>
                </c:pt>
                <c:pt idx="3">
                  <c:v>433</c:v>
                </c:pt>
                <c:pt idx="4">
                  <c:v>441</c:v>
                </c:pt>
                <c:pt idx="5">
                  <c:v>440</c:v>
                </c:pt>
                <c:pt idx="6">
                  <c:v>375</c:v>
                </c:pt>
                <c:pt idx="7">
                  <c:v>441</c:v>
                </c:pt>
                <c:pt idx="8">
                  <c:v>395</c:v>
                </c:pt>
                <c:pt idx="9">
                  <c:v>418</c:v>
                </c:pt>
                <c:pt idx="10">
                  <c:v>411</c:v>
                </c:pt>
                <c:pt idx="11">
                  <c:v>430</c:v>
                </c:pt>
              </c:numCache>
            </c:numRef>
          </c:val>
          <c:extLst>
            <c:ext xmlns:c16="http://schemas.microsoft.com/office/drawing/2014/chart" uri="{C3380CC4-5D6E-409C-BE32-E72D297353CC}">
              <c16:uniqueId val="{00000018-14E1-4D57-A94A-52D1B28CC22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accent1">
                    <a:lumMod val="20000"/>
                    <a:lumOff val="80000"/>
                  </a:schemeClr>
                </a:solidFill>
                <a:latin typeface="Segoe UI Black" panose="020B0A02040204020203" pitchFamily="34" charset="0"/>
                <a:ea typeface="Segoe UI Black" panose="020B0A02040204020203" pitchFamily="34" charset="0"/>
              </a:rPr>
              <a:t>SALES</a:t>
            </a:r>
            <a:r>
              <a:rPr lang="en-US" i="1" baseline="0">
                <a:solidFill>
                  <a:schemeClr val="accent1">
                    <a:lumMod val="20000"/>
                    <a:lumOff val="80000"/>
                  </a:schemeClr>
                </a:solidFill>
                <a:latin typeface="Segoe UI Black" panose="020B0A02040204020203" pitchFamily="34" charset="0"/>
                <a:ea typeface="Segoe UI Black" panose="020B0A02040204020203" pitchFamily="34" charset="0"/>
              </a:rPr>
              <a:t> REVENUE BY CATEGORY AND MONTH</a:t>
            </a:r>
            <a:endParaRPr lang="en-US" i="1">
              <a:solidFill>
                <a:schemeClr val="accent1">
                  <a:lumMod val="20000"/>
                  <a:lumOff val="80000"/>
                </a:schemeClr>
              </a:solidFill>
              <a:latin typeface="Segoe UI Black" panose="020B0A02040204020203" pitchFamily="34" charset="0"/>
              <a:ea typeface="Segoe UI Black" panose="020B0A02040204020203" pitchFamily="34" charset="0"/>
            </a:endParaRPr>
          </a:p>
        </c:rich>
      </c:tx>
      <c:layout>
        <c:manualLayout>
          <c:xMode val="edge"/>
          <c:yMode val="edge"/>
          <c:x val="0.2382777777777777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chart5!$B$1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chart5!$A$2:$A$6</c:f>
              <c:strCache>
                <c:ptCount val="4"/>
                <c:pt idx="0">
                  <c:v>Beverage</c:v>
                </c:pt>
                <c:pt idx="1">
                  <c:v>Dessert</c:v>
                </c:pt>
                <c:pt idx="2">
                  <c:v>Main Course</c:v>
                </c:pt>
                <c:pt idx="3">
                  <c:v>Snacks</c:v>
                </c:pt>
              </c:strCache>
            </c:strRef>
          </c:cat>
          <c:val>
            <c:numRef>
              <c:f>chart5!$B$2:$B$6</c:f>
              <c:numCache>
                <c:formatCode>General</c:formatCode>
                <c:ptCount val="4"/>
                <c:pt idx="0">
                  <c:v>294</c:v>
                </c:pt>
                <c:pt idx="1">
                  <c:v>329</c:v>
                </c:pt>
                <c:pt idx="2">
                  <c:v>3383</c:v>
                </c:pt>
                <c:pt idx="3">
                  <c:v>994</c:v>
                </c:pt>
              </c:numCache>
            </c:numRef>
          </c:val>
          <c:smooth val="0"/>
          <c:extLst>
            <c:ext xmlns:c16="http://schemas.microsoft.com/office/drawing/2014/chart" uri="{C3380CC4-5D6E-409C-BE32-E72D297353CC}">
              <c16:uniqueId val="{00000001-BA11-40DD-BFC7-68D06266185F}"/>
            </c:ext>
          </c:extLst>
        </c:ser>
        <c:dLbls>
          <c:showLegendKey val="0"/>
          <c:showVal val="0"/>
          <c:showCatName val="0"/>
          <c:showSerName val="0"/>
          <c:showPercent val="0"/>
          <c:showBubbleSize val="0"/>
        </c:dLbls>
        <c:smooth val="0"/>
        <c:axId val="613456847"/>
        <c:axId val="352000879"/>
      </c:lineChart>
      <c:catAx>
        <c:axId val="6134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52000879"/>
        <c:crosses val="autoZero"/>
        <c:auto val="1"/>
        <c:lblAlgn val="ctr"/>
        <c:lblOffset val="100"/>
        <c:noMultiLvlLbl val="0"/>
      </c:catAx>
      <c:valAx>
        <c:axId val="35200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613456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1">
                    <a:lumMod val="20000"/>
                    <a:lumOff val="8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[Swiggy_5000_Rows_Dashboard_Data.xlsx]chart1!PivotTable1</c:name>
    <c:fmtId val="15"/>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IN">
                <a:solidFill>
                  <a:schemeClr val="accent1">
                    <a:lumMod val="20000"/>
                    <a:lumOff val="80000"/>
                  </a:schemeClr>
                </a:solidFill>
              </a:rPr>
              <a:t>ORDER VOLUME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24939596092155147"/>
          <c:w val="0.76112270341207344"/>
          <c:h val="0.48688721201516477"/>
        </c:manualLayout>
      </c:layout>
      <c:barChart>
        <c:barDir val="col"/>
        <c:grouping val="clustered"/>
        <c:varyColors val="0"/>
        <c:ser>
          <c:idx val="0"/>
          <c:order val="0"/>
          <c:tx>
            <c:strRef>
              <c:f>chart1!$B$1</c:f>
              <c:strCache>
                <c:ptCount val="1"/>
                <c:pt idx="0">
                  <c:v>Total</c:v>
                </c:pt>
              </c:strCache>
            </c:strRef>
          </c:tx>
          <c:spPr>
            <a:solidFill>
              <a:srgbClr val="2F75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chart1!$A$2:$A$7</c:f>
              <c:strCache>
                <c:ptCount val="5"/>
                <c:pt idx="0">
                  <c:v>Cash on Delivery</c:v>
                </c:pt>
                <c:pt idx="1">
                  <c:v>Credit Card</c:v>
                </c:pt>
                <c:pt idx="2">
                  <c:v>Debit Card</c:v>
                </c:pt>
                <c:pt idx="3">
                  <c:v>UPI</c:v>
                </c:pt>
                <c:pt idx="4">
                  <c:v>Wallet</c:v>
                </c:pt>
              </c:strCache>
            </c:strRef>
          </c:cat>
          <c:val>
            <c:numRef>
              <c:f>chart1!$B$2:$B$7</c:f>
              <c:numCache>
                <c:formatCode>General</c:formatCode>
                <c:ptCount val="5"/>
                <c:pt idx="0">
                  <c:v>619</c:v>
                </c:pt>
                <c:pt idx="1">
                  <c:v>949</c:v>
                </c:pt>
                <c:pt idx="2">
                  <c:v>846</c:v>
                </c:pt>
                <c:pt idx="3">
                  <c:v>2070</c:v>
                </c:pt>
                <c:pt idx="4">
                  <c:v>516</c:v>
                </c:pt>
              </c:numCache>
            </c:numRef>
          </c:val>
          <c:extLst>
            <c:ext xmlns:c16="http://schemas.microsoft.com/office/drawing/2014/chart" uri="{C3380CC4-5D6E-409C-BE32-E72D297353CC}">
              <c16:uniqueId val="{00000000-72C7-4F6E-B066-5D84CB210EFE}"/>
            </c:ext>
          </c:extLst>
        </c:ser>
        <c:dLbls>
          <c:showLegendKey val="0"/>
          <c:showVal val="0"/>
          <c:showCatName val="0"/>
          <c:showSerName val="0"/>
          <c:showPercent val="0"/>
          <c:showBubbleSize val="0"/>
        </c:dLbls>
        <c:gapWidth val="219"/>
        <c:axId val="1844422128"/>
        <c:axId val="1830577040"/>
      </c:barChart>
      <c:catAx>
        <c:axId val="184442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30577040"/>
        <c:crosses val="autoZero"/>
        <c:auto val="1"/>
        <c:lblAlgn val="ctr"/>
        <c:lblOffset val="100"/>
        <c:noMultiLvlLbl val="0"/>
      </c:catAx>
      <c:valAx>
        <c:axId val="183057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4442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36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[Swiggy_5000_Rows_Dashboard_Data.xlsx]chart6!PivotTable2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3">
                    <a:lumMod val="20000"/>
                    <a:lumOff val="80000"/>
                  </a:schemeClr>
                </a:solidFill>
              </a:rPr>
              <a:t>Top</a:t>
            </a:r>
            <a:r>
              <a:rPr lang="en-IN" sz="1800" b="1" baseline="0">
                <a:solidFill>
                  <a:schemeClr val="accent3">
                    <a:lumMod val="20000"/>
                    <a:lumOff val="80000"/>
                  </a:schemeClr>
                </a:solidFill>
              </a:rPr>
              <a:t> Restarants By Revenue</a:t>
            </a:r>
            <a:endParaRPr lang="en-IN" sz="1800" b="1">
              <a:solidFill>
                <a:schemeClr val="accent3">
                  <a:lumMod val="20000"/>
                  <a:lumOff val="80000"/>
                </a:schemeClr>
              </a:solidFill>
            </a:endParaRPr>
          </a:p>
        </c:rich>
      </c:tx>
      <c:layout>
        <c:manualLayout>
          <c:xMode val="edge"/>
          <c:yMode val="edge"/>
          <c:x val="0.29842344706911639"/>
          <c:y val="3.138670166229221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chart6!$B$1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chart6!$A$2:$A$17</c:f>
              <c:strCache>
                <c:ptCount val="15"/>
                <c:pt idx="0">
                  <c:v>Barbeque Nation</c:v>
                </c:pt>
                <c:pt idx="1">
                  <c:v>Behrouz Biryani</c:v>
                </c:pt>
                <c:pt idx="2">
                  <c:v>Biryani Blues</c:v>
                </c:pt>
                <c:pt idx="3">
                  <c:v>Burger Singh</c:v>
                </c:pt>
                <c:pt idx="4">
                  <c:v>Cafe Coffee Day</c:v>
                </c:pt>
                <c:pt idx="5">
                  <c:v>Domino's Pizza</c:v>
                </c:pt>
                <c:pt idx="6">
                  <c:v>Faasos</c:v>
                </c:pt>
                <c:pt idx="7">
                  <c:v>KFC</c:v>
                </c:pt>
                <c:pt idx="8">
                  <c:v>Local Kitchen</c:v>
                </c:pt>
                <c:pt idx="9">
                  <c:v>McDonald's</c:v>
                </c:pt>
                <c:pt idx="10">
                  <c:v>Pizza Hut</c:v>
                </c:pt>
                <c:pt idx="11">
                  <c:v>Rolls Mania</c:v>
                </c:pt>
                <c:pt idx="12">
                  <c:v>Subway</c:v>
                </c:pt>
                <c:pt idx="13">
                  <c:v>The Good Bowl</c:v>
                </c:pt>
                <c:pt idx="14">
                  <c:v>Wow! Momo</c:v>
                </c:pt>
              </c:strCache>
            </c:strRef>
          </c:cat>
          <c:val>
            <c:numRef>
              <c:f>chart6!$B$2:$B$17</c:f>
              <c:numCache>
                <c:formatCode>General</c:formatCode>
                <c:ptCount val="15"/>
                <c:pt idx="0">
                  <c:v>272449.64999999985</c:v>
                </c:pt>
                <c:pt idx="1">
                  <c:v>257078.79999999981</c:v>
                </c:pt>
                <c:pt idx="2">
                  <c:v>269019.05000000016</c:v>
                </c:pt>
                <c:pt idx="3">
                  <c:v>306664.50000000006</c:v>
                </c:pt>
                <c:pt idx="4">
                  <c:v>272514.95000000007</c:v>
                </c:pt>
                <c:pt idx="5">
                  <c:v>267217.40000000002</c:v>
                </c:pt>
                <c:pt idx="6">
                  <c:v>268905.25000000012</c:v>
                </c:pt>
                <c:pt idx="7">
                  <c:v>240150.20000000013</c:v>
                </c:pt>
                <c:pt idx="8">
                  <c:v>279938.04999999993</c:v>
                </c:pt>
                <c:pt idx="9">
                  <c:v>301419.4499999999</c:v>
                </c:pt>
                <c:pt idx="10">
                  <c:v>277607.64999999985</c:v>
                </c:pt>
                <c:pt idx="11">
                  <c:v>255409.24999999983</c:v>
                </c:pt>
                <c:pt idx="12">
                  <c:v>272834.99999999994</c:v>
                </c:pt>
                <c:pt idx="13">
                  <c:v>272045.49999999988</c:v>
                </c:pt>
                <c:pt idx="14">
                  <c:v>303971.10000000009</c:v>
                </c:pt>
              </c:numCache>
            </c:numRef>
          </c:val>
          <c:extLst>
            <c:ext xmlns:c16="http://schemas.microsoft.com/office/drawing/2014/chart" uri="{C3380CC4-5D6E-409C-BE32-E72D297353CC}">
              <c16:uniqueId val="{00000000-2175-461B-835A-1D2071EFF323}"/>
            </c:ext>
          </c:extLst>
        </c:ser>
        <c:dLbls>
          <c:dLblPos val="outEnd"/>
          <c:showLegendKey val="0"/>
          <c:showVal val="1"/>
          <c:showCatName val="0"/>
          <c:showSerName val="0"/>
          <c:showPercent val="0"/>
          <c:showBubbleSize val="0"/>
        </c:dLbls>
        <c:gapWidth val="219"/>
        <c:axId val="2030023215"/>
        <c:axId val="2097837423"/>
      </c:barChart>
      <c:catAx>
        <c:axId val="203002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097837423"/>
        <c:crosses val="autoZero"/>
        <c:auto val="1"/>
        <c:lblAlgn val="ctr"/>
        <c:lblOffset val="100"/>
        <c:noMultiLvlLbl val="0"/>
      </c:catAx>
      <c:valAx>
        <c:axId val="209783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03002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[Swiggy_5000_Rows_Dashboard_Data.xlsx]chart1!PivotTable1</c:name>
    <c:fmtId val="0"/>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IN">
                <a:solidFill>
                  <a:schemeClr val="accent1">
                    <a:lumMod val="20000"/>
                    <a:lumOff val="80000"/>
                  </a:schemeClr>
                </a:solidFill>
              </a:rPr>
              <a:t>ORDER VOLUME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24939596092155147"/>
          <c:w val="0.76112270341207344"/>
          <c:h val="0.48688721201516477"/>
        </c:manualLayout>
      </c:layout>
      <c:barChart>
        <c:barDir val="col"/>
        <c:grouping val="clustered"/>
        <c:varyColors val="0"/>
        <c:ser>
          <c:idx val="0"/>
          <c:order val="0"/>
          <c:tx>
            <c:strRef>
              <c:f>chart1!$B$1</c:f>
              <c:strCache>
                <c:ptCount val="1"/>
                <c:pt idx="0">
                  <c:v>Total</c:v>
                </c:pt>
              </c:strCache>
            </c:strRef>
          </c:tx>
          <c:spPr>
            <a:solidFill>
              <a:srgbClr val="2F75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chart1!$A$2:$A$7</c:f>
              <c:strCache>
                <c:ptCount val="5"/>
                <c:pt idx="0">
                  <c:v>Cash on Delivery</c:v>
                </c:pt>
                <c:pt idx="1">
                  <c:v>Credit Card</c:v>
                </c:pt>
                <c:pt idx="2">
                  <c:v>Debit Card</c:v>
                </c:pt>
                <c:pt idx="3">
                  <c:v>UPI</c:v>
                </c:pt>
                <c:pt idx="4">
                  <c:v>Wallet</c:v>
                </c:pt>
              </c:strCache>
            </c:strRef>
          </c:cat>
          <c:val>
            <c:numRef>
              <c:f>chart1!$B$2:$B$7</c:f>
              <c:numCache>
                <c:formatCode>General</c:formatCode>
                <c:ptCount val="5"/>
                <c:pt idx="0">
                  <c:v>619</c:v>
                </c:pt>
                <c:pt idx="1">
                  <c:v>949</c:v>
                </c:pt>
                <c:pt idx="2">
                  <c:v>846</c:v>
                </c:pt>
                <c:pt idx="3">
                  <c:v>2070</c:v>
                </c:pt>
                <c:pt idx="4">
                  <c:v>516</c:v>
                </c:pt>
              </c:numCache>
            </c:numRef>
          </c:val>
          <c:extLst>
            <c:ext xmlns:c16="http://schemas.microsoft.com/office/drawing/2014/chart" uri="{C3380CC4-5D6E-409C-BE32-E72D297353CC}">
              <c16:uniqueId val="{00000000-20D5-4379-A1BC-AF6779203FEE}"/>
            </c:ext>
          </c:extLst>
        </c:ser>
        <c:dLbls>
          <c:showLegendKey val="0"/>
          <c:showVal val="0"/>
          <c:showCatName val="0"/>
          <c:showSerName val="0"/>
          <c:showPercent val="0"/>
          <c:showBubbleSize val="0"/>
        </c:dLbls>
        <c:gapWidth val="219"/>
        <c:axId val="1844422128"/>
        <c:axId val="1830577040"/>
      </c:barChart>
      <c:catAx>
        <c:axId val="184442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30577040"/>
        <c:crosses val="autoZero"/>
        <c:auto val="1"/>
        <c:lblAlgn val="ctr"/>
        <c:lblOffset val="100"/>
        <c:noMultiLvlLbl val="0"/>
      </c:catAx>
      <c:valAx>
        <c:axId val="183057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4442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36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[Swiggy_5000_Rows_Dashboard_Data.xlsx]chart2!PivotTable3</c:name>
    <c:fmtId val="0"/>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b="1" i="1">
                <a:solidFill>
                  <a:schemeClr val="bg2">
                    <a:lumMod val="90000"/>
                  </a:schemeClr>
                </a:solidFill>
                <a:latin typeface="Segoe UI" panose="020B0502040204020203" pitchFamily="34" charset="0"/>
                <a:ea typeface="Segoe UI Black" panose="020B0A02040204020203" pitchFamily="34" charset="0"/>
                <a:cs typeface="Segoe UI" panose="020B0502040204020203" pitchFamily="34" charset="0"/>
              </a:rPr>
              <a:t>REVENUE  BY  CITY</a:t>
            </a:r>
          </a:p>
        </c:rich>
      </c:tx>
      <c:layout>
        <c:manualLayout>
          <c:xMode val="edge"/>
          <c:yMode val="edge"/>
          <c:x val="0.31239566929133855"/>
          <c:y val="4.0645960921551476E-2"/>
        </c:manualLayout>
      </c:layout>
      <c:overlay val="0"/>
      <c:spPr>
        <a:solidFill>
          <a:schemeClr val="bg2">
            <a:lumMod val="10000"/>
          </a:schemeClr>
        </a:solid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chart2!$B$3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chart2!$A$4:$A$14</c:f>
              <c:strCache>
                <c:ptCount val="10"/>
                <c:pt idx="0">
                  <c:v>Aurangabad</c:v>
                </c:pt>
                <c:pt idx="1">
                  <c:v>Bengaluru</c:v>
                </c:pt>
                <c:pt idx="2">
                  <c:v>Bhopal</c:v>
                </c:pt>
                <c:pt idx="3">
                  <c:v>Delhi</c:v>
                </c:pt>
                <c:pt idx="4">
                  <c:v>Hyderabad</c:v>
                </c:pt>
                <c:pt idx="5">
                  <c:v>Indore</c:v>
                </c:pt>
                <c:pt idx="6">
                  <c:v>Mumbai</c:v>
                </c:pt>
                <c:pt idx="7">
                  <c:v>Nagpur</c:v>
                </c:pt>
                <c:pt idx="8">
                  <c:v>Nashik</c:v>
                </c:pt>
                <c:pt idx="9">
                  <c:v>Pune</c:v>
                </c:pt>
              </c:strCache>
            </c:strRef>
          </c:cat>
          <c:val>
            <c:numRef>
              <c:f>chart2!$B$4:$B$14</c:f>
              <c:numCache>
                <c:formatCode>General</c:formatCode>
                <c:ptCount val="10"/>
                <c:pt idx="0">
                  <c:v>267631</c:v>
                </c:pt>
                <c:pt idx="1">
                  <c:v>596646</c:v>
                </c:pt>
                <c:pt idx="2">
                  <c:v>174571</c:v>
                </c:pt>
                <c:pt idx="3">
                  <c:v>410365</c:v>
                </c:pt>
                <c:pt idx="4">
                  <c:v>358945</c:v>
                </c:pt>
                <c:pt idx="5">
                  <c:v>266183</c:v>
                </c:pt>
                <c:pt idx="6">
                  <c:v>721695</c:v>
                </c:pt>
                <c:pt idx="7">
                  <c:v>497743</c:v>
                </c:pt>
                <c:pt idx="8">
                  <c:v>354552</c:v>
                </c:pt>
                <c:pt idx="9">
                  <c:v>598474</c:v>
                </c:pt>
              </c:numCache>
            </c:numRef>
          </c:val>
          <c:extLst>
            <c:ext xmlns:c16="http://schemas.microsoft.com/office/drawing/2014/chart" uri="{C3380CC4-5D6E-409C-BE32-E72D297353CC}">
              <c16:uniqueId val="{00000000-A854-481B-8F5B-2202AF541321}"/>
            </c:ext>
          </c:extLst>
        </c:ser>
        <c:dLbls>
          <c:showLegendKey val="0"/>
          <c:showVal val="0"/>
          <c:showCatName val="0"/>
          <c:showSerName val="0"/>
          <c:showPercent val="0"/>
          <c:showBubbleSize val="0"/>
        </c:dLbls>
        <c:gapWidth val="219"/>
        <c:overlap val="-27"/>
        <c:axId val="407533951"/>
        <c:axId val="352007119"/>
      </c:barChart>
      <c:catAx>
        <c:axId val="407533951"/>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2007119"/>
        <c:crosses val="autoZero"/>
        <c:auto val="1"/>
        <c:lblAlgn val="ctr"/>
        <c:lblOffset val="100"/>
        <c:noMultiLvlLbl val="0"/>
      </c:catAx>
      <c:valAx>
        <c:axId val="352007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753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[Swiggy_5000_Rows_Dashboard_Data.xlsx]chart3!PivotTable4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accent1">
                    <a:lumMod val="20000"/>
                    <a:lumOff val="80000"/>
                  </a:schemeClr>
                </a:solidFill>
                <a:latin typeface="Segoe UI Black" panose="020B0A02040204020203" pitchFamily="34" charset="0"/>
                <a:ea typeface="Segoe UI Black" panose="020B0A02040204020203" pitchFamily="34" charset="0"/>
              </a:rPr>
              <a:t>PRODUCTION BY CATEGORY</a:t>
            </a:r>
          </a:p>
        </c:rich>
      </c:tx>
      <c:layout>
        <c:manualLayout>
          <c:xMode val="edge"/>
          <c:yMode val="edge"/>
          <c:x val="0.27167344706911634"/>
          <c:y val="0.11472003499562555"/>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chart3!$B$1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C1-4113-8550-7EE597ED045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C1-4113-8550-7EE597ED045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FC1-4113-8550-7EE597ED045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FC1-4113-8550-7EE597ED04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chart3!$A$2:$A$6</c:f>
              <c:strCache>
                <c:ptCount val="4"/>
                <c:pt idx="0">
                  <c:v>Cancelled</c:v>
                </c:pt>
                <c:pt idx="1">
                  <c:v>Delivered</c:v>
                </c:pt>
                <c:pt idx="2">
                  <c:v>Out for Delivery</c:v>
                </c:pt>
                <c:pt idx="3">
                  <c:v>Preparing</c:v>
                </c:pt>
              </c:strCache>
            </c:strRef>
          </c:cat>
          <c:val>
            <c:numRef>
              <c:f>chart3!$B$2:$B$6</c:f>
              <c:numCache>
                <c:formatCode>General</c:formatCode>
                <c:ptCount val="4"/>
                <c:pt idx="0">
                  <c:v>280</c:v>
                </c:pt>
                <c:pt idx="1">
                  <c:v>4098</c:v>
                </c:pt>
                <c:pt idx="2">
                  <c:v>380</c:v>
                </c:pt>
                <c:pt idx="3">
                  <c:v>242</c:v>
                </c:pt>
              </c:numCache>
            </c:numRef>
          </c:val>
          <c:extLst>
            <c:ext xmlns:c16="http://schemas.microsoft.com/office/drawing/2014/chart" uri="{C3380CC4-5D6E-409C-BE32-E72D297353CC}">
              <c16:uniqueId val="{00000000-02FC-43FC-82C7-0EE3D5C5ACF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2">
                    <a:lumMod val="20000"/>
                    <a:lumOff val="80000"/>
                  </a:schemeClr>
                </a:solidFill>
                <a:latin typeface="Segoe UI Black" panose="020B0A02040204020203" pitchFamily="34" charset="0"/>
                <a:ea typeface="Segoe UI Black" panose="020B0A02040204020203" pitchFamily="34" charset="0"/>
              </a:rPr>
              <a:t>PRODUCTION BY CATEGORY</a:t>
            </a:r>
          </a:p>
        </c:rich>
      </c:tx>
      <c:layout>
        <c:manualLayout>
          <c:xMode val="edge"/>
          <c:yMode val="edge"/>
          <c:x val="0.2511178915135607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chart4!$B$3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82C-420F-8DBC-E0CE52B687B7}"/>
              </c:ext>
            </c:extLst>
          </c:dPt>
          <c:dPt>
            <c:idx val="1"/>
            <c:bubble3D val="0"/>
            <c:spPr>
              <a:solidFill>
                <a:schemeClr val="accent2"/>
              </a:solidFill>
              <a:ln>
                <a:noFill/>
              </a:ln>
              <a:effectLst/>
            </c:spPr>
            <c:extLst>
              <c:ext xmlns:c16="http://schemas.microsoft.com/office/drawing/2014/chart" uri="{C3380CC4-5D6E-409C-BE32-E72D297353CC}">
                <c16:uniqueId val="{00000003-082C-420F-8DBC-E0CE52B687B7}"/>
              </c:ext>
            </c:extLst>
          </c:dPt>
          <c:dPt>
            <c:idx val="2"/>
            <c:bubble3D val="0"/>
            <c:spPr>
              <a:solidFill>
                <a:schemeClr val="accent3"/>
              </a:solidFill>
              <a:ln>
                <a:noFill/>
              </a:ln>
              <a:effectLst/>
            </c:spPr>
            <c:extLst>
              <c:ext xmlns:c16="http://schemas.microsoft.com/office/drawing/2014/chart" uri="{C3380CC4-5D6E-409C-BE32-E72D297353CC}">
                <c16:uniqueId val="{00000005-082C-420F-8DBC-E0CE52B687B7}"/>
              </c:ext>
            </c:extLst>
          </c:dPt>
          <c:dPt>
            <c:idx val="3"/>
            <c:bubble3D val="0"/>
            <c:spPr>
              <a:solidFill>
                <a:schemeClr val="accent4"/>
              </a:solidFill>
              <a:ln>
                <a:noFill/>
              </a:ln>
              <a:effectLst/>
            </c:spPr>
            <c:extLst>
              <c:ext xmlns:c16="http://schemas.microsoft.com/office/drawing/2014/chart" uri="{C3380CC4-5D6E-409C-BE32-E72D297353CC}">
                <c16:uniqueId val="{00000007-082C-420F-8DBC-E0CE52B687B7}"/>
              </c:ext>
            </c:extLst>
          </c:dPt>
          <c:dPt>
            <c:idx val="4"/>
            <c:bubble3D val="0"/>
            <c:spPr>
              <a:solidFill>
                <a:schemeClr val="accent5"/>
              </a:solidFill>
              <a:ln>
                <a:noFill/>
              </a:ln>
              <a:effectLst/>
            </c:spPr>
            <c:extLst>
              <c:ext xmlns:c16="http://schemas.microsoft.com/office/drawing/2014/chart" uri="{C3380CC4-5D6E-409C-BE32-E72D297353CC}">
                <c16:uniqueId val="{00000009-082C-420F-8DBC-E0CE52B687B7}"/>
              </c:ext>
            </c:extLst>
          </c:dPt>
          <c:dPt>
            <c:idx val="5"/>
            <c:bubble3D val="0"/>
            <c:spPr>
              <a:solidFill>
                <a:schemeClr val="accent6"/>
              </a:solidFill>
              <a:ln>
                <a:noFill/>
              </a:ln>
              <a:effectLst/>
            </c:spPr>
            <c:extLst>
              <c:ext xmlns:c16="http://schemas.microsoft.com/office/drawing/2014/chart" uri="{C3380CC4-5D6E-409C-BE32-E72D297353CC}">
                <c16:uniqueId val="{0000000B-082C-420F-8DBC-E0CE52B687B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82C-420F-8DBC-E0CE52B687B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082C-420F-8DBC-E0CE52B687B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082C-420F-8DBC-E0CE52B687B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082C-420F-8DBC-E0CE52B687B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082C-420F-8DBC-E0CE52B687B7}"/>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082C-420F-8DBC-E0CE52B68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chart4!$B$4:$B$16</c:f>
              <c:numCache>
                <c:formatCode>General</c:formatCode>
                <c:ptCount val="12"/>
                <c:pt idx="0">
                  <c:v>420</c:v>
                </c:pt>
                <c:pt idx="1">
                  <c:v>392</c:v>
                </c:pt>
                <c:pt idx="2">
                  <c:v>404</c:v>
                </c:pt>
                <c:pt idx="3">
                  <c:v>433</c:v>
                </c:pt>
                <c:pt idx="4">
                  <c:v>441</c:v>
                </c:pt>
                <c:pt idx="5">
                  <c:v>440</c:v>
                </c:pt>
                <c:pt idx="6">
                  <c:v>375</c:v>
                </c:pt>
                <c:pt idx="7">
                  <c:v>441</c:v>
                </c:pt>
                <c:pt idx="8">
                  <c:v>395</c:v>
                </c:pt>
                <c:pt idx="9">
                  <c:v>418</c:v>
                </c:pt>
                <c:pt idx="10">
                  <c:v>411</c:v>
                </c:pt>
                <c:pt idx="11">
                  <c:v>430</c:v>
                </c:pt>
              </c:numCache>
            </c:numRef>
          </c:val>
          <c:extLst>
            <c:ext xmlns:c16="http://schemas.microsoft.com/office/drawing/2014/chart" uri="{C3380CC4-5D6E-409C-BE32-E72D297353CC}">
              <c16:uniqueId val="{00000000-BF27-4FC5-834C-37077D22F80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accent1">
                    <a:lumMod val="20000"/>
                    <a:lumOff val="80000"/>
                  </a:schemeClr>
                </a:solidFill>
                <a:latin typeface="Segoe UI Black" panose="020B0A02040204020203" pitchFamily="34" charset="0"/>
                <a:ea typeface="Segoe UI Black" panose="020B0A02040204020203" pitchFamily="34" charset="0"/>
              </a:rPr>
              <a:t>SALES</a:t>
            </a:r>
            <a:r>
              <a:rPr lang="en-US" i="1" baseline="0">
                <a:solidFill>
                  <a:schemeClr val="accent1">
                    <a:lumMod val="20000"/>
                    <a:lumOff val="80000"/>
                  </a:schemeClr>
                </a:solidFill>
                <a:latin typeface="Segoe UI Black" panose="020B0A02040204020203" pitchFamily="34" charset="0"/>
                <a:ea typeface="Segoe UI Black" panose="020B0A02040204020203" pitchFamily="34" charset="0"/>
              </a:rPr>
              <a:t> REVENUE BY CATEGORY AND MONTH</a:t>
            </a:r>
            <a:endParaRPr lang="en-US" i="1">
              <a:solidFill>
                <a:schemeClr val="accent1">
                  <a:lumMod val="20000"/>
                  <a:lumOff val="80000"/>
                </a:schemeClr>
              </a:solidFill>
              <a:latin typeface="Segoe UI Black" panose="020B0A02040204020203" pitchFamily="34" charset="0"/>
              <a:ea typeface="Segoe UI Black" panose="020B0A02040204020203" pitchFamily="34" charset="0"/>
            </a:endParaRPr>
          </a:p>
        </c:rich>
      </c:tx>
      <c:layout>
        <c:manualLayout>
          <c:xMode val="edge"/>
          <c:yMode val="edge"/>
          <c:x val="0.2382777777777777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chart5!$B$1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chart5!$A$2:$A$6</c:f>
              <c:strCache>
                <c:ptCount val="4"/>
                <c:pt idx="0">
                  <c:v>Beverage</c:v>
                </c:pt>
                <c:pt idx="1">
                  <c:v>Dessert</c:v>
                </c:pt>
                <c:pt idx="2">
                  <c:v>Main Course</c:v>
                </c:pt>
                <c:pt idx="3">
                  <c:v>Snacks</c:v>
                </c:pt>
              </c:strCache>
            </c:strRef>
          </c:cat>
          <c:val>
            <c:numRef>
              <c:f>chart5!$B$2:$B$6</c:f>
              <c:numCache>
                <c:formatCode>General</c:formatCode>
                <c:ptCount val="4"/>
                <c:pt idx="0">
                  <c:v>294</c:v>
                </c:pt>
                <c:pt idx="1">
                  <c:v>329</c:v>
                </c:pt>
                <c:pt idx="2">
                  <c:v>3383</c:v>
                </c:pt>
                <c:pt idx="3">
                  <c:v>994</c:v>
                </c:pt>
              </c:numCache>
            </c:numRef>
          </c:val>
          <c:smooth val="0"/>
          <c:extLst>
            <c:ext xmlns:c16="http://schemas.microsoft.com/office/drawing/2014/chart" uri="{C3380CC4-5D6E-409C-BE32-E72D297353CC}">
              <c16:uniqueId val="{00000000-EFF1-459D-BFAD-3AAA5A705BAF}"/>
            </c:ext>
          </c:extLst>
        </c:ser>
        <c:dLbls>
          <c:showLegendKey val="0"/>
          <c:showVal val="0"/>
          <c:showCatName val="0"/>
          <c:showSerName val="0"/>
          <c:showPercent val="0"/>
          <c:showBubbleSize val="0"/>
        </c:dLbls>
        <c:smooth val="0"/>
        <c:axId val="613456847"/>
        <c:axId val="352000879"/>
      </c:lineChart>
      <c:catAx>
        <c:axId val="6134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52000879"/>
        <c:crosses val="autoZero"/>
        <c:auto val="1"/>
        <c:lblAlgn val="ctr"/>
        <c:lblOffset val="100"/>
        <c:noMultiLvlLbl val="0"/>
      </c:catAx>
      <c:valAx>
        <c:axId val="35200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613456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1">
                    <a:lumMod val="20000"/>
                    <a:lumOff val="8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[Swiggy_5000_Rows_Dashboard_Data.xlsx]chart6!PivotTable2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3">
                    <a:lumMod val="20000"/>
                    <a:lumOff val="80000"/>
                  </a:schemeClr>
                </a:solidFill>
              </a:rPr>
              <a:t>Top</a:t>
            </a:r>
            <a:r>
              <a:rPr lang="en-IN" sz="1800" b="1" baseline="0">
                <a:solidFill>
                  <a:schemeClr val="accent3">
                    <a:lumMod val="20000"/>
                    <a:lumOff val="80000"/>
                  </a:schemeClr>
                </a:solidFill>
              </a:rPr>
              <a:t> Restarants By Revenue</a:t>
            </a:r>
            <a:endParaRPr lang="en-IN" sz="1800" b="1">
              <a:solidFill>
                <a:schemeClr val="accent3">
                  <a:lumMod val="20000"/>
                  <a:lumOff val="80000"/>
                </a:schemeClr>
              </a:solidFill>
            </a:endParaRPr>
          </a:p>
        </c:rich>
      </c:tx>
      <c:layout>
        <c:manualLayout>
          <c:xMode val="edge"/>
          <c:yMode val="edge"/>
          <c:x val="0.29842344706911639"/>
          <c:y val="3.138670166229221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chart6!$B$1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chart6!$A$2:$A$17</c:f>
              <c:strCache>
                <c:ptCount val="15"/>
                <c:pt idx="0">
                  <c:v>Barbeque Nation</c:v>
                </c:pt>
                <c:pt idx="1">
                  <c:v>Behrouz Biryani</c:v>
                </c:pt>
                <c:pt idx="2">
                  <c:v>Biryani Blues</c:v>
                </c:pt>
                <c:pt idx="3">
                  <c:v>Burger Singh</c:v>
                </c:pt>
                <c:pt idx="4">
                  <c:v>Cafe Coffee Day</c:v>
                </c:pt>
                <c:pt idx="5">
                  <c:v>Domino's Pizza</c:v>
                </c:pt>
                <c:pt idx="6">
                  <c:v>Faasos</c:v>
                </c:pt>
                <c:pt idx="7">
                  <c:v>KFC</c:v>
                </c:pt>
                <c:pt idx="8">
                  <c:v>Local Kitchen</c:v>
                </c:pt>
                <c:pt idx="9">
                  <c:v>McDonald's</c:v>
                </c:pt>
                <c:pt idx="10">
                  <c:v>Pizza Hut</c:v>
                </c:pt>
                <c:pt idx="11">
                  <c:v>Rolls Mania</c:v>
                </c:pt>
                <c:pt idx="12">
                  <c:v>Subway</c:v>
                </c:pt>
                <c:pt idx="13">
                  <c:v>The Good Bowl</c:v>
                </c:pt>
                <c:pt idx="14">
                  <c:v>Wow! Momo</c:v>
                </c:pt>
              </c:strCache>
            </c:strRef>
          </c:cat>
          <c:val>
            <c:numRef>
              <c:f>chart6!$B$2:$B$17</c:f>
              <c:numCache>
                <c:formatCode>General</c:formatCode>
                <c:ptCount val="15"/>
                <c:pt idx="0">
                  <c:v>272449.64999999985</c:v>
                </c:pt>
                <c:pt idx="1">
                  <c:v>257078.79999999981</c:v>
                </c:pt>
                <c:pt idx="2">
                  <c:v>269019.05000000016</c:v>
                </c:pt>
                <c:pt idx="3">
                  <c:v>306664.50000000006</c:v>
                </c:pt>
                <c:pt idx="4">
                  <c:v>272514.95000000007</c:v>
                </c:pt>
                <c:pt idx="5">
                  <c:v>267217.40000000002</c:v>
                </c:pt>
                <c:pt idx="6">
                  <c:v>268905.25000000012</c:v>
                </c:pt>
                <c:pt idx="7">
                  <c:v>240150.20000000013</c:v>
                </c:pt>
                <c:pt idx="8">
                  <c:v>279938.04999999993</c:v>
                </c:pt>
                <c:pt idx="9">
                  <c:v>301419.4499999999</c:v>
                </c:pt>
                <c:pt idx="10">
                  <c:v>277607.64999999985</c:v>
                </c:pt>
                <c:pt idx="11">
                  <c:v>255409.24999999983</c:v>
                </c:pt>
                <c:pt idx="12">
                  <c:v>272834.99999999994</c:v>
                </c:pt>
                <c:pt idx="13">
                  <c:v>272045.49999999988</c:v>
                </c:pt>
                <c:pt idx="14">
                  <c:v>303971.10000000009</c:v>
                </c:pt>
              </c:numCache>
            </c:numRef>
          </c:val>
          <c:extLst>
            <c:ext xmlns:c16="http://schemas.microsoft.com/office/drawing/2014/chart" uri="{C3380CC4-5D6E-409C-BE32-E72D297353CC}">
              <c16:uniqueId val="{00000000-3392-455C-85D0-05C930CBC03B}"/>
            </c:ext>
          </c:extLst>
        </c:ser>
        <c:dLbls>
          <c:dLblPos val="outEnd"/>
          <c:showLegendKey val="0"/>
          <c:showVal val="1"/>
          <c:showCatName val="0"/>
          <c:showSerName val="0"/>
          <c:showPercent val="0"/>
          <c:showBubbleSize val="0"/>
        </c:dLbls>
        <c:gapWidth val="219"/>
        <c:axId val="2030023215"/>
        <c:axId val="2097837423"/>
      </c:barChart>
      <c:catAx>
        <c:axId val="203002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097837423"/>
        <c:crosses val="autoZero"/>
        <c:auto val="1"/>
        <c:lblAlgn val="ctr"/>
        <c:lblOffset val="100"/>
        <c:noMultiLvlLbl val="0"/>
      </c:catAx>
      <c:valAx>
        <c:axId val="209783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03002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3D6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22</xdr:col>
      <xdr:colOff>794204</xdr:colOff>
      <xdr:row>9</xdr:row>
      <xdr:rowOff>131084</xdr:rowOff>
    </xdr:from>
    <xdr:to>
      <xdr:col>24</xdr:col>
      <xdr:colOff>789441</xdr:colOff>
      <xdr:row>22</xdr:row>
      <xdr:rowOff>178709</xdr:rowOff>
    </xdr:to>
    <mc:AlternateContent xmlns:mc="http://schemas.openxmlformats.org/markup-compatibility/2006" xmlns:sle15="http://schemas.microsoft.com/office/drawing/2012/slicer">
      <mc:Choice Requires="sle15">
        <xdr:graphicFrame macro="">
          <xdr:nvGraphicFramePr>
            <xdr:cNvPr id="2" name="Month">
              <a:extLst>
                <a:ext uri="{FF2B5EF4-FFF2-40B4-BE49-F238E27FC236}">
                  <a16:creationId xmlns:a16="http://schemas.microsoft.com/office/drawing/2014/main" id="{756C4466-8B2F-52B7-F3E1-39C17DE6B75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082829" y="184558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29</xdr:col>
      <xdr:colOff>457428</xdr:colOff>
      <xdr:row>9</xdr:row>
      <xdr:rowOff>149679</xdr:rowOff>
    </xdr:from>
    <xdr:to>
      <xdr:col>31</xdr:col>
      <xdr:colOff>242889</xdr:colOff>
      <xdr:row>23</xdr:row>
      <xdr:rowOff>10886</xdr:rowOff>
    </xdr:to>
    <mc:AlternateContent xmlns:mc="http://schemas.openxmlformats.org/markup-compatibility/2006" xmlns:sle15="http://schemas.microsoft.com/office/drawing/2012/slicer">
      <mc:Choice Requires="sle15">
        <xdr:graphicFrame macro="">
          <xdr:nvGraphicFramePr>
            <xdr:cNvPr id="3" name="City">
              <a:extLst>
                <a:ext uri="{FF2B5EF4-FFF2-40B4-BE49-F238E27FC236}">
                  <a16:creationId xmlns:a16="http://schemas.microsoft.com/office/drawing/2014/main" id="{0DC2C585-6DC9-AE83-2CA3-77448435FB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643741" y="1864179"/>
              <a:ext cx="1825398" cy="252820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1058410</xdr:colOff>
      <xdr:row>9</xdr:row>
      <xdr:rowOff>148092</xdr:rowOff>
    </xdr:from>
    <xdr:to>
      <xdr:col>26</xdr:col>
      <xdr:colOff>763362</xdr:colOff>
      <xdr:row>23</xdr:row>
      <xdr:rowOff>0</xdr:rowOff>
    </xdr:to>
    <mc:AlternateContent xmlns:mc="http://schemas.openxmlformats.org/markup-compatibility/2006" xmlns:sle15="http://schemas.microsoft.com/office/drawing/2012/slicer">
      <mc:Choice Requires="sle15">
        <xdr:graphicFrame macro="">
          <xdr:nvGraphicFramePr>
            <xdr:cNvPr id="4" name="Category">
              <a:extLst>
                <a:ext uri="{FF2B5EF4-FFF2-40B4-BE49-F238E27FC236}">
                  <a16:creationId xmlns:a16="http://schemas.microsoft.com/office/drawing/2014/main" id="{C3077BF1-114C-1EAC-2DE8-E9FC1E5557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180598" y="1862592"/>
              <a:ext cx="1824264"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319088</xdr:colOff>
      <xdr:row>9</xdr:row>
      <xdr:rowOff>126545</xdr:rowOff>
    </xdr:from>
    <xdr:to>
      <xdr:col>29</xdr:col>
      <xdr:colOff>216807</xdr:colOff>
      <xdr:row>22</xdr:row>
      <xdr:rowOff>170089</xdr:rowOff>
    </xdr:to>
    <mc:AlternateContent xmlns:mc="http://schemas.openxmlformats.org/markup-compatibility/2006" xmlns:sle15="http://schemas.microsoft.com/office/drawing/2012/slicer">
      <mc:Choice Requires="sle15">
        <xdr:graphicFrame macro="">
          <xdr:nvGraphicFramePr>
            <xdr:cNvPr id="5" name="Payment_Method">
              <a:extLst>
                <a:ext uri="{FF2B5EF4-FFF2-40B4-BE49-F238E27FC236}">
                  <a16:creationId xmlns:a16="http://schemas.microsoft.com/office/drawing/2014/main" id="{71BF335A-445B-B3F1-2C3E-2205F0AA68F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8576588" y="1841045"/>
              <a:ext cx="1826532" cy="252004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588309</xdr:colOff>
      <xdr:row>6</xdr:row>
      <xdr:rowOff>28015</xdr:rowOff>
    </xdr:from>
    <xdr:to>
      <xdr:col>3</xdr:col>
      <xdr:colOff>1307353</xdr:colOff>
      <xdr:row>11</xdr:row>
      <xdr:rowOff>8591</xdr:rowOff>
    </xdr:to>
    <xdr:sp macro="" textlink="">
      <xdr:nvSpPr>
        <xdr:cNvPr id="4" name="Rectangle 3">
          <a:extLst>
            <a:ext uri="{FF2B5EF4-FFF2-40B4-BE49-F238E27FC236}">
              <a16:creationId xmlns:a16="http://schemas.microsoft.com/office/drawing/2014/main" id="{2CF7D9AA-CFD0-B2CD-671D-D2A4A005DE28}"/>
            </a:ext>
          </a:extLst>
        </xdr:cNvPr>
        <xdr:cNvSpPr/>
      </xdr:nvSpPr>
      <xdr:spPr>
        <a:xfrm>
          <a:off x="2334559" y="1148603"/>
          <a:ext cx="1998382" cy="914400"/>
        </a:xfrm>
        <a:prstGeom prst="rect">
          <a:avLst/>
        </a:prstGeom>
        <a:solidFill>
          <a:srgbClr val="0A3D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1839632</xdr:colOff>
      <xdr:row>6</xdr:row>
      <xdr:rowOff>28013</xdr:rowOff>
    </xdr:from>
    <xdr:to>
      <xdr:col>6</xdr:col>
      <xdr:colOff>578971</xdr:colOff>
      <xdr:row>11</xdr:row>
      <xdr:rowOff>8589</xdr:rowOff>
    </xdr:to>
    <xdr:sp macro="" textlink="">
      <xdr:nvSpPr>
        <xdr:cNvPr id="5" name="Rectangle 4">
          <a:extLst>
            <a:ext uri="{FF2B5EF4-FFF2-40B4-BE49-F238E27FC236}">
              <a16:creationId xmlns:a16="http://schemas.microsoft.com/office/drawing/2014/main" id="{73F7F5D7-B303-B12F-6437-7EA2F042D550}"/>
            </a:ext>
          </a:extLst>
        </xdr:cNvPr>
        <xdr:cNvSpPr/>
      </xdr:nvSpPr>
      <xdr:spPr>
        <a:xfrm>
          <a:off x="4865220" y="1148601"/>
          <a:ext cx="1998383" cy="914400"/>
        </a:xfrm>
        <a:prstGeom prst="rect">
          <a:avLst/>
        </a:prstGeom>
        <a:solidFill>
          <a:srgbClr val="0A3D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540992</xdr:colOff>
      <xdr:row>6</xdr:row>
      <xdr:rowOff>8095</xdr:rowOff>
    </xdr:from>
    <xdr:to>
      <xdr:col>10</xdr:col>
      <xdr:colOff>634377</xdr:colOff>
      <xdr:row>10</xdr:row>
      <xdr:rowOff>175436</xdr:rowOff>
    </xdr:to>
    <xdr:sp macro="" textlink="">
      <xdr:nvSpPr>
        <xdr:cNvPr id="6" name="Rectangle 5">
          <a:extLst>
            <a:ext uri="{FF2B5EF4-FFF2-40B4-BE49-F238E27FC236}">
              <a16:creationId xmlns:a16="http://schemas.microsoft.com/office/drawing/2014/main" id="{353B3AAC-A442-EAD5-086D-28365AF14B85}"/>
            </a:ext>
          </a:extLst>
        </xdr:cNvPr>
        <xdr:cNvSpPr/>
      </xdr:nvSpPr>
      <xdr:spPr>
        <a:xfrm>
          <a:off x="8277409" y="1669678"/>
          <a:ext cx="2273551" cy="929341"/>
        </a:xfrm>
        <a:prstGeom prst="rect">
          <a:avLst/>
        </a:prstGeom>
        <a:solidFill>
          <a:srgbClr val="0A3D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326839</xdr:colOff>
      <xdr:row>6</xdr:row>
      <xdr:rowOff>18677</xdr:rowOff>
    </xdr:from>
    <xdr:to>
      <xdr:col>14</xdr:col>
      <xdr:colOff>846667</xdr:colOff>
      <xdr:row>10</xdr:row>
      <xdr:rowOff>186018</xdr:rowOff>
    </xdr:to>
    <xdr:sp macro="" textlink="">
      <xdr:nvSpPr>
        <xdr:cNvPr id="9" name="Rectangle 8">
          <a:extLst>
            <a:ext uri="{FF2B5EF4-FFF2-40B4-BE49-F238E27FC236}">
              <a16:creationId xmlns:a16="http://schemas.microsoft.com/office/drawing/2014/main" id="{15F7400B-E5E5-36C4-A3F0-090568315ADB}"/>
            </a:ext>
          </a:extLst>
        </xdr:cNvPr>
        <xdr:cNvSpPr/>
      </xdr:nvSpPr>
      <xdr:spPr>
        <a:xfrm>
          <a:off x="11217089" y="1680260"/>
          <a:ext cx="2361328" cy="929341"/>
        </a:xfrm>
        <a:prstGeom prst="rect">
          <a:avLst/>
        </a:prstGeom>
        <a:solidFill>
          <a:srgbClr val="0A3D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1344083</xdr:colOff>
      <xdr:row>6</xdr:row>
      <xdr:rowOff>18676</xdr:rowOff>
    </xdr:from>
    <xdr:to>
      <xdr:col>18</xdr:col>
      <xdr:colOff>306916</xdr:colOff>
      <xdr:row>10</xdr:row>
      <xdr:rowOff>186017</xdr:rowOff>
    </xdr:to>
    <xdr:sp macro="" textlink="">
      <xdr:nvSpPr>
        <xdr:cNvPr id="13" name="Rectangle 12">
          <a:extLst>
            <a:ext uri="{FF2B5EF4-FFF2-40B4-BE49-F238E27FC236}">
              <a16:creationId xmlns:a16="http://schemas.microsoft.com/office/drawing/2014/main" id="{38E2F4C6-EE0B-9999-E6BF-5460AEA2D98A}"/>
            </a:ext>
          </a:extLst>
        </xdr:cNvPr>
        <xdr:cNvSpPr/>
      </xdr:nvSpPr>
      <xdr:spPr>
        <a:xfrm>
          <a:off x="14075833" y="1680259"/>
          <a:ext cx="2190750" cy="929341"/>
        </a:xfrm>
        <a:prstGeom prst="rect">
          <a:avLst/>
        </a:prstGeom>
        <a:solidFill>
          <a:srgbClr val="0A3D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9339</xdr:colOff>
      <xdr:row>6</xdr:row>
      <xdr:rowOff>9339</xdr:rowOff>
    </xdr:from>
    <xdr:to>
      <xdr:col>21</xdr:col>
      <xdr:colOff>550957</xdr:colOff>
      <xdr:row>10</xdr:row>
      <xdr:rowOff>176680</xdr:rowOff>
    </xdr:to>
    <xdr:sp macro="" textlink="">
      <xdr:nvSpPr>
        <xdr:cNvPr id="14" name="Rectangle 13">
          <a:extLst>
            <a:ext uri="{FF2B5EF4-FFF2-40B4-BE49-F238E27FC236}">
              <a16:creationId xmlns:a16="http://schemas.microsoft.com/office/drawing/2014/main" id="{3A526ECB-C385-D656-F667-F0B9CCCC5149}"/>
            </a:ext>
          </a:extLst>
        </xdr:cNvPr>
        <xdr:cNvSpPr/>
      </xdr:nvSpPr>
      <xdr:spPr>
        <a:xfrm>
          <a:off x="11476692" y="1129927"/>
          <a:ext cx="1755589" cy="914400"/>
        </a:xfrm>
        <a:prstGeom prst="rect">
          <a:avLst/>
        </a:prstGeom>
        <a:solidFill>
          <a:srgbClr val="0A3D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812428</xdr:colOff>
      <xdr:row>6</xdr:row>
      <xdr:rowOff>130736</xdr:rowOff>
    </xdr:from>
    <xdr:to>
      <xdr:col>3</xdr:col>
      <xdr:colOff>1139266</xdr:colOff>
      <xdr:row>10</xdr:row>
      <xdr:rowOff>93383</xdr:rowOff>
    </xdr:to>
    <xdr:sp macro="" textlink="">
      <xdr:nvSpPr>
        <xdr:cNvPr id="15" name="Rectangle: Rounded Corners 14">
          <a:extLst>
            <a:ext uri="{FF2B5EF4-FFF2-40B4-BE49-F238E27FC236}">
              <a16:creationId xmlns:a16="http://schemas.microsoft.com/office/drawing/2014/main" id="{965913AC-CEA6-1E27-946F-684B102D5FDF}"/>
            </a:ext>
          </a:extLst>
        </xdr:cNvPr>
        <xdr:cNvSpPr/>
      </xdr:nvSpPr>
      <xdr:spPr>
        <a:xfrm>
          <a:off x="2558678" y="1251324"/>
          <a:ext cx="1606176" cy="709706"/>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tx2">
                  <a:lumMod val="50000"/>
                </a:schemeClr>
              </a:solidFill>
              <a:effectLst/>
              <a:latin typeface="+mn-lt"/>
              <a:ea typeface="+mn-ea"/>
              <a:cs typeface="+mn-cs"/>
            </a:rPr>
            <a:t>   </a:t>
          </a:r>
          <a:r>
            <a:rPr lang="en-IN" sz="1200" b="1">
              <a:solidFill>
                <a:schemeClr val="tx2">
                  <a:lumMod val="50000"/>
                </a:schemeClr>
              </a:solidFill>
              <a:effectLst/>
              <a:latin typeface="+mn-lt"/>
              <a:ea typeface="+mn-ea"/>
              <a:cs typeface="+mn-cs"/>
            </a:rPr>
            <a:t>TOTAL</a:t>
          </a:r>
          <a:r>
            <a:rPr lang="en-IN" sz="1200" b="1" baseline="0">
              <a:solidFill>
                <a:schemeClr val="tx2">
                  <a:lumMod val="50000"/>
                </a:schemeClr>
              </a:solidFill>
              <a:effectLst/>
              <a:latin typeface="+mn-lt"/>
              <a:ea typeface="+mn-ea"/>
              <a:cs typeface="+mn-cs"/>
            </a:rPr>
            <a:t> REVENUE</a:t>
          </a:r>
          <a:endParaRPr lang="en-IN" sz="1200" b="1">
            <a:solidFill>
              <a:schemeClr val="tx2">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i="0">
              <a:solidFill>
                <a:schemeClr val="tx2">
                  <a:lumMod val="50000"/>
                </a:schemeClr>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i="0" baseline="0">
              <a:solidFill>
                <a:schemeClr val="tx2">
                  <a:lumMod val="50000"/>
                </a:schemeClr>
              </a:solidFill>
              <a:effectLst/>
              <a:latin typeface="+mn-lt"/>
              <a:ea typeface="+mn-ea"/>
              <a:cs typeface="+mn-cs"/>
            </a:rPr>
            <a:t>    </a:t>
          </a:r>
          <a:r>
            <a:rPr lang="en-IN" sz="1100" b="1" i="0">
              <a:solidFill>
                <a:schemeClr val="tx2">
                  <a:lumMod val="50000"/>
                </a:schemeClr>
              </a:solidFill>
              <a:effectLst/>
              <a:latin typeface="+mn-lt"/>
              <a:ea typeface="+mn-ea"/>
              <a:cs typeface="+mn-cs"/>
            </a:rPr>
            <a:t>₹    41,17,225.80 </a:t>
          </a:r>
          <a:endParaRPr lang="en-IN" b="1">
            <a:solidFill>
              <a:schemeClr val="tx2">
                <a:lumMod val="50000"/>
              </a:schemeClr>
            </a:solidFill>
            <a:effectLst/>
          </a:endParaRPr>
        </a:p>
        <a:p>
          <a:pPr algn="l"/>
          <a:endParaRPr lang="en-IN" sz="1100"/>
        </a:p>
      </xdr:txBody>
    </xdr:sp>
    <xdr:clientData/>
  </xdr:twoCellAnchor>
  <xdr:twoCellAnchor>
    <xdr:from>
      <xdr:col>4</xdr:col>
      <xdr:colOff>56030</xdr:colOff>
      <xdr:row>6</xdr:row>
      <xdr:rowOff>112059</xdr:rowOff>
    </xdr:from>
    <xdr:to>
      <xdr:col>6</xdr:col>
      <xdr:colOff>354853</xdr:colOff>
      <xdr:row>10</xdr:row>
      <xdr:rowOff>121397</xdr:rowOff>
    </xdr:to>
    <xdr:sp macro="" textlink="">
      <xdr:nvSpPr>
        <xdr:cNvPr id="16" name="Rectangle: Rounded Corners 15">
          <a:extLst>
            <a:ext uri="{FF2B5EF4-FFF2-40B4-BE49-F238E27FC236}">
              <a16:creationId xmlns:a16="http://schemas.microsoft.com/office/drawing/2014/main" id="{05015927-D203-CE2C-75DB-6988D5CC67ED}"/>
            </a:ext>
          </a:extLst>
        </xdr:cNvPr>
        <xdr:cNvSpPr/>
      </xdr:nvSpPr>
      <xdr:spPr>
        <a:xfrm>
          <a:off x="5126692" y="1232647"/>
          <a:ext cx="1512793" cy="75639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50000"/>
                </a:schemeClr>
              </a:solidFill>
              <a:effectLst/>
              <a:latin typeface="+mn-lt"/>
              <a:ea typeface="+mn-ea"/>
              <a:cs typeface="+mn-cs"/>
            </a:rPr>
            <a:t>    TOTAL</a:t>
          </a:r>
          <a:r>
            <a:rPr lang="en-IN" sz="1200" b="1" baseline="0">
              <a:solidFill>
                <a:schemeClr val="tx2">
                  <a:lumMod val="50000"/>
                </a:schemeClr>
              </a:solidFill>
              <a:effectLst/>
              <a:latin typeface="+mn-lt"/>
              <a:ea typeface="+mn-ea"/>
              <a:cs typeface="+mn-cs"/>
            </a:rPr>
            <a:t> ORDERS</a:t>
          </a:r>
        </a:p>
        <a:p>
          <a:pPr algn="l"/>
          <a:r>
            <a:rPr lang="en-IN" sz="1100" b="0" i="0" u="none" strike="noStrike">
              <a:solidFill>
                <a:schemeClr val="tx2">
                  <a:lumMod val="50000"/>
                </a:schemeClr>
              </a:solidFill>
              <a:effectLst/>
              <a:latin typeface="+mn-lt"/>
              <a:ea typeface="+mn-ea"/>
              <a:cs typeface="+mn-cs"/>
            </a:rPr>
            <a:t> </a:t>
          </a:r>
          <a:r>
            <a:rPr lang="en-IN" sz="1100" b="0" i="0" u="none" strike="noStrike">
              <a:solidFill>
                <a:schemeClr val="lt1"/>
              </a:solidFill>
              <a:effectLst/>
              <a:latin typeface="+mn-lt"/>
              <a:ea typeface="+mn-ea"/>
              <a:cs typeface="+mn-cs"/>
            </a:rPr>
            <a:t> </a:t>
          </a:r>
          <a:endParaRPr lang="en-IN" sz="1200" b="0" i="0" u="none" strike="noStrike">
            <a:solidFill>
              <a:schemeClr val="tx2">
                <a:lumMod val="50000"/>
              </a:schemeClr>
            </a:solidFill>
            <a:effectLst/>
            <a:latin typeface="+mn-lt"/>
            <a:ea typeface="+mn-ea"/>
            <a:cs typeface="+mn-cs"/>
          </a:endParaRPr>
        </a:p>
        <a:p>
          <a:pPr algn="l"/>
          <a:r>
            <a:rPr lang="en-IN" sz="1100" b="0" i="0" u="none" strike="noStrike">
              <a:solidFill>
                <a:schemeClr val="tx2">
                  <a:lumMod val="50000"/>
                </a:schemeClr>
              </a:solidFill>
              <a:effectLst/>
              <a:latin typeface="+mn-lt"/>
              <a:ea typeface="+mn-ea"/>
              <a:cs typeface="+mn-cs"/>
            </a:rPr>
            <a:t>    </a:t>
          </a:r>
          <a:r>
            <a:rPr lang="en-IN" sz="1100" b="1" i="0" u="none" strike="noStrike">
              <a:solidFill>
                <a:schemeClr val="tx2">
                  <a:lumMod val="50000"/>
                </a:schemeClr>
              </a:solidFill>
              <a:effectLst/>
              <a:latin typeface="+mn-lt"/>
              <a:ea typeface="+mn-ea"/>
              <a:cs typeface="+mn-cs"/>
            </a:rPr>
            <a:t>    42,46,805.00 </a:t>
          </a:r>
        </a:p>
      </xdr:txBody>
    </xdr:sp>
    <xdr:clientData/>
  </xdr:twoCellAnchor>
  <xdr:twoCellAnchor>
    <xdr:from>
      <xdr:col>7</xdr:col>
      <xdr:colOff>772584</xdr:colOff>
      <xdr:row>6</xdr:row>
      <xdr:rowOff>102721</xdr:rowOff>
    </xdr:from>
    <xdr:to>
      <xdr:col>10</xdr:col>
      <xdr:colOff>345516</xdr:colOff>
      <xdr:row>10</xdr:row>
      <xdr:rowOff>74706</xdr:rowOff>
    </xdr:to>
    <xdr:sp macro="" textlink="">
      <xdr:nvSpPr>
        <xdr:cNvPr id="17" name="Rectangle: Rounded Corners 16">
          <a:extLst>
            <a:ext uri="{FF2B5EF4-FFF2-40B4-BE49-F238E27FC236}">
              <a16:creationId xmlns:a16="http://schemas.microsoft.com/office/drawing/2014/main" id="{3FF48E35-2E36-3FCD-0A6C-7730CAB5A1FD}"/>
            </a:ext>
          </a:extLst>
        </xdr:cNvPr>
        <xdr:cNvSpPr/>
      </xdr:nvSpPr>
      <xdr:spPr>
        <a:xfrm>
          <a:off x="8509001" y="1764304"/>
          <a:ext cx="1753098" cy="733985"/>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50000"/>
                </a:schemeClr>
              </a:solidFill>
              <a:effectLst/>
              <a:latin typeface="+mn-lt"/>
              <a:ea typeface="+mn-ea"/>
              <a:cs typeface="+mn-cs"/>
            </a:rPr>
            <a:t>TOTAL </a:t>
          </a:r>
          <a:r>
            <a:rPr lang="en-IN" sz="1200" b="1" baseline="0">
              <a:solidFill>
                <a:schemeClr val="tx2">
                  <a:lumMod val="50000"/>
                </a:schemeClr>
              </a:solidFill>
              <a:effectLst/>
              <a:latin typeface="+mn-lt"/>
              <a:ea typeface="+mn-ea"/>
              <a:cs typeface="+mn-cs"/>
            </a:rPr>
            <a:t>CUSTOMER</a:t>
          </a:r>
        </a:p>
        <a:p>
          <a:pPr algn="l"/>
          <a:endParaRPr lang="en-IN" sz="1100" b="1" baseline="0">
            <a:solidFill>
              <a:schemeClr val="tx2">
                <a:lumMod val="50000"/>
              </a:schemeClr>
            </a:solidFill>
            <a:effectLst/>
            <a:latin typeface="+mn-lt"/>
            <a:ea typeface="+mn-ea"/>
            <a:cs typeface="+mn-cs"/>
          </a:endParaRPr>
        </a:p>
        <a:p>
          <a:pPr algn="l"/>
          <a:r>
            <a:rPr lang="en-IN" sz="1100" b="1" i="0">
              <a:solidFill>
                <a:schemeClr val="tx2">
                  <a:lumMod val="50000"/>
                </a:schemeClr>
              </a:solidFill>
              <a:effectLst/>
              <a:latin typeface="+mn-lt"/>
              <a:ea typeface="+mn-ea"/>
              <a:cs typeface="+mn-cs"/>
            </a:rPr>
            <a:t>          5000</a:t>
          </a:r>
          <a:r>
            <a:rPr lang="en-IN" sz="1100" b="1">
              <a:solidFill>
                <a:schemeClr val="tx2">
                  <a:lumMod val="50000"/>
                </a:schemeClr>
              </a:solidFill>
              <a:effectLst/>
              <a:latin typeface="+mn-lt"/>
              <a:ea typeface="+mn-ea"/>
              <a:cs typeface="+mn-cs"/>
            </a:rPr>
            <a:t> </a:t>
          </a:r>
          <a:endParaRPr lang="en-IN" sz="1100" b="1">
            <a:solidFill>
              <a:schemeClr val="tx2">
                <a:lumMod val="50000"/>
              </a:schemeClr>
            </a:solidFill>
          </a:endParaRPr>
        </a:p>
      </xdr:txBody>
    </xdr:sp>
    <xdr:clientData/>
  </xdr:twoCellAnchor>
  <xdr:twoCellAnchor>
    <xdr:from>
      <xdr:col>12</xdr:col>
      <xdr:colOff>0</xdr:colOff>
      <xdr:row>6</xdr:row>
      <xdr:rowOff>120151</xdr:rowOff>
    </xdr:from>
    <xdr:to>
      <xdr:col>14</xdr:col>
      <xdr:colOff>624417</xdr:colOff>
      <xdr:row>10</xdr:row>
      <xdr:rowOff>82798</xdr:rowOff>
    </xdr:to>
    <xdr:sp macro="" textlink="">
      <xdr:nvSpPr>
        <xdr:cNvPr id="18" name="Rectangle: Rounded Corners 17">
          <a:extLst>
            <a:ext uri="{FF2B5EF4-FFF2-40B4-BE49-F238E27FC236}">
              <a16:creationId xmlns:a16="http://schemas.microsoft.com/office/drawing/2014/main" id="{43387457-0AC8-6F53-1D4C-05D41BB3561D}"/>
            </a:ext>
          </a:extLst>
        </xdr:cNvPr>
        <xdr:cNvSpPr/>
      </xdr:nvSpPr>
      <xdr:spPr>
        <a:xfrm>
          <a:off x="11504083" y="1781734"/>
          <a:ext cx="1852084" cy="72464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50000"/>
                </a:schemeClr>
              </a:solidFill>
              <a:effectLst/>
              <a:latin typeface="+mn-lt"/>
              <a:ea typeface="+mn-ea"/>
              <a:cs typeface="+mn-cs"/>
            </a:rPr>
            <a:t>AVERAGE DELIVARY</a:t>
          </a:r>
        </a:p>
        <a:p>
          <a:pPr algn="l"/>
          <a:r>
            <a:rPr lang="en-IN" sz="1200" b="1">
              <a:solidFill>
                <a:schemeClr val="tx2">
                  <a:lumMod val="50000"/>
                </a:schemeClr>
              </a:solidFill>
              <a:effectLst/>
              <a:latin typeface="+mn-lt"/>
              <a:ea typeface="+mn-ea"/>
              <a:cs typeface="+mn-cs"/>
            </a:rPr>
            <a:t>           TIME</a:t>
          </a:r>
        </a:p>
        <a:p>
          <a:pPr algn="l"/>
          <a:r>
            <a:rPr lang="en-IN" sz="1100" b="1" i="0">
              <a:solidFill>
                <a:schemeClr val="tx2">
                  <a:lumMod val="50000"/>
                </a:schemeClr>
              </a:solidFill>
              <a:effectLst/>
              <a:latin typeface="+mn-lt"/>
              <a:ea typeface="+mn-ea"/>
              <a:cs typeface="+mn-cs"/>
            </a:rPr>
            <a:t>         44.0954</a:t>
          </a:r>
          <a:r>
            <a:rPr lang="en-IN" sz="1100" b="1">
              <a:solidFill>
                <a:schemeClr val="tx2">
                  <a:lumMod val="50000"/>
                </a:schemeClr>
              </a:solidFill>
              <a:effectLst/>
              <a:latin typeface="+mn-lt"/>
              <a:ea typeface="+mn-ea"/>
              <a:cs typeface="+mn-cs"/>
            </a:rPr>
            <a:t> </a:t>
          </a:r>
          <a:endParaRPr lang="en-IN" sz="1100" b="1">
            <a:solidFill>
              <a:schemeClr val="tx2">
                <a:lumMod val="50000"/>
              </a:schemeClr>
            </a:solidFill>
          </a:endParaRPr>
        </a:p>
      </xdr:txBody>
    </xdr:sp>
    <xdr:clientData/>
  </xdr:twoCellAnchor>
  <xdr:twoCellAnchor>
    <xdr:from>
      <xdr:col>15</xdr:col>
      <xdr:colOff>211666</xdr:colOff>
      <xdr:row>6</xdr:row>
      <xdr:rowOff>112058</xdr:rowOff>
    </xdr:from>
    <xdr:to>
      <xdr:col>18</xdr:col>
      <xdr:colOff>95250</xdr:colOff>
      <xdr:row>10</xdr:row>
      <xdr:rowOff>102720</xdr:rowOff>
    </xdr:to>
    <xdr:sp macro="" textlink="">
      <xdr:nvSpPr>
        <xdr:cNvPr id="19" name="Rectangle: Rounded Corners 18">
          <a:extLst>
            <a:ext uri="{FF2B5EF4-FFF2-40B4-BE49-F238E27FC236}">
              <a16:creationId xmlns:a16="http://schemas.microsoft.com/office/drawing/2014/main" id="{68F88E36-01C4-F1E3-FDA0-963621596EC5}"/>
            </a:ext>
          </a:extLst>
        </xdr:cNvPr>
        <xdr:cNvSpPr/>
      </xdr:nvSpPr>
      <xdr:spPr>
        <a:xfrm>
          <a:off x="14329833" y="1773641"/>
          <a:ext cx="1725084" cy="752662"/>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lumMod val="50000"/>
                </a:schemeClr>
              </a:solidFill>
            </a:rPr>
            <a:t>    </a:t>
          </a:r>
          <a:r>
            <a:rPr lang="en-IN" sz="1200" b="1">
              <a:solidFill>
                <a:schemeClr val="tx2">
                  <a:lumMod val="50000"/>
                </a:schemeClr>
              </a:solidFill>
            </a:rPr>
            <a:t>CANCELLATION</a:t>
          </a:r>
        </a:p>
        <a:p>
          <a:pPr algn="l"/>
          <a:r>
            <a:rPr lang="en-IN" sz="1200" b="1">
              <a:solidFill>
                <a:schemeClr val="tx2">
                  <a:lumMod val="50000"/>
                </a:schemeClr>
              </a:solidFill>
              <a:effectLst/>
              <a:latin typeface="+mn-lt"/>
              <a:ea typeface="+mn-ea"/>
              <a:cs typeface="+mn-cs"/>
            </a:rPr>
            <a:t>              RATE</a:t>
          </a:r>
          <a:r>
            <a:rPr lang="en-IN" sz="1200" b="1">
              <a:solidFill>
                <a:schemeClr val="tx2">
                  <a:lumMod val="50000"/>
                </a:schemeClr>
              </a:solidFill>
            </a:rPr>
            <a:t>  </a:t>
          </a:r>
        </a:p>
        <a:p>
          <a:pPr algn="l"/>
          <a:r>
            <a:rPr lang="en-IN" sz="1100" b="1" i="0">
              <a:solidFill>
                <a:schemeClr val="tx2">
                  <a:lumMod val="50000"/>
                </a:schemeClr>
              </a:solidFill>
              <a:effectLst/>
              <a:latin typeface="+mn-lt"/>
              <a:ea typeface="+mn-ea"/>
              <a:cs typeface="+mn-cs"/>
            </a:rPr>
            <a:t>         44.0954</a:t>
          </a:r>
          <a:r>
            <a:rPr lang="en-IN" sz="1100" b="1">
              <a:solidFill>
                <a:schemeClr val="tx2">
                  <a:lumMod val="50000"/>
                </a:schemeClr>
              </a:solidFill>
              <a:effectLst/>
              <a:latin typeface="+mn-lt"/>
              <a:ea typeface="+mn-ea"/>
              <a:cs typeface="+mn-cs"/>
            </a:rPr>
            <a:t>  </a:t>
          </a:r>
          <a:endParaRPr lang="en-IN" sz="1100" b="1">
            <a:solidFill>
              <a:schemeClr val="tx2">
                <a:lumMod val="50000"/>
              </a:schemeClr>
            </a:solidFill>
          </a:endParaRPr>
        </a:p>
      </xdr:txBody>
    </xdr:sp>
    <xdr:clientData/>
  </xdr:twoCellAnchor>
  <xdr:twoCellAnchor>
    <xdr:from>
      <xdr:col>19</xdr:col>
      <xdr:colOff>168088</xdr:colOff>
      <xdr:row>6</xdr:row>
      <xdr:rowOff>112058</xdr:rowOff>
    </xdr:from>
    <xdr:to>
      <xdr:col>21</xdr:col>
      <xdr:colOff>392206</xdr:colOff>
      <xdr:row>10</xdr:row>
      <xdr:rowOff>102720</xdr:rowOff>
    </xdr:to>
    <xdr:sp macro="" textlink="">
      <xdr:nvSpPr>
        <xdr:cNvPr id="20" name="Rectangle: Rounded Corners 19">
          <a:extLst>
            <a:ext uri="{FF2B5EF4-FFF2-40B4-BE49-F238E27FC236}">
              <a16:creationId xmlns:a16="http://schemas.microsoft.com/office/drawing/2014/main" id="{1DB485E8-8FBF-6500-FEF2-6CAB2C7E19BB}"/>
            </a:ext>
          </a:extLst>
        </xdr:cNvPr>
        <xdr:cNvSpPr/>
      </xdr:nvSpPr>
      <xdr:spPr>
        <a:xfrm>
          <a:off x="14343529" y="1232646"/>
          <a:ext cx="1438089" cy="73772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lumMod val="50000"/>
                </a:schemeClr>
              </a:solidFill>
              <a:effectLst/>
              <a:latin typeface="+mn-lt"/>
              <a:ea typeface="+mn-ea"/>
              <a:cs typeface="+mn-cs"/>
            </a:rPr>
            <a:t>        </a:t>
          </a:r>
          <a:r>
            <a:rPr lang="en-IN" sz="1200" b="1">
              <a:solidFill>
                <a:schemeClr val="tx2">
                  <a:lumMod val="50000"/>
                </a:schemeClr>
              </a:solidFill>
              <a:effectLst/>
              <a:latin typeface="+mn-lt"/>
              <a:ea typeface="+mn-ea"/>
              <a:cs typeface="+mn-cs"/>
            </a:rPr>
            <a:t>AVERAGE </a:t>
          </a:r>
        </a:p>
        <a:p>
          <a:pPr algn="l"/>
          <a:r>
            <a:rPr lang="en-IN" sz="1200" b="1">
              <a:solidFill>
                <a:schemeClr val="tx2">
                  <a:lumMod val="50000"/>
                </a:schemeClr>
              </a:solidFill>
              <a:effectLst/>
              <a:latin typeface="+mn-lt"/>
              <a:ea typeface="+mn-ea"/>
              <a:cs typeface="+mn-cs"/>
            </a:rPr>
            <a:t>         RATING</a:t>
          </a:r>
        </a:p>
        <a:p>
          <a:pPr algn="l"/>
          <a:r>
            <a:rPr lang="en-IN" sz="1100" b="0" i="0" baseline="0">
              <a:solidFill>
                <a:schemeClr val="tx2">
                  <a:lumMod val="50000"/>
                </a:schemeClr>
              </a:solidFill>
              <a:effectLst/>
              <a:latin typeface="+mn-lt"/>
              <a:ea typeface="+mn-ea"/>
              <a:cs typeface="+mn-cs"/>
            </a:rPr>
            <a:t>     </a:t>
          </a:r>
          <a:r>
            <a:rPr lang="en-IN" sz="1100" b="1" i="0" u="none" strike="noStrike">
              <a:solidFill>
                <a:schemeClr val="tx2">
                  <a:lumMod val="50000"/>
                </a:schemeClr>
              </a:solidFill>
              <a:effectLst/>
              <a:latin typeface="+mn-lt"/>
              <a:ea typeface="+mn-ea"/>
              <a:cs typeface="+mn-cs"/>
            </a:rPr>
            <a:t>4.062298682</a:t>
          </a:r>
          <a:r>
            <a:rPr lang="en-IN" b="1">
              <a:solidFill>
                <a:schemeClr val="tx2">
                  <a:lumMod val="50000"/>
                </a:schemeClr>
              </a:solidFill>
              <a:effectLst/>
            </a:rPr>
            <a:t> </a:t>
          </a:r>
          <a:endParaRPr lang="en-IN" sz="1100" b="1">
            <a:solidFill>
              <a:schemeClr val="tx2">
                <a:lumMod val="50000"/>
              </a:schemeClr>
            </a:solidFill>
          </a:endParaRPr>
        </a:p>
      </xdr:txBody>
    </xdr:sp>
    <xdr:clientData/>
  </xdr:twoCellAnchor>
  <xdr:twoCellAnchor>
    <xdr:from>
      <xdr:col>2</xdr:col>
      <xdr:colOff>1250709</xdr:colOff>
      <xdr:row>12</xdr:row>
      <xdr:rowOff>96400</xdr:rowOff>
    </xdr:from>
    <xdr:to>
      <xdr:col>10</xdr:col>
      <xdr:colOff>408577</xdr:colOff>
      <xdr:row>29</xdr:row>
      <xdr:rowOff>81084</xdr:rowOff>
    </xdr:to>
    <xdr:graphicFrame macro="">
      <xdr:nvGraphicFramePr>
        <xdr:cNvPr id="2" name="Chart 1">
          <a:extLst>
            <a:ext uri="{FF2B5EF4-FFF2-40B4-BE49-F238E27FC236}">
              <a16:creationId xmlns:a16="http://schemas.microsoft.com/office/drawing/2014/main" id="{1D6F127E-CD3F-44EC-9BAA-EFE24F96E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920006</xdr:colOff>
      <xdr:row>12</xdr:row>
      <xdr:rowOff>69186</xdr:rowOff>
    </xdr:from>
    <xdr:to>
      <xdr:col>20</xdr:col>
      <xdr:colOff>544358</xdr:colOff>
      <xdr:row>29</xdr:row>
      <xdr:rowOff>40247</xdr:rowOff>
    </xdr:to>
    <xdr:graphicFrame macro="">
      <xdr:nvGraphicFramePr>
        <xdr:cNvPr id="3" name="Production by category">
          <a:extLst>
            <a:ext uri="{FF2B5EF4-FFF2-40B4-BE49-F238E27FC236}">
              <a16:creationId xmlns:a16="http://schemas.microsoft.com/office/drawing/2014/main" id="{4213CBF4-B503-41C9-9C5F-7B967CE45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933421</xdr:colOff>
      <xdr:row>29</xdr:row>
      <xdr:rowOff>148144</xdr:rowOff>
    </xdr:from>
    <xdr:to>
      <xdr:col>20</xdr:col>
      <xdr:colOff>545053</xdr:colOff>
      <xdr:row>47</xdr:row>
      <xdr:rowOff>41969</xdr:rowOff>
    </xdr:to>
    <xdr:graphicFrame macro="">
      <xdr:nvGraphicFramePr>
        <xdr:cNvPr id="7" name="Chart 6">
          <a:extLst>
            <a:ext uri="{FF2B5EF4-FFF2-40B4-BE49-F238E27FC236}">
              <a16:creationId xmlns:a16="http://schemas.microsoft.com/office/drawing/2014/main" id="{150A9A4A-CCD9-487D-A611-398B0A77E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1238058</xdr:colOff>
      <xdr:row>30</xdr:row>
      <xdr:rowOff>13607</xdr:rowOff>
    </xdr:from>
    <xdr:to>
      <xdr:col>10</xdr:col>
      <xdr:colOff>352082</xdr:colOff>
      <xdr:row>47</xdr:row>
      <xdr:rowOff>149678</xdr:rowOff>
    </xdr:to>
    <xdr:graphicFrame macro="">
      <xdr:nvGraphicFramePr>
        <xdr:cNvPr id="8" name="Chart 7">
          <a:extLst>
            <a:ext uri="{FF2B5EF4-FFF2-40B4-BE49-F238E27FC236}">
              <a16:creationId xmlns:a16="http://schemas.microsoft.com/office/drawing/2014/main" id="{C3859A67-997B-4C25-8072-24BC637D2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1220810</xdr:colOff>
      <xdr:row>48</xdr:row>
      <xdr:rowOff>122081</xdr:rowOff>
    </xdr:from>
    <xdr:to>
      <xdr:col>10</xdr:col>
      <xdr:colOff>335387</xdr:colOff>
      <xdr:row>66</xdr:row>
      <xdr:rowOff>148912</xdr:rowOff>
    </xdr:to>
    <xdr:graphicFrame macro="">
      <xdr:nvGraphicFramePr>
        <xdr:cNvPr id="10" name="Chart 9">
          <a:extLst>
            <a:ext uri="{FF2B5EF4-FFF2-40B4-BE49-F238E27FC236}">
              <a16:creationId xmlns:a16="http://schemas.microsoft.com/office/drawing/2014/main" id="{0951A89C-8E49-47C5-BC45-54B987F57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936625</xdr:colOff>
      <xdr:row>48</xdr:row>
      <xdr:rowOff>127000</xdr:rowOff>
    </xdr:from>
    <xdr:to>
      <xdr:col>20</xdr:col>
      <xdr:colOff>571500</xdr:colOff>
      <xdr:row>66</xdr:row>
      <xdr:rowOff>95250</xdr:rowOff>
    </xdr:to>
    <xdr:graphicFrame macro="">
      <xdr:nvGraphicFramePr>
        <xdr:cNvPr id="11" name="Top Restarants By Revenue">
          <a:extLst>
            <a:ext uri="{FF2B5EF4-FFF2-40B4-BE49-F238E27FC236}">
              <a16:creationId xmlns:a16="http://schemas.microsoft.com/office/drawing/2014/main" id="{113B0245-D2FF-43D3-BE5C-A83A12120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1579563</xdr:colOff>
      <xdr:row>13</xdr:row>
      <xdr:rowOff>23813</xdr:rowOff>
    </xdr:from>
    <xdr:to>
      <xdr:col>2</xdr:col>
      <xdr:colOff>836613</xdr:colOff>
      <xdr:row>26</xdr:row>
      <xdr:rowOff>71438</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308ACED4-4656-EDD3-9C6E-B8634761DBF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79563" y="30146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1563687</xdr:colOff>
      <xdr:row>27</xdr:row>
      <xdr:rowOff>15875</xdr:rowOff>
    </xdr:from>
    <xdr:to>
      <xdr:col>2</xdr:col>
      <xdr:colOff>820737</xdr:colOff>
      <xdr:row>40</xdr:row>
      <xdr:rowOff>63500</xdr:rowOff>
    </xdr:to>
    <mc:AlternateContent xmlns:mc="http://schemas.openxmlformats.org/markup-compatibility/2006" xmlns:a14="http://schemas.microsoft.com/office/drawing/2010/main">
      <mc:Choice Requires="a14">
        <xdr:graphicFrame macro="">
          <xdr:nvGraphicFramePr>
            <xdr:cNvPr id="21" name="City 1">
              <a:extLst>
                <a:ext uri="{FF2B5EF4-FFF2-40B4-BE49-F238E27FC236}">
                  <a16:creationId xmlns:a16="http://schemas.microsoft.com/office/drawing/2014/main" id="{A70114AD-76DF-AB37-D1CD-54294E671C8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63687" y="5673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1543844</xdr:colOff>
      <xdr:row>41</xdr:row>
      <xdr:rowOff>55563</xdr:rowOff>
    </xdr:from>
    <xdr:to>
      <xdr:col>2</xdr:col>
      <xdr:colOff>800894</xdr:colOff>
      <xdr:row>54</xdr:row>
      <xdr:rowOff>103188</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C3302A63-2BC7-AEAF-04D2-6B6BB94058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43844" y="838041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488155</xdr:colOff>
      <xdr:row>41</xdr:row>
      <xdr:rowOff>162719</xdr:rowOff>
    </xdr:from>
    <xdr:to>
      <xdr:col>24</xdr:col>
      <xdr:colOff>507205</xdr:colOff>
      <xdr:row>54</xdr:row>
      <xdr:rowOff>146844</xdr:rowOff>
    </xdr:to>
    <mc:AlternateContent xmlns:mc="http://schemas.openxmlformats.org/markup-compatibility/2006">
      <mc:Choice xmlns:a14="http://schemas.microsoft.com/office/drawing/2010/main" Requires="a14">
        <xdr:graphicFrame macro="">
          <xdr:nvGraphicFramePr>
            <xdr:cNvPr id="24" name="Order_Status">
              <a:extLst>
                <a:ext uri="{FF2B5EF4-FFF2-40B4-BE49-F238E27FC236}">
                  <a16:creationId xmlns:a16="http://schemas.microsoft.com/office/drawing/2014/main" id="{869000DE-0547-5A57-93F0-23BC4551549D}"/>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8242755" y="8487569"/>
              <a:ext cx="1847850" cy="246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420687</xdr:colOff>
      <xdr:row>13</xdr:row>
      <xdr:rowOff>126999</xdr:rowOff>
    </xdr:from>
    <xdr:to>
      <xdr:col>24</xdr:col>
      <xdr:colOff>451644</xdr:colOff>
      <xdr:row>26</xdr:row>
      <xdr:rowOff>174624</xdr:rowOff>
    </xdr:to>
    <mc:AlternateContent xmlns:mc="http://schemas.openxmlformats.org/markup-compatibility/2006">
      <mc:Choice xmlns:a14="http://schemas.microsoft.com/office/drawing/2010/main" Requires="a14">
        <xdr:graphicFrame macro="">
          <xdr:nvGraphicFramePr>
            <xdr:cNvPr id="25" name="Customer_Type">
              <a:extLst>
                <a:ext uri="{FF2B5EF4-FFF2-40B4-BE49-F238E27FC236}">
                  <a16:creationId xmlns:a16="http://schemas.microsoft.com/office/drawing/2014/main" id="{42D198A9-2E11-5219-5A32-9D94FB79D061}"/>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8175287" y="3117849"/>
              <a:ext cx="185975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467518</xdr:colOff>
      <xdr:row>27</xdr:row>
      <xdr:rowOff>80963</xdr:rowOff>
    </xdr:from>
    <xdr:to>
      <xdr:col>24</xdr:col>
      <xdr:colOff>467518</xdr:colOff>
      <xdr:row>40</xdr:row>
      <xdr:rowOff>128588</xdr:rowOff>
    </xdr:to>
    <mc:AlternateContent xmlns:mc="http://schemas.openxmlformats.org/markup-compatibility/2006">
      <mc:Choice xmlns:a14="http://schemas.microsoft.com/office/drawing/2010/main" Requires="a14">
        <xdr:graphicFrame macro="">
          <xdr:nvGraphicFramePr>
            <xdr:cNvPr id="27" name="Payment_Method 2">
              <a:extLst>
                <a:ext uri="{FF2B5EF4-FFF2-40B4-BE49-F238E27FC236}">
                  <a16:creationId xmlns:a16="http://schemas.microsoft.com/office/drawing/2014/main" id="{AB5D3EAD-A74A-4C25-A536-D1855D73F8D9}"/>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dr:sp macro="" textlink="">
          <xdr:nvSpPr>
            <xdr:cNvPr id="0" name=""/>
            <xdr:cNvSpPr>
              <a:spLocks noTextEdit="1"/>
            </xdr:cNvSpPr>
          </xdr:nvSpPr>
          <xdr:spPr>
            <a:xfrm>
              <a:off x="18222118" y="573881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161924</xdr:colOff>
      <xdr:row>8</xdr:row>
      <xdr:rowOff>76200</xdr:rowOff>
    </xdr:from>
    <xdr:to>
      <xdr:col>11</xdr:col>
      <xdr:colOff>247650</xdr:colOff>
      <xdr:row>20</xdr:row>
      <xdr:rowOff>171451</xdr:rowOff>
    </xdr:to>
    <xdr:graphicFrame macro="">
      <xdr:nvGraphicFramePr>
        <xdr:cNvPr id="2" name="Chart 1">
          <a:extLst>
            <a:ext uri="{FF2B5EF4-FFF2-40B4-BE49-F238E27FC236}">
              <a16:creationId xmlns:a16="http://schemas.microsoft.com/office/drawing/2014/main" id="{322A8201-A8BD-C0F3-5255-B43E55843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371475</xdr:colOff>
      <xdr:row>10</xdr:row>
      <xdr:rowOff>52387</xdr:rowOff>
    </xdr:from>
    <xdr:to>
      <xdr:col>14</xdr:col>
      <xdr:colOff>66675</xdr:colOff>
      <xdr:row>24</xdr:row>
      <xdr:rowOff>128587</xdr:rowOff>
    </xdr:to>
    <xdr:graphicFrame macro="">
      <xdr:nvGraphicFramePr>
        <xdr:cNvPr id="2" name="Chart 1">
          <a:extLst>
            <a:ext uri="{FF2B5EF4-FFF2-40B4-BE49-F238E27FC236}">
              <a16:creationId xmlns:a16="http://schemas.microsoft.com/office/drawing/2014/main" id="{4248B81B-A380-40E4-3F05-1F5CD4CC9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542925</xdr:colOff>
      <xdr:row>10</xdr:row>
      <xdr:rowOff>85725</xdr:rowOff>
    </xdr:from>
    <xdr:to>
      <xdr:col>13</xdr:col>
      <xdr:colOff>238125</xdr:colOff>
      <xdr:row>24</xdr:row>
      <xdr:rowOff>161925</xdr:rowOff>
    </xdr:to>
    <xdr:graphicFrame macro="">
      <xdr:nvGraphicFramePr>
        <xdr:cNvPr id="2" name="Production by category">
          <a:extLst>
            <a:ext uri="{FF2B5EF4-FFF2-40B4-BE49-F238E27FC236}">
              <a16:creationId xmlns:a16="http://schemas.microsoft.com/office/drawing/2014/main" id="{396C5896-A6D2-A483-EE7E-AF39E4775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285750</xdr:colOff>
      <xdr:row>7</xdr:row>
      <xdr:rowOff>0</xdr:rowOff>
    </xdr:from>
    <xdr:to>
      <xdr:col>12</xdr:col>
      <xdr:colOff>590550</xdr:colOff>
      <xdr:row>21</xdr:row>
      <xdr:rowOff>76200</xdr:rowOff>
    </xdr:to>
    <xdr:graphicFrame macro="">
      <xdr:nvGraphicFramePr>
        <xdr:cNvPr id="2" name="Chart 1">
          <a:extLst>
            <a:ext uri="{FF2B5EF4-FFF2-40B4-BE49-F238E27FC236}">
              <a16:creationId xmlns:a16="http://schemas.microsoft.com/office/drawing/2014/main" id="{36B4818D-912D-D838-1C7D-2E74FFCC4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19050</xdr:colOff>
      <xdr:row>0</xdr:row>
      <xdr:rowOff>85725</xdr:rowOff>
    </xdr:from>
    <xdr:to>
      <xdr:col>11</xdr:col>
      <xdr:colOff>323850</xdr:colOff>
      <xdr:row>14</xdr:row>
      <xdr:rowOff>161925</xdr:rowOff>
    </xdr:to>
    <xdr:graphicFrame macro="">
      <xdr:nvGraphicFramePr>
        <xdr:cNvPr id="2" name="Chart 1">
          <a:extLst>
            <a:ext uri="{FF2B5EF4-FFF2-40B4-BE49-F238E27FC236}">
              <a16:creationId xmlns:a16="http://schemas.microsoft.com/office/drawing/2014/main" id="{B14330A7-9982-9E00-BE62-7ED79CDA8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Top Restarants By Revenue">
          <a:extLst>
            <a:ext uri="{FF2B5EF4-FFF2-40B4-BE49-F238E27FC236}">
              <a16:creationId xmlns:a16="http://schemas.microsoft.com/office/drawing/2014/main" id="{21A9A08D-A268-9F8E-E695-68920F1BA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2.658982291665" createdVersion="8" refreshedVersion="8" minRefreshableVersion="3" recordCount="5000" xr:uid="{711C5E58-3F74-4D38-9DC4-FAF70A4816F2}">
  <cacheSource type="worksheet">
    <worksheetSource name="Table2"/>
  </cacheSource>
  <cacheFields count="22">
    <cacheField name="Order_ID" numFmtId="0">
      <sharedItems count="5000">
        <s v="SWG100446"/>
        <s v="SWG100648"/>
        <s v="SWG100677"/>
        <s v="SWG100755"/>
        <s v="SWG100848"/>
        <s v="SWG100991"/>
        <s v="SWG101028"/>
        <s v="SWG101164"/>
        <s v="SWG101987"/>
        <s v="SWG102010"/>
        <s v="SWG102070"/>
        <s v="SWG103071"/>
        <s v="SWG103275"/>
        <s v="SWG103580"/>
        <s v="SWG104191"/>
        <s v="SWG100063"/>
        <s v="SWG100206"/>
        <s v="SWG100263"/>
        <s v="SWG101289"/>
        <s v="SWG101823"/>
        <s v="SWG101948"/>
        <s v="SWG102173"/>
        <s v="SWG102910"/>
        <s v="SWG103152"/>
        <s v="SWG103330"/>
        <s v="SWG104249"/>
        <s v="SWG104323"/>
        <s v="SWG104758"/>
        <s v="SWG100895"/>
        <s v="SWG101518"/>
        <s v="SWG101577"/>
        <s v="SWG101864"/>
        <s v="SWG102124"/>
        <s v="SWG102321"/>
        <s v="SWG102657"/>
        <s v="SWG102677"/>
        <s v="SWG102731"/>
        <s v="SWG103769"/>
        <s v="SWG103930"/>
        <s v="SWG104131"/>
        <s v="SWG104205"/>
        <s v="SWG104489"/>
        <s v="SWG104687"/>
        <s v="SWG104845"/>
        <s v="SWG100325"/>
        <s v="SWG100496"/>
        <s v="SWG100948"/>
        <s v="SWG100968"/>
        <s v="SWG101328"/>
        <s v="SWG101486"/>
        <s v="SWG101723"/>
        <s v="SWG101911"/>
        <s v="SWG102728"/>
        <s v="SWG103077"/>
        <s v="SWG103866"/>
        <s v="SWG104104"/>
        <s v="SWG100128"/>
        <s v="SWG100415"/>
        <s v="SWG100613"/>
        <s v="SWG100720"/>
        <s v="SWG100842"/>
        <s v="SWG101044"/>
        <s v="SWG101091"/>
        <s v="SWG101561"/>
        <s v="SWG102051"/>
        <s v="SWG102281"/>
        <s v="SWG102330"/>
        <s v="SWG102431"/>
        <s v="SWG102909"/>
        <s v="SWG103477"/>
        <s v="SWG103494"/>
        <s v="SWG103907"/>
        <s v="SWG104270"/>
        <s v="SWG104797"/>
        <s v="SWG100334"/>
        <s v="SWG100741"/>
        <s v="SWG100934"/>
        <s v="SWG100964"/>
        <s v="SWG103931"/>
        <s v="SWG104308"/>
        <s v="SWG104537"/>
        <s v="SWG104663"/>
        <s v="SWG100605"/>
        <s v="SWG100894"/>
        <s v="SWG101277"/>
        <s v="SWG101462"/>
        <s v="SWG101650"/>
        <s v="SWG101714"/>
        <s v="SWG101859"/>
        <s v="SWG102381"/>
        <s v="SWG102467"/>
        <s v="SWG102862"/>
        <s v="SWG103379"/>
        <s v="SWG103836"/>
        <s v="SWG104253"/>
        <s v="SWG104372"/>
        <s v="SWG104616"/>
        <s v="SWG104945"/>
        <s v="SWG100687"/>
        <s v="SWG100828"/>
        <s v="SWG100875"/>
        <s v="SWG101250"/>
        <s v="SWG101764"/>
        <s v="SWG101941"/>
        <s v="SWG102044"/>
        <s v="SWG102543"/>
        <s v="SWG102565"/>
        <s v="SWG102966"/>
        <s v="SWG102989"/>
        <s v="SWG103181"/>
        <s v="SWG103288"/>
        <s v="SWG103475"/>
        <s v="SWG103933"/>
        <s v="SWG103977"/>
        <s v="SWG103980"/>
        <s v="SWG104743"/>
        <s v="SWG104935"/>
        <s v="SWG100097"/>
        <s v="SWG100269"/>
        <s v="SWG100601"/>
        <s v="SWG101319"/>
        <s v="SWG101567"/>
        <s v="SWG101597"/>
        <s v="SWG101783"/>
        <s v="SWG101843"/>
        <s v="SWG102203"/>
        <s v="SWG104166"/>
        <s v="SWG100484"/>
        <s v="SWG100714"/>
        <s v="SWG101003"/>
        <s v="SWG101090"/>
        <s v="SWG101972"/>
        <s v="SWG102205"/>
        <s v="SWG102524"/>
        <s v="SWG102601"/>
        <s v="SWG102683"/>
        <s v="SWG103651"/>
        <s v="SWG104015"/>
        <s v="SWG104168"/>
        <s v="SWG101122"/>
        <s v="SWG101292"/>
        <s v="SWG101379"/>
        <s v="SWG101538"/>
        <s v="SWG101801"/>
        <s v="SWG102240"/>
        <s v="SWG102600"/>
        <s v="SWG103725"/>
        <s v="SWG103942"/>
        <s v="SWG104577"/>
        <s v="SWG104975"/>
        <s v="SWG100518"/>
        <s v="SWG100681"/>
        <s v="SWG100851"/>
        <s v="SWG101423"/>
        <s v="SWG101433"/>
        <s v="SWG101667"/>
        <s v="SWG101700"/>
        <s v="SWG101754"/>
        <s v="SWG101870"/>
        <s v="SWG101872"/>
        <s v="SWG102020"/>
        <s v="SWG102133"/>
        <s v="SWG102318"/>
        <s v="SWG102368"/>
        <s v="SWG102412"/>
        <s v="SWG102695"/>
        <s v="SWG102999"/>
        <s v="SWG103498"/>
        <s v="SWG103667"/>
        <s v="SWG103840"/>
        <s v="SWG104263"/>
        <s v="SWG100151"/>
        <s v="SWG100378"/>
        <s v="SWG100554"/>
        <s v="SWG100916"/>
        <s v="SWG101007"/>
        <s v="SWG101670"/>
        <s v="SWG102484"/>
        <s v="SWG102689"/>
        <s v="SWG103542"/>
        <s v="SWG103621"/>
        <s v="SWG103721"/>
        <s v="SWG103748"/>
        <s v="SWG103781"/>
        <s v="SWG103793"/>
        <s v="SWG104238"/>
        <s v="SWG104923"/>
        <s v="SWG100050"/>
        <s v="SWG100675"/>
        <s v="SWG100885"/>
        <s v="SWG100891"/>
        <s v="SWG101057"/>
        <s v="SWG101318"/>
        <s v="SWG101472"/>
        <s v="SWG101869"/>
        <s v="SWG101946"/>
        <s v="SWG101955"/>
        <s v="SWG102382"/>
        <s v="SWG102470"/>
        <s v="SWG102697"/>
        <s v="SWG102730"/>
        <s v="SWG103656"/>
        <s v="SWG104290"/>
        <s v="SWG104880"/>
        <s v="SWG100092"/>
        <s v="SWG100134"/>
        <s v="SWG100903"/>
        <s v="SWG101077"/>
        <s v="SWG101103"/>
        <s v="SWG101485"/>
        <s v="SWG101748"/>
        <s v="SWG101775"/>
        <s v="SWG103188"/>
        <s v="SWG103915"/>
        <s v="SWG100497"/>
        <s v="SWG101454"/>
        <s v="SWG101490"/>
        <s v="SWG103001"/>
        <s v="SWG103161"/>
        <s v="SWG103612"/>
        <s v="SWG103753"/>
        <s v="SWG103841"/>
        <s v="SWG104152"/>
        <s v="SWG104423"/>
        <s v="SWG104742"/>
        <s v="SWG100329"/>
        <s v="SWG101183"/>
        <s v="SWG101344"/>
        <s v="SWG101408"/>
        <s v="SWG101428"/>
        <s v="SWG101675"/>
        <s v="SWG101699"/>
        <s v="SWG102516"/>
        <s v="SWG102550"/>
        <s v="SWG102902"/>
        <s v="SWG103260"/>
        <s v="SWG103500"/>
        <s v="SWG103804"/>
        <s v="SWG103879"/>
        <s v="SWG104038"/>
        <s v="SWG104306"/>
        <s v="SWG104610"/>
        <s v="SWG104624"/>
        <s v="SWG100352"/>
        <s v="SWG101227"/>
        <s v="SWG101935"/>
        <s v="SWG102623"/>
        <s v="SWG104469"/>
        <s v="SWG104562"/>
        <s v="SWG100566"/>
        <s v="SWG100636"/>
        <s v="SWG101226"/>
        <s v="SWG102097"/>
        <s v="SWG102219"/>
        <s v="SWG102259"/>
        <s v="SWG102660"/>
        <s v="SWG102756"/>
        <s v="SWG103278"/>
        <s v="SWG103568"/>
        <s v="SWG103961"/>
        <s v="SWG104279"/>
        <s v="SWG104592"/>
        <s v="SWG104856"/>
        <s v="SWG100383"/>
        <s v="SWG100671"/>
        <s v="SWG100987"/>
        <s v="SWG101296"/>
        <s v="SWG101569"/>
        <s v="SWG101914"/>
        <s v="SWG102007"/>
        <s v="SWG102420"/>
        <s v="SWG102699"/>
        <s v="SWG102711"/>
        <s v="SWG102724"/>
        <s v="SWG102933"/>
        <s v="SWG103496"/>
        <s v="SWG104334"/>
        <s v="SWG104680"/>
        <s v="SWG104915"/>
        <s v="SWG100006"/>
        <s v="SWG100044"/>
        <s v="SWG101740"/>
        <s v="SWG101937"/>
        <s v="SWG102145"/>
        <s v="SWG102511"/>
        <s v="SWG102859"/>
        <s v="SWG102876"/>
        <s v="SWG103005"/>
        <s v="SWG103082"/>
        <s v="SWG103195"/>
        <s v="SWG103452"/>
        <s v="SWG103639"/>
        <s v="SWG103730"/>
        <s v="SWG103777"/>
        <s v="SWG104498"/>
        <s v="SWG100025"/>
        <s v="SWG100307"/>
        <s v="SWG100846"/>
        <s v="SWG101702"/>
        <s v="SWG101734"/>
        <s v="SWG101863"/>
        <s v="SWG102640"/>
        <s v="SWG102911"/>
        <s v="SWG103547"/>
        <s v="SWG103660"/>
        <s v="SWG104153"/>
        <s v="SWG104250"/>
        <s v="SWG104328"/>
        <s v="SWG104662"/>
        <s v="SWG104792"/>
        <s v="SWG100482"/>
        <s v="SWG100747"/>
        <s v="SWG101062"/>
        <s v="SWG101129"/>
        <s v="SWG101657"/>
        <s v="SWG102661"/>
        <s v="SWG103368"/>
        <s v="SWG103595"/>
        <s v="SWG103648"/>
        <s v="SWG103718"/>
        <s v="SWG104512"/>
        <s v="SWG101772"/>
        <s v="SWG101909"/>
        <s v="SWG102712"/>
        <s v="SWG102738"/>
        <s v="SWG103723"/>
        <s v="SWG103807"/>
        <s v="SWG104102"/>
        <s v="SWG104103"/>
        <s v="SWG100580"/>
        <s v="SWG100914"/>
        <s v="SWG100918"/>
        <s v="SWG101177"/>
        <s v="SWG101190"/>
        <s v="SWG101414"/>
        <s v="SWG101444"/>
        <s v="SWG101599"/>
        <s v="SWG101873"/>
        <s v="SWG102392"/>
        <s v="SWG102405"/>
        <s v="SWG102408"/>
        <s v="SWG103017"/>
        <s v="SWG103578"/>
        <s v="SWG103885"/>
        <s v="SWG104145"/>
        <s v="SWG104368"/>
        <s v="SWG104626"/>
        <s v="SWG104634"/>
        <s v="SWG104852"/>
        <s v="SWG100375"/>
        <s v="SWG100872"/>
        <s v="SWG100977"/>
        <s v="SWG101450"/>
        <s v="SWG101720"/>
        <s v="SWG102061"/>
        <s v="SWG102202"/>
        <s v="SWG102948"/>
        <s v="SWG103191"/>
        <s v="SWG103884"/>
        <s v="SWG104929"/>
        <s v="SWG100316"/>
        <s v="SWG101352"/>
        <s v="SWG101735"/>
        <s v="SWG101758"/>
        <s v="SWG101766"/>
        <s v="SWG102163"/>
        <s v="SWG102282"/>
        <s v="SWG103629"/>
        <s v="SWG104818"/>
        <s v="SWG100109"/>
        <s v="SWG100164"/>
        <s v="SWG100696"/>
        <s v="SWG100886"/>
        <s v="SWG100906"/>
        <s v="SWG101963"/>
        <s v="SWG102559"/>
        <s v="SWG102897"/>
        <s v="SWG103204"/>
        <s v="SWG103325"/>
        <s v="SWG103739"/>
        <s v="SWG103770"/>
        <s v="SWG103773"/>
        <s v="SWG103876"/>
        <s v="SWG104576"/>
        <s v="SWG104788"/>
        <s v="SWG104868"/>
        <s v="SWG100149"/>
        <s v="SWG100614"/>
        <s v="SWG101152"/>
        <s v="SWG101330"/>
        <s v="SWG101375"/>
        <s v="SWG101505"/>
        <s v="SWG101591"/>
        <s v="SWG101715"/>
        <s v="SWG102522"/>
        <s v="SWG102645"/>
        <s v="SWG103808"/>
        <s v="SWG104295"/>
        <s v="SWG104630"/>
        <s v="SWG104724"/>
        <s v="SWG104855"/>
        <s v="SWG104936"/>
        <s v="SWG100801"/>
        <s v="SWG102323"/>
        <s v="SWG102662"/>
        <s v="SWG102751"/>
        <s v="SWG103109"/>
        <s v="SWG103357"/>
        <s v="SWG103417"/>
        <s v="SWG103573"/>
        <s v="SWG103661"/>
        <s v="SWG104142"/>
        <s v="SWG104654"/>
        <s v="SWG100959"/>
        <s v="SWG101656"/>
        <s v="SWG102418"/>
        <s v="SWG102830"/>
        <s v="SWG103398"/>
        <s v="SWG103645"/>
        <s v="SWG103752"/>
        <s v="SWG101220"/>
        <s v="SWG101800"/>
        <s v="SWG102617"/>
        <s v="SWG102931"/>
        <s v="SWG102997"/>
        <s v="SWG103649"/>
        <s v="SWG104162"/>
        <s v="SWG104218"/>
        <s v="SWG104523"/>
        <s v="SWG100114"/>
        <s v="SWG100305"/>
        <s v="SWG100507"/>
        <s v="SWG101716"/>
        <s v="SWG103834"/>
        <s v="SWG104276"/>
        <s v="SWG100761"/>
        <s v="SWG100814"/>
        <s v="SWG100854"/>
        <s v="SWG100927"/>
        <s v="SWG101343"/>
        <s v="SWG101495"/>
        <s v="SWG102501"/>
        <s v="SWG103045"/>
        <s v="SWG104021"/>
        <s v="SWG100058"/>
        <s v="SWG100123"/>
        <s v="SWG100326"/>
        <s v="SWG100523"/>
        <s v="SWG100708"/>
        <s v="SWG101027"/>
        <s v="SWG101900"/>
        <s v="SWG102012"/>
        <s v="SWG102802"/>
        <s v="SWG103107"/>
        <s v="SWG103165"/>
        <s v="SWG103178"/>
        <s v="SWG103424"/>
        <s v="SWG103561"/>
        <s v="SWG103591"/>
        <s v="SWG104539"/>
        <s v="SWG100150"/>
        <s v="SWG100381"/>
        <s v="SWG100545"/>
        <s v="SWG100962"/>
        <s v="SWG101285"/>
        <s v="SWG101396"/>
        <s v="SWG102189"/>
        <s v="SWG102267"/>
        <s v="SWG102308"/>
        <s v="SWG102833"/>
        <s v="SWG103996"/>
        <s v="SWG104526"/>
        <s v="SWG100267"/>
        <s v="SWG100337"/>
        <s v="SWG100551"/>
        <s v="SWG101608"/>
        <s v="SWG101691"/>
        <s v="SWG101892"/>
        <s v="SWG103257"/>
        <s v="SWG103420"/>
        <s v="SWG103579"/>
        <s v="SWG103581"/>
        <s v="SWG104450"/>
        <s v="SWG104466"/>
        <s v="SWG100310"/>
        <s v="SWG100995"/>
        <s v="SWG101017"/>
        <s v="SWG101083"/>
        <s v="SWG101126"/>
        <s v="SWG101603"/>
        <s v="SWG102343"/>
        <s v="SWG102568"/>
        <s v="SWG102720"/>
        <s v="SWG103102"/>
        <s v="SWG103197"/>
        <s v="SWG104136"/>
        <s v="SWG104429"/>
        <s v="SWG104493"/>
        <s v="SWG104816"/>
        <s v="SWG100249"/>
        <s v="SWG100372"/>
        <s v="SWG100476"/>
        <s v="SWG100585"/>
        <s v="SWG100637"/>
        <s v="SWG100765"/>
        <s v="SWG100908"/>
        <s v="SWG101071"/>
        <s v="SWG101415"/>
        <s v="SWG101484"/>
        <s v="SWG101503"/>
        <s v="SWG101661"/>
        <s v="SWG101725"/>
        <s v="SWG102032"/>
        <s v="SWG102183"/>
        <s v="SWG102620"/>
        <s v="SWG103088"/>
        <s v="SWG103267"/>
        <s v="SWG103324"/>
        <s v="SWG103984"/>
        <s v="SWG104151"/>
        <s v="SWG104406"/>
        <s v="SWG104540"/>
        <s v="SWG100960"/>
        <s v="SWG101320"/>
        <s v="SWG101598"/>
        <s v="SWG101614"/>
        <s v="SWG101623"/>
        <s v="SWG101625"/>
        <s v="SWG101936"/>
        <s v="SWG102452"/>
        <s v="SWG102986"/>
        <s v="SWG104079"/>
        <s v="SWG104099"/>
        <s v="SWG104691"/>
        <s v="SWG104747"/>
        <s v="SWG100090"/>
        <s v="SWG100108"/>
        <s v="SWG100699"/>
        <s v="SWG101342"/>
        <s v="SWG101810"/>
        <s v="SWG101848"/>
        <s v="SWG101951"/>
        <s v="SWG103046"/>
        <s v="SWG103148"/>
        <s v="SWG103259"/>
        <s v="SWG103266"/>
        <s v="SWG103312"/>
        <s v="SWG103366"/>
        <s v="SWG103740"/>
        <s v="SWG104057"/>
        <s v="SWG104089"/>
        <s v="SWG104335"/>
        <s v="SWG104402"/>
        <s v="SWG100136"/>
        <s v="SWG100588"/>
        <s v="SWG100932"/>
        <s v="SWG101051"/>
        <s v="SWG101076"/>
        <s v="SWG101340"/>
        <s v="SWG101413"/>
        <s v="SWG102252"/>
        <s v="SWG102263"/>
        <s v="SWG102371"/>
        <s v="SWG102510"/>
        <s v="SWG102512"/>
        <s v="SWG102954"/>
        <s v="SWG102976"/>
        <s v="SWG103446"/>
        <s v="SWG100515"/>
        <s v="SWG100820"/>
        <s v="SWG102140"/>
        <s v="SWG102425"/>
        <s v="SWG102547"/>
        <s v="SWG102898"/>
        <s v="SWG103243"/>
        <s v="SWG103843"/>
        <s v="SWG104222"/>
        <s v="SWG104244"/>
        <s v="SWG104401"/>
        <s v="SWG104910"/>
        <s v="SWG100070"/>
        <s v="SWG100166"/>
        <s v="SWG100516"/>
        <s v="SWG100656"/>
        <s v="SWG101426"/>
        <s v="SWG101998"/>
        <s v="SWG102651"/>
        <s v="SWG102849"/>
        <s v="SWG102952"/>
        <s v="SWG103788"/>
        <s v="SWG103993"/>
        <s v="SWG104723"/>
        <s v="SWG100160"/>
        <s v="SWG101642"/>
        <s v="SWG101653"/>
        <s v="SWG103274"/>
        <s v="SWG103405"/>
        <s v="SWG103607"/>
        <s v="SWG103853"/>
        <s v="SWG104556"/>
        <s v="SWG104678"/>
        <s v="SWG104946"/>
        <s v="SWG100333"/>
        <s v="SWG100707"/>
        <s v="SWG100853"/>
        <s v="SWG101365"/>
        <s v="SWG101671"/>
        <s v="SWG101774"/>
        <s v="SWG101812"/>
        <s v="SWG103101"/>
        <s v="SWG103273"/>
        <s v="SWG103497"/>
        <s v="SWG103792"/>
        <s v="SWG103920"/>
        <s v="SWG104093"/>
        <s v="SWG104380"/>
        <s v="SWG104554"/>
        <s v="SWG100421"/>
        <s v="SWG100470"/>
        <s v="SWG100672"/>
        <s v="SWG100861"/>
        <s v="SWG100990"/>
        <s v="SWG101108"/>
        <s v="SWG101451"/>
        <s v="SWG101564"/>
        <s v="SWG102196"/>
        <s v="SWG102778"/>
        <s v="SWG102780"/>
        <s v="SWG102972"/>
        <s v="SWG103067"/>
        <s v="SWG103187"/>
        <s v="SWG103384"/>
        <s v="SWG103489"/>
        <s v="SWG103901"/>
        <s v="SWG104149"/>
        <s v="SWG104282"/>
        <s v="SWG104410"/>
        <s v="SWG104581"/>
        <s v="SWG100115"/>
        <s v="SWG100452"/>
        <s v="SWG100869"/>
        <s v="SWG102521"/>
        <s v="SWG103371"/>
        <s v="SWG103528"/>
        <s v="SWG103951"/>
        <s v="SWG104172"/>
        <s v="SWG104349"/>
        <s v="SWG104363"/>
        <s v="SWG104602"/>
        <s v="SWG104658"/>
        <s v="SWG104710"/>
        <s v="SWG104862"/>
        <s v="SWG100029"/>
        <s v="SWG100328"/>
        <s v="SWG101201"/>
        <s v="SWG101212"/>
        <s v="SWG102212"/>
        <s v="SWG102230"/>
        <s v="SWG102278"/>
        <s v="SWG102370"/>
        <s v="SWG102577"/>
        <s v="SWG102807"/>
        <s v="SWG102930"/>
        <s v="SWG103239"/>
        <s v="SWG103345"/>
        <s v="SWG103677"/>
        <s v="SWG103783"/>
        <s v="SWG103894"/>
        <s v="SWG104208"/>
        <s v="SWG104673"/>
        <s v="SWG104704"/>
        <s v="SWG100061"/>
        <s v="SWG101768"/>
        <s v="SWG101916"/>
        <s v="SWG102217"/>
        <s v="SWG102288"/>
        <s v="SWG102648"/>
        <s v="SWG102790"/>
        <s v="SWG103168"/>
        <s v="SWG103941"/>
        <s v="SWG104278"/>
        <s v="SWG104875"/>
        <s v="SWG104983"/>
        <s v="SWG100036"/>
        <s v="SWG100313"/>
        <s v="SWG100394"/>
        <s v="SWG100756"/>
        <s v="SWG100804"/>
        <s v="SWG100840"/>
        <s v="SWG101151"/>
        <s v="SWG101262"/>
        <s v="SWG102154"/>
        <s v="SWG102560"/>
        <s v="SWG102800"/>
        <s v="SWG103321"/>
        <s v="SWG103411"/>
        <s v="SWG103449"/>
        <s v="SWG104182"/>
        <s v="SWG104872"/>
        <s v="SWG100142"/>
        <s v="SWG100197"/>
        <s v="SWG100575"/>
        <s v="SWG101544"/>
        <s v="SWG102162"/>
        <s v="SWG102502"/>
        <s v="SWG103653"/>
        <s v="SWG103896"/>
        <s v="SWG104517"/>
        <s v="SWG104986"/>
        <s v="SWG100054"/>
        <s v="SWG100085"/>
        <s v="SWG100215"/>
        <s v="SWG100412"/>
        <s v="SWG100581"/>
        <s v="SWG100748"/>
        <s v="SWG100816"/>
        <s v="SWG101302"/>
        <s v="SWG102074"/>
        <s v="SWG103633"/>
        <s v="SWG103640"/>
        <s v="SWG103658"/>
        <s v="SWG103787"/>
        <s v="SWG103790"/>
        <s v="SWG104265"/>
        <s v="SWG100064"/>
        <s v="SWG100209"/>
        <s v="SWG100277"/>
        <s v="SWG100355"/>
        <s v="SWG100409"/>
        <s v="SWG100678"/>
        <s v="SWG100773"/>
        <s v="SWG101257"/>
        <s v="SWG101563"/>
        <s v="SWG102694"/>
        <s v="SWG103552"/>
        <s v="SWG103652"/>
        <s v="SWG103785"/>
        <s v="SWG103912"/>
        <s v="SWG104121"/>
        <s v="SWG104389"/>
        <s v="SWG104741"/>
        <s v="SWG100038"/>
        <s v="SWG101166"/>
        <s v="SWG101239"/>
        <s v="SWG101246"/>
        <s v="SWG101388"/>
        <s v="SWG101878"/>
        <s v="SWG102317"/>
        <s v="SWG102736"/>
        <s v="SWG102971"/>
        <s v="SWG103628"/>
        <s v="SWG103835"/>
        <s v="SWG104006"/>
        <s v="SWG104524"/>
        <s v="SWG104885"/>
        <s v="SWG100865"/>
        <s v="SWG100883"/>
        <s v="SWG101622"/>
        <s v="SWG102438"/>
        <s v="SWG103381"/>
        <s v="SWG103710"/>
        <s v="SWG104453"/>
        <s v="SWG104804"/>
        <s v="SWG104995"/>
        <s v="SWG100584"/>
        <s v="SWG101430"/>
        <s v="SWG102723"/>
        <s v="SWG102829"/>
        <s v="SWG102913"/>
        <s v="SWG103564"/>
        <s v="SWG103900"/>
        <s v="SWG104271"/>
        <s v="SWG104301"/>
        <s v="SWG104655"/>
        <s v="SWG100356"/>
        <s v="SWG100402"/>
        <s v="SWG100436"/>
        <s v="SWG100444"/>
        <s v="SWG100644"/>
        <s v="SWG100655"/>
        <s v="SWG101719"/>
        <s v="SWG101747"/>
        <s v="SWG102291"/>
        <s v="SWG102946"/>
        <s v="SWG104049"/>
        <s v="SWG104309"/>
        <s v="SWG104457"/>
        <s v="SWG104979"/>
        <s v="SWG100030"/>
        <s v="SWG101311"/>
        <s v="SWG101448"/>
        <s v="SWG101546"/>
        <s v="SWG101636"/>
        <s v="SWG101637"/>
        <s v="SWG101896"/>
        <s v="SWG102015"/>
        <s v="SWG102924"/>
        <s v="SWG103012"/>
        <s v="SWG103264"/>
        <s v="SWG103432"/>
        <s v="SWG103665"/>
        <s v="SWG103855"/>
        <s v="SWG103880"/>
        <s v="SWG103968"/>
        <s v="SWG104159"/>
        <s v="SWG104275"/>
        <s v="SWG104353"/>
        <s v="SWG104692"/>
        <s v="SWG104725"/>
        <s v="SWG104745"/>
        <s v="SWG104892"/>
        <s v="SWG104909"/>
        <s v="SWG100262"/>
        <s v="SWG100413"/>
        <s v="SWG101031"/>
        <s v="SWG101688"/>
        <s v="SWG101760"/>
        <s v="SWG102221"/>
        <s v="SWG102428"/>
        <s v="SWG102520"/>
        <s v="SWG102744"/>
        <s v="SWG103029"/>
        <s v="SWG104695"/>
        <s v="SWG100838"/>
        <s v="SWG100870"/>
        <s v="SWG101411"/>
        <s v="SWG101532"/>
        <s v="SWG101571"/>
        <s v="SWG102788"/>
        <s v="SWG102894"/>
        <s v="SWG102895"/>
        <s v="SWG103220"/>
        <s v="SWG103608"/>
        <s v="SWG103917"/>
        <s v="SWG104418"/>
        <s v="SWG104481"/>
        <s v="SWG104515"/>
        <s v="SWG104771"/>
        <s v="SWG104824"/>
        <s v="SWG104854"/>
        <s v="SWG104859"/>
        <s v="SWG100116"/>
        <s v="SWG100161"/>
        <s v="SWG100561"/>
        <s v="SWG100973"/>
        <s v="SWG101047"/>
        <s v="SWG101539"/>
        <s v="SWG101574"/>
        <s v="SWG102465"/>
        <s v="SWG102475"/>
        <s v="SWG103162"/>
        <s v="SWG103344"/>
        <s v="SWG103922"/>
        <s v="SWG104303"/>
        <s v="SWG104623"/>
        <s v="SWG104693"/>
        <s v="SWG104702"/>
        <s v="SWG104736"/>
        <s v="SWG104765"/>
        <s v="SWG100101"/>
        <s v="SWG100138"/>
        <s v="SWG100397"/>
        <s v="SWG100731"/>
        <s v="SWG101063"/>
        <s v="SWG101175"/>
        <s v="SWG101197"/>
        <s v="SWG101209"/>
        <s v="SWG101550"/>
        <s v="SWG102081"/>
        <s v="SWG102462"/>
        <s v="SWG103003"/>
        <s v="SWG103127"/>
        <s v="SWG103367"/>
        <s v="SWG103538"/>
        <s v="SWG104207"/>
        <s v="SWG104411"/>
        <s v="SWG104471"/>
        <s v="SWG104791"/>
        <s v="SWG101366"/>
        <s v="SWG101790"/>
        <s v="SWG101989"/>
        <s v="SWG103167"/>
        <s v="SWG103392"/>
        <s v="SWG103482"/>
        <s v="SWG104732"/>
        <s v="SWG104897"/>
        <s v="SWG104972"/>
        <s v="SWG100094"/>
        <s v="SWG100512"/>
        <s v="SWG100723"/>
        <s v="SWG101516"/>
        <s v="SWG102109"/>
        <s v="SWG102483"/>
        <s v="SWG102906"/>
        <s v="SWG103180"/>
        <s v="SWG103576"/>
        <s v="SWG103697"/>
        <s v="SWG103775"/>
        <s v="SWG104214"/>
        <s v="SWG104355"/>
        <s v="SWG100158"/>
        <s v="SWG100784"/>
        <s v="SWG101924"/>
        <s v="SWG101964"/>
        <s v="SWG102350"/>
        <s v="SWG102385"/>
        <s v="SWG102687"/>
        <s v="SWG102914"/>
        <s v="SWG102949"/>
        <s v="SWG103064"/>
        <s v="SWG103613"/>
        <s v="SWG100920"/>
        <s v="SWG101074"/>
        <s v="SWG101261"/>
        <s v="SWG102289"/>
        <s v="SWG102379"/>
        <s v="SWG103076"/>
        <s v="SWG103207"/>
        <s v="SWG103403"/>
        <s v="SWG103575"/>
        <s v="SWG100298"/>
        <s v="SWG100919"/>
        <s v="SWG101584"/>
        <s v="SWG102216"/>
        <s v="SWG102260"/>
        <s v="SWG102410"/>
        <s v="SWG102935"/>
        <s v="SWG103150"/>
        <s v="SWG103437"/>
        <s v="SWG103891"/>
        <s v="SWG103948"/>
        <s v="SWG104064"/>
        <s v="SWG104371"/>
        <s v="SWG104853"/>
        <s v="SWG100458"/>
        <s v="SWG100469"/>
        <s v="SWG100578"/>
        <s v="SWG100813"/>
        <s v="SWG101021"/>
        <s v="SWG101120"/>
        <s v="SWG101392"/>
        <s v="SWG102076"/>
        <s v="SWG102228"/>
        <s v="SWG102540"/>
        <s v="SWG102804"/>
        <s v="SWG102878"/>
        <s v="SWG103438"/>
        <s v="SWG104112"/>
        <s v="SWG104273"/>
        <s v="SWG104413"/>
        <s v="SWG104505"/>
        <s v="SWG100627"/>
        <s v="SWG100946"/>
        <s v="SWG102275"/>
        <s v="SWG102703"/>
        <s v="SWG102812"/>
        <s v="SWG102848"/>
        <s v="SWG102863"/>
        <s v="SWG103499"/>
        <s v="SWG103508"/>
        <s v="SWG103945"/>
        <s v="SWG104200"/>
        <s v="SWG104793"/>
        <s v="SWG102185"/>
        <s v="SWG102727"/>
        <s v="SWG104317"/>
        <s v="SWG104611"/>
        <s v="SWG104726"/>
        <s v="SWG104977"/>
        <s v="SWG100004"/>
        <s v="SWG100764"/>
        <s v="SWG101547"/>
        <s v="SWG101759"/>
        <s v="SWG101789"/>
        <s v="SWG101793"/>
        <s v="SWG102209"/>
        <s v="SWG102673"/>
        <s v="SWG102970"/>
        <s v="SWG103214"/>
        <s v="SWG103280"/>
        <s v="SWG103602"/>
        <s v="SWG104587"/>
        <s v="SWG104992"/>
        <s v="SWG100858"/>
        <s v="SWG101405"/>
        <s v="SWG101526"/>
        <s v="SWG101845"/>
        <s v="SWG102082"/>
        <s v="SWG102088"/>
        <s v="SWG102272"/>
        <s v="SWG102383"/>
        <s v="SWG103128"/>
        <s v="SWG103355"/>
        <s v="SWG104198"/>
        <s v="SWG104347"/>
        <s v="SWG104378"/>
        <s v="SWG104397"/>
        <s v="SWG104443"/>
        <s v="SWG104637"/>
        <s v="SWG104953"/>
        <s v="SWG100602"/>
        <s v="SWG101684"/>
        <s v="SWG102182"/>
        <s v="SWG102808"/>
        <s v="SWG102965"/>
        <s v="SWG103650"/>
        <s v="SWG103791"/>
        <s v="SWG103995"/>
        <s v="SWG104326"/>
        <s v="SWG104779"/>
        <s v="SWG104858"/>
        <s v="SWG100281"/>
        <s v="SWG100535"/>
        <s v="SWG100785"/>
        <s v="SWG100967"/>
        <s v="SWG101179"/>
        <s v="SWG101335"/>
        <s v="SWG101729"/>
        <s v="SWG102700"/>
        <s v="SWG102783"/>
        <s v="SWG103050"/>
        <s v="SWG103370"/>
        <s v="SWG103404"/>
        <s v="SWG103513"/>
        <s v="SWG103600"/>
        <s v="SWG103674"/>
        <s v="SWG104888"/>
        <s v="SWG104930"/>
        <s v="SWG100462"/>
        <s v="SWG100570"/>
        <s v="SWG100600"/>
        <s v="SWG101026"/>
        <s v="SWG101347"/>
        <s v="SWG101811"/>
        <s v="SWG102065"/>
        <s v="SWG102110"/>
        <s v="SWG102750"/>
        <s v="SWG102921"/>
        <s v="SWG103036"/>
        <s v="SWG103185"/>
        <s v="SWG103206"/>
        <s v="SWG104071"/>
        <s v="SWG104209"/>
        <s v="SWG104545"/>
        <s v="SWG101666"/>
        <s v="SWG101827"/>
        <s v="SWG102090"/>
        <s v="SWG102174"/>
        <s v="SWG102243"/>
        <s v="SWG103431"/>
        <s v="SWG104434"/>
        <s v="SWG104809"/>
        <s v="SWG100754"/>
        <s v="SWG100855"/>
        <s v="SWG100887"/>
        <s v="SWG101046"/>
        <s v="SWG101229"/>
        <s v="SWG101269"/>
        <s v="SWG102242"/>
        <s v="SWG102580"/>
        <s v="SWG102781"/>
        <s v="SWG103925"/>
        <s v="SWG104223"/>
        <s v="SWG101718"/>
        <s v="SWG101765"/>
        <s v="SWG102409"/>
        <s v="SWG102479"/>
        <s v="SWG102536"/>
        <s v="SWG102940"/>
        <s v="SWG103678"/>
        <s v="SWG103863"/>
        <s v="SWG104288"/>
        <s v="SWG104360"/>
        <s v="SWG104796"/>
        <s v="SWG100663"/>
        <s v="SWG101435"/>
        <s v="SWG101814"/>
        <s v="SWG101976"/>
        <s v="SWG102446"/>
        <s v="SWG104243"/>
        <s v="SWG100060"/>
        <s v="SWG100103"/>
        <s v="SWG100203"/>
        <s v="SWG100805"/>
        <s v="SWG101307"/>
        <s v="SWG101440"/>
        <s v="SWG101612"/>
        <s v="SWG102892"/>
        <s v="SWG103336"/>
        <s v="SWG103985"/>
        <s v="SWG104184"/>
        <s v="SWG104195"/>
        <s v="SWG104756"/>
        <s v="SWG100710"/>
        <s v="SWG101288"/>
        <s v="SWG101468"/>
        <s v="SWG101662"/>
        <s v="SWG101889"/>
        <s v="SWG102098"/>
        <s v="SWG102373"/>
        <s v="SWG102505"/>
        <s v="SWG102741"/>
        <s v="SWG102877"/>
        <s v="SWG103303"/>
        <s v="SWG103521"/>
        <s v="SWG104045"/>
        <s v="SWG104313"/>
        <s v="SWG104675"/>
        <s v="SWG100751"/>
        <s v="SWG100931"/>
        <s v="SWG102439"/>
        <s v="SWG103119"/>
        <s v="SWG103609"/>
        <s v="SWG103706"/>
        <s v="SWG104257"/>
        <s v="SWG104356"/>
        <s v="SWG104376"/>
        <s v="SWG104503"/>
        <s v="SWG100562"/>
        <s v="SWG101010"/>
        <s v="SWG101203"/>
        <s v="SWG101733"/>
        <s v="SWG101743"/>
        <s v="SWG101855"/>
        <s v="SWG101860"/>
        <s v="SWG101957"/>
        <s v="SWG102190"/>
        <s v="SWG102338"/>
        <s v="SWG102831"/>
        <s v="SWG102855"/>
        <s v="SWG103111"/>
        <s v="SWG103306"/>
        <s v="SWG103327"/>
        <s v="SWG103908"/>
        <s v="SWG103987"/>
        <s v="SWG104084"/>
        <s v="SWG104286"/>
        <s v="SWG104338"/>
        <s v="SWG104502"/>
        <s v="SWG104988"/>
        <s v="SWG100753"/>
        <s v="SWG101282"/>
        <s v="SWG102125"/>
        <s v="SWG102249"/>
        <s v="SWG102969"/>
        <s v="SWG104128"/>
        <s v="SWG104559"/>
        <s v="SWG100156"/>
        <s v="SWG100465"/>
        <s v="SWG100911"/>
        <s v="SWG101088"/>
        <s v="SWG101457"/>
        <s v="SWG101816"/>
        <s v="SWG102052"/>
        <s v="SWG102472"/>
        <s v="SWG102636"/>
        <s v="SWG102690"/>
        <s v="SWG102890"/>
        <s v="SWG102900"/>
        <s v="SWG102920"/>
        <s v="SWG103156"/>
        <s v="SWG103923"/>
        <s v="SWG103992"/>
        <s v="SWG104642"/>
        <s v="SWG104836"/>
        <s v="SWG101245"/>
        <s v="SWG101348"/>
        <s v="SWG101871"/>
        <s v="SWG101944"/>
        <s v="SWG102541"/>
        <s v="SWG102546"/>
        <s v="SWG102880"/>
        <s v="SWG103215"/>
        <s v="SWG103425"/>
        <s v="SWG104544"/>
        <s v="SWG104551"/>
        <s v="SWG100011"/>
        <s v="SWG101268"/>
        <s v="SWG101809"/>
        <s v="SWG102650"/>
        <s v="SWG103688"/>
        <s v="SWG103988"/>
        <s v="SWG104185"/>
        <s v="SWG104484"/>
        <s v="SWG104951"/>
        <s v="SWG100048"/>
        <s v="SWG100453"/>
        <s v="SWG101049"/>
        <s v="SWG101052"/>
        <s v="SWG101445"/>
        <s v="SWG101582"/>
        <s v="SWG102085"/>
        <s v="SWG102106"/>
        <s v="SWG102959"/>
        <s v="SWG103141"/>
        <s v="SWG103959"/>
        <s v="SWG104024"/>
        <s v="SWG104245"/>
        <s v="SWG100526"/>
        <s v="SWG100529"/>
        <s v="SWG100691"/>
        <s v="SWG100992"/>
        <s v="SWG101178"/>
        <s v="SWG101607"/>
        <s v="SWG101834"/>
        <s v="SWG102078"/>
        <s v="SWG102176"/>
        <s v="SWG102692"/>
        <s v="SWG102786"/>
        <s v="SWG102813"/>
        <s v="SWG103245"/>
        <s v="SWG103285"/>
        <s v="SWG103867"/>
        <s v="SWG103881"/>
        <s v="SWG103955"/>
        <s v="SWG104921"/>
        <s v="SWG100633"/>
        <s v="SWG103099"/>
        <s v="SWG103483"/>
        <s v="SWG104007"/>
        <s v="SWG104035"/>
        <s v="SWG104044"/>
        <s v="SWG104438"/>
        <s v="SWG104823"/>
        <s v="SWG100056"/>
        <s v="SWG100388"/>
        <s v="SWG100435"/>
        <s v="SWG100843"/>
        <s v="SWG101149"/>
        <s v="SWG101264"/>
        <s v="SWG101634"/>
        <s v="SWG101739"/>
        <s v="SWG101817"/>
        <s v="SWG102416"/>
        <s v="SWG102469"/>
        <s v="SWG102943"/>
        <s v="SWG103457"/>
        <s v="SWG103522"/>
        <s v="SWG103821"/>
        <s v="SWG104468"/>
        <s v="SWG104727"/>
        <s v="SWG100528"/>
        <s v="SWG100836"/>
        <s v="SWG101762"/>
        <s v="SWG101901"/>
        <s v="SWG101977"/>
        <s v="SWG102114"/>
        <s v="SWG103193"/>
        <s v="SWG103227"/>
        <s v="SWG103331"/>
        <s v="SWG103932"/>
        <s v="SWG103991"/>
        <s v="SWG104025"/>
        <s v="SWG104396"/>
        <s v="SWG104599"/>
        <s v="SWG104641"/>
        <s v="SWG104906"/>
        <s v="SWG104999"/>
        <s v="SWG100471"/>
        <s v="SWG100972"/>
        <s v="SWG101018"/>
        <s v="SWG103728"/>
        <s v="SWG103982"/>
        <s v="SWG104030"/>
        <s v="SWG104425"/>
        <s v="SWG104563"/>
        <s v="SWG104749"/>
        <s v="SWG104922"/>
        <s v="SWG100342"/>
        <s v="SWG100519"/>
        <s v="SWG100763"/>
        <s v="SWG100827"/>
        <s v="SWG100953"/>
        <s v="SWG101019"/>
        <s v="SWG101113"/>
        <s v="SWG101798"/>
        <s v="SWG102398"/>
        <s v="SWG102649"/>
        <s v="SWG104247"/>
        <s v="SWG104964"/>
        <s v="SWG100143"/>
        <s v="SWG100192"/>
        <s v="SWG100449"/>
        <s v="SWG100493"/>
        <s v="SWG100546"/>
        <s v="SWG101267"/>
        <s v="SWG101501"/>
        <s v="SWG101918"/>
        <s v="SWG102415"/>
        <s v="SWG103683"/>
        <s v="SWG103872"/>
        <s v="SWG104189"/>
        <s v="SWG104699"/>
        <s v="SWG104794"/>
        <s v="SWG100233"/>
        <s v="SWG100320"/>
        <s v="SWG101084"/>
        <s v="SWG101263"/>
        <s v="SWG102448"/>
        <s v="SWG102523"/>
        <s v="SWG102953"/>
        <s v="SWG104269"/>
        <s v="SWG104533"/>
        <s v="SWG100229"/>
        <s v="SWG100737"/>
        <s v="SWG100792"/>
        <s v="SWG101332"/>
        <s v="SWG101358"/>
        <s v="SWG101387"/>
        <s v="SWG101478"/>
        <s v="SWG101586"/>
        <s v="SWG102093"/>
        <s v="SWG102903"/>
        <s v="SWG102905"/>
        <s v="SWG102916"/>
        <s v="SWG103860"/>
        <s v="SWG104319"/>
        <s v="SWG104367"/>
        <s v="SWG104976"/>
        <s v="SWG100119"/>
        <s v="SWG100256"/>
        <s v="SWG100271"/>
        <s v="SWG100288"/>
        <s v="SWG100335"/>
        <s v="SWG100343"/>
        <s v="SWG100544"/>
        <s v="SWG100579"/>
        <s v="SWG100739"/>
        <s v="SWG101568"/>
        <s v="SWG101724"/>
        <s v="SWG102440"/>
        <s v="SWG102926"/>
        <s v="SWG103354"/>
        <s v="SWG103464"/>
        <s v="SWG104032"/>
        <s v="SWG104070"/>
        <s v="SWG100012"/>
        <s v="SWG100477"/>
        <s v="SWG100487"/>
        <s v="SWG100568"/>
        <s v="SWG101942"/>
        <s v="SWG102220"/>
        <s v="SWG102821"/>
        <s v="SWG103104"/>
        <s v="SWG103375"/>
        <s v="SWG103702"/>
        <s v="SWG103751"/>
        <s v="SWG103758"/>
        <s v="SWG104217"/>
        <s v="SWG104352"/>
        <s v="SWG100125"/>
        <s v="SWG100201"/>
        <s v="SWG100410"/>
        <s v="SWG100509"/>
        <s v="SWG100933"/>
        <s v="SWG101013"/>
        <s v="SWG101159"/>
        <s v="SWG101425"/>
        <s v="SWG102366"/>
        <s v="SWG102454"/>
        <s v="SWG102542"/>
        <s v="SWG102706"/>
        <s v="SWG102990"/>
        <s v="SWG102993"/>
        <s v="SWG103479"/>
        <s v="SWG103722"/>
        <s v="SWG103736"/>
        <s v="SWG103997"/>
        <s v="SWG104009"/>
        <s v="SWG101421"/>
        <s v="SWG101805"/>
        <s v="SWG102094"/>
        <s v="SWG102096"/>
        <s v="SWG102118"/>
        <s v="SWG102262"/>
        <s v="SWG102299"/>
        <s v="SWG103010"/>
        <s v="SWG103116"/>
        <s v="SWG103512"/>
        <s v="SWG103795"/>
        <s v="SWG103803"/>
        <s v="SWG103897"/>
        <s v="SWG104177"/>
        <s v="SWG104492"/>
        <s v="SWG100000"/>
        <s v="SWG100007"/>
        <s v="SWG100416"/>
        <s v="SWG100786"/>
        <s v="SWG101470"/>
        <s v="SWG101830"/>
        <s v="SWG102451"/>
        <s v="SWG103286"/>
        <s v="SWG104092"/>
        <s v="SWG104127"/>
        <s v="SWG104619"/>
        <s v="SWG100283"/>
        <s v="SWG100368"/>
        <s v="SWG101056"/>
        <s v="SWG101069"/>
        <s v="SWG101070"/>
        <s v="SWG101136"/>
        <s v="SWG101139"/>
        <s v="SWG101412"/>
        <s v="SWG102328"/>
        <s v="SWG102678"/>
        <s v="SWG102974"/>
        <s v="SWG103467"/>
        <s v="SWG103594"/>
        <s v="SWG103820"/>
        <s v="SWG103857"/>
        <s v="SWG103868"/>
        <s v="SWG104187"/>
        <s v="SWG104558"/>
        <s v="SWG104744"/>
        <s v="SWG104808"/>
        <s v="SWG104902"/>
        <s v="SWG100531"/>
        <s v="SWG100738"/>
        <s v="SWG101588"/>
        <s v="SWG101919"/>
        <s v="SWG102514"/>
        <s v="SWG102581"/>
        <s v="SWG103315"/>
        <s v="SWG104058"/>
        <s v="SWG100065"/>
        <s v="SWG100428"/>
        <s v="SWG100803"/>
        <s v="SWG101148"/>
        <s v="SWG101838"/>
        <s v="SWG102170"/>
        <s v="SWG102314"/>
        <s v="SWG102836"/>
        <s v="SWG102845"/>
        <s v="SWG103251"/>
        <s v="SWG104381"/>
        <s v="SWG100003"/>
        <s v="SWG100867"/>
        <s v="SWG101554"/>
        <s v="SWG101992"/>
        <s v="SWG102146"/>
        <s v="SWG102792"/>
        <s v="SWG102854"/>
        <s v="SWG102992"/>
        <s v="SWG103352"/>
        <s v="SWG103698"/>
        <s v="SWG103972"/>
        <s v="SWG104444"/>
        <s v="SWG104465"/>
        <s v="SWG104698"/>
        <s v="SWG100165"/>
        <s v="SWG100414"/>
        <s v="SWG101419"/>
        <s v="SWG101475"/>
        <s v="SWG101491"/>
        <s v="SWG102002"/>
        <s v="SWG102181"/>
        <s v="SWG102231"/>
        <s v="SWG102664"/>
        <s v="SWG103056"/>
        <s v="SWG103277"/>
        <s v="SWG103504"/>
        <s v="SWG103935"/>
        <s v="SWG103966"/>
        <s v="SWG104337"/>
        <s v="SWG104561"/>
        <s v="SWG100586"/>
        <s v="SWG100922"/>
        <s v="SWG101331"/>
        <s v="SWG102266"/>
        <s v="SWG102548"/>
        <s v="SWG102749"/>
        <s v="SWG103004"/>
        <s v="SWG103228"/>
        <s v="SWG103281"/>
        <s v="SWG103434"/>
        <s v="SWG103448"/>
        <s v="SWG103759"/>
        <s v="SWG104073"/>
        <s v="SWG104087"/>
        <s v="SWG104211"/>
        <s v="SWG104500"/>
        <s v="SWG104538"/>
        <s v="SWG101161"/>
        <s v="SWG102121"/>
        <s v="SWG102401"/>
        <s v="SWG103120"/>
        <s v="SWG103155"/>
        <s v="SWG104527"/>
        <s v="SWG104775"/>
        <s v="SWG104866"/>
        <s v="SWG104997"/>
        <s v="SWG100822"/>
        <s v="SWG100896"/>
        <s v="SWG100924"/>
        <s v="SWG100926"/>
        <s v="SWG100928"/>
        <s v="SWG101078"/>
        <s v="SWG101138"/>
        <s v="SWG101389"/>
        <s v="SWG101857"/>
        <s v="SWG101954"/>
        <s v="SWG102569"/>
        <s v="SWG102668"/>
        <s v="SWG102709"/>
        <s v="SWG103460"/>
        <s v="SWG103623"/>
        <s v="SWG103802"/>
        <s v="SWG103846"/>
        <s v="SWG104173"/>
        <s v="SWG104409"/>
        <s v="SWG100261"/>
        <s v="SWG100287"/>
        <s v="SWG100778"/>
        <s v="SWG100947"/>
        <s v="SWG101284"/>
        <s v="SWG102503"/>
        <s v="SWG102688"/>
        <s v="SWG102912"/>
        <s v="SWG103709"/>
        <s v="SWG104091"/>
        <s v="SWG104146"/>
        <s v="SWG104555"/>
        <s v="SWG104908"/>
        <s v="SWG100195"/>
        <s v="SWG100200"/>
        <s v="SWG100202"/>
        <s v="SWG100205"/>
        <s v="SWG100282"/>
        <s v="SWG100876"/>
        <s v="SWG100988"/>
        <s v="SWG101232"/>
        <s v="SWG101381"/>
        <s v="SWG101673"/>
        <s v="SWG102513"/>
        <s v="SWG102615"/>
        <s v="SWG102761"/>
        <s v="SWG102766"/>
        <s v="SWG102793"/>
        <s v="SWG103307"/>
        <s v="SWG103399"/>
        <s v="SWG103571"/>
        <s v="SWG104033"/>
        <s v="SWG104262"/>
        <s v="SWG104877"/>
        <s v="SWG100361"/>
        <s v="SWG100534"/>
        <s v="SWG101233"/>
        <s v="SWG101613"/>
        <s v="SWG102059"/>
        <s v="SWG102348"/>
        <s v="SWG102609"/>
        <s v="SWG102984"/>
        <s v="SWG103546"/>
        <s v="SWG104047"/>
        <s v="SWG104255"/>
        <s v="SWG104463"/>
        <s v="SWG104838"/>
        <s v="SWG100530"/>
        <s v="SWG101114"/>
        <s v="SWG101316"/>
        <s v="SWG101619"/>
        <s v="SWG102327"/>
        <s v="SWG103094"/>
        <s v="SWG104572"/>
        <s v="SWG100177"/>
        <s v="SWG100280"/>
        <s v="SWG100345"/>
        <s v="SWG101828"/>
        <s v="SWG102304"/>
        <s v="SWG102463"/>
        <s v="SWG102765"/>
        <s v="SWG102942"/>
        <s v="SWG103395"/>
        <s v="SWG103531"/>
        <s v="SWG104041"/>
        <s v="SWG104052"/>
        <s v="SWG104086"/>
        <s v="SWG104109"/>
        <s v="SWG104671"/>
        <s v="SWG104941"/>
        <s v="SWG100439"/>
        <s v="SWG100653"/>
        <s v="SWG101172"/>
        <s v="SWG101349"/>
        <s v="SWG101461"/>
        <s v="SWG101787"/>
        <s v="SWG101921"/>
        <s v="SWG102129"/>
        <s v="SWG102149"/>
        <s v="SWG102407"/>
        <s v="SWG102498"/>
        <s v="SWG102753"/>
        <s v="SWG102887"/>
        <s v="SWG103085"/>
        <s v="SWG103329"/>
        <s v="SWG103484"/>
        <s v="SWG104029"/>
        <s v="SWG104631"/>
        <s v="SWG100451"/>
        <s v="SWG100769"/>
        <s v="SWG100971"/>
        <s v="SWG100982"/>
        <s v="SWG101095"/>
        <s v="SWG101207"/>
        <s v="SWG101974"/>
        <s v="SWG102198"/>
        <s v="SWG102329"/>
        <s v="SWG102659"/>
        <s v="SWG102771"/>
        <s v="SWG102796"/>
        <s v="SWG103322"/>
        <s v="SWG103374"/>
        <s v="SWG103630"/>
        <s v="SWG103784"/>
        <s v="SWG104274"/>
        <s v="SWG104542"/>
        <s v="SWG104585"/>
        <s v="SWG104645"/>
        <s v="SWG104914"/>
        <s v="SWG100721"/>
        <s v="SWG100905"/>
        <s v="SWG101295"/>
        <s v="SWG101883"/>
        <s v="SWG102011"/>
        <s v="SWG102057"/>
        <s v="SWG102234"/>
        <s v="SWG102584"/>
        <s v="SWG102619"/>
        <s v="SWG102726"/>
        <s v="SWG103668"/>
        <s v="SWG103816"/>
        <s v="SWG103869"/>
        <s v="SWG104960"/>
        <s v="SWG104969"/>
        <s v="SWG100278"/>
        <s v="SWG100432"/>
        <s v="SWG101271"/>
        <s v="SWG101310"/>
        <s v="SWG101581"/>
        <s v="SWG101703"/>
        <s v="SWG101997"/>
        <s v="SWG102517"/>
        <s v="SWG102842"/>
        <s v="SWG103133"/>
        <s v="SWG103157"/>
        <s v="SWG103627"/>
        <s v="SWG103716"/>
        <s v="SWG104638"/>
        <s v="SWG104799"/>
        <s v="SWG100176"/>
        <s v="SWG100862"/>
        <s v="SWG101991"/>
        <s v="SWG102206"/>
        <s v="SWG102316"/>
        <s v="SWG102335"/>
        <s v="SWG102698"/>
        <s v="SWG103131"/>
        <s v="SWG103696"/>
        <s v="SWG104491"/>
        <s v="SWG100008"/>
        <s v="SWG100445"/>
        <s v="SWG100591"/>
        <s v="SWG100611"/>
        <s v="SWG100688"/>
        <s v="SWG100839"/>
        <s v="SWG101364"/>
        <s v="SWG101836"/>
        <s v="SWG101876"/>
        <s v="SWG102616"/>
        <s v="SWG103356"/>
        <s v="SWG103418"/>
        <s v="SWG103918"/>
        <s v="SWG104570"/>
        <s v="SWG104697"/>
        <s v="SWG100224"/>
        <s v="SWG101092"/>
        <s v="SWG101590"/>
        <s v="SWG101842"/>
        <s v="SWG103610"/>
        <s v="SWG104175"/>
        <s v="SWG104459"/>
        <s v="SWG104682"/>
        <s v="SWG100235"/>
        <s v="SWG100427"/>
        <s v="SWG101602"/>
        <s v="SWG102150"/>
        <s v="SWG102459"/>
        <s v="SWG102608"/>
        <s v="SWG102782"/>
        <s v="SWG103070"/>
        <s v="SWG103130"/>
        <s v="SWG103422"/>
        <s v="SWG103864"/>
        <s v="SWG104261"/>
        <s v="SWG104324"/>
        <s v="SWG104707"/>
        <s v="SWG100399"/>
        <s v="SWG101060"/>
        <s v="SWG101931"/>
        <s v="SWG102207"/>
        <s v="SWG102253"/>
        <s v="SWG102918"/>
        <s v="SWG103154"/>
        <s v="SWG103415"/>
        <s v="SWG103419"/>
        <s v="SWG103459"/>
        <s v="SWG103969"/>
        <s v="SWG104849"/>
        <s v="SWG100213"/>
        <s v="SWG100450"/>
        <s v="SWG100638"/>
        <s v="SWG100643"/>
        <s v="SWG100818"/>
        <s v="SWG100912"/>
        <s v="SWG102027"/>
        <s v="SWG102039"/>
        <s v="SWG102626"/>
        <s v="SWG102815"/>
        <s v="SWG103389"/>
        <s v="SWG103433"/>
        <s v="SWG103555"/>
        <s v="SWG103839"/>
        <s v="SWG104193"/>
        <s v="SWG104264"/>
        <s v="SWG104568"/>
        <s v="SWG104990"/>
        <s v="SWG100365"/>
        <s v="SWG100442"/>
        <s v="SWG100882"/>
        <s v="SWG101147"/>
        <s v="SWG101865"/>
        <s v="SWG102864"/>
        <s v="SWG103158"/>
        <s v="SWG103272"/>
        <s v="SWG103302"/>
        <s v="SWG103346"/>
        <s v="SWG103588"/>
        <s v="SWG103673"/>
        <s v="SWG104393"/>
        <s v="SWG104430"/>
        <s v="SWG104583"/>
        <s v="SWG100170"/>
        <s v="SWG100248"/>
        <s v="SWG100304"/>
        <s v="SWG100351"/>
        <s v="SWG101184"/>
        <s v="SWG101313"/>
        <s v="SWG101338"/>
        <s v="SWG102414"/>
        <s v="SWG102666"/>
        <s v="SWG103014"/>
        <s v="SWG103074"/>
        <s v="SWG103586"/>
        <s v="SWG104220"/>
        <s v="SWG104292"/>
        <s v="SWG104607"/>
        <s v="SWG104939"/>
        <s v="SWG100099"/>
        <s v="SWG100252"/>
        <s v="SWG100443"/>
        <s v="SWG101409"/>
        <s v="SWG102046"/>
        <s v="SWG102103"/>
        <s v="SWG102518"/>
        <s v="SWG102674"/>
        <s v="SWG102818"/>
        <s v="SWG102988"/>
        <s v="SWG103002"/>
        <s v="SWG104022"/>
        <s v="SWG104487"/>
        <s v="SWG104506"/>
        <s v="SWG104772"/>
        <s v="SWG100207"/>
        <s v="SWG100214"/>
        <s v="SWG101009"/>
        <s v="SWG101112"/>
        <s v="SWG101367"/>
        <s v="SWG101731"/>
        <s v="SWG101958"/>
        <s v="SWG102005"/>
        <s v="SWG102280"/>
        <s v="SWG102295"/>
        <s v="SWG102387"/>
        <s v="SWG102427"/>
        <s v="SWG102434"/>
        <s v="SWG102519"/>
        <s v="SWG100015"/>
        <s v="SWG100041"/>
        <s v="SWG100126"/>
        <s v="SWG100275"/>
        <s v="SWG101241"/>
        <s v="SWG101417"/>
        <s v="SWG101479"/>
        <s v="SWG101897"/>
        <s v="SWG101933"/>
        <s v="SWG102879"/>
        <s v="SWG103018"/>
        <s v="SWG103035"/>
        <s v="SWG104918"/>
        <s v="SWG100625"/>
        <s v="SWG101048"/>
        <s v="SWG101237"/>
        <s v="SWG102095"/>
        <s v="SWG102175"/>
        <s v="SWG102708"/>
        <s v="SWG102710"/>
        <s v="SWG103201"/>
        <s v="SWG103856"/>
        <s v="SWG104081"/>
        <s v="SWG104395"/>
        <s v="SWG104694"/>
        <s v="SWG100592"/>
        <s v="SWG100744"/>
        <s v="SWG100806"/>
        <s v="SWG100849"/>
        <s v="SWG100980"/>
        <s v="SWG101144"/>
        <s v="SWG101651"/>
        <s v="SWG101983"/>
        <s v="SWG102134"/>
        <s v="SWG102473"/>
        <s v="SWG102551"/>
        <s v="SWG103023"/>
        <s v="SWG103870"/>
        <s v="SWG104080"/>
        <s v="SWG104495"/>
        <s v="SWG104890"/>
        <s v="SWG100162"/>
        <s v="SWG100654"/>
        <s v="SWG100970"/>
        <s v="SWG101073"/>
        <s v="SWG101127"/>
        <s v="SWG101355"/>
        <s v="SWG101717"/>
        <s v="SWG102378"/>
        <s v="SWG103027"/>
        <s v="SWG103096"/>
        <s v="SWG103426"/>
        <s v="SWG103831"/>
        <s v="SWG104343"/>
        <s v="SWG104560"/>
        <s v="SWG100043"/>
        <s v="SWG100110"/>
        <s v="SWG100302"/>
        <s v="SWG102630"/>
        <s v="SWG103574"/>
        <s v="SWG103844"/>
        <s v="SWG104480"/>
        <s v="SWG100100"/>
        <s v="SWG100617"/>
        <s v="SWG100692"/>
        <s v="SWG101105"/>
        <s v="SWG102062"/>
        <s v="SWG102168"/>
        <s v="SWG102273"/>
        <s v="SWG102320"/>
        <s v="SWG102573"/>
        <s v="SWG102669"/>
        <s v="SWG103225"/>
        <s v="SWG103242"/>
        <s v="SWG103584"/>
        <s v="SWG104661"/>
        <s v="SWG104711"/>
        <s v="SWG100182"/>
        <s v="SWG100956"/>
        <s v="SWG101025"/>
        <s v="SWG101169"/>
        <s v="SWG101463"/>
        <s v="SWG101592"/>
        <s v="SWG102785"/>
        <s v="SWG102998"/>
        <s v="SWG103700"/>
        <s v="SWG103754"/>
        <s v="SWG103994"/>
        <s v="SWG104374"/>
        <s v="SWG104451"/>
        <s v="SWG104536"/>
        <s v="SWG104589"/>
        <s v="SWG100808"/>
        <s v="SWG101005"/>
        <s v="SWG102241"/>
        <s v="SWG102481"/>
        <s v="SWG102567"/>
        <s v="SWG102789"/>
        <s v="SWG102925"/>
        <s v="SWG103786"/>
        <s v="SWG103800"/>
        <s v="SWG104125"/>
        <s v="SWG104377"/>
        <s v="SWG104427"/>
        <s v="SWG104571"/>
        <s v="SWG104752"/>
        <s v="SWG104850"/>
        <s v="SWG100102"/>
        <s v="SWG100997"/>
        <s v="SWG102557"/>
        <s v="SWG103057"/>
        <s v="SWG103454"/>
        <s v="SWG103462"/>
        <s v="SWG103695"/>
        <s v="SWG103957"/>
        <s v="SWG104067"/>
        <s v="SWG104167"/>
        <s v="SWG104473"/>
        <s v="SWG104652"/>
        <s v="SWG104865"/>
        <s v="SWG100266"/>
        <s v="SWG100989"/>
        <s v="SWG101529"/>
        <s v="SWG102590"/>
        <s v="SWG103490"/>
        <s v="SWG103733"/>
        <s v="SWG104268"/>
        <s v="SWG104508"/>
        <s v="SWG104820"/>
        <s v="SWG100607"/>
        <s v="SWG100640"/>
        <s v="SWG101135"/>
        <s v="SWG101216"/>
        <s v="SWG101499"/>
        <s v="SWG102158"/>
        <s v="SWG102197"/>
        <s v="SWG102406"/>
        <s v="SWG102417"/>
        <s v="SWG103237"/>
        <s v="SWG103582"/>
        <s v="SWG103705"/>
        <s v="SWG103978"/>
        <s v="SWG104013"/>
        <s v="SWG104199"/>
        <s v="SWG104285"/>
        <s v="SWG104552"/>
        <s v="SWG104597"/>
        <s v="SWG100386"/>
        <s v="SWG100993"/>
        <s v="SWG101519"/>
        <s v="SWG102073"/>
        <s v="SWG102345"/>
        <s v="SWG102872"/>
        <s v="SWG103087"/>
        <s v="SWG103103"/>
        <s v="SWG103142"/>
        <s v="SWG103231"/>
        <s v="SWG104907"/>
        <s v="SWG100147"/>
        <s v="SWG100387"/>
        <s v="SWG100676"/>
        <s v="SWG101064"/>
        <s v="SWG101447"/>
        <s v="SWG101837"/>
        <s v="SWG102108"/>
        <s v="SWG102112"/>
        <s v="SWG102238"/>
        <s v="SWG102363"/>
        <s v="SWG102869"/>
        <s v="SWG102937"/>
        <s v="SWG103080"/>
        <s v="SWG103311"/>
        <s v="SWG103874"/>
        <s v="SWG104829"/>
        <s v="SWG104901"/>
        <s v="SWG100232"/>
        <s v="SWG100259"/>
        <s v="SWG100425"/>
        <s v="SWG100464"/>
        <s v="SWG100577"/>
        <s v="SWG100583"/>
        <s v="SWG100680"/>
        <s v="SWG101225"/>
        <s v="SWG102169"/>
        <s v="SWG102322"/>
        <s v="SWG102672"/>
        <s v="SWG102917"/>
        <s v="SWG103617"/>
        <s v="SWG104633"/>
        <s v="SWG104942"/>
        <s v="SWG100431"/>
        <s v="SWG100621"/>
        <s v="SWG100702"/>
        <s v="SWG100752"/>
        <s v="SWG100915"/>
        <s v="SWG101066"/>
        <s v="SWG101575"/>
        <s v="SWG101761"/>
        <s v="SWG101961"/>
        <s v="SWG102060"/>
        <s v="SWG102319"/>
        <s v="SWG103478"/>
        <s v="SWG103614"/>
        <s v="SWG104386"/>
        <s v="SWG100598"/>
        <s v="SWG100724"/>
        <s v="SWG100923"/>
        <s v="SWG101337"/>
        <s v="SWG101522"/>
        <s v="SWG102172"/>
        <s v="SWG102225"/>
        <s v="SWG102250"/>
        <s v="SWG102421"/>
        <s v="SWG102763"/>
        <s v="SWG103299"/>
        <s v="SWG103353"/>
        <s v="SWG103743"/>
        <s v="SWG104657"/>
        <s v="SWG104762"/>
        <s v="SWG100243"/>
        <s v="SWG100272"/>
        <s v="SWG100324"/>
        <s v="SWG100430"/>
        <s v="SWG100492"/>
        <s v="SWG100670"/>
        <s v="SWG101283"/>
        <s v="SWG101631"/>
        <s v="SWG101745"/>
        <s v="SWG101877"/>
        <s v="SWG102071"/>
        <s v="SWG103108"/>
        <s v="SWG103190"/>
        <s v="SWG103270"/>
        <s v="SWG103304"/>
        <s v="SWG103481"/>
        <s v="SWG103501"/>
        <s v="SWG103537"/>
        <s v="SWG103699"/>
        <s v="SWG104090"/>
        <s v="SWG104241"/>
        <s v="SWG104584"/>
        <s v="SWG104650"/>
        <s v="SWG100240"/>
        <s v="SWG100244"/>
        <s v="SWG100645"/>
        <s v="SWG101121"/>
        <s v="SWG101206"/>
        <s v="SWG101398"/>
        <s v="SWG101548"/>
        <s v="SWG101818"/>
        <s v="SWG102552"/>
        <s v="SWG102776"/>
        <s v="SWG102868"/>
        <s v="SWG103069"/>
        <s v="SWG103385"/>
        <s v="SWG103654"/>
        <s v="SWG104246"/>
        <s v="SWG104336"/>
        <s v="SWG104934"/>
        <s v="SWG100662"/>
        <s v="SWG101167"/>
        <s v="SWG101376"/>
        <s v="SWG101439"/>
        <s v="SWG102235"/>
        <s v="SWG102284"/>
        <s v="SWG102337"/>
        <s v="SWG102441"/>
        <s v="SWG102480"/>
        <s v="SWG102588"/>
        <s v="SWG102624"/>
        <s v="SWG102625"/>
        <s v="SWG103170"/>
        <s v="SWG103492"/>
        <s v="SWG103772"/>
        <s v="SWG104069"/>
        <s v="SWG104156"/>
        <s v="SWG104873"/>
        <s v="SWG100016"/>
        <s v="SWG100400"/>
        <s v="SWG100943"/>
        <s v="SWG101198"/>
        <s v="SWG101891"/>
        <s v="SWG102236"/>
        <s v="SWG102306"/>
        <s v="SWG102637"/>
        <s v="SWG103053"/>
        <s v="SWG103118"/>
        <s v="SWG104362"/>
        <s v="SWG104472"/>
        <s v="SWG104541"/>
        <s v="SWG104564"/>
        <s v="SWG104933"/>
        <s v="SWG100254"/>
        <s v="SWG100364"/>
        <s v="SWG100548"/>
        <s v="SWG100582"/>
        <s v="SWG100824"/>
        <s v="SWG101281"/>
        <s v="SWG102038"/>
        <s v="SWG102347"/>
        <s v="SWG102429"/>
        <s v="SWG102631"/>
        <s v="SWG104248"/>
        <s v="SWG104408"/>
        <s v="SWG100014"/>
        <s v="SWG100189"/>
        <s v="SWG100276"/>
        <s v="SWG100504"/>
        <s v="SWG100547"/>
        <s v="SWG100954"/>
        <s v="SWG101189"/>
        <s v="SWG101390"/>
        <s v="SWG101474"/>
        <s v="SWG101915"/>
        <s v="SWG102210"/>
        <s v="SWG102218"/>
        <s v="SWG102549"/>
        <s v="SWG102748"/>
        <s v="SWG102832"/>
        <s v="SWG102893"/>
        <s v="SWG103470"/>
        <s v="SWG103560"/>
        <s v="SWG104586"/>
        <s v="SWG100289"/>
        <s v="SWG100395"/>
        <s v="SWG101065"/>
        <s v="SWG101346"/>
        <s v="SWG101524"/>
        <s v="SWG101542"/>
        <s v="SWG101776"/>
        <s v="SWG102132"/>
        <s v="SWG102605"/>
        <s v="SWG103218"/>
        <s v="SWG103289"/>
        <s v="SWG103833"/>
        <s v="SWG104174"/>
        <s v="SWG104513"/>
        <s v="SWG104519"/>
        <s v="SWG104860"/>
        <s v="SWG100463"/>
        <s v="SWG100766"/>
        <s v="SWG100890"/>
        <s v="SWG101173"/>
        <s v="SWG101199"/>
        <s v="SWG101329"/>
        <s v="SWG101404"/>
        <s v="SWG101829"/>
        <s v="SWG102131"/>
        <s v="SWG102213"/>
        <s v="SWG102359"/>
        <s v="SWG102714"/>
        <s v="SWG102871"/>
        <s v="SWG102934"/>
        <s v="SWG103022"/>
        <s v="SWG103115"/>
        <s v="SWG103407"/>
        <s v="SWG103502"/>
        <s v="SWG103681"/>
        <s v="SWG103964"/>
        <s v="SWG104050"/>
        <s v="SWG104078"/>
        <s v="SWG104329"/>
        <s v="SWG104357"/>
        <s v="SWG100366"/>
        <s v="SWG100835"/>
        <s v="SWG101648"/>
        <s v="SWG101672"/>
        <s v="SWG102468"/>
        <s v="SWG103328"/>
        <s v="SWG103408"/>
        <s v="SWG104010"/>
        <s v="SWG104020"/>
        <s v="SWG104884"/>
        <s v="SWG104948"/>
        <s v="SWG100686"/>
        <s v="SWG101200"/>
        <s v="SWG102000"/>
        <s v="SWG102166"/>
        <s v="SWG102443"/>
        <s v="SWG103039"/>
        <s v="SWG103066"/>
        <s v="SWG103363"/>
        <s v="SWG103378"/>
        <s v="SWG103694"/>
        <s v="SWG103817"/>
        <s v="SWG103944"/>
        <s v="SWG103998"/>
        <s v="SWG104636"/>
        <s v="SWG104774"/>
        <s v="SWG104919"/>
        <s v="SWG100091"/>
        <s v="SWG101079"/>
        <s v="SWG101082"/>
        <s v="SWG101104"/>
        <s v="SWG101107"/>
        <s v="SWG101728"/>
        <s v="SWG102048"/>
        <s v="SWG102164"/>
        <s v="SWG103199"/>
        <s v="SWG103387"/>
        <s v="SWG103693"/>
        <s v="SWG103859"/>
        <s v="SWG104304"/>
        <s v="SWG104332"/>
        <s v="SWG100309"/>
        <s v="SWG100332"/>
        <s v="SWG100429"/>
        <s v="SWG101221"/>
        <s v="SWG101309"/>
        <s v="SWG101520"/>
        <s v="SWG101660"/>
        <s v="SWG102171"/>
        <s v="SWG102315"/>
        <s v="SWG102375"/>
        <s v="SWG102377"/>
        <s v="SWG102740"/>
        <s v="SWG103006"/>
        <s v="SWG103163"/>
        <s v="SWG103293"/>
        <s v="SWG103637"/>
        <s v="SWG101097"/>
        <s v="SWG101473"/>
        <s v="SWG101908"/>
        <s v="SWG102091"/>
        <s v="SWG102184"/>
        <s v="SWG102742"/>
        <s v="SWG103902"/>
        <s v="SWG104706"/>
        <s v="SWG100152"/>
        <s v="SWG100191"/>
        <s v="SWG100218"/>
        <s v="SWG100268"/>
        <s v="SWG100502"/>
        <s v="SWG100658"/>
        <s v="SWG100837"/>
        <s v="SWG101578"/>
        <s v="SWG101658"/>
        <s v="SWG101813"/>
        <s v="SWG102239"/>
        <s v="SWG102283"/>
        <s v="SWG102423"/>
        <s v="SWG102491"/>
        <s v="SWG102595"/>
        <s v="SWG102865"/>
        <s v="SWG103372"/>
        <s v="SWG103655"/>
        <s v="SWG103848"/>
        <s v="SWG104023"/>
        <s v="SWG104553"/>
        <s v="SWG100023"/>
        <s v="SWG100279"/>
        <s v="SWG100297"/>
        <s v="SWG100348"/>
        <s v="SWG101001"/>
        <s v="SWG101194"/>
        <s v="SWG101280"/>
        <s v="SWG101489"/>
        <s v="SWG101819"/>
        <s v="SWG102017"/>
        <s v="SWG102083"/>
        <s v="SWG102233"/>
        <s v="SWG102341"/>
        <s v="SWG102773"/>
        <s v="SWG102885"/>
        <s v="SWG103139"/>
        <s v="SWG103301"/>
        <s v="SWG103913"/>
        <s v="SWG103936"/>
        <s v="SWG104421"/>
        <s v="SWG104787"/>
        <s v="SWG100071"/>
        <s v="SWG100768"/>
        <s v="SWG101244"/>
        <s v="SWG101749"/>
        <s v="SWG102739"/>
        <s v="SWG103008"/>
        <s v="SWG103210"/>
        <s v="SWG103441"/>
        <s v="SWG103615"/>
        <s v="SWG103701"/>
        <s v="SWG103763"/>
        <s v="SWG103830"/>
        <s v="SWG104163"/>
        <s v="SWG104227"/>
        <s v="SWG104573"/>
        <s v="SWG100104"/>
        <s v="SWG100294"/>
        <s v="SWG100506"/>
        <s v="SWG100593"/>
        <s v="SWG101682"/>
        <s v="SWG101750"/>
        <s v="SWG101965"/>
        <s v="SWG102384"/>
        <s v="SWG102839"/>
        <s v="SWG103043"/>
        <s v="SWG103527"/>
        <s v="SWG103567"/>
        <s v="SWG103801"/>
        <s v="SWG104031"/>
        <s v="SWG104795"/>
        <s v="SWG104827"/>
        <s v="SWG100539"/>
        <s v="SWG100668"/>
        <s v="SWG100690"/>
        <s v="SWG101380"/>
        <s v="SWG101711"/>
        <s v="SWG101968"/>
        <s v="SWG102226"/>
        <s v="SWG102271"/>
        <s v="SWG102397"/>
        <s v="SWG102492"/>
        <s v="SWG102589"/>
        <s v="SWG102968"/>
        <s v="SWG103135"/>
        <s v="SWG103480"/>
        <s v="SWG103590"/>
        <s v="SWG104101"/>
        <s v="SWG104375"/>
        <s v="SWG104432"/>
        <s v="SWG100184"/>
        <s v="SWG100615"/>
        <s v="SWG100749"/>
        <s v="SWG101043"/>
        <s v="SWG101273"/>
        <s v="SWG101345"/>
        <s v="SWG101995"/>
        <s v="SWG102874"/>
        <s v="SWG103439"/>
        <s v="SWG103473"/>
        <s v="SWG103794"/>
        <s v="SWG104550"/>
        <s v="SWG104790"/>
        <s v="SWG100799"/>
        <s v="SWG101235"/>
        <s v="SWG101784"/>
        <s v="SWG101799"/>
        <s v="SWG101832"/>
        <s v="SWG102372"/>
        <s v="SWG103332"/>
        <s v="SWG103756"/>
        <s v="SWG104327"/>
        <s v="SWG104385"/>
        <s v="SWG104769"/>
        <s v="SWG104837"/>
        <s v="SWG104879"/>
        <s v="SWG104917"/>
        <s v="SWG100046"/>
        <s v="SWG100632"/>
        <s v="SWG102222"/>
        <s v="SWG102254"/>
        <s v="SWG102265"/>
        <s v="SWG102919"/>
        <s v="SWG102957"/>
        <s v="SWG103376"/>
        <s v="SWG104192"/>
        <s v="SWG104283"/>
        <s v="SWG104579"/>
        <s v="SWG100513"/>
        <s v="SWG100608"/>
        <s v="SWG101008"/>
        <s v="SWG101357"/>
        <s v="SWG101633"/>
        <s v="SWG102945"/>
        <s v="SWG103276"/>
        <s v="SWG104126"/>
        <s v="SWG104233"/>
        <s v="SWG104405"/>
        <s v="SWG104462"/>
        <s v="SWG100296"/>
        <s v="SWG101639"/>
        <s v="SWG102084"/>
        <s v="SWG102582"/>
        <s v="SWG102899"/>
        <s v="SWG103559"/>
        <s v="SWG103946"/>
        <s v="SWG104117"/>
        <s v="SWG104138"/>
        <s v="SWG104197"/>
        <s v="SWG104312"/>
        <s v="SWG100031"/>
        <s v="SWG100159"/>
        <s v="SWG100373"/>
        <s v="SWG100406"/>
        <s v="SWG100609"/>
        <s v="SWG100844"/>
        <s v="SWG101494"/>
        <s v="SWG101596"/>
        <s v="SWG101645"/>
        <s v="SWG102208"/>
        <s v="SWG103421"/>
        <s v="SWG103825"/>
        <s v="SWG104002"/>
        <s v="SWG104403"/>
        <s v="SWG104738"/>
        <s v="SWG104878"/>
        <s v="SWG100148"/>
        <s v="SWG101141"/>
        <s v="SWG101481"/>
        <s v="SWG101986"/>
        <s v="SWG102653"/>
        <s v="SWG103550"/>
        <s v="SWG103809"/>
        <s v="SWG104000"/>
        <s v="SWG104625"/>
        <s v="SWG104857"/>
        <s v="SWG100120"/>
        <s v="SWG100188"/>
        <s v="SWG100216"/>
        <s v="SWG100330"/>
        <s v="SWG101006"/>
        <s v="SWG101420"/>
        <s v="SWG102193"/>
        <s v="SWG102297"/>
        <s v="SWG102612"/>
        <s v="SWG103175"/>
        <s v="SWG103364"/>
        <s v="SWG100382"/>
        <s v="SWG100639"/>
        <s v="SWG100657"/>
        <s v="SWG100659"/>
        <s v="SWG100757"/>
        <s v="SWG100978"/>
        <s v="SWG101111"/>
        <s v="SWG101362"/>
        <s v="SWG101881"/>
        <s v="SWG102194"/>
        <s v="SWG102411"/>
        <s v="SWG102490"/>
        <s v="SWG102539"/>
        <s v="SWG102757"/>
        <s v="SWG103124"/>
        <s v="SWG103488"/>
        <s v="SWG103605"/>
        <s v="SWG103761"/>
        <s v="SWG104014"/>
        <s v="SWG104040"/>
        <s v="SWG104674"/>
        <s v="SWG104773"/>
        <s v="SWG100359"/>
        <s v="SWG100606"/>
        <s v="SWG101767"/>
        <s v="SWG101835"/>
        <s v="SWG102614"/>
        <s v="SWG102825"/>
        <s v="SWG103186"/>
        <s v="SWG103291"/>
        <s v="SWG103903"/>
        <s v="SWG104435"/>
        <s v="SWG100035"/>
        <s v="SWG101230"/>
        <s v="SWG101708"/>
        <s v="SWG101732"/>
        <s v="SWG101993"/>
        <s v="SWG102053"/>
        <s v="SWG102229"/>
        <s v="SWG103296"/>
        <s v="SWG103523"/>
        <s v="SWG103717"/>
        <s v="SWG103819"/>
        <s v="SWG103827"/>
        <s v="SWG103895"/>
        <s v="SWG104210"/>
        <s v="SWG104590"/>
        <s v="SWG104595"/>
        <s v="SWG100306"/>
        <s v="SWG100371"/>
        <s v="SWG101464"/>
        <s v="SWG101606"/>
        <s v="SWG101610"/>
        <s v="SWG102086"/>
        <s v="SWG102991"/>
        <s v="SWG103052"/>
        <s v="SWG103394"/>
        <s v="SWG104384"/>
        <s v="SWG104802"/>
        <s v="SWG104817"/>
        <s v="SWG100543"/>
        <s v="SWG100567"/>
        <s v="SWG100727"/>
        <s v="SWG100736"/>
        <s v="SWG101195"/>
        <s v="SWG101205"/>
        <s v="SWG101517"/>
        <s v="SWG101566"/>
        <s v="SWG101917"/>
        <s v="SWG102901"/>
        <s v="SWG103236"/>
        <s v="SWG103295"/>
        <s v="SWG103707"/>
        <s v="SWG104315"/>
        <s v="SWG104528"/>
        <s v="SWG100505"/>
        <s v="SWG100695"/>
        <s v="SWG101002"/>
        <s v="SWG101248"/>
        <s v="SWG101572"/>
        <s v="SWG101852"/>
        <s v="SWG102035"/>
        <s v="SWG102436"/>
        <s v="SWG102461"/>
        <s v="SWG102861"/>
        <s v="SWG102886"/>
        <s v="SWG102960"/>
        <s v="SWG103657"/>
        <s v="SWG104390"/>
        <s v="SWG104759"/>
        <s v="SWG104801"/>
        <s v="SWG100137"/>
        <s v="SWG100508"/>
        <s v="SWG101059"/>
        <s v="SWG101075"/>
        <s v="SWG101187"/>
        <s v="SWG101808"/>
        <s v="SWG102018"/>
        <s v="SWG103200"/>
        <s v="SWG103519"/>
        <s v="SWG103711"/>
        <s v="SWG104132"/>
        <s v="SWG104258"/>
        <s v="SWG104441"/>
        <s v="SWG104954"/>
        <s v="SWG100194"/>
        <s v="SWG100405"/>
        <s v="SWG100489"/>
        <s v="SWG100879"/>
        <s v="SWG100935"/>
        <s v="SWG101191"/>
        <s v="SWG102357"/>
        <s v="SWG103044"/>
        <s v="SWG100341"/>
        <s v="SWG100587"/>
        <s v="SWG101372"/>
        <s v="SWG101644"/>
        <s v="SWG101771"/>
        <s v="SWG102022"/>
        <s v="SWG102488"/>
        <s v="SWG102594"/>
        <s v="SWG103824"/>
        <s v="SWG103889"/>
        <s v="SWG104043"/>
        <s v="SWG104107"/>
        <s v="SWG104115"/>
        <s v="SWG104653"/>
        <s v="SWG104949"/>
        <s v="SWG100631"/>
        <s v="SWG101162"/>
        <s v="SWG101188"/>
        <s v="SWG101274"/>
        <s v="SWG102824"/>
        <s v="SWG102844"/>
        <s v="SWG103806"/>
        <s v="SWG104287"/>
        <s v="SWG104449"/>
        <s v="SWG104688"/>
        <s v="SWG104814"/>
        <s v="SWG104886"/>
        <s v="SWG104894"/>
        <s v="SWG100553"/>
        <s v="SWG100825"/>
        <s v="SWG101482"/>
        <s v="SWG101885"/>
        <s v="SWG102474"/>
        <s v="SWG102497"/>
        <s v="SWG102604"/>
        <s v="SWG102760"/>
        <s v="SWG102762"/>
        <s v="SWG103160"/>
        <s v="SWG103265"/>
        <s v="SWG103509"/>
        <s v="SWG103647"/>
        <s v="SWG104212"/>
        <s v="SWG104840"/>
        <s v="SWG104867"/>
        <s v="SWG100223"/>
        <s v="SWG100809"/>
        <s v="SWG100830"/>
        <s v="SWG101102"/>
        <s v="SWG102034"/>
        <s v="SWG102656"/>
        <s v="SWG102853"/>
        <s v="SWG103495"/>
        <s v="SWG103562"/>
        <s v="SWG103622"/>
        <s v="SWG103952"/>
        <s v="SWG104920"/>
        <s v="SWG100466"/>
        <s v="SWG101509"/>
        <s v="SWG102031"/>
        <s v="SWG104148"/>
        <s v="SWG104475"/>
        <s v="SWG104666"/>
        <s v="SWG100396"/>
        <s v="SWG100589"/>
        <s v="SWG100693"/>
        <s v="SWG101620"/>
        <s v="SWG101929"/>
        <s v="SWG102671"/>
        <s v="SWG102707"/>
        <s v="SWG102735"/>
        <s v="SWG103712"/>
        <s v="SWG103822"/>
        <s v="SWG104474"/>
        <s v="SWG100154"/>
        <s v="SWG100204"/>
        <s v="SWG100236"/>
        <s v="SWG100565"/>
        <s v="SWG100892"/>
        <s v="SWG101382"/>
        <s v="SWG101530"/>
        <s v="SWG103826"/>
        <s v="SWG103954"/>
        <s v="SWG103986"/>
        <s v="SWG104454"/>
        <s v="SWG104805"/>
        <s v="SWG104833"/>
        <s v="SWG100032"/>
        <s v="SWG100089"/>
        <s v="SWG100344"/>
        <s v="SWG101287"/>
        <s v="SWG101476"/>
        <s v="SWG101649"/>
        <s v="SWG101679"/>
        <s v="SWG101867"/>
        <s v="SWG102257"/>
        <s v="SWG102493"/>
        <s v="SWG102722"/>
        <s v="SWG102743"/>
        <s v="SWG102828"/>
        <s v="SWG103358"/>
        <s v="SWG103585"/>
        <s v="SWG103604"/>
        <s v="SWG103619"/>
        <s v="SWG103811"/>
        <s v="SWG103899"/>
        <s v="SWG104074"/>
        <s v="SWG104120"/>
        <s v="SWG104460"/>
        <s v="SWG100005"/>
        <s v="SWG100456"/>
        <s v="SWG101210"/>
        <s v="SWG102654"/>
        <s v="SWG103025"/>
        <s v="SWG103238"/>
        <s v="SWG103543"/>
        <s v="SWG104100"/>
        <s v="SWG104228"/>
        <s v="SWG104883"/>
        <s v="SWG100034"/>
        <s v="SWG100079"/>
        <s v="SWG100173"/>
        <s v="SWG100398"/>
        <s v="SWG100549"/>
        <s v="SWG100650"/>
        <s v="SWG101363"/>
        <s v="SWG102358"/>
        <s v="SWG102444"/>
        <s v="SWG102585"/>
        <s v="SWG103042"/>
        <s v="SWG103106"/>
        <s v="SWG103241"/>
        <s v="SWG104143"/>
        <s v="SWG100068"/>
        <s v="SWG100346"/>
        <s v="SWG100651"/>
        <s v="SWG101647"/>
        <s v="SWG102464"/>
        <s v="SWG102494"/>
        <s v="SWG102658"/>
        <s v="SWG103075"/>
        <s v="SWG103081"/>
        <s v="SWG103593"/>
        <s v="SWG103662"/>
        <s v="SWG104180"/>
        <s v="SWG104870"/>
        <s v="SWG100021"/>
        <s v="SWG100327"/>
        <s v="SWG100457"/>
        <s v="SWG100541"/>
        <s v="SWG100701"/>
        <s v="SWG100787"/>
        <s v="SWG100904"/>
        <s v="SWG101698"/>
        <s v="SWG101707"/>
        <s v="SWG102080"/>
        <s v="SWG102515"/>
        <s v="SWG102755"/>
        <s v="SWG102809"/>
        <s v="SWG102927"/>
        <s v="SWG103249"/>
        <s v="SWG103268"/>
        <s v="SWG103516"/>
        <s v="SWG104213"/>
        <s v="SWG104722"/>
        <s v="SWG104998"/>
        <s v="SWG101370"/>
        <s v="SWG101525"/>
        <s v="SWG101701"/>
        <s v="SWG102055"/>
        <s v="SWG103383"/>
        <s v="SWG104059"/>
        <s v="SWG104235"/>
        <s v="SWG104621"/>
        <s v="SWG104900"/>
        <s v="SWG100292"/>
        <s v="SWG100612"/>
        <s v="SWG100974"/>
        <s v="SWG101231"/>
        <s v="SWG101831"/>
        <s v="SWG103209"/>
        <s v="SWG103558"/>
        <s v="SWG103592"/>
        <s v="SWG104186"/>
        <s v="SWG104659"/>
        <s v="SWG100303"/>
        <s v="SWG100832"/>
        <s v="SWG100834"/>
        <s v="SWG101294"/>
        <s v="SWG101593"/>
        <s v="SWG101736"/>
        <s v="SWG101973"/>
        <s v="SWG103362"/>
        <s v="SWG103858"/>
        <s v="SWG104096"/>
        <s v="SWG104593"/>
        <s v="SWG104768"/>
        <s v="SWG100417"/>
        <s v="SWG100532"/>
        <s v="SWG101087"/>
        <s v="SWG101693"/>
        <s v="SWG102276"/>
        <s v="SWG102360"/>
        <s v="SWG102500"/>
        <s v="SWG102860"/>
        <s v="SWG102888"/>
        <s v="SWG103020"/>
        <s v="SWG103149"/>
        <s v="SWG103380"/>
        <s v="SWG103427"/>
        <s v="SWG104507"/>
        <s v="SWG100712"/>
        <s v="SWG100742"/>
        <s v="SWG101291"/>
        <s v="SWG102961"/>
        <s v="SWG104065"/>
        <s v="SWG104281"/>
        <s v="SWG104847"/>
        <s v="SWG104869"/>
        <s v="SWG100181"/>
        <s v="SWG100219"/>
        <s v="SWG100230"/>
        <s v="SWG100945"/>
        <s v="SWG101072"/>
        <s v="SWG101192"/>
        <s v="SWG101442"/>
        <s v="SWG101533"/>
        <s v="SWG102013"/>
        <s v="SWG102774"/>
        <s v="SWG102779"/>
        <s v="SWG102797"/>
        <s v="SWG102904"/>
        <s v="SWG103708"/>
        <s v="SWG104190"/>
        <s v="SWG100246"/>
        <s v="SWG101455"/>
        <s v="SWG101543"/>
        <s v="SWG101769"/>
        <s v="SWG102111"/>
        <s v="SWG102870"/>
        <s v="SWG103882"/>
        <s v="SWG104075"/>
        <s v="SWG104647"/>
        <s v="SWG101128"/>
        <s v="SWG101443"/>
        <s v="SWG102287"/>
        <s v="SWG102535"/>
        <s v="SWG102545"/>
        <s v="SWG100111"/>
        <s v="SWG100234"/>
        <s v="SWG100703"/>
        <s v="SWG101324"/>
        <s v="SWG101403"/>
        <s v="SWG101406"/>
        <s v="SWG103068"/>
        <s v="SWG103122"/>
        <s v="SWG103176"/>
        <s v="SWG103323"/>
        <s v="SWG103429"/>
        <s v="SWG103587"/>
        <s v="SWG103729"/>
        <s v="SWG104574"/>
        <s v="SWG104712"/>
        <s v="SWG100072"/>
        <s v="SWG100634"/>
        <s v="SWG100750"/>
        <s v="SWG100907"/>
        <s v="SWG101170"/>
        <s v="SWG101308"/>
        <s v="SWG101820"/>
        <s v="SWG101898"/>
        <s v="SWG102223"/>
        <s v="SWG102719"/>
        <s v="SWG103316"/>
        <s v="SWG103388"/>
        <s v="SWG103926"/>
        <s v="SWG104161"/>
        <s v="SWG104299"/>
        <s v="SWG104305"/>
        <s v="SWG104496"/>
        <s v="SWG100222"/>
        <s v="SWG100665"/>
        <s v="SWG100976"/>
        <s v="SWG102153"/>
        <s v="SWG102530"/>
        <s v="SWG102634"/>
        <s v="SWG102867"/>
        <s v="SWG103143"/>
        <s v="SWG103515"/>
        <s v="SWG104056"/>
        <s v="SWG104417"/>
        <s v="SWG104881"/>
        <s v="SWG100473"/>
        <s v="SWG101710"/>
        <s v="SWG101849"/>
        <s v="SWG101994"/>
        <s v="SWG103396"/>
        <s v="SWG103557"/>
        <s v="SWG103676"/>
        <s v="SWG104242"/>
        <s v="SWG104316"/>
        <s v="SWG104664"/>
        <s v="SWG104751"/>
        <s v="SWG104786"/>
        <s v="SWG100758"/>
        <s v="SWG100817"/>
        <s v="SWG101791"/>
        <s v="SWG102847"/>
        <s v="SWG103664"/>
        <s v="SWG103862"/>
        <s v="SWG104476"/>
        <s v="SWG104601"/>
        <s v="SWG100059"/>
        <s v="SWG100573"/>
        <s v="SWG101665"/>
        <s v="SWG101778"/>
        <s v="SWG102019"/>
        <s v="SWG102388"/>
        <s v="SWG103126"/>
        <s v="SWG104037"/>
        <s v="SWG104147"/>
        <s v="SWG104254"/>
        <s v="SWG104578"/>
        <s v="SWG104648"/>
        <s v="SWG104689"/>
        <s v="SWG100133"/>
        <s v="SWG100781"/>
        <s v="SWG100880"/>
        <s v="SWG101902"/>
        <s v="SWG102001"/>
        <s v="SWG103092"/>
        <s v="SWG104344"/>
        <s v="SWG104486"/>
        <s v="SWG104629"/>
        <s v="SWG104709"/>
        <s v="SWG104754"/>
        <s v="SWG104780"/>
        <s v="SWG104841"/>
        <s v="SWG104911"/>
        <s v="SWG104963"/>
        <s v="SWG100082"/>
        <s v="SWG100274"/>
        <s v="SWG100295"/>
        <s v="SWG101757"/>
        <s v="SWG101861"/>
        <s v="SWG102211"/>
        <s v="SWG102313"/>
        <s v="SWG103545"/>
        <s v="SWG103842"/>
        <s v="SWG104322"/>
        <s v="SWG104846"/>
        <s v="SWG101315"/>
        <s v="SWG101317"/>
        <s v="SWG101792"/>
        <s v="SWG102300"/>
        <s v="SWG102696"/>
        <s v="SWG103686"/>
        <s v="SWG103937"/>
        <s v="SWG104442"/>
        <s v="SWG104567"/>
        <s v="SWG104719"/>
        <s v="SWG104905"/>
        <s v="SWG104938"/>
        <s v="SWG101137"/>
        <s v="SWG101181"/>
        <s v="SWG101488"/>
        <s v="SWG101704"/>
        <s v="SWG102975"/>
        <s v="SWG103093"/>
        <s v="SWG103219"/>
        <s v="SWG103320"/>
        <s v="SWG103749"/>
        <s v="SWG103924"/>
        <s v="SWG104259"/>
        <s v="SWG104887"/>
        <s v="SWG101218"/>
        <s v="SWG101890"/>
        <s v="SWG102558"/>
        <s v="SWG102705"/>
        <s v="SWG102747"/>
        <s v="SWG103028"/>
        <s v="SWG103732"/>
        <s v="SWG104721"/>
        <s v="SWG104863"/>
        <s v="SWG100704"/>
        <s v="SWG100917"/>
        <s v="SWG100985"/>
        <s v="SWG103062"/>
        <s v="SWG104130"/>
        <s v="SWG104404"/>
        <s v="SWG104955"/>
        <s v="SWG100081"/>
        <s v="SWG100664"/>
        <s v="SWG101042"/>
        <s v="SWG101907"/>
        <s v="SWG102107"/>
        <s v="SWG102485"/>
        <s v="SWG102487"/>
        <s v="SWG102611"/>
        <s v="SWG102646"/>
        <s v="SWG102834"/>
        <s v="SWG102939"/>
        <s v="SWG103032"/>
        <s v="SWG103343"/>
        <s v="SWG103719"/>
        <s v="SWG104154"/>
        <s v="SWG104534"/>
        <s v="SWG100122"/>
        <s v="SWG100863"/>
        <s v="SWG100884"/>
        <s v="SWG101155"/>
        <s v="SWG101786"/>
        <s v="SWG101807"/>
        <s v="SWG102200"/>
        <s v="SWG102534"/>
        <s v="SWG102936"/>
        <s v="SWG102941"/>
        <s v="SWG103217"/>
        <s v="SWG103468"/>
        <s v="SWG103549"/>
        <s v="SWG103644"/>
        <s v="SWG103684"/>
        <s v="SWG103854"/>
        <s v="SWG104169"/>
        <s v="SWG104280"/>
        <s v="SWG104478"/>
        <s v="SWG104547"/>
        <s v="SWG104903"/>
        <s v="SWG100009"/>
        <s v="SWG100077"/>
        <s v="SWG100392"/>
        <s v="SWG100524"/>
        <s v="SWG100594"/>
        <s v="SWG101217"/>
        <s v="SWG101312"/>
        <s v="SWG101333"/>
        <s v="SWG101441"/>
        <s v="SWG101467"/>
        <s v="SWG101565"/>
        <s v="SWG102296"/>
        <s v="SWG103117"/>
        <s v="SWG103294"/>
        <s v="SWG103626"/>
        <s v="SWG104289"/>
        <s v="SWG104291"/>
        <s v="SWG104730"/>
        <s v="SWG104950"/>
        <s v="SWG100117"/>
        <s v="SWG100888"/>
        <s v="SWG101101"/>
        <s v="SWG101436"/>
        <s v="SWG101576"/>
        <s v="SWG101630"/>
        <s v="SWG102024"/>
        <s v="SWG102376"/>
        <s v="SWG102732"/>
        <s v="SWG103033"/>
        <s v="SWG103179"/>
        <s v="SWG103514"/>
        <s v="SWG103764"/>
        <s v="SWG103898"/>
        <s v="SWG104001"/>
        <s v="SWG104230"/>
        <s v="SWG104985"/>
        <s v="SWG100087"/>
        <s v="SWG100536"/>
        <s v="SWG100556"/>
        <s v="SWG100563"/>
        <s v="SWG100623"/>
        <s v="SWG100732"/>
        <s v="SWG101410"/>
        <s v="SWG101803"/>
        <s v="SWG102028"/>
        <s v="SWG102583"/>
        <s v="SWG102846"/>
        <s v="SWG103715"/>
        <s v="SWG103852"/>
        <s v="SWG104181"/>
        <s v="SWG104803"/>
        <s v="SWG100069"/>
        <s v="SWG100129"/>
        <s v="SWG100217"/>
        <s v="SWG100474"/>
        <s v="SWG100856"/>
        <s v="SWG101134"/>
        <s v="SWG101557"/>
        <s v="SWG102058"/>
        <s v="SWG102261"/>
        <s v="SWG102881"/>
        <s v="SWG103041"/>
        <s v="SWG103223"/>
        <s v="SWG103713"/>
        <s v="SWG103865"/>
        <s v="SWG104302"/>
        <s v="SWG104757"/>
        <s v="SWG101356"/>
        <s v="SWG101697"/>
        <s v="SWG102476"/>
        <s v="SWG102686"/>
        <s v="SWG103098"/>
        <s v="SWG103520"/>
        <s v="SWG104314"/>
        <s v="SWG104331"/>
        <s v="SWG100208"/>
        <s v="SWG100331"/>
        <s v="SWG100468"/>
        <s v="SWG100642"/>
        <s v="SWG100697"/>
        <s v="SWG100705"/>
        <s v="SWG100966"/>
        <s v="SWG101912"/>
        <s v="SWG102079"/>
        <s v="SWG102201"/>
        <s v="SWG102570"/>
        <s v="SWG102838"/>
        <s v="SWG102840"/>
        <s v="SWG102987"/>
        <s v="SWG104670"/>
        <s v="SWG104729"/>
        <s v="SWG100595"/>
        <s v="SWG101882"/>
        <s v="SWG102130"/>
        <s v="SWG102457"/>
        <s v="SWG102509"/>
        <s v="SWG102729"/>
        <s v="SWG103631"/>
        <s v="SWG104063"/>
        <s v="SWG104088"/>
        <s v="SWG104681"/>
        <s v="SWG104684"/>
        <s v="SWG100144"/>
        <s v="SWG100480"/>
        <s v="SWG100775"/>
        <s v="SWG101234"/>
        <s v="SWG101300"/>
        <s v="SWG101690"/>
        <s v="SWG101777"/>
        <s v="SWG102618"/>
        <s v="SWG103147"/>
        <s v="SWG103565"/>
        <s v="SWG103828"/>
        <s v="SWG103929"/>
        <s v="SWG104750"/>
        <s v="SWG104770"/>
        <s v="SWG104916"/>
        <s v="SWG104965"/>
        <s v="SWG100354"/>
        <s v="SWG100490"/>
        <s v="SWG100574"/>
        <s v="SWG100590"/>
        <s v="SWG100963"/>
        <s v="SWG101275"/>
        <s v="SWG101469"/>
        <s v="SWG101677"/>
        <s v="SWG101847"/>
        <s v="SWG102033"/>
        <s v="SWG102572"/>
        <s v="SWG102702"/>
        <s v="SWG103011"/>
        <s v="SWG103347"/>
        <s v="SWG103928"/>
        <s v="SWG104959"/>
        <s v="SWG100211"/>
        <s v="SWG100550"/>
        <s v="SWG100683"/>
        <s v="SWG100725"/>
        <s v="SWG101215"/>
        <s v="SWG101314"/>
        <s v="SWG101616"/>
        <s v="SWG101669"/>
        <s v="SWG101686"/>
        <s v="SWG102116"/>
        <s v="SWG102633"/>
        <s v="SWG102679"/>
        <s v="SWG103435"/>
        <s v="SWG103832"/>
        <s v="SWG103916"/>
        <s v="SWG104660"/>
        <s v="SWG104764"/>
        <s v="SWG100174"/>
        <s v="SWG100185"/>
        <s v="SWG100212"/>
        <s v="SWG100986"/>
        <s v="SWG101067"/>
        <s v="SWG101824"/>
        <s v="SWG101938"/>
        <s v="SWG103095"/>
        <s v="SWG103308"/>
        <s v="SWG103534"/>
        <s v="SWG103851"/>
        <s v="SWG104412"/>
        <s v="SWG100317"/>
        <s v="SWG100789"/>
        <s v="SWG100938"/>
        <s v="SWG101301"/>
        <s v="SWG101541"/>
        <s v="SWG101555"/>
        <s v="SWG101594"/>
        <s v="SWG101601"/>
        <s v="SWG101721"/>
        <s v="SWG102232"/>
        <s v="SWG102344"/>
        <s v="SWG102599"/>
        <s v="SWG103034"/>
        <s v="SWG103861"/>
        <s v="SWG103914"/>
        <s v="SWG100124"/>
        <s v="SWG100286"/>
        <s v="SWG100542"/>
        <s v="SWG100669"/>
        <s v="SWG100902"/>
        <s v="SWG101385"/>
        <s v="SWG101399"/>
        <s v="SWG101493"/>
        <s v="SWG101502"/>
        <s v="SWG101579"/>
        <s v="SWG101713"/>
        <s v="SWG102507"/>
        <s v="SWG102713"/>
        <s v="SWG102955"/>
        <s v="SWG103024"/>
        <s v="SWG103083"/>
        <s v="SWG103145"/>
        <s v="SWG103745"/>
        <s v="SWG103780"/>
        <s v="SWG100700"/>
        <s v="SWG100925"/>
        <s v="SWG101099"/>
        <s v="SWG101782"/>
        <s v="SWG101923"/>
        <s v="SWG102138"/>
        <s v="SWG102556"/>
        <s v="SWG102758"/>
        <s v="SWG102852"/>
        <s v="SWG103511"/>
        <s v="SWG103810"/>
        <s v="SWG103845"/>
        <s v="SWG104016"/>
        <s v="SWG104150"/>
        <s v="SWG100438"/>
        <s v="SWG100667"/>
        <s v="SWG100782"/>
        <s v="SWG100941"/>
        <s v="SWG100961"/>
        <s v="SWG101037"/>
        <s v="SWG101260"/>
        <s v="SWG101418"/>
        <s v="SWG101966"/>
        <s v="SWG102269"/>
        <s v="SWG102471"/>
        <s v="SWG102667"/>
        <s v="SWG102733"/>
        <s v="SWG103750"/>
        <s v="SWG100311"/>
        <s v="SWG100604"/>
        <s v="SWG102286"/>
        <s v="SWG102478"/>
        <s v="SWG102716"/>
        <s v="SWG103813"/>
        <s v="SWG104333"/>
        <s v="SWG104461"/>
        <s v="SWG104810"/>
        <s v="SWG104926"/>
        <s v="SWG100107"/>
        <s v="SWG100140"/>
        <s v="SWG100145"/>
        <s v="SWG100172"/>
        <s v="SWG100910"/>
        <s v="SWG101081"/>
        <s v="SWG101956"/>
        <s v="SWG101959"/>
        <s v="SWG102339"/>
        <s v="SWG102460"/>
        <s v="SWG102685"/>
        <s v="SWG102816"/>
        <s v="SWG103632"/>
        <s v="SWG104967"/>
        <s v="SWG101384"/>
        <s v="SWG102064"/>
        <s v="SWG102268"/>
        <s v="SWG102506"/>
        <s v="SWG102527"/>
        <s v="SWG102554"/>
        <s v="SWG102938"/>
        <s v="SWG103194"/>
        <s v="SWG103583"/>
        <s v="SWG104656"/>
        <s v="SWG104806"/>
        <s v="SWG100178"/>
        <s v="SWG100193"/>
        <s v="SWG100270"/>
        <s v="SWG100336"/>
        <s v="SWG100569"/>
        <s v="SWG100673"/>
        <s v="SWG100850"/>
        <s v="SWG100921"/>
        <s v="SWG101674"/>
        <s v="SWG101685"/>
        <s v="SWG101826"/>
        <s v="SWG102508"/>
        <s v="SWG102622"/>
        <s v="SWG103254"/>
        <s v="SWG103636"/>
        <s v="SWG103829"/>
        <s v="SWG103878"/>
        <s v="SWG104351"/>
        <s v="SWG104646"/>
        <s v="SWG100187"/>
        <s v="SWG101293"/>
        <s v="SWG102043"/>
        <s v="SWG102691"/>
        <s v="SWG103410"/>
        <s v="SWG103616"/>
        <s v="SWG104511"/>
        <s v="SWG104575"/>
        <s v="SWG104683"/>
        <s v="SWG104957"/>
        <s v="SWG100596"/>
        <s v="SWG100819"/>
        <s v="SWG101327"/>
        <s v="SWG101652"/>
        <s v="SWG102638"/>
        <s v="SWG103338"/>
        <s v="SWG103720"/>
        <s v="SWG103779"/>
        <s v="SWG103934"/>
        <s v="SWG104569"/>
        <s v="SWG104701"/>
        <s v="SWG104843"/>
        <s v="SWG104944"/>
        <s v="SWG100027"/>
        <s v="SWG100774"/>
        <s v="SWG100930"/>
        <s v="SWG101023"/>
        <s v="SWG101508"/>
        <s v="SWG101511"/>
        <s v="SWG101738"/>
        <s v="SWG101780"/>
        <s v="SWG102632"/>
        <s v="SWG103505"/>
        <s v="SWG103746"/>
        <s v="SWG104994"/>
        <s v="SWG100083"/>
        <s v="SWG100146"/>
        <s v="SWG100454"/>
        <s v="SWG101050"/>
        <s v="SWG101321"/>
        <s v="SWG101360"/>
        <s v="SWG101627"/>
        <s v="SWG101934"/>
        <s v="SWG102324"/>
        <s v="SWG102349"/>
        <s v="SWG103233"/>
        <s v="SWG103762"/>
        <s v="SWG104062"/>
        <s v="SWG104379"/>
        <s v="SWG104520"/>
        <s v="SWG104748"/>
        <s v="SWG100308"/>
        <s v="SWG100472"/>
        <s v="SWG100897"/>
        <s v="SWG101879"/>
        <s v="SWG102404"/>
        <s v="SWG102629"/>
        <s v="SWG102973"/>
        <s v="SWG104439"/>
        <s v="SWG100447"/>
        <s v="SWG100599"/>
        <s v="SWG100726"/>
        <s v="SWG100864"/>
        <s v="SWG100899"/>
        <s v="SWG101259"/>
        <s v="SWG101397"/>
        <s v="SWG101512"/>
        <s v="SWG102165"/>
        <s v="SWG102369"/>
        <s v="SWG103305"/>
        <s v="SWG103524"/>
        <s v="SWG104137"/>
        <s v="SWG104549"/>
        <s v="SWG104600"/>
        <s v="SWG104665"/>
        <s v="SWG104767"/>
        <s v="SWG104947"/>
        <s v="SWG104958"/>
        <s v="SWG100231"/>
        <s v="SWG100706"/>
        <s v="SWG100821"/>
        <s v="SWG101943"/>
        <s v="SWG102777"/>
        <s v="SWG103283"/>
        <s v="SWG103938"/>
        <s v="SWG104239"/>
        <s v="SWG100141"/>
        <s v="SWG101558"/>
        <s v="SWG101570"/>
        <s v="SWG102187"/>
        <s v="SWG102255"/>
        <s v="SWG103229"/>
        <s v="SWG103679"/>
        <s v="SWG103906"/>
        <s v="SWG104027"/>
        <s v="SWG104157"/>
        <s v="SWG104178"/>
        <s v="SWG104622"/>
        <s v="SWG100051"/>
        <s v="SWG100522"/>
        <s v="SWG100641"/>
        <s v="SWG100717"/>
        <s v="SWG101695"/>
        <s v="SWG101821"/>
        <s v="SWG102023"/>
        <s v="SWG102227"/>
        <s v="SWG102486"/>
        <s v="SWG102525"/>
        <s v="SWG103518"/>
        <s v="SWG103904"/>
        <s v="SWG103989"/>
        <s v="SWG104085"/>
        <s v="SWG104490"/>
        <s v="SWG104499"/>
        <s v="SWG104904"/>
        <s v="SWG100155"/>
        <s v="SWG100958"/>
        <s v="SWG101115"/>
        <s v="SWG101552"/>
        <s v="SWG101875"/>
        <s v="SWG101899"/>
        <s v="SWG101928"/>
        <s v="SWG102701"/>
        <s v="SWG102928"/>
        <s v="SWG103310"/>
        <s v="SWG100039"/>
        <s v="SWG101176"/>
        <s v="SWG101400"/>
        <s v="SWG102367"/>
        <s v="SWG103837"/>
        <s v="SWG104391"/>
        <s v="SWG101507"/>
        <s v="SWG102014"/>
        <s v="SWG102089"/>
        <s v="SWG102801"/>
        <s v="SWG103248"/>
        <s v="SWG103416"/>
        <s v="SWG103974"/>
        <s v="SWG104204"/>
        <s v="SWG104407"/>
        <s v="SWG104603"/>
        <s v="SWG104735"/>
        <s v="SWG100370"/>
        <s v="SWG100485"/>
        <s v="SWG101325"/>
        <s v="SWG101391"/>
        <s v="SWG101930"/>
        <s v="SWG102477"/>
        <s v="SWG102995"/>
        <s v="SWG103491"/>
        <s v="SWG103493"/>
        <s v="SWG104565"/>
        <s v="SWG104582"/>
        <s v="SWG104598"/>
        <s v="SWG104876"/>
        <s v="SWG100220"/>
        <s v="SWG100374"/>
        <s v="SWG100461"/>
        <s v="SWG100500"/>
        <s v="SWG100802"/>
        <s v="SWG100957"/>
        <s v="SWG101253"/>
        <s v="SWG101497"/>
        <s v="SWG102531"/>
        <s v="SWG103013"/>
        <s v="SWG103072"/>
        <s v="SWG103976"/>
        <s v="SWG104019"/>
        <s v="SWG104229"/>
        <s v="SWG104557"/>
        <s v="SWG104580"/>
        <s v="SWG102332"/>
        <s v="SWG102866"/>
        <s v="SWG102950"/>
        <s v="SWG103040"/>
        <s v="SWG103065"/>
        <s v="SWG103671"/>
        <s v="SWG103911"/>
        <s v="SWG104018"/>
        <s v="SWG104108"/>
        <s v="SWG104294"/>
        <s v="SWG104364"/>
        <s v="SWG104398"/>
        <s v="SWG100538"/>
        <s v="SWG100798"/>
        <s v="SWG100823"/>
        <s v="SWG100860"/>
        <s v="SWG101258"/>
        <s v="SWG101655"/>
        <s v="SWG102354"/>
        <s v="SWG103469"/>
        <s v="SWG103517"/>
        <s v="SWG104119"/>
        <s v="SWG100483"/>
        <s v="SWG100491"/>
        <s v="SWG100767"/>
        <s v="SWG101395"/>
        <s v="SWG101458"/>
        <s v="SWG101920"/>
        <s v="SWG102857"/>
        <s v="SWG103287"/>
        <s v="SWG103450"/>
        <s v="SWG103471"/>
        <s v="SWG103510"/>
        <s v="SWG104713"/>
        <s v="SWG100718"/>
        <s v="SWG100776"/>
        <s v="SWG101186"/>
        <s v="SWG101496"/>
        <s v="SWG101605"/>
        <s v="SWG101712"/>
        <s v="SWG101858"/>
        <s v="SWG102003"/>
        <s v="SWG102025"/>
        <s v="SWG102767"/>
        <s v="SWG102768"/>
        <s v="SWG103097"/>
        <s v="SWG103129"/>
        <s v="SWG104196"/>
        <s v="SWG104627"/>
        <s v="SWG104981"/>
        <s v="SWG100078"/>
        <s v="SWG100088"/>
        <s v="SWG100241"/>
        <s v="SWG100258"/>
        <s v="SWG100628"/>
        <s v="SWG100666"/>
        <s v="SWG100788"/>
        <s v="SWG102447"/>
        <s v="SWG102504"/>
        <s v="SWG103090"/>
        <s v="SWG103465"/>
        <s v="SWG103778"/>
        <s v="SWG103950"/>
        <s v="SWG104003"/>
        <s v="SWG104464"/>
        <s v="SWG100026"/>
        <s v="SWG100347"/>
        <s v="SWG100521"/>
        <s v="SWG100603"/>
        <s v="SWG100709"/>
        <s v="SWG100878"/>
        <s v="SWG102394"/>
        <s v="SWG102437"/>
        <s v="SWG104628"/>
        <s v="SWG104830"/>
        <s v="SWG100265"/>
        <s v="SWG100285"/>
        <s v="SWG100479"/>
        <s v="SWG101086"/>
        <s v="SWG101123"/>
        <s v="SWG102244"/>
        <s v="SWG102426"/>
        <s v="SWG102737"/>
        <s v="SWG102795"/>
        <s v="SWG102951"/>
        <s v="SWG104114"/>
        <s v="SWG104165"/>
        <s v="SWG100130"/>
        <s v="SWG100225"/>
        <s v="SWG100779"/>
        <s v="SWG101255"/>
        <s v="SWG102586"/>
        <s v="SWG103159"/>
        <s v="SWG103169"/>
        <s v="SWG103999"/>
        <s v="SWG104164"/>
        <s v="SWG104807"/>
        <s v="SWG100349"/>
        <s v="SWG100711"/>
        <s v="SWG101299"/>
        <s v="SWG102390"/>
        <s v="SWG102466"/>
        <s v="SWG102496"/>
        <s v="SWG102574"/>
        <s v="SWG102635"/>
        <s v="SWG103744"/>
        <s v="SWG104066"/>
        <s v="SWG104479"/>
        <s v="SWG104703"/>
        <s v="SWG104815"/>
        <s v="SWG104842"/>
        <s v="SWG104952"/>
        <s v="SWG100127"/>
        <s v="SWG100494"/>
        <s v="SWG100874"/>
        <s v="SWG101157"/>
        <s v="SWG101214"/>
        <s v="SWG101228"/>
        <s v="SWG101746"/>
        <s v="SWG101982"/>
        <s v="SWG103213"/>
        <s v="SWG103589"/>
        <s v="SWG104048"/>
        <s v="SWG104789"/>
        <s v="SWG100018"/>
        <s v="SWG100501"/>
        <s v="SWG101664"/>
        <s v="SWG102245"/>
        <s v="SWG102298"/>
        <s v="SWG102353"/>
        <s v="SWG102592"/>
        <s v="SWG102644"/>
        <s v="SWG103313"/>
        <s v="SWG103335"/>
        <s v="SWG103797"/>
        <s v="SWG104354"/>
        <s v="SWG104456"/>
        <s v="SWG104811"/>
        <s v="SWG100179"/>
        <s v="SWG100239"/>
        <s v="SWG100679"/>
        <s v="SWG100746"/>
        <s v="SWG100770"/>
        <s v="SWG101000"/>
        <s v="SWG101559"/>
        <s v="SWG102292"/>
        <s v="SWG102791"/>
        <s v="SWG102982"/>
        <s v="SWG103326"/>
        <s v="SWG103603"/>
        <s v="SWG100066"/>
        <s v="SWG100759"/>
        <s v="SWG101545"/>
        <s v="SWG102449"/>
        <s v="SWG102450"/>
        <s v="SWG102721"/>
        <s v="SWG102775"/>
        <s v="SWG102814"/>
        <s v="SWG102994"/>
        <s v="SWG103009"/>
        <s v="SWG103205"/>
        <s v="SWG103406"/>
        <s v="SWG103525"/>
        <s v="SWG103598"/>
        <s v="SWG103663"/>
        <s v="SWG103965"/>
        <s v="SWG104477"/>
        <s v="SWG104899"/>
        <s v="SWG100106"/>
        <s v="SWG101004"/>
        <s v="SWG101106"/>
        <s v="SWG101297"/>
        <s v="SWG101562"/>
        <s v="SWG101600"/>
        <s v="SWG101967"/>
        <s v="SWG102561"/>
        <s v="SWG102562"/>
        <s v="SWG102676"/>
        <s v="SWG102810"/>
        <s v="SWG104543"/>
        <s v="SWG100418"/>
        <s v="SWG100815"/>
        <s v="SWG101560"/>
        <s v="SWG101629"/>
        <s v="SWG101744"/>
        <s v="SWG101844"/>
        <s v="SWG101926"/>
        <s v="SWG102362"/>
        <s v="SWG102956"/>
        <s v="SWG103216"/>
        <s v="SWG103222"/>
        <s v="SWG103413"/>
        <s v="SWG104201"/>
        <s v="SWG104383"/>
        <s v="SWG100257"/>
        <s v="SWG101279"/>
        <s v="SWG102179"/>
        <s v="SWG102191"/>
        <s v="SWG102248"/>
        <s v="SWG102445"/>
        <s v="SWG102979"/>
        <s v="SWG103766"/>
        <s v="SWG100057"/>
        <s v="SWG100314"/>
        <s v="SWG100385"/>
        <s v="SWG100411"/>
        <s v="SWG100527"/>
        <s v="SWG100929"/>
        <s v="SWG101238"/>
        <s v="SWG101265"/>
        <s v="SWG101438"/>
        <s v="SWG101850"/>
        <s v="SWG101985"/>
        <s v="SWG102047"/>
        <s v="SWG102285"/>
        <s v="SWG102305"/>
        <s v="SWG102533"/>
        <s v="SWG103151"/>
        <s v="SWG103569"/>
        <s v="SWG103666"/>
        <s v="SWG103690"/>
        <s v="SWG103765"/>
        <s v="SWG103850"/>
        <s v="SWG104440"/>
        <s v="SWG104812"/>
        <s v="SWG104962"/>
        <s v="SWG100052"/>
        <s v="SWG100571"/>
        <s v="SWG101016"/>
        <s v="SWG102123"/>
        <s v="SWG103026"/>
        <s v="SWG103137"/>
        <s v="SWG103255"/>
        <s v="SWG103596"/>
        <s v="SWG104017"/>
        <s v="SWG104728"/>
        <s v="SWG101243"/>
        <s v="SWG101453"/>
        <s v="SWG101513"/>
        <s v="SWG101978"/>
        <s v="SWG102391"/>
        <s v="SWG102432"/>
        <s v="SWG102587"/>
        <s v="SWG103319"/>
        <s v="SWG104054"/>
        <s v="SWG104318"/>
        <s v="SWG104346"/>
        <s v="SWG104358"/>
        <s v="SWG100253"/>
        <s v="SWG100728"/>
        <s v="SWG101035"/>
        <s v="SWG101156"/>
        <s v="SWG101377"/>
        <s v="SWG101587"/>
        <s v="SWG101806"/>
        <s v="SWG102119"/>
        <s v="SWG102435"/>
        <s v="SWG102963"/>
        <s v="SWG103166"/>
        <s v="SWG103269"/>
        <s v="SWG103486"/>
        <s v="SWG103888"/>
        <s v="SWG104740"/>
        <s v="SWG100113"/>
        <s v="SWG100198"/>
        <s v="SWG100510"/>
        <s v="SWG100552"/>
        <s v="SWG100772"/>
        <s v="SWG101359"/>
        <s v="SWG101446"/>
        <s v="SWG101932"/>
        <s v="SWG102621"/>
        <s v="SWG102964"/>
        <s v="SWG102978"/>
        <s v="SWG103164"/>
        <s v="SWG103221"/>
        <s v="SWG103282"/>
        <s v="SWG103337"/>
        <s v="SWG103805"/>
        <s v="SWG104874"/>
        <s v="SWG104912"/>
        <s v="SWG104970"/>
        <s v="SWG100426"/>
        <s v="SWG101498"/>
        <s v="SWG101580"/>
        <s v="SWG101640"/>
        <s v="SWG102087"/>
        <s v="SWG102277"/>
        <s v="SWG102593"/>
        <s v="SWG102643"/>
        <s v="SWG103007"/>
        <s v="SWG103638"/>
        <s v="SWG104612"/>
        <s v="SWG104739"/>
        <s v="SWG104776"/>
        <s v="SWG104831"/>
        <s v="SWG100073"/>
        <s v="SWG101038"/>
        <s v="SWG101459"/>
        <s v="SWG101706"/>
        <s v="SWG101975"/>
        <s v="SWG102399"/>
        <s v="SWG102841"/>
        <s v="SWG102944"/>
        <s v="SWG103114"/>
        <s v="SWG104226"/>
        <s v="SWG100002"/>
        <s v="SWG100033"/>
        <s v="SWG100076"/>
        <s v="SWG100408"/>
        <s v="SWG101726"/>
        <s v="SWG101756"/>
        <s v="SWG102139"/>
        <s v="SWG102155"/>
        <s v="SWG102204"/>
        <s v="SWG102602"/>
        <s v="SWG103059"/>
        <s v="SWG104095"/>
        <s v="SWG104188"/>
        <s v="SWG104216"/>
        <s v="SWG104394"/>
        <s v="SWG104651"/>
        <s v="SWG104987"/>
        <s v="SWG100455"/>
        <s v="SWG100684"/>
        <s v="SWG101510"/>
        <s v="SWG102342"/>
        <s v="SWG103063"/>
        <s v="SWG103818"/>
        <s v="SWG103947"/>
        <s v="SWG104158"/>
        <s v="SWG104256"/>
        <s v="SWG100367"/>
        <s v="SWG100560"/>
        <s v="SWG100811"/>
        <s v="SWG100909"/>
        <s v="SWG101015"/>
        <s v="SWG101471"/>
        <s v="SWG101779"/>
        <s v="SWG102453"/>
        <s v="SWG102603"/>
        <s v="SWG102725"/>
        <s v="SWG103054"/>
        <s v="SWG103463"/>
        <s v="SWG103726"/>
        <s v="SWG103971"/>
        <s v="SWG104170"/>
        <s v="SWG104400"/>
        <s v="SWG104971"/>
        <s v="SWG100047"/>
        <s v="SWG100900"/>
        <s v="SWG101500"/>
        <s v="SWG101755"/>
        <s v="SWG101795"/>
        <s v="SWG103428"/>
        <s v="SWG103682"/>
        <s v="SWG103768"/>
        <s v="SWG103960"/>
        <s v="SWG104039"/>
        <s v="SWG100434"/>
        <s v="SWG100629"/>
        <s v="SWG100984"/>
        <s v="SWG101424"/>
        <s v="SWG102159"/>
        <s v="SWG102996"/>
        <s v="SWG103121"/>
        <s v="SWG103132"/>
        <s v="SWG103386"/>
        <s v="SWG103472"/>
        <s v="SWG103641"/>
        <s v="SWG104431"/>
        <s v="SWG101984"/>
        <s v="SWG102021"/>
        <s v="SWG102389"/>
        <s v="SWG103173"/>
        <s v="SWG103198"/>
        <s v="SWG104819"/>
        <s v="SWG104861"/>
        <s v="SWG104966"/>
        <s v="SWG104982"/>
        <s v="SWG100022"/>
        <s v="SWG100300"/>
        <s v="SWG100318"/>
        <s v="SWG100537"/>
        <s v="SWG100841"/>
        <s v="SWG100944"/>
        <s v="SWG101794"/>
        <s v="SWG102157"/>
        <s v="SWG102199"/>
        <s v="SWG102528"/>
        <s v="SWG102553"/>
        <s v="SWG102932"/>
        <s v="SWG103038"/>
        <s v="SWG103262"/>
        <s v="SWG103351"/>
        <s v="SWG103556"/>
        <s v="SWG103919"/>
        <s v="SWG104514"/>
        <s v="SWG104731"/>
        <s v="SWG104889"/>
        <s v="SWG100459"/>
        <s v="SWG101326"/>
        <s v="SWG101692"/>
        <s v="SWG102610"/>
        <s v="SWG102652"/>
        <s v="SWG103436"/>
        <s v="SWG103877"/>
        <s v="SWG104008"/>
        <s v="SWG104060"/>
        <s v="SWG104365"/>
        <s v="SWG104778"/>
        <s v="SWG100441"/>
        <s v="SWG100555"/>
        <s v="SWG102099"/>
        <s v="SWG102325"/>
        <s v="SWG102958"/>
        <s v="SWG103051"/>
        <s v="SWG103348"/>
        <s v="SWG104082"/>
        <s v="SWG104110"/>
        <s v="SWG104761"/>
        <s v="SWG104781"/>
        <s v="SWG100086"/>
        <s v="SWG100227"/>
        <s v="SWG100338"/>
        <s v="SWG100360"/>
        <s v="SWG100498"/>
        <s v="SWG101306"/>
        <s v="SWG101753"/>
        <s v="SWG102256"/>
        <s v="SWG102819"/>
        <s v="SWG103458"/>
        <s v="SWG103796"/>
        <s v="SWG104097"/>
        <s v="SWG104296"/>
        <s v="SWG104325"/>
        <s v="SWG100353"/>
        <s v="SWG100831"/>
        <s v="SWG101322"/>
        <s v="SWG101752"/>
        <s v="SWG102151"/>
        <s v="SWG102393"/>
        <s v="SWG102665"/>
        <s v="SWG103021"/>
        <s v="SWG103112"/>
        <s v="SWG103643"/>
        <s v="SWG103727"/>
        <s v="SWG100730"/>
        <s v="SWG100859"/>
        <s v="SWG100936"/>
        <s v="SWG101117"/>
        <s v="SWG101374"/>
        <s v="SWG101456"/>
        <s v="SWG101940"/>
        <s v="SWG102008"/>
        <s v="SWG102126"/>
        <s v="SWG102499"/>
        <s v="SWG103570"/>
        <s v="SWG103905"/>
        <s v="SWG104072"/>
        <s v="SWG104609"/>
        <s v="SWG104614"/>
        <s v="SWG104632"/>
        <s v="SWG100132"/>
        <s v="SWG100175"/>
        <s v="SWG100315"/>
        <s v="SWG100610"/>
        <s v="SWG100735"/>
        <s v="SWG101119"/>
        <s v="SWG102647"/>
        <s v="SWG102983"/>
        <s v="SWG103015"/>
        <s v="SWG103224"/>
        <s v="SWG103823"/>
        <s v="SWG104098"/>
        <s v="SWG104236"/>
        <s v="SWG104267"/>
        <s v="SWG104345"/>
        <s v="SWG104388"/>
        <s v="SWG104509"/>
        <s v="SWG100157"/>
        <s v="SWG100163"/>
        <s v="SWG100321"/>
        <s v="SWG100572"/>
        <s v="SWG101611"/>
        <s v="SWG101990"/>
        <s v="SWG102529"/>
        <s v="SWG102947"/>
        <s v="SWG103123"/>
        <s v="SWG103350"/>
        <s v="SWG103476"/>
        <s v="SWG104369"/>
        <s v="SWG104447"/>
        <s v="SWG100467"/>
        <s v="SWG100517"/>
        <s v="SWG100807"/>
        <s v="SWG101196"/>
        <s v="SWG101222"/>
        <s v="SWG101286"/>
        <s v="SWG101709"/>
        <s v="SWG101722"/>
        <s v="SWG101727"/>
        <s v="SWG102009"/>
        <s v="SWG102030"/>
        <s v="SWG102642"/>
        <s v="SWG103314"/>
        <s v="SWG103430"/>
        <s v="SWG103967"/>
        <s v="SWG104548"/>
        <s v="SWG100168"/>
        <s v="SWG100319"/>
        <s v="SWG100559"/>
        <s v="SWG100716"/>
        <s v="SWG100794"/>
        <s v="SWG101040"/>
        <s v="SWG101224"/>
        <s v="SWG102303"/>
        <s v="SWG102336"/>
        <s v="SWG103037"/>
        <s v="SWG103136"/>
        <s v="SWG103563"/>
        <s v="SWG101150"/>
        <s v="SWG101354"/>
        <s v="SWG101971"/>
        <s v="SWG102072"/>
        <s v="SWG102310"/>
        <s v="SWG102430"/>
        <s v="SWG103544"/>
        <s v="SWG104160"/>
        <s v="SWG104822"/>
        <s v="SWG100362"/>
        <s v="SWG100391"/>
        <s v="SWG100760"/>
        <s v="SWG101058"/>
        <s v="SWG101242"/>
        <s v="SWG101247"/>
        <s v="SWG101270"/>
        <s v="SWG101452"/>
        <s v="SWG101730"/>
        <s v="SWG101886"/>
        <s v="SWG102264"/>
        <s v="SWG102340"/>
        <s v="SWG102413"/>
        <s v="SWG102597"/>
        <s v="SWG102598"/>
        <s v="SWG102613"/>
        <s v="SWG103361"/>
        <s v="SWG103875"/>
        <s v="SWG104382"/>
        <s v="SWG104882"/>
        <s v="SWG100105"/>
        <s v="SWG100299"/>
        <s v="SWG100478"/>
        <s v="SWG100722"/>
        <s v="SWG100942"/>
        <s v="SWG101080"/>
        <s v="SWG101085"/>
        <s v="SWG101394"/>
        <s v="SWG101628"/>
        <s v="SWG101804"/>
        <s v="SWG101825"/>
        <s v="SWG102069"/>
        <s v="SWG102396"/>
        <s v="SWG102891"/>
        <s v="SWG103061"/>
        <s v="SWG104225"/>
        <s v="SWG104284"/>
        <s v="SWG104566"/>
        <s v="SWG104591"/>
        <s v="SWG100448"/>
        <s v="SWG100488"/>
        <s v="SWG102054"/>
        <s v="SWG102160"/>
        <s v="SWG102532"/>
        <s v="SWG103377"/>
        <s v="SWG103597"/>
        <s v="SWG103606"/>
        <s v="SWG103624"/>
        <s v="SWG103669"/>
        <s v="SWG104106"/>
        <s v="SWG104341"/>
        <s v="SWG104415"/>
        <s v="SWG104980"/>
        <s v="SWG101041"/>
        <s v="SWG101174"/>
        <s v="SWG101266"/>
        <s v="SWG101416"/>
        <s v="SWG102117"/>
        <s v="SWG102167"/>
        <s v="SWG102247"/>
        <s v="SWG102301"/>
        <s v="SWG102374"/>
        <s v="SWG103232"/>
        <s v="SWG104321"/>
        <s v="SWG104504"/>
        <s v="SWG104832"/>
        <s v="SWG104835"/>
        <s v="SWG100626"/>
        <s v="SWG100873"/>
        <s v="SWG101116"/>
        <s v="SWG101373"/>
        <s v="SWG102152"/>
        <s v="SWG102346"/>
        <s v="SWG102578"/>
        <s v="SWG103577"/>
        <s v="SWG103767"/>
        <s v="SWG104183"/>
        <s v="SWG104668"/>
        <s v="SWG104734"/>
        <s v="SWG104928"/>
        <s v="SWG100118"/>
        <s v="SWG100996"/>
        <s v="SWG101145"/>
        <s v="SWG101298"/>
        <s v="SWG101334"/>
        <s v="SWG101480"/>
        <s v="SWG101523"/>
        <s v="SWG101531"/>
        <s v="SWG101910"/>
        <s v="SWG101949"/>
        <s v="SWG102006"/>
        <s v="SWG102136"/>
        <s v="SWG102215"/>
        <s v="SWG102237"/>
        <s v="SWG102715"/>
        <s v="SWG103734"/>
        <s v="SWG104925"/>
        <s v="SWG104956"/>
        <s v="SWG104989"/>
        <s v="SWG100020"/>
        <s v="SWG100226"/>
        <s v="SWG100790"/>
        <s v="SWG100901"/>
        <s v="SWG101096"/>
        <s v="SWG101180"/>
        <s v="SWG102036"/>
        <s v="SWG102923"/>
        <s v="SWG103079"/>
        <s v="SWG103349"/>
        <s v="SWG103391"/>
        <s v="SWG103539"/>
        <s v="SWG103685"/>
        <s v="SWG103921"/>
        <s v="SWG104766"/>
        <s v="SWG100199"/>
        <s v="SWG101055"/>
        <s v="SWG101383"/>
        <s v="SWG101534"/>
        <s v="SWG101668"/>
        <s v="SWG101927"/>
        <s v="SWG102663"/>
        <s v="SWG102817"/>
        <s v="SWG103246"/>
        <s v="SWG103625"/>
        <s v="SWG103634"/>
        <s v="SWG104330"/>
        <s v="SWG104446"/>
        <s v="SWG104531"/>
        <s v="SWG104606"/>
        <s v="SWG104717"/>
        <s v="SWG100080"/>
        <s v="SWG101029"/>
        <s v="SWG101053"/>
        <s v="SWG101153"/>
        <s v="SWG101378"/>
        <s v="SWG101407"/>
        <s v="SWG103334"/>
        <s v="SWG104416"/>
        <s v="SWG104913"/>
        <s v="SWG104937"/>
        <s v="SWG104991"/>
        <s v="SWG104993"/>
        <s v="SWG101154"/>
        <s v="SWG101866"/>
        <s v="SWG102823"/>
        <s v="SWG102967"/>
        <s v="SWG100255"/>
        <s v="SWG101945"/>
        <s v="SWG102188"/>
        <s v="SWG103553"/>
        <s v="SWG103735"/>
        <s v="SWG104973"/>
        <s v="SWG100369"/>
        <s v="SWG101118"/>
        <s v="SWG102026"/>
        <s v="SWG103973"/>
        <s v="SWG104414"/>
        <s v="SWG104821"/>
        <s v="SWG104932"/>
        <s v="SWG100913"/>
        <s v="SWG100979"/>
        <s v="SWG101888"/>
        <s v="SWG102137"/>
        <s v="SWG102290"/>
        <s v="SWG102307"/>
        <s v="SWG103453"/>
        <s v="SWG104753"/>
        <s v="SWG100093"/>
        <s v="SWG100624"/>
        <s v="SWG100857"/>
        <s v="SWG101477"/>
        <s v="SWG101615"/>
        <s v="SWG101802"/>
        <s v="SWG101874"/>
        <s v="SWG101969"/>
        <s v="SWG102040"/>
        <s v="SWG102772"/>
        <s v="SWG102851"/>
        <s v="SWG103182"/>
        <s v="SWG103284"/>
        <s v="SWG103341"/>
        <s v="SWG103886"/>
        <s v="SWG104370"/>
        <s v="SWG100340"/>
        <s v="SWG100520"/>
        <s v="SWG101132"/>
        <s v="SWG101158"/>
        <s v="SWG101272"/>
        <s v="SWG101504"/>
        <s v="SWG101536"/>
        <s v="SWG102068"/>
        <s v="SWG102143"/>
        <s v="SWG102258"/>
        <s v="SWG102627"/>
        <s v="SWG102684"/>
        <s v="SWG102803"/>
        <s v="SWG103000"/>
        <s v="SWG103086"/>
        <s v="SWG103240"/>
        <s v="SWG103927"/>
        <s v="SWG104522"/>
        <s v="SWG104800"/>
        <s v="SWG100661"/>
        <s v="SWG100713"/>
        <s v="SWG100780"/>
        <s v="SWG100881"/>
        <s v="SWG101098"/>
        <s v="SWG101130"/>
        <s v="SWG101290"/>
        <s v="SWG101432"/>
        <s v="SWG101741"/>
        <s v="SWG101970"/>
        <s v="SWG102063"/>
        <s v="SWG102148"/>
        <s v="SWG102311"/>
        <s v="SWG102769"/>
        <s v="SWG103078"/>
        <s v="SWG103566"/>
        <s v="SWG103742"/>
        <s v="SWG103789"/>
        <s v="SWG104076"/>
        <s v="SWG104134"/>
        <s v="SWG104501"/>
        <s v="SWG100075"/>
        <s v="SWG100264"/>
        <s v="SWG100273"/>
        <s v="SWG100301"/>
        <s v="SWG100323"/>
        <s v="SWG101638"/>
        <s v="SWG102075"/>
        <s v="SWG102128"/>
        <s v="SWG102135"/>
        <s v="SWG103172"/>
        <s v="SWG103503"/>
        <s v="SWG103737"/>
        <s v="SWG104426"/>
        <s v="SWG104834"/>
        <s v="SWG100404"/>
        <s v="SWG100674"/>
        <s v="SWG101020"/>
        <s v="SWG101223"/>
        <s v="SWG101427"/>
        <s v="SWG101527"/>
        <s v="SWG101839"/>
        <s v="SWG101905"/>
        <s v="SWG101996"/>
        <s v="SWG102115"/>
        <s v="SWG102745"/>
        <s v="SWG102882"/>
        <s v="SWG103258"/>
        <s v="SWG103390"/>
        <s v="SWG103440"/>
        <s v="SWG104373"/>
        <s v="SWG104615"/>
        <s v="SWG104618"/>
        <s v="SWG100377"/>
        <s v="SWG100771"/>
        <s v="SWG100791"/>
        <s v="SWG101705"/>
        <s v="SWG102029"/>
        <s v="SWG103412"/>
        <s v="SWG103689"/>
        <s v="SWG104141"/>
        <s v="SWG100042"/>
        <s v="SWG100186"/>
        <s v="SWG101371"/>
        <s v="SWG101887"/>
        <s v="SWG102962"/>
        <s v="SWG103047"/>
        <s v="SWG103196"/>
        <s v="SWG103263"/>
        <s v="SWG103317"/>
        <s v="SWG103704"/>
        <s v="SWG103847"/>
        <s v="SWG100247"/>
        <s v="SWG100424"/>
        <s v="SWG100797"/>
        <s v="SWG102041"/>
        <s v="SWG102456"/>
        <s v="SWG102458"/>
        <s v="SWG102495"/>
        <s v="SWG103140"/>
        <s v="SWG103192"/>
        <s v="SWG103506"/>
        <s v="SWG103909"/>
        <s v="SWG104203"/>
        <s v="SWG100017"/>
        <s v="SWG101068"/>
        <s v="SWG101168"/>
        <s v="SWG101361"/>
        <s v="SWG101763"/>
        <s v="SWG101884"/>
        <s v="SWG103144"/>
        <s v="SWG103444"/>
        <s v="SWG104340"/>
        <s v="SWG104359"/>
        <s v="SWG104620"/>
        <s v="SWG104968"/>
        <s v="SWG100067"/>
        <s v="SWG100293"/>
        <s v="SWG101368"/>
        <s v="SWG101386"/>
        <s v="SWG101551"/>
        <s v="SWG101815"/>
        <s v="SWG102105"/>
        <s v="SWG102192"/>
        <s v="SWG102395"/>
        <s v="SWG102403"/>
        <s v="SWG102717"/>
        <s v="SWG103253"/>
        <s v="SWG103487"/>
        <s v="SWG103757"/>
        <s v="SWG103774"/>
        <s v="SWG104155"/>
        <s v="SWG104293"/>
        <s v="SWG104483"/>
        <s v="SWG104635"/>
        <s v="SWG100423"/>
        <s v="SWG100740"/>
        <s v="SWG100955"/>
        <s v="SWG101276"/>
        <s v="SWG101431"/>
        <s v="SWG101492"/>
        <s v="SWG102056"/>
        <s v="SWG102312"/>
        <s v="SWG102361"/>
        <s v="SWG103202"/>
        <s v="SWG103340"/>
        <s v="SWG103962"/>
        <s v="SWG104488"/>
        <s v="SWG104521"/>
        <s v="SWG100652"/>
        <s v="SWG100715"/>
        <s v="SWG100893"/>
        <s v="SWG101393"/>
        <s v="SWG101894"/>
        <s v="SWG101999"/>
        <s v="SWG102186"/>
        <s v="SWG102704"/>
        <s v="SWG103235"/>
        <s v="SWG103871"/>
        <s v="SWG104068"/>
        <s v="SWG104510"/>
        <s v="SWG104639"/>
        <s v="SWG100380"/>
        <s v="SWG100777"/>
        <s v="SWG101163"/>
        <s v="SWG101171"/>
        <s v="SWG101252"/>
        <s v="SWG101353"/>
        <s v="SWG101556"/>
        <s v="SWG101988"/>
        <s v="SWG102770"/>
        <s v="SWG102820"/>
        <s v="SWG102873"/>
        <s v="SWG103084"/>
        <s v="SWG103373"/>
        <s v="SWG103642"/>
        <s v="SWG103782"/>
        <s v="SWG103838"/>
        <s v="SWG104118"/>
        <s v="SWG104124"/>
        <s v="SWG104194"/>
        <s v="SWG104251"/>
        <s v="SWG104546"/>
        <s v="SWG104672"/>
        <s v="SWG104746"/>
        <s v="SWG104961"/>
        <s v="SWG100024"/>
        <s v="SWG100401"/>
        <s v="SWG100533"/>
        <s v="SWG101654"/>
        <s v="SWG101862"/>
        <s v="SWG102482"/>
        <s v="SWG102526"/>
        <s v="SWG102555"/>
        <s v="SWG102693"/>
        <s v="SWG102752"/>
        <s v="SWG102875"/>
        <s v="SWG103049"/>
        <s v="SWG104140"/>
        <s v="SWG104224"/>
        <s v="SWG104420"/>
        <s v="SWG104530"/>
        <s v="SWG104617"/>
        <s v="SWG104714"/>
        <s v="SWG104718"/>
        <s v="SWG100190"/>
        <s v="SWG100734"/>
        <s v="SWG100939"/>
        <s v="SWG101466"/>
        <s v="SWG102606"/>
        <s v="SWG103414"/>
        <s v="SWG104055"/>
        <s v="SWG104231"/>
        <s v="SWG104361"/>
        <s v="SWG104871"/>
        <s v="SWG100049"/>
        <s v="SWG100379"/>
        <s v="SWG100694"/>
        <s v="SWG101039"/>
        <s v="SWG101140"/>
        <s v="SWG101609"/>
        <s v="SWG101773"/>
        <s v="SWG101953"/>
        <s v="SWG102113"/>
        <s v="SWG102279"/>
        <s v="SWG102365"/>
        <s v="SWG102422"/>
        <s v="SWG102826"/>
        <s v="SWG102977"/>
        <s v="SWG103714"/>
        <s v="SWG104798"/>
        <s v="SWG100322"/>
        <s v="SWG100646"/>
        <s v="SWG100660"/>
        <s v="SWG100845"/>
        <s v="SWG101841"/>
        <s v="SWG103134"/>
        <s v="SWG104129"/>
        <s v="SWG104535"/>
        <s v="SWG104605"/>
        <s v="SWG104708"/>
        <s v="SWG100183"/>
        <s v="SWG100196"/>
        <s v="SWG100440"/>
        <s v="SWG100951"/>
        <s v="SWG101022"/>
        <s v="SWG101219"/>
        <s v="SWG101434"/>
        <s v="SWG101506"/>
        <s v="SWG101617"/>
        <s v="SWG101854"/>
        <s v="SWG101856"/>
        <s v="SWG101952"/>
        <s v="SWG103250"/>
        <s v="SWG104116"/>
        <s v="SWG104277"/>
        <s v="SWG104311"/>
        <s v="SWG104419"/>
        <s v="SWG104716"/>
        <s v="SWG104763"/>
        <s v="SWG104943"/>
        <s v="SWG100433"/>
        <s v="SWG100868"/>
        <s v="SWG101012"/>
        <s v="SWG101165"/>
        <s v="SWG101236"/>
        <s v="SWG101535"/>
        <s v="SWG101687"/>
        <s v="SWG101785"/>
        <s v="SWG102746"/>
        <s v="SWG102764"/>
        <s v="SWG102929"/>
        <s v="SWG104298"/>
        <s v="SWG104433"/>
        <s v="SWG104516"/>
        <s v="SWG100040"/>
        <s v="SWG100937"/>
        <s v="SWG100994"/>
        <s v="SWG101030"/>
        <s v="SWG101032"/>
        <s v="SWG101751"/>
        <s v="SWG101796"/>
        <s v="SWG102246"/>
        <s v="SWG102566"/>
        <s v="SWG102680"/>
        <s v="SWG102806"/>
        <s v="SWG103138"/>
        <s v="SWG103554"/>
        <s v="SWG103692"/>
        <s v="SWG103953"/>
        <s v="SWG104240"/>
        <s v="SWG104604"/>
        <s v="SWG104690"/>
        <s v="SWG100384"/>
        <s v="SWG100619"/>
        <s v="SWG101011"/>
        <s v="SWG101251"/>
        <s v="SWG102334"/>
        <s v="SWG102400"/>
        <s v="SWG103339"/>
        <s v="SWG103382"/>
        <s v="SWG103397"/>
        <s v="SWG103635"/>
        <s v="SWG103814"/>
        <s v="SWG103893"/>
        <s v="SWG103983"/>
        <s v="SWG104179"/>
        <s v="SWG104437"/>
        <s v="SWG104640"/>
        <s v="SWG104896"/>
        <s v="SWG100390"/>
        <s v="SWG100965"/>
        <s v="SWG101089"/>
        <s v="SWG103620"/>
        <s v="SWG104005"/>
        <s v="SWG104307"/>
        <s v="SWG104339"/>
        <s v="SWG104676"/>
        <s v="SWG104924"/>
        <s v="SWG104927"/>
        <s v="SWG100350"/>
        <s v="SWG100357"/>
        <s v="SWG100511"/>
        <s v="SWG101254"/>
        <s v="SWG101589"/>
        <s v="SWG101621"/>
        <s v="SWG102251"/>
        <s v="SWG102356"/>
        <s v="SWG103540"/>
        <s v="SWG103551"/>
        <s v="SWG104028"/>
        <s v="SWG104105"/>
        <s v="SWG104342"/>
        <s v="SWG104685"/>
        <s v="SWG100221"/>
        <s v="SWG100983"/>
        <s v="SWG101109"/>
        <s v="SWG101143"/>
        <s v="SWG101521"/>
        <s v="SWG101696"/>
        <s v="SWG102092"/>
        <s v="SWG102156"/>
        <s v="SWG102579"/>
        <s v="SWG103177"/>
        <s v="SWG103300"/>
        <s v="SWG103456"/>
        <s v="SWG104046"/>
        <s v="SWG104094"/>
        <s v="SWG104171"/>
        <s v="SWG104485"/>
        <s v="SWG100228"/>
        <s v="SWG100486"/>
        <s v="SWG100495"/>
        <s v="SWG101950"/>
        <s v="SWG102016"/>
        <s v="SWG102787"/>
        <s v="SWG103016"/>
        <s v="SWG103055"/>
        <s v="SWG103171"/>
        <s v="SWG103393"/>
        <s v="SWG103401"/>
        <s v="SWG103541"/>
        <s v="SWG103691"/>
        <s v="SWG104310"/>
        <s v="SWG104613"/>
        <s v="SWG100237"/>
        <s v="SWG100407"/>
        <s v="SWG100847"/>
        <s v="SWG100981"/>
        <s v="SWG101336"/>
        <s v="SWG101683"/>
        <s v="SWG101960"/>
        <s v="SWG102142"/>
        <s v="SWG102294"/>
        <s v="SWG102822"/>
        <s v="SWG103771"/>
        <s v="SWG104122"/>
        <s v="SWG104350"/>
        <s v="SWG104782"/>
        <s v="SWG100096"/>
        <s v="SWG100153"/>
        <s v="SWG100622"/>
        <s v="SWG101213"/>
        <s v="SWG102889"/>
        <s v="SWG103125"/>
        <s v="SWG103572"/>
        <s v="SWG104026"/>
        <s v="SWG104077"/>
        <s v="SWG104898"/>
        <s v="SWG100112"/>
        <s v="SWG101034"/>
        <s v="SWG101054"/>
        <s v="SWG101146"/>
        <s v="SWG101256"/>
        <s v="SWG101465"/>
        <s v="SWG101604"/>
        <s v="SWG101851"/>
        <s v="SWG102066"/>
        <s v="SWG102127"/>
        <s v="SWG103105"/>
        <s v="SWG103530"/>
        <s v="SWG103536"/>
        <s v="SWG104252"/>
        <s v="SWG104260"/>
        <s v="SWG100045"/>
        <s v="SWG101014"/>
        <s v="SWG101583"/>
        <s v="SWG102442"/>
        <s v="SWG102576"/>
        <s v="SWG102850"/>
        <s v="SWG103529"/>
        <s v="SWG103755"/>
        <s v="SWG100514"/>
        <s v="SWG100682"/>
        <s v="SWG100810"/>
        <s v="SWG101093"/>
        <s v="SWG101124"/>
        <s v="SWG101278"/>
        <s v="SWG101429"/>
        <s v="SWG101553"/>
        <s v="SWG102122"/>
        <s v="SWG102907"/>
        <s v="SWG102915"/>
        <s v="SWG104387"/>
        <s v="SWG104594"/>
        <s v="SWG100010"/>
        <s v="SWG100169"/>
        <s v="SWG100597"/>
        <s v="SWG100950"/>
        <s v="SWG102102"/>
        <s v="SWG102355"/>
        <s v="SWG103318"/>
        <s v="SWG103849"/>
        <s v="SWG103873"/>
        <s v="SWG103939"/>
        <s v="SWG104266"/>
        <s v="SWG104422"/>
        <s v="SWG104696"/>
        <s v="SWG104813"/>
        <s v="SWG101110"/>
        <s v="SWG101595"/>
        <s v="SWG101904"/>
        <s v="SWG101979"/>
        <s v="SWG103184"/>
        <s v="SWG103279"/>
        <s v="SWG103309"/>
        <s v="SWG103956"/>
        <s v="SWG104135"/>
        <s v="SWG104737"/>
        <s v="SWG100999"/>
        <s v="SWG101540"/>
        <s v="SWG102309"/>
        <s v="SWG102544"/>
        <s v="SWG103091"/>
        <s v="SWG103271"/>
        <s v="SWG103940"/>
        <s v="SWG104677"/>
        <s v="SWG101024"/>
        <s v="SWG101947"/>
        <s v="SWG102004"/>
        <s v="SWG102161"/>
        <s v="SWG102419"/>
        <s v="SWG102607"/>
        <s v="SWG103110"/>
        <s v="SWG103146"/>
        <s v="SWG104272"/>
        <s v="SWG100795"/>
        <s v="SWG100800"/>
        <s v="SWG100969"/>
        <s v="SWG100975"/>
        <s v="SWG101460"/>
        <s v="SWG101689"/>
        <s v="SWG101925"/>
        <s v="SWG103365"/>
        <s v="SWG103659"/>
        <s v="SWG104467"/>
        <s v="SWG104669"/>
        <s v="SWG104679"/>
        <s v="SWG100499"/>
        <s v="SWG100826"/>
        <s v="SWG101632"/>
        <s v="SWG102042"/>
        <s v="SWG102147"/>
        <s v="SWG102380"/>
        <s v="SWG102402"/>
        <s v="SWG102734"/>
        <s v="SWG102843"/>
        <s v="SWG102980"/>
        <s v="SWG103975"/>
        <s v="SWG104237"/>
        <s v="SWG104532"/>
        <s v="SWG104643"/>
        <s v="SWG104755"/>
        <s v="SWG100525"/>
        <s v="SWG100871"/>
        <s v="SWG101202"/>
        <s v="SWG101401"/>
        <s v="SWG101737"/>
        <s v="SWG102571"/>
        <s v="SWG102798"/>
        <s v="SWG103532"/>
        <s v="SWG103533"/>
        <s v="SWG103646"/>
        <s v="SWG103798"/>
        <s v="SWG104206"/>
        <s v="SWG104215"/>
        <s v="SWG100084"/>
        <s v="SWG100250"/>
        <s v="SWG100291"/>
        <s v="SWG100793"/>
        <s v="SWG101573"/>
        <s v="SWG101797"/>
        <s v="SWG102489"/>
        <s v="SWG102856"/>
        <s v="SWG103048"/>
        <s v="SWG103298"/>
        <s v="SWG103466"/>
        <s v="SWG103670"/>
        <s v="SWG103703"/>
        <s v="SWG104297"/>
        <s v="SWG104424"/>
        <s v="SWG104428"/>
        <s v="SWG104452"/>
        <s v="SWG100576"/>
        <s v="SWG100616"/>
        <s v="SWG101045"/>
        <s v="SWG101437"/>
        <s v="SWG102100"/>
        <s v="SWG103887"/>
        <s v="SWG104221"/>
        <s v="SWG104232"/>
        <s v="SWG104234"/>
        <s v="SWG104649"/>
        <s v="SWG104686"/>
        <s v="SWG104851"/>
        <s v="SWG104895"/>
        <s v="SWG100055"/>
        <s v="SWG100167"/>
        <s v="SWG100284"/>
        <s v="SWG100503"/>
        <s v="SWG100812"/>
        <s v="SWG101515"/>
        <s v="SWG101781"/>
        <s v="SWG102037"/>
        <s v="SWG103234"/>
        <s v="SWG103297"/>
        <s v="SWG103731"/>
        <s v="SWG103815"/>
        <s v="SWG104202"/>
        <s v="SWG104783"/>
        <s v="SWG104785"/>
        <s v="SWG104940"/>
        <s v="SWG100475"/>
        <s v="SWG100729"/>
        <s v="SWG100783"/>
        <s v="SWG101339"/>
        <s v="SWG102045"/>
        <s v="SWG102352"/>
        <s v="SWG102884"/>
        <s v="SWG102908"/>
        <s v="SWG103247"/>
        <s v="SWG103451"/>
        <s v="SWG103474"/>
        <s v="SWG104392"/>
        <s v="SWG104455"/>
        <s v="SWG104494"/>
        <s v="SWG104848"/>
        <s v="SWG100363"/>
        <s v="SWG100393"/>
        <s v="SWG100403"/>
        <s v="SWG100564"/>
        <s v="SWG100620"/>
        <s v="SWG100733"/>
        <s v="SWG101208"/>
        <s v="SWG101304"/>
        <s v="SWG101351"/>
        <s v="SWG102293"/>
        <s v="SWG102364"/>
        <s v="SWG102837"/>
        <s v="SWG103208"/>
        <s v="SWG103443"/>
        <s v="SWG103990"/>
        <s v="SWG104133"/>
        <s v="SWG100210"/>
        <s v="SWG102141"/>
        <s v="SWG102537"/>
        <s v="SWG103073"/>
        <s v="SWG103183"/>
        <s v="SWG103292"/>
        <s v="SWG103445"/>
        <s v="SWG103687"/>
        <s v="SWG103760"/>
        <s v="SWG104053"/>
        <s v="SWG104139"/>
        <s v="SWG104864"/>
        <s v="SWG104891"/>
        <s v="SWG100019"/>
        <s v="SWG100098"/>
        <s v="SWG101193"/>
        <s v="SWG101528"/>
        <s v="SWG101537"/>
        <s v="SWG101680"/>
        <s v="SWG101788"/>
        <s v="SWG102104"/>
        <s v="SWG102538"/>
        <s v="SWG102922"/>
        <s v="SWG103113"/>
        <s v="SWG103256"/>
        <s v="SWG103261"/>
        <s v="SWG103402"/>
        <s v="SWG104518"/>
        <s v="SWG104608"/>
        <s v="SWG100028"/>
        <s v="SWG100095"/>
        <s v="SWG101643"/>
        <s v="SWG101962"/>
        <s v="SWG102067"/>
        <s v="SWG102177"/>
        <s v="SWG102224"/>
        <s v="SWG102433"/>
        <s v="SWG102639"/>
        <s v="SWG102883"/>
        <s v="SWG104320"/>
        <s v="SWG104445"/>
        <s v="SWG104893"/>
        <s v="SWG100053"/>
        <s v="SWG100135"/>
        <s v="SWG100242"/>
        <s v="SWG100260"/>
        <s v="SWG100437"/>
        <s v="SWG100635"/>
        <s v="SWG100852"/>
        <s v="SWG101131"/>
        <s v="SWG101160"/>
        <s v="SWG103812"/>
        <s v="SWG104036"/>
        <s v="SWG104733"/>
        <s v="SWG104760"/>
        <s v="SWG100796"/>
        <s v="SWG101182"/>
        <s v="SWG101626"/>
        <s v="SWG102214"/>
        <s v="SWG102386"/>
        <s v="SWG102591"/>
        <s v="SWG103060"/>
        <s v="SWG103211"/>
        <s v="SWG103290"/>
        <s v="SWG104700"/>
        <s v="SWG104826"/>
        <s v="SWG100171"/>
        <s v="SWG100649"/>
        <s v="SWG100689"/>
        <s v="SWG100762"/>
        <s v="SWG101853"/>
        <s v="SWG102326"/>
        <s v="SWG102641"/>
        <s v="SWG103203"/>
        <s v="SWG104399"/>
        <s v="SWG104497"/>
        <s v="SWG104705"/>
        <s v="SWG100001"/>
        <s v="SWG100238"/>
        <s v="SWG100290"/>
        <s v="SWG100339"/>
        <s v="SWG100460"/>
        <s v="SWG101033"/>
        <s v="SWG101249"/>
        <s v="SWG101487"/>
        <s v="SWG101549"/>
        <s v="SWG101618"/>
        <s v="SWG101770"/>
        <s v="SWG102424"/>
        <s v="SWG102805"/>
        <s v="SWG103548"/>
        <s v="SWG103680"/>
        <s v="SWG104011"/>
        <s v="SWG104042"/>
        <s v="SWG100420"/>
        <s v="SWG100866"/>
        <s v="SWG100949"/>
        <s v="SWG100952"/>
        <s v="SWG101906"/>
        <s v="SWG101980"/>
        <s v="SWG102178"/>
        <s v="SWG102563"/>
        <s v="SWG102759"/>
        <s v="SWG102794"/>
        <s v="SWG103058"/>
        <s v="SWG103333"/>
        <s v="SWG104974"/>
        <s v="SWG100074"/>
        <s v="SWG100743"/>
        <s v="SWG102180"/>
        <s v="SWG102596"/>
        <s v="SWG103892"/>
        <s v="SWG103943"/>
        <s v="SWG104113"/>
        <s v="SWG104828"/>
        <s v="SWG100139"/>
        <s v="SWG100245"/>
        <s v="SWG100833"/>
        <s v="SWG101694"/>
        <s v="SWG101893"/>
        <s v="SWG102049"/>
        <s v="SWG102564"/>
        <s v="SWG103507"/>
        <s v="SWG103535"/>
        <s v="SWG103981"/>
        <s v="SWG104219"/>
        <s v="SWG104348"/>
        <s v="SWG104525"/>
        <s v="SWG101061"/>
        <s v="SWG101094"/>
        <s v="SWG101635"/>
        <s v="SWG101822"/>
        <s v="SWG101903"/>
        <s v="SWG102270"/>
        <s v="SWG102274"/>
        <s v="SWG102655"/>
        <s v="SWG103019"/>
        <s v="SWG103244"/>
        <s v="SWG104448"/>
        <s v="SWG100389"/>
        <s v="SWG101422"/>
        <s v="SWG101624"/>
        <s v="SWG101678"/>
        <s v="SWG101922"/>
        <s v="SWG102302"/>
        <s v="SWG102682"/>
        <s v="SWG102896"/>
        <s v="SWG103100"/>
        <s v="SWG103360"/>
        <s v="SWG103447"/>
        <s v="SWG103461"/>
        <s v="SWG103485"/>
        <s v="SWG103672"/>
        <s v="SWG103970"/>
        <s v="SWG104061"/>
        <s v="SWG104470"/>
        <s v="SWG104596"/>
        <s v="SWG100376"/>
        <s v="SWG100422"/>
        <s v="SWG100557"/>
        <s v="SWG100877"/>
        <s v="SWG101303"/>
        <s v="SWG101939"/>
        <s v="SWG102120"/>
        <s v="SWG103089"/>
        <s v="SWG103230"/>
        <s v="SWG103601"/>
        <s v="SWG103741"/>
        <s v="SWG103949"/>
        <s v="SWG104720"/>
        <s v="SWG104844"/>
        <s v="SWG100998"/>
        <s v="SWG101142"/>
        <s v="SWG101341"/>
        <s v="SWG101646"/>
        <s v="SWG101663"/>
        <s v="SWG101880"/>
        <s v="SWG102754"/>
        <s v="SWG102811"/>
        <s v="SWG103776"/>
        <s v="SWG103799"/>
        <s v="SWG104366"/>
        <s v="SWG104777"/>
        <s v="SWG104839"/>
        <s v="SWG100481"/>
        <s v="SWG100540"/>
        <s v="SWG100698"/>
        <s v="SWG101585"/>
        <s v="SWG101742"/>
        <s v="SWG103174"/>
        <s v="SWG103342"/>
        <s v="SWG103423"/>
        <s v="SWG103958"/>
        <s v="SWG104123"/>
        <s v="SWG104144"/>
        <s v="SWG104176"/>
        <s v="SWG104715"/>
        <s v="SWG104784"/>
        <s v="SWG100685"/>
        <s v="SWG100745"/>
        <s v="SWG102050"/>
        <s v="SWG103599"/>
        <s v="SWG103611"/>
        <s v="SWG103618"/>
        <s v="SWG103963"/>
        <s v="SWG104436"/>
        <s v="SWG104984"/>
        <s v="SWG100131"/>
        <s v="SWG100180"/>
        <s v="SWG101240"/>
        <s v="SWG101323"/>
        <s v="SWG101514"/>
        <s v="SWG101833"/>
        <s v="SWG101846"/>
        <s v="SWG102455"/>
        <s v="SWG102718"/>
        <s v="SWG102784"/>
        <s v="SWG103455"/>
        <s v="SWG103738"/>
        <s v="SWG104034"/>
        <s v="SWG100013"/>
        <s v="SWG100062"/>
        <s v="SWG100121"/>
        <s v="SWG100251"/>
        <s v="SWG100358"/>
        <s v="SWG100829"/>
        <s v="SWG101125"/>
        <s v="SWG101211"/>
        <s v="SWG101676"/>
        <s v="SWG101840"/>
        <s v="SWG102331"/>
        <s v="SWG102575"/>
        <s v="SWG102628"/>
        <s v="SWG103369"/>
        <s v="SWG103890"/>
        <s v="SWG104004"/>
        <s v="SWG104667"/>
        <s v="SWG104996"/>
        <s v="SWG100558"/>
        <s v="SWG100647"/>
        <s v="SWG101036"/>
        <s v="SWG101204"/>
        <s v="SWG101895"/>
        <s v="SWG101981"/>
        <s v="SWG102077"/>
        <s v="SWG102351"/>
        <s v="SWG103153"/>
        <s v="SWG103189"/>
        <s v="SWG103212"/>
        <s v="SWG103675"/>
        <s v="SWG103747"/>
        <s v="SWG103910"/>
        <s v="SWG104300"/>
        <s v="SWG101350"/>
        <s v="SWG101868"/>
        <s v="SWG102195"/>
        <s v="SWG102670"/>
        <s v="SWG102681"/>
        <s v="SWG103226"/>
        <s v="SWG103883"/>
        <s v="SWG103979"/>
        <s v="SWG104083"/>
        <s v="SWG104529"/>
        <s v="SWG100898"/>
        <s v="SWG101133"/>
        <s v="SWG101369"/>
        <s v="SWG101641"/>
        <s v="SWG101659"/>
        <s v="SWG102858"/>
        <s v="SWG102985"/>
        <s v="SWG103252"/>
        <s v="SWG103409"/>
        <s v="SWG104458"/>
        <s v="SWG104482"/>
        <s v="SWG104588"/>
        <s v="SWG100037"/>
        <s v="SWG100630"/>
        <s v="SWG101185"/>
        <s v="SWG101305"/>
        <s v="SWG101483"/>
        <s v="SWG101913"/>
        <s v="SWG102144"/>
        <s v="SWG102333"/>
        <s v="SWG102675"/>
        <s v="SWG102827"/>
        <s v="SWG102835"/>
        <s v="SWG103030"/>
        <s v="SWG103031"/>
        <s v="SWG103359"/>
        <s v="SWG103724"/>
        <s v="SWG104012"/>
        <s v="SWG104644"/>
        <s v="SWG104931"/>
        <s v="SWG104978"/>
        <s v="SWG100312"/>
        <s v="SWG100419"/>
        <s v="SWG100618"/>
        <s v="SWG100719"/>
        <s v="SWG100889"/>
        <s v="SWG100940"/>
        <s v="SWG101100"/>
        <s v="SWG101402"/>
        <s v="SWG101449"/>
        <s v="SWG101681"/>
        <s v="SWG102101"/>
        <s v="SWG102799"/>
        <s v="SWG102981"/>
        <s v="SWG103400"/>
        <s v="SWG103442"/>
        <s v="SWG103526"/>
        <s v="SWG104051"/>
        <s v="SWG104111"/>
        <s v="SWG104825"/>
      </sharedItems>
    </cacheField>
    <cacheField name="Order_Date" numFmtId="16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onth" numFmtId="0">
      <sharedItems count="12">
        <s v="Jan"/>
        <s v="Feb"/>
        <s v="Mar"/>
        <s v="Apr"/>
        <s v="May"/>
        <s v="Jun"/>
        <s v="Jul"/>
        <s v="Aug"/>
        <s v="Sep"/>
        <s v="Oct"/>
        <s v="Nov"/>
        <s v="Dec"/>
      </sharedItems>
    </cacheField>
    <cacheField name="Month_Number"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Day_Name" numFmtId="0">
      <sharedItems/>
    </cacheField>
    <cacheField name="City" numFmtId="0">
      <sharedItems count="10">
        <s v="Delhi"/>
        <s v="Bengaluru"/>
        <s v="Nashik"/>
        <s v="Pune"/>
        <s v="Nagpur"/>
        <s v="Mumbai"/>
        <s v="Aurangabad"/>
        <s v="Indore"/>
        <s v="Bhopal"/>
        <s v="Hyderabad"/>
      </sharedItems>
    </cacheField>
    <cacheField name="Restaurant" numFmtId="0">
      <sharedItems count="15">
        <s v="Behrouz Biryani"/>
        <s v="Barbeque Nation"/>
        <s v="Local Kitchen"/>
        <s v="Subway"/>
        <s v="The Good Bowl"/>
        <s v="Biryani Blues"/>
        <s v="Domino's Pizza"/>
        <s v="Cafe Coffee Day"/>
        <s v="Faasos"/>
        <s v="Burger Singh"/>
        <s v="Wow! Momo"/>
        <s v="Rolls Mania"/>
        <s v="Pizza Hut"/>
        <s v="McDonald's"/>
        <s v="KFC"/>
      </sharedItems>
    </cacheField>
    <cacheField name="Cuisine" numFmtId="0">
      <sharedItems count="10">
        <s v="Beverages"/>
        <s v="Burger"/>
        <s v="Biryani"/>
        <s v="Pizza"/>
        <s v="Desserts"/>
        <s v="Chinese"/>
        <s v="Momos"/>
        <s v="Fast Food"/>
        <s v="North Indian"/>
        <s v="South Indian"/>
      </sharedItems>
    </cacheField>
    <cacheField name="Item" numFmtId="0">
      <sharedItems/>
    </cacheField>
    <cacheField name="Category" numFmtId="0">
      <sharedItems count="4">
        <s v="Beverage"/>
        <s v="Main Course"/>
        <s v="Snacks"/>
        <s v="Dessert"/>
      </sharedItems>
    </cacheField>
    <cacheField name="Quantity" numFmtId="0">
      <sharedItems containsSemiMixedTypes="0" containsString="0" containsNumber="1" containsInteger="1" minValue="1" maxValue="3"/>
    </cacheField>
    <cacheField name="Item_Price" numFmtId="0">
      <sharedItems containsSemiMixedTypes="0" containsString="0" containsNumber="1" containsInteger="1" minValue="120" maxValue="900"/>
    </cacheField>
    <cacheField name="Discount" numFmtId="0">
      <sharedItems containsSemiMixedTypes="0" containsString="0" containsNumber="1" minValue="0" maxValue="224.75"/>
    </cacheField>
    <cacheField name="Delivery_Fee" numFmtId="0">
      <sharedItems containsSemiMixedTypes="0" containsString="0" containsNumber="1" containsInteger="1" minValue="0" maxValue="70"/>
    </cacheField>
    <cacheField name="Order_Value" numFmtId="0">
      <sharedItems containsSemiMixedTypes="0" containsString="0" containsNumber="1" containsInteger="1" minValue="120" maxValue="2700"/>
    </cacheField>
    <cacheField name="Final_Amount" numFmtId="0">
      <sharedItems containsSemiMixedTypes="0" containsString="0" containsNumber="1" minValue="108" maxValue="2720"/>
    </cacheField>
    <cacheField name="Payment_Method" numFmtId="0">
      <sharedItems count="5">
        <s v="Debit Card"/>
        <s v="UPI"/>
        <s v="Credit Card"/>
        <s v="Wallet"/>
        <s v="Cash on Delivery"/>
      </sharedItems>
    </cacheField>
    <cacheField name="Order_Status" numFmtId="0">
      <sharedItems count="4">
        <s v="Delivered"/>
        <s v="Cancelled"/>
        <s v="Out for Delivery"/>
        <s v="Preparing"/>
      </sharedItems>
    </cacheField>
    <cacheField name="Customer_Type" numFmtId="0">
      <sharedItems count="2">
        <s v="New"/>
        <s v="Returning"/>
      </sharedItems>
    </cacheField>
    <cacheField name="Delivery_Time_Min" numFmtId="0">
      <sharedItems containsSemiMixedTypes="0" containsString="0" containsNumber="1" containsInteger="1" minValue="18" maxValue="70"/>
    </cacheField>
    <cacheField name="Rating" numFmtId="0">
      <sharedItems containsString="0" containsBlank="1" containsNumber="1" minValue="1.7" maxValue="5"/>
    </cacheField>
  </cacheFields>
  <extLst>
    <ext xmlns:x14="http://schemas.microsoft.com/office/spreadsheetml/2009/9/main" uri="{725AE2AE-9491-48be-B2B4-4EB974FC3084}">
      <x14:pivotCacheDefinition pivotCacheId="484310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n v="1"/>
    <n v="1"/>
    <s v="Wednesday"/>
    <x v="0"/>
    <x v="0"/>
    <x v="0"/>
    <s v="Idli Sambar"/>
    <x v="0"/>
    <n v="2"/>
    <n v="496"/>
    <n v="49.6"/>
    <n v="20"/>
    <n v="992"/>
    <n v="962.4"/>
    <x v="0"/>
    <x v="0"/>
    <x v="0"/>
    <n v="27"/>
    <n v="4.9000000000000004"/>
  </r>
  <r>
    <x v="1"/>
    <x v="0"/>
    <x v="0"/>
    <n v="1"/>
    <n v="1"/>
    <s v="Wednesday"/>
    <x v="1"/>
    <x v="1"/>
    <x v="1"/>
    <s v="Veg Momos"/>
    <x v="1"/>
    <n v="1"/>
    <n v="348"/>
    <n v="52.2"/>
    <n v="20"/>
    <n v="348"/>
    <n v="315.8"/>
    <x v="1"/>
    <x v="0"/>
    <x v="1"/>
    <n v="20"/>
    <n v="4.0999999999999996"/>
  </r>
  <r>
    <x v="2"/>
    <x v="0"/>
    <x v="0"/>
    <n v="1"/>
    <n v="1"/>
    <s v="Wednesday"/>
    <x v="1"/>
    <x v="2"/>
    <x v="2"/>
    <s v="Veg Biryani"/>
    <x v="2"/>
    <n v="2"/>
    <n v="334"/>
    <n v="0"/>
    <n v="40"/>
    <n v="668"/>
    <n v="708"/>
    <x v="1"/>
    <x v="1"/>
    <x v="1"/>
    <n v="50"/>
    <m/>
  </r>
  <r>
    <x v="3"/>
    <x v="0"/>
    <x v="0"/>
    <n v="1"/>
    <n v="1"/>
    <s v="Wednesday"/>
    <x v="0"/>
    <x v="3"/>
    <x v="3"/>
    <s v="Paneer Butter Masala"/>
    <x v="1"/>
    <n v="2"/>
    <n v="309"/>
    <n v="61.8"/>
    <n v="0"/>
    <n v="618"/>
    <n v="556.20000000000005"/>
    <x v="1"/>
    <x v="1"/>
    <x v="0"/>
    <n v="30"/>
    <m/>
  </r>
  <r>
    <x v="4"/>
    <x v="0"/>
    <x v="0"/>
    <n v="1"/>
    <n v="1"/>
    <s v="Wednesday"/>
    <x v="1"/>
    <x v="4"/>
    <x v="2"/>
    <s v="Masala Dosa"/>
    <x v="1"/>
    <n v="2"/>
    <n v="224"/>
    <n v="22.4"/>
    <n v="0"/>
    <n v="448"/>
    <n v="425.6"/>
    <x v="0"/>
    <x v="0"/>
    <x v="1"/>
    <n v="35"/>
    <n v="4.4000000000000004"/>
  </r>
  <r>
    <x v="5"/>
    <x v="0"/>
    <x v="0"/>
    <n v="1"/>
    <n v="1"/>
    <s v="Wednesday"/>
    <x v="2"/>
    <x v="5"/>
    <x v="4"/>
    <s v="Paneer Butter Masala"/>
    <x v="3"/>
    <n v="1"/>
    <n v="331"/>
    <n v="33.1"/>
    <n v="60"/>
    <n v="331"/>
    <n v="357.9"/>
    <x v="0"/>
    <x v="0"/>
    <x v="1"/>
    <n v="67"/>
    <n v="4.5"/>
  </r>
  <r>
    <x v="6"/>
    <x v="0"/>
    <x v="0"/>
    <n v="1"/>
    <n v="1"/>
    <s v="Wednesday"/>
    <x v="0"/>
    <x v="6"/>
    <x v="5"/>
    <s v="Chicken Burger"/>
    <x v="2"/>
    <n v="1"/>
    <n v="200"/>
    <n v="20"/>
    <n v="40"/>
    <n v="200"/>
    <n v="220"/>
    <x v="0"/>
    <x v="1"/>
    <x v="0"/>
    <n v="35"/>
    <m/>
  </r>
  <r>
    <x v="7"/>
    <x v="0"/>
    <x v="0"/>
    <n v="1"/>
    <n v="1"/>
    <s v="Wednesday"/>
    <x v="3"/>
    <x v="7"/>
    <x v="0"/>
    <s v="Veg Burger"/>
    <x v="2"/>
    <n v="1"/>
    <n v="275"/>
    <n v="68.75"/>
    <n v="60"/>
    <n v="275"/>
    <n v="266.25"/>
    <x v="0"/>
    <x v="0"/>
    <x v="1"/>
    <n v="43"/>
    <n v="3.7"/>
  </r>
  <r>
    <x v="8"/>
    <x v="0"/>
    <x v="0"/>
    <n v="1"/>
    <n v="1"/>
    <s v="Wednesday"/>
    <x v="1"/>
    <x v="8"/>
    <x v="6"/>
    <s v="Cold Coffee"/>
    <x v="3"/>
    <n v="1"/>
    <n v="709"/>
    <n v="106.35"/>
    <n v="40"/>
    <n v="709"/>
    <n v="642.65"/>
    <x v="1"/>
    <x v="0"/>
    <x v="1"/>
    <n v="55"/>
    <n v="4.4000000000000004"/>
  </r>
  <r>
    <x v="9"/>
    <x v="0"/>
    <x v="0"/>
    <n v="1"/>
    <n v="1"/>
    <s v="Wednesday"/>
    <x v="1"/>
    <x v="8"/>
    <x v="1"/>
    <s v="Cold Coffee"/>
    <x v="1"/>
    <n v="1"/>
    <n v="512"/>
    <n v="0"/>
    <n v="30"/>
    <n v="512"/>
    <n v="542"/>
    <x v="1"/>
    <x v="0"/>
    <x v="1"/>
    <n v="40"/>
    <n v="3.9"/>
  </r>
  <r>
    <x v="10"/>
    <x v="0"/>
    <x v="0"/>
    <n v="1"/>
    <n v="1"/>
    <s v="Wednesday"/>
    <x v="4"/>
    <x v="4"/>
    <x v="5"/>
    <s v="Chicken Pizza"/>
    <x v="1"/>
    <n v="2"/>
    <n v="294"/>
    <n v="44.1"/>
    <n v="40"/>
    <n v="588"/>
    <n v="583.9"/>
    <x v="2"/>
    <x v="0"/>
    <x v="1"/>
    <n v="52"/>
    <n v="3.4"/>
  </r>
  <r>
    <x v="11"/>
    <x v="0"/>
    <x v="0"/>
    <n v="1"/>
    <n v="1"/>
    <s v="Wednesday"/>
    <x v="4"/>
    <x v="9"/>
    <x v="3"/>
    <s v="French Fries"/>
    <x v="1"/>
    <n v="1"/>
    <n v="670"/>
    <n v="134"/>
    <n v="20"/>
    <n v="670"/>
    <n v="556"/>
    <x v="2"/>
    <x v="0"/>
    <x v="1"/>
    <n v="64"/>
    <n v="4.7"/>
  </r>
  <r>
    <x v="12"/>
    <x v="0"/>
    <x v="0"/>
    <n v="1"/>
    <n v="1"/>
    <s v="Wednesday"/>
    <x v="5"/>
    <x v="10"/>
    <x v="0"/>
    <s v="Chocolate Cake"/>
    <x v="1"/>
    <n v="1"/>
    <n v="506"/>
    <n v="75.900000000000006"/>
    <n v="0"/>
    <n v="506"/>
    <n v="430.1"/>
    <x v="1"/>
    <x v="0"/>
    <x v="1"/>
    <n v="37"/>
    <n v="3.6"/>
  </r>
  <r>
    <x v="13"/>
    <x v="0"/>
    <x v="0"/>
    <n v="1"/>
    <n v="1"/>
    <s v="Wednesday"/>
    <x v="6"/>
    <x v="4"/>
    <x v="7"/>
    <s v="Veg Biryani"/>
    <x v="1"/>
    <n v="2"/>
    <n v="418"/>
    <n v="62.7"/>
    <n v="50"/>
    <n v="836"/>
    <n v="823.3"/>
    <x v="1"/>
    <x v="0"/>
    <x v="1"/>
    <n v="33"/>
    <n v="4.5"/>
  </r>
  <r>
    <x v="14"/>
    <x v="0"/>
    <x v="0"/>
    <n v="1"/>
    <n v="1"/>
    <s v="Wednesday"/>
    <x v="3"/>
    <x v="1"/>
    <x v="1"/>
    <s v="Idli Sambar"/>
    <x v="1"/>
    <n v="2"/>
    <n v="298"/>
    <n v="14.9"/>
    <n v="0"/>
    <n v="596"/>
    <n v="581.1"/>
    <x v="1"/>
    <x v="1"/>
    <x v="0"/>
    <n v="30"/>
    <m/>
  </r>
  <r>
    <x v="15"/>
    <x v="1"/>
    <x v="0"/>
    <n v="1"/>
    <n v="2"/>
    <s v="Thursday"/>
    <x v="6"/>
    <x v="6"/>
    <x v="6"/>
    <s v="Chicken Pizza"/>
    <x v="1"/>
    <n v="2"/>
    <n v="852"/>
    <n v="213"/>
    <n v="50"/>
    <n v="1704"/>
    <n v="1541"/>
    <x v="1"/>
    <x v="0"/>
    <x v="1"/>
    <n v="48"/>
    <n v="5"/>
  </r>
  <r>
    <x v="16"/>
    <x v="1"/>
    <x v="0"/>
    <n v="1"/>
    <n v="2"/>
    <s v="Thursday"/>
    <x v="7"/>
    <x v="6"/>
    <x v="2"/>
    <s v="Chocolate Cake"/>
    <x v="2"/>
    <n v="3"/>
    <n v="133"/>
    <n v="19.95"/>
    <n v="40"/>
    <n v="399"/>
    <n v="419.05"/>
    <x v="2"/>
    <x v="2"/>
    <x v="1"/>
    <n v="20"/>
    <m/>
  </r>
  <r>
    <x v="17"/>
    <x v="1"/>
    <x v="0"/>
    <n v="1"/>
    <n v="2"/>
    <s v="Thursday"/>
    <x v="4"/>
    <x v="9"/>
    <x v="2"/>
    <s v="Masala Dosa"/>
    <x v="1"/>
    <n v="2"/>
    <n v="771"/>
    <n v="154.19999999999999"/>
    <n v="20"/>
    <n v="1542"/>
    <n v="1407.8"/>
    <x v="2"/>
    <x v="0"/>
    <x v="1"/>
    <n v="41"/>
    <n v="5"/>
  </r>
  <r>
    <x v="18"/>
    <x v="1"/>
    <x v="0"/>
    <n v="1"/>
    <n v="2"/>
    <s v="Thursday"/>
    <x v="5"/>
    <x v="10"/>
    <x v="5"/>
    <s v="Fried Rice"/>
    <x v="2"/>
    <n v="1"/>
    <n v="513"/>
    <n v="102.6"/>
    <n v="0"/>
    <n v="513"/>
    <n v="410.4"/>
    <x v="0"/>
    <x v="0"/>
    <x v="1"/>
    <n v="22"/>
    <n v="5"/>
  </r>
  <r>
    <x v="19"/>
    <x v="1"/>
    <x v="0"/>
    <n v="1"/>
    <n v="2"/>
    <s v="Thursday"/>
    <x v="8"/>
    <x v="8"/>
    <x v="8"/>
    <s v="Cold Coffee"/>
    <x v="1"/>
    <n v="3"/>
    <n v="532"/>
    <n v="106.4"/>
    <n v="30"/>
    <n v="1596"/>
    <n v="1519.6"/>
    <x v="3"/>
    <x v="0"/>
    <x v="1"/>
    <n v="35"/>
    <n v="4.5"/>
  </r>
  <r>
    <x v="20"/>
    <x v="1"/>
    <x v="0"/>
    <n v="1"/>
    <n v="2"/>
    <s v="Thursday"/>
    <x v="2"/>
    <x v="6"/>
    <x v="2"/>
    <s v="Cold Coffee"/>
    <x v="1"/>
    <n v="3"/>
    <n v="303"/>
    <n v="30.3"/>
    <n v="20"/>
    <n v="909"/>
    <n v="898.7"/>
    <x v="2"/>
    <x v="0"/>
    <x v="1"/>
    <n v="41"/>
    <n v="4.3"/>
  </r>
  <r>
    <x v="21"/>
    <x v="1"/>
    <x v="0"/>
    <n v="1"/>
    <n v="2"/>
    <s v="Thursday"/>
    <x v="4"/>
    <x v="3"/>
    <x v="5"/>
    <s v="Veg Pizza"/>
    <x v="1"/>
    <n v="2"/>
    <n v="493"/>
    <n v="73.95"/>
    <n v="30"/>
    <n v="986"/>
    <n v="942.05"/>
    <x v="3"/>
    <x v="0"/>
    <x v="0"/>
    <n v="27"/>
    <n v="3.7"/>
  </r>
  <r>
    <x v="22"/>
    <x v="1"/>
    <x v="0"/>
    <n v="1"/>
    <n v="2"/>
    <s v="Thursday"/>
    <x v="1"/>
    <x v="0"/>
    <x v="9"/>
    <s v="French Fries"/>
    <x v="0"/>
    <n v="3"/>
    <n v="336"/>
    <n v="84"/>
    <n v="60"/>
    <n v="1008"/>
    <n v="984"/>
    <x v="1"/>
    <x v="0"/>
    <x v="1"/>
    <n v="30"/>
    <n v="4.7"/>
  </r>
  <r>
    <x v="23"/>
    <x v="1"/>
    <x v="0"/>
    <n v="1"/>
    <n v="2"/>
    <s v="Thursday"/>
    <x v="5"/>
    <x v="11"/>
    <x v="7"/>
    <s v="Veg Momos"/>
    <x v="1"/>
    <n v="1"/>
    <n v="221"/>
    <n v="44.2"/>
    <n v="40"/>
    <n v="221"/>
    <n v="216.8"/>
    <x v="3"/>
    <x v="0"/>
    <x v="1"/>
    <n v="23"/>
    <n v="3.5"/>
  </r>
  <r>
    <x v="24"/>
    <x v="1"/>
    <x v="0"/>
    <n v="1"/>
    <n v="2"/>
    <s v="Thursday"/>
    <x v="6"/>
    <x v="11"/>
    <x v="5"/>
    <s v="Masala Dosa"/>
    <x v="0"/>
    <n v="1"/>
    <n v="633"/>
    <n v="94.95"/>
    <n v="20"/>
    <n v="633"/>
    <n v="558.04999999999995"/>
    <x v="3"/>
    <x v="0"/>
    <x v="1"/>
    <n v="68"/>
    <n v="4.4000000000000004"/>
  </r>
  <r>
    <x v="25"/>
    <x v="1"/>
    <x v="0"/>
    <n v="1"/>
    <n v="2"/>
    <s v="Thursday"/>
    <x v="4"/>
    <x v="12"/>
    <x v="9"/>
    <s v="Idli Sambar"/>
    <x v="1"/>
    <n v="1"/>
    <n v="716"/>
    <n v="179"/>
    <n v="30"/>
    <n v="716"/>
    <n v="567"/>
    <x v="3"/>
    <x v="0"/>
    <x v="0"/>
    <n v="36"/>
    <n v="4.4000000000000004"/>
  </r>
  <r>
    <x v="26"/>
    <x v="1"/>
    <x v="0"/>
    <n v="1"/>
    <n v="2"/>
    <s v="Thursday"/>
    <x v="3"/>
    <x v="7"/>
    <x v="0"/>
    <s v="Cold Coffee"/>
    <x v="1"/>
    <n v="3"/>
    <n v="693"/>
    <n v="138.6"/>
    <n v="0"/>
    <n v="2079"/>
    <n v="1940.4"/>
    <x v="1"/>
    <x v="3"/>
    <x v="0"/>
    <n v="34"/>
    <m/>
  </r>
  <r>
    <x v="27"/>
    <x v="1"/>
    <x v="0"/>
    <n v="1"/>
    <n v="2"/>
    <s v="Thursday"/>
    <x v="4"/>
    <x v="7"/>
    <x v="3"/>
    <s v="Idli Sambar"/>
    <x v="1"/>
    <n v="1"/>
    <n v="180"/>
    <n v="27"/>
    <n v="40"/>
    <n v="180"/>
    <n v="193"/>
    <x v="4"/>
    <x v="0"/>
    <x v="0"/>
    <n v="30"/>
    <n v="3.5"/>
  </r>
  <r>
    <x v="28"/>
    <x v="2"/>
    <x v="0"/>
    <n v="1"/>
    <n v="3"/>
    <s v="Friday"/>
    <x v="9"/>
    <x v="4"/>
    <x v="0"/>
    <s v="Veg Biryani"/>
    <x v="1"/>
    <n v="3"/>
    <n v="521"/>
    <n v="78.150000000000006"/>
    <n v="0"/>
    <n v="1563"/>
    <n v="1484.85"/>
    <x v="2"/>
    <x v="0"/>
    <x v="0"/>
    <n v="33"/>
    <n v="5"/>
  </r>
  <r>
    <x v="29"/>
    <x v="2"/>
    <x v="0"/>
    <n v="1"/>
    <n v="3"/>
    <s v="Friday"/>
    <x v="3"/>
    <x v="5"/>
    <x v="3"/>
    <s v="Paneer Butter Masala"/>
    <x v="1"/>
    <n v="1"/>
    <n v="828"/>
    <n v="207"/>
    <n v="20"/>
    <n v="828"/>
    <n v="641"/>
    <x v="4"/>
    <x v="0"/>
    <x v="1"/>
    <n v="40"/>
    <n v="3.6"/>
  </r>
  <r>
    <x v="30"/>
    <x v="2"/>
    <x v="0"/>
    <n v="1"/>
    <n v="3"/>
    <s v="Friday"/>
    <x v="0"/>
    <x v="5"/>
    <x v="9"/>
    <s v="French Fries"/>
    <x v="1"/>
    <n v="1"/>
    <n v="337"/>
    <n v="67.400000000000006"/>
    <n v="30"/>
    <n v="337"/>
    <n v="299.60000000000002"/>
    <x v="4"/>
    <x v="2"/>
    <x v="1"/>
    <n v="70"/>
    <m/>
  </r>
  <r>
    <x v="31"/>
    <x v="2"/>
    <x v="0"/>
    <n v="1"/>
    <n v="3"/>
    <s v="Friday"/>
    <x v="5"/>
    <x v="11"/>
    <x v="5"/>
    <s v="Chicken Biryani"/>
    <x v="1"/>
    <n v="1"/>
    <n v="739"/>
    <n v="73.900000000000006"/>
    <n v="70"/>
    <n v="739"/>
    <n v="735.1"/>
    <x v="0"/>
    <x v="0"/>
    <x v="1"/>
    <n v="26"/>
    <n v="3.6"/>
  </r>
  <r>
    <x v="32"/>
    <x v="2"/>
    <x v="0"/>
    <n v="1"/>
    <n v="3"/>
    <s v="Friday"/>
    <x v="8"/>
    <x v="6"/>
    <x v="4"/>
    <s v="Chicken Burger"/>
    <x v="2"/>
    <n v="1"/>
    <n v="480"/>
    <n v="0"/>
    <n v="50"/>
    <n v="480"/>
    <n v="530"/>
    <x v="1"/>
    <x v="0"/>
    <x v="0"/>
    <n v="40"/>
    <n v="3.2"/>
  </r>
  <r>
    <x v="33"/>
    <x v="2"/>
    <x v="0"/>
    <n v="1"/>
    <n v="3"/>
    <s v="Friday"/>
    <x v="9"/>
    <x v="6"/>
    <x v="7"/>
    <s v="Fried Rice"/>
    <x v="1"/>
    <n v="1"/>
    <n v="318"/>
    <n v="31.8"/>
    <n v="40"/>
    <n v="318"/>
    <n v="326.2"/>
    <x v="1"/>
    <x v="0"/>
    <x v="1"/>
    <n v="26"/>
    <n v="3.9"/>
  </r>
  <r>
    <x v="34"/>
    <x v="2"/>
    <x v="0"/>
    <n v="1"/>
    <n v="3"/>
    <s v="Friday"/>
    <x v="1"/>
    <x v="8"/>
    <x v="1"/>
    <s v="Chicken Momos"/>
    <x v="1"/>
    <n v="1"/>
    <n v="814"/>
    <n v="122.1"/>
    <n v="20"/>
    <n v="814"/>
    <n v="711.9"/>
    <x v="1"/>
    <x v="0"/>
    <x v="0"/>
    <n v="24"/>
    <n v="4"/>
  </r>
  <r>
    <x v="35"/>
    <x v="2"/>
    <x v="0"/>
    <n v="1"/>
    <n v="3"/>
    <s v="Friday"/>
    <x v="3"/>
    <x v="5"/>
    <x v="5"/>
    <s v="Chicken Biryani"/>
    <x v="1"/>
    <n v="1"/>
    <n v="807"/>
    <n v="80.7"/>
    <n v="40"/>
    <n v="807"/>
    <n v="766.3"/>
    <x v="0"/>
    <x v="0"/>
    <x v="1"/>
    <n v="68"/>
    <n v="3.8"/>
  </r>
  <r>
    <x v="36"/>
    <x v="2"/>
    <x v="0"/>
    <n v="1"/>
    <n v="3"/>
    <s v="Friday"/>
    <x v="6"/>
    <x v="1"/>
    <x v="9"/>
    <s v="Veg Momos"/>
    <x v="3"/>
    <n v="2"/>
    <n v="580"/>
    <n v="29"/>
    <n v="30"/>
    <n v="1160"/>
    <n v="1161"/>
    <x v="3"/>
    <x v="0"/>
    <x v="1"/>
    <n v="69"/>
    <n v="4"/>
  </r>
  <r>
    <x v="37"/>
    <x v="2"/>
    <x v="0"/>
    <n v="1"/>
    <n v="3"/>
    <s v="Friday"/>
    <x v="0"/>
    <x v="2"/>
    <x v="2"/>
    <s v="Cold Coffee"/>
    <x v="1"/>
    <n v="1"/>
    <n v="147"/>
    <n v="14.7"/>
    <n v="30"/>
    <n v="147"/>
    <n v="162.30000000000001"/>
    <x v="2"/>
    <x v="0"/>
    <x v="0"/>
    <n v="44"/>
    <n v="4.5999999999999996"/>
  </r>
  <r>
    <x v="38"/>
    <x v="2"/>
    <x v="0"/>
    <n v="1"/>
    <n v="3"/>
    <s v="Friday"/>
    <x v="5"/>
    <x v="2"/>
    <x v="9"/>
    <s v="Veg Pizza"/>
    <x v="2"/>
    <n v="1"/>
    <n v="574"/>
    <n v="86.1"/>
    <n v="50"/>
    <n v="574"/>
    <n v="537.9"/>
    <x v="1"/>
    <x v="0"/>
    <x v="1"/>
    <n v="33"/>
    <n v="5"/>
  </r>
  <r>
    <x v="39"/>
    <x v="2"/>
    <x v="0"/>
    <n v="1"/>
    <n v="3"/>
    <s v="Friday"/>
    <x v="5"/>
    <x v="4"/>
    <x v="9"/>
    <s v="Fried Rice"/>
    <x v="1"/>
    <n v="1"/>
    <n v="369"/>
    <n v="0"/>
    <n v="70"/>
    <n v="369"/>
    <n v="439"/>
    <x v="2"/>
    <x v="0"/>
    <x v="0"/>
    <n v="51"/>
    <n v="5"/>
  </r>
  <r>
    <x v="40"/>
    <x v="2"/>
    <x v="0"/>
    <n v="1"/>
    <n v="3"/>
    <s v="Friday"/>
    <x v="4"/>
    <x v="9"/>
    <x v="2"/>
    <s v="Chicken Biryani"/>
    <x v="2"/>
    <n v="1"/>
    <n v="670"/>
    <n v="67"/>
    <n v="20"/>
    <n v="670"/>
    <n v="623"/>
    <x v="1"/>
    <x v="3"/>
    <x v="1"/>
    <n v="47"/>
    <m/>
  </r>
  <r>
    <x v="41"/>
    <x v="2"/>
    <x v="0"/>
    <n v="1"/>
    <n v="3"/>
    <s v="Friday"/>
    <x v="5"/>
    <x v="7"/>
    <x v="1"/>
    <s v="Chicken Burger"/>
    <x v="1"/>
    <n v="1"/>
    <n v="869"/>
    <n v="130.35"/>
    <n v="20"/>
    <n v="869"/>
    <n v="758.65"/>
    <x v="1"/>
    <x v="0"/>
    <x v="0"/>
    <n v="47"/>
    <n v="3.3"/>
  </r>
  <r>
    <x v="42"/>
    <x v="2"/>
    <x v="0"/>
    <n v="1"/>
    <n v="3"/>
    <s v="Friday"/>
    <x v="3"/>
    <x v="7"/>
    <x v="7"/>
    <s v="Masala Dosa"/>
    <x v="1"/>
    <n v="2"/>
    <n v="691"/>
    <n v="172.75"/>
    <n v="40"/>
    <n v="1382"/>
    <n v="1249.25"/>
    <x v="2"/>
    <x v="0"/>
    <x v="1"/>
    <n v="30"/>
    <n v="5"/>
  </r>
  <r>
    <x v="43"/>
    <x v="2"/>
    <x v="0"/>
    <n v="1"/>
    <n v="3"/>
    <s v="Friday"/>
    <x v="2"/>
    <x v="0"/>
    <x v="2"/>
    <s v="Idli Sambar"/>
    <x v="1"/>
    <n v="1"/>
    <n v="824"/>
    <n v="123.6"/>
    <n v="0"/>
    <n v="824"/>
    <n v="700.4"/>
    <x v="1"/>
    <x v="0"/>
    <x v="0"/>
    <n v="54"/>
    <n v="4"/>
  </r>
  <r>
    <x v="44"/>
    <x v="3"/>
    <x v="0"/>
    <n v="1"/>
    <n v="4"/>
    <s v="Saturday"/>
    <x v="0"/>
    <x v="13"/>
    <x v="9"/>
    <s v="Idli Sambar"/>
    <x v="1"/>
    <n v="3"/>
    <n v="453"/>
    <n v="45.3"/>
    <n v="30"/>
    <n v="1359"/>
    <n v="1343.7"/>
    <x v="1"/>
    <x v="0"/>
    <x v="1"/>
    <n v="35"/>
    <n v="3.8"/>
  </r>
  <r>
    <x v="45"/>
    <x v="3"/>
    <x v="0"/>
    <n v="1"/>
    <n v="4"/>
    <s v="Saturday"/>
    <x v="1"/>
    <x v="0"/>
    <x v="0"/>
    <s v="French Fries"/>
    <x v="1"/>
    <n v="2"/>
    <n v="538"/>
    <n v="53.8"/>
    <n v="50"/>
    <n v="1076"/>
    <n v="1072.2"/>
    <x v="0"/>
    <x v="0"/>
    <x v="0"/>
    <n v="26"/>
    <n v="3.7"/>
  </r>
  <r>
    <x v="46"/>
    <x v="3"/>
    <x v="0"/>
    <n v="1"/>
    <n v="4"/>
    <s v="Saturday"/>
    <x v="6"/>
    <x v="1"/>
    <x v="3"/>
    <s v="Idli Sambar"/>
    <x v="1"/>
    <n v="1"/>
    <n v="647"/>
    <n v="0"/>
    <n v="0"/>
    <n v="647"/>
    <n v="647"/>
    <x v="0"/>
    <x v="0"/>
    <x v="0"/>
    <n v="65"/>
    <n v="4.8"/>
  </r>
  <r>
    <x v="47"/>
    <x v="3"/>
    <x v="0"/>
    <n v="1"/>
    <n v="4"/>
    <s v="Saturday"/>
    <x v="5"/>
    <x v="14"/>
    <x v="8"/>
    <s v="Chicken Burger"/>
    <x v="1"/>
    <n v="2"/>
    <n v="215"/>
    <n v="43"/>
    <n v="30"/>
    <n v="430"/>
    <n v="417"/>
    <x v="1"/>
    <x v="3"/>
    <x v="0"/>
    <n v="58"/>
    <m/>
  </r>
  <r>
    <x v="48"/>
    <x v="3"/>
    <x v="0"/>
    <n v="1"/>
    <n v="4"/>
    <s v="Saturday"/>
    <x v="4"/>
    <x v="2"/>
    <x v="0"/>
    <s v="Masala Dosa"/>
    <x v="1"/>
    <n v="1"/>
    <n v="688"/>
    <n v="137.6"/>
    <n v="0"/>
    <n v="688"/>
    <n v="550.4"/>
    <x v="2"/>
    <x v="0"/>
    <x v="0"/>
    <n v="62"/>
    <n v="3.4"/>
  </r>
  <r>
    <x v="49"/>
    <x v="3"/>
    <x v="0"/>
    <n v="1"/>
    <n v="4"/>
    <s v="Saturday"/>
    <x v="1"/>
    <x v="7"/>
    <x v="6"/>
    <s v="Veg Biryani"/>
    <x v="1"/>
    <n v="2"/>
    <n v="134"/>
    <n v="13.4"/>
    <n v="20"/>
    <n v="268"/>
    <n v="274.60000000000002"/>
    <x v="1"/>
    <x v="2"/>
    <x v="0"/>
    <n v="69"/>
    <m/>
  </r>
  <r>
    <x v="50"/>
    <x v="3"/>
    <x v="0"/>
    <n v="1"/>
    <n v="4"/>
    <s v="Saturday"/>
    <x v="6"/>
    <x v="9"/>
    <x v="7"/>
    <s v="Masala Dosa"/>
    <x v="1"/>
    <n v="2"/>
    <n v="893"/>
    <n v="44.65"/>
    <n v="0"/>
    <n v="1786"/>
    <n v="1741.35"/>
    <x v="1"/>
    <x v="0"/>
    <x v="0"/>
    <n v="37"/>
    <n v="4.3"/>
  </r>
  <r>
    <x v="51"/>
    <x v="3"/>
    <x v="0"/>
    <n v="1"/>
    <n v="4"/>
    <s v="Saturday"/>
    <x v="3"/>
    <x v="1"/>
    <x v="1"/>
    <s v="Paneer Butter Masala"/>
    <x v="1"/>
    <n v="2"/>
    <n v="390"/>
    <n v="39"/>
    <n v="50"/>
    <n v="780"/>
    <n v="791"/>
    <x v="0"/>
    <x v="2"/>
    <x v="0"/>
    <n v="34"/>
    <m/>
  </r>
  <r>
    <x v="52"/>
    <x v="3"/>
    <x v="0"/>
    <n v="1"/>
    <n v="4"/>
    <s v="Saturday"/>
    <x v="3"/>
    <x v="9"/>
    <x v="3"/>
    <s v="Veg Biryani"/>
    <x v="2"/>
    <n v="1"/>
    <n v="164"/>
    <n v="8.1999999999999993"/>
    <n v="50"/>
    <n v="164"/>
    <n v="205.8"/>
    <x v="1"/>
    <x v="0"/>
    <x v="0"/>
    <n v="64"/>
    <n v="4.8"/>
  </r>
  <r>
    <x v="53"/>
    <x v="3"/>
    <x v="0"/>
    <n v="1"/>
    <n v="4"/>
    <s v="Saturday"/>
    <x v="9"/>
    <x v="7"/>
    <x v="3"/>
    <s v="Veg Burger"/>
    <x v="2"/>
    <n v="1"/>
    <n v="120"/>
    <n v="6"/>
    <n v="30"/>
    <n v="120"/>
    <n v="144"/>
    <x v="2"/>
    <x v="0"/>
    <x v="1"/>
    <n v="51"/>
    <n v="3.8"/>
  </r>
  <r>
    <x v="54"/>
    <x v="3"/>
    <x v="0"/>
    <n v="1"/>
    <n v="4"/>
    <s v="Saturday"/>
    <x v="4"/>
    <x v="8"/>
    <x v="2"/>
    <s v="Fried Rice"/>
    <x v="1"/>
    <n v="3"/>
    <n v="243"/>
    <n v="48.6"/>
    <n v="70"/>
    <n v="729"/>
    <n v="750.4"/>
    <x v="1"/>
    <x v="1"/>
    <x v="1"/>
    <n v="41"/>
    <m/>
  </r>
  <r>
    <x v="55"/>
    <x v="3"/>
    <x v="0"/>
    <n v="1"/>
    <n v="4"/>
    <s v="Saturday"/>
    <x v="4"/>
    <x v="7"/>
    <x v="5"/>
    <s v="Chicken Momos"/>
    <x v="0"/>
    <n v="1"/>
    <n v="438"/>
    <n v="65.7"/>
    <n v="40"/>
    <n v="438"/>
    <n v="412.3"/>
    <x v="0"/>
    <x v="3"/>
    <x v="0"/>
    <n v="18"/>
    <m/>
  </r>
  <r>
    <x v="56"/>
    <x v="4"/>
    <x v="0"/>
    <n v="1"/>
    <n v="5"/>
    <s v="Sunday"/>
    <x v="4"/>
    <x v="6"/>
    <x v="2"/>
    <s v="Fried Rice"/>
    <x v="1"/>
    <n v="1"/>
    <n v="643"/>
    <n v="64.3"/>
    <n v="20"/>
    <n v="643"/>
    <n v="598.70000000000005"/>
    <x v="4"/>
    <x v="0"/>
    <x v="0"/>
    <n v="67"/>
    <n v="5"/>
  </r>
  <r>
    <x v="57"/>
    <x v="4"/>
    <x v="0"/>
    <n v="1"/>
    <n v="5"/>
    <s v="Sunday"/>
    <x v="3"/>
    <x v="1"/>
    <x v="5"/>
    <s v="Idli Sambar"/>
    <x v="2"/>
    <n v="1"/>
    <n v="792"/>
    <n v="118.8"/>
    <n v="60"/>
    <n v="792"/>
    <n v="733.2"/>
    <x v="4"/>
    <x v="0"/>
    <x v="1"/>
    <n v="69"/>
    <n v="4"/>
  </r>
  <r>
    <x v="58"/>
    <x v="4"/>
    <x v="0"/>
    <n v="1"/>
    <n v="5"/>
    <s v="Sunday"/>
    <x v="5"/>
    <x v="3"/>
    <x v="7"/>
    <s v="Paneer Butter Masala"/>
    <x v="2"/>
    <n v="1"/>
    <n v="852"/>
    <n v="42.6"/>
    <n v="20"/>
    <n v="852"/>
    <n v="829.4"/>
    <x v="2"/>
    <x v="3"/>
    <x v="1"/>
    <n v="35"/>
    <m/>
  </r>
  <r>
    <x v="59"/>
    <x v="4"/>
    <x v="0"/>
    <n v="1"/>
    <n v="5"/>
    <s v="Sunday"/>
    <x v="3"/>
    <x v="11"/>
    <x v="3"/>
    <s v="Veg Momos"/>
    <x v="2"/>
    <n v="1"/>
    <n v="885"/>
    <n v="177"/>
    <n v="0"/>
    <n v="885"/>
    <n v="708"/>
    <x v="4"/>
    <x v="0"/>
    <x v="1"/>
    <n v="42"/>
    <n v="5"/>
  </r>
  <r>
    <x v="60"/>
    <x v="4"/>
    <x v="0"/>
    <n v="1"/>
    <n v="5"/>
    <s v="Sunday"/>
    <x v="5"/>
    <x v="14"/>
    <x v="1"/>
    <s v="Veg Momos"/>
    <x v="1"/>
    <n v="2"/>
    <n v="164"/>
    <n v="16.399999999999999"/>
    <n v="50"/>
    <n v="328"/>
    <n v="361.6"/>
    <x v="2"/>
    <x v="0"/>
    <x v="0"/>
    <n v="62"/>
    <n v="4.9000000000000004"/>
  </r>
  <r>
    <x v="61"/>
    <x v="4"/>
    <x v="0"/>
    <n v="1"/>
    <n v="5"/>
    <s v="Sunday"/>
    <x v="8"/>
    <x v="2"/>
    <x v="5"/>
    <s v="Fried Rice"/>
    <x v="1"/>
    <n v="3"/>
    <n v="444"/>
    <n v="111"/>
    <n v="70"/>
    <n v="1332"/>
    <n v="1291"/>
    <x v="3"/>
    <x v="0"/>
    <x v="1"/>
    <n v="33"/>
    <n v="3.3"/>
  </r>
  <r>
    <x v="62"/>
    <x v="4"/>
    <x v="0"/>
    <n v="1"/>
    <n v="5"/>
    <s v="Sunday"/>
    <x v="1"/>
    <x v="2"/>
    <x v="1"/>
    <s v="Idli Sambar"/>
    <x v="1"/>
    <n v="3"/>
    <n v="331"/>
    <n v="16.55"/>
    <n v="40"/>
    <n v="993"/>
    <n v="1016.45"/>
    <x v="1"/>
    <x v="0"/>
    <x v="1"/>
    <n v="49"/>
    <n v="4.0999999999999996"/>
  </r>
  <r>
    <x v="63"/>
    <x v="4"/>
    <x v="0"/>
    <n v="1"/>
    <n v="5"/>
    <s v="Sunday"/>
    <x v="2"/>
    <x v="13"/>
    <x v="1"/>
    <s v="Chicken Pizza"/>
    <x v="1"/>
    <n v="1"/>
    <n v="398"/>
    <n v="39.799999999999997"/>
    <n v="20"/>
    <n v="398"/>
    <n v="378.2"/>
    <x v="2"/>
    <x v="2"/>
    <x v="0"/>
    <n v="63"/>
    <m/>
  </r>
  <r>
    <x v="64"/>
    <x v="4"/>
    <x v="0"/>
    <n v="1"/>
    <n v="5"/>
    <s v="Sunday"/>
    <x v="4"/>
    <x v="11"/>
    <x v="3"/>
    <s v="Chicken Pizza"/>
    <x v="1"/>
    <n v="2"/>
    <n v="847"/>
    <n v="84.7"/>
    <n v="30"/>
    <n v="1694"/>
    <n v="1639.3"/>
    <x v="4"/>
    <x v="0"/>
    <x v="1"/>
    <n v="46"/>
    <n v="3.8"/>
  </r>
  <r>
    <x v="65"/>
    <x v="4"/>
    <x v="0"/>
    <n v="1"/>
    <n v="5"/>
    <s v="Sunday"/>
    <x v="4"/>
    <x v="0"/>
    <x v="3"/>
    <s v="Cold Coffee"/>
    <x v="1"/>
    <n v="2"/>
    <n v="437"/>
    <n v="21.85"/>
    <n v="40"/>
    <n v="874"/>
    <n v="892.15"/>
    <x v="4"/>
    <x v="0"/>
    <x v="1"/>
    <n v="37"/>
    <n v="4.2"/>
  </r>
  <r>
    <x v="66"/>
    <x v="4"/>
    <x v="0"/>
    <n v="1"/>
    <n v="5"/>
    <s v="Sunday"/>
    <x v="9"/>
    <x v="9"/>
    <x v="7"/>
    <s v="Chicken Momos"/>
    <x v="1"/>
    <n v="3"/>
    <n v="698"/>
    <n v="139.6"/>
    <n v="30"/>
    <n v="2094"/>
    <n v="1984.4"/>
    <x v="4"/>
    <x v="0"/>
    <x v="0"/>
    <n v="43"/>
    <n v="3.6"/>
  </r>
  <r>
    <x v="67"/>
    <x v="4"/>
    <x v="0"/>
    <n v="1"/>
    <n v="5"/>
    <s v="Sunday"/>
    <x v="0"/>
    <x v="10"/>
    <x v="9"/>
    <s v="French Fries"/>
    <x v="1"/>
    <n v="1"/>
    <n v="749"/>
    <n v="74.900000000000006"/>
    <n v="40"/>
    <n v="749"/>
    <n v="714.1"/>
    <x v="0"/>
    <x v="2"/>
    <x v="0"/>
    <n v="25"/>
    <m/>
  </r>
  <r>
    <x v="68"/>
    <x v="4"/>
    <x v="0"/>
    <n v="1"/>
    <n v="5"/>
    <s v="Sunday"/>
    <x v="4"/>
    <x v="0"/>
    <x v="6"/>
    <s v="Veg Burger"/>
    <x v="1"/>
    <n v="1"/>
    <n v="696"/>
    <n v="0"/>
    <n v="30"/>
    <n v="696"/>
    <n v="726"/>
    <x v="1"/>
    <x v="0"/>
    <x v="1"/>
    <n v="39"/>
    <n v="2.9"/>
  </r>
  <r>
    <x v="69"/>
    <x v="4"/>
    <x v="0"/>
    <n v="1"/>
    <n v="5"/>
    <s v="Sunday"/>
    <x v="0"/>
    <x v="3"/>
    <x v="7"/>
    <s v="Veg Biryani"/>
    <x v="2"/>
    <n v="1"/>
    <n v="176"/>
    <n v="44"/>
    <n v="0"/>
    <n v="176"/>
    <n v="132"/>
    <x v="2"/>
    <x v="0"/>
    <x v="0"/>
    <n v="40"/>
    <n v="3.6"/>
  </r>
  <r>
    <x v="70"/>
    <x v="4"/>
    <x v="0"/>
    <n v="1"/>
    <n v="5"/>
    <s v="Sunday"/>
    <x v="5"/>
    <x v="10"/>
    <x v="5"/>
    <s v="Veg Burger"/>
    <x v="1"/>
    <n v="2"/>
    <n v="691"/>
    <n v="138.19999999999999"/>
    <n v="40"/>
    <n v="1382"/>
    <n v="1283.8"/>
    <x v="1"/>
    <x v="0"/>
    <x v="1"/>
    <n v="50"/>
    <n v="3.4"/>
  </r>
  <r>
    <x v="71"/>
    <x v="4"/>
    <x v="0"/>
    <n v="1"/>
    <n v="5"/>
    <s v="Sunday"/>
    <x v="4"/>
    <x v="9"/>
    <x v="2"/>
    <s v="Chicken Pizza"/>
    <x v="1"/>
    <n v="1"/>
    <n v="806"/>
    <n v="120.9"/>
    <n v="20"/>
    <n v="806"/>
    <n v="705.1"/>
    <x v="4"/>
    <x v="3"/>
    <x v="0"/>
    <n v="42"/>
    <m/>
  </r>
  <r>
    <x v="72"/>
    <x v="4"/>
    <x v="0"/>
    <n v="1"/>
    <n v="5"/>
    <s v="Sunday"/>
    <x v="4"/>
    <x v="9"/>
    <x v="6"/>
    <s v="Chicken Momos"/>
    <x v="1"/>
    <n v="1"/>
    <n v="806"/>
    <n v="161.19999999999999"/>
    <n v="30"/>
    <n v="806"/>
    <n v="674.8"/>
    <x v="2"/>
    <x v="0"/>
    <x v="1"/>
    <n v="48"/>
    <n v="2.7"/>
  </r>
  <r>
    <x v="73"/>
    <x v="4"/>
    <x v="0"/>
    <n v="1"/>
    <n v="5"/>
    <s v="Sunday"/>
    <x v="1"/>
    <x v="7"/>
    <x v="5"/>
    <s v="Veg Burger"/>
    <x v="1"/>
    <n v="2"/>
    <n v="870"/>
    <n v="87"/>
    <n v="30"/>
    <n v="1740"/>
    <n v="1683"/>
    <x v="1"/>
    <x v="0"/>
    <x v="1"/>
    <n v="28"/>
    <n v="4.7"/>
  </r>
  <r>
    <x v="74"/>
    <x v="5"/>
    <x v="0"/>
    <n v="1"/>
    <n v="6"/>
    <s v="Monday"/>
    <x v="1"/>
    <x v="6"/>
    <x v="0"/>
    <s v="Chocolate Cake"/>
    <x v="2"/>
    <n v="1"/>
    <n v="325"/>
    <n v="32.5"/>
    <n v="0"/>
    <n v="325"/>
    <n v="292.5"/>
    <x v="2"/>
    <x v="0"/>
    <x v="1"/>
    <n v="19"/>
    <n v="4.3"/>
  </r>
  <r>
    <x v="75"/>
    <x v="5"/>
    <x v="0"/>
    <n v="1"/>
    <n v="6"/>
    <s v="Monday"/>
    <x v="1"/>
    <x v="13"/>
    <x v="9"/>
    <s v="Fried Rice"/>
    <x v="1"/>
    <n v="2"/>
    <n v="795"/>
    <n v="119.25"/>
    <n v="0"/>
    <n v="1590"/>
    <n v="1470.75"/>
    <x v="1"/>
    <x v="0"/>
    <x v="0"/>
    <n v="58"/>
    <n v="5"/>
  </r>
  <r>
    <x v="76"/>
    <x v="5"/>
    <x v="0"/>
    <n v="1"/>
    <n v="6"/>
    <s v="Monday"/>
    <x v="7"/>
    <x v="4"/>
    <x v="8"/>
    <s v="Chicken Burger"/>
    <x v="1"/>
    <n v="2"/>
    <n v="832"/>
    <n v="83.2"/>
    <n v="40"/>
    <n v="1664"/>
    <n v="1620.8"/>
    <x v="0"/>
    <x v="0"/>
    <x v="1"/>
    <n v="43"/>
    <n v="3.7"/>
  </r>
  <r>
    <x v="77"/>
    <x v="5"/>
    <x v="0"/>
    <n v="1"/>
    <n v="6"/>
    <s v="Monday"/>
    <x v="5"/>
    <x v="8"/>
    <x v="7"/>
    <s v="Pasta"/>
    <x v="1"/>
    <n v="1"/>
    <n v="641"/>
    <n v="96.15"/>
    <n v="0"/>
    <n v="641"/>
    <n v="544.85"/>
    <x v="0"/>
    <x v="0"/>
    <x v="1"/>
    <n v="67"/>
    <n v="3.7"/>
  </r>
  <r>
    <x v="78"/>
    <x v="5"/>
    <x v="0"/>
    <n v="1"/>
    <n v="6"/>
    <s v="Monday"/>
    <x v="5"/>
    <x v="7"/>
    <x v="6"/>
    <s v="Fried Rice"/>
    <x v="1"/>
    <n v="1"/>
    <n v="403"/>
    <n v="80.599999999999994"/>
    <n v="0"/>
    <n v="403"/>
    <n v="322.39999999999998"/>
    <x v="1"/>
    <x v="0"/>
    <x v="1"/>
    <n v="25"/>
    <n v="5"/>
  </r>
  <r>
    <x v="79"/>
    <x v="5"/>
    <x v="0"/>
    <n v="1"/>
    <n v="6"/>
    <s v="Monday"/>
    <x v="4"/>
    <x v="4"/>
    <x v="0"/>
    <s v="Idli Sambar"/>
    <x v="2"/>
    <n v="1"/>
    <n v="553"/>
    <n v="82.95"/>
    <n v="0"/>
    <n v="553"/>
    <n v="470.05"/>
    <x v="1"/>
    <x v="1"/>
    <x v="1"/>
    <n v="57"/>
    <m/>
  </r>
  <r>
    <x v="80"/>
    <x v="5"/>
    <x v="0"/>
    <n v="1"/>
    <n v="6"/>
    <s v="Monday"/>
    <x v="5"/>
    <x v="1"/>
    <x v="1"/>
    <s v="Fried Rice"/>
    <x v="1"/>
    <n v="2"/>
    <n v="687"/>
    <n v="68.7"/>
    <n v="0"/>
    <n v="1374"/>
    <n v="1305.3"/>
    <x v="4"/>
    <x v="0"/>
    <x v="1"/>
    <n v="54"/>
    <n v="4.4000000000000004"/>
  </r>
  <r>
    <x v="81"/>
    <x v="5"/>
    <x v="0"/>
    <n v="1"/>
    <n v="6"/>
    <s v="Monday"/>
    <x v="5"/>
    <x v="12"/>
    <x v="9"/>
    <s v="Veg Biryani"/>
    <x v="1"/>
    <n v="3"/>
    <n v="219"/>
    <n v="32.85"/>
    <n v="20"/>
    <n v="657"/>
    <n v="644.15"/>
    <x v="4"/>
    <x v="0"/>
    <x v="1"/>
    <n v="34"/>
    <n v="3.9"/>
  </r>
  <r>
    <x v="82"/>
    <x v="6"/>
    <x v="0"/>
    <n v="1"/>
    <n v="7"/>
    <s v="Tuesday"/>
    <x v="6"/>
    <x v="13"/>
    <x v="2"/>
    <s v="Veg Pizza"/>
    <x v="3"/>
    <n v="3"/>
    <n v="400"/>
    <n v="60"/>
    <n v="20"/>
    <n v="1200"/>
    <n v="1160"/>
    <x v="4"/>
    <x v="0"/>
    <x v="0"/>
    <n v="36"/>
    <n v="4.0999999999999996"/>
  </r>
  <r>
    <x v="83"/>
    <x v="6"/>
    <x v="0"/>
    <n v="1"/>
    <n v="7"/>
    <s v="Tuesday"/>
    <x v="3"/>
    <x v="7"/>
    <x v="0"/>
    <s v="Chicken Momos"/>
    <x v="1"/>
    <n v="2"/>
    <n v="526"/>
    <n v="0"/>
    <n v="50"/>
    <n v="1052"/>
    <n v="1102"/>
    <x v="4"/>
    <x v="0"/>
    <x v="1"/>
    <n v="41"/>
    <n v="4.5"/>
  </r>
  <r>
    <x v="84"/>
    <x v="6"/>
    <x v="0"/>
    <n v="1"/>
    <n v="7"/>
    <s v="Tuesday"/>
    <x v="0"/>
    <x v="3"/>
    <x v="8"/>
    <s v="Veg Pizza"/>
    <x v="2"/>
    <n v="2"/>
    <n v="780"/>
    <n v="195"/>
    <n v="60"/>
    <n v="1560"/>
    <n v="1425"/>
    <x v="1"/>
    <x v="0"/>
    <x v="1"/>
    <n v="56"/>
    <n v="3.7"/>
  </r>
  <r>
    <x v="85"/>
    <x v="6"/>
    <x v="0"/>
    <n v="1"/>
    <n v="7"/>
    <s v="Tuesday"/>
    <x v="4"/>
    <x v="8"/>
    <x v="4"/>
    <s v="Masala Dosa"/>
    <x v="1"/>
    <n v="1"/>
    <n v="225"/>
    <n v="56.25"/>
    <n v="20"/>
    <n v="225"/>
    <n v="188.75"/>
    <x v="2"/>
    <x v="2"/>
    <x v="0"/>
    <n v="56"/>
    <m/>
  </r>
  <r>
    <x v="86"/>
    <x v="6"/>
    <x v="0"/>
    <n v="1"/>
    <n v="7"/>
    <s v="Tuesday"/>
    <x v="9"/>
    <x v="2"/>
    <x v="1"/>
    <s v="Veg Biryani"/>
    <x v="1"/>
    <n v="1"/>
    <n v="683"/>
    <n v="102.45"/>
    <n v="30"/>
    <n v="683"/>
    <n v="610.54999999999995"/>
    <x v="3"/>
    <x v="0"/>
    <x v="0"/>
    <n v="69"/>
    <n v="4.8"/>
  </r>
  <r>
    <x v="87"/>
    <x v="6"/>
    <x v="0"/>
    <n v="1"/>
    <n v="7"/>
    <s v="Tuesday"/>
    <x v="2"/>
    <x v="0"/>
    <x v="1"/>
    <s v="Veg Biryani"/>
    <x v="1"/>
    <n v="1"/>
    <n v="211"/>
    <n v="31.65"/>
    <n v="20"/>
    <n v="211"/>
    <n v="199.35"/>
    <x v="0"/>
    <x v="0"/>
    <x v="1"/>
    <n v="45"/>
    <n v="5"/>
  </r>
  <r>
    <x v="88"/>
    <x v="6"/>
    <x v="0"/>
    <n v="1"/>
    <n v="7"/>
    <s v="Tuesday"/>
    <x v="1"/>
    <x v="1"/>
    <x v="7"/>
    <s v="Fried Rice"/>
    <x v="1"/>
    <n v="1"/>
    <n v="757"/>
    <n v="189.25"/>
    <n v="0"/>
    <n v="757"/>
    <n v="567.75"/>
    <x v="0"/>
    <x v="0"/>
    <x v="1"/>
    <n v="43"/>
    <n v="3.6"/>
  </r>
  <r>
    <x v="89"/>
    <x v="6"/>
    <x v="0"/>
    <n v="1"/>
    <n v="7"/>
    <s v="Tuesday"/>
    <x v="4"/>
    <x v="7"/>
    <x v="7"/>
    <s v="Chicken Momos"/>
    <x v="1"/>
    <n v="1"/>
    <n v="478"/>
    <n v="95.6"/>
    <n v="30"/>
    <n v="478"/>
    <n v="412.4"/>
    <x v="1"/>
    <x v="0"/>
    <x v="0"/>
    <n v="36"/>
    <n v="5"/>
  </r>
  <r>
    <x v="90"/>
    <x v="6"/>
    <x v="0"/>
    <n v="1"/>
    <n v="7"/>
    <s v="Tuesday"/>
    <x v="3"/>
    <x v="11"/>
    <x v="5"/>
    <s v="Chicken Momos"/>
    <x v="1"/>
    <n v="2"/>
    <n v="826"/>
    <n v="82.6"/>
    <n v="40"/>
    <n v="1652"/>
    <n v="1609.4"/>
    <x v="1"/>
    <x v="0"/>
    <x v="1"/>
    <n v="48"/>
    <n v="4"/>
  </r>
  <r>
    <x v="91"/>
    <x v="6"/>
    <x v="0"/>
    <n v="1"/>
    <n v="7"/>
    <s v="Tuesday"/>
    <x v="2"/>
    <x v="10"/>
    <x v="4"/>
    <s v="Chicken Burger"/>
    <x v="1"/>
    <n v="1"/>
    <n v="606"/>
    <n v="0"/>
    <n v="40"/>
    <n v="606"/>
    <n v="646"/>
    <x v="1"/>
    <x v="0"/>
    <x v="1"/>
    <n v="38"/>
    <n v="4.2"/>
  </r>
  <r>
    <x v="92"/>
    <x v="6"/>
    <x v="0"/>
    <n v="1"/>
    <n v="7"/>
    <s v="Tuesday"/>
    <x v="3"/>
    <x v="3"/>
    <x v="7"/>
    <s v="Veg Pizza"/>
    <x v="2"/>
    <n v="1"/>
    <n v="535"/>
    <n v="0"/>
    <n v="60"/>
    <n v="535"/>
    <n v="595"/>
    <x v="3"/>
    <x v="0"/>
    <x v="1"/>
    <n v="53"/>
    <n v="3.9"/>
  </r>
  <r>
    <x v="93"/>
    <x v="6"/>
    <x v="0"/>
    <n v="1"/>
    <n v="7"/>
    <s v="Tuesday"/>
    <x v="1"/>
    <x v="0"/>
    <x v="5"/>
    <s v="Veg Momos"/>
    <x v="1"/>
    <n v="1"/>
    <n v="261"/>
    <n v="26.1"/>
    <n v="50"/>
    <n v="261"/>
    <n v="284.89999999999998"/>
    <x v="1"/>
    <x v="0"/>
    <x v="0"/>
    <n v="54"/>
    <n v="4.7"/>
  </r>
  <r>
    <x v="94"/>
    <x v="6"/>
    <x v="0"/>
    <n v="1"/>
    <n v="7"/>
    <s v="Tuesday"/>
    <x v="7"/>
    <x v="10"/>
    <x v="7"/>
    <s v="Veg Momos"/>
    <x v="2"/>
    <n v="2"/>
    <n v="721"/>
    <n v="0"/>
    <n v="50"/>
    <n v="1442"/>
    <n v="1492"/>
    <x v="0"/>
    <x v="0"/>
    <x v="0"/>
    <n v="29"/>
    <n v="4.2"/>
  </r>
  <r>
    <x v="95"/>
    <x v="6"/>
    <x v="0"/>
    <n v="1"/>
    <n v="7"/>
    <s v="Tuesday"/>
    <x v="3"/>
    <x v="1"/>
    <x v="8"/>
    <s v="Chicken Burger"/>
    <x v="1"/>
    <n v="3"/>
    <n v="761"/>
    <n v="0"/>
    <n v="40"/>
    <n v="2283"/>
    <n v="2323"/>
    <x v="1"/>
    <x v="0"/>
    <x v="0"/>
    <n v="19"/>
    <n v="4.0999999999999996"/>
  </r>
  <r>
    <x v="96"/>
    <x v="6"/>
    <x v="0"/>
    <n v="1"/>
    <n v="7"/>
    <s v="Tuesday"/>
    <x v="6"/>
    <x v="4"/>
    <x v="8"/>
    <s v="Masala Dosa"/>
    <x v="2"/>
    <n v="1"/>
    <n v="365"/>
    <n v="0"/>
    <n v="20"/>
    <n v="365"/>
    <n v="385"/>
    <x v="1"/>
    <x v="0"/>
    <x v="0"/>
    <n v="33"/>
    <n v="4"/>
  </r>
  <r>
    <x v="97"/>
    <x v="6"/>
    <x v="0"/>
    <n v="1"/>
    <n v="7"/>
    <s v="Tuesday"/>
    <x v="7"/>
    <x v="3"/>
    <x v="1"/>
    <s v="French Fries"/>
    <x v="2"/>
    <n v="3"/>
    <n v="361"/>
    <n v="36.1"/>
    <n v="0"/>
    <n v="1083"/>
    <n v="1046.9000000000001"/>
    <x v="0"/>
    <x v="0"/>
    <x v="1"/>
    <n v="62"/>
    <n v="3.6"/>
  </r>
  <r>
    <x v="98"/>
    <x v="7"/>
    <x v="0"/>
    <n v="1"/>
    <n v="8"/>
    <s v="Wednesday"/>
    <x v="1"/>
    <x v="8"/>
    <x v="6"/>
    <s v="Chicken Pizza"/>
    <x v="1"/>
    <n v="2"/>
    <n v="838"/>
    <n v="125.7"/>
    <n v="0"/>
    <n v="1676"/>
    <n v="1550.3"/>
    <x v="4"/>
    <x v="0"/>
    <x v="0"/>
    <n v="28"/>
    <n v="3.5"/>
  </r>
  <r>
    <x v="99"/>
    <x v="7"/>
    <x v="0"/>
    <n v="1"/>
    <n v="8"/>
    <s v="Wednesday"/>
    <x v="9"/>
    <x v="13"/>
    <x v="4"/>
    <s v="Chicken Momos"/>
    <x v="1"/>
    <n v="1"/>
    <n v="866"/>
    <n v="86.6"/>
    <n v="50"/>
    <n v="866"/>
    <n v="829.4"/>
    <x v="1"/>
    <x v="2"/>
    <x v="0"/>
    <n v="33"/>
    <m/>
  </r>
  <r>
    <x v="100"/>
    <x v="7"/>
    <x v="0"/>
    <n v="1"/>
    <n v="8"/>
    <s v="Wednesday"/>
    <x v="6"/>
    <x v="11"/>
    <x v="6"/>
    <s v="Veg Pizza"/>
    <x v="1"/>
    <n v="1"/>
    <n v="130"/>
    <n v="6.5"/>
    <n v="30"/>
    <n v="130"/>
    <n v="153.5"/>
    <x v="1"/>
    <x v="2"/>
    <x v="1"/>
    <n v="43"/>
    <m/>
  </r>
  <r>
    <x v="101"/>
    <x v="7"/>
    <x v="0"/>
    <n v="1"/>
    <n v="8"/>
    <s v="Wednesday"/>
    <x v="5"/>
    <x v="3"/>
    <x v="1"/>
    <s v="Masala Dosa"/>
    <x v="1"/>
    <n v="1"/>
    <n v="410"/>
    <n v="41"/>
    <n v="70"/>
    <n v="410"/>
    <n v="439"/>
    <x v="1"/>
    <x v="0"/>
    <x v="1"/>
    <n v="18"/>
    <n v="4.9000000000000004"/>
  </r>
  <r>
    <x v="102"/>
    <x v="7"/>
    <x v="0"/>
    <n v="1"/>
    <n v="8"/>
    <s v="Wednesday"/>
    <x v="2"/>
    <x v="0"/>
    <x v="2"/>
    <s v="Masala Dosa"/>
    <x v="2"/>
    <n v="1"/>
    <n v="424"/>
    <n v="0"/>
    <n v="50"/>
    <n v="424"/>
    <n v="474"/>
    <x v="1"/>
    <x v="0"/>
    <x v="0"/>
    <n v="61"/>
    <n v="4.3"/>
  </r>
  <r>
    <x v="103"/>
    <x v="7"/>
    <x v="0"/>
    <n v="1"/>
    <n v="8"/>
    <s v="Wednesday"/>
    <x v="5"/>
    <x v="12"/>
    <x v="7"/>
    <s v="Veg Biryani"/>
    <x v="0"/>
    <n v="1"/>
    <n v="500"/>
    <n v="75"/>
    <n v="0"/>
    <n v="500"/>
    <n v="425"/>
    <x v="1"/>
    <x v="0"/>
    <x v="1"/>
    <n v="30"/>
    <n v="3.6"/>
  </r>
  <r>
    <x v="104"/>
    <x v="7"/>
    <x v="0"/>
    <n v="1"/>
    <n v="8"/>
    <s v="Wednesday"/>
    <x v="7"/>
    <x v="11"/>
    <x v="3"/>
    <s v="Chicken Pizza"/>
    <x v="1"/>
    <n v="2"/>
    <n v="167"/>
    <n v="8.35"/>
    <n v="0"/>
    <n v="334"/>
    <n v="325.64999999999998"/>
    <x v="0"/>
    <x v="0"/>
    <x v="1"/>
    <n v="55"/>
    <n v="4"/>
  </r>
  <r>
    <x v="105"/>
    <x v="7"/>
    <x v="0"/>
    <n v="1"/>
    <n v="8"/>
    <s v="Wednesday"/>
    <x v="6"/>
    <x v="9"/>
    <x v="0"/>
    <s v="Chicken Momos"/>
    <x v="2"/>
    <n v="1"/>
    <n v="785"/>
    <n v="157"/>
    <n v="0"/>
    <n v="785"/>
    <n v="628"/>
    <x v="2"/>
    <x v="0"/>
    <x v="0"/>
    <n v="53"/>
    <n v="4.7"/>
  </r>
  <r>
    <x v="106"/>
    <x v="7"/>
    <x v="0"/>
    <n v="1"/>
    <n v="8"/>
    <s v="Wednesday"/>
    <x v="0"/>
    <x v="4"/>
    <x v="2"/>
    <s v="Veg Momos"/>
    <x v="1"/>
    <n v="1"/>
    <n v="377"/>
    <n v="94.25"/>
    <n v="40"/>
    <n v="377"/>
    <n v="322.75"/>
    <x v="4"/>
    <x v="0"/>
    <x v="1"/>
    <n v="66"/>
    <n v="4.3"/>
  </r>
  <r>
    <x v="107"/>
    <x v="7"/>
    <x v="0"/>
    <n v="1"/>
    <n v="8"/>
    <s v="Wednesday"/>
    <x v="3"/>
    <x v="3"/>
    <x v="1"/>
    <s v="Chicken Burger"/>
    <x v="1"/>
    <n v="1"/>
    <n v="468"/>
    <n v="46.8"/>
    <n v="60"/>
    <n v="468"/>
    <n v="481.2"/>
    <x v="3"/>
    <x v="0"/>
    <x v="1"/>
    <n v="47"/>
    <n v="5"/>
  </r>
  <r>
    <x v="108"/>
    <x v="7"/>
    <x v="0"/>
    <n v="1"/>
    <n v="8"/>
    <s v="Wednesday"/>
    <x v="3"/>
    <x v="12"/>
    <x v="3"/>
    <s v="Veg Biryani"/>
    <x v="1"/>
    <n v="3"/>
    <n v="482"/>
    <n v="72.3"/>
    <n v="30"/>
    <n v="1446"/>
    <n v="1403.7"/>
    <x v="0"/>
    <x v="0"/>
    <x v="0"/>
    <n v="50"/>
    <n v="3.1"/>
  </r>
  <r>
    <x v="109"/>
    <x v="7"/>
    <x v="0"/>
    <n v="1"/>
    <n v="8"/>
    <s v="Wednesday"/>
    <x v="5"/>
    <x v="14"/>
    <x v="6"/>
    <s v="Chocolate Cake"/>
    <x v="1"/>
    <n v="1"/>
    <n v="469"/>
    <n v="0"/>
    <n v="50"/>
    <n v="469"/>
    <n v="519"/>
    <x v="2"/>
    <x v="0"/>
    <x v="1"/>
    <n v="36"/>
    <n v="3.5"/>
  </r>
  <r>
    <x v="110"/>
    <x v="7"/>
    <x v="0"/>
    <n v="1"/>
    <n v="8"/>
    <s v="Wednesday"/>
    <x v="8"/>
    <x v="13"/>
    <x v="6"/>
    <s v="Paneer Butter Masala"/>
    <x v="1"/>
    <n v="2"/>
    <n v="529"/>
    <n v="52.9"/>
    <n v="50"/>
    <n v="1058"/>
    <n v="1055.0999999999999"/>
    <x v="1"/>
    <x v="0"/>
    <x v="0"/>
    <n v="59"/>
    <n v="3.7"/>
  </r>
  <r>
    <x v="111"/>
    <x v="7"/>
    <x v="0"/>
    <n v="1"/>
    <n v="8"/>
    <s v="Wednesday"/>
    <x v="3"/>
    <x v="3"/>
    <x v="0"/>
    <s v="Chocolate Cake"/>
    <x v="3"/>
    <n v="2"/>
    <n v="736"/>
    <n v="147.19999999999999"/>
    <n v="50"/>
    <n v="1472"/>
    <n v="1374.8"/>
    <x v="1"/>
    <x v="0"/>
    <x v="0"/>
    <n v="60"/>
    <n v="4.5"/>
  </r>
  <r>
    <x v="112"/>
    <x v="7"/>
    <x v="0"/>
    <n v="1"/>
    <n v="8"/>
    <s v="Wednesday"/>
    <x v="1"/>
    <x v="2"/>
    <x v="8"/>
    <s v="Paneer Butter Masala"/>
    <x v="1"/>
    <n v="2"/>
    <n v="603"/>
    <n v="60.3"/>
    <n v="30"/>
    <n v="1206"/>
    <n v="1175.7"/>
    <x v="1"/>
    <x v="0"/>
    <x v="0"/>
    <n v="49"/>
    <n v="4.5"/>
  </r>
  <r>
    <x v="113"/>
    <x v="7"/>
    <x v="0"/>
    <n v="1"/>
    <n v="8"/>
    <s v="Wednesday"/>
    <x v="8"/>
    <x v="0"/>
    <x v="9"/>
    <s v="Chicken Pizza"/>
    <x v="0"/>
    <n v="2"/>
    <n v="817"/>
    <n v="163.4"/>
    <n v="20"/>
    <n v="1634"/>
    <n v="1490.6"/>
    <x v="2"/>
    <x v="0"/>
    <x v="0"/>
    <n v="28"/>
    <n v="5"/>
  </r>
  <r>
    <x v="114"/>
    <x v="7"/>
    <x v="0"/>
    <n v="1"/>
    <n v="8"/>
    <s v="Wednesday"/>
    <x v="1"/>
    <x v="8"/>
    <x v="5"/>
    <s v="Veg Momos"/>
    <x v="1"/>
    <n v="3"/>
    <n v="270"/>
    <n v="67.5"/>
    <n v="40"/>
    <n v="810"/>
    <n v="782.5"/>
    <x v="1"/>
    <x v="1"/>
    <x v="1"/>
    <n v="47"/>
    <m/>
  </r>
  <r>
    <x v="115"/>
    <x v="7"/>
    <x v="0"/>
    <n v="1"/>
    <n v="8"/>
    <s v="Wednesday"/>
    <x v="2"/>
    <x v="8"/>
    <x v="7"/>
    <s v="Masala Dosa"/>
    <x v="0"/>
    <n v="3"/>
    <n v="811"/>
    <n v="202.75"/>
    <n v="50"/>
    <n v="2433"/>
    <n v="2280.25"/>
    <x v="1"/>
    <x v="0"/>
    <x v="1"/>
    <n v="56"/>
    <n v="3.9"/>
  </r>
  <r>
    <x v="116"/>
    <x v="7"/>
    <x v="0"/>
    <n v="1"/>
    <n v="8"/>
    <s v="Wednesday"/>
    <x v="4"/>
    <x v="4"/>
    <x v="8"/>
    <s v="Chicken Biryani"/>
    <x v="3"/>
    <n v="2"/>
    <n v="742"/>
    <n v="111.3"/>
    <n v="0"/>
    <n v="1484"/>
    <n v="1372.7"/>
    <x v="2"/>
    <x v="0"/>
    <x v="1"/>
    <n v="43"/>
    <n v="4"/>
  </r>
  <r>
    <x v="117"/>
    <x v="8"/>
    <x v="0"/>
    <n v="1"/>
    <n v="9"/>
    <s v="Thursday"/>
    <x v="3"/>
    <x v="2"/>
    <x v="4"/>
    <s v="Pasta"/>
    <x v="1"/>
    <n v="1"/>
    <n v="162"/>
    <n v="0"/>
    <n v="50"/>
    <n v="162"/>
    <n v="212"/>
    <x v="1"/>
    <x v="2"/>
    <x v="0"/>
    <n v="24"/>
    <m/>
  </r>
  <r>
    <x v="118"/>
    <x v="8"/>
    <x v="0"/>
    <n v="1"/>
    <n v="9"/>
    <s v="Thursday"/>
    <x v="8"/>
    <x v="2"/>
    <x v="6"/>
    <s v="Veg Biryani"/>
    <x v="1"/>
    <n v="2"/>
    <n v="434"/>
    <n v="43.4"/>
    <n v="40"/>
    <n v="868"/>
    <n v="864.6"/>
    <x v="0"/>
    <x v="0"/>
    <x v="1"/>
    <n v="63"/>
    <n v="5"/>
  </r>
  <r>
    <x v="119"/>
    <x v="8"/>
    <x v="0"/>
    <n v="1"/>
    <n v="9"/>
    <s v="Thursday"/>
    <x v="4"/>
    <x v="5"/>
    <x v="3"/>
    <s v="Chocolate Cake"/>
    <x v="1"/>
    <n v="1"/>
    <n v="805"/>
    <n v="201.25"/>
    <n v="40"/>
    <n v="805"/>
    <n v="643.75"/>
    <x v="1"/>
    <x v="0"/>
    <x v="1"/>
    <n v="27"/>
    <n v="2.8"/>
  </r>
  <r>
    <x v="120"/>
    <x v="8"/>
    <x v="0"/>
    <n v="1"/>
    <n v="9"/>
    <s v="Thursday"/>
    <x v="5"/>
    <x v="11"/>
    <x v="2"/>
    <s v="Paneer Butter Masala"/>
    <x v="1"/>
    <n v="1"/>
    <n v="439"/>
    <n v="87.8"/>
    <n v="0"/>
    <n v="439"/>
    <n v="351.2"/>
    <x v="1"/>
    <x v="0"/>
    <x v="1"/>
    <n v="20"/>
    <n v="2.9"/>
  </r>
  <r>
    <x v="121"/>
    <x v="8"/>
    <x v="0"/>
    <n v="1"/>
    <n v="9"/>
    <s v="Thursday"/>
    <x v="1"/>
    <x v="11"/>
    <x v="4"/>
    <s v="Cold Coffee"/>
    <x v="1"/>
    <n v="2"/>
    <n v="261"/>
    <n v="52.2"/>
    <n v="40"/>
    <n v="522"/>
    <n v="509.8"/>
    <x v="1"/>
    <x v="0"/>
    <x v="0"/>
    <n v="35"/>
    <n v="3.9"/>
  </r>
  <r>
    <x v="122"/>
    <x v="8"/>
    <x v="0"/>
    <n v="1"/>
    <n v="9"/>
    <s v="Thursday"/>
    <x v="6"/>
    <x v="10"/>
    <x v="3"/>
    <s v="Idli Sambar"/>
    <x v="1"/>
    <n v="2"/>
    <n v="521"/>
    <n v="52.1"/>
    <n v="40"/>
    <n v="1042"/>
    <n v="1029.9000000000001"/>
    <x v="2"/>
    <x v="0"/>
    <x v="1"/>
    <n v="68"/>
    <n v="4"/>
  </r>
  <r>
    <x v="123"/>
    <x v="8"/>
    <x v="0"/>
    <n v="1"/>
    <n v="9"/>
    <s v="Thursday"/>
    <x v="7"/>
    <x v="5"/>
    <x v="4"/>
    <s v="French Fries"/>
    <x v="1"/>
    <n v="1"/>
    <n v="727"/>
    <n v="36.35"/>
    <n v="60"/>
    <n v="727"/>
    <n v="750.65"/>
    <x v="0"/>
    <x v="0"/>
    <x v="1"/>
    <n v="70"/>
    <n v="2.9"/>
  </r>
  <r>
    <x v="124"/>
    <x v="8"/>
    <x v="0"/>
    <n v="1"/>
    <n v="9"/>
    <s v="Thursday"/>
    <x v="5"/>
    <x v="6"/>
    <x v="9"/>
    <s v="Veg Pizza"/>
    <x v="2"/>
    <n v="2"/>
    <n v="715"/>
    <n v="143"/>
    <n v="40"/>
    <n v="1430"/>
    <n v="1327"/>
    <x v="0"/>
    <x v="0"/>
    <x v="1"/>
    <n v="54"/>
    <n v="4.4000000000000004"/>
  </r>
  <r>
    <x v="125"/>
    <x v="8"/>
    <x v="0"/>
    <n v="1"/>
    <n v="9"/>
    <s v="Thursday"/>
    <x v="5"/>
    <x v="6"/>
    <x v="6"/>
    <s v="Veg Momos"/>
    <x v="1"/>
    <n v="1"/>
    <n v="514"/>
    <n v="0"/>
    <n v="50"/>
    <n v="514"/>
    <n v="564"/>
    <x v="0"/>
    <x v="2"/>
    <x v="1"/>
    <n v="44"/>
    <m/>
  </r>
  <r>
    <x v="126"/>
    <x v="8"/>
    <x v="0"/>
    <n v="1"/>
    <n v="9"/>
    <s v="Thursday"/>
    <x v="8"/>
    <x v="5"/>
    <x v="2"/>
    <s v="Masala Dosa"/>
    <x v="3"/>
    <n v="2"/>
    <n v="598"/>
    <n v="29.9"/>
    <n v="0"/>
    <n v="1196"/>
    <n v="1166.0999999999999"/>
    <x v="1"/>
    <x v="2"/>
    <x v="1"/>
    <n v="69"/>
    <m/>
  </r>
  <r>
    <x v="127"/>
    <x v="9"/>
    <x v="0"/>
    <n v="1"/>
    <n v="10"/>
    <s v="Friday"/>
    <x v="5"/>
    <x v="12"/>
    <x v="7"/>
    <s v="Paneer Butter Masala"/>
    <x v="1"/>
    <n v="3"/>
    <n v="713"/>
    <n v="178.25"/>
    <n v="0"/>
    <n v="2139"/>
    <n v="1960.75"/>
    <x v="4"/>
    <x v="0"/>
    <x v="0"/>
    <n v="38"/>
    <n v="5"/>
  </r>
  <r>
    <x v="128"/>
    <x v="9"/>
    <x v="0"/>
    <n v="1"/>
    <n v="10"/>
    <s v="Friday"/>
    <x v="1"/>
    <x v="2"/>
    <x v="7"/>
    <s v="Chocolate Cake"/>
    <x v="0"/>
    <n v="2"/>
    <n v="623"/>
    <n v="31.15"/>
    <n v="30"/>
    <n v="1246"/>
    <n v="1244.8499999999999"/>
    <x v="1"/>
    <x v="0"/>
    <x v="0"/>
    <n v="20"/>
    <n v="3.5"/>
  </r>
  <r>
    <x v="129"/>
    <x v="9"/>
    <x v="0"/>
    <n v="1"/>
    <n v="10"/>
    <s v="Friday"/>
    <x v="1"/>
    <x v="14"/>
    <x v="8"/>
    <s v="Veg Momos"/>
    <x v="2"/>
    <n v="1"/>
    <n v="367"/>
    <n v="0"/>
    <n v="40"/>
    <n v="367"/>
    <n v="407"/>
    <x v="1"/>
    <x v="0"/>
    <x v="1"/>
    <n v="67"/>
    <n v="2.6"/>
  </r>
  <r>
    <x v="130"/>
    <x v="9"/>
    <x v="0"/>
    <n v="1"/>
    <n v="10"/>
    <s v="Friday"/>
    <x v="7"/>
    <x v="13"/>
    <x v="5"/>
    <s v="Pasta"/>
    <x v="2"/>
    <n v="2"/>
    <n v="565"/>
    <n v="84.75"/>
    <n v="40"/>
    <n v="1130"/>
    <n v="1085.25"/>
    <x v="2"/>
    <x v="0"/>
    <x v="0"/>
    <n v="31"/>
    <n v="3.9"/>
  </r>
  <r>
    <x v="131"/>
    <x v="9"/>
    <x v="0"/>
    <n v="1"/>
    <n v="10"/>
    <s v="Friday"/>
    <x v="6"/>
    <x v="1"/>
    <x v="2"/>
    <s v="Idli Sambar"/>
    <x v="1"/>
    <n v="2"/>
    <n v="851"/>
    <n v="85.1"/>
    <n v="0"/>
    <n v="1702"/>
    <n v="1616.9"/>
    <x v="1"/>
    <x v="0"/>
    <x v="0"/>
    <n v="27"/>
    <n v="4.9000000000000004"/>
  </r>
  <r>
    <x v="132"/>
    <x v="9"/>
    <x v="0"/>
    <n v="1"/>
    <n v="10"/>
    <s v="Friday"/>
    <x v="2"/>
    <x v="6"/>
    <x v="7"/>
    <s v="Veg Momos"/>
    <x v="1"/>
    <n v="2"/>
    <n v="314"/>
    <n v="47.1"/>
    <n v="60"/>
    <n v="628"/>
    <n v="640.9"/>
    <x v="0"/>
    <x v="0"/>
    <x v="0"/>
    <n v="45"/>
    <n v="3.7"/>
  </r>
  <r>
    <x v="133"/>
    <x v="9"/>
    <x v="0"/>
    <n v="1"/>
    <n v="10"/>
    <s v="Friday"/>
    <x v="0"/>
    <x v="5"/>
    <x v="0"/>
    <s v="Idli Sambar"/>
    <x v="1"/>
    <n v="2"/>
    <n v="206"/>
    <n v="20.6"/>
    <n v="20"/>
    <n v="412"/>
    <n v="411.4"/>
    <x v="1"/>
    <x v="0"/>
    <x v="1"/>
    <n v="20"/>
    <n v="4.3"/>
  </r>
  <r>
    <x v="134"/>
    <x v="9"/>
    <x v="0"/>
    <n v="1"/>
    <n v="10"/>
    <s v="Friday"/>
    <x v="4"/>
    <x v="13"/>
    <x v="9"/>
    <s v="Paneer Butter Masala"/>
    <x v="2"/>
    <n v="1"/>
    <n v="454"/>
    <n v="68.099999999999994"/>
    <n v="30"/>
    <n v="454"/>
    <n v="415.9"/>
    <x v="1"/>
    <x v="0"/>
    <x v="1"/>
    <n v="55"/>
    <n v="3.9"/>
  </r>
  <r>
    <x v="135"/>
    <x v="9"/>
    <x v="0"/>
    <n v="1"/>
    <n v="10"/>
    <s v="Friday"/>
    <x v="5"/>
    <x v="4"/>
    <x v="7"/>
    <s v="Veg Burger"/>
    <x v="1"/>
    <n v="3"/>
    <n v="142"/>
    <n v="21.3"/>
    <n v="60"/>
    <n v="426"/>
    <n v="464.7"/>
    <x v="2"/>
    <x v="0"/>
    <x v="0"/>
    <n v="62"/>
    <n v="4"/>
  </r>
  <r>
    <x v="136"/>
    <x v="9"/>
    <x v="0"/>
    <n v="1"/>
    <n v="10"/>
    <s v="Friday"/>
    <x v="7"/>
    <x v="12"/>
    <x v="2"/>
    <s v="Chicken Biryani"/>
    <x v="1"/>
    <n v="1"/>
    <n v="649"/>
    <n v="129.80000000000001"/>
    <n v="0"/>
    <n v="649"/>
    <n v="519.20000000000005"/>
    <x v="4"/>
    <x v="0"/>
    <x v="0"/>
    <n v="63"/>
    <n v="3.8"/>
  </r>
  <r>
    <x v="137"/>
    <x v="9"/>
    <x v="0"/>
    <n v="1"/>
    <n v="10"/>
    <s v="Friday"/>
    <x v="9"/>
    <x v="5"/>
    <x v="3"/>
    <s v="Chicken Momos"/>
    <x v="2"/>
    <n v="1"/>
    <n v="689"/>
    <n v="68.900000000000006"/>
    <n v="0"/>
    <n v="689"/>
    <n v="620.1"/>
    <x v="2"/>
    <x v="1"/>
    <x v="1"/>
    <n v="27"/>
    <m/>
  </r>
  <r>
    <x v="138"/>
    <x v="9"/>
    <x v="0"/>
    <n v="1"/>
    <n v="10"/>
    <s v="Friday"/>
    <x v="1"/>
    <x v="0"/>
    <x v="7"/>
    <s v="Masala Dosa"/>
    <x v="1"/>
    <n v="2"/>
    <n v="877"/>
    <n v="87.7"/>
    <n v="30"/>
    <n v="1754"/>
    <n v="1696.3"/>
    <x v="1"/>
    <x v="0"/>
    <x v="1"/>
    <n v="18"/>
    <n v="3.9"/>
  </r>
  <r>
    <x v="139"/>
    <x v="10"/>
    <x v="0"/>
    <n v="1"/>
    <n v="11"/>
    <s v="Saturday"/>
    <x v="0"/>
    <x v="12"/>
    <x v="6"/>
    <s v="Chicken Momos"/>
    <x v="1"/>
    <n v="1"/>
    <n v="596"/>
    <n v="89.4"/>
    <n v="0"/>
    <n v="596"/>
    <n v="506.6"/>
    <x v="2"/>
    <x v="3"/>
    <x v="1"/>
    <n v="32"/>
    <m/>
  </r>
  <r>
    <x v="140"/>
    <x v="10"/>
    <x v="0"/>
    <n v="1"/>
    <n v="11"/>
    <s v="Saturday"/>
    <x v="1"/>
    <x v="14"/>
    <x v="9"/>
    <s v="French Fries"/>
    <x v="0"/>
    <n v="3"/>
    <n v="593"/>
    <n v="59.3"/>
    <n v="50"/>
    <n v="1779"/>
    <n v="1769.7"/>
    <x v="1"/>
    <x v="2"/>
    <x v="0"/>
    <n v="70"/>
    <m/>
  </r>
  <r>
    <x v="141"/>
    <x v="10"/>
    <x v="0"/>
    <n v="1"/>
    <n v="11"/>
    <s v="Saturday"/>
    <x v="3"/>
    <x v="1"/>
    <x v="5"/>
    <s v="Chicken Biryani"/>
    <x v="1"/>
    <n v="3"/>
    <n v="204"/>
    <n v="20.399999999999999"/>
    <n v="40"/>
    <n v="612"/>
    <n v="631.6"/>
    <x v="1"/>
    <x v="0"/>
    <x v="1"/>
    <n v="62"/>
    <n v="5"/>
  </r>
  <r>
    <x v="142"/>
    <x v="10"/>
    <x v="0"/>
    <n v="1"/>
    <n v="11"/>
    <s v="Saturday"/>
    <x v="2"/>
    <x v="6"/>
    <x v="4"/>
    <s v="Chicken Momos"/>
    <x v="0"/>
    <n v="1"/>
    <n v="556"/>
    <n v="111.2"/>
    <n v="20"/>
    <n v="556"/>
    <n v="464.8"/>
    <x v="1"/>
    <x v="0"/>
    <x v="1"/>
    <n v="66"/>
    <n v="4.4000000000000004"/>
  </r>
  <r>
    <x v="143"/>
    <x v="10"/>
    <x v="0"/>
    <n v="1"/>
    <n v="11"/>
    <s v="Saturday"/>
    <x v="7"/>
    <x v="2"/>
    <x v="5"/>
    <s v="French Fries"/>
    <x v="1"/>
    <n v="2"/>
    <n v="641"/>
    <n v="0"/>
    <n v="20"/>
    <n v="1282"/>
    <n v="1302"/>
    <x v="0"/>
    <x v="0"/>
    <x v="1"/>
    <n v="49"/>
    <n v="5"/>
  </r>
  <r>
    <x v="144"/>
    <x v="10"/>
    <x v="0"/>
    <n v="1"/>
    <n v="11"/>
    <s v="Saturday"/>
    <x v="4"/>
    <x v="8"/>
    <x v="7"/>
    <s v="Chicken Burger"/>
    <x v="1"/>
    <n v="3"/>
    <n v="516"/>
    <n v="77.400000000000006"/>
    <n v="50"/>
    <n v="1548"/>
    <n v="1520.6"/>
    <x v="1"/>
    <x v="0"/>
    <x v="0"/>
    <n v="45"/>
    <n v="4"/>
  </r>
  <r>
    <x v="145"/>
    <x v="10"/>
    <x v="0"/>
    <n v="1"/>
    <n v="11"/>
    <s v="Saturday"/>
    <x v="4"/>
    <x v="5"/>
    <x v="3"/>
    <s v="Chicken Momos"/>
    <x v="1"/>
    <n v="1"/>
    <n v="631"/>
    <n v="31.55"/>
    <n v="50"/>
    <n v="631"/>
    <n v="649.45000000000005"/>
    <x v="1"/>
    <x v="1"/>
    <x v="0"/>
    <n v="59"/>
    <m/>
  </r>
  <r>
    <x v="146"/>
    <x v="10"/>
    <x v="0"/>
    <n v="1"/>
    <n v="11"/>
    <s v="Saturday"/>
    <x v="2"/>
    <x v="13"/>
    <x v="2"/>
    <s v="Chicken Burger"/>
    <x v="2"/>
    <n v="1"/>
    <n v="642"/>
    <n v="32.1"/>
    <n v="0"/>
    <n v="642"/>
    <n v="609.9"/>
    <x v="4"/>
    <x v="3"/>
    <x v="0"/>
    <n v="36"/>
    <m/>
  </r>
  <r>
    <x v="147"/>
    <x v="10"/>
    <x v="0"/>
    <n v="1"/>
    <n v="11"/>
    <s v="Saturday"/>
    <x v="1"/>
    <x v="13"/>
    <x v="2"/>
    <s v="Chicken Pizza"/>
    <x v="1"/>
    <n v="1"/>
    <n v="227"/>
    <n v="34.049999999999997"/>
    <n v="0"/>
    <n v="227"/>
    <n v="192.95"/>
    <x v="1"/>
    <x v="0"/>
    <x v="1"/>
    <n v="25"/>
    <n v="4"/>
  </r>
  <r>
    <x v="148"/>
    <x v="10"/>
    <x v="0"/>
    <n v="1"/>
    <n v="11"/>
    <s v="Saturday"/>
    <x v="5"/>
    <x v="7"/>
    <x v="5"/>
    <s v="Chicken Biryani"/>
    <x v="0"/>
    <n v="2"/>
    <n v="292"/>
    <n v="29.2"/>
    <n v="60"/>
    <n v="584"/>
    <n v="614.79999999999995"/>
    <x v="1"/>
    <x v="0"/>
    <x v="0"/>
    <n v="41"/>
    <n v="4"/>
  </r>
  <r>
    <x v="149"/>
    <x v="10"/>
    <x v="0"/>
    <n v="1"/>
    <n v="11"/>
    <s v="Saturday"/>
    <x v="5"/>
    <x v="11"/>
    <x v="6"/>
    <s v="Cold Coffee"/>
    <x v="2"/>
    <n v="2"/>
    <n v="326"/>
    <n v="32.6"/>
    <n v="0"/>
    <n v="652"/>
    <n v="619.4"/>
    <x v="2"/>
    <x v="0"/>
    <x v="1"/>
    <n v="56"/>
    <n v="3.6"/>
  </r>
  <r>
    <x v="150"/>
    <x v="11"/>
    <x v="0"/>
    <n v="1"/>
    <n v="12"/>
    <s v="Sunday"/>
    <x v="0"/>
    <x v="13"/>
    <x v="8"/>
    <s v="Veg Burger"/>
    <x v="1"/>
    <n v="1"/>
    <n v="233"/>
    <n v="11.65"/>
    <n v="40"/>
    <n v="233"/>
    <n v="261.35000000000002"/>
    <x v="1"/>
    <x v="0"/>
    <x v="1"/>
    <n v="30"/>
    <n v="4"/>
  </r>
  <r>
    <x v="151"/>
    <x v="11"/>
    <x v="0"/>
    <n v="1"/>
    <n v="12"/>
    <s v="Sunday"/>
    <x v="0"/>
    <x v="0"/>
    <x v="8"/>
    <s v="Fried Rice"/>
    <x v="1"/>
    <n v="1"/>
    <n v="833"/>
    <n v="0"/>
    <n v="20"/>
    <n v="833"/>
    <n v="853"/>
    <x v="1"/>
    <x v="0"/>
    <x v="1"/>
    <n v="45"/>
    <n v="3.7"/>
  </r>
  <r>
    <x v="152"/>
    <x v="11"/>
    <x v="0"/>
    <n v="1"/>
    <n v="12"/>
    <s v="Sunday"/>
    <x v="6"/>
    <x v="6"/>
    <x v="3"/>
    <s v="Fried Rice"/>
    <x v="1"/>
    <n v="1"/>
    <n v="865"/>
    <n v="43.25"/>
    <n v="50"/>
    <n v="865"/>
    <n v="871.75"/>
    <x v="1"/>
    <x v="0"/>
    <x v="1"/>
    <n v="39"/>
    <n v="3.9"/>
  </r>
  <r>
    <x v="153"/>
    <x v="11"/>
    <x v="0"/>
    <n v="1"/>
    <n v="12"/>
    <s v="Sunday"/>
    <x v="1"/>
    <x v="13"/>
    <x v="2"/>
    <s v="Veg Biryani"/>
    <x v="0"/>
    <n v="2"/>
    <n v="671"/>
    <n v="100.65"/>
    <n v="30"/>
    <n v="1342"/>
    <n v="1271.3499999999999"/>
    <x v="0"/>
    <x v="0"/>
    <x v="1"/>
    <n v="63"/>
    <n v="4.0999999999999996"/>
  </r>
  <r>
    <x v="154"/>
    <x v="11"/>
    <x v="0"/>
    <n v="1"/>
    <n v="12"/>
    <s v="Sunday"/>
    <x v="9"/>
    <x v="3"/>
    <x v="7"/>
    <s v="Fried Rice"/>
    <x v="2"/>
    <n v="1"/>
    <n v="160"/>
    <n v="16"/>
    <n v="30"/>
    <n v="160"/>
    <n v="174"/>
    <x v="3"/>
    <x v="0"/>
    <x v="1"/>
    <n v="51"/>
    <n v="4.5"/>
  </r>
  <r>
    <x v="155"/>
    <x v="11"/>
    <x v="0"/>
    <n v="1"/>
    <n v="12"/>
    <s v="Sunday"/>
    <x v="8"/>
    <x v="14"/>
    <x v="6"/>
    <s v="Veg Pizza"/>
    <x v="1"/>
    <n v="1"/>
    <n v="760"/>
    <n v="38"/>
    <n v="0"/>
    <n v="760"/>
    <n v="722"/>
    <x v="1"/>
    <x v="0"/>
    <x v="1"/>
    <n v="26"/>
    <n v="3.6"/>
  </r>
  <r>
    <x v="156"/>
    <x v="11"/>
    <x v="0"/>
    <n v="1"/>
    <n v="12"/>
    <s v="Sunday"/>
    <x v="6"/>
    <x v="3"/>
    <x v="0"/>
    <s v="Chocolate Cake"/>
    <x v="1"/>
    <n v="2"/>
    <n v="860"/>
    <n v="86"/>
    <n v="0"/>
    <n v="1720"/>
    <n v="1634"/>
    <x v="2"/>
    <x v="0"/>
    <x v="1"/>
    <n v="25"/>
    <n v="4.7"/>
  </r>
  <r>
    <x v="157"/>
    <x v="11"/>
    <x v="0"/>
    <n v="1"/>
    <n v="12"/>
    <s v="Sunday"/>
    <x v="4"/>
    <x v="4"/>
    <x v="5"/>
    <s v="Cold Coffee"/>
    <x v="1"/>
    <n v="1"/>
    <n v="245"/>
    <n v="12.25"/>
    <n v="60"/>
    <n v="245"/>
    <n v="292.75"/>
    <x v="0"/>
    <x v="0"/>
    <x v="1"/>
    <n v="50"/>
    <n v="3.9"/>
  </r>
  <r>
    <x v="158"/>
    <x v="11"/>
    <x v="0"/>
    <n v="1"/>
    <n v="12"/>
    <s v="Sunday"/>
    <x v="5"/>
    <x v="13"/>
    <x v="9"/>
    <s v="Veg Burger"/>
    <x v="2"/>
    <n v="1"/>
    <n v="525"/>
    <n v="26.25"/>
    <n v="50"/>
    <n v="525"/>
    <n v="548.75"/>
    <x v="1"/>
    <x v="0"/>
    <x v="0"/>
    <n v="36"/>
    <n v="3.8"/>
  </r>
  <r>
    <x v="159"/>
    <x v="11"/>
    <x v="0"/>
    <n v="1"/>
    <n v="12"/>
    <s v="Sunday"/>
    <x v="8"/>
    <x v="8"/>
    <x v="9"/>
    <s v="Chicken Biryani"/>
    <x v="1"/>
    <n v="3"/>
    <n v="627"/>
    <n v="62.7"/>
    <n v="30"/>
    <n v="1881"/>
    <n v="1848.3"/>
    <x v="1"/>
    <x v="0"/>
    <x v="1"/>
    <n v="30"/>
    <n v="4.2"/>
  </r>
  <r>
    <x v="160"/>
    <x v="11"/>
    <x v="0"/>
    <n v="1"/>
    <n v="12"/>
    <s v="Sunday"/>
    <x v="0"/>
    <x v="13"/>
    <x v="4"/>
    <s v="Chicken Burger"/>
    <x v="2"/>
    <n v="2"/>
    <n v="598"/>
    <n v="89.7"/>
    <n v="50"/>
    <n v="1196"/>
    <n v="1156.3"/>
    <x v="1"/>
    <x v="0"/>
    <x v="1"/>
    <n v="44"/>
    <n v="3.4"/>
  </r>
  <r>
    <x v="161"/>
    <x v="11"/>
    <x v="0"/>
    <n v="1"/>
    <n v="12"/>
    <s v="Sunday"/>
    <x v="0"/>
    <x v="9"/>
    <x v="9"/>
    <s v="Fried Rice"/>
    <x v="1"/>
    <n v="1"/>
    <n v="208"/>
    <n v="10.4"/>
    <n v="50"/>
    <n v="208"/>
    <n v="247.6"/>
    <x v="2"/>
    <x v="0"/>
    <x v="0"/>
    <n v="33"/>
    <n v="4.9000000000000004"/>
  </r>
  <r>
    <x v="162"/>
    <x v="11"/>
    <x v="0"/>
    <n v="1"/>
    <n v="12"/>
    <s v="Sunday"/>
    <x v="0"/>
    <x v="1"/>
    <x v="3"/>
    <s v="Pasta"/>
    <x v="0"/>
    <n v="3"/>
    <n v="457"/>
    <n v="68.55"/>
    <n v="30"/>
    <n v="1371"/>
    <n v="1332.45"/>
    <x v="0"/>
    <x v="0"/>
    <x v="1"/>
    <n v="58"/>
    <n v="4"/>
  </r>
  <r>
    <x v="163"/>
    <x v="11"/>
    <x v="0"/>
    <n v="1"/>
    <n v="12"/>
    <s v="Sunday"/>
    <x v="3"/>
    <x v="1"/>
    <x v="0"/>
    <s v="Chocolate Cake"/>
    <x v="2"/>
    <n v="2"/>
    <n v="542"/>
    <n v="54.2"/>
    <n v="0"/>
    <n v="1084"/>
    <n v="1029.8"/>
    <x v="0"/>
    <x v="0"/>
    <x v="0"/>
    <n v="23"/>
    <n v="4.5999999999999996"/>
  </r>
  <r>
    <x v="164"/>
    <x v="11"/>
    <x v="0"/>
    <n v="1"/>
    <n v="12"/>
    <s v="Sunday"/>
    <x v="5"/>
    <x v="13"/>
    <x v="0"/>
    <s v="Chicken Pizza"/>
    <x v="1"/>
    <n v="1"/>
    <n v="802"/>
    <n v="40.1"/>
    <n v="30"/>
    <n v="802"/>
    <n v="791.9"/>
    <x v="1"/>
    <x v="0"/>
    <x v="1"/>
    <n v="23"/>
    <n v="3"/>
  </r>
  <r>
    <x v="165"/>
    <x v="11"/>
    <x v="0"/>
    <n v="1"/>
    <n v="12"/>
    <s v="Sunday"/>
    <x v="5"/>
    <x v="13"/>
    <x v="0"/>
    <s v="Chicken Pizza"/>
    <x v="0"/>
    <n v="1"/>
    <n v="253"/>
    <n v="0"/>
    <n v="70"/>
    <n v="253"/>
    <n v="323"/>
    <x v="1"/>
    <x v="0"/>
    <x v="1"/>
    <n v="54"/>
    <n v="3"/>
  </r>
  <r>
    <x v="166"/>
    <x v="11"/>
    <x v="0"/>
    <n v="1"/>
    <n v="12"/>
    <s v="Sunday"/>
    <x v="4"/>
    <x v="1"/>
    <x v="9"/>
    <s v="Chicken Pizza"/>
    <x v="1"/>
    <n v="1"/>
    <n v="176"/>
    <n v="44"/>
    <n v="40"/>
    <n v="176"/>
    <n v="172"/>
    <x v="1"/>
    <x v="0"/>
    <x v="1"/>
    <n v="31"/>
    <n v="3.8"/>
  </r>
  <r>
    <x v="167"/>
    <x v="11"/>
    <x v="0"/>
    <n v="1"/>
    <n v="12"/>
    <s v="Sunday"/>
    <x v="1"/>
    <x v="2"/>
    <x v="0"/>
    <s v="Chicken Biryani"/>
    <x v="1"/>
    <n v="3"/>
    <n v="737"/>
    <n v="73.7"/>
    <n v="60"/>
    <n v="2211"/>
    <n v="2197.3000000000002"/>
    <x v="0"/>
    <x v="0"/>
    <x v="0"/>
    <n v="39"/>
    <n v="4.3"/>
  </r>
  <r>
    <x v="168"/>
    <x v="11"/>
    <x v="0"/>
    <n v="1"/>
    <n v="12"/>
    <s v="Sunday"/>
    <x v="3"/>
    <x v="11"/>
    <x v="4"/>
    <s v="Idli Sambar"/>
    <x v="1"/>
    <n v="1"/>
    <n v="343"/>
    <n v="34.299999999999997"/>
    <n v="30"/>
    <n v="343"/>
    <n v="338.7"/>
    <x v="2"/>
    <x v="0"/>
    <x v="1"/>
    <n v="63"/>
    <n v="5"/>
  </r>
  <r>
    <x v="169"/>
    <x v="11"/>
    <x v="0"/>
    <n v="1"/>
    <n v="12"/>
    <s v="Sunday"/>
    <x v="3"/>
    <x v="13"/>
    <x v="0"/>
    <s v="French Fries"/>
    <x v="1"/>
    <n v="1"/>
    <n v="412"/>
    <n v="61.8"/>
    <n v="60"/>
    <n v="412"/>
    <n v="410.2"/>
    <x v="3"/>
    <x v="0"/>
    <x v="1"/>
    <n v="28"/>
    <n v="3.3"/>
  </r>
  <r>
    <x v="170"/>
    <x v="11"/>
    <x v="0"/>
    <n v="1"/>
    <n v="12"/>
    <s v="Sunday"/>
    <x v="3"/>
    <x v="9"/>
    <x v="7"/>
    <s v="Chicken Burger"/>
    <x v="1"/>
    <n v="1"/>
    <n v="604"/>
    <n v="151"/>
    <n v="50"/>
    <n v="604"/>
    <n v="503"/>
    <x v="2"/>
    <x v="2"/>
    <x v="1"/>
    <n v="56"/>
    <m/>
  </r>
  <r>
    <x v="171"/>
    <x v="12"/>
    <x v="0"/>
    <n v="1"/>
    <n v="13"/>
    <s v="Monday"/>
    <x v="1"/>
    <x v="8"/>
    <x v="0"/>
    <s v="Paneer Butter Masala"/>
    <x v="1"/>
    <n v="3"/>
    <n v="529"/>
    <n v="105.8"/>
    <n v="30"/>
    <n v="1587"/>
    <n v="1511.2"/>
    <x v="1"/>
    <x v="0"/>
    <x v="0"/>
    <n v="68"/>
    <n v="5"/>
  </r>
  <r>
    <x v="172"/>
    <x v="12"/>
    <x v="0"/>
    <n v="1"/>
    <n v="13"/>
    <s v="Monday"/>
    <x v="4"/>
    <x v="9"/>
    <x v="6"/>
    <s v="Chicken Pizza"/>
    <x v="1"/>
    <n v="1"/>
    <n v="579"/>
    <n v="115.8"/>
    <n v="40"/>
    <n v="579"/>
    <n v="503.2"/>
    <x v="4"/>
    <x v="0"/>
    <x v="1"/>
    <n v="61"/>
    <n v="4.8"/>
  </r>
  <r>
    <x v="173"/>
    <x v="12"/>
    <x v="0"/>
    <n v="1"/>
    <n v="13"/>
    <s v="Monday"/>
    <x v="0"/>
    <x v="13"/>
    <x v="0"/>
    <s v="Chicken Momos"/>
    <x v="1"/>
    <n v="2"/>
    <n v="793"/>
    <n v="158.6"/>
    <n v="70"/>
    <n v="1586"/>
    <n v="1497.4"/>
    <x v="2"/>
    <x v="0"/>
    <x v="1"/>
    <n v="70"/>
    <n v="4.8"/>
  </r>
  <r>
    <x v="174"/>
    <x v="12"/>
    <x v="0"/>
    <n v="1"/>
    <n v="13"/>
    <s v="Monday"/>
    <x v="2"/>
    <x v="9"/>
    <x v="1"/>
    <s v="Veg Momos"/>
    <x v="1"/>
    <n v="3"/>
    <n v="483"/>
    <n v="0"/>
    <n v="50"/>
    <n v="1449"/>
    <n v="1499"/>
    <x v="2"/>
    <x v="0"/>
    <x v="1"/>
    <n v="46"/>
    <n v="4.5"/>
  </r>
  <r>
    <x v="175"/>
    <x v="12"/>
    <x v="0"/>
    <n v="1"/>
    <n v="13"/>
    <s v="Monday"/>
    <x v="6"/>
    <x v="10"/>
    <x v="2"/>
    <s v="Masala Dosa"/>
    <x v="1"/>
    <n v="1"/>
    <n v="828"/>
    <n v="41.4"/>
    <n v="50"/>
    <n v="828"/>
    <n v="836.6"/>
    <x v="1"/>
    <x v="0"/>
    <x v="0"/>
    <n v="48"/>
    <n v="4.9000000000000004"/>
  </r>
  <r>
    <x v="176"/>
    <x v="12"/>
    <x v="0"/>
    <n v="1"/>
    <n v="13"/>
    <s v="Monday"/>
    <x v="8"/>
    <x v="14"/>
    <x v="4"/>
    <s v="Veg Biryani"/>
    <x v="1"/>
    <n v="1"/>
    <n v="241"/>
    <n v="24.1"/>
    <n v="60"/>
    <n v="241"/>
    <n v="276.89999999999998"/>
    <x v="3"/>
    <x v="0"/>
    <x v="1"/>
    <n v="55"/>
    <n v="3.5"/>
  </r>
  <r>
    <x v="177"/>
    <x v="12"/>
    <x v="0"/>
    <n v="1"/>
    <n v="13"/>
    <s v="Monday"/>
    <x v="6"/>
    <x v="3"/>
    <x v="5"/>
    <s v="Chicken Momos"/>
    <x v="1"/>
    <n v="2"/>
    <n v="556"/>
    <n v="55.6"/>
    <n v="60"/>
    <n v="1112"/>
    <n v="1116.4000000000001"/>
    <x v="2"/>
    <x v="0"/>
    <x v="1"/>
    <n v="45"/>
    <n v="3.8"/>
  </r>
  <r>
    <x v="178"/>
    <x v="12"/>
    <x v="0"/>
    <n v="1"/>
    <n v="13"/>
    <s v="Monday"/>
    <x v="5"/>
    <x v="5"/>
    <x v="0"/>
    <s v="Chicken Pizza"/>
    <x v="1"/>
    <n v="2"/>
    <n v="369"/>
    <n v="73.8"/>
    <n v="0"/>
    <n v="738"/>
    <n v="664.2"/>
    <x v="4"/>
    <x v="0"/>
    <x v="0"/>
    <n v="45"/>
    <n v="4.3"/>
  </r>
  <r>
    <x v="179"/>
    <x v="12"/>
    <x v="0"/>
    <n v="1"/>
    <n v="13"/>
    <s v="Monday"/>
    <x v="1"/>
    <x v="11"/>
    <x v="4"/>
    <s v="Chicken Momos"/>
    <x v="1"/>
    <n v="1"/>
    <n v="736"/>
    <n v="147.19999999999999"/>
    <n v="0"/>
    <n v="736"/>
    <n v="588.79999999999995"/>
    <x v="4"/>
    <x v="0"/>
    <x v="0"/>
    <n v="19"/>
    <n v="4.8"/>
  </r>
  <r>
    <x v="180"/>
    <x v="12"/>
    <x v="0"/>
    <n v="1"/>
    <n v="13"/>
    <s v="Monday"/>
    <x v="0"/>
    <x v="7"/>
    <x v="2"/>
    <s v="Chocolate Cake"/>
    <x v="1"/>
    <n v="1"/>
    <n v="466"/>
    <n v="116.5"/>
    <n v="0"/>
    <n v="466"/>
    <n v="349.5"/>
    <x v="1"/>
    <x v="0"/>
    <x v="1"/>
    <n v="51"/>
    <n v="4.7"/>
  </r>
  <r>
    <x v="181"/>
    <x v="12"/>
    <x v="0"/>
    <n v="1"/>
    <n v="13"/>
    <s v="Monday"/>
    <x v="6"/>
    <x v="8"/>
    <x v="8"/>
    <s v="Chicken Biryani"/>
    <x v="1"/>
    <n v="1"/>
    <n v="452"/>
    <n v="67.8"/>
    <n v="20"/>
    <n v="452"/>
    <n v="404.2"/>
    <x v="2"/>
    <x v="2"/>
    <x v="1"/>
    <n v="67"/>
    <m/>
  </r>
  <r>
    <x v="182"/>
    <x v="12"/>
    <x v="0"/>
    <n v="1"/>
    <n v="13"/>
    <s v="Monday"/>
    <x v="3"/>
    <x v="6"/>
    <x v="9"/>
    <s v="French Fries"/>
    <x v="2"/>
    <n v="1"/>
    <n v="160"/>
    <n v="24"/>
    <n v="0"/>
    <n v="160"/>
    <n v="136"/>
    <x v="1"/>
    <x v="0"/>
    <x v="0"/>
    <n v="49"/>
    <n v="4.2"/>
  </r>
  <r>
    <x v="183"/>
    <x v="12"/>
    <x v="0"/>
    <n v="1"/>
    <n v="13"/>
    <s v="Monday"/>
    <x v="8"/>
    <x v="14"/>
    <x v="9"/>
    <s v="Masala Dosa"/>
    <x v="1"/>
    <n v="1"/>
    <n v="303"/>
    <n v="15.15"/>
    <n v="50"/>
    <n v="303"/>
    <n v="337.85"/>
    <x v="2"/>
    <x v="0"/>
    <x v="0"/>
    <n v="60"/>
    <n v="3.9"/>
  </r>
  <r>
    <x v="184"/>
    <x v="12"/>
    <x v="0"/>
    <n v="1"/>
    <n v="13"/>
    <s v="Monday"/>
    <x v="9"/>
    <x v="2"/>
    <x v="5"/>
    <s v="Chicken Momos"/>
    <x v="1"/>
    <n v="2"/>
    <n v="334"/>
    <n v="66.8"/>
    <n v="50"/>
    <n v="668"/>
    <n v="651.20000000000005"/>
    <x v="0"/>
    <x v="0"/>
    <x v="1"/>
    <n v="69"/>
    <n v="4.5"/>
  </r>
  <r>
    <x v="185"/>
    <x v="12"/>
    <x v="0"/>
    <n v="1"/>
    <n v="13"/>
    <s v="Monday"/>
    <x v="3"/>
    <x v="8"/>
    <x v="8"/>
    <s v="Chicken Biryani"/>
    <x v="1"/>
    <n v="3"/>
    <n v="799"/>
    <n v="119.85"/>
    <n v="30"/>
    <n v="2397"/>
    <n v="2307.15"/>
    <x v="1"/>
    <x v="0"/>
    <x v="1"/>
    <n v="49"/>
    <n v="3.9"/>
  </r>
  <r>
    <x v="186"/>
    <x v="12"/>
    <x v="0"/>
    <n v="1"/>
    <n v="13"/>
    <s v="Monday"/>
    <x v="5"/>
    <x v="1"/>
    <x v="6"/>
    <s v="Chicken Pizza"/>
    <x v="1"/>
    <n v="2"/>
    <n v="399"/>
    <n v="99.75"/>
    <n v="40"/>
    <n v="798"/>
    <n v="738.25"/>
    <x v="1"/>
    <x v="0"/>
    <x v="1"/>
    <n v="32"/>
    <n v="3.3"/>
  </r>
  <r>
    <x v="187"/>
    <x v="13"/>
    <x v="0"/>
    <n v="1"/>
    <n v="14"/>
    <s v="Tuesday"/>
    <x v="5"/>
    <x v="9"/>
    <x v="7"/>
    <s v="Chicken Momos"/>
    <x v="0"/>
    <n v="2"/>
    <n v="228"/>
    <n v="34.200000000000003"/>
    <n v="60"/>
    <n v="456"/>
    <n v="481.8"/>
    <x v="4"/>
    <x v="0"/>
    <x v="0"/>
    <n v="61"/>
    <n v="3.1"/>
  </r>
  <r>
    <x v="188"/>
    <x v="13"/>
    <x v="0"/>
    <n v="1"/>
    <n v="14"/>
    <s v="Tuesday"/>
    <x v="4"/>
    <x v="9"/>
    <x v="1"/>
    <s v="Veg Pizza"/>
    <x v="1"/>
    <n v="3"/>
    <n v="371"/>
    <n v="55.65"/>
    <n v="40"/>
    <n v="1113"/>
    <n v="1097.3499999999999"/>
    <x v="4"/>
    <x v="0"/>
    <x v="1"/>
    <n v="44"/>
    <n v="4.9000000000000004"/>
  </r>
  <r>
    <x v="189"/>
    <x v="13"/>
    <x v="0"/>
    <n v="1"/>
    <n v="14"/>
    <s v="Tuesday"/>
    <x v="3"/>
    <x v="7"/>
    <x v="8"/>
    <s v="Idli Sambar"/>
    <x v="1"/>
    <n v="1"/>
    <n v="215"/>
    <n v="53.75"/>
    <n v="50"/>
    <n v="215"/>
    <n v="211.25"/>
    <x v="3"/>
    <x v="0"/>
    <x v="1"/>
    <n v="33"/>
    <n v="3.8"/>
  </r>
  <r>
    <x v="190"/>
    <x v="13"/>
    <x v="0"/>
    <n v="1"/>
    <n v="14"/>
    <s v="Tuesday"/>
    <x v="5"/>
    <x v="3"/>
    <x v="6"/>
    <s v="Cold Coffee"/>
    <x v="1"/>
    <n v="1"/>
    <n v="631"/>
    <n v="0"/>
    <n v="20"/>
    <n v="631"/>
    <n v="651"/>
    <x v="2"/>
    <x v="3"/>
    <x v="0"/>
    <n v="20"/>
    <m/>
  </r>
  <r>
    <x v="191"/>
    <x v="13"/>
    <x v="0"/>
    <n v="1"/>
    <n v="14"/>
    <s v="Tuesday"/>
    <x v="3"/>
    <x v="13"/>
    <x v="8"/>
    <s v="Chocolate Cake"/>
    <x v="1"/>
    <n v="3"/>
    <n v="610"/>
    <n v="122"/>
    <n v="30"/>
    <n v="1830"/>
    <n v="1738"/>
    <x v="2"/>
    <x v="0"/>
    <x v="1"/>
    <n v="42"/>
    <n v="4"/>
  </r>
  <r>
    <x v="192"/>
    <x v="13"/>
    <x v="0"/>
    <n v="1"/>
    <n v="14"/>
    <s v="Tuesday"/>
    <x v="9"/>
    <x v="8"/>
    <x v="1"/>
    <s v="Veg Biryani"/>
    <x v="1"/>
    <n v="1"/>
    <n v="419"/>
    <n v="20.95"/>
    <n v="30"/>
    <n v="419"/>
    <n v="428.05"/>
    <x v="1"/>
    <x v="0"/>
    <x v="1"/>
    <n v="63"/>
    <n v="4.5999999999999996"/>
  </r>
  <r>
    <x v="193"/>
    <x v="13"/>
    <x v="0"/>
    <n v="1"/>
    <n v="14"/>
    <s v="Tuesday"/>
    <x v="9"/>
    <x v="10"/>
    <x v="7"/>
    <s v="Fried Rice"/>
    <x v="2"/>
    <n v="1"/>
    <n v="404"/>
    <n v="60.6"/>
    <n v="50"/>
    <n v="404"/>
    <n v="393.4"/>
    <x v="0"/>
    <x v="0"/>
    <x v="1"/>
    <n v="46"/>
    <n v="3.9"/>
  </r>
  <r>
    <x v="194"/>
    <x v="13"/>
    <x v="0"/>
    <n v="1"/>
    <n v="14"/>
    <s v="Tuesday"/>
    <x v="3"/>
    <x v="13"/>
    <x v="9"/>
    <s v="Idli Sambar"/>
    <x v="1"/>
    <n v="3"/>
    <n v="494"/>
    <n v="0"/>
    <n v="40"/>
    <n v="1482"/>
    <n v="1522"/>
    <x v="4"/>
    <x v="0"/>
    <x v="0"/>
    <n v="60"/>
    <n v="5"/>
  </r>
  <r>
    <x v="195"/>
    <x v="13"/>
    <x v="0"/>
    <n v="1"/>
    <n v="14"/>
    <s v="Tuesday"/>
    <x v="0"/>
    <x v="7"/>
    <x v="2"/>
    <s v="Idli Sambar"/>
    <x v="1"/>
    <n v="2"/>
    <n v="359"/>
    <n v="89.75"/>
    <n v="30"/>
    <n v="718"/>
    <n v="658.25"/>
    <x v="3"/>
    <x v="0"/>
    <x v="1"/>
    <n v="54"/>
    <n v="3.2"/>
  </r>
  <r>
    <x v="196"/>
    <x v="13"/>
    <x v="0"/>
    <n v="1"/>
    <n v="14"/>
    <s v="Tuesday"/>
    <x v="7"/>
    <x v="14"/>
    <x v="2"/>
    <s v="Idli Sambar"/>
    <x v="3"/>
    <n v="2"/>
    <n v="823"/>
    <n v="123.45"/>
    <n v="50"/>
    <n v="1646"/>
    <n v="1572.55"/>
    <x v="2"/>
    <x v="0"/>
    <x v="1"/>
    <n v="63"/>
    <n v="4.4000000000000004"/>
  </r>
  <r>
    <x v="197"/>
    <x v="13"/>
    <x v="0"/>
    <n v="1"/>
    <n v="14"/>
    <s v="Tuesday"/>
    <x v="8"/>
    <x v="9"/>
    <x v="5"/>
    <s v="Veg Momos"/>
    <x v="1"/>
    <n v="2"/>
    <n v="596"/>
    <n v="149"/>
    <n v="50"/>
    <n v="1192"/>
    <n v="1093"/>
    <x v="4"/>
    <x v="0"/>
    <x v="1"/>
    <n v="18"/>
    <n v="3.2"/>
  </r>
  <r>
    <x v="198"/>
    <x v="13"/>
    <x v="0"/>
    <n v="1"/>
    <n v="14"/>
    <s v="Tuesday"/>
    <x v="3"/>
    <x v="6"/>
    <x v="1"/>
    <s v="Veg Pizza"/>
    <x v="1"/>
    <n v="2"/>
    <n v="899"/>
    <n v="134.85"/>
    <n v="40"/>
    <n v="1798"/>
    <n v="1703.15"/>
    <x v="0"/>
    <x v="0"/>
    <x v="1"/>
    <n v="49"/>
    <n v="4.7"/>
  </r>
  <r>
    <x v="199"/>
    <x v="13"/>
    <x v="0"/>
    <n v="1"/>
    <n v="14"/>
    <s v="Tuesday"/>
    <x v="7"/>
    <x v="5"/>
    <x v="1"/>
    <s v="Pasta"/>
    <x v="1"/>
    <n v="1"/>
    <n v="584"/>
    <n v="58.4"/>
    <n v="20"/>
    <n v="584"/>
    <n v="545.6"/>
    <x v="0"/>
    <x v="0"/>
    <x v="0"/>
    <n v="68"/>
    <n v="3.7"/>
  </r>
  <r>
    <x v="200"/>
    <x v="13"/>
    <x v="0"/>
    <n v="1"/>
    <n v="14"/>
    <s v="Tuesday"/>
    <x v="0"/>
    <x v="6"/>
    <x v="7"/>
    <s v="French Fries"/>
    <x v="1"/>
    <n v="2"/>
    <n v="256"/>
    <n v="38.4"/>
    <n v="20"/>
    <n v="512"/>
    <n v="493.6"/>
    <x v="1"/>
    <x v="3"/>
    <x v="1"/>
    <n v="25"/>
    <m/>
  </r>
  <r>
    <x v="201"/>
    <x v="13"/>
    <x v="0"/>
    <n v="1"/>
    <n v="14"/>
    <s v="Tuesday"/>
    <x v="6"/>
    <x v="4"/>
    <x v="9"/>
    <s v="Chicken Pizza"/>
    <x v="3"/>
    <n v="2"/>
    <n v="168"/>
    <n v="25.2"/>
    <n v="0"/>
    <n v="336"/>
    <n v="310.8"/>
    <x v="3"/>
    <x v="0"/>
    <x v="0"/>
    <n v="32"/>
    <n v="3.8"/>
  </r>
  <r>
    <x v="202"/>
    <x v="13"/>
    <x v="0"/>
    <n v="1"/>
    <n v="14"/>
    <s v="Tuesday"/>
    <x v="2"/>
    <x v="6"/>
    <x v="1"/>
    <s v="Veg Pizza"/>
    <x v="1"/>
    <n v="1"/>
    <n v="455"/>
    <n v="22.75"/>
    <n v="30"/>
    <n v="455"/>
    <n v="462.25"/>
    <x v="1"/>
    <x v="0"/>
    <x v="1"/>
    <n v="24"/>
    <n v="3.9"/>
  </r>
  <r>
    <x v="203"/>
    <x v="13"/>
    <x v="0"/>
    <n v="1"/>
    <n v="14"/>
    <s v="Tuesday"/>
    <x v="3"/>
    <x v="2"/>
    <x v="7"/>
    <s v="Paneer Butter Masala"/>
    <x v="1"/>
    <n v="1"/>
    <n v="165"/>
    <n v="33"/>
    <n v="30"/>
    <n v="165"/>
    <n v="162"/>
    <x v="4"/>
    <x v="2"/>
    <x v="0"/>
    <n v="62"/>
    <m/>
  </r>
  <r>
    <x v="204"/>
    <x v="14"/>
    <x v="0"/>
    <n v="1"/>
    <n v="15"/>
    <s v="Wednesday"/>
    <x v="4"/>
    <x v="7"/>
    <x v="6"/>
    <s v="Chicken Pizza"/>
    <x v="1"/>
    <n v="3"/>
    <n v="714"/>
    <n v="142.80000000000001"/>
    <n v="30"/>
    <n v="2142"/>
    <n v="2029.2"/>
    <x v="1"/>
    <x v="0"/>
    <x v="0"/>
    <n v="68"/>
    <n v="3.4"/>
  </r>
  <r>
    <x v="205"/>
    <x v="14"/>
    <x v="0"/>
    <n v="1"/>
    <n v="15"/>
    <s v="Wednesday"/>
    <x v="4"/>
    <x v="3"/>
    <x v="8"/>
    <s v="Veg Pizza"/>
    <x v="1"/>
    <n v="3"/>
    <n v="800"/>
    <n v="40"/>
    <n v="60"/>
    <n v="2400"/>
    <n v="2420"/>
    <x v="1"/>
    <x v="0"/>
    <x v="1"/>
    <n v="43"/>
    <n v="4"/>
  </r>
  <r>
    <x v="206"/>
    <x v="14"/>
    <x v="0"/>
    <n v="1"/>
    <n v="15"/>
    <s v="Wednesday"/>
    <x v="9"/>
    <x v="10"/>
    <x v="6"/>
    <s v="Veg Biryani"/>
    <x v="0"/>
    <n v="3"/>
    <n v="485"/>
    <n v="97"/>
    <n v="20"/>
    <n v="1455"/>
    <n v="1378"/>
    <x v="1"/>
    <x v="1"/>
    <x v="1"/>
    <n v="37"/>
    <m/>
  </r>
  <r>
    <x v="207"/>
    <x v="14"/>
    <x v="0"/>
    <n v="1"/>
    <n v="15"/>
    <s v="Wednesday"/>
    <x v="4"/>
    <x v="13"/>
    <x v="8"/>
    <s v="Masala Dosa"/>
    <x v="1"/>
    <n v="1"/>
    <n v="736"/>
    <n v="36.799999999999997"/>
    <n v="0"/>
    <n v="736"/>
    <n v="699.2"/>
    <x v="4"/>
    <x v="0"/>
    <x v="1"/>
    <n v="67"/>
    <n v="3.6"/>
  </r>
  <r>
    <x v="208"/>
    <x v="14"/>
    <x v="0"/>
    <n v="1"/>
    <n v="15"/>
    <s v="Wednesday"/>
    <x v="1"/>
    <x v="12"/>
    <x v="0"/>
    <s v="Fried Rice"/>
    <x v="1"/>
    <n v="2"/>
    <n v="805"/>
    <n v="161"/>
    <n v="50"/>
    <n v="1610"/>
    <n v="1499"/>
    <x v="4"/>
    <x v="0"/>
    <x v="1"/>
    <n v="48"/>
    <n v="4.8"/>
  </r>
  <r>
    <x v="209"/>
    <x v="14"/>
    <x v="0"/>
    <n v="1"/>
    <n v="15"/>
    <s v="Wednesday"/>
    <x v="0"/>
    <x v="11"/>
    <x v="1"/>
    <s v="Masala Dosa"/>
    <x v="2"/>
    <n v="2"/>
    <n v="487"/>
    <n v="48.7"/>
    <n v="30"/>
    <n v="974"/>
    <n v="955.3"/>
    <x v="2"/>
    <x v="3"/>
    <x v="1"/>
    <n v="63"/>
    <m/>
  </r>
  <r>
    <x v="210"/>
    <x v="14"/>
    <x v="0"/>
    <n v="1"/>
    <n v="15"/>
    <s v="Wednesday"/>
    <x v="3"/>
    <x v="0"/>
    <x v="9"/>
    <s v="Paneer Butter Masala"/>
    <x v="2"/>
    <n v="1"/>
    <n v="814"/>
    <n v="81.400000000000006"/>
    <n v="20"/>
    <n v="814"/>
    <n v="752.6"/>
    <x v="1"/>
    <x v="0"/>
    <x v="0"/>
    <n v="58"/>
    <n v="3.8"/>
  </r>
  <r>
    <x v="211"/>
    <x v="14"/>
    <x v="0"/>
    <n v="1"/>
    <n v="15"/>
    <s v="Wednesday"/>
    <x v="0"/>
    <x v="6"/>
    <x v="2"/>
    <s v="Chicken Biryani"/>
    <x v="1"/>
    <n v="2"/>
    <n v="244"/>
    <n v="48.8"/>
    <n v="30"/>
    <n v="488"/>
    <n v="469.2"/>
    <x v="1"/>
    <x v="0"/>
    <x v="1"/>
    <n v="64"/>
    <n v="4.7"/>
  </r>
  <r>
    <x v="212"/>
    <x v="14"/>
    <x v="0"/>
    <n v="1"/>
    <n v="15"/>
    <s v="Wednesday"/>
    <x v="0"/>
    <x v="9"/>
    <x v="3"/>
    <s v="Chicken Momos"/>
    <x v="3"/>
    <n v="2"/>
    <n v="844"/>
    <n v="84.4"/>
    <n v="0"/>
    <n v="1688"/>
    <n v="1603.6"/>
    <x v="1"/>
    <x v="0"/>
    <x v="0"/>
    <n v="22"/>
    <n v="3.8"/>
  </r>
  <r>
    <x v="213"/>
    <x v="14"/>
    <x v="0"/>
    <n v="1"/>
    <n v="15"/>
    <s v="Wednesday"/>
    <x v="4"/>
    <x v="13"/>
    <x v="5"/>
    <s v="Veg Biryani"/>
    <x v="1"/>
    <n v="1"/>
    <n v="616"/>
    <n v="0"/>
    <n v="30"/>
    <n v="616"/>
    <n v="646"/>
    <x v="1"/>
    <x v="0"/>
    <x v="0"/>
    <n v="46"/>
    <n v="3.6"/>
  </r>
  <r>
    <x v="214"/>
    <x v="15"/>
    <x v="0"/>
    <n v="1"/>
    <n v="16"/>
    <s v="Thursday"/>
    <x v="5"/>
    <x v="12"/>
    <x v="1"/>
    <s v="Cold Coffee"/>
    <x v="1"/>
    <n v="3"/>
    <n v="886"/>
    <n v="44.3"/>
    <n v="30"/>
    <n v="2658"/>
    <n v="2643.7"/>
    <x v="2"/>
    <x v="0"/>
    <x v="1"/>
    <n v="65"/>
    <n v="3.5"/>
  </r>
  <r>
    <x v="215"/>
    <x v="15"/>
    <x v="0"/>
    <n v="1"/>
    <n v="16"/>
    <s v="Thursday"/>
    <x v="9"/>
    <x v="3"/>
    <x v="3"/>
    <s v="Chicken Burger"/>
    <x v="0"/>
    <n v="1"/>
    <n v="789"/>
    <n v="78.900000000000006"/>
    <n v="30"/>
    <n v="789"/>
    <n v="740.1"/>
    <x v="1"/>
    <x v="2"/>
    <x v="1"/>
    <n v="48"/>
    <m/>
  </r>
  <r>
    <x v="216"/>
    <x v="15"/>
    <x v="0"/>
    <n v="1"/>
    <n v="16"/>
    <s v="Thursday"/>
    <x v="7"/>
    <x v="13"/>
    <x v="9"/>
    <s v="Paneer Butter Masala"/>
    <x v="1"/>
    <n v="2"/>
    <n v="522"/>
    <n v="52.2"/>
    <n v="40"/>
    <n v="1044"/>
    <n v="1031.8"/>
    <x v="4"/>
    <x v="0"/>
    <x v="1"/>
    <n v="61"/>
    <n v="2.8"/>
  </r>
  <r>
    <x v="217"/>
    <x v="15"/>
    <x v="0"/>
    <n v="1"/>
    <n v="16"/>
    <s v="Thursday"/>
    <x v="3"/>
    <x v="8"/>
    <x v="7"/>
    <s v="Masala Dosa"/>
    <x v="3"/>
    <n v="2"/>
    <n v="667"/>
    <n v="100.05"/>
    <n v="70"/>
    <n v="1334"/>
    <n v="1303.95"/>
    <x v="1"/>
    <x v="0"/>
    <x v="0"/>
    <n v="55"/>
    <n v="3.4"/>
  </r>
  <r>
    <x v="218"/>
    <x v="15"/>
    <x v="0"/>
    <n v="1"/>
    <n v="16"/>
    <s v="Thursday"/>
    <x v="9"/>
    <x v="2"/>
    <x v="0"/>
    <s v="Pasta"/>
    <x v="1"/>
    <n v="1"/>
    <n v="328"/>
    <n v="65.599999999999994"/>
    <n v="20"/>
    <n v="328"/>
    <n v="282.39999999999998"/>
    <x v="1"/>
    <x v="0"/>
    <x v="0"/>
    <n v="33"/>
    <n v="4.0999999999999996"/>
  </r>
  <r>
    <x v="219"/>
    <x v="15"/>
    <x v="0"/>
    <n v="1"/>
    <n v="16"/>
    <s v="Thursday"/>
    <x v="9"/>
    <x v="5"/>
    <x v="2"/>
    <s v="Chicken Pizza"/>
    <x v="2"/>
    <n v="1"/>
    <n v="222"/>
    <n v="0"/>
    <n v="30"/>
    <n v="222"/>
    <n v="252"/>
    <x v="3"/>
    <x v="0"/>
    <x v="0"/>
    <n v="41"/>
    <n v="3.6"/>
  </r>
  <r>
    <x v="220"/>
    <x v="15"/>
    <x v="0"/>
    <n v="1"/>
    <n v="16"/>
    <s v="Thursday"/>
    <x v="5"/>
    <x v="9"/>
    <x v="3"/>
    <s v="Chicken Biryani"/>
    <x v="1"/>
    <n v="2"/>
    <n v="380"/>
    <n v="0"/>
    <n v="30"/>
    <n v="760"/>
    <n v="790"/>
    <x v="1"/>
    <x v="0"/>
    <x v="0"/>
    <n v="68"/>
    <n v="3.9"/>
  </r>
  <r>
    <x v="221"/>
    <x v="15"/>
    <x v="0"/>
    <n v="1"/>
    <n v="16"/>
    <s v="Thursday"/>
    <x v="4"/>
    <x v="2"/>
    <x v="8"/>
    <s v="Idli Sambar"/>
    <x v="1"/>
    <n v="1"/>
    <n v="627"/>
    <n v="62.7"/>
    <n v="50"/>
    <n v="627"/>
    <n v="614.29999999999995"/>
    <x v="2"/>
    <x v="2"/>
    <x v="1"/>
    <n v="56"/>
    <m/>
  </r>
  <r>
    <x v="222"/>
    <x v="15"/>
    <x v="0"/>
    <n v="1"/>
    <n v="16"/>
    <s v="Thursday"/>
    <x v="9"/>
    <x v="4"/>
    <x v="6"/>
    <s v="Fried Rice"/>
    <x v="1"/>
    <n v="2"/>
    <n v="486"/>
    <n v="0"/>
    <n v="40"/>
    <n v="972"/>
    <n v="1012"/>
    <x v="1"/>
    <x v="0"/>
    <x v="1"/>
    <n v="41"/>
    <n v="3.4"/>
  </r>
  <r>
    <x v="223"/>
    <x v="15"/>
    <x v="0"/>
    <n v="1"/>
    <n v="16"/>
    <s v="Thursday"/>
    <x v="0"/>
    <x v="7"/>
    <x v="2"/>
    <s v="Paneer Butter Masala"/>
    <x v="2"/>
    <n v="2"/>
    <n v="552"/>
    <n v="82.8"/>
    <n v="20"/>
    <n v="1104"/>
    <n v="1041.2"/>
    <x v="1"/>
    <x v="0"/>
    <x v="0"/>
    <n v="50"/>
    <n v="4.7"/>
  </r>
  <r>
    <x v="224"/>
    <x v="15"/>
    <x v="0"/>
    <n v="1"/>
    <n v="16"/>
    <s v="Thursday"/>
    <x v="6"/>
    <x v="9"/>
    <x v="8"/>
    <s v="Chicken Momos"/>
    <x v="1"/>
    <n v="2"/>
    <n v="456"/>
    <n v="22.8"/>
    <n v="60"/>
    <n v="912"/>
    <n v="949.2"/>
    <x v="4"/>
    <x v="0"/>
    <x v="1"/>
    <n v="42"/>
    <n v="4.2"/>
  </r>
  <r>
    <x v="225"/>
    <x v="16"/>
    <x v="0"/>
    <n v="1"/>
    <n v="17"/>
    <s v="Friday"/>
    <x v="3"/>
    <x v="2"/>
    <x v="7"/>
    <s v="Chicken Momos"/>
    <x v="3"/>
    <n v="1"/>
    <n v="340"/>
    <n v="51"/>
    <n v="20"/>
    <n v="340"/>
    <n v="309"/>
    <x v="1"/>
    <x v="0"/>
    <x v="1"/>
    <n v="19"/>
    <n v="5"/>
  </r>
  <r>
    <x v="226"/>
    <x v="16"/>
    <x v="0"/>
    <n v="1"/>
    <n v="17"/>
    <s v="Friday"/>
    <x v="8"/>
    <x v="14"/>
    <x v="9"/>
    <s v="Chicken Burger"/>
    <x v="3"/>
    <n v="1"/>
    <n v="434"/>
    <n v="65.099999999999994"/>
    <n v="40"/>
    <n v="434"/>
    <n v="408.9"/>
    <x v="2"/>
    <x v="0"/>
    <x v="1"/>
    <n v="34"/>
    <n v="4.0999999999999996"/>
  </r>
  <r>
    <x v="227"/>
    <x v="16"/>
    <x v="0"/>
    <n v="1"/>
    <n v="17"/>
    <s v="Friday"/>
    <x v="5"/>
    <x v="11"/>
    <x v="4"/>
    <s v="Veg Pizza"/>
    <x v="3"/>
    <n v="2"/>
    <n v="336"/>
    <n v="33.6"/>
    <n v="50"/>
    <n v="672"/>
    <n v="688.4"/>
    <x v="0"/>
    <x v="0"/>
    <x v="0"/>
    <n v="48"/>
    <n v="4.3"/>
  </r>
  <r>
    <x v="228"/>
    <x v="16"/>
    <x v="0"/>
    <n v="1"/>
    <n v="17"/>
    <s v="Friday"/>
    <x v="0"/>
    <x v="11"/>
    <x v="8"/>
    <s v="Veg Momos"/>
    <x v="1"/>
    <n v="1"/>
    <n v="801"/>
    <n v="0"/>
    <n v="60"/>
    <n v="801"/>
    <n v="861"/>
    <x v="1"/>
    <x v="0"/>
    <x v="1"/>
    <n v="49"/>
    <n v="4.4000000000000004"/>
  </r>
  <r>
    <x v="229"/>
    <x v="16"/>
    <x v="0"/>
    <n v="1"/>
    <n v="17"/>
    <s v="Friday"/>
    <x v="5"/>
    <x v="2"/>
    <x v="6"/>
    <s v="Veg Biryani"/>
    <x v="3"/>
    <n v="1"/>
    <n v="358"/>
    <n v="53.7"/>
    <n v="60"/>
    <n v="358"/>
    <n v="364.3"/>
    <x v="4"/>
    <x v="0"/>
    <x v="0"/>
    <n v="41"/>
    <n v="3.6"/>
  </r>
  <r>
    <x v="230"/>
    <x v="16"/>
    <x v="0"/>
    <n v="1"/>
    <n v="17"/>
    <s v="Friday"/>
    <x v="3"/>
    <x v="6"/>
    <x v="3"/>
    <s v="Chicken Burger"/>
    <x v="1"/>
    <n v="1"/>
    <n v="395"/>
    <n v="19.75"/>
    <n v="50"/>
    <n v="395"/>
    <n v="425.25"/>
    <x v="2"/>
    <x v="0"/>
    <x v="1"/>
    <n v="62"/>
    <n v="5"/>
  </r>
  <r>
    <x v="231"/>
    <x v="16"/>
    <x v="0"/>
    <n v="1"/>
    <n v="17"/>
    <s v="Friday"/>
    <x v="5"/>
    <x v="3"/>
    <x v="9"/>
    <s v="Chicken Burger"/>
    <x v="1"/>
    <n v="3"/>
    <n v="576"/>
    <n v="86.4"/>
    <n v="50"/>
    <n v="1728"/>
    <n v="1691.6"/>
    <x v="1"/>
    <x v="0"/>
    <x v="0"/>
    <n v="31"/>
    <n v="4.5"/>
  </r>
  <r>
    <x v="232"/>
    <x v="16"/>
    <x v="0"/>
    <n v="1"/>
    <n v="17"/>
    <s v="Friday"/>
    <x v="6"/>
    <x v="3"/>
    <x v="6"/>
    <s v="Veg Pizza"/>
    <x v="2"/>
    <n v="2"/>
    <n v="597"/>
    <n v="119.4"/>
    <n v="50"/>
    <n v="1194"/>
    <n v="1124.5999999999999"/>
    <x v="4"/>
    <x v="0"/>
    <x v="1"/>
    <n v="69"/>
    <n v="4.0999999999999996"/>
  </r>
  <r>
    <x v="233"/>
    <x v="16"/>
    <x v="0"/>
    <n v="1"/>
    <n v="17"/>
    <s v="Friday"/>
    <x v="3"/>
    <x v="12"/>
    <x v="5"/>
    <s v="Veg Burger"/>
    <x v="1"/>
    <n v="2"/>
    <n v="165"/>
    <n v="16.5"/>
    <n v="70"/>
    <n v="330"/>
    <n v="383.5"/>
    <x v="1"/>
    <x v="0"/>
    <x v="1"/>
    <n v="59"/>
    <n v="5"/>
  </r>
  <r>
    <x v="234"/>
    <x v="16"/>
    <x v="0"/>
    <n v="1"/>
    <n v="17"/>
    <s v="Friday"/>
    <x v="6"/>
    <x v="1"/>
    <x v="4"/>
    <s v="Fried Rice"/>
    <x v="3"/>
    <n v="1"/>
    <n v="650"/>
    <n v="162.5"/>
    <n v="0"/>
    <n v="650"/>
    <n v="487.5"/>
    <x v="2"/>
    <x v="0"/>
    <x v="0"/>
    <n v="69"/>
    <n v="4.5"/>
  </r>
  <r>
    <x v="235"/>
    <x v="16"/>
    <x v="0"/>
    <n v="1"/>
    <n v="17"/>
    <s v="Friday"/>
    <x v="2"/>
    <x v="7"/>
    <x v="5"/>
    <s v="Cold Coffee"/>
    <x v="2"/>
    <n v="2"/>
    <n v="269"/>
    <n v="0"/>
    <n v="50"/>
    <n v="538"/>
    <n v="588"/>
    <x v="0"/>
    <x v="3"/>
    <x v="1"/>
    <n v="27"/>
    <m/>
  </r>
  <r>
    <x v="236"/>
    <x v="16"/>
    <x v="0"/>
    <n v="1"/>
    <n v="17"/>
    <s v="Friday"/>
    <x v="2"/>
    <x v="2"/>
    <x v="0"/>
    <s v="Veg Burger"/>
    <x v="3"/>
    <n v="1"/>
    <n v="815"/>
    <n v="122.25"/>
    <n v="70"/>
    <n v="815"/>
    <n v="762.75"/>
    <x v="0"/>
    <x v="2"/>
    <x v="1"/>
    <n v="61"/>
    <m/>
  </r>
  <r>
    <x v="237"/>
    <x v="16"/>
    <x v="0"/>
    <n v="1"/>
    <n v="17"/>
    <s v="Friday"/>
    <x v="1"/>
    <x v="10"/>
    <x v="7"/>
    <s v="Paneer Butter Masala"/>
    <x v="1"/>
    <n v="1"/>
    <n v="322"/>
    <n v="48.3"/>
    <n v="40"/>
    <n v="322"/>
    <n v="313.7"/>
    <x v="1"/>
    <x v="0"/>
    <x v="1"/>
    <n v="28"/>
    <n v="4.3"/>
  </r>
  <r>
    <x v="238"/>
    <x v="16"/>
    <x v="0"/>
    <n v="1"/>
    <n v="17"/>
    <s v="Friday"/>
    <x v="0"/>
    <x v="2"/>
    <x v="4"/>
    <s v="Chicken Biryani"/>
    <x v="2"/>
    <n v="3"/>
    <n v="777"/>
    <n v="194.25"/>
    <n v="0"/>
    <n v="2331"/>
    <n v="2136.75"/>
    <x v="1"/>
    <x v="0"/>
    <x v="0"/>
    <n v="32"/>
    <n v="3.9"/>
  </r>
  <r>
    <x v="239"/>
    <x v="16"/>
    <x v="0"/>
    <n v="1"/>
    <n v="17"/>
    <s v="Friday"/>
    <x v="3"/>
    <x v="6"/>
    <x v="1"/>
    <s v="Veg Burger"/>
    <x v="2"/>
    <n v="2"/>
    <n v="433"/>
    <n v="0"/>
    <n v="20"/>
    <n v="866"/>
    <n v="886"/>
    <x v="1"/>
    <x v="0"/>
    <x v="0"/>
    <n v="67"/>
    <n v="4.5"/>
  </r>
  <r>
    <x v="240"/>
    <x v="16"/>
    <x v="0"/>
    <n v="1"/>
    <n v="17"/>
    <s v="Friday"/>
    <x v="1"/>
    <x v="12"/>
    <x v="5"/>
    <s v="Chicken Pizza"/>
    <x v="2"/>
    <n v="2"/>
    <n v="320"/>
    <n v="32"/>
    <n v="0"/>
    <n v="640"/>
    <n v="608"/>
    <x v="1"/>
    <x v="0"/>
    <x v="1"/>
    <n v="24"/>
    <n v="3.8"/>
  </r>
  <r>
    <x v="241"/>
    <x v="16"/>
    <x v="0"/>
    <n v="1"/>
    <n v="17"/>
    <s v="Friday"/>
    <x v="7"/>
    <x v="2"/>
    <x v="3"/>
    <s v="Chicken Biryani"/>
    <x v="1"/>
    <n v="1"/>
    <n v="484"/>
    <n v="0"/>
    <n v="20"/>
    <n v="484"/>
    <n v="504"/>
    <x v="1"/>
    <x v="0"/>
    <x v="1"/>
    <n v="65"/>
    <n v="4.7"/>
  </r>
  <r>
    <x v="242"/>
    <x v="16"/>
    <x v="0"/>
    <n v="1"/>
    <n v="17"/>
    <s v="Friday"/>
    <x v="5"/>
    <x v="8"/>
    <x v="7"/>
    <s v="Chicken Momos"/>
    <x v="1"/>
    <n v="2"/>
    <n v="175"/>
    <n v="26.25"/>
    <n v="30"/>
    <n v="350"/>
    <n v="353.75"/>
    <x v="1"/>
    <x v="0"/>
    <x v="1"/>
    <n v="43"/>
    <n v="4.5"/>
  </r>
  <r>
    <x v="243"/>
    <x v="17"/>
    <x v="0"/>
    <n v="1"/>
    <n v="18"/>
    <s v="Saturday"/>
    <x v="7"/>
    <x v="9"/>
    <x v="3"/>
    <s v="Chicken Burger"/>
    <x v="1"/>
    <n v="2"/>
    <n v="139"/>
    <n v="6.95"/>
    <n v="20"/>
    <n v="278"/>
    <n v="291.05"/>
    <x v="1"/>
    <x v="0"/>
    <x v="1"/>
    <n v="47"/>
    <n v="4.7"/>
  </r>
  <r>
    <x v="244"/>
    <x v="17"/>
    <x v="0"/>
    <n v="1"/>
    <n v="18"/>
    <s v="Saturday"/>
    <x v="8"/>
    <x v="9"/>
    <x v="2"/>
    <s v="Veg Momos"/>
    <x v="1"/>
    <n v="3"/>
    <n v="881"/>
    <n v="44.05"/>
    <n v="50"/>
    <n v="2643"/>
    <n v="2648.95"/>
    <x v="1"/>
    <x v="0"/>
    <x v="0"/>
    <n v="70"/>
    <n v="3.5"/>
  </r>
  <r>
    <x v="245"/>
    <x v="17"/>
    <x v="0"/>
    <n v="1"/>
    <n v="18"/>
    <s v="Saturday"/>
    <x v="5"/>
    <x v="8"/>
    <x v="9"/>
    <s v="Chocolate Cake"/>
    <x v="1"/>
    <n v="3"/>
    <n v="167"/>
    <n v="33.4"/>
    <n v="30"/>
    <n v="501"/>
    <n v="497.6"/>
    <x v="2"/>
    <x v="0"/>
    <x v="1"/>
    <n v="40"/>
    <n v="4.3"/>
  </r>
  <r>
    <x v="246"/>
    <x v="17"/>
    <x v="0"/>
    <n v="1"/>
    <n v="18"/>
    <s v="Saturday"/>
    <x v="9"/>
    <x v="6"/>
    <x v="7"/>
    <s v="Veg Biryani"/>
    <x v="2"/>
    <n v="2"/>
    <n v="196"/>
    <n v="29.4"/>
    <n v="60"/>
    <n v="392"/>
    <n v="422.6"/>
    <x v="1"/>
    <x v="1"/>
    <x v="1"/>
    <n v="68"/>
    <m/>
  </r>
  <r>
    <x v="247"/>
    <x v="17"/>
    <x v="0"/>
    <n v="1"/>
    <n v="18"/>
    <s v="Saturday"/>
    <x v="7"/>
    <x v="9"/>
    <x v="5"/>
    <s v="Veg Burger"/>
    <x v="2"/>
    <n v="2"/>
    <n v="399"/>
    <n v="39.9"/>
    <n v="60"/>
    <n v="798"/>
    <n v="818.1"/>
    <x v="0"/>
    <x v="0"/>
    <x v="1"/>
    <n v="58"/>
    <n v="3.6"/>
  </r>
  <r>
    <x v="248"/>
    <x v="17"/>
    <x v="0"/>
    <n v="1"/>
    <n v="18"/>
    <s v="Saturday"/>
    <x v="4"/>
    <x v="10"/>
    <x v="9"/>
    <s v="Veg Biryani"/>
    <x v="1"/>
    <n v="2"/>
    <n v="707"/>
    <n v="35.35"/>
    <n v="30"/>
    <n v="1414"/>
    <n v="1408.65"/>
    <x v="0"/>
    <x v="0"/>
    <x v="0"/>
    <n v="49"/>
    <n v="3.6"/>
  </r>
  <r>
    <x v="249"/>
    <x v="18"/>
    <x v="0"/>
    <n v="1"/>
    <n v="19"/>
    <s v="Sunday"/>
    <x v="1"/>
    <x v="3"/>
    <x v="2"/>
    <s v="French Fries"/>
    <x v="1"/>
    <n v="2"/>
    <n v="683"/>
    <n v="68.3"/>
    <n v="50"/>
    <n v="1366"/>
    <n v="1347.7"/>
    <x v="1"/>
    <x v="0"/>
    <x v="1"/>
    <n v="55"/>
    <n v="4.3"/>
  </r>
  <r>
    <x v="250"/>
    <x v="18"/>
    <x v="0"/>
    <n v="1"/>
    <n v="19"/>
    <s v="Sunday"/>
    <x v="3"/>
    <x v="5"/>
    <x v="3"/>
    <s v="Chicken Momos"/>
    <x v="0"/>
    <n v="1"/>
    <n v="579"/>
    <n v="28.95"/>
    <n v="40"/>
    <n v="579"/>
    <n v="590.04999999999995"/>
    <x v="2"/>
    <x v="0"/>
    <x v="0"/>
    <n v="18"/>
    <n v="4.2"/>
  </r>
  <r>
    <x v="251"/>
    <x v="18"/>
    <x v="0"/>
    <n v="1"/>
    <n v="19"/>
    <s v="Sunday"/>
    <x v="2"/>
    <x v="2"/>
    <x v="5"/>
    <s v="Chicken Pizza"/>
    <x v="1"/>
    <n v="2"/>
    <n v="672"/>
    <n v="33.6"/>
    <n v="0"/>
    <n v="1344"/>
    <n v="1310.4000000000001"/>
    <x v="0"/>
    <x v="0"/>
    <x v="1"/>
    <n v="63"/>
    <n v="3.6"/>
  </r>
  <r>
    <x v="252"/>
    <x v="18"/>
    <x v="0"/>
    <n v="1"/>
    <n v="19"/>
    <s v="Sunday"/>
    <x v="1"/>
    <x v="7"/>
    <x v="7"/>
    <s v="Chicken Burger"/>
    <x v="1"/>
    <n v="1"/>
    <n v="858"/>
    <n v="85.8"/>
    <n v="20"/>
    <n v="858"/>
    <n v="792.2"/>
    <x v="0"/>
    <x v="0"/>
    <x v="0"/>
    <n v="55"/>
    <n v="4"/>
  </r>
  <r>
    <x v="253"/>
    <x v="18"/>
    <x v="0"/>
    <n v="1"/>
    <n v="19"/>
    <s v="Sunday"/>
    <x v="9"/>
    <x v="3"/>
    <x v="6"/>
    <s v="Paneer Butter Masala"/>
    <x v="1"/>
    <n v="2"/>
    <n v="215"/>
    <n v="0"/>
    <n v="40"/>
    <n v="430"/>
    <n v="470"/>
    <x v="0"/>
    <x v="2"/>
    <x v="1"/>
    <n v="31"/>
    <m/>
  </r>
  <r>
    <x v="254"/>
    <x v="18"/>
    <x v="0"/>
    <n v="1"/>
    <n v="19"/>
    <s v="Sunday"/>
    <x v="7"/>
    <x v="10"/>
    <x v="0"/>
    <s v="Veg Burger"/>
    <x v="2"/>
    <n v="1"/>
    <n v="527"/>
    <n v="26.35"/>
    <n v="20"/>
    <n v="527"/>
    <n v="520.65"/>
    <x v="0"/>
    <x v="0"/>
    <x v="1"/>
    <n v="57"/>
    <n v="4.9000000000000004"/>
  </r>
  <r>
    <x v="255"/>
    <x v="18"/>
    <x v="0"/>
    <n v="1"/>
    <n v="19"/>
    <s v="Sunday"/>
    <x v="1"/>
    <x v="13"/>
    <x v="2"/>
    <s v="Chicken Pizza"/>
    <x v="1"/>
    <n v="3"/>
    <n v="610"/>
    <n v="91.5"/>
    <n v="70"/>
    <n v="1830"/>
    <n v="1808.5"/>
    <x v="4"/>
    <x v="0"/>
    <x v="0"/>
    <n v="49"/>
    <n v="4.3"/>
  </r>
  <r>
    <x v="256"/>
    <x v="18"/>
    <x v="0"/>
    <n v="1"/>
    <n v="19"/>
    <s v="Sunday"/>
    <x v="3"/>
    <x v="10"/>
    <x v="3"/>
    <s v="Masala Dosa"/>
    <x v="0"/>
    <n v="1"/>
    <n v="398"/>
    <n v="79.599999999999994"/>
    <n v="0"/>
    <n v="398"/>
    <n v="318.39999999999998"/>
    <x v="1"/>
    <x v="0"/>
    <x v="1"/>
    <n v="67"/>
    <n v="4.5"/>
  </r>
  <r>
    <x v="257"/>
    <x v="18"/>
    <x v="0"/>
    <n v="1"/>
    <n v="19"/>
    <s v="Sunday"/>
    <x v="4"/>
    <x v="2"/>
    <x v="5"/>
    <s v="Masala Dosa"/>
    <x v="1"/>
    <n v="1"/>
    <n v="361"/>
    <n v="18.05"/>
    <n v="50"/>
    <n v="361"/>
    <n v="392.95"/>
    <x v="1"/>
    <x v="2"/>
    <x v="1"/>
    <n v="34"/>
    <m/>
  </r>
  <r>
    <x v="258"/>
    <x v="18"/>
    <x v="0"/>
    <n v="1"/>
    <n v="19"/>
    <s v="Sunday"/>
    <x v="7"/>
    <x v="5"/>
    <x v="7"/>
    <s v="Cold Coffee"/>
    <x v="2"/>
    <n v="2"/>
    <n v="853"/>
    <n v="42.65"/>
    <n v="70"/>
    <n v="1706"/>
    <n v="1733.35"/>
    <x v="1"/>
    <x v="0"/>
    <x v="0"/>
    <n v="65"/>
    <n v="3.9"/>
  </r>
  <r>
    <x v="259"/>
    <x v="18"/>
    <x v="0"/>
    <n v="1"/>
    <n v="19"/>
    <s v="Sunday"/>
    <x v="4"/>
    <x v="13"/>
    <x v="6"/>
    <s v="Paneer Butter Masala"/>
    <x v="1"/>
    <n v="1"/>
    <n v="327"/>
    <n v="32.700000000000003"/>
    <n v="0"/>
    <n v="327"/>
    <n v="294.3"/>
    <x v="1"/>
    <x v="3"/>
    <x v="0"/>
    <n v="46"/>
    <m/>
  </r>
  <r>
    <x v="260"/>
    <x v="18"/>
    <x v="0"/>
    <n v="1"/>
    <n v="19"/>
    <s v="Sunday"/>
    <x v="2"/>
    <x v="11"/>
    <x v="3"/>
    <s v="Chicken Pizza"/>
    <x v="1"/>
    <n v="2"/>
    <n v="505"/>
    <n v="0"/>
    <n v="0"/>
    <n v="1010"/>
    <n v="1010"/>
    <x v="2"/>
    <x v="0"/>
    <x v="0"/>
    <n v="55"/>
    <n v="3.9"/>
  </r>
  <r>
    <x v="261"/>
    <x v="18"/>
    <x v="0"/>
    <n v="1"/>
    <n v="19"/>
    <s v="Sunday"/>
    <x v="3"/>
    <x v="2"/>
    <x v="5"/>
    <s v="Chicken Burger"/>
    <x v="1"/>
    <n v="1"/>
    <n v="416"/>
    <n v="83.2"/>
    <n v="40"/>
    <n v="416"/>
    <n v="372.8"/>
    <x v="2"/>
    <x v="0"/>
    <x v="1"/>
    <n v="27"/>
    <n v="4.2"/>
  </r>
  <r>
    <x v="262"/>
    <x v="18"/>
    <x v="0"/>
    <n v="1"/>
    <n v="19"/>
    <s v="Sunday"/>
    <x v="1"/>
    <x v="9"/>
    <x v="8"/>
    <s v="Chicken Pizza"/>
    <x v="1"/>
    <n v="1"/>
    <n v="140"/>
    <n v="35"/>
    <n v="70"/>
    <n v="140"/>
    <n v="175"/>
    <x v="1"/>
    <x v="0"/>
    <x v="0"/>
    <n v="57"/>
    <n v="3.2"/>
  </r>
  <r>
    <x v="263"/>
    <x v="19"/>
    <x v="0"/>
    <n v="1"/>
    <n v="20"/>
    <s v="Monday"/>
    <x v="5"/>
    <x v="13"/>
    <x v="0"/>
    <s v="Chicken Momos"/>
    <x v="2"/>
    <n v="1"/>
    <n v="411"/>
    <n v="20.55"/>
    <n v="0"/>
    <n v="411"/>
    <n v="390.45"/>
    <x v="4"/>
    <x v="0"/>
    <x v="0"/>
    <n v="29"/>
    <n v="3"/>
  </r>
  <r>
    <x v="264"/>
    <x v="19"/>
    <x v="0"/>
    <n v="1"/>
    <n v="20"/>
    <s v="Monday"/>
    <x v="2"/>
    <x v="2"/>
    <x v="6"/>
    <s v="Chicken Momos"/>
    <x v="2"/>
    <n v="2"/>
    <n v="864"/>
    <n v="0"/>
    <n v="40"/>
    <n v="1728"/>
    <n v="1768"/>
    <x v="1"/>
    <x v="0"/>
    <x v="0"/>
    <n v="36"/>
    <n v="4.8"/>
  </r>
  <r>
    <x v="265"/>
    <x v="19"/>
    <x v="0"/>
    <n v="1"/>
    <n v="20"/>
    <s v="Monday"/>
    <x v="1"/>
    <x v="3"/>
    <x v="2"/>
    <s v="Paneer Butter Masala"/>
    <x v="1"/>
    <n v="2"/>
    <n v="383"/>
    <n v="57.45"/>
    <n v="50"/>
    <n v="766"/>
    <n v="758.55"/>
    <x v="1"/>
    <x v="0"/>
    <x v="0"/>
    <n v="29"/>
    <n v="4.9000000000000004"/>
  </r>
  <r>
    <x v="266"/>
    <x v="19"/>
    <x v="0"/>
    <n v="1"/>
    <n v="20"/>
    <s v="Monday"/>
    <x v="9"/>
    <x v="13"/>
    <x v="2"/>
    <s v="French Fries"/>
    <x v="1"/>
    <n v="1"/>
    <n v="677"/>
    <n v="135.4"/>
    <n v="50"/>
    <n v="677"/>
    <n v="591.6"/>
    <x v="2"/>
    <x v="0"/>
    <x v="0"/>
    <n v="59"/>
    <n v="5"/>
  </r>
  <r>
    <x v="267"/>
    <x v="19"/>
    <x v="0"/>
    <n v="1"/>
    <n v="20"/>
    <s v="Monday"/>
    <x v="5"/>
    <x v="2"/>
    <x v="2"/>
    <s v="Chicken Pizza"/>
    <x v="1"/>
    <n v="2"/>
    <n v="771"/>
    <n v="77.099999999999994"/>
    <n v="40"/>
    <n v="1542"/>
    <n v="1504.9"/>
    <x v="1"/>
    <x v="3"/>
    <x v="0"/>
    <n v="69"/>
    <m/>
  </r>
  <r>
    <x v="268"/>
    <x v="19"/>
    <x v="0"/>
    <n v="1"/>
    <n v="20"/>
    <s v="Monday"/>
    <x v="6"/>
    <x v="13"/>
    <x v="8"/>
    <s v="Veg Pizza"/>
    <x v="1"/>
    <n v="2"/>
    <n v="389"/>
    <n v="77.8"/>
    <n v="30"/>
    <n v="778"/>
    <n v="730.2"/>
    <x v="1"/>
    <x v="0"/>
    <x v="0"/>
    <n v="24"/>
    <n v="3.9"/>
  </r>
  <r>
    <x v="269"/>
    <x v="19"/>
    <x v="0"/>
    <n v="1"/>
    <n v="20"/>
    <s v="Monday"/>
    <x v="1"/>
    <x v="14"/>
    <x v="9"/>
    <s v="Veg Momos"/>
    <x v="1"/>
    <n v="2"/>
    <n v="765"/>
    <n v="76.5"/>
    <n v="40"/>
    <n v="1530"/>
    <n v="1493.5"/>
    <x v="1"/>
    <x v="0"/>
    <x v="0"/>
    <n v="26"/>
    <n v="4.0999999999999996"/>
  </r>
  <r>
    <x v="270"/>
    <x v="19"/>
    <x v="0"/>
    <n v="1"/>
    <n v="20"/>
    <s v="Monday"/>
    <x v="4"/>
    <x v="0"/>
    <x v="8"/>
    <s v="Paneer Butter Masala"/>
    <x v="1"/>
    <n v="1"/>
    <n v="467"/>
    <n v="0"/>
    <n v="40"/>
    <n v="467"/>
    <n v="507"/>
    <x v="3"/>
    <x v="2"/>
    <x v="1"/>
    <n v="63"/>
    <m/>
  </r>
  <r>
    <x v="271"/>
    <x v="19"/>
    <x v="0"/>
    <n v="1"/>
    <n v="20"/>
    <s v="Monday"/>
    <x v="3"/>
    <x v="4"/>
    <x v="4"/>
    <s v="Pasta"/>
    <x v="1"/>
    <n v="2"/>
    <n v="429"/>
    <n v="21.45"/>
    <n v="30"/>
    <n v="858"/>
    <n v="866.55"/>
    <x v="1"/>
    <x v="0"/>
    <x v="0"/>
    <n v="43"/>
    <n v="4.5999999999999996"/>
  </r>
  <r>
    <x v="272"/>
    <x v="19"/>
    <x v="0"/>
    <n v="1"/>
    <n v="20"/>
    <s v="Monday"/>
    <x v="1"/>
    <x v="12"/>
    <x v="3"/>
    <s v="Masala Dosa"/>
    <x v="3"/>
    <n v="2"/>
    <n v="756"/>
    <n v="113.4"/>
    <n v="50"/>
    <n v="1512"/>
    <n v="1448.6"/>
    <x v="0"/>
    <x v="0"/>
    <x v="1"/>
    <n v="60"/>
    <n v="4.8"/>
  </r>
  <r>
    <x v="273"/>
    <x v="19"/>
    <x v="0"/>
    <n v="1"/>
    <n v="20"/>
    <s v="Monday"/>
    <x v="0"/>
    <x v="11"/>
    <x v="0"/>
    <s v="Veg Momos"/>
    <x v="1"/>
    <n v="2"/>
    <n v="200"/>
    <n v="0"/>
    <n v="50"/>
    <n v="400"/>
    <n v="450"/>
    <x v="2"/>
    <x v="0"/>
    <x v="0"/>
    <n v="23"/>
    <n v="3.4"/>
  </r>
  <r>
    <x v="274"/>
    <x v="19"/>
    <x v="0"/>
    <n v="1"/>
    <n v="20"/>
    <s v="Monday"/>
    <x v="4"/>
    <x v="1"/>
    <x v="3"/>
    <s v="Idli Sambar"/>
    <x v="1"/>
    <n v="3"/>
    <n v="577"/>
    <n v="86.55"/>
    <n v="30"/>
    <n v="1731"/>
    <n v="1674.45"/>
    <x v="1"/>
    <x v="3"/>
    <x v="1"/>
    <n v="57"/>
    <m/>
  </r>
  <r>
    <x v="275"/>
    <x v="19"/>
    <x v="0"/>
    <n v="1"/>
    <n v="20"/>
    <s v="Monday"/>
    <x v="1"/>
    <x v="8"/>
    <x v="1"/>
    <s v="Idli Sambar"/>
    <x v="2"/>
    <n v="1"/>
    <n v="869"/>
    <n v="130.35"/>
    <n v="20"/>
    <n v="869"/>
    <n v="758.65"/>
    <x v="3"/>
    <x v="0"/>
    <x v="1"/>
    <n v="25"/>
    <n v="5"/>
  </r>
  <r>
    <x v="276"/>
    <x v="19"/>
    <x v="0"/>
    <n v="1"/>
    <n v="20"/>
    <s v="Monday"/>
    <x v="5"/>
    <x v="9"/>
    <x v="9"/>
    <s v="Veg Pizza"/>
    <x v="1"/>
    <n v="3"/>
    <n v="370"/>
    <n v="37"/>
    <n v="50"/>
    <n v="1110"/>
    <n v="1123"/>
    <x v="1"/>
    <x v="0"/>
    <x v="1"/>
    <n v="54"/>
    <n v="3.5"/>
  </r>
  <r>
    <x v="277"/>
    <x v="19"/>
    <x v="0"/>
    <n v="1"/>
    <n v="20"/>
    <s v="Monday"/>
    <x v="5"/>
    <x v="2"/>
    <x v="3"/>
    <s v="Chicken Burger"/>
    <x v="2"/>
    <n v="1"/>
    <n v="488"/>
    <n v="24.4"/>
    <n v="30"/>
    <n v="488"/>
    <n v="493.6"/>
    <x v="4"/>
    <x v="0"/>
    <x v="0"/>
    <n v="68"/>
    <n v="4.3"/>
  </r>
  <r>
    <x v="278"/>
    <x v="19"/>
    <x v="0"/>
    <n v="1"/>
    <n v="20"/>
    <s v="Monday"/>
    <x v="9"/>
    <x v="12"/>
    <x v="3"/>
    <s v="Veg Biryani"/>
    <x v="1"/>
    <n v="2"/>
    <n v="835"/>
    <n v="41.75"/>
    <n v="20"/>
    <n v="1670"/>
    <n v="1648.25"/>
    <x v="2"/>
    <x v="0"/>
    <x v="1"/>
    <n v="49"/>
    <n v="4"/>
  </r>
  <r>
    <x v="279"/>
    <x v="20"/>
    <x v="0"/>
    <n v="1"/>
    <n v="21"/>
    <s v="Tuesday"/>
    <x v="3"/>
    <x v="9"/>
    <x v="2"/>
    <s v="Veg Burger"/>
    <x v="1"/>
    <n v="1"/>
    <n v="182"/>
    <n v="45.5"/>
    <n v="60"/>
    <n v="182"/>
    <n v="196.5"/>
    <x v="1"/>
    <x v="0"/>
    <x v="1"/>
    <n v="53"/>
    <n v="4.0999999999999996"/>
  </r>
  <r>
    <x v="280"/>
    <x v="20"/>
    <x v="0"/>
    <n v="1"/>
    <n v="21"/>
    <s v="Tuesday"/>
    <x v="9"/>
    <x v="9"/>
    <x v="6"/>
    <s v="Chocolate Cake"/>
    <x v="3"/>
    <n v="1"/>
    <n v="759"/>
    <n v="189.75"/>
    <n v="60"/>
    <n v="759"/>
    <n v="629.25"/>
    <x v="1"/>
    <x v="0"/>
    <x v="1"/>
    <n v="23"/>
    <n v="2.2999999999999998"/>
  </r>
  <r>
    <x v="281"/>
    <x v="20"/>
    <x v="0"/>
    <n v="1"/>
    <n v="21"/>
    <s v="Tuesday"/>
    <x v="2"/>
    <x v="0"/>
    <x v="5"/>
    <s v="Veg Biryani"/>
    <x v="1"/>
    <n v="1"/>
    <n v="857"/>
    <n v="171.4"/>
    <n v="70"/>
    <n v="857"/>
    <n v="755.6"/>
    <x v="0"/>
    <x v="0"/>
    <x v="1"/>
    <n v="22"/>
    <n v="5"/>
  </r>
  <r>
    <x v="282"/>
    <x v="20"/>
    <x v="0"/>
    <n v="1"/>
    <n v="21"/>
    <s v="Tuesday"/>
    <x v="5"/>
    <x v="0"/>
    <x v="0"/>
    <s v="Idli Sambar"/>
    <x v="2"/>
    <n v="1"/>
    <n v="201"/>
    <n v="20.100000000000001"/>
    <n v="60"/>
    <n v="201"/>
    <n v="240.9"/>
    <x v="0"/>
    <x v="0"/>
    <x v="1"/>
    <n v="22"/>
    <n v="3.6"/>
  </r>
  <r>
    <x v="283"/>
    <x v="20"/>
    <x v="0"/>
    <n v="1"/>
    <n v="21"/>
    <s v="Tuesday"/>
    <x v="3"/>
    <x v="4"/>
    <x v="7"/>
    <s v="Chicken Burger"/>
    <x v="3"/>
    <n v="1"/>
    <n v="357"/>
    <n v="17.850000000000001"/>
    <n v="40"/>
    <n v="357"/>
    <n v="379.15"/>
    <x v="1"/>
    <x v="1"/>
    <x v="0"/>
    <n v="51"/>
    <m/>
  </r>
  <r>
    <x v="284"/>
    <x v="20"/>
    <x v="0"/>
    <n v="1"/>
    <n v="21"/>
    <s v="Tuesday"/>
    <x v="9"/>
    <x v="8"/>
    <x v="6"/>
    <s v="Veg Biryani"/>
    <x v="1"/>
    <n v="3"/>
    <n v="294"/>
    <n v="58.8"/>
    <n v="30"/>
    <n v="882"/>
    <n v="853.2"/>
    <x v="1"/>
    <x v="0"/>
    <x v="1"/>
    <n v="44"/>
    <n v="4"/>
  </r>
  <r>
    <x v="285"/>
    <x v="20"/>
    <x v="0"/>
    <n v="1"/>
    <n v="21"/>
    <s v="Tuesday"/>
    <x v="1"/>
    <x v="6"/>
    <x v="3"/>
    <s v="Chicken Pizza"/>
    <x v="1"/>
    <n v="2"/>
    <n v="150"/>
    <n v="37.5"/>
    <n v="70"/>
    <n v="300"/>
    <n v="332.5"/>
    <x v="0"/>
    <x v="0"/>
    <x v="0"/>
    <n v="27"/>
    <n v="4.3"/>
  </r>
  <r>
    <x v="286"/>
    <x v="20"/>
    <x v="0"/>
    <n v="1"/>
    <n v="21"/>
    <s v="Tuesday"/>
    <x v="4"/>
    <x v="8"/>
    <x v="8"/>
    <s v="French Fries"/>
    <x v="1"/>
    <n v="2"/>
    <n v="480"/>
    <n v="48"/>
    <n v="40"/>
    <n v="960"/>
    <n v="952"/>
    <x v="2"/>
    <x v="1"/>
    <x v="1"/>
    <n v="19"/>
    <m/>
  </r>
  <r>
    <x v="287"/>
    <x v="20"/>
    <x v="0"/>
    <n v="1"/>
    <n v="21"/>
    <s v="Tuesday"/>
    <x v="1"/>
    <x v="9"/>
    <x v="8"/>
    <s v="Chicken Pizza"/>
    <x v="1"/>
    <n v="1"/>
    <n v="120"/>
    <n v="6"/>
    <n v="60"/>
    <n v="120"/>
    <n v="174"/>
    <x v="1"/>
    <x v="0"/>
    <x v="1"/>
    <n v="31"/>
    <n v="4.4000000000000004"/>
  </r>
  <r>
    <x v="288"/>
    <x v="20"/>
    <x v="0"/>
    <n v="1"/>
    <n v="21"/>
    <s v="Tuesday"/>
    <x v="3"/>
    <x v="0"/>
    <x v="2"/>
    <s v="French Fries"/>
    <x v="1"/>
    <n v="3"/>
    <n v="169"/>
    <n v="25.35"/>
    <n v="50"/>
    <n v="507"/>
    <n v="531.65"/>
    <x v="0"/>
    <x v="0"/>
    <x v="1"/>
    <n v="47"/>
    <n v="2.9"/>
  </r>
  <r>
    <x v="289"/>
    <x v="20"/>
    <x v="0"/>
    <n v="1"/>
    <n v="21"/>
    <s v="Tuesday"/>
    <x v="0"/>
    <x v="8"/>
    <x v="2"/>
    <s v="Idli Sambar"/>
    <x v="3"/>
    <n v="3"/>
    <n v="170"/>
    <n v="25.5"/>
    <n v="30"/>
    <n v="510"/>
    <n v="514.5"/>
    <x v="2"/>
    <x v="0"/>
    <x v="0"/>
    <n v="26"/>
    <n v="5"/>
  </r>
  <r>
    <x v="290"/>
    <x v="20"/>
    <x v="0"/>
    <n v="1"/>
    <n v="21"/>
    <s v="Tuesday"/>
    <x v="2"/>
    <x v="2"/>
    <x v="4"/>
    <s v="Veg Burger"/>
    <x v="1"/>
    <n v="1"/>
    <n v="201"/>
    <n v="0"/>
    <n v="20"/>
    <n v="201"/>
    <n v="221"/>
    <x v="0"/>
    <x v="2"/>
    <x v="1"/>
    <n v="31"/>
    <m/>
  </r>
  <r>
    <x v="291"/>
    <x v="20"/>
    <x v="0"/>
    <n v="1"/>
    <n v="21"/>
    <s v="Tuesday"/>
    <x v="9"/>
    <x v="11"/>
    <x v="6"/>
    <s v="Idli Sambar"/>
    <x v="0"/>
    <n v="2"/>
    <n v="692"/>
    <n v="138.4"/>
    <n v="40"/>
    <n v="1384"/>
    <n v="1285.5999999999999"/>
    <x v="1"/>
    <x v="0"/>
    <x v="1"/>
    <n v="60"/>
    <n v="4"/>
  </r>
  <r>
    <x v="292"/>
    <x v="20"/>
    <x v="0"/>
    <n v="1"/>
    <n v="21"/>
    <s v="Tuesday"/>
    <x v="0"/>
    <x v="10"/>
    <x v="1"/>
    <s v="Chicken Momos"/>
    <x v="1"/>
    <n v="3"/>
    <n v="751"/>
    <n v="112.65"/>
    <n v="40"/>
    <n v="2253"/>
    <n v="2180.35"/>
    <x v="0"/>
    <x v="0"/>
    <x v="1"/>
    <n v="19"/>
    <n v="5"/>
  </r>
  <r>
    <x v="293"/>
    <x v="20"/>
    <x v="0"/>
    <n v="1"/>
    <n v="21"/>
    <s v="Tuesday"/>
    <x v="6"/>
    <x v="5"/>
    <x v="5"/>
    <s v="Pasta"/>
    <x v="1"/>
    <n v="2"/>
    <n v="136"/>
    <n v="20.399999999999999"/>
    <n v="30"/>
    <n v="272"/>
    <n v="281.60000000000002"/>
    <x v="1"/>
    <x v="0"/>
    <x v="1"/>
    <n v="43"/>
    <n v="3.2"/>
  </r>
  <r>
    <x v="294"/>
    <x v="20"/>
    <x v="0"/>
    <n v="1"/>
    <n v="21"/>
    <s v="Tuesday"/>
    <x v="3"/>
    <x v="8"/>
    <x v="5"/>
    <s v="Cold Coffee"/>
    <x v="0"/>
    <n v="1"/>
    <n v="535"/>
    <n v="107"/>
    <n v="40"/>
    <n v="535"/>
    <n v="468"/>
    <x v="1"/>
    <x v="0"/>
    <x v="1"/>
    <n v="36"/>
    <n v="4.5"/>
  </r>
  <r>
    <x v="295"/>
    <x v="21"/>
    <x v="0"/>
    <n v="1"/>
    <n v="22"/>
    <s v="Wednesday"/>
    <x v="2"/>
    <x v="1"/>
    <x v="1"/>
    <s v="Paneer Butter Masala"/>
    <x v="1"/>
    <n v="1"/>
    <n v="821"/>
    <n v="0"/>
    <n v="50"/>
    <n v="821"/>
    <n v="871"/>
    <x v="4"/>
    <x v="0"/>
    <x v="1"/>
    <n v="61"/>
    <n v="5"/>
  </r>
  <r>
    <x v="296"/>
    <x v="21"/>
    <x v="0"/>
    <n v="1"/>
    <n v="22"/>
    <s v="Wednesday"/>
    <x v="4"/>
    <x v="0"/>
    <x v="4"/>
    <s v="Veg Biryani"/>
    <x v="1"/>
    <n v="1"/>
    <n v="224"/>
    <n v="22.4"/>
    <n v="20"/>
    <n v="224"/>
    <n v="221.6"/>
    <x v="1"/>
    <x v="0"/>
    <x v="0"/>
    <n v="60"/>
    <n v="4.3"/>
  </r>
  <r>
    <x v="297"/>
    <x v="21"/>
    <x v="0"/>
    <n v="1"/>
    <n v="22"/>
    <s v="Wednesday"/>
    <x v="4"/>
    <x v="2"/>
    <x v="6"/>
    <s v="Idli Sambar"/>
    <x v="3"/>
    <n v="2"/>
    <n v="351"/>
    <n v="17.55"/>
    <n v="40"/>
    <n v="702"/>
    <n v="724.45"/>
    <x v="2"/>
    <x v="2"/>
    <x v="0"/>
    <n v="41"/>
    <m/>
  </r>
  <r>
    <x v="298"/>
    <x v="21"/>
    <x v="0"/>
    <n v="1"/>
    <n v="22"/>
    <s v="Wednesday"/>
    <x v="1"/>
    <x v="10"/>
    <x v="4"/>
    <s v="Paneer Butter Masala"/>
    <x v="1"/>
    <n v="3"/>
    <n v="893"/>
    <n v="89.3"/>
    <n v="0"/>
    <n v="2679"/>
    <n v="2589.6999999999998"/>
    <x v="1"/>
    <x v="0"/>
    <x v="1"/>
    <n v="67"/>
    <n v="3.2"/>
  </r>
  <r>
    <x v="299"/>
    <x v="21"/>
    <x v="0"/>
    <n v="1"/>
    <n v="22"/>
    <s v="Wednesday"/>
    <x v="0"/>
    <x v="11"/>
    <x v="1"/>
    <s v="Idli Sambar"/>
    <x v="1"/>
    <n v="1"/>
    <n v="305"/>
    <n v="45.75"/>
    <n v="20"/>
    <n v="305"/>
    <n v="279.25"/>
    <x v="1"/>
    <x v="0"/>
    <x v="0"/>
    <n v="21"/>
    <n v="2.9"/>
  </r>
  <r>
    <x v="300"/>
    <x v="21"/>
    <x v="0"/>
    <n v="1"/>
    <n v="22"/>
    <s v="Wednesday"/>
    <x v="2"/>
    <x v="4"/>
    <x v="0"/>
    <s v="Chicken Pizza"/>
    <x v="1"/>
    <n v="2"/>
    <n v="792"/>
    <n v="118.8"/>
    <n v="50"/>
    <n v="1584"/>
    <n v="1515.2"/>
    <x v="3"/>
    <x v="0"/>
    <x v="1"/>
    <n v="29"/>
    <n v="4.2"/>
  </r>
  <r>
    <x v="301"/>
    <x v="21"/>
    <x v="0"/>
    <n v="1"/>
    <n v="22"/>
    <s v="Wednesday"/>
    <x v="6"/>
    <x v="3"/>
    <x v="6"/>
    <s v="Chocolate Cake"/>
    <x v="1"/>
    <n v="3"/>
    <n v="175"/>
    <n v="0"/>
    <n v="0"/>
    <n v="525"/>
    <n v="525"/>
    <x v="2"/>
    <x v="0"/>
    <x v="0"/>
    <n v="26"/>
    <n v="3.7"/>
  </r>
  <r>
    <x v="302"/>
    <x v="21"/>
    <x v="0"/>
    <n v="1"/>
    <n v="22"/>
    <s v="Wednesday"/>
    <x v="6"/>
    <x v="9"/>
    <x v="8"/>
    <s v="Chocolate Cake"/>
    <x v="1"/>
    <n v="3"/>
    <n v="678"/>
    <n v="0"/>
    <n v="30"/>
    <n v="2034"/>
    <n v="2064"/>
    <x v="2"/>
    <x v="0"/>
    <x v="0"/>
    <n v="68"/>
    <n v="3.1"/>
  </r>
  <r>
    <x v="303"/>
    <x v="21"/>
    <x v="0"/>
    <n v="1"/>
    <n v="22"/>
    <s v="Wednesday"/>
    <x v="9"/>
    <x v="8"/>
    <x v="2"/>
    <s v="Paneer Butter Masala"/>
    <x v="1"/>
    <n v="2"/>
    <n v="458"/>
    <n v="68.7"/>
    <n v="40"/>
    <n v="916"/>
    <n v="887.3"/>
    <x v="1"/>
    <x v="0"/>
    <x v="1"/>
    <n v="25"/>
    <n v="3.8"/>
  </r>
  <r>
    <x v="304"/>
    <x v="21"/>
    <x v="0"/>
    <n v="1"/>
    <n v="22"/>
    <s v="Wednesday"/>
    <x v="0"/>
    <x v="6"/>
    <x v="1"/>
    <s v="Veg Biryani"/>
    <x v="2"/>
    <n v="3"/>
    <n v="286"/>
    <n v="42.9"/>
    <n v="40"/>
    <n v="858"/>
    <n v="855.1"/>
    <x v="1"/>
    <x v="0"/>
    <x v="0"/>
    <n v="47"/>
    <n v="4.9000000000000004"/>
  </r>
  <r>
    <x v="305"/>
    <x v="21"/>
    <x v="0"/>
    <n v="1"/>
    <n v="22"/>
    <s v="Wednesday"/>
    <x v="5"/>
    <x v="6"/>
    <x v="6"/>
    <s v="Chocolate Cake"/>
    <x v="1"/>
    <n v="2"/>
    <n v="680"/>
    <n v="102"/>
    <n v="40"/>
    <n v="1360"/>
    <n v="1298"/>
    <x v="1"/>
    <x v="3"/>
    <x v="1"/>
    <n v="36"/>
    <m/>
  </r>
  <r>
    <x v="306"/>
    <x v="21"/>
    <x v="0"/>
    <n v="1"/>
    <n v="22"/>
    <s v="Wednesday"/>
    <x v="7"/>
    <x v="7"/>
    <x v="8"/>
    <s v="French Fries"/>
    <x v="1"/>
    <n v="1"/>
    <n v="337"/>
    <n v="33.700000000000003"/>
    <n v="20"/>
    <n v="337"/>
    <n v="323.3"/>
    <x v="2"/>
    <x v="0"/>
    <x v="1"/>
    <n v="50"/>
    <n v="5"/>
  </r>
  <r>
    <x v="307"/>
    <x v="21"/>
    <x v="0"/>
    <n v="1"/>
    <n v="22"/>
    <s v="Wednesday"/>
    <x v="4"/>
    <x v="6"/>
    <x v="6"/>
    <s v="Veg Pizza"/>
    <x v="1"/>
    <n v="1"/>
    <n v="216"/>
    <n v="54"/>
    <n v="0"/>
    <n v="216"/>
    <n v="162"/>
    <x v="1"/>
    <x v="0"/>
    <x v="0"/>
    <n v="45"/>
    <n v="4.9000000000000004"/>
  </r>
  <r>
    <x v="308"/>
    <x v="21"/>
    <x v="0"/>
    <n v="1"/>
    <n v="22"/>
    <s v="Wednesday"/>
    <x v="1"/>
    <x v="11"/>
    <x v="8"/>
    <s v="Veg Momos"/>
    <x v="1"/>
    <n v="1"/>
    <n v="236"/>
    <n v="47.2"/>
    <n v="30"/>
    <n v="236"/>
    <n v="218.8"/>
    <x v="1"/>
    <x v="0"/>
    <x v="1"/>
    <n v="44"/>
    <n v="4"/>
  </r>
  <r>
    <x v="309"/>
    <x v="21"/>
    <x v="0"/>
    <n v="1"/>
    <n v="22"/>
    <s v="Wednesday"/>
    <x v="3"/>
    <x v="1"/>
    <x v="2"/>
    <s v="Chicken Momos"/>
    <x v="1"/>
    <n v="1"/>
    <n v="372"/>
    <n v="55.8"/>
    <n v="40"/>
    <n v="372"/>
    <n v="356.2"/>
    <x v="4"/>
    <x v="0"/>
    <x v="1"/>
    <n v="35"/>
    <n v="3.7"/>
  </r>
  <r>
    <x v="310"/>
    <x v="22"/>
    <x v="0"/>
    <n v="1"/>
    <n v="23"/>
    <s v="Thursday"/>
    <x v="0"/>
    <x v="6"/>
    <x v="6"/>
    <s v="Veg Momos"/>
    <x v="1"/>
    <n v="1"/>
    <n v="468"/>
    <n v="46.8"/>
    <n v="40"/>
    <n v="468"/>
    <n v="461.2"/>
    <x v="4"/>
    <x v="0"/>
    <x v="1"/>
    <n v="68"/>
    <n v="4.3"/>
  </r>
  <r>
    <x v="311"/>
    <x v="22"/>
    <x v="0"/>
    <n v="1"/>
    <n v="23"/>
    <s v="Thursday"/>
    <x v="9"/>
    <x v="2"/>
    <x v="8"/>
    <s v="French Fries"/>
    <x v="1"/>
    <n v="1"/>
    <n v="390"/>
    <n v="97.5"/>
    <n v="40"/>
    <n v="390"/>
    <n v="332.5"/>
    <x v="1"/>
    <x v="0"/>
    <x v="1"/>
    <n v="27"/>
    <n v="3.9"/>
  </r>
  <r>
    <x v="312"/>
    <x v="22"/>
    <x v="0"/>
    <n v="1"/>
    <n v="23"/>
    <s v="Thursday"/>
    <x v="9"/>
    <x v="5"/>
    <x v="4"/>
    <s v="Fried Rice"/>
    <x v="2"/>
    <n v="1"/>
    <n v="312"/>
    <n v="62.4"/>
    <n v="30"/>
    <n v="312"/>
    <n v="279.60000000000002"/>
    <x v="4"/>
    <x v="3"/>
    <x v="0"/>
    <n v="20"/>
    <m/>
  </r>
  <r>
    <x v="313"/>
    <x v="22"/>
    <x v="0"/>
    <n v="1"/>
    <n v="23"/>
    <s v="Thursday"/>
    <x v="0"/>
    <x v="13"/>
    <x v="0"/>
    <s v="Chicken Pizza"/>
    <x v="1"/>
    <n v="1"/>
    <n v="379"/>
    <n v="18.95"/>
    <n v="60"/>
    <n v="379"/>
    <n v="420.05"/>
    <x v="2"/>
    <x v="0"/>
    <x v="1"/>
    <n v="32"/>
    <n v="4.4000000000000004"/>
  </r>
  <r>
    <x v="314"/>
    <x v="22"/>
    <x v="0"/>
    <n v="1"/>
    <n v="23"/>
    <s v="Thursday"/>
    <x v="9"/>
    <x v="14"/>
    <x v="1"/>
    <s v="Masala Dosa"/>
    <x v="1"/>
    <n v="2"/>
    <n v="840"/>
    <n v="0"/>
    <n v="30"/>
    <n v="1680"/>
    <n v="1710"/>
    <x v="0"/>
    <x v="0"/>
    <x v="1"/>
    <n v="21"/>
    <n v="4"/>
  </r>
  <r>
    <x v="315"/>
    <x v="22"/>
    <x v="0"/>
    <n v="1"/>
    <n v="23"/>
    <s v="Thursday"/>
    <x v="3"/>
    <x v="13"/>
    <x v="0"/>
    <s v="Chicken Momos"/>
    <x v="2"/>
    <n v="2"/>
    <n v="892"/>
    <n v="178.4"/>
    <n v="30"/>
    <n v="1784"/>
    <n v="1635.6"/>
    <x v="3"/>
    <x v="0"/>
    <x v="0"/>
    <n v="26"/>
    <n v="3.9"/>
  </r>
  <r>
    <x v="316"/>
    <x v="22"/>
    <x v="0"/>
    <n v="1"/>
    <n v="23"/>
    <s v="Thursday"/>
    <x v="4"/>
    <x v="1"/>
    <x v="8"/>
    <s v="Chocolate Cake"/>
    <x v="1"/>
    <n v="1"/>
    <n v="166"/>
    <n v="33.200000000000003"/>
    <n v="60"/>
    <n v="166"/>
    <n v="192.8"/>
    <x v="2"/>
    <x v="0"/>
    <x v="1"/>
    <n v="32"/>
    <n v="3.4"/>
  </r>
  <r>
    <x v="317"/>
    <x v="22"/>
    <x v="0"/>
    <n v="1"/>
    <n v="23"/>
    <s v="Thursday"/>
    <x v="7"/>
    <x v="7"/>
    <x v="9"/>
    <s v="Veg Pizza"/>
    <x v="1"/>
    <n v="1"/>
    <n v="711"/>
    <n v="106.65"/>
    <n v="20"/>
    <n v="711"/>
    <n v="624.35"/>
    <x v="4"/>
    <x v="0"/>
    <x v="1"/>
    <n v="58"/>
    <n v="4"/>
  </r>
  <r>
    <x v="318"/>
    <x v="22"/>
    <x v="0"/>
    <n v="1"/>
    <n v="23"/>
    <s v="Thursday"/>
    <x v="9"/>
    <x v="3"/>
    <x v="7"/>
    <s v="Veg Momos"/>
    <x v="1"/>
    <n v="1"/>
    <n v="430"/>
    <n v="43"/>
    <n v="30"/>
    <n v="430"/>
    <n v="417"/>
    <x v="1"/>
    <x v="0"/>
    <x v="1"/>
    <n v="18"/>
    <n v="3.5"/>
  </r>
  <r>
    <x v="319"/>
    <x v="22"/>
    <x v="0"/>
    <n v="1"/>
    <n v="23"/>
    <s v="Thursday"/>
    <x v="5"/>
    <x v="14"/>
    <x v="8"/>
    <s v="Masala Dosa"/>
    <x v="1"/>
    <n v="2"/>
    <n v="318"/>
    <n v="31.8"/>
    <n v="0"/>
    <n v="636"/>
    <n v="604.20000000000005"/>
    <x v="2"/>
    <x v="0"/>
    <x v="1"/>
    <n v="42"/>
    <n v="4.5999999999999996"/>
  </r>
  <r>
    <x v="320"/>
    <x v="22"/>
    <x v="0"/>
    <n v="1"/>
    <n v="23"/>
    <s v="Thursday"/>
    <x v="9"/>
    <x v="7"/>
    <x v="8"/>
    <s v="Fried Rice"/>
    <x v="2"/>
    <n v="1"/>
    <n v="693"/>
    <n v="138.6"/>
    <n v="30"/>
    <n v="693"/>
    <n v="584.4"/>
    <x v="1"/>
    <x v="0"/>
    <x v="1"/>
    <n v="37"/>
    <n v="4.2"/>
  </r>
  <r>
    <x v="321"/>
    <x v="23"/>
    <x v="0"/>
    <n v="1"/>
    <n v="24"/>
    <s v="Friday"/>
    <x v="2"/>
    <x v="9"/>
    <x v="9"/>
    <s v="Veg Momos"/>
    <x v="1"/>
    <n v="2"/>
    <n v="740"/>
    <n v="111"/>
    <n v="50"/>
    <n v="1480"/>
    <n v="1419"/>
    <x v="1"/>
    <x v="0"/>
    <x v="1"/>
    <n v="48"/>
    <n v="4.4000000000000004"/>
  </r>
  <r>
    <x v="322"/>
    <x v="23"/>
    <x v="0"/>
    <n v="1"/>
    <n v="24"/>
    <s v="Friday"/>
    <x v="7"/>
    <x v="13"/>
    <x v="4"/>
    <s v="Masala Dosa"/>
    <x v="0"/>
    <n v="1"/>
    <n v="175"/>
    <n v="0"/>
    <n v="0"/>
    <n v="175"/>
    <n v="175"/>
    <x v="1"/>
    <x v="0"/>
    <x v="1"/>
    <n v="49"/>
    <n v="2.9"/>
  </r>
  <r>
    <x v="323"/>
    <x v="23"/>
    <x v="0"/>
    <n v="1"/>
    <n v="24"/>
    <s v="Friday"/>
    <x v="3"/>
    <x v="2"/>
    <x v="8"/>
    <s v="Veg Momos"/>
    <x v="2"/>
    <n v="1"/>
    <n v="810"/>
    <n v="81"/>
    <n v="0"/>
    <n v="810"/>
    <n v="729"/>
    <x v="1"/>
    <x v="1"/>
    <x v="1"/>
    <n v="65"/>
    <m/>
  </r>
  <r>
    <x v="324"/>
    <x v="23"/>
    <x v="0"/>
    <n v="1"/>
    <n v="24"/>
    <s v="Friday"/>
    <x v="4"/>
    <x v="10"/>
    <x v="4"/>
    <s v="Chicken Biryani"/>
    <x v="2"/>
    <n v="1"/>
    <n v="742"/>
    <n v="0"/>
    <n v="40"/>
    <n v="742"/>
    <n v="782"/>
    <x v="1"/>
    <x v="0"/>
    <x v="1"/>
    <n v="61"/>
    <n v="3.9"/>
  </r>
  <r>
    <x v="325"/>
    <x v="23"/>
    <x v="0"/>
    <n v="1"/>
    <n v="24"/>
    <s v="Friday"/>
    <x v="4"/>
    <x v="4"/>
    <x v="8"/>
    <s v="Masala Dosa"/>
    <x v="1"/>
    <n v="1"/>
    <n v="543"/>
    <n v="81.45"/>
    <n v="0"/>
    <n v="543"/>
    <n v="461.55"/>
    <x v="4"/>
    <x v="0"/>
    <x v="1"/>
    <n v="51"/>
    <n v="3.8"/>
  </r>
  <r>
    <x v="326"/>
    <x v="23"/>
    <x v="0"/>
    <n v="1"/>
    <n v="24"/>
    <s v="Friday"/>
    <x v="5"/>
    <x v="1"/>
    <x v="1"/>
    <s v="Veg Biryani"/>
    <x v="0"/>
    <n v="3"/>
    <n v="407"/>
    <n v="81.400000000000006"/>
    <n v="40"/>
    <n v="1221"/>
    <n v="1179.5999999999999"/>
    <x v="3"/>
    <x v="0"/>
    <x v="0"/>
    <n v="59"/>
    <n v="3.8"/>
  </r>
  <r>
    <x v="327"/>
    <x v="23"/>
    <x v="0"/>
    <n v="1"/>
    <n v="24"/>
    <s v="Friday"/>
    <x v="5"/>
    <x v="9"/>
    <x v="9"/>
    <s v="Veg Burger"/>
    <x v="1"/>
    <n v="1"/>
    <n v="242"/>
    <n v="36.299999999999997"/>
    <n v="30"/>
    <n v="242"/>
    <n v="235.7"/>
    <x v="1"/>
    <x v="0"/>
    <x v="0"/>
    <n v="23"/>
    <n v="3.6"/>
  </r>
  <r>
    <x v="328"/>
    <x v="23"/>
    <x v="0"/>
    <n v="1"/>
    <n v="24"/>
    <s v="Friday"/>
    <x v="1"/>
    <x v="5"/>
    <x v="4"/>
    <s v="Veg Pizza"/>
    <x v="1"/>
    <n v="2"/>
    <n v="869"/>
    <n v="173.8"/>
    <n v="40"/>
    <n v="1738"/>
    <n v="1604.2"/>
    <x v="2"/>
    <x v="0"/>
    <x v="0"/>
    <n v="24"/>
    <n v="4.7"/>
  </r>
  <r>
    <x v="329"/>
    <x v="24"/>
    <x v="0"/>
    <n v="1"/>
    <n v="25"/>
    <s v="Saturday"/>
    <x v="1"/>
    <x v="8"/>
    <x v="0"/>
    <s v="Chocolate Cake"/>
    <x v="1"/>
    <n v="1"/>
    <n v="780"/>
    <n v="156"/>
    <n v="40"/>
    <n v="780"/>
    <n v="664"/>
    <x v="1"/>
    <x v="2"/>
    <x v="0"/>
    <n v="32"/>
    <m/>
  </r>
  <r>
    <x v="330"/>
    <x v="24"/>
    <x v="0"/>
    <n v="1"/>
    <n v="25"/>
    <s v="Saturday"/>
    <x v="5"/>
    <x v="5"/>
    <x v="3"/>
    <s v="Veg Burger"/>
    <x v="1"/>
    <n v="3"/>
    <n v="581"/>
    <n v="145.25"/>
    <n v="30"/>
    <n v="1743"/>
    <n v="1627.75"/>
    <x v="1"/>
    <x v="0"/>
    <x v="0"/>
    <n v="21"/>
    <n v="3.2"/>
  </r>
  <r>
    <x v="331"/>
    <x v="24"/>
    <x v="0"/>
    <n v="1"/>
    <n v="25"/>
    <s v="Saturday"/>
    <x v="0"/>
    <x v="12"/>
    <x v="3"/>
    <s v="Pasta"/>
    <x v="1"/>
    <n v="2"/>
    <n v="724"/>
    <n v="72.400000000000006"/>
    <n v="40"/>
    <n v="1448"/>
    <n v="1415.6"/>
    <x v="3"/>
    <x v="0"/>
    <x v="0"/>
    <n v="40"/>
    <n v="4.8"/>
  </r>
  <r>
    <x v="332"/>
    <x v="24"/>
    <x v="0"/>
    <n v="1"/>
    <n v="25"/>
    <s v="Saturday"/>
    <x v="2"/>
    <x v="13"/>
    <x v="2"/>
    <s v="Chocolate Cake"/>
    <x v="1"/>
    <n v="3"/>
    <n v="869"/>
    <n v="43.45"/>
    <n v="0"/>
    <n v="2607"/>
    <n v="2563.5500000000002"/>
    <x v="1"/>
    <x v="0"/>
    <x v="1"/>
    <n v="60"/>
    <n v="4.2"/>
  </r>
  <r>
    <x v="333"/>
    <x v="24"/>
    <x v="0"/>
    <n v="1"/>
    <n v="25"/>
    <s v="Saturday"/>
    <x v="3"/>
    <x v="1"/>
    <x v="8"/>
    <s v="Veg Biryani"/>
    <x v="1"/>
    <n v="3"/>
    <n v="414"/>
    <n v="20.7"/>
    <n v="40"/>
    <n v="1242"/>
    <n v="1261.3"/>
    <x v="0"/>
    <x v="0"/>
    <x v="1"/>
    <n v="35"/>
    <n v="5"/>
  </r>
  <r>
    <x v="334"/>
    <x v="24"/>
    <x v="0"/>
    <n v="1"/>
    <n v="25"/>
    <s v="Saturday"/>
    <x v="0"/>
    <x v="6"/>
    <x v="5"/>
    <s v="Chicken Burger"/>
    <x v="1"/>
    <n v="1"/>
    <n v="512"/>
    <n v="102.4"/>
    <n v="40"/>
    <n v="512"/>
    <n v="449.6"/>
    <x v="0"/>
    <x v="0"/>
    <x v="0"/>
    <n v="50"/>
    <n v="5"/>
  </r>
  <r>
    <x v="335"/>
    <x v="24"/>
    <x v="0"/>
    <n v="1"/>
    <n v="25"/>
    <s v="Saturday"/>
    <x v="4"/>
    <x v="6"/>
    <x v="4"/>
    <s v="Chicken Burger"/>
    <x v="2"/>
    <n v="3"/>
    <n v="270"/>
    <n v="67.5"/>
    <n v="20"/>
    <n v="810"/>
    <n v="762.5"/>
    <x v="0"/>
    <x v="0"/>
    <x v="0"/>
    <n v="46"/>
    <n v="3.6"/>
  </r>
  <r>
    <x v="336"/>
    <x v="24"/>
    <x v="0"/>
    <n v="1"/>
    <n v="25"/>
    <s v="Saturday"/>
    <x v="4"/>
    <x v="7"/>
    <x v="6"/>
    <s v="Cold Coffee"/>
    <x v="1"/>
    <n v="1"/>
    <n v="455"/>
    <n v="22.75"/>
    <n v="50"/>
    <n v="455"/>
    <n v="482.25"/>
    <x v="3"/>
    <x v="0"/>
    <x v="1"/>
    <n v="68"/>
    <n v="3.8"/>
  </r>
  <r>
    <x v="337"/>
    <x v="24"/>
    <x v="0"/>
    <n v="1"/>
    <n v="25"/>
    <s v="Saturday"/>
    <x v="2"/>
    <x v="13"/>
    <x v="0"/>
    <s v="Chicken Burger"/>
    <x v="3"/>
    <n v="3"/>
    <n v="361"/>
    <n v="72.2"/>
    <n v="50"/>
    <n v="1083"/>
    <n v="1060.8"/>
    <x v="1"/>
    <x v="3"/>
    <x v="1"/>
    <n v="52"/>
    <m/>
  </r>
  <r>
    <x v="338"/>
    <x v="24"/>
    <x v="0"/>
    <n v="1"/>
    <n v="25"/>
    <s v="Saturday"/>
    <x v="9"/>
    <x v="13"/>
    <x v="9"/>
    <s v="Chicken Pizza"/>
    <x v="1"/>
    <n v="2"/>
    <n v="633"/>
    <n v="126.6"/>
    <n v="60"/>
    <n v="1266"/>
    <n v="1199.4000000000001"/>
    <x v="4"/>
    <x v="0"/>
    <x v="1"/>
    <n v="27"/>
    <n v="4.4000000000000004"/>
  </r>
  <r>
    <x v="339"/>
    <x v="24"/>
    <x v="0"/>
    <n v="1"/>
    <n v="25"/>
    <s v="Saturday"/>
    <x v="5"/>
    <x v="2"/>
    <x v="3"/>
    <s v="Fried Rice"/>
    <x v="1"/>
    <n v="2"/>
    <n v="308"/>
    <n v="0"/>
    <n v="70"/>
    <n v="616"/>
    <n v="686"/>
    <x v="1"/>
    <x v="0"/>
    <x v="1"/>
    <n v="55"/>
    <n v="2.9"/>
  </r>
  <r>
    <x v="340"/>
    <x v="24"/>
    <x v="0"/>
    <n v="1"/>
    <n v="25"/>
    <s v="Saturday"/>
    <x v="4"/>
    <x v="9"/>
    <x v="6"/>
    <s v="Cold Coffee"/>
    <x v="1"/>
    <n v="1"/>
    <n v="802"/>
    <n v="160.4"/>
    <n v="0"/>
    <n v="802"/>
    <n v="641.6"/>
    <x v="2"/>
    <x v="0"/>
    <x v="1"/>
    <n v="57"/>
    <n v="2.9"/>
  </r>
  <r>
    <x v="341"/>
    <x v="24"/>
    <x v="0"/>
    <n v="1"/>
    <n v="25"/>
    <s v="Saturday"/>
    <x v="6"/>
    <x v="6"/>
    <x v="4"/>
    <s v="Chicken Pizza"/>
    <x v="1"/>
    <n v="2"/>
    <n v="209"/>
    <n v="31.35"/>
    <n v="30"/>
    <n v="418"/>
    <n v="416.65"/>
    <x v="1"/>
    <x v="0"/>
    <x v="1"/>
    <n v="54"/>
    <n v="4.3"/>
  </r>
  <r>
    <x v="342"/>
    <x v="24"/>
    <x v="0"/>
    <n v="1"/>
    <n v="25"/>
    <s v="Saturday"/>
    <x v="5"/>
    <x v="13"/>
    <x v="4"/>
    <s v="Veg Pizza"/>
    <x v="0"/>
    <n v="3"/>
    <n v="745"/>
    <n v="186.25"/>
    <n v="0"/>
    <n v="2235"/>
    <n v="2048.75"/>
    <x v="1"/>
    <x v="0"/>
    <x v="1"/>
    <n v="38"/>
    <n v="3.7"/>
  </r>
  <r>
    <x v="343"/>
    <x v="24"/>
    <x v="0"/>
    <n v="1"/>
    <n v="25"/>
    <s v="Saturday"/>
    <x v="9"/>
    <x v="4"/>
    <x v="0"/>
    <s v="French Fries"/>
    <x v="1"/>
    <n v="3"/>
    <n v="760"/>
    <n v="0"/>
    <n v="30"/>
    <n v="2280"/>
    <n v="2310"/>
    <x v="0"/>
    <x v="0"/>
    <x v="0"/>
    <n v="65"/>
    <n v="4"/>
  </r>
  <r>
    <x v="344"/>
    <x v="24"/>
    <x v="0"/>
    <n v="1"/>
    <n v="25"/>
    <s v="Saturday"/>
    <x v="4"/>
    <x v="0"/>
    <x v="1"/>
    <s v="Fried Rice"/>
    <x v="1"/>
    <n v="1"/>
    <n v="704"/>
    <n v="140.80000000000001"/>
    <n v="0"/>
    <n v="704"/>
    <n v="563.20000000000005"/>
    <x v="3"/>
    <x v="2"/>
    <x v="0"/>
    <n v="41"/>
    <m/>
  </r>
  <r>
    <x v="345"/>
    <x v="24"/>
    <x v="0"/>
    <n v="1"/>
    <n v="25"/>
    <s v="Saturday"/>
    <x v="5"/>
    <x v="11"/>
    <x v="7"/>
    <s v="Chicken Momos"/>
    <x v="0"/>
    <n v="2"/>
    <n v="713"/>
    <n v="35.65"/>
    <n v="30"/>
    <n v="1426"/>
    <n v="1420.35"/>
    <x v="0"/>
    <x v="0"/>
    <x v="1"/>
    <n v="56"/>
    <n v="4.5999999999999996"/>
  </r>
  <r>
    <x v="346"/>
    <x v="24"/>
    <x v="0"/>
    <n v="1"/>
    <n v="25"/>
    <s v="Saturday"/>
    <x v="8"/>
    <x v="2"/>
    <x v="8"/>
    <s v="Cold Coffee"/>
    <x v="1"/>
    <n v="3"/>
    <n v="685"/>
    <n v="68.5"/>
    <n v="40"/>
    <n v="2055"/>
    <n v="2026.5"/>
    <x v="1"/>
    <x v="0"/>
    <x v="0"/>
    <n v="18"/>
    <n v="3.7"/>
  </r>
  <r>
    <x v="347"/>
    <x v="24"/>
    <x v="0"/>
    <n v="1"/>
    <n v="25"/>
    <s v="Saturday"/>
    <x v="2"/>
    <x v="12"/>
    <x v="6"/>
    <s v="Veg Pizza"/>
    <x v="1"/>
    <n v="1"/>
    <n v="380"/>
    <n v="76"/>
    <n v="30"/>
    <n v="380"/>
    <n v="334"/>
    <x v="0"/>
    <x v="0"/>
    <x v="1"/>
    <n v="60"/>
    <n v="3.2"/>
  </r>
  <r>
    <x v="348"/>
    <x v="24"/>
    <x v="0"/>
    <n v="1"/>
    <n v="25"/>
    <s v="Saturday"/>
    <x v="8"/>
    <x v="1"/>
    <x v="6"/>
    <s v="Chicken Pizza"/>
    <x v="1"/>
    <n v="1"/>
    <n v="888"/>
    <n v="88.8"/>
    <n v="50"/>
    <n v="888"/>
    <n v="849.2"/>
    <x v="4"/>
    <x v="1"/>
    <x v="1"/>
    <n v="47"/>
    <m/>
  </r>
  <r>
    <x v="349"/>
    <x v="25"/>
    <x v="0"/>
    <n v="1"/>
    <n v="26"/>
    <s v="Sunday"/>
    <x v="5"/>
    <x v="3"/>
    <x v="2"/>
    <s v="Cold Coffee"/>
    <x v="1"/>
    <n v="1"/>
    <n v="273"/>
    <n v="27.3"/>
    <n v="60"/>
    <n v="273"/>
    <n v="305.7"/>
    <x v="0"/>
    <x v="0"/>
    <x v="0"/>
    <n v="45"/>
    <n v="4.4000000000000004"/>
  </r>
  <r>
    <x v="350"/>
    <x v="25"/>
    <x v="0"/>
    <n v="1"/>
    <n v="26"/>
    <s v="Sunday"/>
    <x v="7"/>
    <x v="8"/>
    <x v="6"/>
    <s v="Chicken Pizza"/>
    <x v="1"/>
    <n v="2"/>
    <n v="286"/>
    <n v="0"/>
    <n v="40"/>
    <n v="572"/>
    <n v="612"/>
    <x v="1"/>
    <x v="0"/>
    <x v="1"/>
    <n v="62"/>
    <n v="4.2"/>
  </r>
  <r>
    <x v="351"/>
    <x v="25"/>
    <x v="0"/>
    <n v="1"/>
    <n v="26"/>
    <s v="Sunday"/>
    <x v="2"/>
    <x v="8"/>
    <x v="0"/>
    <s v="Cold Coffee"/>
    <x v="3"/>
    <n v="1"/>
    <n v="336"/>
    <n v="0"/>
    <n v="20"/>
    <n v="336"/>
    <n v="356"/>
    <x v="3"/>
    <x v="0"/>
    <x v="1"/>
    <n v="25"/>
    <n v="4.8"/>
  </r>
  <r>
    <x v="352"/>
    <x v="25"/>
    <x v="0"/>
    <n v="1"/>
    <n v="26"/>
    <s v="Sunday"/>
    <x v="6"/>
    <x v="9"/>
    <x v="4"/>
    <s v="Veg Pizza"/>
    <x v="1"/>
    <n v="1"/>
    <n v="765"/>
    <n v="38.25"/>
    <n v="40"/>
    <n v="765"/>
    <n v="766.75"/>
    <x v="2"/>
    <x v="0"/>
    <x v="1"/>
    <n v="59"/>
    <n v="3.6"/>
  </r>
  <r>
    <x v="353"/>
    <x v="25"/>
    <x v="0"/>
    <n v="1"/>
    <n v="26"/>
    <s v="Sunday"/>
    <x v="0"/>
    <x v="9"/>
    <x v="7"/>
    <s v="Veg Pizza"/>
    <x v="1"/>
    <n v="1"/>
    <n v="183"/>
    <n v="18.3"/>
    <n v="50"/>
    <n v="183"/>
    <n v="214.7"/>
    <x v="4"/>
    <x v="0"/>
    <x v="1"/>
    <n v="55"/>
    <n v="4.5999999999999996"/>
  </r>
  <r>
    <x v="354"/>
    <x v="25"/>
    <x v="0"/>
    <n v="1"/>
    <n v="26"/>
    <s v="Sunday"/>
    <x v="2"/>
    <x v="12"/>
    <x v="5"/>
    <s v="Veg Biryani"/>
    <x v="2"/>
    <n v="2"/>
    <n v="843"/>
    <n v="84.3"/>
    <n v="30"/>
    <n v="1686"/>
    <n v="1631.7"/>
    <x v="1"/>
    <x v="0"/>
    <x v="0"/>
    <n v="47"/>
    <n v="3.3"/>
  </r>
  <r>
    <x v="355"/>
    <x v="25"/>
    <x v="0"/>
    <n v="1"/>
    <n v="26"/>
    <s v="Sunday"/>
    <x v="1"/>
    <x v="8"/>
    <x v="2"/>
    <s v="Chicken Biryani"/>
    <x v="1"/>
    <n v="1"/>
    <n v="391"/>
    <n v="19.55"/>
    <n v="30"/>
    <n v="391"/>
    <n v="401.45"/>
    <x v="4"/>
    <x v="0"/>
    <x v="0"/>
    <n v="39"/>
    <n v="3.5"/>
  </r>
  <r>
    <x v="356"/>
    <x v="25"/>
    <x v="0"/>
    <n v="1"/>
    <n v="26"/>
    <s v="Sunday"/>
    <x v="1"/>
    <x v="14"/>
    <x v="8"/>
    <s v="Chicken Momos"/>
    <x v="1"/>
    <n v="2"/>
    <n v="725"/>
    <n v="145"/>
    <n v="30"/>
    <n v="1450"/>
    <n v="1335"/>
    <x v="2"/>
    <x v="0"/>
    <x v="1"/>
    <n v="50"/>
    <n v="4"/>
  </r>
  <r>
    <x v="357"/>
    <x v="25"/>
    <x v="0"/>
    <n v="1"/>
    <n v="26"/>
    <s v="Sunday"/>
    <x v="4"/>
    <x v="14"/>
    <x v="8"/>
    <s v="Fried Rice"/>
    <x v="0"/>
    <n v="2"/>
    <n v="859"/>
    <n v="42.95"/>
    <n v="40"/>
    <n v="1718"/>
    <n v="1715.05"/>
    <x v="2"/>
    <x v="1"/>
    <x v="0"/>
    <n v="60"/>
    <m/>
  </r>
  <r>
    <x v="358"/>
    <x v="25"/>
    <x v="0"/>
    <n v="1"/>
    <n v="26"/>
    <s v="Sunday"/>
    <x v="4"/>
    <x v="2"/>
    <x v="6"/>
    <s v="Idli Sambar"/>
    <x v="1"/>
    <n v="2"/>
    <n v="204"/>
    <n v="20.399999999999999"/>
    <n v="50"/>
    <n v="408"/>
    <n v="437.6"/>
    <x v="3"/>
    <x v="0"/>
    <x v="1"/>
    <n v="49"/>
    <n v="4"/>
  </r>
  <r>
    <x v="359"/>
    <x v="25"/>
    <x v="0"/>
    <n v="1"/>
    <n v="26"/>
    <s v="Sunday"/>
    <x v="0"/>
    <x v="14"/>
    <x v="0"/>
    <s v="Paneer Butter Masala"/>
    <x v="1"/>
    <n v="1"/>
    <n v="854"/>
    <n v="85.4"/>
    <n v="0"/>
    <n v="854"/>
    <n v="768.6"/>
    <x v="0"/>
    <x v="0"/>
    <x v="1"/>
    <n v="69"/>
    <n v="3.6"/>
  </r>
  <r>
    <x v="360"/>
    <x v="26"/>
    <x v="0"/>
    <n v="1"/>
    <n v="27"/>
    <s v="Monday"/>
    <x v="5"/>
    <x v="0"/>
    <x v="0"/>
    <s v="Chicken Burger"/>
    <x v="2"/>
    <n v="3"/>
    <n v="766"/>
    <n v="191.5"/>
    <n v="40"/>
    <n v="2298"/>
    <n v="2146.5"/>
    <x v="1"/>
    <x v="0"/>
    <x v="0"/>
    <n v="41"/>
    <n v="4.2"/>
  </r>
  <r>
    <x v="361"/>
    <x v="26"/>
    <x v="0"/>
    <n v="1"/>
    <n v="27"/>
    <s v="Monday"/>
    <x v="5"/>
    <x v="14"/>
    <x v="4"/>
    <s v="Pasta"/>
    <x v="1"/>
    <n v="2"/>
    <n v="515"/>
    <n v="77.25"/>
    <n v="30"/>
    <n v="1030"/>
    <n v="982.75"/>
    <x v="1"/>
    <x v="0"/>
    <x v="0"/>
    <n v="47"/>
    <n v="3.6"/>
  </r>
  <r>
    <x v="362"/>
    <x v="26"/>
    <x v="0"/>
    <n v="1"/>
    <n v="27"/>
    <s v="Monday"/>
    <x v="5"/>
    <x v="5"/>
    <x v="7"/>
    <s v="Idli Sambar"/>
    <x v="1"/>
    <n v="2"/>
    <n v="571"/>
    <n v="85.65"/>
    <n v="0"/>
    <n v="1142"/>
    <n v="1056.3499999999999"/>
    <x v="1"/>
    <x v="0"/>
    <x v="0"/>
    <n v="46"/>
    <n v="3.8"/>
  </r>
  <r>
    <x v="363"/>
    <x v="26"/>
    <x v="0"/>
    <n v="1"/>
    <n v="27"/>
    <s v="Monday"/>
    <x v="4"/>
    <x v="7"/>
    <x v="3"/>
    <s v="Veg Pizza"/>
    <x v="2"/>
    <n v="1"/>
    <n v="470"/>
    <n v="0"/>
    <n v="20"/>
    <n v="470"/>
    <n v="490"/>
    <x v="1"/>
    <x v="0"/>
    <x v="1"/>
    <n v="22"/>
    <n v="3.6"/>
  </r>
  <r>
    <x v="364"/>
    <x v="26"/>
    <x v="0"/>
    <n v="1"/>
    <n v="27"/>
    <s v="Monday"/>
    <x v="9"/>
    <x v="5"/>
    <x v="3"/>
    <s v="Veg Pizza"/>
    <x v="2"/>
    <n v="3"/>
    <n v="859"/>
    <n v="128.85"/>
    <n v="20"/>
    <n v="2577"/>
    <n v="2468.15"/>
    <x v="1"/>
    <x v="0"/>
    <x v="1"/>
    <n v="52"/>
    <n v="4"/>
  </r>
  <r>
    <x v="365"/>
    <x v="26"/>
    <x v="0"/>
    <n v="1"/>
    <n v="27"/>
    <s v="Monday"/>
    <x v="5"/>
    <x v="6"/>
    <x v="5"/>
    <s v="Veg Momos"/>
    <x v="1"/>
    <n v="1"/>
    <n v="310"/>
    <n v="46.5"/>
    <n v="50"/>
    <n v="310"/>
    <n v="313.5"/>
    <x v="1"/>
    <x v="0"/>
    <x v="1"/>
    <n v="32"/>
    <n v="4.4000000000000004"/>
  </r>
  <r>
    <x v="366"/>
    <x v="26"/>
    <x v="0"/>
    <n v="1"/>
    <n v="27"/>
    <s v="Monday"/>
    <x v="3"/>
    <x v="0"/>
    <x v="1"/>
    <s v="Veg Biryani"/>
    <x v="2"/>
    <n v="1"/>
    <n v="304"/>
    <n v="0"/>
    <n v="40"/>
    <n v="304"/>
    <n v="344"/>
    <x v="2"/>
    <x v="0"/>
    <x v="0"/>
    <n v="31"/>
    <n v="4.2"/>
  </r>
  <r>
    <x v="367"/>
    <x v="26"/>
    <x v="0"/>
    <n v="1"/>
    <n v="27"/>
    <s v="Monday"/>
    <x v="1"/>
    <x v="10"/>
    <x v="7"/>
    <s v="Masala Dosa"/>
    <x v="1"/>
    <n v="2"/>
    <n v="239"/>
    <n v="23.9"/>
    <n v="30"/>
    <n v="478"/>
    <n v="484.1"/>
    <x v="4"/>
    <x v="0"/>
    <x v="1"/>
    <n v="25"/>
    <n v="4.5999999999999996"/>
  </r>
  <r>
    <x v="368"/>
    <x v="26"/>
    <x v="0"/>
    <n v="1"/>
    <n v="27"/>
    <s v="Monday"/>
    <x v="0"/>
    <x v="13"/>
    <x v="1"/>
    <s v="Masala Dosa"/>
    <x v="1"/>
    <n v="3"/>
    <n v="428"/>
    <n v="64.2"/>
    <n v="20"/>
    <n v="1284"/>
    <n v="1239.8"/>
    <x v="2"/>
    <x v="2"/>
    <x v="1"/>
    <n v="33"/>
    <m/>
  </r>
  <r>
    <x v="369"/>
    <x v="27"/>
    <x v="0"/>
    <n v="1"/>
    <n v="28"/>
    <s v="Tuesday"/>
    <x v="2"/>
    <x v="4"/>
    <x v="0"/>
    <s v="Cold Coffee"/>
    <x v="2"/>
    <n v="2"/>
    <n v="600"/>
    <n v="90"/>
    <n v="30"/>
    <n v="1200"/>
    <n v="1140"/>
    <x v="3"/>
    <x v="3"/>
    <x v="1"/>
    <n v="43"/>
    <m/>
  </r>
  <r>
    <x v="370"/>
    <x v="27"/>
    <x v="0"/>
    <n v="1"/>
    <n v="28"/>
    <s v="Tuesday"/>
    <x v="7"/>
    <x v="6"/>
    <x v="2"/>
    <s v="Fried Rice"/>
    <x v="1"/>
    <n v="1"/>
    <n v="167"/>
    <n v="16.7"/>
    <n v="60"/>
    <n v="167"/>
    <n v="210.3"/>
    <x v="1"/>
    <x v="0"/>
    <x v="1"/>
    <n v="69"/>
    <n v="5"/>
  </r>
  <r>
    <x v="371"/>
    <x v="27"/>
    <x v="0"/>
    <n v="1"/>
    <n v="28"/>
    <s v="Tuesday"/>
    <x v="9"/>
    <x v="1"/>
    <x v="2"/>
    <s v="Veg Burger"/>
    <x v="1"/>
    <n v="3"/>
    <n v="524"/>
    <n v="104.8"/>
    <n v="40"/>
    <n v="1572"/>
    <n v="1507.2"/>
    <x v="0"/>
    <x v="0"/>
    <x v="1"/>
    <n v="53"/>
    <n v="3"/>
  </r>
  <r>
    <x v="372"/>
    <x v="27"/>
    <x v="0"/>
    <n v="1"/>
    <n v="28"/>
    <s v="Tuesday"/>
    <x v="4"/>
    <x v="14"/>
    <x v="5"/>
    <s v="Chicken Biryani"/>
    <x v="1"/>
    <n v="1"/>
    <n v="845"/>
    <n v="126.75"/>
    <n v="50"/>
    <n v="845"/>
    <n v="768.25"/>
    <x v="3"/>
    <x v="0"/>
    <x v="1"/>
    <n v="51"/>
    <n v="5"/>
  </r>
  <r>
    <x v="373"/>
    <x v="27"/>
    <x v="0"/>
    <n v="1"/>
    <n v="28"/>
    <s v="Tuesday"/>
    <x v="0"/>
    <x v="1"/>
    <x v="7"/>
    <s v="Veg Pizza"/>
    <x v="1"/>
    <n v="3"/>
    <n v="750"/>
    <n v="75"/>
    <n v="40"/>
    <n v="2250"/>
    <n v="2215"/>
    <x v="1"/>
    <x v="0"/>
    <x v="1"/>
    <n v="27"/>
    <n v="3.7"/>
  </r>
  <r>
    <x v="374"/>
    <x v="27"/>
    <x v="0"/>
    <n v="1"/>
    <n v="28"/>
    <s v="Tuesday"/>
    <x v="0"/>
    <x v="8"/>
    <x v="3"/>
    <s v="Fried Rice"/>
    <x v="1"/>
    <n v="1"/>
    <n v="288"/>
    <n v="72"/>
    <n v="0"/>
    <n v="288"/>
    <n v="216"/>
    <x v="1"/>
    <x v="0"/>
    <x v="1"/>
    <n v="46"/>
    <n v="3.9"/>
  </r>
  <r>
    <x v="375"/>
    <x v="27"/>
    <x v="0"/>
    <n v="1"/>
    <n v="28"/>
    <s v="Tuesday"/>
    <x v="1"/>
    <x v="9"/>
    <x v="8"/>
    <s v="Fried Rice"/>
    <x v="3"/>
    <n v="1"/>
    <n v="409"/>
    <n v="61.35"/>
    <n v="40"/>
    <n v="409"/>
    <n v="387.65"/>
    <x v="1"/>
    <x v="0"/>
    <x v="0"/>
    <n v="51"/>
    <n v="4.7"/>
  </r>
  <r>
    <x v="376"/>
    <x v="27"/>
    <x v="0"/>
    <n v="1"/>
    <n v="28"/>
    <s v="Tuesday"/>
    <x v="7"/>
    <x v="9"/>
    <x v="1"/>
    <s v="Chicken Biryani"/>
    <x v="1"/>
    <n v="1"/>
    <n v="804"/>
    <n v="120.6"/>
    <n v="40"/>
    <n v="804"/>
    <n v="723.4"/>
    <x v="3"/>
    <x v="0"/>
    <x v="0"/>
    <n v="55"/>
    <n v="3.9"/>
  </r>
  <r>
    <x v="377"/>
    <x v="27"/>
    <x v="0"/>
    <n v="1"/>
    <n v="28"/>
    <s v="Tuesday"/>
    <x v="3"/>
    <x v="7"/>
    <x v="6"/>
    <s v="Veg Burger"/>
    <x v="2"/>
    <n v="2"/>
    <n v="605"/>
    <n v="90.75"/>
    <n v="30"/>
    <n v="1210"/>
    <n v="1149.25"/>
    <x v="2"/>
    <x v="0"/>
    <x v="1"/>
    <n v="46"/>
    <n v="4.2"/>
  </r>
  <r>
    <x v="378"/>
    <x v="27"/>
    <x v="0"/>
    <n v="1"/>
    <n v="28"/>
    <s v="Tuesday"/>
    <x v="1"/>
    <x v="13"/>
    <x v="2"/>
    <s v="Veg Momos"/>
    <x v="1"/>
    <n v="1"/>
    <n v="325"/>
    <n v="65"/>
    <n v="60"/>
    <n v="325"/>
    <n v="320"/>
    <x v="3"/>
    <x v="0"/>
    <x v="0"/>
    <n v="61"/>
    <n v="3.5"/>
  </r>
  <r>
    <x v="379"/>
    <x v="27"/>
    <x v="0"/>
    <n v="1"/>
    <n v="28"/>
    <s v="Tuesday"/>
    <x v="4"/>
    <x v="10"/>
    <x v="4"/>
    <s v="Chocolate Cake"/>
    <x v="1"/>
    <n v="3"/>
    <n v="848"/>
    <n v="42.4"/>
    <n v="40"/>
    <n v="2544"/>
    <n v="2541.6"/>
    <x v="4"/>
    <x v="0"/>
    <x v="1"/>
    <n v="21"/>
    <n v="4.5"/>
  </r>
  <r>
    <x v="380"/>
    <x v="27"/>
    <x v="0"/>
    <n v="1"/>
    <n v="28"/>
    <s v="Tuesday"/>
    <x v="4"/>
    <x v="1"/>
    <x v="7"/>
    <s v="Pasta"/>
    <x v="1"/>
    <n v="2"/>
    <n v="782"/>
    <n v="117.3"/>
    <n v="20"/>
    <n v="1564"/>
    <n v="1466.7"/>
    <x v="4"/>
    <x v="0"/>
    <x v="0"/>
    <n v="62"/>
    <n v="4"/>
  </r>
  <r>
    <x v="381"/>
    <x v="27"/>
    <x v="0"/>
    <n v="1"/>
    <n v="28"/>
    <s v="Tuesday"/>
    <x v="5"/>
    <x v="1"/>
    <x v="6"/>
    <s v="French Fries"/>
    <x v="1"/>
    <n v="1"/>
    <n v="664"/>
    <n v="66.400000000000006"/>
    <n v="60"/>
    <n v="664"/>
    <n v="657.6"/>
    <x v="1"/>
    <x v="0"/>
    <x v="1"/>
    <n v="63"/>
    <n v="3.9"/>
  </r>
  <r>
    <x v="382"/>
    <x v="27"/>
    <x v="0"/>
    <n v="1"/>
    <n v="28"/>
    <s v="Tuesday"/>
    <x v="2"/>
    <x v="2"/>
    <x v="7"/>
    <s v="Cold Coffee"/>
    <x v="2"/>
    <n v="1"/>
    <n v="708"/>
    <n v="141.6"/>
    <n v="30"/>
    <n v="708"/>
    <n v="596.4"/>
    <x v="2"/>
    <x v="2"/>
    <x v="0"/>
    <n v="20"/>
    <m/>
  </r>
  <r>
    <x v="383"/>
    <x v="27"/>
    <x v="0"/>
    <n v="1"/>
    <n v="28"/>
    <s v="Tuesday"/>
    <x v="2"/>
    <x v="12"/>
    <x v="8"/>
    <s v="Veg Biryani"/>
    <x v="1"/>
    <n v="2"/>
    <n v="270"/>
    <n v="27"/>
    <n v="20"/>
    <n v="540"/>
    <n v="533"/>
    <x v="1"/>
    <x v="0"/>
    <x v="1"/>
    <n v="19"/>
    <n v="4.8"/>
  </r>
  <r>
    <x v="384"/>
    <x v="27"/>
    <x v="0"/>
    <n v="1"/>
    <n v="28"/>
    <s v="Tuesday"/>
    <x v="3"/>
    <x v="1"/>
    <x v="6"/>
    <s v="Cold Coffee"/>
    <x v="1"/>
    <n v="1"/>
    <n v="722"/>
    <n v="108.3"/>
    <n v="20"/>
    <n v="722"/>
    <n v="633.70000000000005"/>
    <x v="4"/>
    <x v="0"/>
    <x v="0"/>
    <n v="24"/>
    <n v="3.7"/>
  </r>
  <r>
    <x v="385"/>
    <x v="27"/>
    <x v="0"/>
    <n v="1"/>
    <n v="28"/>
    <s v="Tuesday"/>
    <x v="1"/>
    <x v="13"/>
    <x v="9"/>
    <s v="Cold Coffee"/>
    <x v="1"/>
    <n v="1"/>
    <n v="655"/>
    <n v="65.5"/>
    <n v="30"/>
    <n v="655"/>
    <n v="619.5"/>
    <x v="1"/>
    <x v="0"/>
    <x v="1"/>
    <n v="20"/>
    <n v="3.8"/>
  </r>
  <r>
    <x v="386"/>
    <x v="28"/>
    <x v="0"/>
    <n v="1"/>
    <n v="29"/>
    <s v="Wednesday"/>
    <x v="3"/>
    <x v="6"/>
    <x v="8"/>
    <s v="Idli Sambar"/>
    <x v="1"/>
    <n v="1"/>
    <n v="640"/>
    <n v="0"/>
    <n v="30"/>
    <n v="640"/>
    <n v="670"/>
    <x v="3"/>
    <x v="0"/>
    <x v="1"/>
    <n v="67"/>
    <n v="3.4"/>
  </r>
  <r>
    <x v="387"/>
    <x v="28"/>
    <x v="0"/>
    <n v="1"/>
    <n v="29"/>
    <s v="Wednesday"/>
    <x v="9"/>
    <x v="1"/>
    <x v="6"/>
    <s v="Paneer Butter Masala"/>
    <x v="1"/>
    <n v="1"/>
    <n v="729"/>
    <n v="182.25"/>
    <n v="50"/>
    <n v="729"/>
    <n v="596.75"/>
    <x v="4"/>
    <x v="0"/>
    <x v="0"/>
    <n v="65"/>
    <n v="3.4"/>
  </r>
  <r>
    <x v="388"/>
    <x v="28"/>
    <x v="0"/>
    <n v="1"/>
    <n v="29"/>
    <s v="Wednesday"/>
    <x v="3"/>
    <x v="8"/>
    <x v="7"/>
    <s v="Idli Sambar"/>
    <x v="1"/>
    <n v="2"/>
    <n v="704"/>
    <n v="105.6"/>
    <n v="0"/>
    <n v="1408"/>
    <n v="1302.4000000000001"/>
    <x v="0"/>
    <x v="0"/>
    <x v="1"/>
    <n v="53"/>
    <n v="3.4"/>
  </r>
  <r>
    <x v="389"/>
    <x v="28"/>
    <x v="0"/>
    <n v="1"/>
    <n v="29"/>
    <s v="Wednesday"/>
    <x v="5"/>
    <x v="11"/>
    <x v="6"/>
    <s v="Paneer Butter Masala"/>
    <x v="1"/>
    <n v="2"/>
    <n v="176"/>
    <n v="17.600000000000001"/>
    <n v="50"/>
    <n v="352"/>
    <n v="384.4"/>
    <x v="1"/>
    <x v="3"/>
    <x v="1"/>
    <n v="41"/>
    <m/>
  </r>
  <r>
    <x v="390"/>
    <x v="28"/>
    <x v="0"/>
    <n v="1"/>
    <n v="29"/>
    <s v="Wednesday"/>
    <x v="6"/>
    <x v="6"/>
    <x v="7"/>
    <s v="Veg Momos"/>
    <x v="1"/>
    <n v="3"/>
    <n v="844"/>
    <n v="211"/>
    <n v="0"/>
    <n v="2532"/>
    <n v="2321"/>
    <x v="0"/>
    <x v="2"/>
    <x v="0"/>
    <n v="56"/>
    <m/>
  </r>
  <r>
    <x v="391"/>
    <x v="28"/>
    <x v="0"/>
    <n v="1"/>
    <n v="29"/>
    <s v="Wednesday"/>
    <x v="7"/>
    <x v="12"/>
    <x v="0"/>
    <s v="Chicken Momos"/>
    <x v="1"/>
    <n v="1"/>
    <n v="872"/>
    <n v="87.2"/>
    <n v="60"/>
    <n v="872"/>
    <n v="844.8"/>
    <x v="3"/>
    <x v="0"/>
    <x v="0"/>
    <n v="37"/>
    <n v="4.3"/>
  </r>
  <r>
    <x v="392"/>
    <x v="28"/>
    <x v="0"/>
    <n v="1"/>
    <n v="29"/>
    <s v="Wednesday"/>
    <x v="1"/>
    <x v="6"/>
    <x v="9"/>
    <s v="Chocolate Cake"/>
    <x v="0"/>
    <n v="1"/>
    <n v="251"/>
    <n v="50.2"/>
    <n v="40"/>
    <n v="251"/>
    <n v="240.8"/>
    <x v="0"/>
    <x v="0"/>
    <x v="0"/>
    <n v="20"/>
    <n v="4.3"/>
  </r>
  <r>
    <x v="393"/>
    <x v="28"/>
    <x v="0"/>
    <n v="1"/>
    <n v="29"/>
    <s v="Wednesday"/>
    <x v="2"/>
    <x v="2"/>
    <x v="2"/>
    <s v="Chicken Biryani"/>
    <x v="1"/>
    <n v="2"/>
    <n v="157"/>
    <n v="31.4"/>
    <n v="30"/>
    <n v="314"/>
    <n v="312.60000000000002"/>
    <x v="1"/>
    <x v="2"/>
    <x v="1"/>
    <n v="38"/>
    <m/>
  </r>
  <r>
    <x v="394"/>
    <x v="28"/>
    <x v="0"/>
    <n v="1"/>
    <n v="29"/>
    <s v="Wednesday"/>
    <x v="2"/>
    <x v="5"/>
    <x v="6"/>
    <s v="Fried Rice"/>
    <x v="1"/>
    <n v="2"/>
    <n v="305"/>
    <n v="15.25"/>
    <n v="30"/>
    <n v="610"/>
    <n v="624.75"/>
    <x v="0"/>
    <x v="0"/>
    <x v="0"/>
    <n v="29"/>
    <n v="3.9"/>
  </r>
  <r>
    <x v="395"/>
    <x v="28"/>
    <x v="0"/>
    <n v="1"/>
    <n v="29"/>
    <s v="Wednesday"/>
    <x v="5"/>
    <x v="11"/>
    <x v="4"/>
    <s v="Chicken Pizza"/>
    <x v="2"/>
    <n v="3"/>
    <n v="709"/>
    <n v="0"/>
    <n v="60"/>
    <n v="2127"/>
    <n v="2187"/>
    <x v="1"/>
    <x v="2"/>
    <x v="1"/>
    <n v="34"/>
    <m/>
  </r>
  <r>
    <x v="396"/>
    <x v="28"/>
    <x v="0"/>
    <n v="1"/>
    <n v="29"/>
    <s v="Wednesday"/>
    <x v="1"/>
    <x v="14"/>
    <x v="8"/>
    <s v="Chicken Momos"/>
    <x v="2"/>
    <n v="1"/>
    <n v="403"/>
    <n v="80.599999999999994"/>
    <n v="30"/>
    <n v="403"/>
    <n v="352.4"/>
    <x v="3"/>
    <x v="0"/>
    <x v="0"/>
    <n v="61"/>
    <n v="4"/>
  </r>
  <r>
    <x v="397"/>
    <x v="28"/>
    <x v="0"/>
    <n v="1"/>
    <n v="29"/>
    <s v="Wednesday"/>
    <x v="4"/>
    <x v="2"/>
    <x v="7"/>
    <s v="Chicken Biryani"/>
    <x v="2"/>
    <n v="3"/>
    <n v="760"/>
    <n v="114"/>
    <n v="50"/>
    <n v="2280"/>
    <n v="2216"/>
    <x v="1"/>
    <x v="0"/>
    <x v="1"/>
    <n v="39"/>
    <n v="5"/>
  </r>
  <r>
    <x v="398"/>
    <x v="28"/>
    <x v="0"/>
    <n v="1"/>
    <n v="29"/>
    <s v="Wednesday"/>
    <x v="5"/>
    <x v="5"/>
    <x v="1"/>
    <s v="Chicken Burger"/>
    <x v="1"/>
    <n v="1"/>
    <n v="551"/>
    <n v="55.1"/>
    <n v="0"/>
    <n v="551"/>
    <n v="495.9"/>
    <x v="1"/>
    <x v="0"/>
    <x v="0"/>
    <n v="56"/>
    <n v="5"/>
  </r>
  <r>
    <x v="399"/>
    <x v="28"/>
    <x v="0"/>
    <n v="1"/>
    <n v="29"/>
    <s v="Wednesday"/>
    <x v="1"/>
    <x v="8"/>
    <x v="1"/>
    <s v="Chicken Burger"/>
    <x v="1"/>
    <n v="1"/>
    <n v="223"/>
    <n v="33.450000000000003"/>
    <n v="30"/>
    <n v="223"/>
    <n v="219.55"/>
    <x v="1"/>
    <x v="0"/>
    <x v="1"/>
    <n v="41"/>
    <n v="3.3"/>
  </r>
  <r>
    <x v="400"/>
    <x v="28"/>
    <x v="0"/>
    <n v="1"/>
    <n v="29"/>
    <s v="Wednesday"/>
    <x v="4"/>
    <x v="2"/>
    <x v="7"/>
    <s v="French Fries"/>
    <x v="1"/>
    <n v="2"/>
    <n v="220"/>
    <n v="11"/>
    <n v="40"/>
    <n v="440"/>
    <n v="469"/>
    <x v="1"/>
    <x v="1"/>
    <x v="1"/>
    <n v="20"/>
    <m/>
  </r>
  <r>
    <x v="401"/>
    <x v="28"/>
    <x v="0"/>
    <n v="1"/>
    <n v="29"/>
    <s v="Wednesday"/>
    <x v="3"/>
    <x v="2"/>
    <x v="2"/>
    <s v="Veg Biryani"/>
    <x v="2"/>
    <n v="1"/>
    <n v="543"/>
    <n v="108.6"/>
    <n v="30"/>
    <n v="543"/>
    <n v="464.4"/>
    <x v="2"/>
    <x v="0"/>
    <x v="0"/>
    <n v="61"/>
    <n v="3.9"/>
  </r>
  <r>
    <x v="402"/>
    <x v="29"/>
    <x v="0"/>
    <n v="1"/>
    <n v="30"/>
    <s v="Thursday"/>
    <x v="4"/>
    <x v="14"/>
    <x v="2"/>
    <s v="Chicken Momos"/>
    <x v="1"/>
    <n v="2"/>
    <n v="765"/>
    <n v="153"/>
    <n v="50"/>
    <n v="1530"/>
    <n v="1427"/>
    <x v="1"/>
    <x v="0"/>
    <x v="1"/>
    <n v="50"/>
    <n v="3.5"/>
  </r>
  <r>
    <x v="403"/>
    <x v="29"/>
    <x v="0"/>
    <n v="1"/>
    <n v="30"/>
    <s v="Thursday"/>
    <x v="4"/>
    <x v="14"/>
    <x v="2"/>
    <s v="Veg Burger"/>
    <x v="1"/>
    <n v="1"/>
    <n v="551"/>
    <n v="55.1"/>
    <n v="30"/>
    <n v="551"/>
    <n v="525.9"/>
    <x v="4"/>
    <x v="0"/>
    <x v="1"/>
    <n v="62"/>
    <n v="4.2"/>
  </r>
  <r>
    <x v="404"/>
    <x v="29"/>
    <x v="0"/>
    <n v="1"/>
    <n v="30"/>
    <s v="Thursday"/>
    <x v="3"/>
    <x v="6"/>
    <x v="7"/>
    <s v="Cold Coffee"/>
    <x v="1"/>
    <n v="1"/>
    <n v="163"/>
    <n v="24.45"/>
    <n v="40"/>
    <n v="163"/>
    <n v="178.55"/>
    <x v="0"/>
    <x v="0"/>
    <x v="1"/>
    <n v="23"/>
    <n v="3.6"/>
  </r>
  <r>
    <x v="405"/>
    <x v="29"/>
    <x v="0"/>
    <n v="1"/>
    <n v="30"/>
    <s v="Thursday"/>
    <x v="1"/>
    <x v="8"/>
    <x v="8"/>
    <s v="Chicken Pizza"/>
    <x v="1"/>
    <n v="1"/>
    <n v="198"/>
    <n v="0"/>
    <n v="30"/>
    <n v="198"/>
    <n v="228"/>
    <x v="2"/>
    <x v="0"/>
    <x v="1"/>
    <n v="62"/>
    <n v="4"/>
  </r>
  <r>
    <x v="406"/>
    <x v="29"/>
    <x v="0"/>
    <n v="1"/>
    <n v="30"/>
    <s v="Thursday"/>
    <x v="0"/>
    <x v="14"/>
    <x v="4"/>
    <s v="Chicken Pizza"/>
    <x v="1"/>
    <n v="1"/>
    <n v="248"/>
    <n v="37.200000000000003"/>
    <n v="70"/>
    <n v="248"/>
    <n v="280.8"/>
    <x v="0"/>
    <x v="0"/>
    <x v="1"/>
    <n v="66"/>
    <n v="3.8"/>
  </r>
  <r>
    <x v="407"/>
    <x v="29"/>
    <x v="0"/>
    <n v="1"/>
    <n v="30"/>
    <s v="Thursday"/>
    <x v="7"/>
    <x v="2"/>
    <x v="0"/>
    <s v="Paneer Butter Masala"/>
    <x v="2"/>
    <n v="1"/>
    <n v="160"/>
    <n v="16"/>
    <n v="20"/>
    <n v="160"/>
    <n v="164"/>
    <x v="2"/>
    <x v="0"/>
    <x v="0"/>
    <n v="20"/>
    <n v="4.5999999999999996"/>
  </r>
  <r>
    <x v="408"/>
    <x v="29"/>
    <x v="0"/>
    <n v="1"/>
    <n v="30"/>
    <s v="Thursday"/>
    <x v="2"/>
    <x v="12"/>
    <x v="6"/>
    <s v="Masala Dosa"/>
    <x v="1"/>
    <n v="2"/>
    <n v="881"/>
    <n v="132.15"/>
    <n v="30"/>
    <n v="1762"/>
    <n v="1659.85"/>
    <x v="1"/>
    <x v="0"/>
    <x v="1"/>
    <n v="52"/>
    <n v="3.5"/>
  </r>
  <r>
    <x v="409"/>
    <x v="29"/>
    <x v="0"/>
    <n v="1"/>
    <n v="30"/>
    <s v="Thursday"/>
    <x v="3"/>
    <x v="7"/>
    <x v="2"/>
    <s v="Idli Sambar"/>
    <x v="1"/>
    <n v="2"/>
    <n v="540"/>
    <n v="54"/>
    <n v="0"/>
    <n v="1080"/>
    <n v="1026"/>
    <x v="1"/>
    <x v="1"/>
    <x v="1"/>
    <n v="29"/>
    <m/>
  </r>
  <r>
    <x v="410"/>
    <x v="29"/>
    <x v="0"/>
    <n v="1"/>
    <n v="30"/>
    <s v="Thursday"/>
    <x v="6"/>
    <x v="4"/>
    <x v="3"/>
    <s v="French Fries"/>
    <x v="1"/>
    <n v="3"/>
    <n v="613"/>
    <n v="61.3"/>
    <n v="30"/>
    <n v="1839"/>
    <n v="1807.7"/>
    <x v="2"/>
    <x v="0"/>
    <x v="0"/>
    <n v="46"/>
    <n v="3.3"/>
  </r>
  <r>
    <x v="411"/>
    <x v="29"/>
    <x v="0"/>
    <n v="1"/>
    <n v="30"/>
    <s v="Thursday"/>
    <x v="9"/>
    <x v="12"/>
    <x v="6"/>
    <s v="Veg Burger"/>
    <x v="1"/>
    <n v="1"/>
    <n v="651"/>
    <n v="32.549999999999997"/>
    <n v="30"/>
    <n v="651"/>
    <n v="648.45000000000005"/>
    <x v="4"/>
    <x v="3"/>
    <x v="1"/>
    <n v="48"/>
    <m/>
  </r>
  <r>
    <x v="412"/>
    <x v="29"/>
    <x v="0"/>
    <n v="1"/>
    <n v="30"/>
    <s v="Thursday"/>
    <x v="6"/>
    <x v="10"/>
    <x v="0"/>
    <s v="Fried Rice"/>
    <x v="1"/>
    <n v="2"/>
    <n v="349"/>
    <n v="34.9"/>
    <n v="50"/>
    <n v="698"/>
    <n v="713.1"/>
    <x v="4"/>
    <x v="0"/>
    <x v="0"/>
    <n v="50"/>
    <n v="2.9"/>
  </r>
  <r>
    <x v="413"/>
    <x v="30"/>
    <x v="0"/>
    <n v="1"/>
    <n v="31"/>
    <s v="Friday"/>
    <x v="9"/>
    <x v="6"/>
    <x v="6"/>
    <s v="Chicken Burger"/>
    <x v="1"/>
    <n v="2"/>
    <n v="874"/>
    <n v="87.4"/>
    <n v="50"/>
    <n v="1748"/>
    <n v="1710.6"/>
    <x v="1"/>
    <x v="0"/>
    <x v="1"/>
    <n v="34"/>
    <n v="4.5999999999999996"/>
  </r>
  <r>
    <x v="414"/>
    <x v="30"/>
    <x v="0"/>
    <n v="1"/>
    <n v="31"/>
    <s v="Friday"/>
    <x v="5"/>
    <x v="13"/>
    <x v="8"/>
    <s v="Chicken Pizza"/>
    <x v="1"/>
    <n v="1"/>
    <n v="671"/>
    <n v="67.099999999999994"/>
    <n v="40"/>
    <n v="671"/>
    <n v="643.9"/>
    <x v="4"/>
    <x v="0"/>
    <x v="1"/>
    <n v="23"/>
    <n v="3.8"/>
  </r>
  <r>
    <x v="415"/>
    <x v="30"/>
    <x v="0"/>
    <n v="1"/>
    <n v="31"/>
    <s v="Friday"/>
    <x v="9"/>
    <x v="5"/>
    <x v="3"/>
    <s v="Chocolate Cake"/>
    <x v="1"/>
    <n v="1"/>
    <n v="738"/>
    <n v="110.7"/>
    <n v="30"/>
    <n v="738"/>
    <n v="657.3"/>
    <x v="1"/>
    <x v="0"/>
    <x v="1"/>
    <n v="61"/>
    <n v="4.4000000000000004"/>
  </r>
  <r>
    <x v="416"/>
    <x v="30"/>
    <x v="0"/>
    <n v="1"/>
    <n v="31"/>
    <s v="Friday"/>
    <x v="2"/>
    <x v="12"/>
    <x v="9"/>
    <s v="Chicken Burger"/>
    <x v="1"/>
    <n v="1"/>
    <n v="632"/>
    <n v="158"/>
    <n v="0"/>
    <n v="632"/>
    <n v="474"/>
    <x v="4"/>
    <x v="0"/>
    <x v="1"/>
    <n v="52"/>
    <n v="3.7"/>
  </r>
  <r>
    <x v="417"/>
    <x v="30"/>
    <x v="0"/>
    <n v="1"/>
    <n v="31"/>
    <s v="Friday"/>
    <x v="2"/>
    <x v="10"/>
    <x v="1"/>
    <s v="Fried Rice"/>
    <x v="1"/>
    <n v="2"/>
    <n v="701"/>
    <n v="140.19999999999999"/>
    <n v="60"/>
    <n v="1402"/>
    <n v="1321.8"/>
    <x v="4"/>
    <x v="0"/>
    <x v="0"/>
    <n v="43"/>
    <n v="5"/>
  </r>
  <r>
    <x v="418"/>
    <x v="30"/>
    <x v="0"/>
    <n v="1"/>
    <n v="31"/>
    <s v="Friday"/>
    <x v="6"/>
    <x v="14"/>
    <x v="1"/>
    <s v="Chicken Burger"/>
    <x v="2"/>
    <n v="1"/>
    <n v="396"/>
    <n v="0"/>
    <n v="30"/>
    <n v="396"/>
    <n v="426"/>
    <x v="0"/>
    <x v="0"/>
    <x v="1"/>
    <n v="49"/>
    <n v="4"/>
  </r>
  <r>
    <x v="419"/>
    <x v="30"/>
    <x v="0"/>
    <n v="1"/>
    <n v="31"/>
    <s v="Friday"/>
    <x v="6"/>
    <x v="14"/>
    <x v="6"/>
    <s v="Veg Burger"/>
    <x v="1"/>
    <n v="1"/>
    <n v="508"/>
    <n v="50.8"/>
    <n v="20"/>
    <n v="508"/>
    <n v="477.2"/>
    <x v="1"/>
    <x v="0"/>
    <x v="0"/>
    <n v="23"/>
    <n v="4.7"/>
  </r>
  <r>
    <x v="420"/>
    <x v="31"/>
    <x v="1"/>
    <n v="2"/>
    <n v="1"/>
    <s v="Saturday"/>
    <x v="0"/>
    <x v="11"/>
    <x v="5"/>
    <s v="Veg Burger"/>
    <x v="1"/>
    <n v="3"/>
    <n v="748"/>
    <n v="74.8"/>
    <n v="30"/>
    <n v="2244"/>
    <n v="2199.1999999999998"/>
    <x v="0"/>
    <x v="0"/>
    <x v="0"/>
    <n v="20"/>
    <n v="4.3"/>
  </r>
  <r>
    <x v="421"/>
    <x v="31"/>
    <x v="1"/>
    <n v="2"/>
    <n v="1"/>
    <s v="Saturday"/>
    <x v="8"/>
    <x v="10"/>
    <x v="9"/>
    <s v="Masala Dosa"/>
    <x v="1"/>
    <n v="3"/>
    <n v="476"/>
    <n v="47.6"/>
    <n v="0"/>
    <n v="1428"/>
    <n v="1380.4"/>
    <x v="1"/>
    <x v="0"/>
    <x v="1"/>
    <n v="53"/>
    <n v="4.5"/>
  </r>
  <r>
    <x v="422"/>
    <x v="31"/>
    <x v="1"/>
    <n v="2"/>
    <n v="1"/>
    <s v="Saturday"/>
    <x v="6"/>
    <x v="9"/>
    <x v="1"/>
    <s v="French Fries"/>
    <x v="1"/>
    <n v="3"/>
    <n v="831"/>
    <n v="83.1"/>
    <n v="70"/>
    <n v="2493"/>
    <n v="2479.9"/>
    <x v="1"/>
    <x v="1"/>
    <x v="1"/>
    <n v="61"/>
    <m/>
  </r>
  <r>
    <x v="423"/>
    <x v="31"/>
    <x v="1"/>
    <n v="2"/>
    <n v="1"/>
    <s v="Saturday"/>
    <x v="4"/>
    <x v="8"/>
    <x v="5"/>
    <s v="Idli Sambar"/>
    <x v="1"/>
    <n v="1"/>
    <n v="224"/>
    <n v="11.2"/>
    <n v="30"/>
    <n v="224"/>
    <n v="242.8"/>
    <x v="1"/>
    <x v="0"/>
    <x v="1"/>
    <n v="44"/>
    <n v="4.0999999999999996"/>
  </r>
  <r>
    <x v="424"/>
    <x v="31"/>
    <x v="1"/>
    <n v="2"/>
    <n v="1"/>
    <s v="Saturday"/>
    <x v="7"/>
    <x v="11"/>
    <x v="5"/>
    <s v="Chicken Burger"/>
    <x v="1"/>
    <n v="1"/>
    <n v="553"/>
    <n v="55.3"/>
    <n v="0"/>
    <n v="553"/>
    <n v="497.7"/>
    <x v="0"/>
    <x v="0"/>
    <x v="1"/>
    <n v="23"/>
    <n v="4.5"/>
  </r>
  <r>
    <x v="425"/>
    <x v="31"/>
    <x v="1"/>
    <n v="2"/>
    <n v="1"/>
    <s v="Saturday"/>
    <x v="9"/>
    <x v="12"/>
    <x v="9"/>
    <s v="Chicken Pizza"/>
    <x v="1"/>
    <n v="1"/>
    <n v="443"/>
    <n v="66.45"/>
    <n v="0"/>
    <n v="443"/>
    <n v="376.55"/>
    <x v="0"/>
    <x v="0"/>
    <x v="1"/>
    <n v="22"/>
    <n v="4"/>
  </r>
  <r>
    <x v="426"/>
    <x v="31"/>
    <x v="1"/>
    <n v="2"/>
    <n v="1"/>
    <s v="Saturday"/>
    <x v="5"/>
    <x v="11"/>
    <x v="3"/>
    <s v="Chicken Momos"/>
    <x v="1"/>
    <n v="1"/>
    <n v="403"/>
    <n v="80.599999999999994"/>
    <n v="50"/>
    <n v="403"/>
    <n v="372.4"/>
    <x v="0"/>
    <x v="0"/>
    <x v="1"/>
    <n v="63"/>
    <n v="4.0999999999999996"/>
  </r>
  <r>
    <x v="427"/>
    <x v="31"/>
    <x v="1"/>
    <n v="2"/>
    <n v="1"/>
    <s v="Saturday"/>
    <x v="3"/>
    <x v="6"/>
    <x v="7"/>
    <s v="French Fries"/>
    <x v="1"/>
    <n v="2"/>
    <n v="178"/>
    <n v="17.8"/>
    <n v="50"/>
    <n v="356"/>
    <n v="388.2"/>
    <x v="1"/>
    <x v="0"/>
    <x v="1"/>
    <n v="39"/>
    <n v="4.5999999999999996"/>
  </r>
  <r>
    <x v="428"/>
    <x v="31"/>
    <x v="1"/>
    <n v="2"/>
    <n v="1"/>
    <s v="Saturday"/>
    <x v="3"/>
    <x v="9"/>
    <x v="3"/>
    <s v="Cold Coffee"/>
    <x v="0"/>
    <n v="3"/>
    <n v="681"/>
    <n v="102.15"/>
    <n v="40"/>
    <n v="2043"/>
    <n v="1980.85"/>
    <x v="4"/>
    <x v="0"/>
    <x v="1"/>
    <n v="50"/>
    <n v="3.2"/>
  </r>
  <r>
    <x v="429"/>
    <x v="32"/>
    <x v="1"/>
    <n v="2"/>
    <n v="2"/>
    <s v="Sunday"/>
    <x v="1"/>
    <x v="11"/>
    <x v="7"/>
    <s v="French Fries"/>
    <x v="1"/>
    <n v="2"/>
    <n v="304"/>
    <n v="60.8"/>
    <n v="60"/>
    <n v="608"/>
    <n v="607.20000000000005"/>
    <x v="0"/>
    <x v="0"/>
    <x v="0"/>
    <n v="62"/>
    <n v="4.3"/>
  </r>
  <r>
    <x v="430"/>
    <x v="32"/>
    <x v="1"/>
    <n v="2"/>
    <n v="2"/>
    <s v="Sunday"/>
    <x v="1"/>
    <x v="12"/>
    <x v="3"/>
    <s v="Paneer Butter Masala"/>
    <x v="1"/>
    <n v="3"/>
    <n v="569"/>
    <n v="113.8"/>
    <n v="0"/>
    <n v="1707"/>
    <n v="1593.2"/>
    <x v="1"/>
    <x v="0"/>
    <x v="1"/>
    <n v="69"/>
    <n v="4.4000000000000004"/>
  </r>
  <r>
    <x v="431"/>
    <x v="32"/>
    <x v="1"/>
    <n v="2"/>
    <n v="2"/>
    <s v="Sunday"/>
    <x v="5"/>
    <x v="10"/>
    <x v="2"/>
    <s v="Veg Biryani"/>
    <x v="1"/>
    <n v="3"/>
    <n v="709"/>
    <n v="177.25"/>
    <n v="60"/>
    <n v="2127"/>
    <n v="2009.75"/>
    <x v="1"/>
    <x v="0"/>
    <x v="1"/>
    <n v="24"/>
    <n v="3.2"/>
  </r>
  <r>
    <x v="432"/>
    <x v="32"/>
    <x v="1"/>
    <n v="2"/>
    <n v="2"/>
    <s v="Sunday"/>
    <x v="5"/>
    <x v="8"/>
    <x v="9"/>
    <s v="Chicken Burger"/>
    <x v="1"/>
    <n v="3"/>
    <n v="532"/>
    <n v="26.6"/>
    <n v="30"/>
    <n v="1596"/>
    <n v="1599.4"/>
    <x v="1"/>
    <x v="3"/>
    <x v="1"/>
    <n v="65"/>
    <m/>
  </r>
  <r>
    <x v="433"/>
    <x v="32"/>
    <x v="1"/>
    <n v="2"/>
    <n v="2"/>
    <s v="Sunday"/>
    <x v="3"/>
    <x v="12"/>
    <x v="4"/>
    <s v="Veg Biryani"/>
    <x v="1"/>
    <n v="3"/>
    <n v="746"/>
    <n v="74.599999999999994"/>
    <n v="50"/>
    <n v="2238"/>
    <n v="2213.4"/>
    <x v="1"/>
    <x v="3"/>
    <x v="1"/>
    <n v="68"/>
    <m/>
  </r>
  <r>
    <x v="434"/>
    <x v="32"/>
    <x v="1"/>
    <n v="2"/>
    <n v="2"/>
    <s v="Sunday"/>
    <x v="3"/>
    <x v="9"/>
    <x v="0"/>
    <s v="Chicken Burger"/>
    <x v="2"/>
    <n v="2"/>
    <n v="700"/>
    <n v="175"/>
    <n v="0"/>
    <n v="1400"/>
    <n v="1225"/>
    <x v="1"/>
    <x v="0"/>
    <x v="1"/>
    <n v="65"/>
    <n v="3.8"/>
  </r>
  <r>
    <x v="435"/>
    <x v="33"/>
    <x v="1"/>
    <n v="2"/>
    <n v="3"/>
    <s v="Monday"/>
    <x v="5"/>
    <x v="9"/>
    <x v="7"/>
    <s v="Chicken Burger"/>
    <x v="1"/>
    <n v="2"/>
    <n v="223"/>
    <n v="44.6"/>
    <n v="0"/>
    <n v="446"/>
    <n v="401.4"/>
    <x v="3"/>
    <x v="0"/>
    <x v="1"/>
    <n v="53"/>
    <n v="3.4"/>
  </r>
  <r>
    <x v="436"/>
    <x v="33"/>
    <x v="1"/>
    <n v="2"/>
    <n v="3"/>
    <s v="Monday"/>
    <x v="0"/>
    <x v="10"/>
    <x v="5"/>
    <s v="Cold Coffee"/>
    <x v="1"/>
    <n v="3"/>
    <n v="862"/>
    <n v="215.5"/>
    <n v="60"/>
    <n v="2586"/>
    <n v="2430.5"/>
    <x v="1"/>
    <x v="0"/>
    <x v="0"/>
    <n v="30"/>
    <n v="3.6"/>
  </r>
  <r>
    <x v="437"/>
    <x v="33"/>
    <x v="1"/>
    <n v="2"/>
    <n v="3"/>
    <s v="Monday"/>
    <x v="4"/>
    <x v="0"/>
    <x v="0"/>
    <s v="Paneer Butter Masala"/>
    <x v="2"/>
    <n v="1"/>
    <n v="308"/>
    <n v="61.6"/>
    <n v="40"/>
    <n v="308"/>
    <n v="286.39999999999998"/>
    <x v="1"/>
    <x v="0"/>
    <x v="1"/>
    <n v="42"/>
    <n v="3.1"/>
  </r>
  <r>
    <x v="438"/>
    <x v="33"/>
    <x v="1"/>
    <n v="2"/>
    <n v="3"/>
    <s v="Monday"/>
    <x v="6"/>
    <x v="11"/>
    <x v="7"/>
    <s v="Pasta"/>
    <x v="2"/>
    <n v="1"/>
    <n v="362"/>
    <n v="90.5"/>
    <n v="40"/>
    <n v="362"/>
    <n v="311.5"/>
    <x v="2"/>
    <x v="0"/>
    <x v="0"/>
    <n v="59"/>
    <n v="4.2"/>
  </r>
  <r>
    <x v="439"/>
    <x v="33"/>
    <x v="1"/>
    <n v="2"/>
    <n v="3"/>
    <s v="Monday"/>
    <x v="1"/>
    <x v="13"/>
    <x v="0"/>
    <s v="Veg Burger"/>
    <x v="1"/>
    <n v="1"/>
    <n v="782"/>
    <n v="39.1"/>
    <n v="60"/>
    <n v="782"/>
    <n v="802.9"/>
    <x v="1"/>
    <x v="3"/>
    <x v="1"/>
    <n v="52"/>
    <m/>
  </r>
  <r>
    <x v="440"/>
    <x v="33"/>
    <x v="1"/>
    <n v="2"/>
    <n v="3"/>
    <s v="Monday"/>
    <x v="3"/>
    <x v="1"/>
    <x v="2"/>
    <s v="Idli Sambar"/>
    <x v="2"/>
    <n v="1"/>
    <n v="816"/>
    <n v="81.599999999999994"/>
    <n v="60"/>
    <n v="816"/>
    <n v="794.4"/>
    <x v="1"/>
    <x v="0"/>
    <x v="1"/>
    <n v="48"/>
    <n v="3.7"/>
  </r>
  <r>
    <x v="441"/>
    <x v="33"/>
    <x v="1"/>
    <n v="2"/>
    <n v="3"/>
    <s v="Monday"/>
    <x v="3"/>
    <x v="7"/>
    <x v="9"/>
    <s v="Chicken Momos"/>
    <x v="1"/>
    <n v="3"/>
    <n v="509"/>
    <n v="101.8"/>
    <n v="30"/>
    <n v="1527"/>
    <n v="1455.2"/>
    <x v="3"/>
    <x v="0"/>
    <x v="1"/>
    <n v="43"/>
    <n v="3.8"/>
  </r>
  <r>
    <x v="442"/>
    <x v="33"/>
    <x v="1"/>
    <n v="2"/>
    <n v="3"/>
    <s v="Monday"/>
    <x v="1"/>
    <x v="7"/>
    <x v="7"/>
    <s v="Chicken Biryani"/>
    <x v="0"/>
    <n v="2"/>
    <n v="190"/>
    <n v="47.5"/>
    <n v="0"/>
    <n v="380"/>
    <n v="332.5"/>
    <x v="3"/>
    <x v="0"/>
    <x v="1"/>
    <n v="62"/>
    <n v="4.9000000000000004"/>
  </r>
  <r>
    <x v="443"/>
    <x v="33"/>
    <x v="1"/>
    <n v="2"/>
    <n v="3"/>
    <s v="Monday"/>
    <x v="2"/>
    <x v="8"/>
    <x v="6"/>
    <s v="Pasta"/>
    <x v="1"/>
    <n v="1"/>
    <n v="647"/>
    <n v="64.7"/>
    <n v="30"/>
    <n v="647"/>
    <n v="612.29999999999995"/>
    <x v="1"/>
    <x v="3"/>
    <x v="1"/>
    <n v="47"/>
    <m/>
  </r>
  <r>
    <x v="444"/>
    <x v="34"/>
    <x v="1"/>
    <n v="2"/>
    <n v="4"/>
    <s v="Tuesday"/>
    <x v="1"/>
    <x v="14"/>
    <x v="6"/>
    <s v="Chicken Momos"/>
    <x v="2"/>
    <n v="1"/>
    <n v="520"/>
    <n v="130"/>
    <n v="50"/>
    <n v="520"/>
    <n v="440"/>
    <x v="1"/>
    <x v="0"/>
    <x v="1"/>
    <n v="42"/>
    <n v="4.2"/>
  </r>
  <r>
    <x v="445"/>
    <x v="34"/>
    <x v="1"/>
    <n v="2"/>
    <n v="4"/>
    <s v="Tuesday"/>
    <x v="6"/>
    <x v="10"/>
    <x v="3"/>
    <s v="Veg Momos"/>
    <x v="1"/>
    <n v="1"/>
    <n v="299"/>
    <n v="59.8"/>
    <n v="60"/>
    <n v="299"/>
    <n v="299.2"/>
    <x v="4"/>
    <x v="0"/>
    <x v="0"/>
    <n v="49"/>
    <n v="4.0999999999999996"/>
  </r>
  <r>
    <x v="446"/>
    <x v="34"/>
    <x v="1"/>
    <n v="2"/>
    <n v="4"/>
    <s v="Tuesday"/>
    <x v="0"/>
    <x v="6"/>
    <x v="2"/>
    <s v="Masala Dosa"/>
    <x v="1"/>
    <n v="1"/>
    <n v="383"/>
    <n v="76.599999999999994"/>
    <n v="70"/>
    <n v="383"/>
    <n v="376.4"/>
    <x v="1"/>
    <x v="3"/>
    <x v="1"/>
    <n v="50"/>
    <m/>
  </r>
  <r>
    <x v="447"/>
    <x v="34"/>
    <x v="1"/>
    <n v="2"/>
    <n v="4"/>
    <s v="Tuesday"/>
    <x v="4"/>
    <x v="1"/>
    <x v="9"/>
    <s v="Masala Dosa"/>
    <x v="2"/>
    <n v="1"/>
    <n v="441"/>
    <n v="44.1"/>
    <n v="60"/>
    <n v="441"/>
    <n v="456.9"/>
    <x v="3"/>
    <x v="0"/>
    <x v="0"/>
    <n v="47"/>
    <n v="3.2"/>
  </r>
  <r>
    <x v="448"/>
    <x v="34"/>
    <x v="1"/>
    <n v="2"/>
    <n v="4"/>
    <s v="Tuesday"/>
    <x v="9"/>
    <x v="3"/>
    <x v="6"/>
    <s v="Idli Sambar"/>
    <x v="1"/>
    <n v="1"/>
    <n v="873"/>
    <n v="43.65"/>
    <n v="50"/>
    <n v="873"/>
    <n v="879.35"/>
    <x v="4"/>
    <x v="0"/>
    <x v="1"/>
    <n v="46"/>
    <n v="5"/>
  </r>
  <r>
    <x v="449"/>
    <x v="34"/>
    <x v="1"/>
    <n v="2"/>
    <n v="4"/>
    <s v="Tuesday"/>
    <x v="5"/>
    <x v="11"/>
    <x v="8"/>
    <s v="Veg Momos"/>
    <x v="1"/>
    <n v="3"/>
    <n v="555"/>
    <n v="55.5"/>
    <n v="60"/>
    <n v="1665"/>
    <n v="1669.5"/>
    <x v="0"/>
    <x v="0"/>
    <x v="0"/>
    <n v="26"/>
    <n v="4.9000000000000004"/>
  </r>
  <r>
    <x v="450"/>
    <x v="34"/>
    <x v="1"/>
    <n v="2"/>
    <n v="4"/>
    <s v="Tuesday"/>
    <x v="1"/>
    <x v="6"/>
    <x v="2"/>
    <s v="Idli Sambar"/>
    <x v="1"/>
    <n v="1"/>
    <n v="347"/>
    <n v="69.400000000000006"/>
    <n v="50"/>
    <n v="347"/>
    <n v="327.60000000000002"/>
    <x v="1"/>
    <x v="1"/>
    <x v="1"/>
    <n v="21"/>
    <m/>
  </r>
  <r>
    <x v="451"/>
    <x v="34"/>
    <x v="1"/>
    <n v="2"/>
    <n v="4"/>
    <s v="Tuesday"/>
    <x v="4"/>
    <x v="6"/>
    <x v="2"/>
    <s v="Veg Biryani"/>
    <x v="1"/>
    <n v="1"/>
    <n v="889"/>
    <n v="222.25"/>
    <n v="40"/>
    <n v="889"/>
    <n v="706.75"/>
    <x v="0"/>
    <x v="0"/>
    <x v="1"/>
    <n v="41"/>
    <n v="3.6"/>
  </r>
  <r>
    <x v="452"/>
    <x v="34"/>
    <x v="1"/>
    <n v="2"/>
    <n v="4"/>
    <s v="Tuesday"/>
    <x v="3"/>
    <x v="13"/>
    <x v="1"/>
    <s v="French Fries"/>
    <x v="1"/>
    <n v="3"/>
    <n v="259"/>
    <n v="38.85"/>
    <n v="30"/>
    <n v="777"/>
    <n v="768.15"/>
    <x v="1"/>
    <x v="0"/>
    <x v="0"/>
    <n v="28"/>
    <n v="3.9"/>
  </r>
  <r>
    <x v="453"/>
    <x v="34"/>
    <x v="1"/>
    <n v="2"/>
    <n v="4"/>
    <s v="Tuesday"/>
    <x v="9"/>
    <x v="7"/>
    <x v="6"/>
    <s v="Veg Pizza"/>
    <x v="1"/>
    <n v="3"/>
    <n v="893"/>
    <n v="89.3"/>
    <n v="30"/>
    <n v="2679"/>
    <n v="2619.6999999999998"/>
    <x v="4"/>
    <x v="2"/>
    <x v="1"/>
    <n v="26"/>
    <m/>
  </r>
  <r>
    <x v="454"/>
    <x v="34"/>
    <x v="1"/>
    <n v="2"/>
    <n v="4"/>
    <s v="Tuesday"/>
    <x v="5"/>
    <x v="13"/>
    <x v="3"/>
    <s v="Fried Rice"/>
    <x v="0"/>
    <n v="2"/>
    <n v="364"/>
    <n v="36.4"/>
    <n v="40"/>
    <n v="728"/>
    <n v="731.6"/>
    <x v="1"/>
    <x v="0"/>
    <x v="0"/>
    <n v="34"/>
    <n v="4.7"/>
  </r>
  <r>
    <x v="455"/>
    <x v="34"/>
    <x v="1"/>
    <n v="2"/>
    <n v="4"/>
    <s v="Tuesday"/>
    <x v="9"/>
    <x v="11"/>
    <x v="7"/>
    <s v="Pasta"/>
    <x v="1"/>
    <n v="1"/>
    <n v="397"/>
    <n v="79.400000000000006"/>
    <n v="0"/>
    <n v="397"/>
    <n v="317.60000000000002"/>
    <x v="1"/>
    <x v="1"/>
    <x v="0"/>
    <n v="38"/>
    <m/>
  </r>
  <r>
    <x v="456"/>
    <x v="34"/>
    <x v="1"/>
    <n v="2"/>
    <n v="4"/>
    <s v="Tuesday"/>
    <x v="9"/>
    <x v="6"/>
    <x v="8"/>
    <s v="French Fries"/>
    <x v="2"/>
    <n v="1"/>
    <n v="812"/>
    <n v="40.6"/>
    <n v="20"/>
    <n v="812"/>
    <n v="791.4"/>
    <x v="2"/>
    <x v="2"/>
    <x v="1"/>
    <n v="69"/>
    <m/>
  </r>
  <r>
    <x v="457"/>
    <x v="34"/>
    <x v="1"/>
    <n v="2"/>
    <n v="4"/>
    <s v="Tuesday"/>
    <x v="1"/>
    <x v="14"/>
    <x v="5"/>
    <s v="French Fries"/>
    <x v="1"/>
    <n v="2"/>
    <n v="685"/>
    <n v="68.5"/>
    <n v="30"/>
    <n v="1370"/>
    <n v="1331.5"/>
    <x v="2"/>
    <x v="0"/>
    <x v="0"/>
    <n v="44"/>
    <n v="4.0999999999999996"/>
  </r>
  <r>
    <x v="458"/>
    <x v="34"/>
    <x v="1"/>
    <n v="2"/>
    <n v="4"/>
    <s v="Tuesday"/>
    <x v="2"/>
    <x v="11"/>
    <x v="7"/>
    <s v="Paneer Butter Masala"/>
    <x v="1"/>
    <n v="1"/>
    <n v="782"/>
    <n v="78.2"/>
    <n v="50"/>
    <n v="782"/>
    <n v="753.8"/>
    <x v="4"/>
    <x v="0"/>
    <x v="1"/>
    <n v="69"/>
    <n v="4.0999999999999996"/>
  </r>
  <r>
    <x v="459"/>
    <x v="34"/>
    <x v="1"/>
    <n v="2"/>
    <n v="4"/>
    <s v="Tuesday"/>
    <x v="1"/>
    <x v="5"/>
    <x v="6"/>
    <s v="Chicken Burger"/>
    <x v="1"/>
    <n v="1"/>
    <n v="874"/>
    <n v="0"/>
    <n v="40"/>
    <n v="874"/>
    <n v="914"/>
    <x v="4"/>
    <x v="1"/>
    <x v="1"/>
    <n v="63"/>
    <m/>
  </r>
  <r>
    <x v="460"/>
    <x v="35"/>
    <x v="1"/>
    <n v="2"/>
    <n v="5"/>
    <s v="Wednesday"/>
    <x v="1"/>
    <x v="0"/>
    <x v="0"/>
    <s v="Fried Rice"/>
    <x v="1"/>
    <n v="2"/>
    <n v="808"/>
    <n v="40.4"/>
    <n v="0"/>
    <n v="1616"/>
    <n v="1575.6"/>
    <x v="0"/>
    <x v="0"/>
    <x v="1"/>
    <n v="67"/>
    <n v="4.0999999999999996"/>
  </r>
  <r>
    <x v="461"/>
    <x v="35"/>
    <x v="1"/>
    <n v="2"/>
    <n v="5"/>
    <s v="Wednesday"/>
    <x v="5"/>
    <x v="5"/>
    <x v="2"/>
    <s v="Veg Momos"/>
    <x v="1"/>
    <n v="2"/>
    <n v="265"/>
    <n v="0"/>
    <n v="60"/>
    <n v="530"/>
    <n v="590"/>
    <x v="3"/>
    <x v="0"/>
    <x v="1"/>
    <n v="46"/>
    <n v="2.6"/>
  </r>
  <r>
    <x v="462"/>
    <x v="35"/>
    <x v="1"/>
    <n v="2"/>
    <n v="5"/>
    <s v="Wednesday"/>
    <x v="3"/>
    <x v="12"/>
    <x v="8"/>
    <s v="Chicken Biryani"/>
    <x v="3"/>
    <n v="2"/>
    <n v="150"/>
    <n v="15"/>
    <n v="40"/>
    <n v="300"/>
    <n v="325"/>
    <x v="1"/>
    <x v="0"/>
    <x v="1"/>
    <n v="46"/>
    <n v="4.5999999999999996"/>
  </r>
  <r>
    <x v="463"/>
    <x v="35"/>
    <x v="1"/>
    <n v="2"/>
    <n v="5"/>
    <s v="Wednesday"/>
    <x v="2"/>
    <x v="9"/>
    <x v="9"/>
    <s v="Chicken Burger"/>
    <x v="1"/>
    <n v="1"/>
    <n v="507"/>
    <n v="76.05"/>
    <n v="30"/>
    <n v="507"/>
    <n v="460.95"/>
    <x v="1"/>
    <x v="0"/>
    <x v="0"/>
    <n v="21"/>
    <n v="4.5999999999999996"/>
  </r>
  <r>
    <x v="464"/>
    <x v="35"/>
    <x v="1"/>
    <n v="2"/>
    <n v="5"/>
    <s v="Wednesday"/>
    <x v="3"/>
    <x v="0"/>
    <x v="2"/>
    <s v="French Fries"/>
    <x v="1"/>
    <n v="2"/>
    <n v="573"/>
    <n v="57.3"/>
    <n v="60"/>
    <n v="1146"/>
    <n v="1148.7"/>
    <x v="0"/>
    <x v="2"/>
    <x v="1"/>
    <n v="32"/>
    <m/>
  </r>
  <r>
    <x v="465"/>
    <x v="35"/>
    <x v="1"/>
    <n v="2"/>
    <n v="5"/>
    <s v="Wednesday"/>
    <x v="2"/>
    <x v="12"/>
    <x v="9"/>
    <s v="Veg Pizza"/>
    <x v="0"/>
    <n v="1"/>
    <n v="489"/>
    <n v="0"/>
    <n v="20"/>
    <n v="489"/>
    <n v="509"/>
    <x v="1"/>
    <x v="0"/>
    <x v="0"/>
    <n v="59"/>
    <n v="4.2"/>
  </r>
  <r>
    <x v="466"/>
    <x v="35"/>
    <x v="1"/>
    <n v="2"/>
    <n v="5"/>
    <s v="Wednesday"/>
    <x v="3"/>
    <x v="1"/>
    <x v="4"/>
    <s v="Chicken Burger"/>
    <x v="1"/>
    <n v="3"/>
    <n v="502"/>
    <n v="25.1"/>
    <n v="40"/>
    <n v="1506"/>
    <n v="1520.9"/>
    <x v="0"/>
    <x v="0"/>
    <x v="1"/>
    <n v="37"/>
    <n v="3.8"/>
  </r>
  <r>
    <x v="467"/>
    <x v="35"/>
    <x v="1"/>
    <n v="2"/>
    <n v="5"/>
    <s v="Wednesday"/>
    <x v="4"/>
    <x v="6"/>
    <x v="3"/>
    <s v="Chicken Pizza"/>
    <x v="1"/>
    <n v="1"/>
    <n v="863"/>
    <n v="0"/>
    <n v="60"/>
    <n v="863"/>
    <n v="923"/>
    <x v="0"/>
    <x v="2"/>
    <x v="0"/>
    <n v="49"/>
    <m/>
  </r>
  <r>
    <x v="468"/>
    <x v="35"/>
    <x v="1"/>
    <n v="2"/>
    <n v="5"/>
    <s v="Wednesday"/>
    <x v="4"/>
    <x v="8"/>
    <x v="4"/>
    <s v="Chicken Biryani"/>
    <x v="3"/>
    <n v="2"/>
    <n v="240"/>
    <n v="24"/>
    <n v="50"/>
    <n v="480"/>
    <n v="506"/>
    <x v="2"/>
    <x v="0"/>
    <x v="1"/>
    <n v="25"/>
    <n v="4.2"/>
  </r>
  <r>
    <x v="469"/>
    <x v="35"/>
    <x v="1"/>
    <n v="2"/>
    <n v="5"/>
    <s v="Wednesday"/>
    <x v="3"/>
    <x v="10"/>
    <x v="6"/>
    <s v="Masala Dosa"/>
    <x v="1"/>
    <n v="1"/>
    <n v="866"/>
    <n v="129.9"/>
    <n v="50"/>
    <n v="866"/>
    <n v="786.1"/>
    <x v="2"/>
    <x v="0"/>
    <x v="1"/>
    <n v="68"/>
    <n v="3.8"/>
  </r>
  <r>
    <x v="470"/>
    <x v="35"/>
    <x v="1"/>
    <n v="2"/>
    <n v="5"/>
    <s v="Wednesday"/>
    <x v="4"/>
    <x v="0"/>
    <x v="5"/>
    <s v="Veg Pizza"/>
    <x v="3"/>
    <n v="1"/>
    <n v="670"/>
    <n v="67"/>
    <n v="70"/>
    <n v="670"/>
    <n v="673"/>
    <x v="2"/>
    <x v="0"/>
    <x v="1"/>
    <n v="34"/>
    <n v="4.2"/>
  </r>
  <r>
    <x v="471"/>
    <x v="35"/>
    <x v="1"/>
    <n v="2"/>
    <n v="5"/>
    <s v="Wednesday"/>
    <x v="1"/>
    <x v="11"/>
    <x v="7"/>
    <s v="Pasta"/>
    <x v="2"/>
    <n v="1"/>
    <n v="665"/>
    <n v="133"/>
    <n v="30"/>
    <n v="665"/>
    <n v="562"/>
    <x v="4"/>
    <x v="0"/>
    <x v="0"/>
    <n v="43"/>
    <n v="4.4000000000000004"/>
  </r>
  <r>
    <x v="472"/>
    <x v="36"/>
    <x v="1"/>
    <n v="2"/>
    <n v="6"/>
    <s v="Thursday"/>
    <x v="7"/>
    <x v="5"/>
    <x v="3"/>
    <s v="Chocolate Cake"/>
    <x v="1"/>
    <n v="3"/>
    <n v="736"/>
    <n v="147.19999999999999"/>
    <n v="20"/>
    <n v="2208"/>
    <n v="2080.8000000000002"/>
    <x v="4"/>
    <x v="0"/>
    <x v="1"/>
    <n v="42"/>
    <n v="3.7"/>
  </r>
  <r>
    <x v="473"/>
    <x v="36"/>
    <x v="1"/>
    <n v="2"/>
    <n v="6"/>
    <s v="Thursday"/>
    <x v="3"/>
    <x v="13"/>
    <x v="1"/>
    <s v="Chicken Burger"/>
    <x v="1"/>
    <n v="1"/>
    <n v="293"/>
    <n v="0"/>
    <n v="30"/>
    <n v="293"/>
    <n v="323"/>
    <x v="1"/>
    <x v="0"/>
    <x v="1"/>
    <n v="28"/>
    <n v="4.5999999999999996"/>
  </r>
  <r>
    <x v="474"/>
    <x v="36"/>
    <x v="1"/>
    <n v="2"/>
    <n v="6"/>
    <s v="Thursday"/>
    <x v="4"/>
    <x v="0"/>
    <x v="1"/>
    <s v="Idli Sambar"/>
    <x v="1"/>
    <n v="2"/>
    <n v="355"/>
    <n v="35.5"/>
    <n v="20"/>
    <n v="710"/>
    <n v="694.5"/>
    <x v="1"/>
    <x v="0"/>
    <x v="1"/>
    <n v="35"/>
    <n v="3.9"/>
  </r>
  <r>
    <x v="475"/>
    <x v="36"/>
    <x v="1"/>
    <n v="2"/>
    <n v="6"/>
    <s v="Thursday"/>
    <x v="1"/>
    <x v="12"/>
    <x v="9"/>
    <s v="Fried Rice"/>
    <x v="0"/>
    <n v="1"/>
    <n v="381"/>
    <n v="38.1"/>
    <n v="50"/>
    <n v="381"/>
    <n v="392.9"/>
    <x v="2"/>
    <x v="3"/>
    <x v="1"/>
    <n v="34"/>
    <m/>
  </r>
  <r>
    <x v="476"/>
    <x v="36"/>
    <x v="1"/>
    <n v="2"/>
    <n v="6"/>
    <s v="Thursday"/>
    <x v="4"/>
    <x v="7"/>
    <x v="3"/>
    <s v="Masala Dosa"/>
    <x v="1"/>
    <n v="1"/>
    <n v="585"/>
    <n v="87.75"/>
    <n v="30"/>
    <n v="585"/>
    <n v="527.25"/>
    <x v="1"/>
    <x v="0"/>
    <x v="1"/>
    <n v="61"/>
    <n v="3.8"/>
  </r>
  <r>
    <x v="477"/>
    <x v="36"/>
    <x v="1"/>
    <n v="2"/>
    <n v="6"/>
    <s v="Thursday"/>
    <x v="8"/>
    <x v="8"/>
    <x v="8"/>
    <s v="Veg Pizza"/>
    <x v="1"/>
    <n v="1"/>
    <n v="878"/>
    <n v="175.6"/>
    <n v="30"/>
    <n v="878"/>
    <n v="732.4"/>
    <x v="1"/>
    <x v="0"/>
    <x v="0"/>
    <n v="29"/>
    <n v="3.8"/>
  </r>
  <r>
    <x v="478"/>
    <x v="36"/>
    <x v="1"/>
    <n v="2"/>
    <n v="6"/>
    <s v="Thursday"/>
    <x v="5"/>
    <x v="0"/>
    <x v="8"/>
    <s v="Chicken Burger"/>
    <x v="1"/>
    <n v="3"/>
    <n v="221"/>
    <n v="22.1"/>
    <n v="70"/>
    <n v="663"/>
    <n v="710.9"/>
    <x v="3"/>
    <x v="0"/>
    <x v="0"/>
    <n v="40"/>
    <n v="4.0999999999999996"/>
  </r>
  <r>
    <x v="479"/>
    <x v="36"/>
    <x v="1"/>
    <n v="2"/>
    <n v="6"/>
    <s v="Thursday"/>
    <x v="0"/>
    <x v="1"/>
    <x v="7"/>
    <s v="French Fries"/>
    <x v="3"/>
    <n v="2"/>
    <n v="247"/>
    <n v="12.35"/>
    <n v="20"/>
    <n v="494"/>
    <n v="501.65"/>
    <x v="1"/>
    <x v="3"/>
    <x v="0"/>
    <n v="27"/>
    <m/>
  </r>
  <r>
    <x v="480"/>
    <x v="36"/>
    <x v="1"/>
    <n v="2"/>
    <n v="6"/>
    <s v="Thursday"/>
    <x v="3"/>
    <x v="5"/>
    <x v="2"/>
    <s v="Chicken Momos"/>
    <x v="1"/>
    <n v="2"/>
    <n v="653"/>
    <n v="97.95"/>
    <n v="30"/>
    <n v="1306"/>
    <n v="1238.05"/>
    <x v="1"/>
    <x v="0"/>
    <x v="1"/>
    <n v="48"/>
    <n v="4.0999999999999996"/>
  </r>
  <r>
    <x v="481"/>
    <x v="36"/>
    <x v="1"/>
    <n v="2"/>
    <n v="6"/>
    <s v="Thursday"/>
    <x v="7"/>
    <x v="11"/>
    <x v="8"/>
    <s v="Idli Sambar"/>
    <x v="1"/>
    <n v="1"/>
    <n v="693"/>
    <n v="34.65"/>
    <n v="50"/>
    <n v="693"/>
    <n v="708.35"/>
    <x v="3"/>
    <x v="0"/>
    <x v="1"/>
    <n v="30"/>
    <n v="4"/>
  </r>
  <r>
    <x v="482"/>
    <x v="36"/>
    <x v="1"/>
    <n v="2"/>
    <n v="6"/>
    <s v="Thursday"/>
    <x v="2"/>
    <x v="1"/>
    <x v="9"/>
    <s v="Veg Biryani"/>
    <x v="0"/>
    <n v="2"/>
    <n v="301"/>
    <n v="0"/>
    <n v="50"/>
    <n v="602"/>
    <n v="652"/>
    <x v="2"/>
    <x v="1"/>
    <x v="0"/>
    <n v="21"/>
    <m/>
  </r>
  <r>
    <x v="483"/>
    <x v="36"/>
    <x v="1"/>
    <n v="2"/>
    <n v="6"/>
    <s v="Thursday"/>
    <x v="9"/>
    <x v="10"/>
    <x v="3"/>
    <s v="Veg Pizza"/>
    <x v="1"/>
    <n v="2"/>
    <n v="488"/>
    <n v="48.8"/>
    <n v="0"/>
    <n v="976"/>
    <n v="927.2"/>
    <x v="0"/>
    <x v="0"/>
    <x v="1"/>
    <n v="38"/>
    <n v="4.2"/>
  </r>
  <r>
    <x v="484"/>
    <x v="37"/>
    <x v="1"/>
    <n v="2"/>
    <n v="7"/>
    <s v="Friday"/>
    <x v="3"/>
    <x v="5"/>
    <x v="2"/>
    <s v="Idli Sambar"/>
    <x v="3"/>
    <n v="1"/>
    <n v="538"/>
    <n v="53.8"/>
    <n v="0"/>
    <n v="538"/>
    <n v="484.2"/>
    <x v="0"/>
    <x v="0"/>
    <x v="1"/>
    <n v="39"/>
    <n v="4.2"/>
  </r>
  <r>
    <x v="485"/>
    <x v="37"/>
    <x v="1"/>
    <n v="2"/>
    <n v="7"/>
    <s v="Friday"/>
    <x v="3"/>
    <x v="11"/>
    <x v="0"/>
    <s v="Chicken Pizza"/>
    <x v="0"/>
    <n v="2"/>
    <n v="267"/>
    <n v="53.4"/>
    <n v="20"/>
    <n v="534"/>
    <n v="500.6"/>
    <x v="4"/>
    <x v="0"/>
    <x v="1"/>
    <n v="19"/>
    <n v="2.9"/>
  </r>
  <r>
    <x v="486"/>
    <x v="37"/>
    <x v="1"/>
    <n v="2"/>
    <n v="7"/>
    <s v="Friday"/>
    <x v="4"/>
    <x v="7"/>
    <x v="1"/>
    <s v="Chicken Pizza"/>
    <x v="1"/>
    <n v="2"/>
    <n v="564"/>
    <n v="112.8"/>
    <n v="20"/>
    <n v="1128"/>
    <n v="1035.2"/>
    <x v="4"/>
    <x v="0"/>
    <x v="1"/>
    <n v="58"/>
    <n v="4.4000000000000004"/>
  </r>
  <r>
    <x v="487"/>
    <x v="37"/>
    <x v="1"/>
    <n v="2"/>
    <n v="7"/>
    <s v="Friday"/>
    <x v="0"/>
    <x v="3"/>
    <x v="1"/>
    <s v="Veg Biryani"/>
    <x v="1"/>
    <n v="2"/>
    <n v="468"/>
    <n v="46.8"/>
    <n v="50"/>
    <n v="936"/>
    <n v="939.2"/>
    <x v="2"/>
    <x v="0"/>
    <x v="1"/>
    <n v="34"/>
    <n v="3.6"/>
  </r>
  <r>
    <x v="488"/>
    <x v="37"/>
    <x v="1"/>
    <n v="2"/>
    <n v="7"/>
    <s v="Friday"/>
    <x v="6"/>
    <x v="14"/>
    <x v="0"/>
    <s v="Pasta"/>
    <x v="2"/>
    <n v="2"/>
    <n v="436"/>
    <n v="65.400000000000006"/>
    <n v="40"/>
    <n v="872"/>
    <n v="846.6"/>
    <x v="1"/>
    <x v="0"/>
    <x v="0"/>
    <n v="55"/>
    <n v="3.9"/>
  </r>
  <r>
    <x v="489"/>
    <x v="37"/>
    <x v="1"/>
    <n v="2"/>
    <n v="7"/>
    <s v="Friday"/>
    <x v="4"/>
    <x v="0"/>
    <x v="5"/>
    <s v="Paneer Butter Masala"/>
    <x v="1"/>
    <n v="2"/>
    <n v="164"/>
    <n v="32.799999999999997"/>
    <n v="70"/>
    <n v="328"/>
    <n v="365.2"/>
    <x v="1"/>
    <x v="0"/>
    <x v="1"/>
    <n v="63"/>
    <n v="4.2"/>
  </r>
  <r>
    <x v="490"/>
    <x v="37"/>
    <x v="1"/>
    <n v="2"/>
    <n v="7"/>
    <s v="Friday"/>
    <x v="1"/>
    <x v="7"/>
    <x v="7"/>
    <s v="Veg Biryani"/>
    <x v="1"/>
    <n v="2"/>
    <n v="149"/>
    <n v="22.35"/>
    <n v="70"/>
    <n v="298"/>
    <n v="345.65"/>
    <x v="2"/>
    <x v="0"/>
    <x v="1"/>
    <n v="51"/>
    <n v="4"/>
  </r>
  <r>
    <x v="491"/>
    <x v="37"/>
    <x v="1"/>
    <n v="2"/>
    <n v="7"/>
    <s v="Friday"/>
    <x v="5"/>
    <x v="12"/>
    <x v="8"/>
    <s v="Chicken Pizza"/>
    <x v="2"/>
    <n v="1"/>
    <n v="318"/>
    <n v="0"/>
    <n v="70"/>
    <n v="318"/>
    <n v="388"/>
    <x v="4"/>
    <x v="0"/>
    <x v="0"/>
    <n v="30"/>
    <n v="3.1"/>
  </r>
  <r>
    <x v="492"/>
    <x v="37"/>
    <x v="1"/>
    <n v="2"/>
    <n v="7"/>
    <s v="Friday"/>
    <x v="5"/>
    <x v="7"/>
    <x v="6"/>
    <s v="Idli Sambar"/>
    <x v="1"/>
    <n v="2"/>
    <n v="699"/>
    <n v="104.85"/>
    <n v="50"/>
    <n v="1398"/>
    <n v="1343.15"/>
    <x v="4"/>
    <x v="0"/>
    <x v="1"/>
    <n v="25"/>
    <n v="4.3"/>
  </r>
  <r>
    <x v="493"/>
    <x v="37"/>
    <x v="1"/>
    <n v="2"/>
    <n v="7"/>
    <s v="Friday"/>
    <x v="7"/>
    <x v="9"/>
    <x v="6"/>
    <s v="Idli Sambar"/>
    <x v="3"/>
    <n v="1"/>
    <n v="198"/>
    <n v="0"/>
    <n v="40"/>
    <n v="198"/>
    <n v="238"/>
    <x v="1"/>
    <x v="0"/>
    <x v="0"/>
    <n v="54"/>
    <n v="3.2"/>
  </r>
  <r>
    <x v="494"/>
    <x v="37"/>
    <x v="1"/>
    <n v="2"/>
    <n v="7"/>
    <s v="Friday"/>
    <x v="3"/>
    <x v="0"/>
    <x v="0"/>
    <s v="Cold Coffee"/>
    <x v="1"/>
    <n v="1"/>
    <n v="507"/>
    <n v="0"/>
    <n v="50"/>
    <n v="507"/>
    <n v="557"/>
    <x v="4"/>
    <x v="0"/>
    <x v="0"/>
    <n v="66"/>
    <n v="3.2"/>
  </r>
  <r>
    <x v="495"/>
    <x v="37"/>
    <x v="1"/>
    <n v="2"/>
    <n v="7"/>
    <s v="Friday"/>
    <x v="9"/>
    <x v="7"/>
    <x v="1"/>
    <s v="Veg Biryani"/>
    <x v="1"/>
    <n v="1"/>
    <n v="730"/>
    <n v="36.5"/>
    <n v="30"/>
    <n v="730"/>
    <n v="723.5"/>
    <x v="1"/>
    <x v="0"/>
    <x v="0"/>
    <n v="70"/>
    <n v="3.9"/>
  </r>
  <r>
    <x v="496"/>
    <x v="37"/>
    <x v="1"/>
    <n v="2"/>
    <n v="7"/>
    <s v="Friday"/>
    <x v="2"/>
    <x v="11"/>
    <x v="7"/>
    <s v="Chicken Momos"/>
    <x v="1"/>
    <n v="2"/>
    <n v="304"/>
    <n v="30.4"/>
    <n v="30"/>
    <n v="608"/>
    <n v="607.6"/>
    <x v="1"/>
    <x v="2"/>
    <x v="1"/>
    <n v="48"/>
    <m/>
  </r>
  <r>
    <x v="497"/>
    <x v="37"/>
    <x v="1"/>
    <n v="2"/>
    <n v="7"/>
    <s v="Friday"/>
    <x v="3"/>
    <x v="14"/>
    <x v="0"/>
    <s v="Veg Biryani"/>
    <x v="1"/>
    <n v="1"/>
    <n v="251"/>
    <n v="0"/>
    <n v="0"/>
    <n v="251"/>
    <n v="251"/>
    <x v="2"/>
    <x v="0"/>
    <x v="1"/>
    <n v="45"/>
    <n v="4.3"/>
  </r>
  <r>
    <x v="498"/>
    <x v="37"/>
    <x v="1"/>
    <n v="2"/>
    <n v="7"/>
    <s v="Friday"/>
    <x v="0"/>
    <x v="13"/>
    <x v="3"/>
    <s v="Veg Biryani"/>
    <x v="1"/>
    <n v="1"/>
    <n v="179"/>
    <n v="8.9499999999999993"/>
    <n v="30"/>
    <n v="179"/>
    <n v="200.05"/>
    <x v="1"/>
    <x v="0"/>
    <x v="1"/>
    <n v="60"/>
    <n v="4.3"/>
  </r>
  <r>
    <x v="499"/>
    <x v="38"/>
    <x v="1"/>
    <n v="2"/>
    <n v="8"/>
    <s v="Saturday"/>
    <x v="0"/>
    <x v="12"/>
    <x v="6"/>
    <s v="Veg Burger"/>
    <x v="1"/>
    <n v="3"/>
    <n v="628"/>
    <n v="0"/>
    <n v="20"/>
    <n v="1884"/>
    <n v="1904"/>
    <x v="4"/>
    <x v="3"/>
    <x v="1"/>
    <n v="29"/>
    <m/>
  </r>
  <r>
    <x v="500"/>
    <x v="38"/>
    <x v="1"/>
    <n v="2"/>
    <n v="8"/>
    <s v="Saturday"/>
    <x v="6"/>
    <x v="14"/>
    <x v="3"/>
    <s v="Cold Coffee"/>
    <x v="1"/>
    <n v="1"/>
    <n v="879"/>
    <n v="219.75"/>
    <n v="20"/>
    <n v="879"/>
    <n v="679.25"/>
    <x v="0"/>
    <x v="0"/>
    <x v="1"/>
    <n v="33"/>
    <n v="4.3"/>
  </r>
  <r>
    <x v="501"/>
    <x v="38"/>
    <x v="1"/>
    <n v="2"/>
    <n v="8"/>
    <s v="Saturday"/>
    <x v="4"/>
    <x v="3"/>
    <x v="3"/>
    <s v="Veg Pizza"/>
    <x v="1"/>
    <n v="1"/>
    <n v="596"/>
    <n v="59.6"/>
    <n v="40"/>
    <n v="596"/>
    <n v="576.4"/>
    <x v="1"/>
    <x v="0"/>
    <x v="1"/>
    <n v="33"/>
    <n v="4.7"/>
  </r>
  <r>
    <x v="502"/>
    <x v="38"/>
    <x v="1"/>
    <n v="2"/>
    <n v="8"/>
    <s v="Saturday"/>
    <x v="9"/>
    <x v="1"/>
    <x v="9"/>
    <s v="Chocolate Cake"/>
    <x v="2"/>
    <n v="1"/>
    <n v="254"/>
    <n v="0"/>
    <n v="50"/>
    <n v="254"/>
    <n v="304"/>
    <x v="3"/>
    <x v="0"/>
    <x v="1"/>
    <n v="25"/>
    <n v="4"/>
  </r>
  <r>
    <x v="503"/>
    <x v="38"/>
    <x v="1"/>
    <n v="2"/>
    <n v="8"/>
    <s v="Saturday"/>
    <x v="8"/>
    <x v="14"/>
    <x v="8"/>
    <s v="Veg Momos"/>
    <x v="1"/>
    <n v="2"/>
    <n v="859"/>
    <n v="128.85"/>
    <n v="40"/>
    <n v="1718"/>
    <n v="1629.15"/>
    <x v="4"/>
    <x v="0"/>
    <x v="1"/>
    <n v="38"/>
    <n v="5"/>
  </r>
  <r>
    <x v="504"/>
    <x v="38"/>
    <x v="1"/>
    <n v="2"/>
    <n v="8"/>
    <s v="Saturday"/>
    <x v="1"/>
    <x v="1"/>
    <x v="6"/>
    <s v="Pasta"/>
    <x v="2"/>
    <n v="2"/>
    <n v="675"/>
    <n v="67.5"/>
    <n v="30"/>
    <n v="1350"/>
    <n v="1312.5"/>
    <x v="4"/>
    <x v="0"/>
    <x v="1"/>
    <n v="19"/>
    <n v="3.3"/>
  </r>
  <r>
    <x v="505"/>
    <x v="38"/>
    <x v="1"/>
    <n v="2"/>
    <n v="8"/>
    <s v="Saturday"/>
    <x v="3"/>
    <x v="5"/>
    <x v="9"/>
    <s v="Masala Dosa"/>
    <x v="1"/>
    <n v="2"/>
    <n v="451"/>
    <n v="90.2"/>
    <n v="30"/>
    <n v="902"/>
    <n v="841.8"/>
    <x v="3"/>
    <x v="0"/>
    <x v="1"/>
    <n v="24"/>
    <n v="4.4000000000000004"/>
  </r>
  <r>
    <x v="506"/>
    <x v="38"/>
    <x v="1"/>
    <n v="2"/>
    <n v="8"/>
    <s v="Saturday"/>
    <x v="0"/>
    <x v="7"/>
    <x v="9"/>
    <s v="Veg Biryani"/>
    <x v="1"/>
    <n v="1"/>
    <n v="744"/>
    <n v="111.6"/>
    <n v="30"/>
    <n v="744"/>
    <n v="662.4"/>
    <x v="2"/>
    <x v="0"/>
    <x v="1"/>
    <n v="30"/>
    <n v="4.5999999999999996"/>
  </r>
  <r>
    <x v="507"/>
    <x v="38"/>
    <x v="1"/>
    <n v="2"/>
    <n v="8"/>
    <s v="Saturday"/>
    <x v="0"/>
    <x v="2"/>
    <x v="6"/>
    <s v="Veg Biryani"/>
    <x v="2"/>
    <n v="3"/>
    <n v="137"/>
    <n v="13.7"/>
    <n v="30"/>
    <n v="411"/>
    <n v="427.3"/>
    <x v="1"/>
    <x v="0"/>
    <x v="0"/>
    <n v="50"/>
    <n v="4.7"/>
  </r>
  <r>
    <x v="508"/>
    <x v="38"/>
    <x v="1"/>
    <n v="2"/>
    <n v="8"/>
    <s v="Saturday"/>
    <x v="6"/>
    <x v="14"/>
    <x v="2"/>
    <s v="Masala Dosa"/>
    <x v="1"/>
    <n v="3"/>
    <n v="453"/>
    <n v="22.65"/>
    <n v="30"/>
    <n v="1359"/>
    <n v="1366.35"/>
    <x v="1"/>
    <x v="0"/>
    <x v="0"/>
    <n v="43"/>
    <n v="4.3"/>
  </r>
  <r>
    <x v="509"/>
    <x v="38"/>
    <x v="1"/>
    <n v="2"/>
    <n v="8"/>
    <s v="Saturday"/>
    <x v="8"/>
    <x v="3"/>
    <x v="2"/>
    <s v="Chicken Pizza"/>
    <x v="1"/>
    <n v="2"/>
    <n v="891"/>
    <n v="222.75"/>
    <n v="40"/>
    <n v="1782"/>
    <n v="1599.25"/>
    <x v="2"/>
    <x v="2"/>
    <x v="0"/>
    <n v="54"/>
    <m/>
  </r>
  <r>
    <x v="510"/>
    <x v="38"/>
    <x v="1"/>
    <n v="2"/>
    <n v="8"/>
    <s v="Saturday"/>
    <x v="9"/>
    <x v="9"/>
    <x v="2"/>
    <s v="Chicken Pizza"/>
    <x v="3"/>
    <n v="2"/>
    <n v="822"/>
    <n v="0"/>
    <n v="20"/>
    <n v="1644"/>
    <n v="1664"/>
    <x v="1"/>
    <x v="0"/>
    <x v="1"/>
    <n v="46"/>
    <n v="4.7"/>
  </r>
  <r>
    <x v="511"/>
    <x v="38"/>
    <x v="1"/>
    <n v="2"/>
    <n v="8"/>
    <s v="Saturday"/>
    <x v="0"/>
    <x v="9"/>
    <x v="0"/>
    <s v="Idli Sambar"/>
    <x v="3"/>
    <n v="2"/>
    <n v="808"/>
    <n v="80.8"/>
    <n v="30"/>
    <n v="1616"/>
    <n v="1565.2"/>
    <x v="1"/>
    <x v="0"/>
    <x v="1"/>
    <n v="68"/>
    <n v="2.8"/>
  </r>
  <r>
    <x v="512"/>
    <x v="38"/>
    <x v="1"/>
    <n v="2"/>
    <n v="8"/>
    <s v="Saturday"/>
    <x v="1"/>
    <x v="10"/>
    <x v="9"/>
    <s v="Chicken Pizza"/>
    <x v="1"/>
    <n v="3"/>
    <n v="596"/>
    <n v="0"/>
    <n v="20"/>
    <n v="1788"/>
    <n v="1808"/>
    <x v="1"/>
    <x v="2"/>
    <x v="1"/>
    <n v="44"/>
    <m/>
  </r>
  <r>
    <x v="513"/>
    <x v="38"/>
    <x v="1"/>
    <n v="2"/>
    <n v="8"/>
    <s v="Saturday"/>
    <x v="5"/>
    <x v="11"/>
    <x v="7"/>
    <s v="Veg Biryani"/>
    <x v="1"/>
    <n v="3"/>
    <n v="556"/>
    <n v="139"/>
    <n v="30"/>
    <n v="1668"/>
    <n v="1559"/>
    <x v="3"/>
    <x v="0"/>
    <x v="0"/>
    <n v="62"/>
    <n v="3.4"/>
  </r>
  <r>
    <x v="514"/>
    <x v="38"/>
    <x v="1"/>
    <n v="2"/>
    <n v="8"/>
    <s v="Saturday"/>
    <x v="3"/>
    <x v="9"/>
    <x v="3"/>
    <s v="Chocolate Cake"/>
    <x v="1"/>
    <n v="3"/>
    <n v="329"/>
    <n v="82.25"/>
    <n v="0"/>
    <n v="987"/>
    <n v="904.75"/>
    <x v="1"/>
    <x v="0"/>
    <x v="0"/>
    <n v="48"/>
    <n v="4.8"/>
  </r>
  <r>
    <x v="515"/>
    <x v="38"/>
    <x v="1"/>
    <n v="2"/>
    <n v="8"/>
    <s v="Saturday"/>
    <x v="2"/>
    <x v="14"/>
    <x v="7"/>
    <s v="Veg Biryani"/>
    <x v="2"/>
    <n v="2"/>
    <n v="636"/>
    <n v="31.8"/>
    <n v="40"/>
    <n v="1272"/>
    <n v="1280.2"/>
    <x v="1"/>
    <x v="0"/>
    <x v="1"/>
    <n v="34"/>
    <n v="4"/>
  </r>
  <r>
    <x v="516"/>
    <x v="38"/>
    <x v="1"/>
    <n v="2"/>
    <n v="8"/>
    <s v="Saturday"/>
    <x v="4"/>
    <x v="5"/>
    <x v="9"/>
    <s v="Fried Rice"/>
    <x v="2"/>
    <n v="1"/>
    <n v="610"/>
    <n v="61"/>
    <n v="30"/>
    <n v="610"/>
    <n v="579"/>
    <x v="1"/>
    <x v="3"/>
    <x v="1"/>
    <n v="27"/>
    <m/>
  </r>
  <r>
    <x v="517"/>
    <x v="38"/>
    <x v="1"/>
    <n v="2"/>
    <n v="8"/>
    <s v="Saturday"/>
    <x v="7"/>
    <x v="3"/>
    <x v="3"/>
    <s v="Chicken Biryani"/>
    <x v="1"/>
    <n v="3"/>
    <n v="793"/>
    <n v="118.95"/>
    <n v="40"/>
    <n v="2379"/>
    <n v="2300.0500000000002"/>
    <x v="3"/>
    <x v="0"/>
    <x v="0"/>
    <n v="55"/>
    <n v="5"/>
  </r>
  <r>
    <x v="518"/>
    <x v="38"/>
    <x v="1"/>
    <n v="2"/>
    <n v="8"/>
    <s v="Saturday"/>
    <x v="9"/>
    <x v="5"/>
    <x v="7"/>
    <s v="Veg Biryani"/>
    <x v="1"/>
    <n v="1"/>
    <n v="229"/>
    <n v="57.25"/>
    <n v="20"/>
    <n v="229"/>
    <n v="191.75"/>
    <x v="1"/>
    <x v="1"/>
    <x v="1"/>
    <n v="42"/>
    <m/>
  </r>
  <r>
    <x v="519"/>
    <x v="38"/>
    <x v="1"/>
    <n v="2"/>
    <n v="8"/>
    <s v="Saturday"/>
    <x v="9"/>
    <x v="1"/>
    <x v="2"/>
    <s v="Paneer Butter Masala"/>
    <x v="0"/>
    <n v="3"/>
    <n v="338"/>
    <n v="67.599999999999994"/>
    <n v="40"/>
    <n v="1014"/>
    <n v="986.4"/>
    <x v="4"/>
    <x v="0"/>
    <x v="0"/>
    <n v="59"/>
    <n v="3.1"/>
  </r>
  <r>
    <x v="520"/>
    <x v="38"/>
    <x v="1"/>
    <n v="2"/>
    <n v="8"/>
    <s v="Saturday"/>
    <x v="5"/>
    <x v="12"/>
    <x v="5"/>
    <s v="Fried Rice"/>
    <x v="1"/>
    <n v="2"/>
    <n v="751"/>
    <n v="75.099999999999994"/>
    <n v="0"/>
    <n v="1502"/>
    <n v="1426.9"/>
    <x v="1"/>
    <x v="0"/>
    <x v="1"/>
    <n v="58"/>
    <n v="3.7"/>
  </r>
  <r>
    <x v="521"/>
    <x v="38"/>
    <x v="1"/>
    <n v="2"/>
    <n v="8"/>
    <s v="Saturday"/>
    <x v="0"/>
    <x v="13"/>
    <x v="3"/>
    <s v="Veg Burger"/>
    <x v="1"/>
    <n v="2"/>
    <n v="273"/>
    <n v="27.3"/>
    <n v="40"/>
    <n v="546"/>
    <n v="558.70000000000005"/>
    <x v="2"/>
    <x v="0"/>
    <x v="1"/>
    <n v="23"/>
    <n v="4"/>
  </r>
  <r>
    <x v="522"/>
    <x v="39"/>
    <x v="1"/>
    <n v="2"/>
    <n v="9"/>
    <s v="Sunday"/>
    <x v="9"/>
    <x v="1"/>
    <x v="1"/>
    <s v="Veg Burger"/>
    <x v="1"/>
    <n v="3"/>
    <n v="238"/>
    <n v="23.8"/>
    <n v="40"/>
    <n v="714"/>
    <n v="730.2"/>
    <x v="4"/>
    <x v="0"/>
    <x v="1"/>
    <n v="45"/>
    <n v="4.3"/>
  </r>
  <r>
    <x v="523"/>
    <x v="39"/>
    <x v="1"/>
    <n v="2"/>
    <n v="9"/>
    <s v="Sunday"/>
    <x v="1"/>
    <x v="10"/>
    <x v="9"/>
    <s v="Idli Sambar"/>
    <x v="2"/>
    <n v="1"/>
    <n v="368"/>
    <n v="36.799999999999997"/>
    <n v="40"/>
    <n v="368"/>
    <n v="371.2"/>
    <x v="1"/>
    <x v="2"/>
    <x v="1"/>
    <n v="34"/>
    <m/>
  </r>
  <r>
    <x v="524"/>
    <x v="39"/>
    <x v="1"/>
    <n v="2"/>
    <n v="9"/>
    <s v="Sunday"/>
    <x v="4"/>
    <x v="5"/>
    <x v="3"/>
    <s v="Idli Sambar"/>
    <x v="1"/>
    <n v="1"/>
    <n v="802"/>
    <n v="40.1"/>
    <n v="20"/>
    <n v="802"/>
    <n v="781.9"/>
    <x v="0"/>
    <x v="0"/>
    <x v="1"/>
    <n v="40"/>
    <n v="4.2"/>
  </r>
  <r>
    <x v="525"/>
    <x v="39"/>
    <x v="1"/>
    <n v="2"/>
    <n v="9"/>
    <s v="Sunday"/>
    <x v="1"/>
    <x v="0"/>
    <x v="8"/>
    <s v="Veg Biryani"/>
    <x v="2"/>
    <n v="2"/>
    <n v="575"/>
    <n v="57.5"/>
    <n v="50"/>
    <n v="1150"/>
    <n v="1142.5"/>
    <x v="4"/>
    <x v="0"/>
    <x v="1"/>
    <n v="19"/>
    <n v="3.9"/>
  </r>
  <r>
    <x v="526"/>
    <x v="39"/>
    <x v="1"/>
    <n v="2"/>
    <n v="9"/>
    <s v="Sunday"/>
    <x v="9"/>
    <x v="9"/>
    <x v="4"/>
    <s v="Chocolate Cake"/>
    <x v="1"/>
    <n v="1"/>
    <n v="482"/>
    <n v="96.4"/>
    <n v="40"/>
    <n v="482"/>
    <n v="425.6"/>
    <x v="3"/>
    <x v="0"/>
    <x v="0"/>
    <n v="58"/>
    <n v="5"/>
  </r>
  <r>
    <x v="527"/>
    <x v="39"/>
    <x v="1"/>
    <n v="2"/>
    <n v="9"/>
    <s v="Sunday"/>
    <x v="3"/>
    <x v="5"/>
    <x v="8"/>
    <s v="Chicken Pizza"/>
    <x v="2"/>
    <n v="1"/>
    <n v="862"/>
    <n v="172.4"/>
    <n v="50"/>
    <n v="862"/>
    <n v="739.6"/>
    <x v="4"/>
    <x v="0"/>
    <x v="1"/>
    <n v="68"/>
    <n v="5"/>
  </r>
  <r>
    <x v="528"/>
    <x v="39"/>
    <x v="1"/>
    <n v="2"/>
    <n v="9"/>
    <s v="Sunday"/>
    <x v="1"/>
    <x v="2"/>
    <x v="2"/>
    <s v="Idli Sambar"/>
    <x v="1"/>
    <n v="1"/>
    <n v="863"/>
    <n v="43.15"/>
    <n v="50"/>
    <n v="863"/>
    <n v="869.85"/>
    <x v="2"/>
    <x v="0"/>
    <x v="1"/>
    <n v="64"/>
    <n v="4.0999999999999996"/>
  </r>
  <r>
    <x v="529"/>
    <x v="39"/>
    <x v="1"/>
    <n v="2"/>
    <n v="9"/>
    <s v="Sunday"/>
    <x v="1"/>
    <x v="7"/>
    <x v="9"/>
    <s v="Masala Dosa"/>
    <x v="1"/>
    <n v="1"/>
    <n v="138"/>
    <n v="27.6"/>
    <n v="60"/>
    <n v="138"/>
    <n v="170.4"/>
    <x v="1"/>
    <x v="1"/>
    <x v="1"/>
    <n v="38"/>
    <m/>
  </r>
  <r>
    <x v="530"/>
    <x v="39"/>
    <x v="1"/>
    <n v="2"/>
    <n v="9"/>
    <s v="Sunday"/>
    <x v="3"/>
    <x v="2"/>
    <x v="8"/>
    <s v="Pasta"/>
    <x v="1"/>
    <n v="2"/>
    <n v="174"/>
    <n v="17.399999999999999"/>
    <n v="0"/>
    <n v="348"/>
    <n v="330.6"/>
    <x v="2"/>
    <x v="0"/>
    <x v="0"/>
    <n v="35"/>
    <n v="3.7"/>
  </r>
  <r>
    <x v="531"/>
    <x v="39"/>
    <x v="1"/>
    <n v="2"/>
    <n v="9"/>
    <s v="Sunday"/>
    <x v="5"/>
    <x v="9"/>
    <x v="5"/>
    <s v="Paneer Butter Masala"/>
    <x v="1"/>
    <n v="1"/>
    <n v="545"/>
    <n v="27.25"/>
    <n v="50"/>
    <n v="545"/>
    <n v="567.75"/>
    <x v="2"/>
    <x v="1"/>
    <x v="0"/>
    <n v="59"/>
    <m/>
  </r>
  <r>
    <x v="532"/>
    <x v="39"/>
    <x v="1"/>
    <n v="2"/>
    <n v="9"/>
    <s v="Sunday"/>
    <x v="8"/>
    <x v="0"/>
    <x v="1"/>
    <s v="Veg Biryani"/>
    <x v="2"/>
    <n v="1"/>
    <n v="232"/>
    <n v="0"/>
    <n v="40"/>
    <n v="232"/>
    <n v="272"/>
    <x v="4"/>
    <x v="2"/>
    <x v="1"/>
    <n v="21"/>
    <m/>
  </r>
  <r>
    <x v="533"/>
    <x v="39"/>
    <x v="1"/>
    <n v="2"/>
    <n v="9"/>
    <s v="Sunday"/>
    <x v="6"/>
    <x v="10"/>
    <x v="8"/>
    <s v="French Fries"/>
    <x v="2"/>
    <n v="1"/>
    <n v="772"/>
    <n v="154.4"/>
    <n v="20"/>
    <n v="772"/>
    <n v="637.6"/>
    <x v="2"/>
    <x v="0"/>
    <x v="0"/>
    <n v="18"/>
    <n v="3.7"/>
  </r>
  <r>
    <x v="534"/>
    <x v="39"/>
    <x v="1"/>
    <n v="2"/>
    <n v="9"/>
    <s v="Sunday"/>
    <x v="8"/>
    <x v="5"/>
    <x v="6"/>
    <s v="Veg Biryani"/>
    <x v="2"/>
    <n v="1"/>
    <n v="872"/>
    <n v="0"/>
    <n v="30"/>
    <n v="872"/>
    <n v="902"/>
    <x v="2"/>
    <x v="0"/>
    <x v="0"/>
    <n v="42"/>
    <n v="4.5999999999999996"/>
  </r>
  <r>
    <x v="535"/>
    <x v="40"/>
    <x v="1"/>
    <n v="2"/>
    <n v="10"/>
    <s v="Monday"/>
    <x v="3"/>
    <x v="4"/>
    <x v="1"/>
    <s v="Paneer Butter Masala"/>
    <x v="1"/>
    <n v="2"/>
    <n v="143"/>
    <n v="0"/>
    <n v="30"/>
    <n v="286"/>
    <n v="316"/>
    <x v="0"/>
    <x v="0"/>
    <x v="1"/>
    <n v="27"/>
    <n v="3.2"/>
  </r>
  <r>
    <x v="536"/>
    <x v="40"/>
    <x v="1"/>
    <n v="2"/>
    <n v="10"/>
    <s v="Monday"/>
    <x v="2"/>
    <x v="13"/>
    <x v="4"/>
    <s v="Fried Rice"/>
    <x v="2"/>
    <n v="2"/>
    <n v="411"/>
    <n v="82.2"/>
    <n v="70"/>
    <n v="822"/>
    <n v="809.8"/>
    <x v="2"/>
    <x v="3"/>
    <x v="0"/>
    <n v="27"/>
    <m/>
  </r>
  <r>
    <x v="537"/>
    <x v="40"/>
    <x v="1"/>
    <n v="2"/>
    <n v="10"/>
    <s v="Monday"/>
    <x v="7"/>
    <x v="3"/>
    <x v="8"/>
    <s v="French Fries"/>
    <x v="1"/>
    <n v="3"/>
    <n v="413"/>
    <n v="41.3"/>
    <n v="0"/>
    <n v="1239"/>
    <n v="1197.7"/>
    <x v="1"/>
    <x v="0"/>
    <x v="0"/>
    <n v="21"/>
    <n v="3.9"/>
  </r>
  <r>
    <x v="538"/>
    <x v="40"/>
    <x v="1"/>
    <n v="2"/>
    <n v="10"/>
    <s v="Monday"/>
    <x v="1"/>
    <x v="2"/>
    <x v="0"/>
    <s v="Veg Biryani"/>
    <x v="2"/>
    <n v="2"/>
    <n v="221"/>
    <n v="33.15"/>
    <n v="50"/>
    <n v="442"/>
    <n v="458.85"/>
    <x v="1"/>
    <x v="0"/>
    <x v="1"/>
    <n v="35"/>
    <n v="4"/>
  </r>
  <r>
    <x v="539"/>
    <x v="40"/>
    <x v="1"/>
    <n v="2"/>
    <n v="10"/>
    <s v="Monday"/>
    <x v="8"/>
    <x v="2"/>
    <x v="6"/>
    <s v="French Fries"/>
    <x v="1"/>
    <n v="2"/>
    <n v="692"/>
    <n v="69.2"/>
    <n v="20"/>
    <n v="1384"/>
    <n v="1334.8"/>
    <x v="1"/>
    <x v="0"/>
    <x v="1"/>
    <n v="37"/>
    <n v="3.9"/>
  </r>
  <r>
    <x v="540"/>
    <x v="40"/>
    <x v="1"/>
    <n v="2"/>
    <n v="10"/>
    <s v="Monday"/>
    <x v="5"/>
    <x v="12"/>
    <x v="7"/>
    <s v="Cold Coffee"/>
    <x v="1"/>
    <n v="2"/>
    <n v="342"/>
    <n v="34.200000000000003"/>
    <n v="50"/>
    <n v="684"/>
    <n v="699.8"/>
    <x v="1"/>
    <x v="0"/>
    <x v="0"/>
    <n v="45"/>
    <n v="4.0999999999999996"/>
  </r>
  <r>
    <x v="541"/>
    <x v="40"/>
    <x v="1"/>
    <n v="2"/>
    <n v="10"/>
    <s v="Monday"/>
    <x v="8"/>
    <x v="12"/>
    <x v="6"/>
    <s v="Veg Pizza"/>
    <x v="1"/>
    <n v="2"/>
    <n v="758"/>
    <n v="151.6"/>
    <n v="60"/>
    <n v="1516"/>
    <n v="1424.4"/>
    <x v="1"/>
    <x v="0"/>
    <x v="1"/>
    <n v="37"/>
    <n v="3.5"/>
  </r>
  <r>
    <x v="542"/>
    <x v="40"/>
    <x v="1"/>
    <n v="2"/>
    <n v="10"/>
    <s v="Monday"/>
    <x v="0"/>
    <x v="7"/>
    <x v="2"/>
    <s v="Cold Coffee"/>
    <x v="1"/>
    <n v="2"/>
    <n v="338"/>
    <n v="67.599999999999994"/>
    <n v="60"/>
    <n v="676"/>
    <n v="668.4"/>
    <x v="2"/>
    <x v="2"/>
    <x v="1"/>
    <n v="38"/>
    <m/>
  </r>
  <r>
    <x v="543"/>
    <x v="40"/>
    <x v="1"/>
    <n v="2"/>
    <n v="10"/>
    <s v="Monday"/>
    <x v="0"/>
    <x v="7"/>
    <x v="8"/>
    <s v="Paneer Butter Masala"/>
    <x v="1"/>
    <n v="2"/>
    <n v="428"/>
    <n v="0"/>
    <n v="60"/>
    <n v="856"/>
    <n v="916"/>
    <x v="0"/>
    <x v="0"/>
    <x v="0"/>
    <n v="31"/>
    <n v="3.4"/>
  </r>
  <r>
    <x v="544"/>
    <x v="40"/>
    <x v="1"/>
    <n v="2"/>
    <n v="10"/>
    <s v="Monday"/>
    <x v="5"/>
    <x v="9"/>
    <x v="8"/>
    <s v="Veg Pizza"/>
    <x v="1"/>
    <n v="1"/>
    <n v="900"/>
    <n v="180"/>
    <n v="40"/>
    <n v="900"/>
    <n v="760"/>
    <x v="1"/>
    <x v="0"/>
    <x v="1"/>
    <n v="49"/>
    <n v="4.3"/>
  </r>
  <r>
    <x v="545"/>
    <x v="40"/>
    <x v="1"/>
    <n v="2"/>
    <n v="10"/>
    <s v="Monday"/>
    <x v="4"/>
    <x v="10"/>
    <x v="1"/>
    <s v="Chocolate Cake"/>
    <x v="3"/>
    <n v="1"/>
    <n v="643"/>
    <n v="96.45"/>
    <n v="50"/>
    <n v="643"/>
    <n v="596.54999999999995"/>
    <x v="4"/>
    <x v="2"/>
    <x v="1"/>
    <n v="57"/>
    <m/>
  </r>
  <r>
    <x v="546"/>
    <x v="40"/>
    <x v="1"/>
    <n v="2"/>
    <n v="10"/>
    <s v="Monday"/>
    <x v="5"/>
    <x v="13"/>
    <x v="1"/>
    <s v="Idli Sambar"/>
    <x v="3"/>
    <n v="2"/>
    <n v="233"/>
    <n v="0"/>
    <n v="0"/>
    <n v="466"/>
    <n v="466"/>
    <x v="1"/>
    <x v="0"/>
    <x v="1"/>
    <n v="42"/>
    <n v="4.9000000000000004"/>
  </r>
  <r>
    <x v="547"/>
    <x v="40"/>
    <x v="1"/>
    <n v="2"/>
    <n v="10"/>
    <s v="Monday"/>
    <x v="3"/>
    <x v="5"/>
    <x v="4"/>
    <s v="Chicken Biryani"/>
    <x v="2"/>
    <n v="1"/>
    <n v="394"/>
    <n v="59.1"/>
    <n v="40"/>
    <n v="394"/>
    <n v="374.9"/>
    <x v="1"/>
    <x v="0"/>
    <x v="1"/>
    <n v="40"/>
    <n v="3.8"/>
  </r>
  <r>
    <x v="548"/>
    <x v="40"/>
    <x v="1"/>
    <n v="2"/>
    <n v="10"/>
    <s v="Monday"/>
    <x v="2"/>
    <x v="13"/>
    <x v="1"/>
    <s v="Chicken Momos"/>
    <x v="3"/>
    <n v="1"/>
    <n v="313"/>
    <n v="46.95"/>
    <n v="50"/>
    <n v="313"/>
    <n v="316.05"/>
    <x v="1"/>
    <x v="0"/>
    <x v="0"/>
    <n v="70"/>
    <n v="4"/>
  </r>
  <r>
    <x v="549"/>
    <x v="40"/>
    <x v="1"/>
    <n v="2"/>
    <n v="10"/>
    <s v="Monday"/>
    <x v="0"/>
    <x v="4"/>
    <x v="8"/>
    <s v="Pasta"/>
    <x v="3"/>
    <n v="2"/>
    <n v="441"/>
    <n v="66.150000000000006"/>
    <n v="30"/>
    <n v="882"/>
    <n v="845.85"/>
    <x v="1"/>
    <x v="0"/>
    <x v="1"/>
    <n v="52"/>
    <n v="4.2"/>
  </r>
  <r>
    <x v="550"/>
    <x v="40"/>
    <x v="1"/>
    <n v="2"/>
    <n v="10"/>
    <s v="Monday"/>
    <x v="1"/>
    <x v="9"/>
    <x v="4"/>
    <s v="Chicken Biryani"/>
    <x v="2"/>
    <n v="2"/>
    <n v="594"/>
    <n v="148.5"/>
    <n v="60"/>
    <n v="1188"/>
    <n v="1099.5"/>
    <x v="2"/>
    <x v="0"/>
    <x v="1"/>
    <n v="48"/>
    <n v="3.2"/>
  </r>
  <r>
    <x v="551"/>
    <x v="40"/>
    <x v="1"/>
    <n v="2"/>
    <n v="10"/>
    <s v="Monday"/>
    <x v="4"/>
    <x v="2"/>
    <x v="5"/>
    <s v="Idli Sambar"/>
    <x v="2"/>
    <n v="3"/>
    <n v="479"/>
    <n v="0"/>
    <n v="40"/>
    <n v="1437"/>
    <n v="1477"/>
    <x v="3"/>
    <x v="2"/>
    <x v="1"/>
    <n v="20"/>
    <m/>
  </r>
  <r>
    <x v="552"/>
    <x v="40"/>
    <x v="1"/>
    <n v="2"/>
    <n v="10"/>
    <s v="Monday"/>
    <x v="6"/>
    <x v="13"/>
    <x v="4"/>
    <s v="Chicken Biryani"/>
    <x v="1"/>
    <n v="2"/>
    <n v="185"/>
    <n v="46.25"/>
    <n v="60"/>
    <n v="370"/>
    <n v="383.75"/>
    <x v="2"/>
    <x v="0"/>
    <x v="0"/>
    <n v="33"/>
    <n v="2.5"/>
  </r>
  <r>
    <x v="553"/>
    <x v="41"/>
    <x v="1"/>
    <n v="2"/>
    <n v="11"/>
    <s v="Tuesday"/>
    <x v="3"/>
    <x v="7"/>
    <x v="6"/>
    <s v="Cold Coffee"/>
    <x v="0"/>
    <n v="2"/>
    <n v="642"/>
    <n v="64.2"/>
    <n v="40"/>
    <n v="1284"/>
    <n v="1259.8"/>
    <x v="1"/>
    <x v="0"/>
    <x v="1"/>
    <n v="45"/>
    <n v="3.5"/>
  </r>
  <r>
    <x v="554"/>
    <x v="41"/>
    <x v="1"/>
    <n v="2"/>
    <n v="11"/>
    <s v="Tuesday"/>
    <x v="1"/>
    <x v="12"/>
    <x v="4"/>
    <s v="Paneer Butter Masala"/>
    <x v="2"/>
    <n v="2"/>
    <n v="712"/>
    <n v="178"/>
    <n v="40"/>
    <n v="1424"/>
    <n v="1286"/>
    <x v="1"/>
    <x v="0"/>
    <x v="1"/>
    <n v="19"/>
    <n v="3.4"/>
  </r>
  <r>
    <x v="555"/>
    <x v="41"/>
    <x v="1"/>
    <n v="2"/>
    <n v="11"/>
    <s v="Tuesday"/>
    <x v="3"/>
    <x v="12"/>
    <x v="2"/>
    <s v="Chicken Pizza"/>
    <x v="2"/>
    <n v="1"/>
    <n v="651"/>
    <n v="65.099999999999994"/>
    <n v="60"/>
    <n v="651"/>
    <n v="645.9"/>
    <x v="1"/>
    <x v="0"/>
    <x v="1"/>
    <n v="47"/>
    <n v="3.8"/>
  </r>
  <r>
    <x v="556"/>
    <x v="41"/>
    <x v="1"/>
    <n v="2"/>
    <n v="11"/>
    <s v="Tuesday"/>
    <x v="8"/>
    <x v="5"/>
    <x v="8"/>
    <s v="Pasta"/>
    <x v="2"/>
    <n v="2"/>
    <n v="854"/>
    <n v="0"/>
    <n v="50"/>
    <n v="1708"/>
    <n v="1758"/>
    <x v="0"/>
    <x v="0"/>
    <x v="1"/>
    <n v="29"/>
    <n v="3.9"/>
  </r>
  <r>
    <x v="557"/>
    <x v="41"/>
    <x v="1"/>
    <n v="2"/>
    <n v="11"/>
    <s v="Tuesday"/>
    <x v="5"/>
    <x v="11"/>
    <x v="6"/>
    <s v="Idli Sambar"/>
    <x v="1"/>
    <n v="2"/>
    <n v="769"/>
    <n v="115.35"/>
    <n v="0"/>
    <n v="1538"/>
    <n v="1422.65"/>
    <x v="0"/>
    <x v="0"/>
    <x v="1"/>
    <n v="19"/>
    <n v="4.2"/>
  </r>
  <r>
    <x v="558"/>
    <x v="41"/>
    <x v="1"/>
    <n v="2"/>
    <n v="11"/>
    <s v="Tuesday"/>
    <x v="5"/>
    <x v="5"/>
    <x v="9"/>
    <s v="Chicken Momos"/>
    <x v="1"/>
    <n v="2"/>
    <n v="602"/>
    <n v="90.3"/>
    <n v="40"/>
    <n v="1204"/>
    <n v="1153.7"/>
    <x v="4"/>
    <x v="0"/>
    <x v="0"/>
    <n v="34"/>
    <n v="4.2"/>
  </r>
  <r>
    <x v="559"/>
    <x v="41"/>
    <x v="1"/>
    <n v="2"/>
    <n v="11"/>
    <s v="Tuesday"/>
    <x v="9"/>
    <x v="0"/>
    <x v="3"/>
    <s v="Fried Rice"/>
    <x v="0"/>
    <n v="1"/>
    <n v="490"/>
    <n v="24.5"/>
    <n v="0"/>
    <n v="490"/>
    <n v="465.5"/>
    <x v="1"/>
    <x v="0"/>
    <x v="0"/>
    <n v="54"/>
    <n v="3"/>
  </r>
  <r>
    <x v="560"/>
    <x v="41"/>
    <x v="1"/>
    <n v="2"/>
    <n v="11"/>
    <s v="Tuesday"/>
    <x v="5"/>
    <x v="13"/>
    <x v="5"/>
    <s v="Veg Momos"/>
    <x v="1"/>
    <n v="2"/>
    <n v="766"/>
    <n v="153.19999999999999"/>
    <n v="30"/>
    <n v="1532"/>
    <n v="1408.8"/>
    <x v="4"/>
    <x v="0"/>
    <x v="0"/>
    <n v="42"/>
    <n v="4.7"/>
  </r>
  <r>
    <x v="561"/>
    <x v="41"/>
    <x v="1"/>
    <n v="2"/>
    <n v="11"/>
    <s v="Tuesday"/>
    <x v="8"/>
    <x v="11"/>
    <x v="4"/>
    <s v="Fried Rice"/>
    <x v="1"/>
    <n v="2"/>
    <n v="729"/>
    <n v="109.35"/>
    <n v="50"/>
    <n v="1458"/>
    <n v="1398.65"/>
    <x v="0"/>
    <x v="0"/>
    <x v="1"/>
    <n v="53"/>
    <n v="4.4000000000000004"/>
  </r>
  <r>
    <x v="562"/>
    <x v="41"/>
    <x v="1"/>
    <n v="2"/>
    <n v="11"/>
    <s v="Tuesday"/>
    <x v="1"/>
    <x v="7"/>
    <x v="9"/>
    <s v="Masala Dosa"/>
    <x v="1"/>
    <n v="2"/>
    <n v="817"/>
    <n v="163.4"/>
    <n v="20"/>
    <n v="1634"/>
    <n v="1490.6"/>
    <x v="0"/>
    <x v="0"/>
    <x v="0"/>
    <n v="35"/>
    <n v="3.5"/>
  </r>
  <r>
    <x v="563"/>
    <x v="41"/>
    <x v="1"/>
    <n v="2"/>
    <n v="11"/>
    <s v="Tuesday"/>
    <x v="9"/>
    <x v="3"/>
    <x v="2"/>
    <s v="Chicken Biryani"/>
    <x v="1"/>
    <n v="3"/>
    <n v="666"/>
    <n v="66.599999999999994"/>
    <n v="20"/>
    <n v="1998"/>
    <n v="1951.4"/>
    <x v="1"/>
    <x v="0"/>
    <x v="1"/>
    <n v="69"/>
    <n v="4.9000000000000004"/>
  </r>
  <r>
    <x v="564"/>
    <x v="41"/>
    <x v="1"/>
    <n v="2"/>
    <n v="11"/>
    <s v="Tuesday"/>
    <x v="4"/>
    <x v="10"/>
    <x v="2"/>
    <s v="Veg Burger"/>
    <x v="3"/>
    <n v="1"/>
    <n v="231"/>
    <n v="46.2"/>
    <n v="30"/>
    <n v="231"/>
    <n v="214.8"/>
    <x v="1"/>
    <x v="0"/>
    <x v="1"/>
    <n v="39"/>
    <n v="4.9000000000000004"/>
  </r>
  <r>
    <x v="565"/>
    <x v="41"/>
    <x v="1"/>
    <n v="2"/>
    <n v="11"/>
    <s v="Tuesday"/>
    <x v="2"/>
    <x v="0"/>
    <x v="5"/>
    <s v="Chicken Biryani"/>
    <x v="1"/>
    <n v="3"/>
    <n v="841"/>
    <n v="126.15"/>
    <n v="20"/>
    <n v="2523"/>
    <n v="2416.85"/>
    <x v="1"/>
    <x v="0"/>
    <x v="0"/>
    <n v="62"/>
    <n v="4.3"/>
  </r>
  <r>
    <x v="566"/>
    <x v="41"/>
    <x v="1"/>
    <n v="2"/>
    <n v="11"/>
    <s v="Tuesday"/>
    <x v="4"/>
    <x v="7"/>
    <x v="0"/>
    <s v="Fried Rice"/>
    <x v="1"/>
    <n v="1"/>
    <n v="230"/>
    <n v="23"/>
    <n v="30"/>
    <n v="230"/>
    <n v="237"/>
    <x v="3"/>
    <x v="0"/>
    <x v="1"/>
    <n v="66"/>
    <n v="3.6"/>
  </r>
  <r>
    <x v="567"/>
    <x v="41"/>
    <x v="1"/>
    <n v="2"/>
    <n v="11"/>
    <s v="Tuesday"/>
    <x v="3"/>
    <x v="4"/>
    <x v="4"/>
    <s v="Veg Momos"/>
    <x v="1"/>
    <n v="3"/>
    <n v="234"/>
    <n v="0"/>
    <n v="30"/>
    <n v="702"/>
    <n v="732"/>
    <x v="1"/>
    <x v="0"/>
    <x v="0"/>
    <n v="62"/>
    <n v="3.7"/>
  </r>
  <r>
    <x v="568"/>
    <x v="42"/>
    <x v="1"/>
    <n v="2"/>
    <n v="12"/>
    <s v="Wednesday"/>
    <x v="3"/>
    <x v="7"/>
    <x v="8"/>
    <s v="Chicken Pizza"/>
    <x v="0"/>
    <n v="1"/>
    <n v="565"/>
    <n v="0"/>
    <n v="50"/>
    <n v="565"/>
    <n v="615"/>
    <x v="1"/>
    <x v="0"/>
    <x v="0"/>
    <n v="23"/>
    <n v="4.2"/>
  </r>
  <r>
    <x v="569"/>
    <x v="42"/>
    <x v="1"/>
    <n v="2"/>
    <n v="12"/>
    <s v="Wednesday"/>
    <x v="6"/>
    <x v="2"/>
    <x v="6"/>
    <s v="Chicken Burger"/>
    <x v="1"/>
    <n v="1"/>
    <n v="384"/>
    <n v="19.2"/>
    <n v="40"/>
    <n v="384"/>
    <n v="404.8"/>
    <x v="1"/>
    <x v="0"/>
    <x v="1"/>
    <n v="69"/>
    <n v="4.3"/>
  </r>
  <r>
    <x v="570"/>
    <x v="42"/>
    <x v="1"/>
    <n v="2"/>
    <n v="12"/>
    <s v="Wednesday"/>
    <x v="7"/>
    <x v="7"/>
    <x v="0"/>
    <s v="Paneer Butter Masala"/>
    <x v="2"/>
    <n v="2"/>
    <n v="553"/>
    <n v="55.3"/>
    <n v="40"/>
    <n v="1106"/>
    <n v="1090.7"/>
    <x v="2"/>
    <x v="0"/>
    <x v="0"/>
    <n v="49"/>
    <n v="4.9000000000000004"/>
  </r>
  <r>
    <x v="571"/>
    <x v="42"/>
    <x v="1"/>
    <n v="2"/>
    <n v="12"/>
    <s v="Wednesday"/>
    <x v="0"/>
    <x v="9"/>
    <x v="0"/>
    <s v="Chicken Burger"/>
    <x v="1"/>
    <n v="1"/>
    <n v="399"/>
    <n v="79.8"/>
    <n v="60"/>
    <n v="399"/>
    <n v="379.2"/>
    <x v="0"/>
    <x v="0"/>
    <x v="0"/>
    <n v="37"/>
    <n v="4.2"/>
  </r>
  <r>
    <x v="572"/>
    <x v="42"/>
    <x v="1"/>
    <n v="2"/>
    <n v="12"/>
    <s v="Wednesday"/>
    <x v="8"/>
    <x v="4"/>
    <x v="2"/>
    <s v="Chocolate Cake"/>
    <x v="1"/>
    <n v="1"/>
    <n v="685"/>
    <n v="34.25"/>
    <n v="20"/>
    <n v="685"/>
    <n v="670.75"/>
    <x v="1"/>
    <x v="0"/>
    <x v="1"/>
    <n v="68"/>
    <n v="3.4"/>
  </r>
  <r>
    <x v="573"/>
    <x v="42"/>
    <x v="1"/>
    <n v="2"/>
    <n v="12"/>
    <s v="Wednesday"/>
    <x v="0"/>
    <x v="13"/>
    <x v="5"/>
    <s v="Veg Momos"/>
    <x v="1"/>
    <n v="2"/>
    <n v="725"/>
    <n v="0"/>
    <n v="50"/>
    <n v="1450"/>
    <n v="1500"/>
    <x v="2"/>
    <x v="0"/>
    <x v="1"/>
    <n v="58"/>
    <n v="4.0999999999999996"/>
  </r>
  <r>
    <x v="574"/>
    <x v="42"/>
    <x v="1"/>
    <n v="2"/>
    <n v="12"/>
    <s v="Wednesday"/>
    <x v="2"/>
    <x v="13"/>
    <x v="4"/>
    <s v="Cold Coffee"/>
    <x v="2"/>
    <n v="1"/>
    <n v="346"/>
    <n v="34.6"/>
    <n v="20"/>
    <n v="346"/>
    <n v="331.4"/>
    <x v="2"/>
    <x v="1"/>
    <x v="0"/>
    <n v="69"/>
    <m/>
  </r>
  <r>
    <x v="575"/>
    <x v="42"/>
    <x v="1"/>
    <n v="2"/>
    <n v="12"/>
    <s v="Wednesday"/>
    <x v="5"/>
    <x v="1"/>
    <x v="4"/>
    <s v="Chocolate Cake"/>
    <x v="2"/>
    <n v="2"/>
    <n v="381"/>
    <n v="19.05"/>
    <n v="20"/>
    <n v="762"/>
    <n v="762.95"/>
    <x v="0"/>
    <x v="0"/>
    <x v="1"/>
    <n v="19"/>
    <n v="4.0999999999999996"/>
  </r>
  <r>
    <x v="576"/>
    <x v="42"/>
    <x v="1"/>
    <n v="2"/>
    <n v="12"/>
    <s v="Wednesday"/>
    <x v="5"/>
    <x v="1"/>
    <x v="7"/>
    <s v="Chicken Pizza"/>
    <x v="1"/>
    <n v="1"/>
    <n v="135"/>
    <n v="20.25"/>
    <n v="60"/>
    <n v="135"/>
    <n v="174.75"/>
    <x v="3"/>
    <x v="0"/>
    <x v="0"/>
    <n v="59"/>
    <n v="3.8"/>
  </r>
  <r>
    <x v="577"/>
    <x v="42"/>
    <x v="1"/>
    <n v="2"/>
    <n v="12"/>
    <s v="Wednesday"/>
    <x v="0"/>
    <x v="4"/>
    <x v="3"/>
    <s v="Veg Burger"/>
    <x v="1"/>
    <n v="2"/>
    <n v="891"/>
    <n v="222.75"/>
    <n v="60"/>
    <n v="1782"/>
    <n v="1619.25"/>
    <x v="4"/>
    <x v="0"/>
    <x v="0"/>
    <n v="19"/>
    <n v="3.7"/>
  </r>
  <r>
    <x v="578"/>
    <x v="42"/>
    <x v="1"/>
    <n v="2"/>
    <n v="12"/>
    <s v="Wednesday"/>
    <x v="3"/>
    <x v="3"/>
    <x v="3"/>
    <s v="Veg Biryani"/>
    <x v="2"/>
    <n v="2"/>
    <n v="257"/>
    <n v="12.85"/>
    <n v="60"/>
    <n v="514"/>
    <n v="561.15"/>
    <x v="1"/>
    <x v="0"/>
    <x v="1"/>
    <n v="31"/>
    <n v="3.6"/>
  </r>
  <r>
    <x v="579"/>
    <x v="42"/>
    <x v="1"/>
    <n v="2"/>
    <n v="12"/>
    <s v="Wednesday"/>
    <x v="3"/>
    <x v="2"/>
    <x v="0"/>
    <s v="Veg Burger"/>
    <x v="0"/>
    <n v="1"/>
    <n v="530"/>
    <n v="53"/>
    <n v="40"/>
    <n v="530"/>
    <n v="517"/>
    <x v="4"/>
    <x v="1"/>
    <x v="0"/>
    <n v="33"/>
    <m/>
  </r>
  <r>
    <x v="580"/>
    <x v="43"/>
    <x v="1"/>
    <n v="2"/>
    <n v="13"/>
    <s v="Thursday"/>
    <x v="3"/>
    <x v="10"/>
    <x v="8"/>
    <s v="Veg Momos"/>
    <x v="1"/>
    <n v="2"/>
    <n v="188"/>
    <n v="18.8"/>
    <n v="30"/>
    <n v="376"/>
    <n v="387.2"/>
    <x v="1"/>
    <x v="2"/>
    <x v="1"/>
    <n v="23"/>
    <m/>
  </r>
  <r>
    <x v="581"/>
    <x v="43"/>
    <x v="1"/>
    <n v="2"/>
    <n v="13"/>
    <s v="Thursday"/>
    <x v="1"/>
    <x v="0"/>
    <x v="5"/>
    <s v="Masala Dosa"/>
    <x v="1"/>
    <n v="2"/>
    <n v="848"/>
    <n v="42.4"/>
    <n v="30"/>
    <n v="1696"/>
    <n v="1683.6"/>
    <x v="2"/>
    <x v="0"/>
    <x v="1"/>
    <n v="50"/>
    <n v="4.4000000000000004"/>
  </r>
  <r>
    <x v="582"/>
    <x v="43"/>
    <x v="1"/>
    <n v="2"/>
    <n v="13"/>
    <s v="Thursday"/>
    <x v="7"/>
    <x v="3"/>
    <x v="2"/>
    <s v="Chicken Biryani"/>
    <x v="1"/>
    <n v="3"/>
    <n v="575"/>
    <n v="57.5"/>
    <n v="20"/>
    <n v="1725"/>
    <n v="1687.5"/>
    <x v="1"/>
    <x v="0"/>
    <x v="1"/>
    <n v="57"/>
    <n v="4.2"/>
  </r>
  <r>
    <x v="583"/>
    <x v="43"/>
    <x v="1"/>
    <n v="2"/>
    <n v="13"/>
    <s v="Thursday"/>
    <x v="9"/>
    <x v="2"/>
    <x v="4"/>
    <s v="Pasta"/>
    <x v="1"/>
    <n v="1"/>
    <n v="628"/>
    <n v="157"/>
    <n v="40"/>
    <n v="628"/>
    <n v="511"/>
    <x v="0"/>
    <x v="0"/>
    <x v="1"/>
    <n v="39"/>
    <n v="4.0999999999999996"/>
  </r>
  <r>
    <x v="584"/>
    <x v="43"/>
    <x v="1"/>
    <n v="2"/>
    <n v="13"/>
    <s v="Thursday"/>
    <x v="6"/>
    <x v="9"/>
    <x v="2"/>
    <s v="Chicken Momos"/>
    <x v="2"/>
    <n v="2"/>
    <n v="179"/>
    <n v="17.899999999999999"/>
    <n v="30"/>
    <n v="358"/>
    <n v="370.1"/>
    <x v="4"/>
    <x v="0"/>
    <x v="0"/>
    <n v="56"/>
    <n v="4.0999999999999996"/>
  </r>
  <r>
    <x v="585"/>
    <x v="43"/>
    <x v="1"/>
    <n v="2"/>
    <n v="13"/>
    <s v="Thursday"/>
    <x v="1"/>
    <x v="5"/>
    <x v="1"/>
    <s v="Veg Biryani"/>
    <x v="1"/>
    <n v="3"/>
    <n v="727"/>
    <n v="145.4"/>
    <n v="40"/>
    <n v="2181"/>
    <n v="2075.6"/>
    <x v="0"/>
    <x v="0"/>
    <x v="0"/>
    <n v="29"/>
    <n v="4.8"/>
  </r>
  <r>
    <x v="586"/>
    <x v="43"/>
    <x v="1"/>
    <n v="2"/>
    <n v="13"/>
    <s v="Thursday"/>
    <x v="0"/>
    <x v="11"/>
    <x v="9"/>
    <s v="Veg Pizza"/>
    <x v="1"/>
    <n v="1"/>
    <n v="140"/>
    <n v="21"/>
    <n v="20"/>
    <n v="140"/>
    <n v="139"/>
    <x v="1"/>
    <x v="0"/>
    <x v="0"/>
    <n v="40"/>
    <n v="3.2"/>
  </r>
  <r>
    <x v="587"/>
    <x v="43"/>
    <x v="1"/>
    <n v="2"/>
    <n v="13"/>
    <s v="Thursday"/>
    <x v="3"/>
    <x v="10"/>
    <x v="7"/>
    <s v="Chocolate Cake"/>
    <x v="1"/>
    <n v="3"/>
    <n v="320"/>
    <n v="64"/>
    <n v="70"/>
    <n v="960"/>
    <n v="966"/>
    <x v="0"/>
    <x v="2"/>
    <x v="0"/>
    <n v="49"/>
    <m/>
  </r>
  <r>
    <x v="588"/>
    <x v="43"/>
    <x v="1"/>
    <n v="2"/>
    <n v="13"/>
    <s v="Thursday"/>
    <x v="7"/>
    <x v="14"/>
    <x v="8"/>
    <s v="Veg Biryani"/>
    <x v="1"/>
    <n v="1"/>
    <n v="485"/>
    <n v="0"/>
    <n v="30"/>
    <n v="485"/>
    <n v="515"/>
    <x v="1"/>
    <x v="0"/>
    <x v="0"/>
    <n v="57"/>
    <n v="4.3"/>
  </r>
  <r>
    <x v="589"/>
    <x v="43"/>
    <x v="1"/>
    <n v="2"/>
    <n v="13"/>
    <s v="Thursday"/>
    <x v="2"/>
    <x v="9"/>
    <x v="4"/>
    <s v="Masala Dosa"/>
    <x v="1"/>
    <n v="2"/>
    <n v="487"/>
    <n v="24.35"/>
    <n v="20"/>
    <n v="974"/>
    <n v="969.65"/>
    <x v="3"/>
    <x v="1"/>
    <x v="1"/>
    <n v="41"/>
    <m/>
  </r>
  <r>
    <x v="590"/>
    <x v="43"/>
    <x v="1"/>
    <n v="2"/>
    <n v="13"/>
    <s v="Thursday"/>
    <x v="6"/>
    <x v="14"/>
    <x v="4"/>
    <s v="Veg Momos"/>
    <x v="1"/>
    <n v="1"/>
    <n v="199"/>
    <n v="19.899999999999999"/>
    <n v="0"/>
    <n v="199"/>
    <n v="179.1"/>
    <x v="0"/>
    <x v="0"/>
    <x v="0"/>
    <n v="32"/>
    <n v="4.3"/>
  </r>
  <r>
    <x v="591"/>
    <x v="43"/>
    <x v="1"/>
    <n v="2"/>
    <n v="13"/>
    <s v="Thursday"/>
    <x v="8"/>
    <x v="8"/>
    <x v="4"/>
    <s v="Veg Biryani"/>
    <x v="1"/>
    <n v="1"/>
    <n v="714"/>
    <n v="71.400000000000006"/>
    <n v="20"/>
    <n v="714"/>
    <n v="662.6"/>
    <x v="2"/>
    <x v="0"/>
    <x v="0"/>
    <n v="24"/>
    <n v="4.3"/>
  </r>
  <r>
    <x v="592"/>
    <x v="44"/>
    <x v="1"/>
    <n v="2"/>
    <n v="14"/>
    <s v="Friday"/>
    <x v="5"/>
    <x v="14"/>
    <x v="9"/>
    <s v="Chicken Biryani"/>
    <x v="1"/>
    <n v="1"/>
    <n v="495"/>
    <n v="99"/>
    <n v="0"/>
    <n v="495"/>
    <n v="396"/>
    <x v="1"/>
    <x v="0"/>
    <x v="1"/>
    <n v="46"/>
    <n v="4.2"/>
  </r>
  <r>
    <x v="593"/>
    <x v="44"/>
    <x v="1"/>
    <n v="2"/>
    <n v="14"/>
    <s v="Friday"/>
    <x v="0"/>
    <x v="10"/>
    <x v="8"/>
    <s v="Masala Dosa"/>
    <x v="2"/>
    <n v="1"/>
    <n v="741"/>
    <n v="148.19999999999999"/>
    <n v="60"/>
    <n v="741"/>
    <n v="652.79999999999995"/>
    <x v="1"/>
    <x v="0"/>
    <x v="0"/>
    <n v="22"/>
    <n v="3.6"/>
  </r>
  <r>
    <x v="594"/>
    <x v="44"/>
    <x v="1"/>
    <n v="2"/>
    <n v="14"/>
    <s v="Friday"/>
    <x v="5"/>
    <x v="1"/>
    <x v="6"/>
    <s v="Idli Sambar"/>
    <x v="1"/>
    <n v="3"/>
    <n v="215"/>
    <n v="43"/>
    <n v="20"/>
    <n v="645"/>
    <n v="622"/>
    <x v="1"/>
    <x v="0"/>
    <x v="1"/>
    <n v="26"/>
    <n v="3.7"/>
  </r>
  <r>
    <x v="595"/>
    <x v="44"/>
    <x v="1"/>
    <n v="2"/>
    <n v="14"/>
    <s v="Friday"/>
    <x v="5"/>
    <x v="2"/>
    <x v="9"/>
    <s v="Veg Momos"/>
    <x v="1"/>
    <n v="1"/>
    <n v="750"/>
    <n v="150"/>
    <n v="60"/>
    <n v="750"/>
    <n v="660"/>
    <x v="1"/>
    <x v="0"/>
    <x v="1"/>
    <n v="24"/>
    <n v="4.5999999999999996"/>
  </r>
  <r>
    <x v="596"/>
    <x v="44"/>
    <x v="1"/>
    <n v="2"/>
    <n v="14"/>
    <s v="Friday"/>
    <x v="5"/>
    <x v="5"/>
    <x v="0"/>
    <s v="Chicken Pizza"/>
    <x v="1"/>
    <n v="1"/>
    <n v="786"/>
    <n v="78.599999999999994"/>
    <n v="30"/>
    <n v="786"/>
    <n v="737.4"/>
    <x v="1"/>
    <x v="0"/>
    <x v="0"/>
    <n v="30"/>
    <n v="4.3"/>
  </r>
  <r>
    <x v="597"/>
    <x v="44"/>
    <x v="1"/>
    <n v="2"/>
    <n v="14"/>
    <s v="Friday"/>
    <x v="3"/>
    <x v="5"/>
    <x v="3"/>
    <s v="Chocolate Cake"/>
    <x v="1"/>
    <n v="1"/>
    <n v="222"/>
    <n v="44.4"/>
    <n v="50"/>
    <n v="222"/>
    <n v="227.6"/>
    <x v="0"/>
    <x v="0"/>
    <x v="1"/>
    <n v="44"/>
    <n v="5"/>
  </r>
  <r>
    <x v="598"/>
    <x v="44"/>
    <x v="1"/>
    <n v="2"/>
    <n v="14"/>
    <s v="Friday"/>
    <x v="8"/>
    <x v="11"/>
    <x v="5"/>
    <s v="Chicken Pizza"/>
    <x v="1"/>
    <n v="3"/>
    <n v="711"/>
    <n v="142.19999999999999"/>
    <n v="40"/>
    <n v="2133"/>
    <n v="2030.8"/>
    <x v="0"/>
    <x v="0"/>
    <x v="1"/>
    <n v="43"/>
    <n v="4.7"/>
  </r>
  <r>
    <x v="599"/>
    <x v="44"/>
    <x v="1"/>
    <n v="2"/>
    <n v="14"/>
    <s v="Friday"/>
    <x v="0"/>
    <x v="9"/>
    <x v="4"/>
    <s v="Veg Momos"/>
    <x v="1"/>
    <n v="1"/>
    <n v="691"/>
    <n v="0"/>
    <n v="60"/>
    <n v="691"/>
    <n v="751"/>
    <x v="4"/>
    <x v="0"/>
    <x v="0"/>
    <n v="65"/>
    <n v="4.5"/>
  </r>
  <r>
    <x v="600"/>
    <x v="44"/>
    <x v="1"/>
    <n v="2"/>
    <n v="14"/>
    <s v="Friday"/>
    <x v="4"/>
    <x v="12"/>
    <x v="0"/>
    <s v="Fried Rice"/>
    <x v="1"/>
    <n v="3"/>
    <n v="142"/>
    <n v="14.2"/>
    <n v="0"/>
    <n v="426"/>
    <n v="411.8"/>
    <x v="4"/>
    <x v="0"/>
    <x v="0"/>
    <n v="34"/>
    <n v="4.0999999999999996"/>
  </r>
  <r>
    <x v="601"/>
    <x v="44"/>
    <x v="1"/>
    <n v="2"/>
    <n v="14"/>
    <s v="Friday"/>
    <x v="4"/>
    <x v="4"/>
    <x v="9"/>
    <s v="Masala Dosa"/>
    <x v="2"/>
    <n v="3"/>
    <n v="605"/>
    <n v="60.5"/>
    <n v="0"/>
    <n v="1815"/>
    <n v="1754.5"/>
    <x v="1"/>
    <x v="0"/>
    <x v="1"/>
    <n v="33"/>
    <n v="5"/>
  </r>
  <r>
    <x v="602"/>
    <x v="45"/>
    <x v="1"/>
    <n v="2"/>
    <n v="15"/>
    <s v="Saturday"/>
    <x v="1"/>
    <x v="3"/>
    <x v="3"/>
    <s v="Masala Dosa"/>
    <x v="1"/>
    <n v="1"/>
    <n v="336"/>
    <n v="50.4"/>
    <n v="20"/>
    <n v="336"/>
    <n v="305.60000000000002"/>
    <x v="1"/>
    <x v="0"/>
    <x v="0"/>
    <n v="36"/>
    <n v="4.8"/>
  </r>
  <r>
    <x v="603"/>
    <x v="45"/>
    <x v="1"/>
    <n v="2"/>
    <n v="15"/>
    <s v="Saturday"/>
    <x v="5"/>
    <x v="3"/>
    <x v="9"/>
    <s v="Chicken Burger"/>
    <x v="1"/>
    <n v="2"/>
    <n v="805"/>
    <n v="201.25"/>
    <n v="40"/>
    <n v="1610"/>
    <n v="1448.75"/>
    <x v="1"/>
    <x v="2"/>
    <x v="1"/>
    <n v="47"/>
    <m/>
  </r>
  <r>
    <x v="604"/>
    <x v="45"/>
    <x v="1"/>
    <n v="2"/>
    <n v="15"/>
    <s v="Saturday"/>
    <x v="4"/>
    <x v="4"/>
    <x v="6"/>
    <s v="Veg Biryani"/>
    <x v="1"/>
    <n v="2"/>
    <n v="757"/>
    <n v="113.55"/>
    <n v="40"/>
    <n v="1514"/>
    <n v="1440.45"/>
    <x v="1"/>
    <x v="0"/>
    <x v="1"/>
    <n v="51"/>
    <n v="5"/>
  </r>
  <r>
    <x v="605"/>
    <x v="45"/>
    <x v="1"/>
    <n v="2"/>
    <n v="15"/>
    <s v="Saturday"/>
    <x v="7"/>
    <x v="0"/>
    <x v="4"/>
    <s v="Masala Dosa"/>
    <x v="3"/>
    <n v="2"/>
    <n v="445"/>
    <n v="66.75"/>
    <n v="50"/>
    <n v="890"/>
    <n v="873.25"/>
    <x v="1"/>
    <x v="3"/>
    <x v="0"/>
    <n v="61"/>
    <m/>
  </r>
  <r>
    <x v="606"/>
    <x v="45"/>
    <x v="1"/>
    <n v="2"/>
    <n v="15"/>
    <s v="Saturday"/>
    <x v="5"/>
    <x v="10"/>
    <x v="3"/>
    <s v="Chocolate Cake"/>
    <x v="1"/>
    <n v="1"/>
    <n v="243"/>
    <n v="24.3"/>
    <n v="30"/>
    <n v="243"/>
    <n v="248.7"/>
    <x v="0"/>
    <x v="0"/>
    <x v="0"/>
    <n v="59"/>
    <n v="3.9"/>
  </r>
  <r>
    <x v="607"/>
    <x v="45"/>
    <x v="1"/>
    <n v="2"/>
    <n v="15"/>
    <s v="Saturday"/>
    <x v="0"/>
    <x v="2"/>
    <x v="0"/>
    <s v="Veg Pizza"/>
    <x v="1"/>
    <n v="1"/>
    <n v="795"/>
    <n v="159"/>
    <n v="40"/>
    <n v="795"/>
    <n v="676"/>
    <x v="2"/>
    <x v="0"/>
    <x v="0"/>
    <n v="66"/>
    <n v="4.4000000000000004"/>
  </r>
  <r>
    <x v="608"/>
    <x v="45"/>
    <x v="1"/>
    <n v="2"/>
    <n v="15"/>
    <s v="Saturday"/>
    <x v="4"/>
    <x v="11"/>
    <x v="4"/>
    <s v="Pasta"/>
    <x v="1"/>
    <n v="1"/>
    <n v="728"/>
    <n v="72.8"/>
    <n v="20"/>
    <n v="728"/>
    <n v="675.2"/>
    <x v="1"/>
    <x v="0"/>
    <x v="0"/>
    <n v="57"/>
    <n v="4.3"/>
  </r>
  <r>
    <x v="609"/>
    <x v="45"/>
    <x v="1"/>
    <n v="2"/>
    <n v="15"/>
    <s v="Saturday"/>
    <x v="5"/>
    <x v="3"/>
    <x v="0"/>
    <s v="Cold Coffee"/>
    <x v="2"/>
    <n v="2"/>
    <n v="531"/>
    <n v="53.1"/>
    <n v="30"/>
    <n v="1062"/>
    <n v="1038.9000000000001"/>
    <x v="0"/>
    <x v="0"/>
    <x v="0"/>
    <n v="62"/>
    <n v="4.3"/>
  </r>
  <r>
    <x v="610"/>
    <x v="45"/>
    <x v="1"/>
    <n v="2"/>
    <n v="15"/>
    <s v="Saturday"/>
    <x v="2"/>
    <x v="14"/>
    <x v="4"/>
    <s v="Pasta"/>
    <x v="0"/>
    <n v="3"/>
    <n v="882"/>
    <n v="44.1"/>
    <n v="40"/>
    <n v="2646"/>
    <n v="2641.9"/>
    <x v="4"/>
    <x v="0"/>
    <x v="0"/>
    <n v="54"/>
    <n v="3.7"/>
  </r>
  <r>
    <x v="611"/>
    <x v="45"/>
    <x v="1"/>
    <n v="2"/>
    <n v="15"/>
    <s v="Saturday"/>
    <x v="5"/>
    <x v="3"/>
    <x v="8"/>
    <s v="Masala Dosa"/>
    <x v="1"/>
    <n v="1"/>
    <n v="467"/>
    <n v="46.7"/>
    <n v="50"/>
    <n v="467"/>
    <n v="470.3"/>
    <x v="1"/>
    <x v="0"/>
    <x v="1"/>
    <n v="26"/>
    <n v="4.7"/>
  </r>
  <r>
    <x v="612"/>
    <x v="45"/>
    <x v="1"/>
    <n v="2"/>
    <n v="15"/>
    <s v="Saturday"/>
    <x v="3"/>
    <x v="12"/>
    <x v="6"/>
    <s v="Paneer Butter Masala"/>
    <x v="1"/>
    <n v="3"/>
    <n v="449"/>
    <n v="44.9"/>
    <n v="40"/>
    <n v="1347"/>
    <n v="1342.1"/>
    <x v="1"/>
    <x v="0"/>
    <x v="1"/>
    <n v="34"/>
    <n v="3.8"/>
  </r>
  <r>
    <x v="613"/>
    <x v="45"/>
    <x v="1"/>
    <n v="2"/>
    <n v="15"/>
    <s v="Saturday"/>
    <x v="0"/>
    <x v="2"/>
    <x v="7"/>
    <s v="French Fries"/>
    <x v="1"/>
    <n v="1"/>
    <n v="139"/>
    <n v="27.8"/>
    <n v="40"/>
    <n v="139"/>
    <n v="151.19999999999999"/>
    <x v="1"/>
    <x v="0"/>
    <x v="0"/>
    <n v="35"/>
    <n v="5"/>
  </r>
  <r>
    <x v="614"/>
    <x v="45"/>
    <x v="1"/>
    <n v="2"/>
    <n v="15"/>
    <s v="Saturday"/>
    <x v="2"/>
    <x v="3"/>
    <x v="7"/>
    <s v="Masala Dosa"/>
    <x v="0"/>
    <n v="2"/>
    <n v="280"/>
    <n v="56"/>
    <n v="40"/>
    <n v="560"/>
    <n v="544"/>
    <x v="1"/>
    <x v="0"/>
    <x v="1"/>
    <n v="36"/>
    <n v="3.6"/>
  </r>
  <r>
    <x v="615"/>
    <x v="45"/>
    <x v="1"/>
    <n v="2"/>
    <n v="15"/>
    <s v="Saturday"/>
    <x v="4"/>
    <x v="10"/>
    <x v="2"/>
    <s v="Paneer Butter Masala"/>
    <x v="1"/>
    <n v="2"/>
    <n v="586"/>
    <n v="29.3"/>
    <n v="20"/>
    <n v="1172"/>
    <n v="1162.7"/>
    <x v="1"/>
    <x v="1"/>
    <x v="1"/>
    <n v="21"/>
    <m/>
  </r>
  <r>
    <x v="616"/>
    <x v="45"/>
    <x v="1"/>
    <n v="2"/>
    <n v="15"/>
    <s v="Saturday"/>
    <x v="4"/>
    <x v="1"/>
    <x v="1"/>
    <s v="Cold Coffee"/>
    <x v="1"/>
    <n v="3"/>
    <n v="198"/>
    <n v="19.8"/>
    <n v="50"/>
    <n v="594"/>
    <n v="624.20000000000005"/>
    <x v="1"/>
    <x v="3"/>
    <x v="0"/>
    <n v="35"/>
    <m/>
  </r>
  <r>
    <x v="617"/>
    <x v="46"/>
    <x v="1"/>
    <n v="2"/>
    <n v="16"/>
    <s v="Sunday"/>
    <x v="0"/>
    <x v="9"/>
    <x v="7"/>
    <s v="Veg Burger"/>
    <x v="1"/>
    <n v="2"/>
    <n v="602"/>
    <n v="60.2"/>
    <n v="50"/>
    <n v="1204"/>
    <n v="1193.8"/>
    <x v="2"/>
    <x v="0"/>
    <x v="1"/>
    <n v="68"/>
    <n v="5"/>
  </r>
  <r>
    <x v="618"/>
    <x v="46"/>
    <x v="1"/>
    <n v="2"/>
    <n v="16"/>
    <s v="Sunday"/>
    <x v="3"/>
    <x v="12"/>
    <x v="7"/>
    <s v="Chicken Biryani"/>
    <x v="1"/>
    <n v="1"/>
    <n v="715"/>
    <n v="0"/>
    <n v="30"/>
    <n v="715"/>
    <n v="745"/>
    <x v="1"/>
    <x v="0"/>
    <x v="0"/>
    <n v="69"/>
    <n v="3.8"/>
  </r>
  <r>
    <x v="619"/>
    <x v="46"/>
    <x v="1"/>
    <n v="2"/>
    <n v="16"/>
    <s v="Sunday"/>
    <x v="1"/>
    <x v="3"/>
    <x v="2"/>
    <s v="Cold Coffee"/>
    <x v="1"/>
    <n v="3"/>
    <n v="652"/>
    <n v="65.2"/>
    <n v="30"/>
    <n v="1956"/>
    <n v="1920.8"/>
    <x v="4"/>
    <x v="0"/>
    <x v="1"/>
    <n v="51"/>
    <n v="5"/>
  </r>
  <r>
    <x v="620"/>
    <x v="46"/>
    <x v="1"/>
    <n v="2"/>
    <n v="16"/>
    <s v="Sunday"/>
    <x v="0"/>
    <x v="2"/>
    <x v="5"/>
    <s v="Veg Momos"/>
    <x v="1"/>
    <n v="3"/>
    <n v="286"/>
    <n v="14.3"/>
    <n v="30"/>
    <n v="858"/>
    <n v="873.7"/>
    <x v="1"/>
    <x v="0"/>
    <x v="1"/>
    <n v="42"/>
    <n v="3.4"/>
  </r>
  <r>
    <x v="621"/>
    <x v="46"/>
    <x v="1"/>
    <n v="2"/>
    <n v="16"/>
    <s v="Sunday"/>
    <x v="0"/>
    <x v="3"/>
    <x v="8"/>
    <s v="Chicken Biryani"/>
    <x v="2"/>
    <n v="2"/>
    <n v="235"/>
    <n v="23.5"/>
    <n v="60"/>
    <n v="470"/>
    <n v="506.5"/>
    <x v="3"/>
    <x v="0"/>
    <x v="1"/>
    <n v="58"/>
    <n v="4.5"/>
  </r>
  <r>
    <x v="622"/>
    <x v="46"/>
    <x v="1"/>
    <n v="2"/>
    <n v="16"/>
    <s v="Sunday"/>
    <x v="0"/>
    <x v="9"/>
    <x v="7"/>
    <s v="Chicken Biryani"/>
    <x v="2"/>
    <n v="2"/>
    <n v="806"/>
    <n v="201.5"/>
    <n v="60"/>
    <n v="1612"/>
    <n v="1470.5"/>
    <x v="2"/>
    <x v="2"/>
    <x v="1"/>
    <n v="36"/>
    <m/>
  </r>
  <r>
    <x v="623"/>
    <x v="46"/>
    <x v="1"/>
    <n v="2"/>
    <n v="16"/>
    <s v="Sunday"/>
    <x v="3"/>
    <x v="3"/>
    <x v="0"/>
    <s v="French Fries"/>
    <x v="1"/>
    <n v="1"/>
    <n v="326"/>
    <n v="81.5"/>
    <n v="0"/>
    <n v="326"/>
    <n v="244.5"/>
    <x v="0"/>
    <x v="0"/>
    <x v="1"/>
    <n v="62"/>
    <n v="4.9000000000000004"/>
  </r>
  <r>
    <x v="624"/>
    <x v="46"/>
    <x v="1"/>
    <n v="2"/>
    <n v="16"/>
    <s v="Sunday"/>
    <x v="2"/>
    <x v="1"/>
    <x v="3"/>
    <s v="Chicken Pizza"/>
    <x v="2"/>
    <n v="1"/>
    <n v="234"/>
    <n v="35.1"/>
    <n v="20"/>
    <n v="234"/>
    <n v="218.9"/>
    <x v="1"/>
    <x v="0"/>
    <x v="1"/>
    <n v="27"/>
    <n v="3.4"/>
  </r>
  <r>
    <x v="625"/>
    <x v="46"/>
    <x v="1"/>
    <n v="2"/>
    <n v="16"/>
    <s v="Sunday"/>
    <x v="0"/>
    <x v="7"/>
    <x v="8"/>
    <s v="Chicken Momos"/>
    <x v="1"/>
    <n v="1"/>
    <n v="621"/>
    <n v="155.25"/>
    <n v="20"/>
    <n v="621"/>
    <n v="485.75"/>
    <x v="0"/>
    <x v="0"/>
    <x v="1"/>
    <n v="52"/>
    <n v="4"/>
  </r>
  <r>
    <x v="626"/>
    <x v="46"/>
    <x v="1"/>
    <n v="2"/>
    <n v="16"/>
    <s v="Sunday"/>
    <x v="1"/>
    <x v="13"/>
    <x v="0"/>
    <s v="Veg Biryani"/>
    <x v="2"/>
    <n v="2"/>
    <n v="335"/>
    <n v="50.25"/>
    <n v="30"/>
    <n v="670"/>
    <n v="649.75"/>
    <x v="1"/>
    <x v="0"/>
    <x v="1"/>
    <n v="60"/>
    <n v="5"/>
  </r>
  <r>
    <x v="627"/>
    <x v="46"/>
    <x v="1"/>
    <n v="2"/>
    <n v="16"/>
    <s v="Sunday"/>
    <x v="5"/>
    <x v="2"/>
    <x v="8"/>
    <s v="Pasta"/>
    <x v="1"/>
    <n v="1"/>
    <n v="584"/>
    <n v="29.2"/>
    <n v="40"/>
    <n v="584"/>
    <n v="594.79999999999995"/>
    <x v="1"/>
    <x v="3"/>
    <x v="1"/>
    <n v="41"/>
    <m/>
  </r>
  <r>
    <x v="628"/>
    <x v="46"/>
    <x v="1"/>
    <n v="2"/>
    <n v="16"/>
    <s v="Sunday"/>
    <x v="9"/>
    <x v="3"/>
    <x v="6"/>
    <s v="Cold Coffee"/>
    <x v="1"/>
    <n v="2"/>
    <n v="492"/>
    <n v="98.4"/>
    <n v="40"/>
    <n v="984"/>
    <n v="925.6"/>
    <x v="2"/>
    <x v="0"/>
    <x v="0"/>
    <n v="41"/>
    <n v="4.7"/>
  </r>
  <r>
    <x v="629"/>
    <x v="46"/>
    <x v="1"/>
    <n v="2"/>
    <n v="16"/>
    <s v="Sunday"/>
    <x v="1"/>
    <x v="5"/>
    <x v="5"/>
    <s v="Chicken Pizza"/>
    <x v="3"/>
    <n v="1"/>
    <n v="782"/>
    <n v="156.4"/>
    <n v="50"/>
    <n v="782"/>
    <n v="675.6"/>
    <x v="2"/>
    <x v="0"/>
    <x v="0"/>
    <n v="18"/>
    <n v="3.9"/>
  </r>
  <r>
    <x v="630"/>
    <x v="46"/>
    <x v="1"/>
    <n v="2"/>
    <n v="16"/>
    <s v="Sunday"/>
    <x v="4"/>
    <x v="7"/>
    <x v="9"/>
    <s v="Chicken Momos"/>
    <x v="1"/>
    <n v="2"/>
    <n v="667"/>
    <n v="0"/>
    <n v="30"/>
    <n v="1334"/>
    <n v="1364"/>
    <x v="1"/>
    <x v="0"/>
    <x v="1"/>
    <n v="28"/>
    <n v="4.3"/>
  </r>
  <r>
    <x v="631"/>
    <x v="46"/>
    <x v="1"/>
    <n v="2"/>
    <n v="16"/>
    <s v="Sunday"/>
    <x v="1"/>
    <x v="2"/>
    <x v="7"/>
    <s v="Idli Sambar"/>
    <x v="2"/>
    <n v="2"/>
    <n v="898"/>
    <n v="179.6"/>
    <n v="50"/>
    <n v="1796"/>
    <n v="1666.4"/>
    <x v="1"/>
    <x v="1"/>
    <x v="1"/>
    <n v="51"/>
    <m/>
  </r>
  <r>
    <x v="632"/>
    <x v="46"/>
    <x v="1"/>
    <n v="2"/>
    <n v="16"/>
    <s v="Sunday"/>
    <x v="9"/>
    <x v="14"/>
    <x v="1"/>
    <s v="Veg Burger"/>
    <x v="0"/>
    <n v="1"/>
    <n v="498"/>
    <n v="99.6"/>
    <n v="70"/>
    <n v="498"/>
    <n v="468.4"/>
    <x v="2"/>
    <x v="0"/>
    <x v="1"/>
    <n v="65"/>
    <n v="4.2"/>
  </r>
  <r>
    <x v="633"/>
    <x v="46"/>
    <x v="1"/>
    <n v="2"/>
    <n v="16"/>
    <s v="Sunday"/>
    <x v="0"/>
    <x v="9"/>
    <x v="8"/>
    <s v="Veg Pizza"/>
    <x v="0"/>
    <n v="2"/>
    <n v="129"/>
    <n v="19.350000000000001"/>
    <n v="40"/>
    <n v="258"/>
    <n v="278.64999999999998"/>
    <x v="0"/>
    <x v="0"/>
    <x v="1"/>
    <n v="18"/>
    <n v="3.5"/>
  </r>
  <r>
    <x v="634"/>
    <x v="46"/>
    <x v="1"/>
    <n v="2"/>
    <n v="16"/>
    <s v="Sunday"/>
    <x v="2"/>
    <x v="6"/>
    <x v="1"/>
    <s v="Cold Coffee"/>
    <x v="1"/>
    <n v="3"/>
    <n v="580"/>
    <n v="29"/>
    <n v="20"/>
    <n v="1740"/>
    <n v="1731"/>
    <x v="2"/>
    <x v="0"/>
    <x v="0"/>
    <n v="28"/>
    <n v="3"/>
  </r>
  <r>
    <x v="635"/>
    <x v="46"/>
    <x v="1"/>
    <n v="2"/>
    <n v="16"/>
    <s v="Sunday"/>
    <x v="3"/>
    <x v="6"/>
    <x v="5"/>
    <s v="Veg Pizza"/>
    <x v="1"/>
    <n v="1"/>
    <n v="894"/>
    <n v="44.7"/>
    <n v="30"/>
    <n v="894"/>
    <n v="879.3"/>
    <x v="2"/>
    <x v="0"/>
    <x v="1"/>
    <n v="26"/>
    <n v="4.0999999999999996"/>
  </r>
  <r>
    <x v="636"/>
    <x v="46"/>
    <x v="1"/>
    <n v="2"/>
    <n v="16"/>
    <s v="Sunday"/>
    <x v="5"/>
    <x v="7"/>
    <x v="1"/>
    <s v="Pasta"/>
    <x v="1"/>
    <n v="2"/>
    <n v="346"/>
    <n v="51.9"/>
    <n v="0"/>
    <n v="692"/>
    <n v="640.1"/>
    <x v="0"/>
    <x v="0"/>
    <x v="1"/>
    <n v="66"/>
    <n v="4.3"/>
  </r>
  <r>
    <x v="637"/>
    <x v="46"/>
    <x v="1"/>
    <n v="2"/>
    <n v="16"/>
    <s v="Sunday"/>
    <x v="5"/>
    <x v="6"/>
    <x v="5"/>
    <s v="Fried Rice"/>
    <x v="1"/>
    <n v="3"/>
    <n v="740"/>
    <n v="148"/>
    <n v="40"/>
    <n v="2220"/>
    <n v="2112"/>
    <x v="0"/>
    <x v="2"/>
    <x v="0"/>
    <n v="53"/>
    <m/>
  </r>
  <r>
    <x v="638"/>
    <x v="47"/>
    <x v="1"/>
    <n v="2"/>
    <n v="17"/>
    <s v="Monday"/>
    <x v="8"/>
    <x v="14"/>
    <x v="1"/>
    <s v="Chicken Biryani"/>
    <x v="1"/>
    <n v="1"/>
    <n v="886"/>
    <n v="88.6"/>
    <n v="40"/>
    <n v="886"/>
    <n v="837.4"/>
    <x v="1"/>
    <x v="0"/>
    <x v="1"/>
    <n v="34"/>
    <n v="2.9"/>
  </r>
  <r>
    <x v="639"/>
    <x v="47"/>
    <x v="1"/>
    <n v="2"/>
    <n v="17"/>
    <s v="Monday"/>
    <x v="4"/>
    <x v="10"/>
    <x v="5"/>
    <s v="Chicken Biryani"/>
    <x v="1"/>
    <n v="1"/>
    <n v="541"/>
    <n v="108.2"/>
    <n v="70"/>
    <n v="541"/>
    <n v="502.8"/>
    <x v="4"/>
    <x v="2"/>
    <x v="0"/>
    <n v="19"/>
    <m/>
  </r>
  <r>
    <x v="640"/>
    <x v="47"/>
    <x v="1"/>
    <n v="2"/>
    <n v="17"/>
    <s v="Monday"/>
    <x v="5"/>
    <x v="9"/>
    <x v="0"/>
    <s v="Chicken Momos"/>
    <x v="1"/>
    <n v="2"/>
    <n v="703"/>
    <n v="70.3"/>
    <n v="60"/>
    <n v="1406"/>
    <n v="1395.7"/>
    <x v="2"/>
    <x v="0"/>
    <x v="1"/>
    <n v="58"/>
    <n v="4.0999999999999996"/>
  </r>
  <r>
    <x v="641"/>
    <x v="47"/>
    <x v="1"/>
    <n v="2"/>
    <n v="17"/>
    <s v="Monday"/>
    <x v="2"/>
    <x v="9"/>
    <x v="9"/>
    <s v="Veg Biryani"/>
    <x v="3"/>
    <n v="2"/>
    <n v="723"/>
    <n v="72.3"/>
    <n v="60"/>
    <n v="1446"/>
    <n v="1433.7"/>
    <x v="4"/>
    <x v="0"/>
    <x v="1"/>
    <n v="29"/>
    <n v="3.9"/>
  </r>
  <r>
    <x v="642"/>
    <x v="47"/>
    <x v="1"/>
    <n v="2"/>
    <n v="17"/>
    <s v="Monday"/>
    <x v="4"/>
    <x v="1"/>
    <x v="6"/>
    <s v="Veg Burger"/>
    <x v="1"/>
    <n v="1"/>
    <n v="636"/>
    <n v="159"/>
    <n v="20"/>
    <n v="636"/>
    <n v="497"/>
    <x v="1"/>
    <x v="0"/>
    <x v="1"/>
    <n v="29"/>
    <n v="3.6"/>
  </r>
  <r>
    <x v="643"/>
    <x v="47"/>
    <x v="1"/>
    <n v="2"/>
    <n v="17"/>
    <s v="Monday"/>
    <x v="1"/>
    <x v="7"/>
    <x v="1"/>
    <s v="Veg Pizza"/>
    <x v="1"/>
    <n v="2"/>
    <n v="251"/>
    <n v="25.1"/>
    <n v="50"/>
    <n v="502"/>
    <n v="526.9"/>
    <x v="4"/>
    <x v="0"/>
    <x v="1"/>
    <n v="23"/>
    <n v="3.7"/>
  </r>
  <r>
    <x v="644"/>
    <x v="47"/>
    <x v="1"/>
    <n v="2"/>
    <n v="17"/>
    <s v="Monday"/>
    <x v="1"/>
    <x v="14"/>
    <x v="2"/>
    <s v="Chicken Biryani"/>
    <x v="1"/>
    <n v="3"/>
    <n v="762"/>
    <n v="0"/>
    <n v="50"/>
    <n v="2286"/>
    <n v="2336"/>
    <x v="4"/>
    <x v="0"/>
    <x v="1"/>
    <n v="69"/>
    <n v="3.9"/>
  </r>
  <r>
    <x v="645"/>
    <x v="47"/>
    <x v="1"/>
    <n v="2"/>
    <n v="17"/>
    <s v="Monday"/>
    <x v="6"/>
    <x v="12"/>
    <x v="9"/>
    <s v="Masala Dosa"/>
    <x v="1"/>
    <n v="1"/>
    <n v="462"/>
    <n v="69.3"/>
    <n v="70"/>
    <n v="462"/>
    <n v="462.7"/>
    <x v="3"/>
    <x v="3"/>
    <x v="1"/>
    <n v="53"/>
    <m/>
  </r>
  <r>
    <x v="646"/>
    <x v="47"/>
    <x v="1"/>
    <n v="2"/>
    <n v="17"/>
    <s v="Monday"/>
    <x v="0"/>
    <x v="8"/>
    <x v="6"/>
    <s v="Chicken Momos"/>
    <x v="3"/>
    <n v="2"/>
    <n v="579"/>
    <n v="86.85"/>
    <n v="30"/>
    <n v="1158"/>
    <n v="1101.1500000000001"/>
    <x v="3"/>
    <x v="0"/>
    <x v="1"/>
    <n v="43"/>
    <n v="3.2"/>
  </r>
  <r>
    <x v="647"/>
    <x v="47"/>
    <x v="1"/>
    <n v="2"/>
    <n v="17"/>
    <s v="Monday"/>
    <x v="2"/>
    <x v="12"/>
    <x v="5"/>
    <s v="Cold Coffee"/>
    <x v="1"/>
    <n v="3"/>
    <n v="627"/>
    <n v="94.05"/>
    <n v="40"/>
    <n v="1881"/>
    <n v="1826.95"/>
    <x v="1"/>
    <x v="0"/>
    <x v="1"/>
    <n v="28"/>
    <n v="4.3"/>
  </r>
  <r>
    <x v="648"/>
    <x v="47"/>
    <x v="1"/>
    <n v="2"/>
    <n v="17"/>
    <s v="Monday"/>
    <x v="5"/>
    <x v="13"/>
    <x v="3"/>
    <s v="Chicken Biryani"/>
    <x v="2"/>
    <n v="1"/>
    <n v="143"/>
    <n v="21.45"/>
    <n v="60"/>
    <n v="143"/>
    <n v="181.55"/>
    <x v="3"/>
    <x v="2"/>
    <x v="0"/>
    <n v="46"/>
    <m/>
  </r>
  <r>
    <x v="649"/>
    <x v="47"/>
    <x v="1"/>
    <n v="2"/>
    <n v="17"/>
    <s v="Monday"/>
    <x v="5"/>
    <x v="2"/>
    <x v="0"/>
    <s v="Chicken Momos"/>
    <x v="0"/>
    <n v="1"/>
    <n v="403"/>
    <n v="60.45"/>
    <n v="20"/>
    <n v="403"/>
    <n v="362.55"/>
    <x v="1"/>
    <x v="0"/>
    <x v="1"/>
    <n v="54"/>
    <n v="4.5"/>
  </r>
  <r>
    <x v="650"/>
    <x v="47"/>
    <x v="1"/>
    <n v="2"/>
    <n v="17"/>
    <s v="Monday"/>
    <x v="5"/>
    <x v="8"/>
    <x v="7"/>
    <s v="Cold Coffee"/>
    <x v="1"/>
    <n v="1"/>
    <n v="845"/>
    <n v="84.5"/>
    <n v="40"/>
    <n v="845"/>
    <n v="800.5"/>
    <x v="3"/>
    <x v="0"/>
    <x v="1"/>
    <n v="54"/>
    <n v="5"/>
  </r>
  <r>
    <x v="651"/>
    <x v="47"/>
    <x v="1"/>
    <n v="2"/>
    <n v="17"/>
    <s v="Monday"/>
    <x v="1"/>
    <x v="3"/>
    <x v="7"/>
    <s v="Chicken Momos"/>
    <x v="3"/>
    <n v="2"/>
    <n v="693"/>
    <n v="34.65"/>
    <n v="20"/>
    <n v="1386"/>
    <n v="1371.35"/>
    <x v="1"/>
    <x v="0"/>
    <x v="1"/>
    <n v="48"/>
    <n v="4"/>
  </r>
  <r>
    <x v="652"/>
    <x v="48"/>
    <x v="1"/>
    <n v="2"/>
    <n v="18"/>
    <s v="Tuesday"/>
    <x v="5"/>
    <x v="13"/>
    <x v="9"/>
    <s v="French Fries"/>
    <x v="3"/>
    <n v="1"/>
    <n v="336"/>
    <n v="0"/>
    <n v="20"/>
    <n v="336"/>
    <n v="356"/>
    <x v="3"/>
    <x v="0"/>
    <x v="1"/>
    <n v="47"/>
    <n v="3.3"/>
  </r>
  <r>
    <x v="653"/>
    <x v="48"/>
    <x v="1"/>
    <n v="2"/>
    <n v="18"/>
    <s v="Tuesday"/>
    <x v="5"/>
    <x v="14"/>
    <x v="1"/>
    <s v="Chocolate Cake"/>
    <x v="1"/>
    <n v="2"/>
    <n v="846"/>
    <n v="211.5"/>
    <n v="20"/>
    <n v="1692"/>
    <n v="1500.5"/>
    <x v="3"/>
    <x v="0"/>
    <x v="1"/>
    <n v="60"/>
    <n v="3.9"/>
  </r>
  <r>
    <x v="654"/>
    <x v="48"/>
    <x v="1"/>
    <n v="2"/>
    <n v="18"/>
    <s v="Tuesday"/>
    <x v="4"/>
    <x v="12"/>
    <x v="4"/>
    <s v="Veg Momos"/>
    <x v="1"/>
    <n v="2"/>
    <n v="746"/>
    <n v="149.19999999999999"/>
    <n v="60"/>
    <n v="1492"/>
    <n v="1402.8"/>
    <x v="3"/>
    <x v="0"/>
    <x v="1"/>
    <n v="68"/>
    <n v="4.3"/>
  </r>
  <r>
    <x v="655"/>
    <x v="48"/>
    <x v="1"/>
    <n v="2"/>
    <n v="18"/>
    <s v="Tuesday"/>
    <x v="3"/>
    <x v="12"/>
    <x v="0"/>
    <s v="Masala Dosa"/>
    <x v="1"/>
    <n v="2"/>
    <n v="739"/>
    <n v="110.85"/>
    <n v="20"/>
    <n v="1478"/>
    <n v="1387.15"/>
    <x v="2"/>
    <x v="0"/>
    <x v="0"/>
    <n v="26"/>
    <n v="4.4000000000000004"/>
  </r>
  <r>
    <x v="656"/>
    <x v="48"/>
    <x v="1"/>
    <n v="2"/>
    <n v="18"/>
    <s v="Tuesday"/>
    <x v="1"/>
    <x v="13"/>
    <x v="1"/>
    <s v="French Fries"/>
    <x v="2"/>
    <n v="2"/>
    <n v="813"/>
    <n v="81.3"/>
    <n v="20"/>
    <n v="1626"/>
    <n v="1564.7"/>
    <x v="2"/>
    <x v="0"/>
    <x v="0"/>
    <n v="59"/>
    <n v="3.5"/>
  </r>
  <r>
    <x v="657"/>
    <x v="48"/>
    <x v="1"/>
    <n v="2"/>
    <n v="18"/>
    <s v="Tuesday"/>
    <x v="0"/>
    <x v="9"/>
    <x v="1"/>
    <s v="Veg Burger"/>
    <x v="2"/>
    <n v="1"/>
    <n v="190"/>
    <n v="47.5"/>
    <n v="60"/>
    <n v="190"/>
    <n v="202.5"/>
    <x v="0"/>
    <x v="2"/>
    <x v="1"/>
    <n v="56"/>
    <m/>
  </r>
  <r>
    <x v="658"/>
    <x v="48"/>
    <x v="1"/>
    <n v="2"/>
    <n v="18"/>
    <s v="Tuesday"/>
    <x v="0"/>
    <x v="4"/>
    <x v="4"/>
    <s v="Chocolate Cake"/>
    <x v="1"/>
    <n v="2"/>
    <n v="507"/>
    <n v="76.05"/>
    <n v="20"/>
    <n v="1014"/>
    <n v="957.95"/>
    <x v="4"/>
    <x v="2"/>
    <x v="1"/>
    <n v="28"/>
    <m/>
  </r>
  <r>
    <x v="659"/>
    <x v="48"/>
    <x v="1"/>
    <n v="2"/>
    <n v="18"/>
    <s v="Tuesday"/>
    <x v="4"/>
    <x v="9"/>
    <x v="8"/>
    <s v="Idli Sambar"/>
    <x v="1"/>
    <n v="2"/>
    <n v="390"/>
    <n v="19.5"/>
    <n v="0"/>
    <n v="780"/>
    <n v="760.5"/>
    <x v="1"/>
    <x v="0"/>
    <x v="1"/>
    <n v="66"/>
    <n v="4"/>
  </r>
  <r>
    <x v="660"/>
    <x v="48"/>
    <x v="1"/>
    <n v="2"/>
    <n v="18"/>
    <s v="Tuesday"/>
    <x v="5"/>
    <x v="8"/>
    <x v="9"/>
    <s v="Idli Sambar"/>
    <x v="2"/>
    <n v="1"/>
    <n v="490"/>
    <n v="49"/>
    <n v="50"/>
    <n v="490"/>
    <n v="491"/>
    <x v="2"/>
    <x v="0"/>
    <x v="0"/>
    <n v="50"/>
    <n v="3.6"/>
  </r>
  <r>
    <x v="661"/>
    <x v="48"/>
    <x v="1"/>
    <n v="2"/>
    <n v="18"/>
    <s v="Tuesday"/>
    <x v="1"/>
    <x v="2"/>
    <x v="1"/>
    <s v="Idli Sambar"/>
    <x v="0"/>
    <n v="2"/>
    <n v="605"/>
    <n v="121"/>
    <n v="50"/>
    <n v="1210"/>
    <n v="1139"/>
    <x v="1"/>
    <x v="0"/>
    <x v="0"/>
    <n v="25"/>
    <n v="4.0999999999999996"/>
  </r>
  <r>
    <x v="662"/>
    <x v="48"/>
    <x v="1"/>
    <n v="2"/>
    <n v="18"/>
    <s v="Tuesday"/>
    <x v="0"/>
    <x v="4"/>
    <x v="3"/>
    <s v="Paneer Butter Masala"/>
    <x v="1"/>
    <n v="1"/>
    <n v="898"/>
    <n v="89.8"/>
    <n v="20"/>
    <n v="898"/>
    <n v="828.2"/>
    <x v="1"/>
    <x v="0"/>
    <x v="0"/>
    <n v="31"/>
    <n v="5"/>
  </r>
  <r>
    <x v="663"/>
    <x v="48"/>
    <x v="1"/>
    <n v="2"/>
    <n v="18"/>
    <s v="Tuesday"/>
    <x v="3"/>
    <x v="12"/>
    <x v="6"/>
    <s v="Chicken Biryani"/>
    <x v="1"/>
    <n v="1"/>
    <n v="263"/>
    <n v="26.3"/>
    <n v="40"/>
    <n v="263"/>
    <n v="276.7"/>
    <x v="2"/>
    <x v="0"/>
    <x v="1"/>
    <n v="49"/>
    <n v="4.0999999999999996"/>
  </r>
  <r>
    <x v="664"/>
    <x v="48"/>
    <x v="1"/>
    <n v="2"/>
    <n v="18"/>
    <s v="Tuesday"/>
    <x v="5"/>
    <x v="2"/>
    <x v="1"/>
    <s v="Veg Burger"/>
    <x v="2"/>
    <n v="1"/>
    <n v="514"/>
    <n v="25.7"/>
    <n v="50"/>
    <n v="514"/>
    <n v="538.29999999999995"/>
    <x v="1"/>
    <x v="0"/>
    <x v="1"/>
    <n v="36"/>
    <n v="4.8"/>
  </r>
  <r>
    <x v="665"/>
    <x v="48"/>
    <x v="1"/>
    <n v="2"/>
    <n v="18"/>
    <s v="Tuesday"/>
    <x v="3"/>
    <x v="7"/>
    <x v="8"/>
    <s v="Chocolate Cake"/>
    <x v="0"/>
    <n v="1"/>
    <n v="887"/>
    <n v="221.75"/>
    <n v="60"/>
    <n v="887"/>
    <n v="725.25"/>
    <x v="0"/>
    <x v="0"/>
    <x v="1"/>
    <n v="56"/>
    <n v="4.5999999999999996"/>
  </r>
  <r>
    <x v="666"/>
    <x v="48"/>
    <x v="1"/>
    <n v="2"/>
    <n v="18"/>
    <s v="Tuesday"/>
    <x v="1"/>
    <x v="8"/>
    <x v="5"/>
    <s v="Pasta"/>
    <x v="1"/>
    <n v="1"/>
    <n v="553"/>
    <n v="138.25"/>
    <n v="70"/>
    <n v="553"/>
    <n v="484.75"/>
    <x v="1"/>
    <x v="0"/>
    <x v="1"/>
    <n v="39"/>
    <n v="3.3"/>
  </r>
  <r>
    <x v="667"/>
    <x v="48"/>
    <x v="1"/>
    <n v="2"/>
    <n v="18"/>
    <s v="Tuesday"/>
    <x v="1"/>
    <x v="3"/>
    <x v="0"/>
    <s v="Chicken Momos"/>
    <x v="1"/>
    <n v="2"/>
    <n v="449"/>
    <n v="67.349999999999994"/>
    <n v="60"/>
    <n v="898"/>
    <n v="890.65"/>
    <x v="4"/>
    <x v="0"/>
    <x v="0"/>
    <n v="69"/>
    <n v="3.6"/>
  </r>
  <r>
    <x v="668"/>
    <x v="48"/>
    <x v="1"/>
    <n v="2"/>
    <n v="18"/>
    <s v="Tuesday"/>
    <x v="9"/>
    <x v="12"/>
    <x v="0"/>
    <s v="Chicken Biryani"/>
    <x v="1"/>
    <n v="3"/>
    <n v="791"/>
    <n v="158.19999999999999"/>
    <n v="50"/>
    <n v="2373"/>
    <n v="2264.8000000000002"/>
    <x v="4"/>
    <x v="0"/>
    <x v="1"/>
    <n v="39"/>
    <n v="3.8"/>
  </r>
  <r>
    <x v="669"/>
    <x v="48"/>
    <x v="1"/>
    <n v="2"/>
    <n v="18"/>
    <s v="Tuesday"/>
    <x v="4"/>
    <x v="9"/>
    <x v="3"/>
    <s v="Chicken Biryani"/>
    <x v="1"/>
    <n v="1"/>
    <n v="132"/>
    <n v="26.4"/>
    <n v="20"/>
    <n v="132"/>
    <n v="125.6"/>
    <x v="4"/>
    <x v="0"/>
    <x v="1"/>
    <n v="43"/>
    <n v="2.9"/>
  </r>
  <r>
    <x v="670"/>
    <x v="48"/>
    <x v="1"/>
    <n v="2"/>
    <n v="18"/>
    <s v="Tuesday"/>
    <x v="1"/>
    <x v="1"/>
    <x v="0"/>
    <s v="Chicken Biryani"/>
    <x v="1"/>
    <n v="2"/>
    <n v="557"/>
    <n v="83.55"/>
    <n v="40"/>
    <n v="1114"/>
    <n v="1070.45"/>
    <x v="1"/>
    <x v="2"/>
    <x v="1"/>
    <n v="36"/>
    <m/>
  </r>
  <r>
    <x v="671"/>
    <x v="49"/>
    <x v="1"/>
    <n v="2"/>
    <n v="19"/>
    <s v="Wednesday"/>
    <x v="1"/>
    <x v="12"/>
    <x v="6"/>
    <s v="Chicken Burger"/>
    <x v="2"/>
    <n v="2"/>
    <n v="686"/>
    <n v="0"/>
    <n v="60"/>
    <n v="1372"/>
    <n v="1432"/>
    <x v="4"/>
    <x v="0"/>
    <x v="0"/>
    <n v="58"/>
    <n v="3.8"/>
  </r>
  <r>
    <x v="672"/>
    <x v="49"/>
    <x v="1"/>
    <n v="2"/>
    <n v="19"/>
    <s v="Wednesday"/>
    <x v="9"/>
    <x v="6"/>
    <x v="3"/>
    <s v="Fried Rice"/>
    <x v="1"/>
    <n v="2"/>
    <n v="737"/>
    <n v="36.85"/>
    <n v="60"/>
    <n v="1474"/>
    <n v="1497.15"/>
    <x v="3"/>
    <x v="0"/>
    <x v="0"/>
    <n v="69"/>
    <n v="4"/>
  </r>
  <r>
    <x v="673"/>
    <x v="49"/>
    <x v="1"/>
    <n v="2"/>
    <n v="19"/>
    <s v="Wednesday"/>
    <x v="5"/>
    <x v="0"/>
    <x v="0"/>
    <s v="Chicken Momos"/>
    <x v="1"/>
    <n v="2"/>
    <n v="841"/>
    <n v="168.2"/>
    <n v="60"/>
    <n v="1682"/>
    <n v="1573.8"/>
    <x v="4"/>
    <x v="0"/>
    <x v="1"/>
    <n v="55"/>
    <n v="3.4"/>
  </r>
  <r>
    <x v="674"/>
    <x v="49"/>
    <x v="1"/>
    <n v="2"/>
    <n v="19"/>
    <s v="Wednesday"/>
    <x v="9"/>
    <x v="8"/>
    <x v="8"/>
    <s v="Chicken Momos"/>
    <x v="1"/>
    <n v="1"/>
    <n v="637"/>
    <n v="63.7"/>
    <n v="50"/>
    <n v="637"/>
    <n v="623.29999999999995"/>
    <x v="2"/>
    <x v="0"/>
    <x v="1"/>
    <n v="45"/>
    <n v="3.9"/>
  </r>
  <r>
    <x v="675"/>
    <x v="49"/>
    <x v="1"/>
    <n v="2"/>
    <n v="19"/>
    <s v="Wednesday"/>
    <x v="9"/>
    <x v="5"/>
    <x v="3"/>
    <s v="Chicken Burger"/>
    <x v="1"/>
    <n v="2"/>
    <n v="122"/>
    <n v="12.2"/>
    <n v="20"/>
    <n v="244"/>
    <n v="251.8"/>
    <x v="0"/>
    <x v="0"/>
    <x v="1"/>
    <n v="32"/>
    <n v="5"/>
  </r>
  <r>
    <x v="676"/>
    <x v="49"/>
    <x v="1"/>
    <n v="2"/>
    <n v="19"/>
    <s v="Wednesday"/>
    <x v="4"/>
    <x v="7"/>
    <x v="9"/>
    <s v="French Fries"/>
    <x v="2"/>
    <n v="2"/>
    <n v="686"/>
    <n v="0"/>
    <n v="60"/>
    <n v="1372"/>
    <n v="1432"/>
    <x v="1"/>
    <x v="0"/>
    <x v="0"/>
    <n v="59"/>
    <n v="4.0999999999999996"/>
  </r>
  <r>
    <x v="677"/>
    <x v="49"/>
    <x v="1"/>
    <n v="2"/>
    <n v="19"/>
    <s v="Wednesday"/>
    <x v="4"/>
    <x v="13"/>
    <x v="2"/>
    <s v="Chicken Momos"/>
    <x v="2"/>
    <n v="1"/>
    <n v="822"/>
    <n v="164.4"/>
    <n v="20"/>
    <n v="822"/>
    <n v="677.6"/>
    <x v="1"/>
    <x v="0"/>
    <x v="0"/>
    <n v="58"/>
    <n v="4.4000000000000004"/>
  </r>
  <r>
    <x v="678"/>
    <x v="49"/>
    <x v="1"/>
    <n v="2"/>
    <n v="19"/>
    <s v="Wednesday"/>
    <x v="5"/>
    <x v="4"/>
    <x v="1"/>
    <s v="Masala Dosa"/>
    <x v="2"/>
    <n v="1"/>
    <n v="771"/>
    <n v="0"/>
    <n v="50"/>
    <n v="771"/>
    <n v="821"/>
    <x v="0"/>
    <x v="0"/>
    <x v="0"/>
    <n v="66"/>
    <n v="4.0999999999999996"/>
  </r>
  <r>
    <x v="679"/>
    <x v="49"/>
    <x v="1"/>
    <n v="2"/>
    <n v="19"/>
    <s v="Wednesday"/>
    <x v="2"/>
    <x v="12"/>
    <x v="9"/>
    <s v="Veg Biryani"/>
    <x v="1"/>
    <n v="1"/>
    <n v="357"/>
    <n v="35.700000000000003"/>
    <n v="0"/>
    <n v="357"/>
    <n v="321.3"/>
    <x v="0"/>
    <x v="1"/>
    <x v="1"/>
    <n v="63"/>
    <m/>
  </r>
  <r>
    <x v="680"/>
    <x v="49"/>
    <x v="1"/>
    <n v="2"/>
    <n v="19"/>
    <s v="Wednesday"/>
    <x v="4"/>
    <x v="14"/>
    <x v="3"/>
    <s v="Chocolate Cake"/>
    <x v="1"/>
    <n v="2"/>
    <n v="342"/>
    <n v="0"/>
    <n v="60"/>
    <n v="684"/>
    <n v="744"/>
    <x v="1"/>
    <x v="0"/>
    <x v="0"/>
    <n v="64"/>
    <n v="4"/>
  </r>
  <r>
    <x v="681"/>
    <x v="49"/>
    <x v="1"/>
    <n v="2"/>
    <n v="19"/>
    <s v="Wednesday"/>
    <x v="5"/>
    <x v="8"/>
    <x v="5"/>
    <s v="Veg Pizza"/>
    <x v="1"/>
    <n v="1"/>
    <n v="803"/>
    <n v="0"/>
    <n v="30"/>
    <n v="803"/>
    <n v="833"/>
    <x v="1"/>
    <x v="0"/>
    <x v="1"/>
    <n v="28"/>
    <n v="3.9"/>
  </r>
  <r>
    <x v="682"/>
    <x v="49"/>
    <x v="1"/>
    <n v="2"/>
    <n v="19"/>
    <s v="Wednesday"/>
    <x v="7"/>
    <x v="2"/>
    <x v="7"/>
    <s v="Veg Burger"/>
    <x v="1"/>
    <n v="2"/>
    <n v="235"/>
    <n v="11.75"/>
    <n v="40"/>
    <n v="470"/>
    <n v="498.25"/>
    <x v="3"/>
    <x v="0"/>
    <x v="1"/>
    <n v="65"/>
    <n v="4.4000000000000004"/>
  </r>
  <r>
    <x v="683"/>
    <x v="50"/>
    <x v="1"/>
    <n v="2"/>
    <n v="20"/>
    <s v="Thursday"/>
    <x v="5"/>
    <x v="6"/>
    <x v="1"/>
    <s v="Idli Sambar"/>
    <x v="1"/>
    <n v="2"/>
    <n v="289"/>
    <n v="57.8"/>
    <n v="0"/>
    <n v="578"/>
    <n v="520.20000000000005"/>
    <x v="1"/>
    <x v="0"/>
    <x v="1"/>
    <n v="59"/>
    <n v="5"/>
  </r>
  <r>
    <x v="684"/>
    <x v="50"/>
    <x v="1"/>
    <n v="2"/>
    <n v="20"/>
    <s v="Thursday"/>
    <x v="1"/>
    <x v="9"/>
    <x v="6"/>
    <s v="French Fries"/>
    <x v="1"/>
    <n v="2"/>
    <n v="671"/>
    <n v="33.549999999999997"/>
    <n v="70"/>
    <n v="1342"/>
    <n v="1378.45"/>
    <x v="0"/>
    <x v="0"/>
    <x v="0"/>
    <n v="39"/>
    <n v="4.2"/>
  </r>
  <r>
    <x v="685"/>
    <x v="50"/>
    <x v="1"/>
    <n v="2"/>
    <n v="20"/>
    <s v="Thursday"/>
    <x v="1"/>
    <x v="1"/>
    <x v="5"/>
    <s v="Chicken Burger"/>
    <x v="3"/>
    <n v="2"/>
    <n v="196"/>
    <n v="19.600000000000001"/>
    <n v="20"/>
    <n v="392"/>
    <n v="392.4"/>
    <x v="0"/>
    <x v="0"/>
    <x v="1"/>
    <n v="19"/>
    <n v="3.5"/>
  </r>
  <r>
    <x v="686"/>
    <x v="50"/>
    <x v="1"/>
    <n v="2"/>
    <n v="20"/>
    <s v="Thursday"/>
    <x v="6"/>
    <x v="3"/>
    <x v="6"/>
    <s v="French Fries"/>
    <x v="1"/>
    <n v="1"/>
    <n v="508"/>
    <n v="101.6"/>
    <n v="30"/>
    <n v="508"/>
    <n v="436.4"/>
    <x v="4"/>
    <x v="0"/>
    <x v="1"/>
    <n v="67"/>
    <n v="4.8"/>
  </r>
  <r>
    <x v="687"/>
    <x v="50"/>
    <x v="1"/>
    <n v="2"/>
    <n v="20"/>
    <s v="Thursday"/>
    <x v="5"/>
    <x v="12"/>
    <x v="2"/>
    <s v="Veg Biryani"/>
    <x v="1"/>
    <n v="2"/>
    <n v="876"/>
    <n v="131.4"/>
    <n v="0"/>
    <n v="1752"/>
    <n v="1620.6"/>
    <x v="3"/>
    <x v="0"/>
    <x v="0"/>
    <n v="18"/>
    <n v="3.8"/>
  </r>
  <r>
    <x v="688"/>
    <x v="50"/>
    <x v="1"/>
    <n v="2"/>
    <n v="20"/>
    <s v="Thursday"/>
    <x v="6"/>
    <x v="3"/>
    <x v="0"/>
    <s v="Chicken Momos"/>
    <x v="2"/>
    <n v="1"/>
    <n v="200"/>
    <n v="20"/>
    <n v="20"/>
    <n v="200"/>
    <n v="200"/>
    <x v="1"/>
    <x v="0"/>
    <x v="0"/>
    <n v="31"/>
    <n v="3.4"/>
  </r>
  <r>
    <x v="689"/>
    <x v="50"/>
    <x v="1"/>
    <n v="2"/>
    <n v="20"/>
    <s v="Thursday"/>
    <x v="5"/>
    <x v="13"/>
    <x v="8"/>
    <s v="Chocolate Cake"/>
    <x v="2"/>
    <n v="3"/>
    <n v="339"/>
    <n v="50.85"/>
    <n v="60"/>
    <n v="1017"/>
    <n v="1026.1500000000001"/>
    <x v="1"/>
    <x v="0"/>
    <x v="1"/>
    <n v="53"/>
    <n v="4.3"/>
  </r>
  <r>
    <x v="690"/>
    <x v="50"/>
    <x v="1"/>
    <n v="2"/>
    <n v="20"/>
    <s v="Thursday"/>
    <x v="3"/>
    <x v="13"/>
    <x v="0"/>
    <s v="Chicken Burger"/>
    <x v="0"/>
    <n v="1"/>
    <n v="461"/>
    <n v="23.05"/>
    <n v="40"/>
    <n v="461"/>
    <n v="477.95"/>
    <x v="4"/>
    <x v="0"/>
    <x v="1"/>
    <n v="42"/>
    <n v="3.6"/>
  </r>
  <r>
    <x v="691"/>
    <x v="50"/>
    <x v="1"/>
    <n v="2"/>
    <n v="20"/>
    <s v="Thursday"/>
    <x v="3"/>
    <x v="3"/>
    <x v="7"/>
    <s v="Paneer Butter Masala"/>
    <x v="0"/>
    <n v="3"/>
    <n v="784"/>
    <n v="156.80000000000001"/>
    <n v="20"/>
    <n v="2352"/>
    <n v="2215.1999999999998"/>
    <x v="2"/>
    <x v="0"/>
    <x v="1"/>
    <n v="31"/>
    <n v="4.3"/>
  </r>
  <r>
    <x v="692"/>
    <x v="50"/>
    <x v="1"/>
    <n v="2"/>
    <n v="20"/>
    <s v="Thursday"/>
    <x v="3"/>
    <x v="3"/>
    <x v="4"/>
    <s v="Veg Burger"/>
    <x v="1"/>
    <n v="2"/>
    <n v="300"/>
    <n v="0"/>
    <n v="30"/>
    <n v="600"/>
    <n v="630"/>
    <x v="3"/>
    <x v="0"/>
    <x v="1"/>
    <n v="23"/>
    <n v="4.5999999999999996"/>
  </r>
  <r>
    <x v="693"/>
    <x v="50"/>
    <x v="1"/>
    <n v="2"/>
    <n v="20"/>
    <s v="Thursday"/>
    <x v="3"/>
    <x v="11"/>
    <x v="4"/>
    <s v="Chicken Burger"/>
    <x v="2"/>
    <n v="2"/>
    <n v="177"/>
    <n v="44.25"/>
    <n v="20"/>
    <n v="354"/>
    <n v="329.75"/>
    <x v="1"/>
    <x v="0"/>
    <x v="1"/>
    <n v="66"/>
    <n v="3.1"/>
  </r>
  <r>
    <x v="694"/>
    <x v="50"/>
    <x v="1"/>
    <n v="2"/>
    <n v="20"/>
    <s v="Thursday"/>
    <x v="5"/>
    <x v="14"/>
    <x v="6"/>
    <s v="Masala Dosa"/>
    <x v="1"/>
    <n v="1"/>
    <n v="156"/>
    <n v="15.6"/>
    <n v="20"/>
    <n v="156"/>
    <n v="160.4"/>
    <x v="3"/>
    <x v="0"/>
    <x v="0"/>
    <n v="31"/>
    <n v="3"/>
  </r>
  <r>
    <x v="695"/>
    <x v="50"/>
    <x v="1"/>
    <n v="2"/>
    <n v="20"/>
    <s v="Thursday"/>
    <x v="9"/>
    <x v="4"/>
    <x v="6"/>
    <s v="Chicken Burger"/>
    <x v="1"/>
    <n v="1"/>
    <n v="271"/>
    <n v="40.65"/>
    <n v="0"/>
    <n v="271"/>
    <n v="230.35"/>
    <x v="1"/>
    <x v="0"/>
    <x v="0"/>
    <n v="63"/>
    <n v="3.7"/>
  </r>
  <r>
    <x v="696"/>
    <x v="50"/>
    <x v="1"/>
    <n v="2"/>
    <n v="20"/>
    <s v="Thursday"/>
    <x v="0"/>
    <x v="7"/>
    <x v="6"/>
    <s v="Cold Coffee"/>
    <x v="2"/>
    <n v="1"/>
    <n v="676"/>
    <n v="135.19999999999999"/>
    <n v="0"/>
    <n v="676"/>
    <n v="540.79999999999995"/>
    <x v="2"/>
    <x v="0"/>
    <x v="1"/>
    <n v="33"/>
    <n v="4"/>
  </r>
  <r>
    <x v="697"/>
    <x v="50"/>
    <x v="1"/>
    <n v="2"/>
    <n v="20"/>
    <s v="Thursday"/>
    <x v="3"/>
    <x v="1"/>
    <x v="1"/>
    <s v="Fried Rice"/>
    <x v="0"/>
    <n v="3"/>
    <n v="496"/>
    <n v="49.6"/>
    <n v="30"/>
    <n v="1488"/>
    <n v="1468.4"/>
    <x v="1"/>
    <x v="0"/>
    <x v="0"/>
    <n v="55"/>
    <n v="3.5"/>
  </r>
  <r>
    <x v="698"/>
    <x v="50"/>
    <x v="1"/>
    <n v="2"/>
    <n v="20"/>
    <s v="Thursday"/>
    <x v="4"/>
    <x v="6"/>
    <x v="8"/>
    <s v="French Fries"/>
    <x v="1"/>
    <n v="2"/>
    <n v="218"/>
    <n v="32.700000000000003"/>
    <n v="40"/>
    <n v="436"/>
    <n v="443.3"/>
    <x v="0"/>
    <x v="0"/>
    <x v="0"/>
    <n v="21"/>
    <n v="3"/>
  </r>
  <r>
    <x v="699"/>
    <x v="51"/>
    <x v="1"/>
    <n v="2"/>
    <n v="21"/>
    <s v="Friday"/>
    <x v="3"/>
    <x v="7"/>
    <x v="3"/>
    <s v="Pasta"/>
    <x v="1"/>
    <n v="2"/>
    <n v="741"/>
    <n v="37.049999999999997"/>
    <n v="30"/>
    <n v="1482"/>
    <n v="1474.95"/>
    <x v="1"/>
    <x v="2"/>
    <x v="0"/>
    <n v="55"/>
    <m/>
  </r>
  <r>
    <x v="700"/>
    <x v="51"/>
    <x v="1"/>
    <n v="2"/>
    <n v="21"/>
    <s v="Friday"/>
    <x v="8"/>
    <x v="12"/>
    <x v="8"/>
    <s v="Chocolate Cake"/>
    <x v="1"/>
    <n v="1"/>
    <n v="253"/>
    <n v="25.3"/>
    <n v="70"/>
    <n v="253"/>
    <n v="297.7"/>
    <x v="2"/>
    <x v="0"/>
    <x v="1"/>
    <n v="39"/>
    <n v="4.4000000000000004"/>
  </r>
  <r>
    <x v="701"/>
    <x v="51"/>
    <x v="1"/>
    <n v="2"/>
    <n v="21"/>
    <s v="Friday"/>
    <x v="1"/>
    <x v="1"/>
    <x v="8"/>
    <s v="Masala Dosa"/>
    <x v="1"/>
    <n v="1"/>
    <n v="756"/>
    <n v="37.799999999999997"/>
    <n v="50"/>
    <n v="756"/>
    <n v="768.2"/>
    <x v="1"/>
    <x v="0"/>
    <x v="1"/>
    <n v="68"/>
    <n v="4"/>
  </r>
  <r>
    <x v="702"/>
    <x v="51"/>
    <x v="1"/>
    <n v="2"/>
    <n v="21"/>
    <s v="Friday"/>
    <x v="2"/>
    <x v="8"/>
    <x v="2"/>
    <s v="Veg Biryani"/>
    <x v="1"/>
    <n v="1"/>
    <n v="219"/>
    <n v="10.95"/>
    <n v="40"/>
    <n v="219"/>
    <n v="248.05"/>
    <x v="2"/>
    <x v="0"/>
    <x v="1"/>
    <n v="48"/>
    <n v="5"/>
  </r>
  <r>
    <x v="703"/>
    <x v="51"/>
    <x v="1"/>
    <n v="2"/>
    <n v="21"/>
    <s v="Friday"/>
    <x v="2"/>
    <x v="1"/>
    <x v="0"/>
    <s v="Veg Pizza"/>
    <x v="2"/>
    <n v="1"/>
    <n v="252"/>
    <n v="37.799999999999997"/>
    <n v="0"/>
    <n v="252"/>
    <n v="214.2"/>
    <x v="1"/>
    <x v="2"/>
    <x v="0"/>
    <n v="53"/>
    <m/>
  </r>
  <r>
    <x v="704"/>
    <x v="51"/>
    <x v="1"/>
    <n v="2"/>
    <n v="21"/>
    <s v="Friday"/>
    <x v="9"/>
    <x v="13"/>
    <x v="2"/>
    <s v="Chicken Momos"/>
    <x v="1"/>
    <n v="2"/>
    <n v="339"/>
    <n v="0"/>
    <n v="70"/>
    <n v="678"/>
    <n v="748"/>
    <x v="1"/>
    <x v="0"/>
    <x v="0"/>
    <n v="47"/>
    <n v="3.8"/>
  </r>
  <r>
    <x v="705"/>
    <x v="51"/>
    <x v="1"/>
    <n v="2"/>
    <n v="21"/>
    <s v="Friday"/>
    <x v="5"/>
    <x v="12"/>
    <x v="5"/>
    <s v="Veg Biryani"/>
    <x v="1"/>
    <n v="1"/>
    <n v="619"/>
    <n v="61.9"/>
    <n v="20"/>
    <n v="619"/>
    <n v="577.1"/>
    <x v="1"/>
    <x v="0"/>
    <x v="1"/>
    <n v="26"/>
    <n v="4.8"/>
  </r>
  <r>
    <x v="706"/>
    <x v="51"/>
    <x v="1"/>
    <n v="2"/>
    <n v="21"/>
    <s v="Friday"/>
    <x v="5"/>
    <x v="9"/>
    <x v="5"/>
    <s v="Cold Coffee"/>
    <x v="1"/>
    <n v="2"/>
    <n v="717"/>
    <n v="143.4"/>
    <n v="40"/>
    <n v="1434"/>
    <n v="1330.6"/>
    <x v="3"/>
    <x v="0"/>
    <x v="0"/>
    <n v="43"/>
    <n v="4.5"/>
  </r>
  <r>
    <x v="707"/>
    <x v="51"/>
    <x v="1"/>
    <n v="2"/>
    <n v="21"/>
    <s v="Friday"/>
    <x v="3"/>
    <x v="14"/>
    <x v="5"/>
    <s v="Veg Burger"/>
    <x v="1"/>
    <n v="1"/>
    <n v="142"/>
    <n v="0"/>
    <n v="20"/>
    <n v="142"/>
    <n v="162"/>
    <x v="2"/>
    <x v="0"/>
    <x v="1"/>
    <n v="65"/>
    <n v="4.0999999999999996"/>
  </r>
  <r>
    <x v="708"/>
    <x v="51"/>
    <x v="1"/>
    <n v="2"/>
    <n v="21"/>
    <s v="Friday"/>
    <x v="2"/>
    <x v="3"/>
    <x v="6"/>
    <s v="Chicken Burger"/>
    <x v="1"/>
    <n v="3"/>
    <n v="426"/>
    <n v="106.5"/>
    <n v="30"/>
    <n v="1278"/>
    <n v="1201.5"/>
    <x v="0"/>
    <x v="2"/>
    <x v="1"/>
    <n v="51"/>
    <m/>
  </r>
  <r>
    <x v="709"/>
    <x v="52"/>
    <x v="1"/>
    <n v="2"/>
    <n v="22"/>
    <s v="Saturday"/>
    <x v="3"/>
    <x v="7"/>
    <x v="2"/>
    <s v="Masala Dosa"/>
    <x v="1"/>
    <n v="3"/>
    <n v="399"/>
    <n v="79.8"/>
    <n v="40"/>
    <n v="1197"/>
    <n v="1157.2"/>
    <x v="1"/>
    <x v="0"/>
    <x v="0"/>
    <n v="34"/>
    <n v="4.0999999999999996"/>
  </r>
  <r>
    <x v="710"/>
    <x v="52"/>
    <x v="1"/>
    <n v="2"/>
    <n v="22"/>
    <s v="Saturday"/>
    <x v="3"/>
    <x v="7"/>
    <x v="9"/>
    <s v="Chocolate Cake"/>
    <x v="1"/>
    <n v="2"/>
    <n v="328"/>
    <n v="49.2"/>
    <n v="50"/>
    <n v="656"/>
    <n v="656.8"/>
    <x v="1"/>
    <x v="0"/>
    <x v="1"/>
    <n v="51"/>
    <n v="3.9"/>
  </r>
  <r>
    <x v="711"/>
    <x v="52"/>
    <x v="1"/>
    <n v="2"/>
    <n v="22"/>
    <s v="Saturday"/>
    <x v="0"/>
    <x v="5"/>
    <x v="9"/>
    <s v="Chicken Biryani"/>
    <x v="1"/>
    <n v="3"/>
    <n v="238"/>
    <n v="0"/>
    <n v="70"/>
    <n v="714"/>
    <n v="784"/>
    <x v="4"/>
    <x v="0"/>
    <x v="1"/>
    <n v="34"/>
    <n v="2.5"/>
  </r>
  <r>
    <x v="712"/>
    <x v="52"/>
    <x v="1"/>
    <n v="2"/>
    <n v="22"/>
    <s v="Saturday"/>
    <x v="1"/>
    <x v="6"/>
    <x v="8"/>
    <s v="Veg Biryani"/>
    <x v="2"/>
    <n v="1"/>
    <n v="264"/>
    <n v="13.2"/>
    <n v="30"/>
    <n v="264"/>
    <n v="280.8"/>
    <x v="0"/>
    <x v="0"/>
    <x v="1"/>
    <n v="67"/>
    <n v="4.2"/>
  </r>
  <r>
    <x v="713"/>
    <x v="52"/>
    <x v="1"/>
    <n v="2"/>
    <n v="22"/>
    <s v="Saturday"/>
    <x v="5"/>
    <x v="6"/>
    <x v="4"/>
    <s v="Masala Dosa"/>
    <x v="2"/>
    <n v="1"/>
    <n v="497"/>
    <n v="99.4"/>
    <n v="40"/>
    <n v="497"/>
    <n v="437.6"/>
    <x v="1"/>
    <x v="3"/>
    <x v="0"/>
    <n v="64"/>
    <m/>
  </r>
  <r>
    <x v="714"/>
    <x v="52"/>
    <x v="1"/>
    <n v="2"/>
    <n v="22"/>
    <s v="Saturday"/>
    <x v="3"/>
    <x v="10"/>
    <x v="7"/>
    <s v="Chicken Pizza"/>
    <x v="1"/>
    <n v="2"/>
    <n v="682"/>
    <n v="102.3"/>
    <n v="60"/>
    <n v="1364"/>
    <n v="1321.7"/>
    <x v="3"/>
    <x v="0"/>
    <x v="0"/>
    <n v="49"/>
    <n v="3.9"/>
  </r>
  <r>
    <x v="715"/>
    <x v="52"/>
    <x v="1"/>
    <n v="2"/>
    <n v="22"/>
    <s v="Saturday"/>
    <x v="9"/>
    <x v="5"/>
    <x v="1"/>
    <s v="Cold Coffee"/>
    <x v="2"/>
    <n v="3"/>
    <n v="385"/>
    <n v="38.5"/>
    <n v="20"/>
    <n v="1155"/>
    <n v="1136.5"/>
    <x v="1"/>
    <x v="0"/>
    <x v="1"/>
    <n v="49"/>
    <n v="3.6"/>
  </r>
  <r>
    <x v="716"/>
    <x v="52"/>
    <x v="1"/>
    <n v="2"/>
    <n v="22"/>
    <s v="Saturday"/>
    <x v="5"/>
    <x v="4"/>
    <x v="3"/>
    <s v="Veg Momos"/>
    <x v="2"/>
    <n v="2"/>
    <n v="858"/>
    <n v="128.69999999999999"/>
    <n v="30"/>
    <n v="1716"/>
    <n v="1617.3"/>
    <x v="1"/>
    <x v="2"/>
    <x v="0"/>
    <n v="22"/>
    <m/>
  </r>
  <r>
    <x v="717"/>
    <x v="52"/>
    <x v="1"/>
    <n v="2"/>
    <n v="22"/>
    <s v="Saturday"/>
    <x v="2"/>
    <x v="11"/>
    <x v="7"/>
    <s v="Chicken Pizza"/>
    <x v="1"/>
    <n v="1"/>
    <n v="586"/>
    <n v="117.2"/>
    <n v="40"/>
    <n v="586"/>
    <n v="508.8"/>
    <x v="2"/>
    <x v="0"/>
    <x v="1"/>
    <n v="65"/>
    <n v="4.7"/>
  </r>
  <r>
    <x v="718"/>
    <x v="52"/>
    <x v="1"/>
    <n v="2"/>
    <n v="22"/>
    <s v="Saturday"/>
    <x v="2"/>
    <x v="9"/>
    <x v="8"/>
    <s v="Chicken Biryani"/>
    <x v="1"/>
    <n v="2"/>
    <n v="537"/>
    <n v="53.7"/>
    <n v="60"/>
    <n v="1074"/>
    <n v="1080.3"/>
    <x v="1"/>
    <x v="0"/>
    <x v="0"/>
    <n v="32"/>
    <n v="5"/>
  </r>
  <r>
    <x v="719"/>
    <x v="52"/>
    <x v="1"/>
    <n v="2"/>
    <n v="22"/>
    <s v="Saturday"/>
    <x v="4"/>
    <x v="5"/>
    <x v="1"/>
    <s v="Chocolate Cake"/>
    <x v="1"/>
    <n v="1"/>
    <n v="557"/>
    <n v="0"/>
    <n v="50"/>
    <n v="557"/>
    <n v="607"/>
    <x v="4"/>
    <x v="0"/>
    <x v="1"/>
    <n v="29"/>
    <n v="3.9"/>
  </r>
  <r>
    <x v="720"/>
    <x v="52"/>
    <x v="1"/>
    <n v="2"/>
    <n v="22"/>
    <s v="Saturday"/>
    <x v="6"/>
    <x v="0"/>
    <x v="2"/>
    <s v="Chicken Biryani"/>
    <x v="1"/>
    <n v="2"/>
    <n v="868"/>
    <n v="86.8"/>
    <n v="20"/>
    <n v="1736"/>
    <n v="1669.2"/>
    <x v="2"/>
    <x v="0"/>
    <x v="0"/>
    <n v="59"/>
    <n v="3.6"/>
  </r>
  <r>
    <x v="721"/>
    <x v="52"/>
    <x v="1"/>
    <n v="2"/>
    <n v="22"/>
    <s v="Saturday"/>
    <x v="6"/>
    <x v="8"/>
    <x v="3"/>
    <s v="French Fries"/>
    <x v="1"/>
    <n v="2"/>
    <n v="842"/>
    <n v="168.4"/>
    <n v="50"/>
    <n v="1684"/>
    <n v="1565.6"/>
    <x v="1"/>
    <x v="0"/>
    <x v="1"/>
    <n v="22"/>
    <n v="3.9"/>
  </r>
  <r>
    <x v="722"/>
    <x v="52"/>
    <x v="1"/>
    <n v="2"/>
    <n v="22"/>
    <s v="Saturday"/>
    <x v="4"/>
    <x v="4"/>
    <x v="2"/>
    <s v="Veg Pizza"/>
    <x v="1"/>
    <n v="1"/>
    <n v="683"/>
    <n v="136.6"/>
    <n v="20"/>
    <n v="683"/>
    <n v="566.4"/>
    <x v="0"/>
    <x v="0"/>
    <x v="1"/>
    <n v="39"/>
    <n v="3.1"/>
  </r>
  <r>
    <x v="723"/>
    <x v="52"/>
    <x v="1"/>
    <n v="2"/>
    <n v="22"/>
    <s v="Saturday"/>
    <x v="5"/>
    <x v="8"/>
    <x v="2"/>
    <s v="Chicken Burger"/>
    <x v="1"/>
    <n v="2"/>
    <n v="260"/>
    <n v="0"/>
    <n v="50"/>
    <n v="520"/>
    <n v="570"/>
    <x v="4"/>
    <x v="0"/>
    <x v="1"/>
    <n v="32"/>
    <n v="4.9000000000000004"/>
  </r>
  <r>
    <x v="724"/>
    <x v="53"/>
    <x v="1"/>
    <n v="2"/>
    <n v="23"/>
    <s v="Sunday"/>
    <x v="5"/>
    <x v="6"/>
    <x v="6"/>
    <s v="Cold Coffee"/>
    <x v="1"/>
    <n v="1"/>
    <n v="275"/>
    <n v="68.75"/>
    <n v="40"/>
    <n v="275"/>
    <n v="246.25"/>
    <x v="4"/>
    <x v="0"/>
    <x v="0"/>
    <n v="49"/>
    <n v="4"/>
  </r>
  <r>
    <x v="725"/>
    <x v="53"/>
    <x v="1"/>
    <n v="2"/>
    <n v="23"/>
    <s v="Sunday"/>
    <x v="4"/>
    <x v="7"/>
    <x v="4"/>
    <s v="Masala Dosa"/>
    <x v="3"/>
    <n v="2"/>
    <n v="842"/>
    <n v="126.3"/>
    <n v="30"/>
    <n v="1684"/>
    <n v="1587.7"/>
    <x v="1"/>
    <x v="0"/>
    <x v="0"/>
    <n v="33"/>
    <n v="4.2"/>
  </r>
  <r>
    <x v="726"/>
    <x v="53"/>
    <x v="1"/>
    <n v="2"/>
    <n v="23"/>
    <s v="Sunday"/>
    <x v="2"/>
    <x v="5"/>
    <x v="9"/>
    <s v="Pasta"/>
    <x v="0"/>
    <n v="3"/>
    <n v="578"/>
    <n v="57.8"/>
    <n v="20"/>
    <n v="1734"/>
    <n v="1696.2"/>
    <x v="1"/>
    <x v="0"/>
    <x v="0"/>
    <n v="66"/>
    <n v="4.4000000000000004"/>
  </r>
  <r>
    <x v="727"/>
    <x v="53"/>
    <x v="1"/>
    <n v="2"/>
    <n v="23"/>
    <s v="Sunday"/>
    <x v="5"/>
    <x v="6"/>
    <x v="0"/>
    <s v="Chocolate Cake"/>
    <x v="1"/>
    <n v="2"/>
    <n v="717"/>
    <n v="179.25"/>
    <n v="0"/>
    <n v="1434"/>
    <n v="1254.75"/>
    <x v="1"/>
    <x v="0"/>
    <x v="1"/>
    <n v="18"/>
    <n v="3.6"/>
  </r>
  <r>
    <x v="728"/>
    <x v="53"/>
    <x v="1"/>
    <n v="2"/>
    <n v="23"/>
    <s v="Sunday"/>
    <x v="5"/>
    <x v="4"/>
    <x v="0"/>
    <s v="Veg Burger"/>
    <x v="1"/>
    <n v="2"/>
    <n v="242"/>
    <n v="12.1"/>
    <n v="20"/>
    <n v="484"/>
    <n v="491.9"/>
    <x v="4"/>
    <x v="0"/>
    <x v="1"/>
    <n v="22"/>
    <n v="4.5999999999999996"/>
  </r>
  <r>
    <x v="729"/>
    <x v="53"/>
    <x v="1"/>
    <n v="2"/>
    <n v="23"/>
    <s v="Sunday"/>
    <x v="6"/>
    <x v="7"/>
    <x v="6"/>
    <s v="Cold Coffee"/>
    <x v="1"/>
    <n v="2"/>
    <n v="655"/>
    <n v="0"/>
    <n v="60"/>
    <n v="1310"/>
    <n v="1370"/>
    <x v="1"/>
    <x v="0"/>
    <x v="0"/>
    <n v="43"/>
    <n v="3.8"/>
  </r>
  <r>
    <x v="730"/>
    <x v="53"/>
    <x v="1"/>
    <n v="2"/>
    <n v="23"/>
    <s v="Sunday"/>
    <x v="1"/>
    <x v="6"/>
    <x v="0"/>
    <s v="Veg Pizza"/>
    <x v="3"/>
    <n v="2"/>
    <n v="376"/>
    <n v="94"/>
    <n v="0"/>
    <n v="752"/>
    <n v="658"/>
    <x v="1"/>
    <x v="2"/>
    <x v="0"/>
    <n v="37"/>
    <m/>
  </r>
  <r>
    <x v="731"/>
    <x v="53"/>
    <x v="1"/>
    <n v="2"/>
    <n v="23"/>
    <s v="Sunday"/>
    <x v="7"/>
    <x v="4"/>
    <x v="8"/>
    <s v="Veg Pizza"/>
    <x v="1"/>
    <n v="3"/>
    <n v="400"/>
    <n v="80"/>
    <n v="30"/>
    <n v="1200"/>
    <n v="1150"/>
    <x v="1"/>
    <x v="0"/>
    <x v="0"/>
    <n v="48"/>
    <n v="3.8"/>
  </r>
  <r>
    <x v="732"/>
    <x v="53"/>
    <x v="1"/>
    <n v="2"/>
    <n v="23"/>
    <s v="Sunday"/>
    <x v="5"/>
    <x v="4"/>
    <x v="0"/>
    <s v="Fried Rice"/>
    <x v="0"/>
    <n v="1"/>
    <n v="646"/>
    <n v="0"/>
    <n v="0"/>
    <n v="646"/>
    <n v="646"/>
    <x v="1"/>
    <x v="0"/>
    <x v="0"/>
    <n v="18"/>
    <n v="4.5999999999999996"/>
  </r>
  <r>
    <x v="733"/>
    <x v="53"/>
    <x v="1"/>
    <n v="2"/>
    <n v="23"/>
    <s v="Sunday"/>
    <x v="9"/>
    <x v="5"/>
    <x v="4"/>
    <s v="Chicken Burger"/>
    <x v="1"/>
    <n v="1"/>
    <n v="361"/>
    <n v="36.1"/>
    <n v="20"/>
    <n v="361"/>
    <n v="344.9"/>
    <x v="1"/>
    <x v="0"/>
    <x v="1"/>
    <n v="61"/>
    <n v="4.9000000000000004"/>
  </r>
  <r>
    <x v="734"/>
    <x v="53"/>
    <x v="1"/>
    <n v="2"/>
    <n v="23"/>
    <s v="Sunday"/>
    <x v="1"/>
    <x v="14"/>
    <x v="8"/>
    <s v="Chicken Pizza"/>
    <x v="3"/>
    <n v="1"/>
    <n v="897"/>
    <n v="179.4"/>
    <n v="30"/>
    <n v="897"/>
    <n v="747.6"/>
    <x v="3"/>
    <x v="0"/>
    <x v="1"/>
    <n v="69"/>
    <n v="3.9"/>
  </r>
  <r>
    <x v="735"/>
    <x v="53"/>
    <x v="1"/>
    <n v="2"/>
    <n v="23"/>
    <s v="Sunday"/>
    <x v="1"/>
    <x v="11"/>
    <x v="9"/>
    <s v="French Fries"/>
    <x v="3"/>
    <n v="1"/>
    <n v="832"/>
    <n v="124.8"/>
    <n v="60"/>
    <n v="832"/>
    <n v="767.2"/>
    <x v="0"/>
    <x v="0"/>
    <x v="1"/>
    <n v="28"/>
    <n v="4.5999999999999996"/>
  </r>
  <r>
    <x v="736"/>
    <x v="53"/>
    <x v="1"/>
    <n v="2"/>
    <n v="23"/>
    <s v="Sunday"/>
    <x v="7"/>
    <x v="13"/>
    <x v="5"/>
    <s v="Chicken Momos"/>
    <x v="3"/>
    <n v="1"/>
    <n v="872"/>
    <n v="130.80000000000001"/>
    <n v="60"/>
    <n v="872"/>
    <n v="801.2"/>
    <x v="3"/>
    <x v="0"/>
    <x v="1"/>
    <n v="50"/>
    <n v="4.9000000000000004"/>
  </r>
  <r>
    <x v="737"/>
    <x v="53"/>
    <x v="1"/>
    <n v="2"/>
    <n v="23"/>
    <s v="Sunday"/>
    <x v="6"/>
    <x v="10"/>
    <x v="7"/>
    <s v="Fried Rice"/>
    <x v="3"/>
    <n v="2"/>
    <n v="382"/>
    <n v="95.5"/>
    <n v="60"/>
    <n v="764"/>
    <n v="728.5"/>
    <x v="0"/>
    <x v="0"/>
    <x v="1"/>
    <n v="37"/>
    <n v="4.4000000000000004"/>
  </r>
  <r>
    <x v="738"/>
    <x v="53"/>
    <x v="1"/>
    <n v="2"/>
    <n v="23"/>
    <s v="Sunday"/>
    <x v="9"/>
    <x v="11"/>
    <x v="5"/>
    <s v="Paneer Butter Masala"/>
    <x v="2"/>
    <n v="1"/>
    <n v="478"/>
    <n v="47.8"/>
    <n v="50"/>
    <n v="478"/>
    <n v="480.2"/>
    <x v="1"/>
    <x v="0"/>
    <x v="1"/>
    <n v="70"/>
    <n v="4.3"/>
  </r>
  <r>
    <x v="739"/>
    <x v="53"/>
    <x v="1"/>
    <n v="2"/>
    <n v="23"/>
    <s v="Sunday"/>
    <x v="4"/>
    <x v="0"/>
    <x v="8"/>
    <s v="Masala Dosa"/>
    <x v="2"/>
    <n v="1"/>
    <n v="799"/>
    <n v="159.80000000000001"/>
    <n v="0"/>
    <n v="799"/>
    <n v="639.20000000000005"/>
    <x v="0"/>
    <x v="0"/>
    <x v="1"/>
    <n v="30"/>
    <n v="3.5"/>
  </r>
  <r>
    <x v="740"/>
    <x v="53"/>
    <x v="1"/>
    <n v="2"/>
    <n v="23"/>
    <s v="Sunday"/>
    <x v="9"/>
    <x v="2"/>
    <x v="9"/>
    <s v="Chocolate Cake"/>
    <x v="1"/>
    <n v="2"/>
    <n v="364"/>
    <n v="36.4"/>
    <n v="40"/>
    <n v="728"/>
    <n v="731.6"/>
    <x v="3"/>
    <x v="0"/>
    <x v="0"/>
    <n v="23"/>
    <n v="3.3"/>
  </r>
  <r>
    <x v="741"/>
    <x v="54"/>
    <x v="1"/>
    <n v="2"/>
    <n v="24"/>
    <s v="Monday"/>
    <x v="0"/>
    <x v="1"/>
    <x v="9"/>
    <s v="Pasta"/>
    <x v="1"/>
    <n v="1"/>
    <n v="709"/>
    <n v="141.80000000000001"/>
    <n v="50"/>
    <n v="709"/>
    <n v="617.20000000000005"/>
    <x v="3"/>
    <x v="1"/>
    <x v="0"/>
    <n v="26"/>
    <m/>
  </r>
  <r>
    <x v="742"/>
    <x v="54"/>
    <x v="1"/>
    <n v="2"/>
    <n v="24"/>
    <s v="Monday"/>
    <x v="3"/>
    <x v="13"/>
    <x v="1"/>
    <s v="Pasta"/>
    <x v="1"/>
    <n v="1"/>
    <n v="466"/>
    <n v="116.5"/>
    <n v="20"/>
    <n v="466"/>
    <n v="369.5"/>
    <x v="2"/>
    <x v="0"/>
    <x v="1"/>
    <n v="59"/>
    <n v="4.5999999999999996"/>
  </r>
  <r>
    <x v="743"/>
    <x v="54"/>
    <x v="1"/>
    <n v="2"/>
    <n v="24"/>
    <s v="Monday"/>
    <x v="0"/>
    <x v="1"/>
    <x v="2"/>
    <s v="Chicken Pizza"/>
    <x v="1"/>
    <n v="2"/>
    <n v="515"/>
    <n v="103"/>
    <n v="20"/>
    <n v="1030"/>
    <n v="947"/>
    <x v="0"/>
    <x v="0"/>
    <x v="0"/>
    <n v="54"/>
    <n v="4.8"/>
  </r>
  <r>
    <x v="744"/>
    <x v="54"/>
    <x v="1"/>
    <n v="2"/>
    <n v="24"/>
    <s v="Monday"/>
    <x v="4"/>
    <x v="2"/>
    <x v="0"/>
    <s v="Idli Sambar"/>
    <x v="2"/>
    <n v="2"/>
    <n v="214"/>
    <n v="32.1"/>
    <n v="40"/>
    <n v="428"/>
    <n v="435.9"/>
    <x v="1"/>
    <x v="0"/>
    <x v="1"/>
    <n v="65"/>
    <n v="3.6"/>
  </r>
  <r>
    <x v="745"/>
    <x v="54"/>
    <x v="1"/>
    <n v="2"/>
    <n v="24"/>
    <s v="Monday"/>
    <x v="1"/>
    <x v="9"/>
    <x v="3"/>
    <s v="Veg Pizza"/>
    <x v="1"/>
    <n v="2"/>
    <n v="302"/>
    <n v="75.5"/>
    <n v="0"/>
    <n v="604"/>
    <n v="528.5"/>
    <x v="1"/>
    <x v="0"/>
    <x v="0"/>
    <n v="32"/>
    <n v="2.6"/>
  </r>
  <r>
    <x v="746"/>
    <x v="54"/>
    <x v="1"/>
    <n v="2"/>
    <n v="24"/>
    <s v="Monday"/>
    <x v="9"/>
    <x v="10"/>
    <x v="3"/>
    <s v="Veg Momos"/>
    <x v="1"/>
    <n v="3"/>
    <n v="335"/>
    <n v="50.25"/>
    <n v="30"/>
    <n v="1005"/>
    <n v="984.75"/>
    <x v="0"/>
    <x v="2"/>
    <x v="1"/>
    <n v="31"/>
    <m/>
  </r>
  <r>
    <x v="747"/>
    <x v="54"/>
    <x v="1"/>
    <n v="2"/>
    <n v="24"/>
    <s v="Monday"/>
    <x v="7"/>
    <x v="3"/>
    <x v="6"/>
    <s v="Chicken Burger"/>
    <x v="1"/>
    <n v="2"/>
    <n v="422"/>
    <n v="84.4"/>
    <n v="30"/>
    <n v="844"/>
    <n v="789.6"/>
    <x v="1"/>
    <x v="2"/>
    <x v="0"/>
    <n v="69"/>
    <m/>
  </r>
  <r>
    <x v="748"/>
    <x v="54"/>
    <x v="1"/>
    <n v="2"/>
    <n v="24"/>
    <s v="Monday"/>
    <x v="5"/>
    <x v="1"/>
    <x v="3"/>
    <s v="Chocolate Cake"/>
    <x v="1"/>
    <n v="1"/>
    <n v="586"/>
    <n v="29.3"/>
    <n v="20"/>
    <n v="586"/>
    <n v="576.70000000000005"/>
    <x v="1"/>
    <x v="0"/>
    <x v="1"/>
    <n v="56"/>
    <n v="2.8"/>
  </r>
  <r>
    <x v="749"/>
    <x v="54"/>
    <x v="1"/>
    <n v="2"/>
    <n v="24"/>
    <s v="Monday"/>
    <x v="0"/>
    <x v="8"/>
    <x v="4"/>
    <s v="Veg Momos"/>
    <x v="1"/>
    <n v="3"/>
    <n v="468"/>
    <n v="23.4"/>
    <n v="50"/>
    <n v="1404"/>
    <n v="1430.6"/>
    <x v="0"/>
    <x v="0"/>
    <x v="0"/>
    <n v="30"/>
    <n v="4.8"/>
  </r>
  <r>
    <x v="750"/>
    <x v="54"/>
    <x v="1"/>
    <n v="2"/>
    <n v="24"/>
    <s v="Monday"/>
    <x v="1"/>
    <x v="0"/>
    <x v="5"/>
    <s v="Veg Momos"/>
    <x v="1"/>
    <n v="1"/>
    <n v="545"/>
    <n v="54.5"/>
    <n v="20"/>
    <n v="545"/>
    <n v="510.5"/>
    <x v="2"/>
    <x v="0"/>
    <x v="1"/>
    <n v="50"/>
    <n v="5"/>
  </r>
  <r>
    <x v="751"/>
    <x v="54"/>
    <x v="1"/>
    <n v="2"/>
    <n v="24"/>
    <s v="Monday"/>
    <x v="7"/>
    <x v="13"/>
    <x v="7"/>
    <s v="Cold Coffee"/>
    <x v="3"/>
    <n v="2"/>
    <n v="321"/>
    <n v="64.2"/>
    <n v="0"/>
    <n v="642"/>
    <n v="577.79999999999995"/>
    <x v="1"/>
    <x v="0"/>
    <x v="0"/>
    <n v="37"/>
    <n v="3.4"/>
  </r>
  <r>
    <x v="752"/>
    <x v="54"/>
    <x v="1"/>
    <n v="2"/>
    <n v="24"/>
    <s v="Monday"/>
    <x v="3"/>
    <x v="13"/>
    <x v="2"/>
    <s v="Masala Dosa"/>
    <x v="1"/>
    <n v="1"/>
    <n v="397"/>
    <n v="99.25"/>
    <n v="30"/>
    <n v="397"/>
    <n v="327.75"/>
    <x v="1"/>
    <x v="3"/>
    <x v="1"/>
    <n v="52"/>
    <m/>
  </r>
  <r>
    <x v="753"/>
    <x v="54"/>
    <x v="1"/>
    <n v="2"/>
    <n v="24"/>
    <s v="Monday"/>
    <x v="2"/>
    <x v="8"/>
    <x v="3"/>
    <s v="Veg Pizza"/>
    <x v="2"/>
    <n v="1"/>
    <n v="772"/>
    <n v="38.6"/>
    <n v="40"/>
    <n v="772"/>
    <n v="773.4"/>
    <x v="1"/>
    <x v="0"/>
    <x v="0"/>
    <n v="24"/>
    <n v="3"/>
  </r>
  <r>
    <x v="754"/>
    <x v="54"/>
    <x v="1"/>
    <n v="2"/>
    <n v="24"/>
    <s v="Monday"/>
    <x v="3"/>
    <x v="14"/>
    <x v="4"/>
    <s v="Chicken Momos"/>
    <x v="1"/>
    <n v="1"/>
    <n v="735"/>
    <n v="73.5"/>
    <n v="70"/>
    <n v="735"/>
    <n v="731.5"/>
    <x v="1"/>
    <x v="0"/>
    <x v="0"/>
    <n v="28"/>
    <n v="3"/>
  </r>
  <r>
    <x v="755"/>
    <x v="55"/>
    <x v="1"/>
    <n v="2"/>
    <n v="25"/>
    <s v="Tuesday"/>
    <x v="3"/>
    <x v="11"/>
    <x v="1"/>
    <s v="Chicken Momos"/>
    <x v="1"/>
    <n v="2"/>
    <n v="233"/>
    <n v="23.3"/>
    <n v="20"/>
    <n v="466"/>
    <n v="462.7"/>
    <x v="1"/>
    <x v="0"/>
    <x v="0"/>
    <n v="20"/>
    <n v="4.0999999999999996"/>
  </r>
  <r>
    <x v="756"/>
    <x v="55"/>
    <x v="1"/>
    <n v="2"/>
    <n v="25"/>
    <s v="Tuesday"/>
    <x v="4"/>
    <x v="7"/>
    <x v="6"/>
    <s v="Chicken Pizza"/>
    <x v="2"/>
    <n v="1"/>
    <n v="258"/>
    <n v="25.8"/>
    <n v="40"/>
    <n v="258"/>
    <n v="272.2"/>
    <x v="2"/>
    <x v="0"/>
    <x v="1"/>
    <n v="52"/>
    <n v="3.6"/>
  </r>
  <r>
    <x v="757"/>
    <x v="55"/>
    <x v="1"/>
    <n v="2"/>
    <n v="25"/>
    <s v="Tuesday"/>
    <x v="3"/>
    <x v="6"/>
    <x v="0"/>
    <s v="Chocolate Cake"/>
    <x v="1"/>
    <n v="2"/>
    <n v="450"/>
    <n v="45"/>
    <n v="60"/>
    <n v="900"/>
    <n v="915"/>
    <x v="1"/>
    <x v="1"/>
    <x v="0"/>
    <n v="55"/>
    <m/>
  </r>
  <r>
    <x v="758"/>
    <x v="55"/>
    <x v="1"/>
    <n v="2"/>
    <n v="25"/>
    <s v="Tuesday"/>
    <x v="0"/>
    <x v="6"/>
    <x v="2"/>
    <s v="Veg Biryani"/>
    <x v="1"/>
    <n v="2"/>
    <n v="788"/>
    <n v="0"/>
    <n v="20"/>
    <n v="1576"/>
    <n v="1596"/>
    <x v="2"/>
    <x v="2"/>
    <x v="0"/>
    <n v="29"/>
    <m/>
  </r>
  <r>
    <x v="759"/>
    <x v="55"/>
    <x v="1"/>
    <n v="2"/>
    <n v="25"/>
    <s v="Tuesday"/>
    <x v="3"/>
    <x v="12"/>
    <x v="8"/>
    <s v="Veg Biryani"/>
    <x v="1"/>
    <n v="1"/>
    <n v="531"/>
    <n v="53.1"/>
    <n v="40"/>
    <n v="531"/>
    <n v="517.9"/>
    <x v="4"/>
    <x v="0"/>
    <x v="1"/>
    <n v="55"/>
    <n v="4.8"/>
  </r>
  <r>
    <x v="760"/>
    <x v="55"/>
    <x v="1"/>
    <n v="2"/>
    <n v="25"/>
    <s v="Tuesday"/>
    <x v="5"/>
    <x v="12"/>
    <x v="5"/>
    <s v="Chicken Burger"/>
    <x v="1"/>
    <n v="2"/>
    <n v="852"/>
    <n v="127.8"/>
    <n v="20"/>
    <n v="1704"/>
    <n v="1596.2"/>
    <x v="0"/>
    <x v="0"/>
    <x v="1"/>
    <n v="60"/>
    <n v="3.8"/>
  </r>
  <r>
    <x v="761"/>
    <x v="55"/>
    <x v="1"/>
    <n v="2"/>
    <n v="25"/>
    <s v="Tuesday"/>
    <x v="2"/>
    <x v="1"/>
    <x v="6"/>
    <s v="Veg Biryani"/>
    <x v="1"/>
    <n v="1"/>
    <n v="694"/>
    <n v="69.400000000000006"/>
    <n v="30"/>
    <n v="694"/>
    <n v="654.6"/>
    <x v="2"/>
    <x v="0"/>
    <x v="1"/>
    <n v="58"/>
    <n v="3.1"/>
  </r>
  <r>
    <x v="762"/>
    <x v="55"/>
    <x v="1"/>
    <n v="2"/>
    <n v="25"/>
    <s v="Tuesday"/>
    <x v="2"/>
    <x v="14"/>
    <x v="9"/>
    <s v="Veg Pizza"/>
    <x v="1"/>
    <n v="2"/>
    <n v="331"/>
    <n v="66.2"/>
    <n v="60"/>
    <n v="662"/>
    <n v="655.8"/>
    <x v="0"/>
    <x v="0"/>
    <x v="1"/>
    <n v="52"/>
    <n v="4"/>
  </r>
  <r>
    <x v="763"/>
    <x v="55"/>
    <x v="1"/>
    <n v="2"/>
    <n v="25"/>
    <s v="Tuesday"/>
    <x v="1"/>
    <x v="8"/>
    <x v="5"/>
    <s v="Chocolate Cake"/>
    <x v="1"/>
    <n v="1"/>
    <n v="308"/>
    <n v="0"/>
    <n v="40"/>
    <n v="308"/>
    <n v="348"/>
    <x v="2"/>
    <x v="0"/>
    <x v="1"/>
    <n v="47"/>
    <n v="2.6"/>
  </r>
  <r>
    <x v="764"/>
    <x v="56"/>
    <x v="1"/>
    <n v="2"/>
    <n v="26"/>
    <s v="Wednesday"/>
    <x v="3"/>
    <x v="8"/>
    <x v="4"/>
    <s v="Veg Biryani"/>
    <x v="1"/>
    <n v="1"/>
    <n v="799"/>
    <n v="79.900000000000006"/>
    <n v="20"/>
    <n v="799"/>
    <n v="739.1"/>
    <x v="2"/>
    <x v="0"/>
    <x v="0"/>
    <n v="31"/>
    <n v="4.2"/>
  </r>
  <r>
    <x v="765"/>
    <x v="56"/>
    <x v="1"/>
    <n v="2"/>
    <n v="26"/>
    <s v="Wednesday"/>
    <x v="2"/>
    <x v="14"/>
    <x v="6"/>
    <s v="Veg Burger"/>
    <x v="1"/>
    <n v="1"/>
    <n v="865"/>
    <n v="216.25"/>
    <n v="20"/>
    <n v="865"/>
    <n v="668.75"/>
    <x v="1"/>
    <x v="0"/>
    <x v="1"/>
    <n v="22"/>
    <n v="3.8"/>
  </r>
  <r>
    <x v="766"/>
    <x v="56"/>
    <x v="1"/>
    <n v="2"/>
    <n v="26"/>
    <s v="Wednesday"/>
    <x v="1"/>
    <x v="6"/>
    <x v="8"/>
    <s v="Masala Dosa"/>
    <x v="1"/>
    <n v="2"/>
    <n v="503"/>
    <n v="50.3"/>
    <n v="0"/>
    <n v="1006"/>
    <n v="955.7"/>
    <x v="0"/>
    <x v="0"/>
    <x v="0"/>
    <n v="63"/>
    <n v="4.7"/>
  </r>
  <r>
    <x v="767"/>
    <x v="56"/>
    <x v="1"/>
    <n v="2"/>
    <n v="26"/>
    <s v="Wednesday"/>
    <x v="2"/>
    <x v="8"/>
    <x v="4"/>
    <s v="Chicken Pizza"/>
    <x v="2"/>
    <n v="3"/>
    <n v="877"/>
    <n v="175.4"/>
    <n v="40"/>
    <n v="2631"/>
    <n v="2495.6"/>
    <x v="2"/>
    <x v="2"/>
    <x v="1"/>
    <n v="18"/>
    <m/>
  </r>
  <r>
    <x v="768"/>
    <x v="56"/>
    <x v="1"/>
    <n v="2"/>
    <n v="26"/>
    <s v="Wednesday"/>
    <x v="2"/>
    <x v="8"/>
    <x v="5"/>
    <s v="French Fries"/>
    <x v="3"/>
    <n v="3"/>
    <n v="193"/>
    <n v="19.3"/>
    <n v="30"/>
    <n v="579"/>
    <n v="589.70000000000005"/>
    <x v="2"/>
    <x v="0"/>
    <x v="1"/>
    <n v="46"/>
    <n v="4.0999999999999996"/>
  </r>
  <r>
    <x v="769"/>
    <x v="56"/>
    <x v="1"/>
    <n v="2"/>
    <n v="26"/>
    <s v="Wednesday"/>
    <x v="3"/>
    <x v="3"/>
    <x v="3"/>
    <s v="Pasta"/>
    <x v="1"/>
    <n v="2"/>
    <n v="603"/>
    <n v="0"/>
    <n v="30"/>
    <n v="1206"/>
    <n v="1236"/>
    <x v="1"/>
    <x v="0"/>
    <x v="1"/>
    <n v="70"/>
    <n v="4.0999999999999996"/>
  </r>
  <r>
    <x v="770"/>
    <x v="56"/>
    <x v="1"/>
    <n v="2"/>
    <n v="26"/>
    <s v="Wednesday"/>
    <x v="4"/>
    <x v="4"/>
    <x v="8"/>
    <s v="Veg Momos"/>
    <x v="2"/>
    <n v="2"/>
    <n v="442"/>
    <n v="66.3"/>
    <n v="50"/>
    <n v="884"/>
    <n v="867.7"/>
    <x v="0"/>
    <x v="2"/>
    <x v="0"/>
    <n v="69"/>
    <m/>
  </r>
  <r>
    <x v="771"/>
    <x v="56"/>
    <x v="1"/>
    <n v="2"/>
    <n v="26"/>
    <s v="Wednesday"/>
    <x v="4"/>
    <x v="12"/>
    <x v="9"/>
    <s v="Fried Rice"/>
    <x v="1"/>
    <n v="2"/>
    <n v="335"/>
    <n v="16.75"/>
    <n v="40"/>
    <n v="670"/>
    <n v="693.25"/>
    <x v="1"/>
    <x v="0"/>
    <x v="1"/>
    <n v="47"/>
    <n v="2.9"/>
  </r>
  <r>
    <x v="772"/>
    <x v="56"/>
    <x v="1"/>
    <n v="2"/>
    <n v="26"/>
    <s v="Wednesday"/>
    <x v="2"/>
    <x v="9"/>
    <x v="2"/>
    <s v="Chicken Momos"/>
    <x v="1"/>
    <n v="2"/>
    <n v="766"/>
    <n v="38.299999999999997"/>
    <n v="60"/>
    <n v="1532"/>
    <n v="1553.7"/>
    <x v="4"/>
    <x v="0"/>
    <x v="0"/>
    <n v="51"/>
    <n v="3.5"/>
  </r>
  <r>
    <x v="773"/>
    <x v="56"/>
    <x v="1"/>
    <n v="2"/>
    <n v="26"/>
    <s v="Wednesday"/>
    <x v="5"/>
    <x v="5"/>
    <x v="9"/>
    <s v="Veg Biryani"/>
    <x v="1"/>
    <n v="1"/>
    <n v="354"/>
    <n v="88.5"/>
    <n v="50"/>
    <n v="354"/>
    <n v="315.5"/>
    <x v="1"/>
    <x v="2"/>
    <x v="1"/>
    <n v="59"/>
    <m/>
  </r>
  <r>
    <x v="774"/>
    <x v="57"/>
    <x v="1"/>
    <n v="2"/>
    <n v="27"/>
    <s v="Thursday"/>
    <x v="9"/>
    <x v="8"/>
    <x v="9"/>
    <s v="Veg Pizza"/>
    <x v="2"/>
    <n v="2"/>
    <n v="299"/>
    <n v="74.75"/>
    <n v="60"/>
    <n v="598"/>
    <n v="583.25"/>
    <x v="2"/>
    <x v="0"/>
    <x v="1"/>
    <n v="52"/>
    <n v="4.7"/>
  </r>
  <r>
    <x v="775"/>
    <x v="57"/>
    <x v="1"/>
    <n v="2"/>
    <n v="27"/>
    <s v="Thursday"/>
    <x v="5"/>
    <x v="9"/>
    <x v="7"/>
    <s v="Idli Sambar"/>
    <x v="2"/>
    <n v="3"/>
    <n v="664"/>
    <n v="132.80000000000001"/>
    <n v="30"/>
    <n v="1992"/>
    <n v="1889.2"/>
    <x v="1"/>
    <x v="1"/>
    <x v="0"/>
    <n v="53"/>
    <m/>
  </r>
  <r>
    <x v="776"/>
    <x v="57"/>
    <x v="1"/>
    <n v="2"/>
    <n v="27"/>
    <s v="Thursday"/>
    <x v="8"/>
    <x v="12"/>
    <x v="5"/>
    <s v="Pasta"/>
    <x v="1"/>
    <n v="1"/>
    <n v="536"/>
    <n v="80.400000000000006"/>
    <n v="60"/>
    <n v="536"/>
    <n v="515.6"/>
    <x v="1"/>
    <x v="0"/>
    <x v="1"/>
    <n v="39"/>
    <n v="4.4000000000000004"/>
  </r>
  <r>
    <x v="777"/>
    <x v="57"/>
    <x v="1"/>
    <n v="2"/>
    <n v="27"/>
    <s v="Thursday"/>
    <x v="4"/>
    <x v="1"/>
    <x v="6"/>
    <s v="Chicken Pizza"/>
    <x v="2"/>
    <n v="3"/>
    <n v="879"/>
    <n v="0"/>
    <n v="50"/>
    <n v="2637"/>
    <n v="2687"/>
    <x v="0"/>
    <x v="0"/>
    <x v="1"/>
    <n v="44"/>
    <n v="5"/>
  </r>
  <r>
    <x v="778"/>
    <x v="57"/>
    <x v="1"/>
    <n v="2"/>
    <n v="27"/>
    <s v="Thursday"/>
    <x v="5"/>
    <x v="2"/>
    <x v="8"/>
    <s v="Chocolate Cake"/>
    <x v="1"/>
    <n v="2"/>
    <n v="688"/>
    <n v="103.2"/>
    <n v="20"/>
    <n v="1376"/>
    <n v="1292.8"/>
    <x v="4"/>
    <x v="0"/>
    <x v="0"/>
    <n v="26"/>
    <n v="5"/>
  </r>
  <r>
    <x v="779"/>
    <x v="57"/>
    <x v="1"/>
    <n v="2"/>
    <n v="27"/>
    <s v="Thursday"/>
    <x v="9"/>
    <x v="1"/>
    <x v="3"/>
    <s v="Veg Biryani"/>
    <x v="2"/>
    <n v="1"/>
    <n v="287"/>
    <n v="28.7"/>
    <n v="0"/>
    <n v="287"/>
    <n v="258.3"/>
    <x v="1"/>
    <x v="0"/>
    <x v="0"/>
    <n v="50"/>
    <n v="3"/>
  </r>
  <r>
    <x v="780"/>
    <x v="57"/>
    <x v="1"/>
    <n v="2"/>
    <n v="27"/>
    <s v="Thursday"/>
    <x v="4"/>
    <x v="6"/>
    <x v="7"/>
    <s v="Paneer Butter Masala"/>
    <x v="1"/>
    <n v="1"/>
    <n v="767"/>
    <n v="0"/>
    <n v="20"/>
    <n v="767"/>
    <n v="787"/>
    <x v="0"/>
    <x v="0"/>
    <x v="0"/>
    <n v="63"/>
    <n v="4.4000000000000004"/>
  </r>
  <r>
    <x v="781"/>
    <x v="57"/>
    <x v="1"/>
    <n v="2"/>
    <n v="27"/>
    <s v="Thursday"/>
    <x v="2"/>
    <x v="4"/>
    <x v="6"/>
    <s v="Chicken Pizza"/>
    <x v="1"/>
    <n v="1"/>
    <n v="175"/>
    <n v="8.75"/>
    <n v="30"/>
    <n v="175"/>
    <n v="196.25"/>
    <x v="1"/>
    <x v="1"/>
    <x v="1"/>
    <n v="61"/>
    <m/>
  </r>
  <r>
    <x v="782"/>
    <x v="57"/>
    <x v="1"/>
    <n v="2"/>
    <n v="27"/>
    <s v="Thursday"/>
    <x v="5"/>
    <x v="5"/>
    <x v="8"/>
    <s v="Chicken Biryani"/>
    <x v="1"/>
    <n v="2"/>
    <n v="701"/>
    <n v="175.25"/>
    <n v="30"/>
    <n v="1402"/>
    <n v="1256.75"/>
    <x v="1"/>
    <x v="0"/>
    <x v="1"/>
    <n v="38"/>
    <n v="2.6"/>
  </r>
  <r>
    <x v="783"/>
    <x v="57"/>
    <x v="1"/>
    <n v="2"/>
    <n v="27"/>
    <s v="Thursday"/>
    <x v="1"/>
    <x v="8"/>
    <x v="9"/>
    <s v="Chocolate Cake"/>
    <x v="1"/>
    <n v="1"/>
    <n v="620"/>
    <n v="0"/>
    <n v="30"/>
    <n v="620"/>
    <n v="650"/>
    <x v="0"/>
    <x v="0"/>
    <x v="0"/>
    <n v="64"/>
    <n v="3.9"/>
  </r>
  <r>
    <x v="784"/>
    <x v="57"/>
    <x v="1"/>
    <n v="2"/>
    <n v="27"/>
    <s v="Thursday"/>
    <x v="3"/>
    <x v="8"/>
    <x v="0"/>
    <s v="Chicken Momos"/>
    <x v="1"/>
    <n v="1"/>
    <n v="524"/>
    <n v="26.2"/>
    <n v="30"/>
    <n v="524"/>
    <n v="527.79999999999995"/>
    <x v="1"/>
    <x v="3"/>
    <x v="1"/>
    <n v="47"/>
    <m/>
  </r>
  <r>
    <x v="785"/>
    <x v="57"/>
    <x v="1"/>
    <n v="2"/>
    <n v="27"/>
    <s v="Thursday"/>
    <x v="2"/>
    <x v="6"/>
    <x v="9"/>
    <s v="Pasta"/>
    <x v="1"/>
    <n v="1"/>
    <n v="257"/>
    <n v="38.549999999999997"/>
    <n v="30"/>
    <n v="257"/>
    <n v="248.45"/>
    <x v="2"/>
    <x v="0"/>
    <x v="1"/>
    <n v="69"/>
    <n v="3.3"/>
  </r>
  <r>
    <x v="786"/>
    <x v="57"/>
    <x v="1"/>
    <n v="2"/>
    <n v="27"/>
    <s v="Thursday"/>
    <x v="3"/>
    <x v="13"/>
    <x v="6"/>
    <s v="Chicken Biryani"/>
    <x v="1"/>
    <n v="1"/>
    <n v="497"/>
    <n v="99.4"/>
    <n v="40"/>
    <n v="497"/>
    <n v="437.6"/>
    <x v="0"/>
    <x v="0"/>
    <x v="0"/>
    <n v="35"/>
    <n v="3.5"/>
  </r>
  <r>
    <x v="787"/>
    <x v="57"/>
    <x v="1"/>
    <n v="2"/>
    <n v="27"/>
    <s v="Thursday"/>
    <x v="1"/>
    <x v="10"/>
    <x v="0"/>
    <s v="Fried Rice"/>
    <x v="1"/>
    <n v="2"/>
    <n v="687"/>
    <n v="68.7"/>
    <n v="60"/>
    <n v="1374"/>
    <n v="1365.3"/>
    <x v="1"/>
    <x v="0"/>
    <x v="1"/>
    <n v="52"/>
    <n v="4.7"/>
  </r>
  <r>
    <x v="788"/>
    <x v="58"/>
    <x v="1"/>
    <n v="2"/>
    <n v="28"/>
    <s v="Friday"/>
    <x v="2"/>
    <x v="2"/>
    <x v="5"/>
    <s v="Veg Momos"/>
    <x v="1"/>
    <n v="3"/>
    <n v="807"/>
    <n v="121.05"/>
    <n v="40"/>
    <n v="2421"/>
    <n v="2339.9499999999998"/>
    <x v="1"/>
    <x v="0"/>
    <x v="1"/>
    <n v="64"/>
    <n v="4.0999999999999996"/>
  </r>
  <r>
    <x v="789"/>
    <x v="58"/>
    <x v="1"/>
    <n v="2"/>
    <n v="28"/>
    <s v="Friday"/>
    <x v="5"/>
    <x v="10"/>
    <x v="5"/>
    <s v="Veg Biryani"/>
    <x v="1"/>
    <n v="1"/>
    <n v="821"/>
    <n v="41.05"/>
    <n v="20"/>
    <n v="821"/>
    <n v="799.95"/>
    <x v="0"/>
    <x v="0"/>
    <x v="1"/>
    <n v="32"/>
    <n v="4.0999999999999996"/>
  </r>
  <r>
    <x v="790"/>
    <x v="58"/>
    <x v="1"/>
    <n v="2"/>
    <n v="28"/>
    <s v="Friday"/>
    <x v="1"/>
    <x v="7"/>
    <x v="5"/>
    <s v="Chicken Pizza"/>
    <x v="1"/>
    <n v="1"/>
    <n v="568"/>
    <n v="85.2"/>
    <n v="50"/>
    <n v="568"/>
    <n v="532.79999999999995"/>
    <x v="4"/>
    <x v="1"/>
    <x v="0"/>
    <n v="53"/>
    <m/>
  </r>
  <r>
    <x v="791"/>
    <x v="58"/>
    <x v="1"/>
    <n v="2"/>
    <n v="28"/>
    <s v="Friday"/>
    <x v="4"/>
    <x v="8"/>
    <x v="0"/>
    <s v="Cold Coffee"/>
    <x v="1"/>
    <n v="1"/>
    <n v="499"/>
    <n v="0"/>
    <n v="30"/>
    <n v="499"/>
    <n v="529"/>
    <x v="1"/>
    <x v="0"/>
    <x v="0"/>
    <n v="19"/>
    <n v="3.8"/>
  </r>
  <r>
    <x v="792"/>
    <x v="58"/>
    <x v="1"/>
    <n v="2"/>
    <n v="28"/>
    <s v="Friday"/>
    <x v="2"/>
    <x v="11"/>
    <x v="4"/>
    <s v="Chicken Pizza"/>
    <x v="1"/>
    <n v="1"/>
    <n v="792"/>
    <n v="198"/>
    <n v="0"/>
    <n v="792"/>
    <n v="594"/>
    <x v="0"/>
    <x v="2"/>
    <x v="1"/>
    <n v="26"/>
    <m/>
  </r>
  <r>
    <x v="793"/>
    <x v="58"/>
    <x v="1"/>
    <n v="2"/>
    <n v="28"/>
    <s v="Friday"/>
    <x v="1"/>
    <x v="11"/>
    <x v="3"/>
    <s v="Pasta"/>
    <x v="2"/>
    <n v="3"/>
    <n v="558"/>
    <n v="55.8"/>
    <n v="40"/>
    <n v="1674"/>
    <n v="1658.2"/>
    <x v="2"/>
    <x v="0"/>
    <x v="1"/>
    <n v="42"/>
    <n v="4.0999999999999996"/>
  </r>
  <r>
    <x v="794"/>
    <x v="58"/>
    <x v="1"/>
    <n v="2"/>
    <n v="28"/>
    <s v="Friday"/>
    <x v="1"/>
    <x v="12"/>
    <x v="6"/>
    <s v="Chocolate Cake"/>
    <x v="1"/>
    <n v="1"/>
    <n v="655"/>
    <n v="32.75"/>
    <n v="20"/>
    <n v="655"/>
    <n v="642.25"/>
    <x v="1"/>
    <x v="0"/>
    <x v="1"/>
    <n v="45"/>
    <n v="3.3"/>
  </r>
  <r>
    <x v="795"/>
    <x v="58"/>
    <x v="1"/>
    <n v="2"/>
    <n v="28"/>
    <s v="Friday"/>
    <x v="3"/>
    <x v="10"/>
    <x v="2"/>
    <s v="Chicken Pizza"/>
    <x v="1"/>
    <n v="2"/>
    <n v="474"/>
    <n v="71.099999999999994"/>
    <n v="20"/>
    <n v="948"/>
    <n v="896.9"/>
    <x v="1"/>
    <x v="3"/>
    <x v="0"/>
    <n v="40"/>
    <m/>
  </r>
  <r>
    <x v="796"/>
    <x v="58"/>
    <x v="1"/>
    <n v="2"/>
    <n v="28"/>
    <s v="Friday"/>
    <x v="4"/>
    <x v="10"/>
    <x v="5"/>
    <s v="Veg Momos"/>
    <x v="2"/>
    <n v="1"/>
    <n v="617"/>
    <n v="123.4"/>
    <n v="20"/>
    <n v="617"/>
    <n v="513.6"/>
    <x v="0"/>
    <x v="0"/>
    <x v="1"/>
    <n v="41"/>
    <n v="3.6"/>
  </r>
  <r>
    <x v="797"/>
    <x v="58"/>
    <x v="1"/>
    <n v="2"/>
    <n v="28"/>
    <s v="Friday"/>
    <x v="6"/>
    <x v="10"/>
    <x v="6"/>
    <s v="Fried Rice"/>
    <x v="1"/>
    <n v="1"/>
    <n v="474"/>
    <n v="47.4"/>
    <n v="30"/>
    <n v="474"/>
    <n v="456.6"/>
    <x v="1"/>
    <x v="0"/>
    <x v="0"/>
    <n v="70"/>
    <n v="4.5"/>
  </r>
  <r>
    <x v="798"/>
    <x v="58"/>
    <x v="1"/>
    <n v="2"/>
    <n v="28"/>
    <s v="Friday"/>
    <x v="4"/>
    <x v="3"/>
    <x v="4"/>
    <s v="Idli Sambar"/>
    <x v="1"/>
    <n v="1"/>
    <n v="547"/>
    <n v="136.75"/>
    <n v="40"/>
    <n v="547"/>
    <n v="450.25"/>
    <x v="0"/>
    <x v="2"/>
    <x v="0"/>
    <n v="28"/>
    <m/>
  </r>
  <r>
    <x v="799"/>
    <x v="58"/>
    <x v="1"/>
    <n v="2"/>
    <n v="28"/>
    <s v="Friday"/>
    <x v="0"/>
    <x v="13"/>
    <x v="8"/>
    <s v="Cold Coffee"/>
    <x v="1"/>
    <n v="1"/>
    <n v="706"/>
    <n v="70.599999999999994"/>
    <n v="0"/>
    <n v="706"/>
    <n v="635.4"/>
    <x v="0"/>
    <x v="0"/>
    <x v="0"/>
    <n v="61"/>
    <n v="4.3"/>
  </r>
  <r>
    <x v="800"/>
    <x v="58"/>
    <x v="1"/>
    <n v="2"/>
    <n v="28"/>
    <s v="Friday"/>
    <x v="7"/>
    <x v="12"/>
    <x v="6"/>
    <s v="Veg Pizza"/>
    <x v="1"/>
    <n v="2"/>
    <n v="357"/>
    <n v="89.25"/>
    <n v="0"/>
    <n v="714"/>
    <n v="624.75"/>
    <x v="0"/>
    <x v="0"/>
    <x v="0"/>
    <n v="51"/>
    <n v="4.5"/>
  </r>
  <r>
    <x v="801"/>
    <x v="58"/>
    <x v="1"/>
    <n v="2"/>
    <n v="28"/>
    <s v="Friday"/>
    <x v="2"/>
    <x v="10"/>
    <x v="0"/>
    <s v="Chicken Biryani"/>
    <x v="2"/>
    <n v="3"/>
    <n v="730"/>
    <n v="73"/>
    <n v="40"/>
    <n v="2190"/>
    <n v="2157"/>
    <x v="1"/>
    <x v="0"/>
    <x v="1"/>
    <n v="26"/>
    <n v="4.4000000000000004"/>
  </r>
  <r>
    <x v="802"/>
    <x v="58"/>
    <x v="1"/>
    <n v="2"/>
    <n v="28"/>
    <s v="Friday"/>
    <x v="2"/>
    <x v="1"/>
    <x v="5"/>
    <s v="Fried Rice"/>
    <x v="2"/>
    <n v="3"/>
    <n v="312"/>
    <n v="46.8"/>
    <n v="60"/>
    <n v="936"/>
    <n v="949.2"/>
    <x v="2"/>
    <x v="1"/>
    <x v="1"/>
    <n v="45"/>
    <m/>
  </r>
  <r>
    <x v="803"/>
    <x v="58"/>
    <x v="1"/>
    <n v="2"/>
    <n v="28"/>
    <s v="Friday"/>
    <x v="3"/>
    <x v="12"/>
    <x v="1"/>
    <s v="Chicken Pizza"/>
    <x v="1"/>
    <n v="2"/>
    <n v="398"/>
    <n v="39.799999999999997"/>
    <n v="70"/>
    <n v="796"/>
    <n v="826.2"/>
    <x v="1"/>
    <x v="0"/>
    <x v="0"/>
    <n v="51"/>
    <n v="5"/>
  </r>
  <r>
    <x v="804"/>
    <x v="58"/>
    <x v="1"/>
    <n v="2"/>
    <n v="28"/>
    <s v="Friday"/>
    <x v="1"/>
    <x v="6"/>
    <x v="9"/>
    <s v="Pasta"/>
    <x v="1"/>
    <n v="2"/>
    <n v="296"/>
    <n v="29.6"/>
    <n v="40"/>
    <n v="592"/>
    <n v="602.4"/>
    <x v="0"/>
    <x v="0"/>
    <x v="1"/>
    <n v="18"/>
    <n v="4.0999999999999996"/>
  </r>
  <r>
    <x v="805"/>
    <x v="58"/>
    <x v="1"/>
    <n v="2"/>
    <n v="28"/>
    <s v="Friday"/>
    <x v="4"/>
    <x v="7"/>
    <x v="7"/>
    <s v="Cold Coffee"/>
    <x v="0"/>
    <n v="1"/>
    <n v="193"/>
    <n v="48.25"/>
    <n v="50"/>
    <n v="193"/>
    <n v="194.75"/>
    <x v="0"/>
    <x v="1"/>
    <x v="1"/>
    <n v="50"/>
    <m/>
  </r>
  <r>
    <x v="806"/>
    <x v="58"/>
    <x v="1"/>
    <n v="2"/>
    <n v="28"/>
    <s v="Friday"/>
    <x v="5"/>
    <x v="1"/>
    <x v="2"/>
    <s v="Idli Sambar"/>
    <x v="1"/>
    <n v="1"/>
    <n v="775"/>
    <n v="116.25"/>
    <n v="40"/>
    <n v="775"/>
    <n v="698.75"/>
    <x v="4"/>
    <x v="0"/>
    <x v="1"/>
    <n v="48"/>
    <n v="4.2"/>
  </r>
  <r>
    <x v="807"/>
    <x v="58"/>
    <x v="1"/>
    <n v="2"/>
    <n v="28"/>
    <s v="Friday"/>
    <x v="5"/>
    <x v="2"/>
    <x v="7"/>
    <s v="Cold Coffee"/>
    <x v="1"/>
    <n v="3"/>
    <n v="683"/>
    <n v="136.6"/>
    <n v="30"/>
    <n v="2049"/>
    <n v="1942.4"/>
    <x v="1"/>
    <x v="2"/>
    <x v="0"/>
    <n v="57"/>
    <m/>
  </r>
  <r>
    <x v="808"/>
    <x v="58"/>
    <x v="1"/>
    <n v="2"/>
    <n v="28"/>
    <s v="Friday"/>
    <x v="9"/>
    <x v="7"/>
    <x v="7"/>
    <s v="Chicken Burger"/>
    <x v="1"/>
    <n v="2"/>
    <n v="582"/>
    <n v="29.1"/>
    <n v="40"/>
    <n v="1164"/>
    <n v="1174.9000000000001"/>
    <x v="1"/>
    <x v="0"/>
    <x v="1"/>
    <n v="63"/>
    <n v="4.7"/>
  </r>
  <r>
    <x v="809"/>
    <x v="58"/>
    <x v="1"/>
    <n v="2"/>
    <n v="28"/>
    <s v="Friday"/>
    <x v="4"/>
    <x v="4"/>
    <x v="3"/>
    <s v="Veg Burger"/>
    <x v="1"/>
    <n v="3"/>
    <n v="192"/>
    <n v="48"/>
    <n v="0"/>
    <n v="576"/>
    <n v="528"/>
    <x v="1"/>
    <x v="0"/>
    <x v="1"/>
    <n v="18"/>
    <n v="3.5"/>
  </r>
  <r>
    <x v="810"/>
    <x v="58"/>
    <x v="1"/>
    <n v="2"/>
    <n v="28"/>
    <s v="Friday"/>
    <x v="4"/>
    <x v="14"/>
    <x v="6"/>
    <s v="Chocolate Cake"/>
    <x v="1"/>
    <n v="2"/>
    <n v="337"/>
    <n v="33.700000000000003"/>
    <n v="50"/>
    <n v="674"/>
    <n v="690.3"/>
    <x v="0"/>
    <x v="0"/>
    <x v="1"/>
    <n v="43"/>
    <n v="3.6"/>
  </r>
  <r>
    <x v="811"/>
    <x v="58"/>
    <x v="1"/>
    <n v="2"/>
    <n v="28"/>
    <s v="Friday"/>
    <x v="5"/>
    <x v="1"/>
    <x v="1"/>
    <s v="Veg Pizza"/>
    <x v="1"/>
    <n v="1"/>
    <n v="457"/>
    <n v="91.4"/>
    <n v="40"/>
    <n v="457"/>
    <n v="405.6"/>
    <x v="1"/>
    <x v="0"/>
    <x v="0"/>
    <n v="69"/>
    <n v="3.3"/>
  </r>
  <r>
    <x v="812"/>
    <x v="59"/>
    <x v="2"/>
    <n v="3"/>
    <n v="1"/>
    <s v="Saturday"/>
    <x v="6"/>
    <x v="2"/>
    <x v="7"/>
    <s v="Chicken Pizza"/>
    <x v="1"/>
    <n v="2"/>
    <n v="886"/>
    <n v="132.9"/>
    <n v="20"/>
    <n v="1772"/>
    <n v="1659.1"/>
    <x v="1"/>
    <x v="0"/>
    <x v="1"/>
    <n v="70"/>
    <n v="4.8"/>
  </r>
  <r>
    <x v="813"/>
    <x v="59"/>
    <x v="2"/>
    <n v="3"/>
    <n v="1"/>
    <s v="Saturday"/>
    <x v="1"/>
    <x v="10"/>
    <x v="4"/>
    <s v="Veg Momos"/>
    <x v="1"/>
    <n v="1"/>
    <n v="893"/>
    <n v="44.65"/>
    <n v="20"/>
    <n v="893"/>
    <n v="868.35"/>
    <x v="0"/>
    <x v="0"/>
    <x v="1"/>
    <n v="33"/>
    <n v="4.2"/>
  </r>
  <r>
    <x v="814"/>
    <x v="59"/>
    <x v="2"/>
    <n v="3"/>
    <n v="1"/>
    <s v="Saturday"/>
    <x v="0"/>
    <x v="10"/>
    <x v="3"/>
    <s v="Masala Dosa"/>
    <x v="1"/>
    <n v="2"/>
    <n v="477"/>
    <n v="119.25"/>
    <n v="30"/>
    <n v="954"/>
    <n v="864.75"/>
    <x v="2"/>
    <x v="0"/>
    <x v="1"/>
    <n v="63"/>
    <n v="4.2"/>
  </r>
  <r>
    <x v="815"/>
    <x v="59"/>
    <x v="2"/>
    <n v="3"/>
    <n v="1"/>
    <s v="Saturday"/>
    <x v="3"/>
    <x v="11"/>
    <x v="1"/>
    <s v="Veg Burger"/>
    <x v="1"/>
    <n v="2"/>
    <n v="558"/>
    <n v="83.7"/>
    <n v="60"/>
    <n v="1116"/>
    <n v="1092.3"/>
    <x v="0"/>
    <x v="1"/>
    <x v="1"/>
    <n v="66"/>
    <m/>
  </r>
  <r>
    <x v="816"/>
    <x v="59"/>
    <x v="2"/>
    <n v="3"/>
    <n v="1"/>
    <s v="Saturday"/>
    <x v="9"/>
    <x v="4"/>
    <x v="4"/>
    <s v="Cold Coffee"/>
    <x v="1"/>
    <n v="1"/>
    <n v="198"/>
    <n v="49.5"/>
    <n v="60"/>
    <n v="198"/>
    <n v="208.5"/>
    <x v="4"/>
    <x v="0"/>
    <x v="1"/>
    <n v="60"/>
    <n v="3.6"/>
  </r>
  <r>
    <x v="817"/>
    <x v="59"/>
    <x v="2"/>
    <n v="3"/>
    <n v="1"/>
    <s v="Saturday"/>
    <x v="5"/>
    <x v="6"/>
    <x v="6"/>
    <s v="Chicken Pizza"/>
    <x v="1"/>
    <n v="3"/>
    <n v="201"/>
    <n v="10.050000000000001"/>
    <n v="60"/>
    <n v="603"/>
    <n v="652.95000000000005"/>
    <x v="1"/>
    <x v="0"/>
    <x v="0"/>
    <n v="69"/>
    <n v="3.6"/>
  </r>
  <r>
    <x v="818"/>
    <x v="59"/>
    <x v="2"/>
    <n v="3"/>
    <n v="1"/>
    <s v="Saturday"/>
    <x v="5"/>
    <x v="0"/>
    <x v="8"/>
    <s v="Masala Dosa"/>
    <x v="1"/>
    <n v="2"/>
    <n v="597"/>
    <n v="149.25"/>
    <n v="60"/>
    <n v="1194"/>
    <n v="1104.75"/>
    <x v="4"/>
    <x v="0"/>
    <x v="0"/>
    <n v="65"/>
    <n v="3.6"/>
  </r>
  <r>
    <x v="819"/>
    <x v="59"/>
    <x v="2"/>
    <n v="3"/>
    <n v="1"/>
    <s v="Saturday"/>
    <x v="0"/>
    <x v="2"/>
    <x v="3"/>
    <s v="Chicken Biryani"/>
    <x v="1"/>
    <n v="1"/>
    <n v="532"/>
    <n v="79.8"/>
    <n v="40"/>
    <n v="532"/>
    <n v="492.2"/>
    <x v="1"/>
    <x v="0"/>
    <x v="1"/>
    <n v="30"/>
    <n v="3.6"/>
  </r>
  <r>
    <x v="820"/>
    <x v="59"/>
    <x v="2"/>
    <n v="3"/>
    <n v="1"/>
    <s v="Saturday"/>
    <x v="0"/>
    <x v="14"/>
    <x v="2"/>
    <s v="Chicken Pizza"/>
    <x v="2"/>
    <n v="1"/>
    <n v="895"/>
    <n v="89.5"/>
    <n v="30"/>
    <n v="895"/>
    <n v="835.5"/>
    <x v="0"/>
    <x v="0"/>
    <x v="1"/>
    <n v="65"/>
    <n v="5"/>
  </r>
  <r>
    <x v="821"/>
    <x v="59"/>
    <x v="2"/>
    <n v="3"/>
    <n v="1"/>
    <s v="Saturday"/>
    <x v="1"/>
    <x v="13"/>
    <x v="4"/>
    <s v="French Fries"/>
    <x v="1"/>
    <n v="3"/>
    <n v="231"/>
    <n v="46.2"/>
    <n v="0"/>
    <n v="693"/>
    <n v="646.79999999999995"/>
    <x v="2"/>
    <x v="2"/>
    <x v="1"/>
    <n v="29"/>
    <m/>
  </r>
  <r>
    <x v="822"/>
    <x v="59"/>
    <x v="2"/>
    <n v="3"/>
    <n v="1"/>
    <s v="Saturday"/>
    <x v="6"/>
    <x v="8"/>
    <x v="7"/>
    <s v="Veg Momos"/>
    <x v="1"/>
    <n v="1"/>
    <n v="845"/>
    <n v="0"/>
    <n v="0"/>
    <n v="845"/>
    <n v="845"/>
    <x v="0"/>
    <x v="1"/>
    <x v="0"/>
    <n v="53"/>
    <m/>
  </r>
  <r>
    <x v="823"/>
    <x v="60"/>
    <x v="2"/>
    <n v="3"/>
    <n v="2"/>
    <s v="Sunday"/>
    <x v="4"/>
    <x v="7"/>
    <x v="2"/>
    <s v="Veg Biryani"/>
    <x v="1"/>
    <n v="2"/>
    <n v="167"/>
    <n v="8.35"/>
    <n v="40"/>
    <n v="334"/>
    <n v="365.65"/>
    <x v="2"/>
    <x v="0"/>
    <x v="0"/>
    <n v="65"/>
    <n v="4.5"/>
  </r>
  <r>
    <x v="824"/>
    <x v="60"/>
    <x v="2"/>
    <n v="3"/>
    <n v="2"/>
    <s v="Sunday"/>
    <x v="8"/>
    <x v="12"/>
    <x v="8"/>
    <s v="Fried Rice"/>
    <x v="1"/>
    <n v="2"/>
    <n v="489"/>
    <n v="0"/>
    <n v="20"/>
    <n v="978"/>
    <n v="998"/>
    <x v="1"/>
    <x v="0"/>
    <x v="1"/>
    <n v="34"/>
    <n v="3.6"/>
  </r>
  <r>
    <x v="825"/>
    <x v="60"/>
    <x v="2"/>
    <n v="3"/>
    <n v="2"/>
    <s v="Sunday"/>
    <x v="7"/>
    <x v="2"/>
    <x v="6"/>
    <s v="Idli Sambar"/>
    <x v="1"/>
    <n v="1"/>
    <n v="512"/>
    <n v="102.4"/>
    <n v="20"/>
    <n v="512"/>
    <n v="429.6"/>
    <x v="2"/>
    <x v="0"/>
    <x v="1"/>
    <n v="53"/>
    <n v="5"/>
  </r>
  <r>
    <x v="826"/>
    <x v="60"/>
    <x v="2"/>
    <n v="3"/>
    <n v="2"/>
    <s v="Sunday"/>
    <x v="2"/>
    <x v="12"/>
    <x v="8"/>
    <s v="Veg Biryani"/>
    <x v="1"/>
    <n v="1"/>
    <n v="642"/>
    <n v="0"/>
    <n v="20"/>
    <n v="642"/>
    <n v="662"/>
    <x v="1"/>
    <x v="0"/>
    <x v="0"/>
    <n v="41"/>
    <n v="5"/>
  </r>
  <r>
    <x v="827"/>
    <x v="60"/>
    <x v="2"/>
    <n v="3"/>
    <n v="2"/>
    <s v="Sunday"/>
    <x v="4"/>
    <x v="4"/>
    <x v="6"/>
    <s v="Veg Pizza"/>
    <x v="2"/>
    <n v="1"/>
    <n v="528"/>
    <n v="105.6"/>
    <n v="40"/>
    <n v="528"/>
    <n v="462.4"/>
    <x v="1"/>
    <x v="1"/>
    <x v="0"/>
    <n v="37"/>
    <m/>
  </r>
  <r>
    <x v="828"/>
    <x v="60"/>
    <x v="2"/>
    <n v="3"/>
    <n v="2"/>
    <s v="Sunday"/>
    <x v="6"/>
    <x v="0"/>
    <x v="3"/>
    <s v="Veg Pizza"/>
    <x v="1"/>
    <n v="3"/>
    <n v="495"/>
    <n v="74.25"/>
    <n v="0"/>
    <n v="1485"/>
    <n v="1410.75"/>
    <x v="1"/>
    <x v="0"/>
    <x v="1"/>
    <n v="51"/>
    <n v="4.9000000000000004"/>
  </r>
  <r>
    <x v="829"/>
    <x v="60"/>
    <x v="2"/>
    <n v="3"/>
    <n v="2"/>
    <s v="Sunday"/>
    <x v="5"/>
    <x v="0"/>
    <x v="9"/>
    <s v="Chicken Pizza"/>
    <x v="1"/>
    <n v="3"/>
    <n v="376"/>
    <n v="56.4"/>
    <n v="60"/>
    <n v="1128"/>
    <n v="1131.5999999999999"/>
    <x v="1"/>
    <x v="0"/>
    <x v="0"/>
    <n v="68"/>
    <n v="4.7"/>
  </r>
  <r>
    <x v="830"/>
    <x v="60"/>
    <x v="2"/>
    <n v="3"/>
    <n v="2"/>
    <s v="Sunday"/>
    <x v="1"/>
    <x v="3"/>
    <x v="8"/>
    <s v="Idli Sambar"/>
    <x v="1"/>
    <n v="3"/>
    <n v="758"/>
    <n v="75.8"/>
    <n v="30"/>
    <n v="2274"/>
    <n v="2228.1999999999998"/>
    <x v="0"/>
    <x v="2"/>
    <x v="1"/>
    <n v="55"/>
    <m/>
  </r>
  <r>
    <x v="831"/>
    <x v="60"/>
    <x v="2"/>
    <n v="3"/>
    <n v="2"/>
    <s v="Sunday"/>
    <x v="4"/>
    <x v="0"/>
    <x v="8"/>
    <s v="Chicken Momos"/>
    <x v="1"/>
    <n v="1"/>
    <n v="260"/>
    <n v="52"/>
    <n v="40"/>
    <n v="260"/>
    <n v="248"/>
    <x v="1"/>
    <x v="0"/>
    <x v="1"/>
    <n v="44"/>
    <n v="5"/>
  </r>
  <r>
    <x v="832"/>
    <x v="60"/>
    <x v="2"/>
    <n v="3"/>
    <n v="2"/>
    <s v="Sunday"/>
    <x v="9"/>
    <x v="3"/>
    <x v="5"/>
    <s v="Cold Coffee"/>
    <x v="1"/>
    <n v="3"/>
    <n v="667"/>
    <n v="166.75"/>
    <n v="20"/>
    <n v="2001"/>
    <n v="1854.25"/>
    <x v="1"/>
    <x v="0"/>
    <x v="1"/>
    <n v="33"/>
    <n v="3.5"/>
  </r>
  <r>
    <x v="833"/>
    <x v="60"/>
    <x v="2"/>
    <n v="3"/>
    <n v="2"/>
    <s v="Sunday"/>
    <x v="2"/>
    <x v="3"/>
    <x v="3"/>
    <s v="Veg Burger"/>
    <x v="2"/>
    <n v="2"/>
    <n v="872"/>
    <n v="130.80000000000001"/>
    <n v="70"/>
    <n v="1744"/>
    <n v="1683.2"/>
    <x v="4"/>
    <x v="0"/>
    <x v="1"/>
    <n v="46"/>
    <n v="4.7"/>
  </r>
  <r>
    <x v="834"/>
    <x v="60"/>
    <x v="2"/>
    <n v="3"/>
    <n v="2"/>
    <s v="Sunday"/>
    <x v="1"/>
    <x v="9"/>
    <x v="6"/>
    <s v="Idli Sambar"/>
    <x v="1"/>
    <n v="2"/>
    <n v="463"/>
    <n v="46.3"/>
    <n v="40"/>
    <n v="926"/>
    <n v="919.7"/>
    <x v="2"/>
    <x v="0"/>
    <x v="1"/>
    <n v="49"/>
    <n v="3.9"/>
  </r>
  <r>
    <x v="835"/>
    <x v="60"/>
    <x v="2"/>
    <n v="3"/>
    <n v="2"/>
    <s v="Sunday"/>
    <x v="9"/>
    <x v="10"/>
    <x v="2"/>
    <s v="Chicken Burger"/>
    <x v="1"/>
    <n v="3"/>
    <n v="392"/>
    <n v="39.200000000000003"/>
    <n v="40"/>
    <n v="1176"/>
    <n v="1176.8"/>
    <x v="3"/>
    <x v="3"/>
    <x v="1"/>
    <n v="52"/>
    <m/>
  </r>
  <r>
    <x v="836"/>
    <x v="60"/>
    <x v="2"/>
    <n v="3"/>
    <n v="2"/>
    <s v="Sunday"/>
    <x v="3"/>
    <x v="13"/>
    <x v="7"/>
    <s v="Chicken Burger"/>
    <x v="1"/>
    <n v="3"/>
    <n v="547"/>
    <n v="27.35"/>
    <n v="30"/>
    <n v="1641"/>
    <n v="1643.65"/>
    <x v="2"/>
    <x v="2"/>
    <x v="1"/>
    <n v="61"/>
    <m/>
  </r>
  <r>
    <x v="837"/>
    <x v="60"/>
    <x v="2"/>
    <n v="3"/>
    <n v="2"/>
    <s v="Sunday"/>
    <x v="3"/>
    <x v="0"/>
    <x v="2"/>
    <s v="Paneer Butter Masala"/>
    <x v="1"/>
    <n v="1"/>
    <n v="308"/>
    <n v="77"/>
    <n v="0"/>
    <n v="308"/>
    <n v="231"/>
    <x v="1"/>
    <x v="2"/>
    <x v="0"/>
    <n v="51"/>
    <m/>
  </r>
  <r>
    <x v="838"/>
    <x v="60"/>
    <x v="2"/>
    <n v="3"/>
    <n v="2"/>
    <s v="Sunday"/>
    <x v="4"/>
    <x v="6"/>
    <x v="3"/>
    <s v="Chocolate Cake"/>
    <x v="1"/>
    <n v="3"/>
    <n v="203"/>
    <n v="30.45"/>
    <n v="40"/>
    <n v="609"/>
    <n v="618.54999999999995"/>
    <x v="0"/>
    <x v="0"/>
    <x v="1"/>
    <n v="65"/>
    <n v="4.2"/>
  </r>
  <r>
    <x v="839"/>
    <x v="60"/>
    <x v="2"/>
    <n v="3"/>
    <n v="2"/>
    <s v="Sunday"/>
    <x v="1"/>
    <x v="10"/>
    <x v="8"/>
    <s v="Veg Pizza"/>
    <x v="1"/>
    <n v="2"/>
    <n v="577"/>
    <n v="86.55"/>
    <n v="30"/>
    <n v="1154"/>
    <n v="1097.45"/>
    <x v="2"/>
    <x v="0"/>
    <x v="1"/>
    <n v="58"/>
    <n v="2.5"/>
  </r>
  <r>
    <x v="840"/>
    <x v="60"/>
    <x v="2"/>
    <n v="3"/>
    <n v="2"/>
    <s v="Sunday"/>
    <x v="9"/>
    <x v="12"/>
    <x v="4"/>
    <s v="Cold Coffee"/>
    <x v="1"/>
    <n v="1"/>
    <n v="704"/>
    <n v="70.400000000000006"/>
    <n v="60"/>
    <n v="704"/>
    <n v="693.6"/>
    <x v="2"/>
    <x v="2"/>
    <x v="0"/>
    <n v="26"/>
    <m/>
  </r>
  <r>
    <x v="841"/>
    <x v="61"/>
    <x v="2"/>
    <n v="3"/>
    <n v="3"/>
    <s v="Monday"/>
    <x v="9"/>
    <x v="11"/>
    <x v="7"/>
    <s v="French Fries"/>
    <x v="1"/>
    <n v="1"/>
    <n v="625"/>
    <n v="125"/>
    <n v="30"/>
    <n v="625"/>
    <n v="530"/>
    <x v="1"/>
    <x v="0"/>
    <x v="0"/>
    <n v="34"/>
    <n v="4.3"/>
  </r>
  <r>
    <x v="842"/>
    <x v="61"/>
    <x v="2"/>
    <n v="3"/>
    <n v="3"/>
    <s v="Monday"/>
    <x v="4"/>
    <x v="11"/>
    <x v="1"/>
    <s v="Chicken Momos"/>
    <x v="3"/>
    <n v="2"/>
    <n v="801"/>
    <n v="120.15"/>
    <n v="50"/>
    <n v="1602"/>
    <n v="1531.85"/>
    <x v="2"/>
    <x v="0"/>
    <x v="1"/>
    <n v="66"/>
    <n v="4.4000000000000004"/>
  </r>
  <r>
    <x v="843"/>
    <x v="61"/>
    <x v="2"/>
    <n v="3"/>
    <n v="3"/>
    <s v="Monday"/>
    <x v="2"/>
    <x v="11"/>
    <x v="2"/>
    <s v="Fried Rice"/>
    <x v="0"/>
    <n v="3"/>
    <n v="379"/>
    <n v="37.9"/>
    <n v="40"/>
    <n v="1137"/>
    <n v="1139.0999999999999"/>
    <x v="2"/>
    <x v="0"/>
    <x v="1"/>
    <n v="45"/>
    <n v="3.7"/>
  </r>
  <r>
    <x v="844"/>
    <x v="61"/>
    <x v="2"/>
    <n v="3"/>
    <n v="3"/>
    <s v="Monday"/>
    <x v="4"/>
    <x v="5"/>
    <x v="6"/>
    <s v="Chocolate Cake"/>
    <x v="0"/>
    <n v="2"/>
    <n v="663"/>
    <n v="99.45"/>
    <n v="0"/>
    <n v="1326"/>
    <n v="1226.55"/>
    <x v="0"/>
    <x v="2"/>
    <x v="1"/>
    <n v="41"/>
    <m/>
  </r>
  <r>
    <x v="845"/>
    <x v="61"/>
    <x v="2"/>
    <n v="3"/>
    <n v="3"/>
    <s v="Monday"/>
    <x v="5"/>
    <x v="9"/>
    <x v="5"/>
    <s v="Veg Biryani"/>
    <x v="1"/>
    <n v="3"/>
    <n v="861"/>
    <n v="86.1"/>
    <n v="20"/>
    <n v="2583"/>
    <n v="2516.9"/>
    <x v="1"/>
    <x v="0"/>
    <x v="0"/>
    <n v="34"/>
    <n v="4.4000000000000004"/>
  </r>
  <r>
    <x v="846"/>
    <x v="61"/>
    <x v="2"/>
    <n v="3"/>
    <n v="3"/>
    <s v="Monday"/>
    <x v="4"/>
    <x v="3"/>
    <x v="7"/>
    <s v="Veg Pizza"/>
    <x v="2"/>
    <n v="1"/>
    <n v="314"/>
    <n v="78.5"/>
    <n v="20"/>
    <n v="314"/>
    <n v="255.5"/>
    <x v="4"/>
    <x v="0"/>
    <x v="1"/>
    <n v="59"/>
    <n v="4.9000000000000004"/>
  </r>
  <r>
    <x v="847"/>
    <x v="61"/>
    <x v="2"/>
    <n v="3"/>
    <n v="3"/>
    <s v="Monday"/>
    <x v="9"/>
    <x v="5"/>
    <x v="3"/>
    <s v="French Fries"/>
    <x v="1"/>
    <n v="1"/>
    <n v="154"/>
    <n v="38.5"/>
    <n v="40"/>
    <n v="154"/>
    <n v="155.5"/>
    <x v="1"/>
    <x v="0"/>
    <x v="1"/>
    <n v="32"/>
    <n v="5"/>
  </r>
  <r>
    <x v="848"/>
    <x v="61"/>
    <x v="2"/>
    <n v="3"/>
    <n v="3"/>
    <s v="Monday"/>
    <x v="3"/>
    <x v="3"/>
    <x v="7"/>
    <s v="Veg Momos"/>
    <x v="1"/>
    <n v="1"/>
    <n v="856"/>
    <n v="171.2"/>
    <n v="40"/>
    <n v="856"/>
    <n v="724.8"/>
    <x v="2"/>
    <x v="0"/>
    <x v="0"/>
    <n v="34"/>
    <n v="4.8"/>
  </r>
  <r>
    <x v="849"/>
    <x v="61"/>
    <x v="2"/>
    <n v="3"/>
    <n v="3"/>
    <s v="Monday"/>
    <x v="3"/>
    <x v="10"/>
    <x v="8"/>
    <s v="Chicken Momos"/>
    <x v="2"/>
    <n v="2"/>
    <n v="796"/>
    <n v="79.599999999999994"/>
    <n v="0"/>
    <n v="1592"/>
    <n v="1512.4"/>
    <x v="2"/>
    <x v="0"/>
    <x v="0"/>
    <n v="23"/>
    <n v="4.8"/>
  </r>
  <r>
    <x v="850"/>
    <x v="61"/>
    <x v="2"/>
    <n v="3"/>
    <n v="3"/>
    <s v="Monday"/>
    <x v="1"/>
    <x v="14"/>
    <x v="2"/>
    <s v="Paneer Butter Masala"/>
    <x v="3"/>
    <n v="1"/>
    <n v="206"/>
    <n v="20.6"/>
    <n v="50"/>
    <n v="206"/>
    <n v="235.4"/>
    <x v="4"/>
    <x v="0"/>
    <x v="1"/>
    <n v="21"/>
    <n v="4.8"/>
  </r>
  <r>
    <x v="851"/>
    <x v="61"/>
    <x v="2"/>
    <n v="3"/>
    <n v="3"/>
    <s v="Monday"/>
    <x v="9"/>
    <x v="7"/>
    <x v="9"/>
    <s v="Veg Burger"/>
    <x v="2"/>
    <n v="1"/>
    <n v="883"/>
    <n v="132.44999999999999"/>
    <n v="0"/>
    <n v="883"/>
    <n v="750.55"/>
    <x v="1"/>
    <x v="0"/>
    <x v="0"/>
    <n v="22"/>
    <n v="4.2"/>
  </r>
  <r>
    <x v="852"/>
    <x v="61"/>
    <x v="2"/>
    <n v="3"/>
    <n v="3"/>
    <s v="Monday"/>
    <x v="1"/>
    <x v="6"/>
    <x v="1"/>
    <s v="Veg Momos"/>
    <x v="1"/>
    <n v="2"/>
    <n v="227"/>
    <n v="34.049999999999997"/>
    <n v="30"/>
    <n v="454"/>
    <n v="449.95"/>
    <x v="1"/>
    <x v="0"/>
    <x v="0"/>
    <n v="48"/>
    <n v="3.2"/>
  </r>
  <r>
    <x v="853"/>
    <x v="61"/>
    <x v="2"/>
    <n v="3"/>
    <n v="3"/>
    <s v="Monday"/>
    <x v="1"/>
    <x v="8"/>
    <x v="1"/>
    <s v="Masala Dosa"/>
    <x v="1"/>
    <n v="1"/>
    <n v="396"/>
    <n v="39.6"/>
    <n v="0"/>
    <n v="396"/>
    <n v="356.4"/>
    <x v="2"/>
    <x v="0"/>
    <x v="0"/>
    <n v="31"/>
    <n v="3.6"/>
  </r>
  <r>
    <x v="854"/>
    <x v="61"/>
    <x v="2"/>
    <n v="3"/>
    <n v="3"/>
    <s v="Monday"/>
    <x v="5"/>
    <x v="10"/>
    <x v="6"/>
    <s v="Chicken Momos"/>
    <x v="2"/>
    <n v="2"/>
    <n v="158"/>
    <n v="15.8"/>
    <n v="20"/>
    <n v="316"/>
    <n v="320.2"/>
    <x v="2"/>
    <x v="0"/>
    <x v="1"/>
    <n v="68"/>
    <n v="3.6"/>
  </r>
  <r>
    <x v="855"/>
    <x v="61"/>
    <x v="2"/>
    <n v="3"/>
    <n v="3"/>
    <s v="Monday"/>
    <x v="3"/>
    <x v="3"/>
    <x v="7"/>
    <s v="Cold Coffee"/>
    <x v="1"/>
    <n v="1"/>
    <n v="299"/>
    <n v="74.75"/>
    <n v="50"/>
    <n v="299"/>
    <n v="274.25"/>
    <x v="1"/>
    <x v="0"/>
    <x v="1"/>
    <n v="59"/>
    <n v="4"/>
  </r>
  <r>
    <x v="856"/>
    <x v="61"/>
    <x v="2"/>
    <n v="3"/>
    <n v="3"/>
    <s v="Monday"/>
    <x v="9"/>
    <x v="12"/>
    <x v="1"/>
    <s v="Veg Pizza"/>
    <x v="1"/>
    <n v="2"/>
    <n v="338"/>
    <n v="0"/>
    <n v="30"/>
    <n v="676"/>
    <n v="706"/>
    <x v="1"/>
    <x v="2"/>
    <x v="1"/>
    <n v="55"/>
    <m/>
  </r>
  <r>
    <x v="857"/>
    <x v="61"/>
    <x v="2"/>
    <n v="3"/>
    <n v="3"/>
    <s v="Monday"/>
    <x v="5"/>
    <x v="4"/>
    <x v="1"/>
    <s v="Paneer Butter Masala"/>
    <x v="2"/>
    <n v="1"/>
    <n v="542"/>
    <n v="0"/>
    <n v="60"/>
    <n v="542"/>
    <n v="602"/>
    <x v="1"/>
    <x v="0"/>
    <x v="0"/>
    <n v="36"/>
    <n v="4.3"/>
  </r>
  <r>
    <x v="858"/>
    <x v="61"/>
    <x v="2"/>
    <n v="3"/>
    <n v="3"/>
    <s v="Monday"/>
    <x v="0"/>
    <x v="4"/>
    <x v="2"/>
    <s v="Chicken Burger"/>
    <x v="2"/>
    <n v="1"/>
    <n v="334"/>
    <n v="33.4"/>
    <n v="0"/>
    <n v="334"/>
    <n v="300.60000000000002"/>
    <x v="1"/>
    <x v="0"/>
    <x v="0"/>
    <n v="66"/>
    <n v="3.7"/>
  </r>
  <r>
    <x v="859"/>
    <x v="62"/>
    <x v="2"/>
    <n v="3"/>
    <n v="4"/>
    <s v="Tuesday"/>
    <x v="2"/>
    <x v="7"/>
    <x v="3"/>
    <s v="Fried Rice"/>
    <x v="1"/>
    <n v="2"/>
    <n v="890"/>
    <n v="133.5"/>
    <n v="0"/>
    <n v="1780"/>
    <n v="1646.5"/>
    <x v="0"/>
    <x v="0"/>
    <x v="1"/>
    <n v="26"/>
    <n v="4"/>
  </r>
  <r>
    <x v="860"/>
    <x v="62"/>
    <x v="2"/>
    <n v="3"/>
    <n v="4"/>
    <s v="Tuesday"/>
    <x v="9"/>
    <x v="2"/>
    <x v="2"/>
    <s v="Masala Dosa"/>
    <x v="1"/>
    <n v="2"/>
    <n v="391"/>
    <n v="97.75"/>
    <n v="30"/>
    <n v="782"/>
    <n v="714.25"/>
    <x v="0"/>
    <x v="0"/>
    <x v="0"/>
    <n v="58"/>
    <n v="4.5"/>
  </r>
  <r>
    <x v="861"/>
    <x v="62"/>
    <x v="2"/>
    <n v="3"/>
    <n v="4"/>
    <s v="Tuesday"/>
    <x v="3"/>
    <x v="8"/>
    <x v="3"/>
    <s v="Chocolate Cake"/>
    <x v="1"/>
    <n v="3"/>
    <n v="187"/>
    <n v="37.4"/>
    <n v="60"/>
    <n v="561"/>
    <n v="583.6"/>
    <x v="2"/>
    <x v="0"/>
    <x v="1"/>
    <n v="38"/>
    <n v="3.9"/>
  </r>
  <r>
    <x v="862"/>
    <x v="62"/>
    <x v="2"/>
    <n v="3"/>
    <n v="4"/>
    <s v="Tuesday"/>
    <x v="2"/>
    <x v="0"/>
    <x v="7"/>
    <s v="Chicken Pizza"/>
    <x v="1"/>
    <n v="1"/>
    <n v="592"/>
    <n v="88.8"/>
    <n v="0"/>
    <n v="592"/>
    <n v="503.2"/>
    <x v="1"/>
    <x v="0"/>
    <x v="0"/>
    <n v="53"/>
    <n v="3.4"/>
  </r>
  <r>
    <x v="863"/>
    <x v="62"/>
    <x v="2"/>
    <n v="3"/>
    <n v="4"/>
    <s v="Tuesday"/>
    <x v="3"/>
    <x v="10"/>
    <x v="5"/>
    <s v="Chicken Biryani"/>
    <x v="1"/>
    <n v="1"/>
    <n v="452"/>
    <n v="45.2"/>
    <n v="40"/>
    <n v="452"/>
    <n v="446.8"/>
    <x v="2"/>
    <x v="2"/>
    <x v="1"/>
    <n v="69"/>
    <m/>
  </r>
  <r>
    <x v="864"/>
    <x v="62"/>
    <x v="2"/>
    <n v="3"/>
    <n v="4"/>
    <s v="Tuesday"/>
    <x v="1"/>
    <x v="3"/>
    <x v="4"/>
    <s v="Masala Dosa"/>
    <x v="2"/>
    <n v="1"/>
    <n v="856"/>
    <n v="214"/>
    <n v="40"/>
    <n v="856"/>
    <n v="682"/>
    <x v="2"/>
    <x v="0"/>
    <x v="0"/>
    <n v="62"/>
    <n v="4.5999999999999996"/>
  </r>
  <r>
    <x v="865"/>
    <x v="62"/>
    <x v="2"/>
    <n v="3"/>
    <n v="4"/>
    <s v="Tuesday"/>
    <x v="4"/>
    <x v="6"/>
    <x v="3"/>
    <s v="Cold Coffee"/>
    <x v="1"/>
    <n v="1"/>
    <n v="413"/>
    <n v="103.25"/>
    <n v="0"/>
    <n v="413"/>
    <n v="309.75"/>
    <x v="2"/>
    <x v="0"/>
    <x v="1"/>
    <n v="43"/>
    <n v="4.0999999999999996"/>
  </r>
  <r>
    <x v="866"/>
    <x v="62"/>
    <x v="2"/>
    <n v="3"/>
    <n v="4"/>
    <s v="Tuesday"/>
    <x v="8"/>
    <x v="2"/>
    <x v="4"/>
    <s v="French Fries"/>
    <x v="1"/>
    <n v="1"/>
    <n v="761"/>
    <n v="114.15"/>
    <n v="20"/>
    <n v="761"/>
    <n v="666.85"/>
    <x v="3"/>
    <x v="0"/>
    <x v="0"/>
    <n v="38"/>
    <n v="4"/>
  </r>
  <r>
    <x v="867"/>
    <x v="62"/>
    <x v="2"/>
    <n v="3"/>
    <n v="4"/>
    <s v="Tuesday"/>
    <x v="3"/>
    <x v="13"/>
    <x v="8"/>
    <s v="Cold Coffee"/>
    <x v="0"/>
    <n v="3"/>
    <n v="367"/>
    <n v="73.400000000000006"/>
    <n v="30"/>
    <n v="1101"/>
    <n v="1057.5999999999999"/>
    <x v="2"/>
    <x v="0"/>
    <x v="1"/>
    <n v="62"/>
    <n v="4.3"/>
  </r>
  <r>
    <x v="868"/>
    <x v="62"/>
    <x v="2"/>
    <n v="3"/>
    <n v="4"/>
    <s v="Tuesday"/>
    <x v="0"/>
    <x v="1"/>
    <x v="2"/>
    <s v="Chocolate Cake"/>
    <x v="2"/>
    <n v="3"/>
    <n v="806"/>
    <n v="80.599999999999994"/>
    <n v="30"/>
    <n v="2418"/>
    <n v="2367.4"/>
    <x v="1"/>
    <x v="0"/>
    <x v="1"/>
    <n v="42"/>
    <n v="3.2"/>
  </r>
  <r>
    <x v="869"/>
    <x v="62"/>
    <x v="2"/>
    <n v="3"/>
    <n v="4"/>
    <s v="Tuesday"/>
    <x v="6"/>
    <x v="6"/>
    <x v="4"/>
    <s v="Chicken Biryani"/>
    <x v="1"/>
    <n v="1"/>
    <n v="679"/>
    <n v="33.950000000000003"/>
    <n v="50"/>
    <n v="679"/>
    <n v="695.05"/>
    <x v="0"/>
    <x v="0"/>
    <x v="1"/>
    <n v="21"/>
    <n v="3.9"/>
  </r>
  <r>
    <x v="870"/>
    <x v="62"/>
    <x v="2"/>
    <n v="3"/>
    <n v="4"/>
    <s v="Tuesday"/>
    <x v="0"/>
    <x v="3"/>
    <x v="3"/>
    <s v="Veg Biryani"/>
    <x v="1"/>
    <n v="1"/>
    <n v="187"/>
    <n v="18.7"/>
    <n v="30"/>
    <n v="187"/>
    <n v="198.3"/>
    <x v="1"/>
    <x v="0"/>
    <x v="1"/>
    <n v="58"/>
    <n v="4.5999999999999996"/>
  </r>
  <r>
    <x v="871"/>
    <x v="62"/>
    <x v="2"/>
    <n v="3"/>
    <n v="4"/>
    <s v="Tuesday"/>
    <x v="2"/>
    <x v="11"/>
    <x v="6"/>
    <s v="Masala Dosa"/>
    <x v="1"/>
    <n v="1"/>
    <n v="217"/>
    <n v="10.85"/>
    <n v="50"/>
    <n v="217"/>
    <n v="256.14999999999998"/>
    <x v="4"/>
    <x v="0"/>
    <x v="1"/>
    <n v="56"/>
    <n v="5"/>
  </r>
  <r>
    <x v="872"/>
    <x v="62"/>
    <x v="2"/>
    <n v="3"/>
    <n v="4"/>
    <s v="Tuesday"/>
    <x v="3"/>
    <x v="1"/>
    <x v="3"/>
    <s v="Chocolate Cake"/>
    <x v="0"/>
    <n v="2"/>
    <n v="189"/>
    <n v="18.899999999999999"/>
    <n v="20"/>
    <n v="378"/>
    <n v="379.1"/>
    <x v="1"/>
    <x v="0"/>
    <x v="1"/>
    <n v="64"/>
    <n v="3.4"/>
  </r>
  <r>
    <x v="873"/>
    <x v="62"/>
    <x v="2"/>
    <n v="3"/>
    <n v="4"/>
    <s v="Tuesday"/>
    <x v="1"/>
    <x v="6"/>
    <x v="2"/>
    <s v="Veg Biryani"/>
    <x v="1"/>
    <n v="1"/>
    <n v="384"/>
    <n v="19.2"/>
    <n v="30"/>
    <n v="384"/>
    <n v="394.8"/>
    <x v="1"/>
    <x v="0"/>
    <x v="0"/>
    <n v="25"/>
    <n v="3.2"/>
  </r>
  <r>
    <x v="874"/>
    <x v="62"/>
    <x v="2"/>
    <n v="3"/>
    <n v="4"/>
    <s v="Tuesday"/>
    <x v="3"/>
    <x v="6"/>
    <x v="4"/>
    <s v="French Fries"/>
    <x v="1"/>
    <n v="1"/>
    <n v="274"/>
    <n v="41.1"/>
    <n v="0"/>
    <n v="274"/>
    <n v="232.9"/>
    <x v="2"/>
    <x v="3"/>
    <x v="1"/>
    <n v="48"/>
    <m/>
  </r>
  <r>
    <x v="875"/>
    <x v="62"/>
    <x v="2"/>
    <n v="3"/>
    <n v="4"/>
    <s v="Tuesday"/>
    <x v="3"/>
    <x v="4"/>
    <x v="4"/>
    <s v="Veg Burger"/>
    <x v="1"/>
    <n v="2"/>
    <n v="385"/>
    <n v="0"/>
    <n v="50"/>
    <n v="770"/>
    <n v="820"/>
    <x v="0"/>
    <x v="0"/>
    <x v="1"/>
    <n v="52"/>
    <n v="3.7"/>
  </r>
  <r>
    <x v="876"/>
    <x v="62"/>
    <x v="2"/>
    <n v="3"/>
    <n v="4"/>
    <s v="Tuesday"/>
    <x v="5"/>
    <x v="9"/>
    <x v="1"/>
    <s v="Idli Sambar"/>
    <x v="3"/>
    <n v="1"/>
    <n v="742"/>
    <n v="111.3"/>
    <n v="50"/>
    <n v="742"/>
    <n v="680.7"/>
    <x v="1"/>
    <x v="0"/>
    <x v="0"/>
    <n v="38"/>
    <n v="4.0999999999999996"/>
  </r>
  <r>
    <x v="877"/>
    <x v="62"/>
    <x v="2"/>
    <n v="3"/>
    <n v="4"/>
    <s v="Tuesday"/>
    <x v="0"/>
    <x v="9"/>
    <x v="7"/>
    <s v="Masala Dosa"/>
    <x v="1"/>
    <n v="3"/>
    <n v="225"/>
    <n v="33.75"/>
    <n v="30"/>
    <n v="675"/>
    <n v="671.25"/>
    <x v="1"/>
    <x v="0"/>
    <x v="1"/>
    <n v="66"/>
    <n v="4.4000000000000004"/>
  </r>
  <r>
    <x v="878"/>
    <x v="63"/>
    <x v="2"/>
    <n v="3"/>
    <n v="5"/>
    <s v="Wednesday"/>
    <x v="4"/>
    <x v="4"/>
    <x v="9"/>
    <s v="French Fries"/>
    <x v="2"/>
    <n v="1"/>
    <n v="804"/>
    <n v="160.80000000000001"/>
    <n v="40"/>
    <n v="804"/>
    <n v="683.2"/>
    <x v="1"/>
    <x v="3"/>
    <x v="0"/>
    <n v="43"/>
    <m/>
  </r>
  <r>
    <x v="879"/>
    <x v="63"/>
    <x v="2"/>
    <n v="3"/>
    <n v="5"/>
    <s v="Wednesday"/>
    <x v="4"/>
    <x v="3"/>
    <x v="3"/>
    <s v="Chocolate Cake"/>
    <x v="1"/>
    <n v="2"/>
    <n v="412"/>
    <n v="103"/>
    <n v="0"/>
    <n v="824"/>
    <n v="721"/>
    <x v="1"/>
    <x v="0"/>
    <x v="1"/>
    <n v="28"/>
    <n v="4.5999999999999996"/>
  </r>
  <r>
    <x v="880"/>
    <x v="63"/>
    <x v="2"/>
    <n v="3"/>
    <n v="5"/>
    <s v="Wednesday"/>
    <x v="2"/>
    <x v="11"/>
    <x v="1"/>
    <s v="Veg Momos"/>
    <x v="1"/>
    <n v="2"/>
    <n v="404"/>
    <n v="40.4"/>
    <n v="40"/>
    <n v="808"/>
    <n v="807.6"/>
    <x v="1"/>
    <x v="0"/>
    <x v="0"/>
    <n v="52"/>
    <n v="3.6"/>
  </r>
  <r>
    <x v="881"/>
    <x v="63"/>
    <x v="2"/>
    <n v="3"/>
    <n v="5"/>
    <s v="Wednesday"/>
    <x v="9"/>
    <x v="13"/>
    <x v="1"/>
    <s v="Fried Rice"/>
    <x v="3"/>
    <n v="1"/>
    <n v="597"/>
    <n v="59.7"/>
    <n v="60"/>
    <n v="597"/>
    <n v="597.29999999999995"/>
    <x v="1"/>
    <x v="0"/>
    <x v="0"/>
    <n v="52"/>
    <n v="3.8"/>
  </r>
  <r>
    <x v="882"/>
    <x v="63"/>
    <x v="2"/>
    <n v="3"/>
    <n v="5"/>
    <s v="Wednesday"/>
    <x v="5"/>
    <x v="3"/>
    <x v="5"/>
    <s v="Cold Coffee"/>
    <x v="1"/>
    <n v="1"/>
    <n v="891"/>
    <n v="89.1"/>
    <n v="0"/>
    <n v="891"/>
    <n v="801.9"/>
    <x v="2"/>
    <x v="0"/>
    <x v="0"/>
    <n v="46"/>
    <n v="5"/>
  </r>
  <r>
    <x v="883"/>
    <x v="63"/>
    <x v="2"/>
    <n v="3"/>
    <n v="5"/>
    <s v="Wednesday"/>
    <x v="3"/>
    <x v="13"/>
    <x v="4"/>
    <s v="Idli Sambar"/>
    <x v="1"/>
    <n v="1"/>
    <n v="665"/>
    <n v="99.75"/>
    <n v="30"/>
    <n v="665"/>
    <n v="595.25"/>
    <x v="0"/>
    <x v="0"/>
    <x v="1"/>
    <n v="60"/>
    <n v="4.0999999999999996"/>
  </r>
  <r>
    <x v="884"/>
    <x v="63"/>
    <x v="2"/>
    <n v="3"/>
    <n v="5"/>
    <s v="Wednesday"/>
    <x v="1"/>
    <x v="0"/>
    <x v="7"/>
    <s v="Idli Sambar"/>
    <x v="0"/>
    <n v="1"/>
    <n v="889"/>
    <n v="222.25"/>
    <n v="0"/>
    <n v="889"/>
    <n v="666.75"/>
    <x v="3"/>
    <x v="0"/>
    <x v="1"/>
    <n v="36"/>
    <n v="4.9000000000000004"/>
  </r>
  <r>
    <x v="885"/>
    <x v="63"/>
    <x v="2"/>
    <n v="3"/>
    <n v="5"/>
    <s v="Wednesday"/>
    <x v="1"/>
    <x v="9"/>
    <x v="9"/>
    <s v="Veg Biryani"/>
    <x v="1"/>
    <n v="1"/>
    <n v="827"/>
    <n v="41.35"/>
    <n v="20"/>
    <n v="827"/>
    <n v="805.65"/>
    <x v="0"/>
    <x v="2"/>
    <x v="1"/>
    <n v="30"/>
    <m/>
  </r>
  <r>
    <x v="886"/>
    <x v="63"/>
    <x v="2"/>
    <n v="3"/>
    <n v="5"/>
    <s v="Wednesday"/>
    <x v="4"/>
    <x v="8"/>
    <x v="3"/>
    <s v="French Fries"/>
    <x v="1"/>
    <n v="1"/>
    <n v="833"/>
    <n v="83.3"/>
    <n v="30"/>
    <n v="833"/>
    <n v="779.7"/>
    <x v="1"/>
    <x v="0"/>
    <x v="0"/>
    <n v="52"/>
    <n v="3.2"/>
  </r>
  <r>
    <x v="887"/>
    <x v="64"/>
    <x v="2"/>
    <n v="3"/>
    <n v="6"/>
    <s v="Thursday"/>
    <x v="9"/>
    <x v="2"/>
    <x v="4"/>
    <s v="Chicken Biryani"/>
    <x v="1"/>
    <n v="1"/>
    <n v="472"/>
    <n v="47.2"/>
    <n v="30"/>
    <n v="472"/>
    <n v="454.8"/>
    <x v="1"/>
    <x v="0"/>
    <x v="0"/>
    <n v="39"/>
    <n v="4.5999999999999996"/>
  </r>
  <r>
    <x v="888"/>
    <x v="64"/>
    <x v="2"/>
    <n v="3"/>
    <n v="6"/>
    <s v="Thursday"/>
    <x v="5"/>
    <x v="10"/>
    <x v="6"/>
    <s v="Chicken Burger"/>
    <x v="1"/>
    <n v="1"/>
    <n v="409"/>
    <n v="40.9"/>
    <n v="20"/>
    <n v="409"/>
    <n v="388.1"/>
    <x v="2"/>
    <x v="0"/>
    <x v="1"/>
    <n v="66"/>
    <n v="4.8"/>
  </r>
  <r>
    <x v="889"/>
    <x v="64"/>
    <x v="2"/>
    <n v="3"/>
    <n v="6"/>
    <s v="Thursday"/>
    <x v="2"/>
    <x v="7"/>
    <x v="5"/>
    <s v="Fried Rice"/>
    <x v="2"/>
    <n v="1"/>
    <n v="258"/>
    <n v="38.700000000000003"/>
    <n v="20"/>
    <n v="258"/>
    <n v="239.3"/>
    <x v="1"/>
    <x v="0"/>
    <x v="1"/>
    <n v="18"/>
    <n v="3.8"/>
  </r>
  <r>
    <x v="890"/>
    <x v="64"/>
    <x v="2"/>
    <n v="3"/>
    <n v="6"/>
    <s v="Thursday"/>
    <x v="3"/>
    <x v="3"/>
    <x v="8"/>
    <s v="Chicken Momos"/>
    <x v="1"/>
    <n v="3"/>
    <n v="267"/>
    <n v="13.35"/>
    <n v="20"/>
    <n v="801"/>
    <n v="807.65"/>
    <x v="1"/>
    <x v="0"/>
    <x v="0"/>
    <n v="38"/>
    <n v="4.4000000000000004"/>
  </r>
  <r>
    <x v="891"/>
    <x v="64"/>
    <x v="2"/>
    <n v="3"/>
    <n v="6"/>
    <s v="Thursday"/>
    <x v="5"/>
    <x v="13"/>
    <x v="1"/>
    <s v="Chicken Momos"/>
    <x v="1"/>
    <n v="2"/>
    <n v="875"/>
    <n v="43.75"/>
    <n v="30"/>
    <n v="1750"/>
    <n v="1736.25"/>
    <x v="2"/>
    <x v="2"/>
    <x v="1"/>
    <n v="63"/>
    <m/>
  </r>
  <r>
    <x v="892"/>
    <x v="64"/>
    <x v="2"/>
    <n v="3"/>
    <n v="6"/>
    <s v="Thursday"/>
    <x v="6"/>
    <x v="6"/>
    <x v="5"/>
    <s v="Veg Burger"/>
    <x v="1"/>
    <n v="2"/>
    <n v="414"/>
    <n v="62.1"/>
    <n v="20"/>
    <n v="828"/>
    <n v="785.9"/>
    <x v="2"/>
    <x v="3"/>
    <x v="1"/>
    <n v="53"/>
    <m/>
  </r>
  <r>
    <x v="893"/>
    <x v="64"/>
    <x v="2"/>
    <n v="3"/>
    <n v="6"/>
    <s v="Thursday"/>
    <x v="5"/>
    <x v="12"/>
    <x v="8"/>
    <s v="French Fries"/>
    <x v="1"/>
    <n v="2"/>
    <n v="394"/>
    <n v="19.7"/>
    <n v="30"/>
    <n v="788"/>
    <n v="798.3"/>
    <x v="1"/>
    <x v="0"/>
    <x v="1"/>
    <n v="27"/>
    <n v="3.7"/>
  </r>
  <r>
    <x v="894"/>
    <x v="64"/>
    <x v="2"/>
    <n v="3"/>
    <n v="6"/>
    <s v="Thursday"/>
    <x v="0"/>
    <x v="13"/>
    <x v="8"/>
    <s v="Chicken Pizza"/>
    <x v="3"/>
    <n v="1"/>
    <n v="773"/>
    <n v="77.3"/>
    <n v="0"/>
    <n v="773"/>
    <n v="695.7"/>
    <x v="1"/>
    <x v="0"/>
    <x v="1"/>
    <n v="53"/>
    <n v="5"/>
  </r>
  <r>
    <x v="895"/>
    <x v="64"/>
    <x v="2"/>
    <n v="3"/>
    <n v="6"/>
    <s v="Thursday"/>
    <x v="9"/>
    <x v="10"/>
    <x v="1"/>
    <s v="Cold Coffee"/>
    <x v="1"/>
    <n v="3"/>
    <n v="439"/>
    <n v="65.849999999999994"/>
    <n v="20"/>
    <n v="1317"/>
    <n v="1271.1500000000001"/>
    <x v="0"/>
    <x v="0"/>
    <x v="1"/>
    <n v="37"/>
    <n v="3.5"/>
  </r>
  <r>
    <x v="896"/>
    <x v="64"/>
    <x v="2"/>
    <n v="3"/>
    <n v="6"/>
    <s v="Thursday"/>
    <x v="2"/>
    <x v="11"/>
    <x v="4"/>
    <s v="Fried Rice"/>
    <x v="1"/>
    <n v="1"/>
    <n v="348"/>
    <n v="52.2"/>
    <n v="30"/>
    <n v="348"/>
    <n v="325.8"/>
    <x v="1"/>
    <x v="1"/>
    <x v="1"/>
    <n v="62"/>
    <m/>
  </r>
  <r>
    <x v="897"/>
    <x v="64"/>
    <x v="2"/>
    <n v="3"/>
    <n v="6"/>
    <s v="Thursday"/>
    <x v="4"/>
    <x v="14"/>
    <x v="8"/>
    <s v="French Fries"/>
    <x v="1"/>
    <n v="1"/>
    <n v="188"/>
    <n v="0"/>
    <n v="60"/>
    <n v="188"/>
    <n v="248"/>
    <x v="1"/>
    <x v="0"/>
    <x v="0"/>
    <n v="62"/>
    <n v="4.2"/>
  </r>
  <r>
    <x v="898"/>
    <x v="64"/>
    <x v="2"/>
    <n v="3"/>
    <n v="6"/>
    <s v="Thursday"/>
    <x v="5"/>
    <x v="6"/>
    <x v="7"/>
    <s v="Idli Sambar"/>
    <x v="1"/>
    <n v="2"/>
    <n v="265"/>
    <n v="39.75"/>
    <n v="60"/>
    <n v="530"/>
    <n v="550.25"/>
    <x v="1"/>
    <x v="0"/>
    <x v="1"/>
    <n v="36"/>
    <n v="4.0999999999999996"/>
  </r>
  <r>
    <x v="899"/>
    <x v="64"/>
    <x v="2"/>
    <n v="3"/>
    <n v="6"/>
    <s v="Thursday"/>
    <x v="5"/>
    <x v="8"/>
    <x v="0"/>
    <s v="Veg Burger"/>
    <x v="1"/>
    <n v="2"/>
    <n v="312"/>
    <n v="15.6"/>
    <n v="50"/>
    <n v="624"/>
    <n v="658.4"/>
    <x v="1"/>
    <x v="0"/>
    <x v="0"/>
    <n v="40"/>
    <n v="3.4"/>
  </r>
  <r>
    <x v="900"/>
    <x v="65"/>
    <x v="2"/>
    <n v="3"/>
    <n v="7"/>
    <s v="Friday"/>
    <x v="9"/>
    <x v="13"/>
    <x v="4"/>
    <s v="Chicken Burger"/>
    <x v="1"/>
    <n v="1"/>
    <n v="271"/>
    <n v="54.2"/>
    <n v="0"/>
    <n v="271"/>
    <n v="216.8"/>
    <x v="1"/>
    <x v="0"/>
    <x v="0"/>
    <n v="34"/>
    <n v="3.9"/>
  </r>
  <r>
    <x v="901"/>
    <x v="65"/>
    <x v="2"/>
    <n v="3"/>
    <n v="7"/>
    <s v="Friday"/>
    <x v="5"/>
    <x v="8"/>
    <x v="9"/>
    <s v="Fried Rice"/>
    <x v="2"/>
    <n v="3"/>
    <n v="397"/>
    <n v="0"/>
    <n v="40"/>
    <n v="1191"/>
    <n v="1231"/>
    <x v="2"/>
    <x v="0"/>
    <x v="1"/>
    <n v="45"/>
    <n v="4.5"/>
  </r>
  <r>
    <x v="902"/>
    <x v="65"/>
    <x v="2"/>
    <n v="3"/>
    <n v="7"/>
    <s v="Friday"/>
    <x v="8"/>
    <x v="8"/>
    <x v="4"/>
    <s v="French Fries"/>
    <x v="2"/>
    <n v="1"/>
    <n v="583"/>
    <n v="87.45"/>
    <n v="30"/>
    <n v="583"/>
    <n v="525.54999999999995"/>
    <x v="1"/>
    <x v="0"/>
    <x v="0"/>
    <n v="48"/>
    <n v="4.8"/>
  </r>
  <r>
    <x v="903"/>
    <x v="65"/>
    <x v="2"/>
    <n v="3"/>
    <n v="7"/>
    <s v="Friday"/>
    <x v="1"/>
    <x v="3"/>
    <x v="5"/>
    <s v="Chicken Momos"/>
    <x v="2"/>
    <n v="2"/>
    <n v="305"/>
    <n v="15.25"/>
    <n v="50"/>
    <n v="610"/>
    <n v="644.75"/>
    <x v="2"/>
    <x v="0"/>
    <x v="1"/>
    <n v="33"/>
    <n v="5"/>
  </r>
  <r>
    <x v="904"/>
    <x v="65"/>
    <x v="2"/>
    <n v="3"/>
    <n v="7"/>
    <s v="Friday"/>
    <x v="2"/>
    <x v="1"/>
    <x v="1"/>
    <s v="Fried Rice"/>
    <x v="1"/>
    <n v="2"/>
    <n v="783"/>
    <n v="78.3"/>
    <n v="20"/>
    <n v="1566"/>
    <n v="1507.7"/>
    <x v="1"/>
    <x v="0"/>
    <x v="1"/>
    <n v="52"/>
    <n v="3.2"/>
  </r>
  <r>
    <x v="905"/>
    <x v="65"/>
    <x v="2"/>
    <n v="3"/>
    <n v="7"/>
    <s v="Friday"/>
    <x v="1"/>
    <x v="8"/>
    <x v="8"/>
    <s v="Masala Dosa"/>
    <x v="1"/>
    <n v="1"/>
    <n v="323"/>
    <n v="64.599999999999994"/>
    <n v="30"/>
    <n v="323"/>
    <n v="288.39999999999998"/>
    <x v="1"/>
    <x v="0"/>
    <x v="0"/>
    <n v="28"/>
    <n v="4.2"/>
  </r>
  <r>
    <x v="906"/>
    <x v="65"/>
    <x v="2"/>
    <n v="3"/>
    <n v="7"/>
    <s v="Friday"/>
    <x v="9"/>
    <x v="2"/>
    <x v="5"/>
    <s v="Veg Burger"/>
    <x v="2"/>
    <n v="1"/>
    <n v="392"/>
    <n v="98"/>
    <n v="40"/>
    <n v="392"/>
    <n v="334"/>
    <x v="4"/>
    <x v="0"/>
    <x v="0"/>
    <n v="47"/>
    <n v="5"/>
  </r>
  <r>
    <x v="907"/>
    <x v="65"/>
    <x v="2"/>
    <n v="3"/>
    <n v="7"/>
    <s v="Friday"/>
    <x v="4"/>
    <x v="9"/>
    <x v="3"/>
    <s v="Chicken Burger"/>
    <x v="3"/>
    <n v="1"/>
    <n v="795"/>
    <n v="0"/>
    <n v="0"/>
    <n v="795"/>
    <n v="795"/>
    <x v="4"/>
    <x v="0"/>
    <x v="1"/>
    <n v="24"/>
    <n v="5"/>
  </r>
  <r>
    <x v="908"/>
    <x v="65"/>
    <x v="2"/>
    <n v="3"/>
    <n v="7"/>
    <s v="Friday"/>
    <x v="4"/>
    <x v="6"/>
    <x v="0"/>
    <s v="Cold Coffee"/>
    <x v="1"/>
    <n v="2"/>
    <n v="144"/>
    <n v="21.6"/>
    <n v="30"/>
    <n v="288"/>
    <n v="296.39999999999998"/>
    <x v="1"/>
    <x v="0"/>
    <x v="1"/>
    <n v="37"/>
    <n v="3.4"/>
  </r>
  <r>
    <x v="909"/>
    <x v="65"/>
    <x v="2"/>
    <n v="3"/>
    <n v="7"/>
    <s v="Friday"/>
    <x v="7"/>
    <x v="12"/>
    <x v="7"/>
    <s v="Chicken Momos"/>
    <x v="2"/>
    <n v="2"/>
    <n v="141"/>
    <n v="14.1"/>
    <n v="40"/>
    <n v="282"/>
    <n v="307.89999999999998"/>
    <x v="1"/>
    <x v="0"/>
    <x v="1"/>
    <n v="23"/>
    <n v="3.3"/>
  </r>
  <r>
    <x v="910"/>
    <x v="65"/>
    <x v="2"/>
    <n v="3"/>
    <n v="7"/>
    <s v="Friday"/>
    <x v="3"/>
    <x v="4"/>
    <x v="7"/>
    <s v="Cold Coffee"/>
    <x v="1"/>
    <n v="2"/>
    <n v="818"/>
    <n v="0"/>
    <n v="30"/>
    <n v="1636"/>
    <n v="1666"/>
    <x v="0"/>
    <x v="0"/>
    <x v="0"/>
    <n v="52"/>
    <n v="4.7"/>
  </r>
  <r>
    <x v="911"/>
    <x v="66"/>
    <x v="2"/>
    <n v="3"/>
    <n v="8"/>
    <s v="Saturday"/>
    <x v="0"/>
    <x v="7"/>
    <x v="1"/>
    <s v="Masala Dosa"/>
    <x v="1"/>
    <n v="3"/>
    <n v="442"/>
    <n v="22.1"/>
    <n v="50"/>
    <n v="1326"/>
    <n v="1353.9"/>
    <x v="4"/>
    <x v="0"/>
    <x v="0"/>
    <n v="43"/>
    <n v="3.1"/>
  </r>
  <r>
    <x v="912"/>
    <x v="66"/>
    <x v="2"/>
    <n v="3"/>
    <n v="8"/>
    <s v="Saturday"/>
    <x v="7"/>
    <x v="5"/>
    <x v="6"/>
    <s v="Veg Burger"/>
    <x v="2"/>
    <n v="3"/>
    <n v="537"/>
    <n v="0"/>
    <n v="30"/>
    <n v="1611"/>
    <n v="1641"/>
    <x v="0"/>
    <x v="2"/>
    <x v="1"/>
    <n v="27"/>
    <m/>
  </r>
  <r>
    <x v="913"/>
    <x v="66"/>
    <x v="2"/>
    <n v="3"/>
    <n v="8"/>
    <s v="Saturday"/>
    <x v="5"/>
    <x v="4"/>
    <x v="6"/>
    <s v="Chicken Pizza"/>
    <x v="1"/>
    <n v="1"/>
    <n v="505"/>
    <n v="0"/>
    <n v="30"/>
    <n v="505"/>
    <n v="535"/>
    <x v="4"/>
    <x v="0"/>
    <x v="0"/>
    <n v="43"/>
    <n v="3.8"/>
  </r>
  <r>
    <x v="914"/>
    <x v="66"/>
    <x v="2"/>
    <n v="3"/>
    <n v="8"/>
    <s v="Saturday"/>
    <x v="9"/>
    <x v="7"/>
    <x v="1"/>
    <s v="Chicken Pizza"/>
    <x v="0"/>
    <n v="1"/>
    <n v="196"/>
    <n v="0"/>
    <n v="60"/>
    <n v="196"/>
    <n v="256"/>
    <x v="1"/>
    <x v="0"/>
    <x v="1"/>
    <n v="38"/>
    <n v="4.2"/>
  </r>
  <r>
    <x v="915"/>
    <x v="66"/>
    <x v="2"/>
    <n v="3"/>
    <n v="8"/>
    <s v="Saturday"/>
    <x v="5"/>
    <x v="8"/>
    <x v="4"/>
    <s v="Veg Biryani"/>
    <x v="1"/>
    <n v="1"/>
    <n v="121"/>
    <n v="6.05"/>
    <n v="0"/>
    <n v="121"/>
    <n v="114.95"/>
    <x v="1"/>
    <x v="0"/>
    <x v="1"/>
    <n v="41"/>
    <n v="4.3"/>
  </r>
  <r>
    <x v="916"/>
    <x v="66"/>
    <x v="2"/>
    <n v="3"/>
    <n v="8"/>
    <s v="Saturday"/>
    <x v="0"/>
    <x v="2"/>
    <x v="9"/>
    <s v="Chicken Pizza"/>
    <x v="2"/>
    <n v="1"/>
    <n v="390"/>
    <n v="78"/>
    <n v="30"/>
    <n v="390"/>
    <n v="342"/>
    <x v="1"/>
    <x v="0"/>
    <x v="1"/>
    <n v="25"/>
    <n v="3.5"/>
  </r>
  <r>
    <x v="917"/>
    <x v="66"/>
    <x v="2"/>
    <n v="3"/>
    <n v="8"/>
    <s v="Saturday"/>
    <x v="4"/>
    <x v="3"/>
    <x v="8"/>
    <s v="Masala Dosa"/>
    <x v="1"/>
    <n v="3"/>
    <n v="676"/>
    <n v="67.599999999999994"/>
    <n v="40"/>
    <n v="2028"/>
    <n v="2000.4"/>
    <x v="4"/>
    <x v="0"/>
    <x v="0"/>
    <n v="51"/>
    <n v="4.3"/>
  </r>
  <r>
    <x v="918"/>
    <x v="66"/>
    <x v="2"/>
    <n v="3"/>
    <n v="8"/>
    <s v="Saturday"/>
    <x v="9"/>
    <x v="10"/>
    <x v="2"/>
    <s v="Chicken Biryani"/>
    <x v="3"/>
    <n v="1"/>
    <n v="884"/>
    <n v="88.4"/>
    <n v="30"/>
    <n v="884"/>
    <n v="825.6"/>
    <x v="1"/>
    <x v="0"/>
    <x v="1"/>
    <n v="48"/>
    <n v="4"/>
  </r>
  <r>
    <x v="919"/>
    <x v="66"/>
    <x v="2"/>
    <n v="3"/>
    <n v="8"/>
    <s v="Saturday"/>
    <x v="5"/>
    <x v="7"/>
    <x v="9"/>
    <s v="Masala Dosa"/>
    <x v="0"/>
    <n v="2"/>
    <n v="554"/>
    <n v="27.7"/>
    <n v="40"/>
    <n v="1108"/>
    <n v="1120.3"/>
    <x v="0"/>
    <x v="0"/>
    <x v="1"/>
    <n v="19"/>
    <n v="3.9"/>
  </r>
  <r>
    <x v="920"/>
    <x v="67"/>
    <x v="2"/>
    <n v="3"/>
    <n v="9"/>
    <s v="Sunday"/>
    <x v="0"/>
    <x v="12"/>
    <x v="1"/>
    <s v="Veg Pizza"/>
    <x v="1"/>
    <n v="1"/>
    <n v="370"/>
    <n v="18.5"/>
    <n v="30"/>
    <n v="370"/>
    <n v="381.5"/>
    <x v="0"/>
    <x v="0"/>
    <x v="1"/>
    <n v="45"/>
    <n v="3.5"/>
  </r>
  <r>
    <x v="921"/>
    <x v="67"/>
    <x v="2"/>
    <n v="3"/>
    <n v="9"/>
    <s v="Sunday"/>
    <x v="0"/>
    <x v="14"/>
    <x v="8"/>
    <s v="Veg Momos"/>
    <x v="1"/>
    <n v="3"/>
    <n v="849"/>
    <n v="169.8"/>
    <n v="70"/>
    <n v="2547"/>
    <n v="2447.1999999999998"/>
    <x v="2"/>
    <x v="0"/>
    <x v="0"/>
    <n v="43"/>
    <n v="4.3"/>
  </r>
  <r>
    <x v="922"/>
    <x v="67"/>
    <x v="2"/>
    <n v="3"/>
    <n v="9"/>
    <s v="Sunday"/>
    <x v="9"/>
    <x v="11"/>
    <x v="5"/>
    <s v="Veg Pizza"/>
    <x v="2"/>
    <n v="2"/>
    <n v="445"/>
    <n v="22.25"/>
    <n v="30"/>
    <n v="890"/>
    <n v="897.75"/>
    <x v="1"/>
    <x v="2"/>
    <x v="1"/>
    <n v="50"/>
    <m/>
  </r>
  <r>
    <x v="923"/>
    <x v="67"/>
    <x v="2"/>
    <n v="3"/>
    <n v="9"/>
    <s v="Sunday"/>
    <x v="3"/>
    <x v="12"/>
    <x v="3"/>
    <s v="Masala Dosa"/>
    <x v="1"/>
    <n v="1"/>
    <n v="660"/>
    <n v="66"/>
    <n v="50"/>
    <n v="660"/>
    <n v="644"/>
    <x v="0"/>
    <x v="0"/>
    <x v="1"/>
    <n v="63"/>
    <n v="4.5999999999999996"/>
  </r>
  <r>
    <x v="924"/>
    <x v="67"/>
    <x v="2"/>
    <n v="3"/>
    <n v="9"/>
    <s v="Sunday"/>
    <x v="6"/>
    <x v="1"/>
    <x v="3"/>
    <s v="Chicken Pizza"/>
    <x v="1"/>
    <n v="2"/>
    <n v="894"/>
    <n v="44.7"/>
    <n v="40"/>
    <n v="1788"/>
    <n v="1783.3"/>
    <x v="4"/>
    <x v="2"/>
    <x v="1"/>
    <n v="40"/>
    <m/>
  </r>
  <r>
    <x v="925"/>
    <x v="67"/>
    <x v="2"/>
    <n v="3"/>
    <n v="9"/>
    <s v="Sunday"/>
    <x v="8"/>
    <x v="8"/>
    <x v="6"/>
    <s v="Pasta"/>
    <x v="1"/>
    <n v="2"/>
    <n v="427"/>
    <n v="85.4"/>
    <n v="60"/>
    <n v="854"/>
    <n v="828.6"/>
    <x v="4"/>
    <x v="0"/>
    <x v="0"/>
    <n v="39"/>
    <n v="4.5"/>
  </r>
  <r>
    <x v="926"/>
    <x v="67"/>
    <x v="2"/>
    <n v="3"/>
    <n v="9"/>
    <s v="Sunday"/>
    <x v="9"/>
    <x v="11"/>
    <x v="5"/>
    <s v="Pasta"/>
    <x v="1"/>
    <n v="3"/>
    <n v="594"/>
    <n v="0"/>
    <n v="30"/>
    <n v="1782"/>
    <n v="1812"/>
    <x v="1"/>
    <x v="1"/>
    <x v="1"/>
    <n v="26"/>
    <m/>
  </r>
  <r>
    <x v="927"/>
    <x v="67"/>
    <x v="2"/>
    <n v="3"/>
    <n v="9"/>
    <s v="Sunday"/>
    <x v="1"/>
    <x v="14"/>
    <x v="9"/>
    <s v="Veg Momos"/>
    <x v="1"/>
    <n v="2"/>
    <n v="222"/>
    <n v="22.2"/>
    <n v="20"/>
    <n v="444"/>
    <n v="441.8"/>
    <x v="2"/>
    <x v="0"/>
    <x v="1"/>
    <n v="56"/>
    <n v="4.5999999999999996"/>
  </r>
  <r>
    <x v="928"/>
    <x v="67"/>
    <x v="2"/>
    <n v="3"/>
    <n v="9"/>
    <s v="Sunday"/>
    <x v="1"/>
    <x v="1"/>
    <x v="2"/>
    <s v="Cold Coffee"/>
    <x v="2"/>
    <n v="2"/>
    <n v="523"/>
    <n v="26.15"/>
    <n v="0"/>
    <n v="1046"/>
    <n v="1019.85"/>
    <x v="3"/>
    <x v="0"/>
    <x v="1"/>
    <n v="63"/>
    <n v="4.3"/>
  </r>
  <r>
    <x v="929"/>
    <x v="67"/>
    <x v="2"/>
    <n v="3"/>
    <n v="9"/>
    <s v="Sunday"/>
    <x v="5"/>
    <x v="13"/>
    <x v="5"/>
    <s v="Paneer Butter Masala"/>
    <x v="2"/>
    <n v="1"/>
    <n v="346"/>
    <n v="17.3"/>
    <n v="30"/>
    <n v="346"/>
    <n v="358.7"/>
    <x v="1"/>
    <x v="0"/>
    <x v="1"/>
    <n v="42"/>
    <n v="4.7"/>
  </r>
  <r>
    <x v="930"/>
    <x v="67"/>
    <x v="2"/>
    <n v="3"/>
    <n v="9"/>
    <s v="Sunday"/>
    <x v="2"/>
    <x v="4"/>
    <x v="6"/>
    <s v="Veg Burger"/>
    <x v="1"/>
    <n v="1"/>
    <n v="211"/>
    <n v="31.65"/>
    <n v="20"/>
    <n v="211"/>
    <n v="199.35"/>
    <x v="4"/>
    <x v="0"/>
    <x v="0"/>
    <n v="59"/>
    <n v="4.5999999999999996"/>
  </r>
  <r>
    <x v="931"/>
    <x v="67"/>
    <x v="2"/>
    <n v="3"/>
    <n v="9"/>
    <s v="Sunday"/>
    <x v="8"/>
    <x v="8"/>
    <x v="5"/>
    <s v="Chocolate Cake"/>
    <x v="0"/>
    <n v="2"/>
    <n v="582"/>
    <n v="29.1"/>
    <n v="20"/>
    <n v="1164"/>
    <n v="1154.9000000000001"/>
    <x v="0"/>
    <x v="0"/>
    <x v="1"/>
    <n v="28"/>
    <n v="4.0999999999999996"/>
  </r>
  <r>
    <x v="932"/>
    <x v="67"/>
    <x v="2"/>
    <n v="3"/>
    <n v="9"/>
    <s v="Sunday"/>
    <x v="8"/>
    <x v="10"/>
    <x v="6"/>
    <s v="Chicken Pizza"/>
    <x v="1"/>
    <n v="2"/>
    <n v="333"/>
    <n v="0"/>
    <n v="60"/>
    <n v="666"/>
    <n v="726"/>
    <x v="3"/>
    <x v="0"/>
    <x v="1"/>
    <n v="35"/>
    <n v="4.5999999999999996"/>
  </r>
  <r>
    <x v="933"/>
    <x v="67"/>
    <x v="2"/>
    <n v="3"/>
    <n v="9"/>
    <s v="Sunday"/>
    <x v="5"/>
    <x v="10"/>
    <x v="3"/>
    <s v="Idli Sambar"/>
    <x v="1"/>
    <n v="1"/>
    <n v="408"/>
    <n v="20.399999999999999"/>
    <n v="70"/>
    <n v="408"/>
    <n v="457.6"/>
    <x v="1"/>
    <x v="3"/>
    <x v="0"/>
    <n v="46"/>
    <m/>
  </r>
  <r>
    <x v="934"/>
    <x v="68"/>
    <x v="2"/>
    <n v="3"/>
    <n v="10"/>
    <s v="Monday"/>
    <x v="9"/>
    <x v="12"/>
    <x v="9"/>
    <s v="Chicken Momos"/>
    <x v="1"/>
    <n v="3"/>
    <n v="324"/>
    <n v="16.2"/>
    <n v="30"/>
    <n v="972"/>
    <n v="985.8"/>
    <x v="2"/>
    <x v="0"/>
    <x v="1"/>
    <n v="41"/>
    <n v="3.3"/>
  </r>
  <r>
    <x v="935"/>
    <x v="68"/>
    <x v="2"/>
    <n v="3"/>
    <n v="10"/>
    <s v="Monday"/>
    <x v="3"/>
    <x v="9"/>
    <x v="7"/>
    <s v="Chicken Biryani"/>
    <x v="1"/>
    <n v="3"/>
    <n v="521"/>
    <n v="104.2"/>
    <n v="40"/>
    <n v="1563"/>
    <n v="1498.8"/>
    <x v="1"/>
    <x v="0"/>
    <x v="1"/>
    <n v="26"/>
    <n v="3.8"/>
  </r>
  <r>
    <x v="936"/>
    <x v="68"/>
    <x v="2"/>
    <n v="3"/>
    <n v="10"/>
    <s v="Monday"/>
    <x v="4"/>
    <x v="8"/>
    <x v="8"/>
    <s v="Chicken Burger"/>
    <x v="2"/>
    <n v="1"/>
    <n v="685"/>
    <n v="68.5"/>
    <n v="40"/>
    <n v="685"/>
    <n v="656.5"/>
    <x v="0"/>
    <x v="0"/>
    <x v="0"/>
    <n v="29"/>
    <n v="4.2"/>
  </r>
  <r>
    <x v="937"/>
    <x v="68"/>
    <x v="2"/>
    <n v="3"/>
    <n v="10"/>
    <s v="Monday"/>
    <x v="6"/>
    <x v="10"/>
    <x v="3"/>
    <s v="Idli Sambar"/>
    <x v="3"/>
    <n v="1"/>
    <n v="754"/>
    <n v="37.700000000000003"/>
    <n v="50"/>
    <n v="754"/>
    <n v="766.3"/>
    <x v="3"/>
    <x v="2"/>
    <x v="1"/>
    <n v="30"/>
    <m/>
  </r>
  <r>
    <x v="938"/>
    <x v="68"/>
    <x v="2"/>
    <n v="3"/>
    <n v="10"/>
    <s v="Monday"/>
    <x v="1"/>
    <x v="11"/>
    <x v="2"/>
    <s v="Chicken Biryani"/>
    <x v="1"/>
    <n v="1"/>
    <n v="525"/>
    <n v="0"/>
    <n v="30"/>
    <n v="525"/>
    <n v="555"/>
    <x v="1"/>
    <x v="2"/>
    <x v="0"/>
    <n v="37"/>
    <m/>
  </r>
  <r>
    <x v="939"/>
    <x v="68"/>
    <x v="2"/>
    <n v="3"/>
    <n v="10"/>
    <s v="Monday"/>
    <x v="5"/>
    <x v="0"/>
    <x v="3"/>
    <s v="Fried Rice"/>
    <x v="1"/>
    <n v="1"/>
    <n v="239"/>
    <n v="23.9"/>
    <n v="40"/>
    <n v="239"/>
    <n v="255.1"/>
    <x v="1"/>
    <x v="0"/>
    <x v="1"/>
    <n v="29"/>
    <n v="4.3"/>
  </r>
  <r>
    <x v="940"/>
    <x v="68"/>
    <x v="2"/>
    <n v="3"/>
    <n v="10"/>
    <s v="Monday"/>
    <x v="2"/>
    <x v="10"/>
    <x v="7"/>
    <s v="Chicken Burger"/>
    <x v="1"/>
    <n v="3"/>
    <n v="126"/>
    <n v="18.899999999999999"/>
    <n v="50"/>
    <n v="378"/>
    <n v="409.1"/>
    <x v="0"/>
    <x v="0"/>
    <x v="1"/>
    <n v="65"/>
    <n v="3.1"/>
  </r>
  <r>
    <x v="941"/>
    <x v="68"/>
    <x v="2"/>
    <n v="3"/>
    <n v="10"/>
    <s v="Monday"/>
    <x v="4"/>
    <x v="6"/>
    <x v="1"/>
    <s v="Fried Rice"/>
    <x v="1"/>
    <n v="1"/>
    <n v="886"/>
    <n v="88.6"/>
    <n v="40"/>
    <n v="886"/>
    <n v="837.4"/>
    <x v="1"/>
    <x v="0"/>
    <x v="1"/>
    <n v="58"/>
    <n v="3.9"/>
  </r>
  <r>
    <x v="942"/>
    <x v="68"/>
    <x v="2"/>
    <n v="3"/>
    <n v="10"/>
    <s v="Monday"/>
    <x v="7"/>
    <x v="10"/>
    <x v="9"/>
    <s v="Masala Dosa"/>
    <x v="1"/>
    <n v="1"/>
    <n v="485"/>
    <n v="48.5"/>
    <n v="50"/>
    <n v="485"/>
    <n v="486.5"/>
    <x v="1"/>
    <x v="0"/>
    <x v="0"/>
    <n v="55"/>
    <n v="3.6"/>
  </r>
  <r>
    <x v="943"/>
    <x v="68"/>
    <x v="2"/>
    <n v="3"/>
    <n v="10"/>
    <s v="Monday"/>
    <x v="5"/>
    <x v="7"/>
    <x v="0"/>
    <s v="Chicken Burger"/>
    <x v="1"/>
    <n v="1"/>
    <n v="301"/>
    <n v="15.05"/>
    <n v="20"/>
    <n v="301"/>
    <n v="305.95"/>
    <x v="4"/>
    <x v="0"/>
    <x v="1"/>
    <n v="62"/>
    <n v="3.5"/>
  </r>
  <r>
    <x v="944"/>
    <x v="68"/>
    <x v="2"/>
    <n v="3"/>
    <n v="10"/>
    <s v="Monday"/>
    <x v="2"/>
    <x v="4"/>
    <x v="8"/>
    <s v="French Fries"/>
    <x v="1"/>
    <n v="2"/>
    <n v="825"/>
    <n v="123.75"/>
    <n v="30"/>
    <n v="1650"/>
    <n v="1556.25"/>
    <x v="0"/>
    <x v="0"/>
    <x v="1"/>
    <n v="29"/>
    <n v="4.3"/>
  </r>
  <r>
    <x v="945"/>
    <x v="68"/>
    <x v="2"/>
    <n v="3"/>
    <n v="10"/>
    <s v="Monday"/>
    <x v="0"/>
    <x v="7"/>
    <x v="5"/>
    <s v="Fried Rice"/>
    <x v="1"/>
    <n v="1"/>
    <n v="546"/>
    <n v="54.6"/>
    <n v="50"/>
    <n v="546"/>
    <n v="541.4"/>
    <x v="1"/>
    <x v="0"/>
    <x v="0"/>
    <n v="63"/>
    <n v="4.4000000000000004"/>
  </r>
  <r>
    <x v="946"/>
    <x v="68"/>
    <x v="2"/>
    <n v="3"/>
    <n v="10"/>
    <s v="Monday"/>
    <x v="4"/>
    <x v="8"/>
    <x v="1"/>
    <s v="Idli Sambar"/>
    <x v="1"/>
    <n v="2"/>
    <n v="774"/>
    <n v="77.400000000000006"/>
    <n v="0"/>
    <n v="1548"/>
    <n v="1470.6"/>
    <x v="3"/>
    <x v="0"/>
    <x v="0"/>
    <n v="53"/>
    <n v="4.4000000000000004"/>
  </r>
  <r>
    <x v="947"/>
    <x v="68"/>
    <x v="2"/>
    <n v="3"/>
    <n v="10"/>
    <s v="Monday"/>
    <x v="6"/>
    <x v="7"/>
    <x v="8"/>
    <s v="Chicken Pizza"/>
    <x v="1"/>
    <n v="1"/>
    <n v="272"/>
    <n v="0"/>
    <n v="50"/>
    <n v="272"/>
    <n v="322"/>
    <x v="1"/>
    <x v="3"/>
    <x v="1"/>
    <n v="60"/>
    <m/>
  </r>
  <r>
    <x v="948"/>
    <x v="68"/>
    <x v="2"/>
    <n v="3"/>
    <n v="10"/>
    <s v="Monday"/>
    <x v="0"/>
    <x v="12"/>
    <x v="6"/>
    <s v="Cold Coffee"/>
    <x v="1"/>
    <n v="1"/>
    <n v="866"/>
    <n v="86.6"/>
    <n v="0"/>
    <n v="866"/>
    <n v="779.4"/>
    <x v="3"/>
    <x v="3"/>
    <x v="0"/>
    <n v="24"/>
    <m/>
  </r>
  <r>
    <x v="949"/>
    <x v="68"/>
    <x v="2"/>
    <n v="3"/>
    <n v="10"/>
    <s v="Monday"/>
    <x v="9"/>
    <x v="2"/>
    <x v="4"/>
    <s v="Veg Momos"/>
    <x v="1"/>
    <n v="1"/>
    <n v="871"/>
    <n v="174.2"/>
    <n v="0"/>
    <n v="871"/>
    <n v="696.8"/>
    <x v="4"/>
    <x v="0"/>
    <x v="1"/>
    <n v="38"/>
    <n v="2.8"/>
  </r>
  <r>
    <x v="950"/>
    <x v="68"/>
    <x v="2"/>
    <n v="3"/>
    <n v="10"/>
    <s v="Monday"/>
    <x v="8"/>
    <x v="2"/>
    <x v="1"/>
    <s v="Chicken Pizza"/>
    <x v="1"/>
    <n v="2"/>
    <n v="689"/>
    <n v="103.35"/>
    <n v="40"/>
    <n v="1378"/>
    <n v="1314.65"/>
    <x v="2"/>
    <x v="0"/>
    <x v="1"/>
    <n v="69"/>
    <n v="3.9"/>
  </r>
  <r>
    <x v="951"/>
    <x v="69"/>
    <x v="2"/>
    <n v="3"/>
    <n v="11"/>
    <s v="Tuesday"/>
    <x v="4"/>
    <x v="5"/>
    <x v="8"/>
    <s v="Masala Dosa"/>
    <x v="1"/>
    <n v="1"/>
    <n v="200"/>
    <n v="50"/>
    <n v="40"/>
    <n v="200"/>
    <n v="190"/>
    <x v="3"/>
    <x v="0"/>
    <x v="0"/>
    <n v="69"/>
    <n v="4.4000000000000004"/>
  </r>
  <r>
    <x v="952"/>
    <x v="69"/>
    <x v="2"/>
    <n v="3"/>
    <n v="11"/>
    <s v="Tuesday"/>
    <x v="3"/>
    <x v="12"/>
    <x v="6"/>
    <s v="Veg Burger"/>
    <x v="1"/>
    <n v="1"/>
    <n v="504"/>
    <n v="50.4"/>
    <n v="40"/>
    <n v="504"/>
    <n v="493.6"/>
    <x v="1"/>
    <x v="0"/>
    <x v="1"/>
    <n v="45"/>
    <n v="3.7"/>
  </r>
  <r>
    <x v="953"/>
    <x v="69"/>
    <x v="2"/>
    <n v="3"/>
    <n v="11"/>
    <s v="Tuesday"/>
    <x v="5"/>
    <x v="9"/>
    <x v="4"/>
    <s v="Chicken Momos"/>
    <x v="1"/>
    <n v="2"/>
    <n v="715"/>
    <n v="143"/>
    <n v="20"/>
    <n v="1430"/>
    <n v="1307"/>
    <x v="1"/>
    <x v="2"/>
    <x v="1"/>
    <n v="57"/>
    <m/>
  </r>
  <r>
    <x v="954"/>
    <x v="69"/>
    <x v="2"/>
    <n v="3"/>
    <n v="11"/>
    <s v="Tuesday"/>
    <x v="1"/>
    <x v="1"/>
    <x v="4"/>
    <s v="Masala Dosa"/>
    <x v="2"/>
    <n v="1"/>
    <n v="426"/>
    <n v="63.9"/>
    <n v="0"/>
    <n v="426"/>
    <n v="362.1"/>
    <x v="1"/>
    <x v="0"/>
    <x v="1"/>
    <n v="59"/>
    <n v="4.5999999999999996"/>
  </r>
  <r>
    <x v="955"/>
    <x v="69"/>
    <x v="2"/>
    <n v="3"/>
    <n v="11"/>
    <s v="Tuesday"/>
    <x v="5"/>
    <x v="3"/>
    <x v="0"/>
    <s v="Chicken Pizza"/>
    <x v="2"/>
    <n v="2"/>
    <n v="348"/>
    <n v="34.799999999999997"/>
    <n v="30"/>
    <n v="696"/>
    <n v="691.2"/>
    <x v="4"/>
    <x v="0"/>
    <x v="1"/>
    <n v="49"/>
    <n v="3.9"/>
  </r>
  <r>
    <x v="956"/>
    <x v="69"/>
    <x v="2"/>
    <n v="3"/>
    <n v="11"/>
    <s v="Tuesday"/>
    <x v="4"/>
    <x v="11"/>
    <x v="7"/>
    <s v="Masala Dosa"/>
    <x v="1"/>
    <n v="1"/>
    <n v="558"/>
    <n v="55.8"/>
    <n v="0"/>
    <n v="558"/>
    <n v="502.2"/>
    <x v="4"/>
    <x v="0"/>
    <x v="0"/>
    <n v="65"/>
    <n v="3.5"/>
  </r>
  <r>
    <x v="957"/>
    <x v="69"/>
    <x v="2"/>
    <n v="3"/>
    <n v="11"/>
    <s v="Tuesday"/>
    <x v="5"/>
    <x v="1"/>
    <x v="6"/>
    <s v="Chicken Biryani"/>
    <x v="1"/>
    <n v="2"/>
    <n v="738"/>
    <n v="73.8"/>
    <n v="40"/>
    <n v="1476"/>
    <n v="1442.2"/>
    <x v="0"/>
    <x v="0"/>
    <x v="0"/>
    <n v="40"/>
    <n v="3.2"/>
  </r>
  <r>
    <x v="958"/>
    <x v="69"/>
    <x v="2"/>
    <n v="3"/>
    <n v="11"/>
    <s v="Tuesday"/>
    <x v="1"/>
    <x v="7"/>
    <x v="4"/>
    <s v="Paneer Butter Masala"/>
    <x v="1"/>
    <n v="1"/>
    <n v="616"/>
    <n v="123.2"/>
    <n v="30"/>
    <n v="616"/>
    <n v="522.79999999999995"/>
    <x v="0"/>
    <x v="0"/>
    <x v="1"/>
    <n v="22"/>
    <n v="3.5"/>
  </r>
  <r>
    <x v="959"/>
    <x v="69"/>
    <x v="2"/>
    <n v="3"/>
    <n v="11"/>
    <s v="Tuesday"/>
    <x v="1"/>
    <x v="3"/>
    <x v="0"/>
    <s v="Veg Burger"/>
    <x v="1"/>
    <n v="1"/>
    <n v="417"/>
    <n v="83.4"/>
    <n v="40"/>
    <n v="417"/>
    <n v="373.6"/>
    <x v="0"/>
    <x v="0"/>
    <x v="1"/>
    <n v="60"/>
    <n v="4.5999999999999996"/>
  </r>
  <r>
    <x v="960"/>
    <x v="69"/>
    <x v="2"/>
    <n v="3"/>
    <n v="11"/>
    <s v="Tuesday"/>
    <x v="2"/>
    <x v="10"/>
    <x v="7"/>
    <s v="Paneer Butter Masala"/>
    <x v="1"/>
    <n v="3"/>
    <n v="558"/>
    <n v="83.7"/>
    <n v="20"/>
    <n v="1674"/>
    <n v="1610.3"/>
    <x v="1"/>
    <x v="2"/>
    <x v="1"/>
    <n v="53"/>
    <m/>
  </r>
  <r>
    <x v="961"/>
    <x v="69"/>
    <x v="2"/>
    <n v="3"/>
    <n v="11"/>
    <s v="Tuesday"/>
    <x v="4"/>
    <x v="10"/>
    <x v="9"/>
    <s v="Veg Pizza"/>
    <x v="2"/>
    <n v="3"/>
    <n v="391"/>
    <n v="39.1"/>
    <n v="50"/>
    <n v="1173"/>
    <n v="1183.9000000000001"/>
    <x v="4"/>
    <x v="0"/>
    <x v="1"/>
    <n v="20"/>
    <n v="3.6"/>
  </r>
  <r>
    <x v="962"/>
    <x v="69"/>
    <x v="2"/>
    <n v="3"/>
    <n v="11"/>
    <s v="Tuesday"/>
    <x v="7"/>
    <x v="9"/>
    <x v="7"/>
    <s v="French Fries"/>
    <x v="1"/>
    <n v="1"/>
    <n v="318"/>
    <n v="63.6"/>
    <n v="30"/>
    <n v="318"/>
    <n v="284.39999999999998"/>
    <x v="1"/>
    <x v="0"/>
    <x v="1"/>
    <n v="18"/>
    <n v="4.7"/>
  </r>
  <r>
    <x v="963"/>
    <x v="70"/>
    <x v="2"/>
    <n v="3"/>
    <n v="12"/>
    <s v="Wednesday"/>
    <x v="3"/>
    <x v="10"/>
    <x v="9"/>
    <s v="Fried Rice"/>
    <x v="1"/>
    <n v="2"/>
    <n v="129"/>
    <n v="19.350000000000001"/>
    <n v="30"/>
    <n v="258"/>
    <n v="268.64999999999998"/>
    <x v="3"/>
    <x v="0"/>
    <x v="1"/>
    <n v="64"/>
    <n v="3.4"/>
  </r>
  <r>
    <x v="964"/>
    <x v="70"/>
    <x v="2"/>
    <n v="3"/>
    <n v="12"/>
    <s v="Wednesday"/>
    <x v="0"/>
    <x v="5"/>
    <x v="8"/>
    <s v="Chicken Pizza"/>
    <x v="2"/>
    <n v="1"/>
    <n v="157"/>
    <n v="0"/>
    <n v="70"/>
    <n v="157"/>
    <n v="227"/>
    <x v="3"/>
    <x v="0"/>
    <x v="1"/>
    <n v="64"/>
    <n v="4.7"/>
  </r>
  <r>
    <x v="965"/>
    <x v="70"/>
    <x v="2"/>
    <n v="3"/>
    <n v="12"/>
    <s v="Wednesday"/>
    <x v="1"/>
    <x v="8"/>
    <x v="9"/>
    <s v="Chicken Biryani"/>
    <x v="1"/>
    <n v="1"/>
    <n v="255"/>
    <n v="0"/>
    <n v="20"/>
    <n v="255"/>
    <n v="275"/>
    <x v="2"/>
    <x v="0"/>
    <x v="1"/>
    <n v="52"/>
    <n v="4.5"/>
  </r>
  <r>
    <x v="966"/>
    <x v="70"/>
    <x v="2"/>
    <n v="3"/>
    <n v="12"/>
    <s v="Wednesday"/>
    <x v="4"/>
    <x v="12"/>
    <x v="4"/>
    <s v="Veg Biryani"/>
    <x v="1"/>
    <n v="1"/>
    <n v="188"/>
    <n v="18.8"/>
    <n v="20"/>
    <n v="188"/>
    <n v="189.2"/>
    <x v="2"/>
    <x v="0"/>
    <x v="1"/>
    <n v="36"/>
    <n v="4.3"/>
  </r>
  <r>
    <x v="967"/>
    <x v="70"/>
    <x v="2"/>
    <n v="3"/>
    <n v="12"/>
    <s v="Wednesday"/>
    <x v="4"/>
    <x v="6"/>
    <x v="6"/>
    <s v="Chicken Pizza"/>
    <x v="0"/>
    <n v="3"/>
    <n v="193"/>
    <n v="28.95"/>
    <n v="30"/>
    <n v="579"/>
    <n v="580.04999999999995"/>
    <x v="1"/>
    <x v="0"/>
    <x v="1"/>
    <n v="25"/>
    <n v="3.8"/>
  </r>
  <r>
    <x v="968"/>
    <x v="70"/>
    <x v="2"/>
    <n v="3"/>
    <n v="12"/>
    <s v="Wednesday"/>
    <x v="1"/>
    <x v="1"/>
    <x v="0"/>
    <s v="Veg Biryani"/>
    <x v="1"/>
    <n v="1"/>
    <n v="484"/>
    <n v="72.599999999999994"/>
    <n v="50"/>
    <n v="484"/>
    <n v="461.4"/>
    <x v="1"/>
    <x v="0"/>
    <x v="0"/>
    <n v="61"/>
    <n v="4.2"/>
  </r>
  <r>
    <x v="969"/>
    <x v="71"/>
    <x v="2"/>
    <n v="3"/>
    <n v="13"/>
    <s v="Thursday"/>
    <x v="1"/>
    <x v="11"/>
    <x v="7"/>
    <s v="French Fries"/>
    <x v="1"/>
    <n v="1"/>
    <n v="283"/>
    <n v="14.15"/>
    <n v="0"/>
    <n v="283"/>
    <n v="268.85000000000002"/>
    <x v="3"/>
    <x v="0"/>
    <x v="0"/>
    <n v="46"/>
    <n v="4.0999999999999996"/>
  </r>
  <r>
    <x v="970"/>
    <x v="71"/>
    <x v="2"/>
    <n v="3"/>
    <n v="13"/>
    <s v="Thursday"/>
    <x v="2"/>
    <x v="4"/>
    <x v="9"/>
    <s v="Chicken Momos"/>
    <x v="1"/>
    <n v="3"/>
    <n v="868"/>
    <n v="86.8"/>
    <n v="30"/>
    <n v="2604"/>
    <n v="2547.1999999999998"/>
    <x v="2"/>
    <x v="0"/>
    <x v="1"/>
    <n v="26"/>
    <n v="3.7"/>
  </r>
  <r>
    <x v="971"/>
    <x v="71"/>
    <x v="2"/>
    <n v="3"/>
    <n v="13"/>
    <s v="Thursday"/>
    <x v="4"/>
    <x v="1"/>
    <x v="7"/>
    <s v="Veg Momos"/>
    <x v="1"/>
    <n v="2"/>
    <n v="714"/>
    <n v="71.400000000000006"/>
    <n v="40"/>
    <n v="1428"/>
    <n v="1396.6"/>
    <x v="4"/>
    <x v="0"/>
    <x v="0"/>
    <n v="61"/>
    <n v="4.3"/>
  </r>
  <r>
    <x v="972"/>
    <x v="71"/>
    <x v="2"/>
    <n v="3"/>
    <n v="13"/>
    <s v="Thursday"/>
    <x v="4"/>
    <x v="11"/>
    <x v="0"/>
    <s v="Veg Momos"/>
    <x v="1"/>
    <n v="1"/>
    <n v="674"/>
    <n v="0"/>
    <n v="40"/>
    <n v="674"/>
    <n v="714"/>
    <x v="1"/>
    <x v="0"/>
    <x v="1"/>
    <n v="54"/>
    <n v="3.7"/>
  </r>
  <r>
    <x v="973"/>
    <x v="71"/>
    <x v="2"/>
    <n v="3"/>
    <n v="13"/>
    <s v="Thursday"/>
    <x v="8"/>
    <x v="6"/>
    <x v="5"/>
    <s v="Idli Sambar"/>
    <x v="2"/>
    <n v="3"/>
    <n v="184"/>
    <n v="36.799999999999997"/>
    <n v="30"/>
    <n v="552"/>
    <n v="545.20000000000005"/>
    <x v="1"/>
    <x v="0"/>
    <x v="1"/>
    <n v="29"/>
    <n v="2.1"/>
  </r>
  <r>
    <x v="974"/>
    <x v="71"/>
    <x v="2"/>
    <n v="3"/>
    <n v="13"/>
    <s v="Thursday"/>
    <x v="3"/>
    <x v="8"/>
    <x v="9"/>
    <s v="Chicken Burger"/>
    <x v="0"/>
    <n v="1"/>
    <n v="648"/>
    <n v="162"/>
    <n v="30"/>
    <n v="648"/>
    <n v="516"/>
    <x v="1"/>
    <x v="0"/>
    <x v="1"/>
    <n v="51"/>
    <n v="4.0999999999999996"/>
  </r>
  <r>
    <x v="975"/>
    <x v="71"/>
    <x v="2"/>
    <n v="3"/>
    <n v="13"/>
    <s v="Thursday"/>
    <x v="8"/>
    <x v="9"/>
    <x v="3"/>
    <s v="Paneer Butter Masala"/>
    <x v="1"/>
    <n v="1"/>
    <n v="322"/>
    <n v="64.400000000000006"/>
    <n v="0"/>
    <n v="322"/>
    <n v="257.60000000000002"/>
    <x v="1"/>
    <x v="0"/>
    <x v="1"/>
    <n v="30"/>
    <n v="4.2"/>
  </r>
  <r>
    <x v="976"/>
    <x v="71"/>
    <x v="2"/>
    <n v="3"/>
    <n v="13"/>
    <s v="Thursday"/>
    <x v="5"/>
    <x v="14"/>
    <x v="0"/>
    <s v="Chicken Burger"/>
    <x v="2"/>
    <n v="1"/>
    <n v="155"/>
    <n v="7.75"/>
    <n v="40"/>
    <n v="155"/>
    <n v="187.25"/>
    <x v="0"/>
    <x v="1"/>
    <x v="1"/>
    <n v="20"/>
    <m/>
  </r>
  <r>
    <x v="977"/>
    <x v="71"/>
    <x v="2"/>
    <n v="3"/>
    <n v="13"/>
    <s v="Thursday"/>
    <x v="4"/>
    <x v="5"/>
    <x v="9"/>
    <s v="Fried Rice"/>
    <x v="2"/>
    <n v="1"/>
    <n v="871"/>
    <n v="174.2"/>
    <n v="60"/>
    <n v="871"/>
    <n v="756.8"/>
    <x v="1"/>
    <x v="0"/>
    <x v="0"/>
    <n v="42"/>
    <n v="3.9"/>
  </r>
  <r>
    <x v="978"/>
    <x v="71"/>
    <x v="2"/>
    <n v="3"/>
    <n v="13"/>
    <s v="Thursday"/>
    <x v="8"/>
    <x v="0"/>
    <x v="7"/>
    <s v="Fried Rice"/>
    <x v="1"/>
    <n v="1"/>
    <n v="838"/>
    <n v="125.7"/>
    <n v="40"/>
    <n v="838"/>
    <n v="752.3"/>
    <x v="0"/>
    <x v="2"/>
    <x v="1"/>
    <n v="49"/>
    <m/>
  </r>
  <r>
    <x v="979"/>
    <x v="71"/>
    <x v="2"/>
    <n v="3"/>
    <n v="13"/>
    <s v="Thursday"/>
    <x v="2"/>
    <x v="10"/>
    <x v="3"/>
    <s v="Paneer Butter Masala"/>
    <x v="1"/>
    <n v="1"/>
    <n v="356"/>
    <n v="0"/>
    <n v="70"/>
    <n v="356"/>
    <n v="426"/>
    <x v="0"/>
    <x v="0"/>
    <x v="1"/>
    <n v="42"/>
    <n v="4.5999999999999996"/>
  </r>
  <r>
    <x v="980"/>
    <x v="71"/>
    <x v="2"/>
    <n v="3"/>
    <n v="13"/>
    <s v="Thursday"/>
    <x v="0"/>
    <x v="3"/>
    <x v="2"/>
    <s v="Idli Sambar"/>
    <x v="3"/>
    <n v="1"/>
    <n v="318"/>
    <n v="47.7"/>
    <n v="70"/>
    <n v="318"/>
    <n v="340.3"/>
    <x v="0"/>
    <x v="0"/>
    <x v="1"/>
    <n v="66"/>
    <n v="4.0999999999999996"/>
  </r>
  <r>
    <x v="981"/>
    <x v="71"/>
    <x v="2"/>
    <n v="3"/>
    <n v="13"/>
    <s v="Thursday"/>
    <x v="1"/>
    <x v="9"/>
    <x v="0"/>
    <s v="Chicken Burger"/>
    <x v="2"/>
    <n v="2"/>
    <n v="414"/>
    <n v="0"/>
    <n v="60"/>
    <n v="828"/>
    <n v="888"/>
    <x v="3"/>
    <x v="0"/>
    <x v="1"/>
    <n v="63"/>
    <n v="4"/>
  </r>
  <r>
    <x v="982"/>
    <x v="71"/>
    <x v="2"/>
    <n v="3"/>
    <n v="13"/>
    <s v="Thursday"/>
    <x v="2"/>
    <x v="6"/>
    <x v="8"/>
    <s v="Idli Sambar"/>
    <x v="2"/>
    <n v="2"/>
    <n v="591"/>
    <n v="59.1"/>
    <n v="0"/>
    <n v="1182"/>
    <n v="1122.9000000000001"/>
    <x v="1"/>
    <x v="0"/>
    <x v="1"/>
    <n v="28"/>
    <n v="4.8"/>
  </r>
  <r>
    <x v="983"/>
    <x v="72"/>
    <x v="2"/>
    <n v="3"/>
    <n v="14"/>
    <s v="Friday"/>
    <x v="1"/>
    <x v="9"/>
    <x v="0"/>
    <s v="Cold Coffee"/>
    <x v="1"/>
    <n v="1"/>
    <n v="722"/>
    <n v="144.4"/>
    <n v="50"/>
    <n v="722"/>
    <n v="627.6"/>
    <x v="1"/>
    <x v="3"/>
    <x v="0"/>
    <n v="23"/>
    <m/>
  </r>
  <r>
    <x v="984"/>
    <x v="72"/>
    <x v="2"/>
    <n v="3"/>
    <n v="14"/>
    <s v="Friday"/>
    <x v="0"/>
    <x v="2"/>
    <x v="4"/>
    <s v="Chicken Burger"/>
    <x v="1"/>
    <n v="3"/>
    <n v="689"/>
    <n v="103.35"/>
    <n v="60"/>
    <n v="2067"/>
    <n v="2023.65"/>
    <x v="1"/>
    <x v="0"/>
    <x v="1"/>
    <n v="18"/>
    <n v="4.9000000000000004"/>
  </r>
  <r>
    <x v="985"/>
    <x v="72"/>
    <x v="2"/>
    <n v="3"/>
    <n v="14"/>
    <s v="Friday"/>
    <x v="7"/>
    <x v="14"/>
    <x v="3"/>
    <s v="Chicken Momos"/>
    <x v="1"/>
    <n v="2"/>
    <n v="557"/>
    <n v="83.55"/>
    <n v="30"/>
    <n v="1114"/>
    <n v="1060.45"/>
    <x v="1"/>
    <x v="0"/>
    <x v="1"/>
    <n v="55"/>
    <n v="4"/>
  </r>
  <r>
    <x v="986"/>
    <x v="72"/>
    <x v="2"/>
    <n v="3"/>
    <n v="14"/>
    <s v="Friday"/>
    <x v="3"/>
    <x v="7"/>
    <x v="9"/>
    <s v="Veg Burger"/>
    <x v="1"/>
    <n v="2"/>
    <n v="691"/>
    <n v="34.549999999999997"/>
    <n v="70"/>
    <n v="1382"/>
    <n v="1417.45"/>
    <x v="1"/>
    <x v="0"/>
    <x v="1"/>
    <n v="50"/>
    <n v="3.4"/>
  </r>
  <r>
    <x v="987"/>
    <x v="72"/>
    <x v="2"/>
    <n v="3"/>
    <n v="14"/>
    <s v="Friday"/>
    <x v="0"/>
    <x v="12"/>
    <x v="6"/>
    <s v="Pasta"/>
    <x v="1"/>
    <n v="1"/>
    <n v="572"/>
    <n v="85.8"/>
    <n v="50"/>
    <n v="572"/>
    <n v="536.20000000000005"/>
    <x v="1"/>
    <x v="1"/>
    <x v="1"/>
    <n v="51"/>
    <m/>
  </r>
  <r>
    <x v="988"/>
    <x v="72"/>
    <x v="2"/>
    <n v="3"/>
    <n v="14"/>
    <s v="Friday"/>
    <x v="0"/>
    <x v="12"/>
    <x v="2"/>
    <s v="Paneer Butter Masala"/>
    <x v="1"/>
    <n v="1"/>
    <n v="756"/>
    <n v="151.19999999999999"/>
    <n v="20"/>
    <n v="756"/>
    <n v="624.79999999999995"/>
    <x v="3"/>
    <x v="0"/>
    <x v="1"/>
    <n v="20"/>
    <n v="4.0999999999999996"/>
  </r>
  <r>
    <x v="989"/>
    <x v="72"/>
    <x v="2"/>
    <n v="3"/>
    <n v="14"/>
    <s v="Friday"/>
    <x v="5"/>
    <x v="12"/>
    <x v="0"/>
    <s v="Idli Sambar"/>
    <x v="1"/>
    <n v="1"/>
    <n v="656"/>
    <n v="32.799999999999997"/>
    <n v="50"/>
    <n v="656"/>
    <n v="673.2"/>
    <x v="1"/>
    <x v="0"/>
    <x v="1"/>
    <n v="19"/>
    <n v="3.1"/>
  </r>
  <r>
    <x v="990"/>
    <x v="72"/>
    <x v="2"/>
    <n v="3"/>
    <n v="14"/>
    <s v="Friday"/>
    <x v="1"/>
    <x v="3"/>
    <x v="3"/>
    <s v="Fried Rice"/>
    <x v="1"/>
    <n v="3"/>
    <n v="541"/>
    <n v="81.150000000000006"/>
    <n v="30"/>
    <n v="1623"/>
    <n v="1571.85"/>
    <x v="2"/>
    <x v="0"/>
    <x v="1"/>
    <n v="50"/>
    <n v="2.4"/>
  </r>
  <r>
    <x v="991"/>
    <x v="72"/>
    <x v="2"/>
    <n v="3"/>
    <n v="14"/>
    <s v="Friday"/>
    <x v="5"/>
    <x v="10"/>
    <x v="0"/>
    <s v="Chocolate Cake"/>
    <x v="1"/>
    <n v="1"/>
    <n v="728"/>
    <n v="182"/>
    <n v="0"/>
    <n v="728"/>
    <n v="546"/>
    <x v="2"/>
    <x v="0"/>
    <x v="0"/>
    <n v="51"/>
    <n v="4.2"/>
  </r>
  <r>
    <x v="992"/>
    <x v="72"/>
    <x v="2"/>
    <n v="3"/>
    <n v="14"/>
    <s v="Friday"/>
    <x v="6"/>
    <x v="8"/>
    <x v="7"/>
    <s v="Veg Momos"/>
    <x v="0"/>
    <n v="1"/>
    <n v="547"/>
    <n v="109.4"/>
    <n v="0"/>
    <n v="547"/>
    <n v="437.6"/>
    <x v="4"/>
    <x v="3"/>
    <x v="1"/>
    <n v="22"/>
    <m/>
  </r>
  <r>
    <x v="993"/>
    <x v="72"/>
    <x v="2"/>
    <n v="3"/>
    <n v="14"/>
    <s v="Friday"/>
    <x v="4"/>
    <x v="14"/>
    <x v="1"/>
    <s v="Fried Rice"/>
    <x v="1"/>
    <n v="2"/>
    <n v="599"/>
    <n v="59.9"/>
    <n v="50"/>
    <n v="1198"/>
    <n v="1188.0999999999999"/>
    <x v="2"/>
    <x v="0"/>
    <x v="1"/>
    <n v="62"/>
    <n v="4.4000000000000004"/>
  </r>
  <r>
    <x v="994"/>
    <x v="72"/>
    <x v="2"/>
    <n v="3"/>
    <n v="14"/>
    <s v="Friday"/>
    <x v="2"/>
    <x v="2"/>
    <x v="2"/>
    <s v="Idli Sambar"/>
    <x v="0"/>
    <n v="3"/>
    <n v="134"/>
    <n v="13.4"/>
    <n v="20"/>
    <n v="402"/>
    <n v="408.6"/>
    <x v="1"/>
    <x v="0"/>
    <x v="1"/>
    <n v="69"/>
    <n v="4.9000000000000004"/>
  </r>
  <r>
    <x v="995"/>
    <x v="72"/>
    <x v="2"/>
    <n v="3"/>
    <n v="14"/>
    <s v="Friday"/>
    <x v="6"/>
    <x v="4"/>
    <x v="1"/>
    <s v="Veg Pizza"/>
    <x v="1"/>
    <n v="3"/>
    <n v="869"/>
    <n v="130.35"/>
    <n v="0"/>
    <n v="2607"/>
    <n v="2476.65"/>
    <x v="4"/>
    <x v="0"/>
    <x v="1"/>
    <n v="60"/>
    <n v="4"/>
  </r>
  <r>
    <x v="996"/>
    <x v="72"/>
    <x v="2"/>
    <n v="3"/>
    <n v="14"/>
    <s v="Friday"/>
    <x v="9"/>
    <x v="8"/>
    <x v="8"/>
    <s v="Veg Pizza"/>
    <x v="1"/>
    <n v="2"/>
    <n v="244"/>
    <n v="36.6"/>
    <n v="60"/>
    <n v="488"/>
    <n v="511.4"/>
    <x v="1"/>
    <x v="0"/>
    <x v="1"/>
    <n v="65"/>
    <n v="3.6"/>
  </r>
  <r>
    <x v="997"/>
    <x v="72"/>
    <x v="2"/>
    <n v="3"/>
    <n v="14"/>
    <s v="Friday"/>
    <x v="9"/>
    <x v="13"/>
    <x v="4"/>
    <s v="Veg Burger"/>
    <x v="2"/>
    <n v="2"/>
    <n v="254"/>
    <n v="38.1"/>
    <n v="60"/>
    <n v="508"/>
    <n v="529.9"/>
    <x v="2"/>
    <x v="0"/>
    <x v="1"/>
    <n v="50"/>
    <n v="4.8"/>
  </r>
  <r>
    <x v="998"/>
    <x v="72"/>
    <x v="2"/>
    <n v="3"/>
    <n v="14"/>
    <s v="Friday"/>
    <x v="0"/>
    <x v="5"/>
    <x v="6"/>
    <s v="Pasta"/>
    <x v="1"/>
    <n v="2"/>
    <n v="529"/>
    <n v="52.9"/>
    <n v="20"/>
    <n v="1058"/>
    <n v="1025.0999999999999"/>
    <x v="1"/>
    <x v="0"/>
    <x v="1"/>
    <n v="62"/>
    <n v="2.6"/>
  </r>
  <r>
    <x v="999"/>
    <x v="72"/>
    <x v="2"/>
    <n v="3"/>
    <n v="14"/>
    <s v="Friday"/>
    <x v="6"/>
    <x v="12"/>
    <x v="2"/>
    <s v="Chocolate Cake"/>
    <x v="1"/>
    <n v="2"/>
    <n v="752"/>
    <n v="0"/>
    <n v="70"/>
    <n v="1504"/>
    <n v="1574"/>
    <x v="1"/>
    <x v="0"/>
    <x v="0"/>
    <n v="67"/>
    <n v="4"/>
  </r>
  <r>
    <x v="1000"/>
    <x v="73"/>
    <x v="2"/>
    <n v="3"/>
    <n v="15"/>
    <s v="Saturday"/>
    <x v="9"/>
    <x v="6"/>
    <x v="6"/>
    <s v="French Fries"/>
    <x v="2"/>
    <n v="1"/>
    <n v="663"/>
    <n v="66.3"/>
    <n v="30"/>
    <n v="663"/>
    <n v="626.70000000000005"/>
    <x v="1"/>
    <x v="0"/>
    <x v="0"/>
    <n v="46"/>
    <n v="3.4"/>
  </r>
  <r>
    <x v="1001"/>
    <x v="73"/>
    <x v="2"/>
    <n v="3"/>
    <n v="15"/>
    <s v="Saturday"/>
    <x v="3"/>
    <x v="1"/>
    <x v="9"/>
    <s v="Veg Biryani"/>
    <x v="2"/>
    <n v="3"/>
    <n v="555"/>
    <n v="55.5"/>
    <n v="40"/>
    <n v="1665"/>
    <n v="1649.5"/>
    <x v="1"/>
    <x v="0"/>
    <x v="1"/>
    <n v="56"/>
    <n v="5"/>
  </r>
  <r>
    <x v="1002"/>
    <x v="73"/>
    <x v="2"/>
    <n v="3"/>
    <n v="15"/>
    <s v="Saturday"/>
    <x v="3"/>
    <x v="14"/>
    <x v="9"/>
    <s v="Idli Sambar"/>
    <x v="1"/>
    <n v="1"/>
    <n v="868"/>
    <n v="86.8"/>
    <n v="50"/>
    <n v="868"/>
    <n v="831.2"/>
    <x v="2"/>
    <x v="2"/>
    <x v="1"/>
    <n v="48"/>
    <m/>
  </r>
  <r>
    <x v="1003"/>
    <x v="73"/>
    <x v="2"/>
    <n v="3"/>
    <n v="15"/>
    <s v="Saturday"/>
    <x v="1"/>
    <x v="3"/>
    <x v="0"/>
    <s v="Chicken Biryani"/>
    <x v="2"/>
    <n v="1"/>
    <n v="239"/>
    <n v="11.95"/>
    <n v="50"/>
    <n v="239"/>
    <n v="277.05"/>
    <x v="0"/>
    <x v="1"/>
    <x v="0"/>
    <n v="69"/>
    <m/>
  </r>
  <r>
    <x v="1004"/>
    <x v="73"/>
    <x v="2"/>
    <n v="3"/>
    <n v="15"/>
    <s v="Saturday"/>
    <x v="9"/>
    <x v="1"/>
    <x v="7"/>
    <s v="Veg Biryani"/>
    <x v="0"/>
    <n v="2"/>
    <n v="465"/>
    <n v="0"/>
    <n v="20"/>
    <n v="930"/>
    <n v="950"/>
    <x v="1"/>
    <x v="0"/>
    <x v="0"/>
    <n v="29"/>
    <n v="3.7"/>
  </r>
  <r>
    <x v="1005"/>
    <x v="73"/>
    <x v="2"/>
    <n v="3"/>
    <n v="15"/>
    <s v="Saturday"/>
    <x v="3"/>
    <x v="13"/>
    <x v="9"/>
    <s v="Chicken Pizza"/>
    <x v="1"/>
    <n v="2"/>
    <n v="166"/>
    <n v="41.5"/>
    <n v="30"/>
    <n v="332"/>
    <n v="320.5"/>
    <x v="0"/>
    <x v="0"/>
    <x v="1"/>
    <n v="19"/>
    <n v="3.6"/>
  </r>
  <r>
    <x v="1006"/>
    <x v="73"/>
    <x v="2"/>
    <n v="3"/>
    <n v="15"/>
    <s v="Saturday"/>
    <x v="3"/>
    <x v="2"/>
    <x v="2"/>
    <s v="Cold Coffee"/>
    <x v="1"/>
    <n v="2"/>
    <n v="238"/>
    <n v="35.700000000000003"/>
    <n v="0"/>
    <n v="476"/>
    <n v="440.3"/>
    <x v="1"/>
    <x v="0"/>
    <x v="1"/>
    <n v="50"/>
    <n v="3.7"/>
  </r>
  <r>
    <x v="1007"/>
    <x v="73"/>
    <x v="2"/>
    <n v="3"/>
    <n v="15"/>
    <s v="Saturday"/>
    <x v="3"/>
    <x v="11"/>
    <x v="2"/>
    <s v="Veg Burger"/>
    <x v="1"/>
    <n v="2"/>
    <n v="470"/>
    <n v="23.5"/>
    <n v="30"/>
    <n v="940"/>
    <n v="946.5"/>
    <x v="1"/>
    <x v="3"/>
    <x v="0"/>
    <n v="30"/>
    <m/>
  </r>
  <r>
    <x v="1008"/>
    <x v="73"/>
    <x v="2"/>
    <n v="3"/>
    <n v="15"/>
    <s v="Saturday"/>
    <x v="4"/>
    <x v="14"/>
    <x v="5"/>
    <s v="Veg Momos"/>
    <x v="2"/>
    <n v="2"/>
    <n v="780"/>
    <n v="195"/>
    <n v="50"/>
    <n v="1560"/>
    <n v="1415"/>
    <x v="1"/>
    <x v="2"/>
    <x v="0"/>
    <n v="18"/>
    <m/>
  </r>
  <r>
    <x v="1009"/>
    <x v="73"/>
    <x v="2"/>
    <n v="3"/>
    <n v="15"/>
    <s v="Saturday"/>
    <x v="1"/>
    <x v="2"/>
    <x v="0"/>
    <s v="French Fries"/>
    <x v="1"/>
    <n v="3"/>
    <n v="614"/>
    <n v="153.5"/>
    <n v="50"/>
    <n v="1842"/>
    <n v="1738.5"/>
    <x v="0"/>
    <x v="0"/>
    <x v="1"/>
    <n v="58"/>
    <n v="3.8"/>
  </r>
  <r>
    <x v="1010"/>
    <x v="73"/>
    <x v="2"/>
    <n v="3"/>
    <n v="15"/>
    <s v="Saturday"/>
    <x v="7"/>
    <x v="8"/>
    <x v="1"/>
    <s v="Veg Momos"/>
    <x v="1"/>
    <n v="1"/>
    <n v="311"/>
    <n v="62.2"/>
    <n v="0"/>
    <n v="311"/>
    <n v="248.8"/>
    <x v="1"/>
    <x v="0"/>
    <x v="0"/>
    <n v="43"/>
    <n v="3.9"/>
  </r>
  <r>
    <x v="1011"/>
    <x v="74"/>
    <x v="2"/>
    <n v="3"/>
    <n v="16"/>
    <s v="Sunday"/>
    <x v="1"/>
    <x v="14"/>
    <x v="1"/>
    <s v="Paneer Butter Masala"/>
    <x v="1"/>
    <n v="1"/>
    <n v="552"/>
    <n v="55.2"/>
    <n v="40"/>
    <n v="552"/>
    <n v="536.79999999999995"/>
    <x v="2"/>
    <x v="0"/>
    <x v="0"/>
    <n v="38"/>
    <n v="3.2"/>
  </r>
  <r>
    <x v="1012"/>
    <x v="74"/>
    <x v="2"/>
    <n v="3"/>
    <n v="16"/>
    <s v="Sunday"/>
    <x v="0"/>
    <x v="5"/>
    <x v="0"/>
    <s v="Veg Burger"/>
    <x v="1"/>
    <n v="1"/>
    <n v="354"/>
    <n v="70.8"/>
    <n v="70"/>
    <n v="354"/>
    <n v="353.2"/>
    <x v="4"/>
    <x v="0"/>
    <x v="0"/>
    <n v="64"/>
    <n v="3.8"/>
  </r>
  <r>
    <x v="1013"/>
    <x v="74"/>
    <x v="2"/>
    <n v="3"/>
    <n v="16"/>
    <s v="Sunday"/>
    <x v="6"/>
    <x v="5"/>
    <x v="4"/>
    <s v="Chicken Biryani"/>
    <x v="2"/>
    <n v="2"/>
    <n v="673"/>
    <n v="168.25"/>
    <n v="30"/>
    <n v="1346"/>
    <n v="1207.75"/>
    <x v="2"/>
    <x v="0"/>
    <x v="1"/>
    <n v="52"/>
    <n v="3.6"/>
  </r>
  <r>
    <x v="1014"/>
    <x v="74"/>
    <x v="2"/>
    <n v="3"/>
    <n v="16"/>
    <s v="Sunday"/>
    <x v="6"/>
    <x v="5"/>
    <x v="6"/>
    <s v="Veg Pizza"/>
    <x v="1"/>
    <n v="1"/>
    <n v="678"/>
    <n v="135.6"/>
    <n v="50"/>
    <n v="678"/>
    <n v="592.4"/>
    <x v="4"/>
    <x v="0"/>
    <x v="0"/>
    <n v="18"/>
    <n v="4.5999999999999996"/>
  </r>
  <r>
    <x v="1015"/>
    <x v="74"/>
    <x v="2"/>
    <n v="3"/>
    <n v="16"/>
    <s v="Sunday"/>
    <x v="9"/>
    <x v="11"/>
    <x v="1"/>
    <s v="Chicken Momos"/>
    <x v="1"/>
    <n v="3"/>
    <n v="407"/>
    <n v="40.700000000000003"/>
    <n v="50"/>
    <n v="1221"/>
    <n v="1230.3"/>
    <x v="2"/>
    <x v="0"/>
    <x v="1"/>
    <n v="34"/>
    <n v="4"/>
  </r>
  <r>
    <x v="1016"/>
    <x v="74"/>
    <x v="2"/>
    <n v="3"/>
    <n v="16"/>
    <s v="Sunday"/>
    <x v="0"/>
    <x v="7"/>
    <x v="0"/>
    <s v="Cold Coffee"/>
    <x v="1"/>
    <n v="1"/>
    <n v="394"/>
    <n v="59.1"/>
    <n v="0"/>
    <n v="394"/>
    <n v="334.9"/>
    <x v="2"/>
    <x v="0"/>
    <x v="0"/>
    <n v="35"/>
    <n v="4.8"/>
  </r>
  <r>
    <x v="1017"/>
    <x v="74"/>
    <x v="2"/>
    <n v="3"/>
    <n v="16"/>
    <s v="Sunday"/>
    <x v="4"/>
    <x v="4"/>
    <x v="4"/>
    <s v="Chicken Biryani"/>
    <x v="2"/>
    <n v="2"/>
    <n v="667"/>
    <n v="100.05"/>
    <n v="50"/>
    <n v="1334"/>
    <n v="1283.95"/>
    <x v="1"/>
    <x v="0"/>
    <x v="1"/>
    <n v="39"/>
    <n v="3.3"/>
  </r>
  <r>
    <x v="1018"/>
    <x v="74"/>
    <x v="2"/>
    <n v="3"/>
    <n v="16"/>
    <s v="Sunday"/>
    <x v="5"/>
    <x v="10"/>
    <x v="9"/>
    <s v="Cold Coffee"/>
    <x v="1"/>
    <n v="1"/>
    <n v="398"/>
    <n v="39.799999999999997"/>
    <n v="60"/>
    <n v="398"/>
    <n v="418.2"/>
    <x v="1"/>
    <x v="1"/>
    <x v="1"/>
    <n v="21"/>
    <m/>
  </r>
  <r>
    <x v="1019"/>
    <x v="74"/>
    <x v="2"/>
    <n v="3"/>
    <n v="16"/>
    <s v="Sunday"/>
    <x v="1"/>
    <x v="11"/>
    <x v="9"/>
    <s v="Masala Dosa"/>
    <x v="1"/>
    <n v="1"/>
    <n v="727"/>
    <n v="145.4"/>
    <n v="30"/>
    <n v="727"/>
    <n v="611.6"/>
    <x v="1"/>
    <x v="0"/>
    <x v="1"/>
    <n v="45"/>
    <n v="4.4000000000000004"/>
  </r>
  <r>
    <x v="1020"/>
    <x v="74"/>
    <x v="2"/>
    <n v="3"/>
    <n v="16"/>
    <s v="Sunday"/>
    <x v="1"/>
    <x v="2"/>
    <x v="6"/>
    <s v="Fried Rice"/>
    <x v="1"/>
    <n v="2"/>
    <n v="632"/>
    <n v="63.2"/>
    <n v="50"/>
    <n v="1264"/>
    <n v="1250.8"/>
    <x v="4"/>
    <x v="0"/>
    <x v="1"/>
    <n v="20"/>
    <n v="4.7"/>
  </r>
  <r>
    <x v="1021"/>
    <x v="74"/>
    <x v="2"/>
    <n v="3"/>
    <n v="16"/>
    <s v="Sunday"/>
    <x v="5"/>
    <x v="12"/>
    <x v="5"/>
    <s v="Veg Burger"/>
    <x v="1"/>
    <n v="3"/>
    <n v="709"/>
    <n v="141.80000000000001"/>
    <n v="40"/>
    <n v="2127"/>
    <n v="2025.2"/>
    <x v="4"/>
    <x v="0"/>
    <x v="1"/>
    <n v="47"/>
    <n v="4.8"/>
  </r>
  <r>
    <x v="1022"/>
    <x v="74"/>
    <x v="2"/>
    <n v="3"/>
    <n v="16"/>
    <s v="Sunday"/>
    <x v="2"/>
    <x v="9"/>
    <x v="8"/>
    <s v="Veg Burger"/>
    <x v="1"/>
    <n v="2"/>
    <n v="149"/>
    <n v="0"/>
    <n v="30"/>
    <n v="298"/>
    <n v="328"/>
    <x v="4"/>
    <x v="0"/>
    <x v="1"/>
    <n v="48"/>
    <n v="3.6"/>
  </r>
  <r>
    <x v="1023"/>
    <x v="74"/>
    <x v="2"/>
    <n v="3"/>
    <n v="16"/>
    <s v="Sunday"/>
    <x v="4"/>
    <x v="13"/>
    <x v="5"/>
    <s v="Veg Pizza"/>
    <x v="1"/>
    <n v="3"/>
    <n v="538"/>
    <n v="26.9"/>
    <n v="20"/>
    <n v="1614"/>
    <n v="1607.1"/>
    <x v="2"/>
    <x v="0"/>
    <x v="1"/>
    <n v="21"/>
    <n v="4.3"/>
  </r>
  <r>
    <x v="1024"/>
    <x v="74"/>
    <x v="2"/>
    <n v="3"/>
    <n v="16"/>
    <s v="Sunday"/>
    <x v="2"/>
    <x v="6"/>
    <x v="7"/>
    <s v="Cold Coffee"/>
    <x v="1"/>
    <n v="2"/>
    <n v="289"/>
    <n v="57.8"/>
    <n v="50"/>
    <n v="578"/>
    <n v="570.20000000000005"/>
    <x v="3"/>
    <x v="0"/>
    <x v="0"/>
    <n v="24"/>
    <n v="4.7"/>
  </r>
  <r>
    <x v="1025"/>
    <x v="74"/>
    <x v="2"/>
    <n v="3"/>
    <n v="16"/>
    <s v="Sunday"/>
    <x v="5"/>
    <x v="9"/>
    <x v="2"/>
    <s v="Chicken Momos"/>
    <x v="1"/>
    <n v="1"/>
    <n v="526"/>
    <n v="78.900000000000006"/>
    <n v="70"/>
    <n v="526"/>
    <n v="517.1"/>
    <x v="2"/>
    <x v="0"/>
    <x v="0"/>
    <n v="47"/>
    <n v="4.3"/>
  </r>
  <r>
    <x v="1026"/>
    <x v="74"/>
    <x v="2"/>
    <n v="3"/>
    <n v="16"/>
    <s v="Sunday"/>
    <x v="3"/>
    <x v="8"/>
    <x v="6"/>
    <s v="Paneer Butter Masala"/>
    <x v="1"/>
    <n v="1"/>
    <n v="793"/>
    <n v="79.3"/>
    <n v="50"/>
    <n v="793"/>
    <n v="763.7"/>
    <x v="1"/>
    <x v="2"/>
    <x v="1"/>
    <n v="37"/>
    <m/>
  </r>
  <r>
    <x v="1027"/>
    <x v="74"/>
    <x v="2"/>
    <n v="3"/>
    <n v="16"/>
    <s v="Sunday"/>
    <x v="8"/>
    <x v="10"/>
    <x v="6"/>
    <s v="Paneer Butter Masala"/>
    <x v="1"/>
    <n v="1"/>
    <n v="300"/>
    <n v="75"/>
    <n v="50"/>
    <n v="300"/>
    <n v="275"/>
    <x v="1"/>
    <x v="0"/>
    <x v="1"/>
    <n v="36"/>
    <n v="3.2"/>
  </r>
  <r>
    <x v="1028"/>
    <x v="75"/>
    <x v="2"/>
    <n v="3"/>
    <n v="17"/>
    <s v="Monday"/>
    <x v="5"/>
    <x v="3"/>
    <x v="6"/>
    <s v="Chicken Momos"/>
    <x v="1"/>
    <n v="2"/>
    <n v="464"/>
    <n v="69.599999999999994"/>
    <n v="30"/>
    <n v="928"/>
    <n v="888.4"/>
    <x v="1"/>
    <x v="0"/>
    <x v="1"/>
    <n v="31"/>
    <n v="3.9"/>
  </r>
  <r>
    <x v="1029"/>
    <x v="75"/>
    <x v="2"/>
    <n v="3"/>
    <n v="17"/>
    <s v="Monday"/>
    <x v="5"/>
    <x v="7"/>
    <x v="8"/>
    <s v="Chicken Burger"/>
    <x v="1"/>
    <n v="3"/>
    <n v="609"/>
    <n v="121.8"/>
    <n v="20"/>
    <n v="1827"/>
    <n v="1725.2"/>
    <x v="2"/>
    <x v="0"/>
    <x v="1"/>
    <n v="64"/>
    <n v="4.2"/>
  </r>
  <r>
    <x v="1030"/>
    <x v="75"/>
    <x v="2"/>
    <n v="3"/>
    <n v="17"/>
    <s v="Monday"/>
    <x v="1"/>
    <x v="3"/>
    <x v="5"/>
    <s v="Chocolate Cake"/>
    <x v="1"/>
    <n v="1"/>
    <n v="361"/>
    <n v="36.1"/>
    <n v="50"/>
    <n v="361"/>
    <n v="374.9"/>
    <x v="1"/>
    <x v="0"/>
    <x v="1"/>
    <n v="68"/>
    <n v="2.5"/>
  </r>
  <r>
    <x v="1031"/>
    <x v="75"/>
    <x v="2"/>
    <n v="3"/>
    <n v="17"/>
    <s v="Monday"/>
    <x v="9"/>
    <x v="12"/>
    <x v="7"/>
    <s v="Veg Momos"/>
    <x v="1"/>
    <n v="3"/>
    <n v="545"/>
    <n v="54.5"/>
    <n v="40"/>
    <n v="1635"/>
    <n v="1620.5"/>
    <x v="2"/>
    <x v="3"/>
    <x v="1"/>
    <n v="44"/>
    <m/>
  </r>
  <r>
    <x v="1032"/>
    <x v="75"/>
    <x v="2"/>
    <n v="3"/>
    <n v="17"/>
    <s v="Monday"/>
    <x v="2"/>
    <x v="4"/>
    <x v="9"/>
    <s v="Chicken Pizza"/>
    <x v="1"/>
    <n v="1"/>
    <n v="281"/>
    <n v="28.1"/>
    <n v="50"/>
    <n v="281"/>
    <n v="302.89999999999998"/>
    <x v="1"/>
    <x v="0"/>
    <x v="0"/>
    <n v="53"/>
    <n v="5"/>
  </r>
  <r>
    <x v="1033"/>
    <x v="75"/>
    <x v="2"/>
    <n v="3"/>
    <n v="17"/>
    <s v="Monday"/>
    <x v="6"/>
    <x v="14"/>
    <x v="1"/>
    <s v="Chocolate Cake"/>
    <x v="1"/>
    <n v="2"/>
    <n v="255"/>
    <n v="63.75"/>
    <n v="50"/>
    <n v="510"/>
    <n v="496.25"/>
    <x v="1"/>
    <x v="0"/>
    <x v="1"/>
    <n v="32"/>
    <n v="5"/>
  </r>
  <r>
    <x v="1034"/>
    <x v="75"/>
    <x v="2"/>
    <n v="3"/>
    <n v="17"/>
    <s v="Monday"/>
    <x v="9"/>
    <x v="10"/>
    <x v="5"/>
    <s v="Chicken Momos"/>
    <x v="1"/>
    <n v="1"/>
    <n v="886"/>
    <n v="0"/>
    <n v="40"/>
    <n v="886"/>
    <n v="926"/>
    <x v="2"/>
    <x v="0"/>
    <x v="1"/>
    <n v="42"/>
    <n v="4.8"/>
  </r>
  <r>
    <x v="1035"/>
    <x v="75"/>
    <x v="2"/>
    <n v="3"/>
    <n v="17"/>
    <s v="Monday"/>
    <x v="1"/>
    <x v="14"/>
    <x v="2"/>
    <s v="Veg Momos"/>
    <x v="2"/>
    <n v="1"/>
    <n v="760"/>
    <n v="190"/>
    <n v="30"/>
    <n v="760"/>
    <n v="600"/>
    <x v="4"/>
    <x v="0"/>
    <x v="1"/>
    <n v="54"/>
    <n v="4.5999999999999996"/>
  </r>
  <r>
    <x v="1036"/>
    <x v="75"/>
    <x v="2"/>
    <n v="3"/>
    <n v="17"/>
    <s v="Monday"/>
    <x v="3"/>
    <x v="14"/>
    <x v="8"/>
    <s v="Cold Coffee"/>
    <x v="0"/>
    <n v="2"/>
    <n v="804"/>
    <n v="80.400000000000006"/>
    <n v="20"/>
    <n v="1608"/>
    <n v="1547.6"/>
    <x v="2"/>
    <x v="0"/>
    <x v="1"/>
    <n v="23"/>
    <n v="4.3"/>
  </r>
  <r>
    <x v="1037"/>
    <x v="75"/>
    <x v="2"/>
    <n v="3"/>
    <n v="17"/>
    <s v="Monday"/>
    <x v="3"/>
    <x v="1"/>
    <x v="4"/>
    <s v="Idli Sambar"/>
    <x v="0"/>
    <n v="1"/>
    <n v="622"/>
    <n v="124.4"/>
    <n v="60"/>
    <n v="622"/>
    <n v="557.6"/>
    <x v="1"/>
    <x v="0"/>
    <x v="1"/>
    <n v="23"/>
    <n v="4.8"/>
  </r>
  <r>
    <x v="1038"/>
    <x v="75"/>
    <x v="2"/>
    <n v="3"/>
    <n v="17"/>
    <s v="Monday"/>
    <x v="1"/>
    <x v="9"/>
    <x v="8"/>
    <s v="Pasta"/>
    <x v="1"/>
    <n v="3"/>
    <n v="703"/>
    <n v="35.15"/>
    <n v="20"/>
    <n v="2109"/>
    <n v="2093.85"/>
    <x v="1"/>
    <x v="2"/>
    <x v="1"/>
    <n v="47"/>
    <m/>
  </r>
  <r>
    <x v="1039"/>
    <x v="75"/>
    <x v="2"/>
    <n v="3"/>
    <n v="17"/>
    <s v="Monday"/>
    <x v="5"/>
    <x v="7"/>
    <x v="6"/>
    <s v="Paneer Butter Masala"/>
    <x v="2"/>
    <n v="2"/>
    <n v="247"/>
    <n v="24.7"/>
    <n v="40"/>
    <n v="494"/>
    <n v="509.3"/>
    <x v="0"/>
    <x v="0"/>
    <x v="1"/>
    <n v="54"/>
    <n v="4.5999999999999996"/>
  </r>
  <r>
    <x v="1040"/>
    <x v="75"/>
    <x v="2"/>
    <n v="3"/>
    <n v="17"/>
    <s v="Monday"/>
    <x v="3"/>
    <x v="5"/>
    <x v="4"/>
    <s v="Veg Biryani"/>
    <x v="1"/>
    <n v="2"/>
    <n v="821"/>
    <n v="164.2"/>
    <n v="40"/>
    <n v="1642"/>
    <n v="1517.8"/>
    <x v="1"/>
    <x v="0"/>
    <x v="1"/>
    <n v="62"/>
    <n v="4.8"/>
  </r>
  <r>
    <x v="1041"/>
    <x v="75"/>
    <x v="2"/>
    <n v="3"/>
    <n v="17"/>
    <s v="Monday"/>
    <x v="1"/>
    <x v="8"/>
    <x v="0"/>
    <s v="Cold Coffee"/>
    <x v="1"/>
    <n v="2"/>
    <n v="331"/>
    <n v="33.1"/>
    <n v="0"/>
    <n v="662"/>
    <n v="628.9"/>
    <x v="2"/>
    <x v="0"/>
    <x v="1"/>
    <n v="63"/>
    <n v="2.8"/>
  </r>
  <r>
    <x v="1042"/>
    <x v="75"/>
    <x v="2"/>
    <n v="3"/>
    <n v="17"/>
    <s v="Monday"/>
    <x v="5"/>
    <x v="10"/>
    <x v="0"/>
    <s v="Veg Biryani"/>
    <x v="0"/>
    <n v="2"/>
    <n v="695"/>
    <n v="69.5"/>
    <n v="50"/>
    <n v="1390"/>
    <n v="1370.5"/>
    <x v="1"/>
    <x v="0"/>
    <x v="1"/>
    <n v="58"/>
    <n v="4.0999999999999996"/>
  </r>
  <r>
    <x v="1043"/>
    <x v="75"/>
    <x v="2"/>
    <n v="3"/>
    <n v="17"/>
    <s v="Monday"/>
    <x v="2"/>
    <x v="10"/>
    <x v="5"/>
    <s v="Paneer Butter Masala"/>
    <x v="1"/>
    <n v="1"/>
    <n v="509"/>
    <n v="76.349999999999994"/>
    <n v="30"/>
    <n v="509"/>
    <n v="462.65"/>
    <x v="2"/>
    <x v="0"/>
    <x v="1"/>
    <n v="45"/>
    <n v="5"/>
  </r>
  <r>
    <x v="1044"/>
    <x v="76"/>
    <x v="2"/>
    <n v="3"/>
    <n v="18"/>
    <s v="Tuesday"/>
    <x v="5"/>
    <x v="5"/>
    <x v="8"/>
    <s v="Cold Coffee"/>
    <x v="1"/>
    <n v="2"/>
    <n v="593"/>
    <n v="88.95"/>
    <n v="0"/>
    <n v="1186"/>
    <n v="1097.05"/>
    <x v="4"/>
    <x v="0"/>
    <x v="0"/>
    <n v="59"/>
    <n v="4"/>
  </r>
  <r>
    <x v="1045"/>
    <x v="76"/>
    <x v="2"/>
    <n v="3"/>
    <n v="18"/>
    <s v="Tuesday"/>
    <x v="3"/>
    <x v="9"/>
    <x v="6"/>
    <s v="Chicken Burger"/>
    <x v="2"/>
    <n v="3"/>
    <n v="586"/>
    <n v="0"/>
    <n v="60"/>
    <n v="1758"/>
    <n v="1818"/>
    <x v="0"/>
    <x v="0"/>
    <x v="1"/>
    <n v="30"/>
    <n v="4.0999999999999996"/>
  </r>
  <r>
    <x v="1046"/>
    <x v="76"/>
    <x v="2"/>
    <n v="3"/>
    <n v="18"/>
    <s v="Tuesday"/>
    <x v="4"/>
    <x v="13"/>
    <x v="8"/>
    <s v="Veg Biryani"/>
    <x v="1"/>
    <n v="2"/>
    <n v="830"/>
    <n v="83"/>
    <n v="0"/>
    <n v="1660"/>
    <n v="1577"/>
    <x v="1"/>
    <x v="0"/>
    <x v="1"/>
    <n v="33"/>
    <n v="4.2"/>
  </r>
  <r>
    <x v="1047"/>
    <x v="76"/>
    <x v="2"/>
    <n v="3"/>
    <n v="18"/>
    <s v="Tuesday"/>
    <x v="1"/>
    <x v="2"/>
    <x v="7"/>
    <s v="Veg Burger"/>
    <x v="2"/>
    <n v="1"/>
    <n v="455"/>
    <n v="68.25"/>
    <n v="40"/>
    <n v="455"/>
    <n v="426.75"/>
    <x v="0"/>
    <x v="0"/>
    <x v="0"/>
    <n v="57"/>
    <n v="4.3"/>
  </r>
  <r>
    <x v="1048"/>
    <x v="76"/>
    <x v="2"/>
    <n v="3"/>
    <n v="18"/>
    <s v="Tuesday"/>
    <x v="3"/>
    <x v="6"/>
    <x v="6"/>
    <s v="Paneer Butter Masala"/>
    <x v="1"/>
    <n v="2"/>
    <n v="420"/>
    <n v="42"/>
    <n v="20"/>
    <n v="840"/>
    <n v="818"/>
    <x v="2"/>
    <x v="0"/>
    <x v="1"/>
    <n v="69"/>
    <n v="4.5"/>
  </r>
  <r>
    <x v="1049"/>
    <x v="76"/>
    <x v="2"/>
    <n v="3"/>
    <n v="18"/>
    <s v="Tuesday"/>
    <x v="3"/>
    <x v="2"/>
    <x v="7"/>
    <s v="Chicken Burger"/>
    <x v="2"/>
    <n v="2"/>
    <n v="547"/>
    <n v="82.05"/>
    <n v="60"/>
    <n v="1094"/>
    <n v="1071.95"/>
    <x v="4"/>
    <x v="0"/>
    <x v="1"/>
    <n v="20"/>
    <n v="4.8"/>
  </r>
  <r>
    <x v="1050"/>
    <x v="76"/>
    <x v="2"/>
    <n v="3"/>
    <n v="18"/>
    <s v="Tuesday"/>
    <x v="2"/>
    <x v="1"/>
    <x v="7"/>
    <s v="Paneer Butter Masala"/>
    <x v="1"/>
    <n v="1"/>
    <n v="788"/>
    <n v="118.2"/>
    <n v="40"/>
    <n v="788"/>
    <n v="709.8"/>
    <x v="2"/>
    <x v="2"/>
    <x v="1"/>
    <n v="51"/>
    <m/>
  </r>
  <r>
    <x v="1051"/>
    <x v="76"/>
    <x v="2"/>
    <n v="3"/>
    <n v="18"/>
    <s v="Tuesday"/>
    <x v="2"/>
    <x v="0"/>
    <x v="8"/>
    <s v="Veg Burger"/>
    <x v="1"/>
    <n v="1"/>
    <n v="404"/>
    <n v="101"/>
    <n v="40"/>
    <n v="404"/>
    <n v="343"/>
    <x v="1"/>
    <x v="0"/>
    <x v="0"/>
    <n v="25"/>
    <n v="4.3"/>
  </r>
  <r>
    <x v="1052"/>
    <x v="77"/>
    <x v="2"/>
    <n v="3"/>
    <n v="19"/>
    <s v="Wednesday"/>
    <x v="5"/>
    <x v="11"/>
    <x v="9"/>
    <s v="Paneer Butter Masala"/>
    <x v="1"/>
    <n v="3"/>
    <n v="553"/>
    <n v="27.65"/>
    <n v="20"/>
    <n v="1659"/>
    <n v="1651.35"/>
    <x v="2"/>
    <x v="0"/>
    <x v="1"/>
    <n v="53"/>
    <n v="5"/>
  </r>
  <r>
    <x v="1053"/>
    <x v="77"/>
    <x v="2"/>
    <n v="3"/>
    <n v="19"/>
    <s v="Wednesday"/>
    <x v="4"/>
    <x v="11"/>
    <x v="7"/>
    <s v="Veg Pizza"/>
    <x v="1"/>
    <n v="1"/>
    <n v="179"/>
    <n v="35.799999999999997"/>
    <n v="30"/>
    <n v="179"/>
    <n v="173.2"/>
    <x v="0"/>
    <x v="0"/>
    <x v="1"/>
    <n v="57"/>
    <n v="4.5999999999999996"/>
  </r>
  <r>
    <x v="1054"/>
    <x v="77"/>
    <x v="2"/>
    <n v="3"/>
    <n v="19"/>
    <s v="Wednesday"/>
    <x v="7"/>
    <x v="6"/>
    <x v="4"/>
    <s v="Veg Burger"/>
    <x v="1"/>
    <n v="3"/>
    <n v="700"/>
    <n v="70"/>
    <n v="30"/>
    <n v="2100"/>
    <n v="2060"/>
    <x v="1"/>
    <x v="3"/>
    <x v="0"/>
    <n v="49"/>
    <m/>
  </r>
  <r>
    <x v="1055"/>
    <x v="77"/>
    <x v="2"/>
    <n v="3"/>
    <n v="19"/>
    <s v="Wednesday"/>
    <x v="7"/>
    <x v="7"/>
    <x v="5"/>
    <s v="Idli Sambar"/>
    <x v="1"/>
    <n v="2"/>
    <n v="126"/>
    <n v="12.6"/>
    <n v="0"/>
    <n v="252"/>
    <n v="239.4"/>
    <x v="2"/>
    <x v="0"/>
    <x v="1"/>
    <n v="64"/>
    <n v="3.8"/>
  </r>
  <r>
    <x v="1056"/>
    <x v="77"/>
    <x v="2"/>
    <n v="3"/>
    <n v="19"/>
    <s v="Wednesday"/>
    <x v="3"/>
    <x v="2"/>
    <x v="2"/>
    <s v="Chicken Momos"/>
    <x v="1"/>
    <n v="1"/>
    <n v="208"/>
    <n v="31.2"/>
    <n v="30"/>
    <n v="208"/>
    <n v="206.8"/>
    <x v="4"/>
    <x v="0"/>
    <x v="1"/>
    <n v="51"/>
    <n v="3.6"/>
  </r>
  <r>
    <x v="1057"/>
    <x v="77"/>
    <x v="2"/>
    <n v="3"/>
    <n v="19"/>
    <s v="Wednesday"/>
    <x v="3"/>
    <x v="4"/>
    <x v="8"/>
    <s v="French Fries"/>
    <x v="1"/>
    <n v="3"/>
    <n v="711"/>
    <n v="0"/>
    <n v="30"/>
    <n v="2133"/>
    <n v="2163"/>
    <x v="0"/>
    <x v="0"/>
    <x v="0"/>
    <n v="41"/>
    <n v="4.5999999999999996"/>
  </r>
  <r>
    <x v="1058"/>
    <x v="77"/>
    <x v="2"/>
    <n v="3"/>
    <n v="19"/>
    <s v="Wednesday"/>
    <x v="1"/>
    <x v="14"/>
    <x v="9"/>
    <s v="Idli Sambar"/>
    <x v="1"/>
    <n v="2"/>
    <n v="871"/>
    <n v="0"/>
    <n v="50"/>
    <n v="1742"/>
    <n v="1792"/>
    <x v="1"/>
    <x v="0"/>
    <x v="1"/>
    <n v="27"/>
    <n v="4.0999999999999996"/>
  </r>
  <r>
    <x v="1059"/>
    <x v="77"/>
    <x v="2"/>
    <n v="3"/>
    <n v="19"/>
    <s v="Wednesday"/>
    <x v="5"/>
    <x v="0"/>
    <x v="6"/>
    <s v="Veg Momos"/>
    <x v="2"/>
    <n v="2"/>
    <n v="504"/>
    <n v="75.599999999999994"/>
    <n v="30"/>
    <n v="1008"/>
    <n v="962.4"/>
    <x v="0"/>
    <x v="0"/>
    <x v="1"/>
    <n v="56"/>
    <n v="4.0999999999999996"/>
  </r>
  <r>
    <x v="1060"/>
    <x v="77"/>
    <x v="2"/>
    <n v="3"/>
    <n v="19"/>
    <s v="Wednesday"/>
    <x v="7"/>
    <x v="10"/>
    <x v="2"/>
    <s v="Fried Rice"/>
    <x v="2"/>
    <n v="1"/>
    <n v="791"/>
    <n v="79.099999999999994"/>
    <n v="0"/>
    <n v="791"/>
    <n v="711.9"/>
    <x v="1"/>
    <x v="0"/>
    <x v="0"/>
    <n v="29"/>
    <n v="4"/>
  </r>
  <r>
    <x v="1061"/>
    <x v="77"/>
    <x v="2"/>
    <n v="3"/>
    <n v="19"/>
    <s v="Wednesday"/>
    <x v="3"/>
    <x v="13"/>
    <x v="6"/>
    <s v="Chocolate Cake"/>
    <x v="2"/>
    <n v="2"/>
    <n v="390"/>
    <n v="78"/>
    <n v="50"/>
    <n v="780"/>
    <n v="752"/>
    <x v="1"/>
    <x v="0"/>
    <x v="1"/>
    <n v="64"/>
    <n v="3.2"/>
  </r>
  <r>
    <x v="1062"/>
    <x v="77"/>
    <x v="2"/>
    <n v="3"/>
    <n v="19"/>
    <s v="Wednesday"/>
    <x v="0"/>
    <x v="10"/>
    <x v="8"/>
    <s v="Cold Coffee"/>
    <x v="1"/>
    <n v="2"/>
    <n v="706"/>
    <n v="105.9"/>
    <n v="60"/>
    <n v="1412"/>
    <n v="1366.1"/>
    <x v="0"/>
    <x v="0"/>
    <x v="0"/>
    <n v="19"/>
    <n v="4.0999999999999996"/>
  </r>
  <r>
    <x v="1063"/>
    <x v="78"/>
    <x v="2"/>
    <n v="3"/>
    <n v="20"/>
    <s v="Thursday"/>
    <x v="1"/>
    <x v="12"/>
    <x v="2"/>
    <s v="Chicken Biryani"/>
    <x v="1"/>
    <n v="2"/>
    <n v="483"/>
    <n v="72.45"/>
    <n v="0"/>
    <n v="966"/>
    <n v="893.55"/>
    <x v="2"/>
    <x v="0"/>
    <x v="1"/>
    <n v="46"/>
    <n v="4.4000000000000004"/>
  </r>
  <r>
    <x v="1064"/>
    <x v="78"/>
    <x v="2"/>
    <n v="3"/>
    <n v="20"/>
    <s v="Thursday"/>
    <x v="4"/>
    <x v="1"/>
    <x v="2"/>
    <s v="Veg Momos"/>
    <x v="3"/>
    <n v="1"/>
    <n v="607"/>
    <n v="91.05"/>
    <n v="20"/>
    <n v="607"/>
    <n v="535.95000000000005"/>
    <x v="4"/>
    <x v="0"/>
    <x v="1"/>
    <n v="51"/>
    <n v="2.7"/>
  </r>
  <r>
    <x v="1065"/>
    <x v="78"/>
    <x v="2"/>
    <n v="3"/>
    <n v="20"/>
    <s v="Thursday"/>
    <x v="0"/>
    <x v="4"/>
    <x v="5"/>
    <s v="Chicken Pizza"/>
    <x v="2"/>
    <n v="3"/>
    <n v="186"/>
    <n v="27.9"/>
    <n v="0"/>
    <n v="558"/>
    <n v="530.1"/>
    <x v="1"/>
    <x v="0"/>
    <x v="0"/>
    <n v="46"/>
    <n v="3.5"/>
  </r>
  <r>
    <x v="1066"/>
    <x v="78"/>
    <x v="2"/>
    <n v="3"/>
    <n v="20"/>
    <s v="Thursday"/>
    <x v="6"/>
    <x v="5"/>
    <x v="4"/>
    <s v="Veg Momos"/>
    <x v="1"/>
    <n v="3"/>
    <n v="144"/>
    <n v="0"/>
    <n v="50"/>
    <n v="432"/>
    <n v="482"/>
    <x v="1"/>
    <x v="0"/>
    <x v="1"/>
    <n v="28"/>
    <n v="3.9"/>
  </r>
  <r>
    <x v="1067"/>
    <x v="78"/>
    <x v="2"/>
    <n v="3"/>
    <n v="20"/>
    <s v="Thursday"/>
    <x v="7"/>
    <x v="11"/>
    <x v="8"/>
    <s v="Chicken Momos"/>
    <x v="1"/>
    <n v="1"/>
    <n v="396"/>
    <n v="19.8"/>
    <n v="60"/>
    <n v="396"/>
    <n v="436.2"/>
    <x v="3"/>
    <x v="0"/>
    <x v="1"/>
    <n v="21"/>
    <n v="3.8"/>
  </r>
  <r>
    <x v="1068"/>
    <x v="78"/>
    <x v="2"/>
    <n v="3"/>
    <n v="20"/>
    <s v="Thursday"/>
    <x v="9"/>
    <x v="14"/>
    <x v="1"/>
    <s v="Veg Biryani"/>
    <x v="1"/>
    <n v="2"/>
    <n v="878"/>
    <n v="175.6"/>
    <n v="70"/>
    <n v="1756"/>
    <n v="1650.4"/>
    <x v="1"/>
    <x v="0"/>
    <x v="1"/>
    <n v="42"/>
    <n v="4.8"/>
  </r>
  <r>
    <x v="1069"/>
    <x v="78"/>
    <x v="2"/>
    <n v="3"/>
    <n v="20"/>
    <s v="Thursday"/>
    <x v="5"/>
    <x v="7"/>
    <x v="0"/>
    <s v="Chicken Biryani"/>
    <x v="0"/>
    <n v="2"/>
    <n v="431"/>
    <n v="43.1"/>
    <n v="0"/>
    <n v="862"/>
    <n v="818.9"/>
    <x v="3"/>
    <x v="1"/>
    <x v="1"/>
    <n v="42"/>
    <m/>
  </r>
  <r>
    <x v="1070"/>
    <x v="78"/>
    <x v="2"/>
    <n v="3"/>
    <n v="20"/>
    <s v="Thursday"/>
    <x v="0"/>
    <x v="3"/>
    <x v="7"/>
    <s v="Veg Momos"/>
    <x v="2"/>
    <n v="1"/>
    <n v="124"/>
    <n v="12.4"/>
    <n v="60"/>
    <n v="124"/>
    <n v="171.6"/>
    <x v="1"/>
    <x v="0"/>
    <x v="0"/>
    <n v="44"/>
    <n v="3.7"/>
  </r>
  <r>
    <x v="1071"/>
    <x v="78"/>
    <x v="2"/>
    <n v="3"/>
    <n v="20"/>
    <s v="Thursday"/>
    <x v="5"/>
    <x v="4"/>
    <x v="4"/>
    <s v="Pasta"/>
    <x v="1"/>
    <n v="1"/>
    <n v="211"/>
    <n v="0"/>
    <n v="40"/>
    <n v="211"/>
    <n v="251"/>
    <x v="1"/>
    <x v="0"/>
    <x v="1"/>
    <n v="54"/>
    <n v="3.9"/>
  </r>
  <r>
    <x v="1072"/>
    <x v="78"/>
    <x v="2"/>
    <n v="3"/>
    <n v="20"/>
    <s v="Thursday"/>
    <x v="2"/>
    <x v="5"/>
    <x v="7"/>
    <s v="Chicken Biryani"/>
    <x v="1"/>
    <n v="1"/>
    <n v="681"/>
    <n v="0"/>
    <n v="60"/>
    <n v="681"/>
    <n v="741"/>
    <x v="1"/>
    <x v="0"/>
    <x v="1"/>
    <n v="34"/>
    <n v="5"/>
  </r>
  <r>
    <x v="1073"/>
    <x v="78"/>
    <x v="2"/>
    <n v="3"/>
    <n v="20"/>
    <s v="Thursday"/>
    <x v="9"/>
    <x v="5"/>
    <x v="4"/>
    <s v="Veg Pizza"/>
    <x v="2"/>
    <n v="2"/>
    <n v="557"/>
    <n v="111.4"/>
    <n v="0"/>
    <n v="1114"/>
    <n v="1002.6"/>
    <x v="0"/>
    <x v="1"/>
    <x v="1"/>
    <n v="65"/>
    <m/>
  </r>
  <r>
    <x v="1074"/>
    <x v="79"/>
    <x v="2"/>
    <n v="3"/>
    <n v="21"/>
    <s v="Friday"/>
    <x v="5"/>
    <x v="7"/>
    <x v="3"/>
    <s v="Chocolate Cake"/>
    <x v="1"/>
    <n v="1"/>
    <n v="559"/>
    <n v="55.9"/>
    <n v="30"/>
    <n v="559"/>
    <n v="533.1"/>
    <x v="1"/>
    <x v="0"/>
    <x v="0"/>
    <n v="65"/>
    <n v="3.6"/>
  </r>
  <r>
    <x v="1075"/>
    <x v="79"/>
    <x v="2"/>
    <n v="3"/>
    <n v="21"/>
    <s v="Friday"/>
    <x v="2"/>
    <x v="1"/>
    <x v="6"/>
    <s v="Masala Dosa"/>
    <x v="1"/>
    <n v="3"/>
    <n v="648"/>
    <n v="162"/>
    <n v="30"/>
    <n v="1944"/>
    <n v="1812"/>
    <x v="1"/>
    <x v="2"/>
    <x v="1"/>
    <n v="68"/>
    <m/>
  </r>
  <r>
    <x v="1076"/>
    <x v="79"/>
    <x v="2"/>
    <n v="3"/>
    <n v="21"/>
    <s v="Friday"/>
    <x v="2"/>
    <x v="8"/>
    <x v="0"/>
    <s v="Veg Burger"/>
    <x v="1"/>
    <n v="1"/>
    <n v="346"/>
    <n v="34.6"/>
    <n v="50"/>
    <n v="346"/>
    <n v="361.4"/>
    <x v="1"/>
    <x v="0"/>
    <x v="0"/>
    <n v="44"/>
    <n v="5"/>
  </r>
  <r>
    <x v="1077"/>
    <x v="79"/>
    <x v="2"/>
    <n v="3"/>
    <n v="21"/>
    <s v="Friday"/>
    <x v="3"/>
    <x v="12"/>
    <x v="6"/>
    <s v="Chicken Momos"/>
    <x v="1"/>
    <n v="1"/>
    <n v="307"/>
    <n v="76.75"/>
    <n v="40"/>
    <n v="307"/>
    <n v="270.25"/>
    <x v="2"/>
    <x v="0"/>
    <x v="1"/>
    <n v="66"/>
    <n v="5"/>
  </r>
  <r>
    <x v="1078"/>
    <x v="79"/>
    <x v="2"/>
    <n v="3"/>
    <n v="21"/>
    <s v="Friday"/>
    <x v="1"/>
    <x v="5"/>
    <x v="2"/>
    <s v="Cold Coffee"/>
    <x v="1"/>
    <n v="3"/>
    <n v="486"/>
    <n v="48.6"/>
    <n v="70"/>
    <n v="1458"/>
    <n v="1479.4"/>
    <x v="1"/>
    <x v="0"/>
    <x v="1"/>
    <n v="38"/>
    <n v="4.5"/>
  </r>
  <r>
    <x v="1079"/>
    <x v="79"/>
    <x v="2"/>
    <n v="3"/>
    <n v="21"/>
    <s v="Friday"/>
    <x v="0"/>
    <x v="10"/>
    <x v="9"/>
    <s v="Chicken Momos"/>
    <x v="1"/>
    <n v="1"/>
    <n v="754"/>
    <n v="75.400000000000006"/>
    <n v="50"/>
    <n v="754"/>
    <n v="728.6"/>
    <x v="1"/>
    <x v="0"/>
    <x v="1"/>
    <n v="27"/>
    <n v="3.8"/>
  </r>
  <r>
    <x v="1080"/>
    <x v="80"/>
    <x v="2"/>
    <n v="3"/>
    <n v="22"/>
    <s v="Saturday"/>
    <x v="2"/>
    <x v="6"/>
    <x v="9"/>
    <s v="Fried Rice"/>
    <x v="1"/>
    <n v="3"/>
    <n v="414"/>
    <n v="41.4"/>
    <n v="40"/>
    <n v="1242"/>
    <n v="1240.5999999999999"/>
    <x v="0"/>
    <x v="0"/>
    <x v="1"/>
    <n v="24"/>
    <n v="3.9"/>
  </r>
  <r>
    <x v="1081"/>
    <x v="80"/>
    <x v="2"/>
    <n v="3"/>
    <n v="22"/>
    <s v="Saturday"/>
    <x v="4"/>
    <x v="6"/>
    <x v="8"/>
    <s v="Idli Sambar"/>
    <x v="2"/>
    <n v="1"/>
    <n v="354"/>
    <n v="35.4"/>
    <n v="70"/>
    <n v="354"/>
    <n v="388.6"/>
    <x v="1"/>
    <x v="0"/>
    <x v="1"/>
    <n v="67"/>
    <n v="3.5"/>
  </r>
  <r>
    <x v="1082"/>
    <x v="80"/>
    <x v="2"/>
    <n v="3"/>
    <n v="22"/>
    <s v="Saturday"/>
    <x v="9"/>
    <x v="14"/>
    <x v="5"/>
    <s v="Pasta"/>
    <x v="1"/>
    <n v="2"/>
    <n v="875"/>
    <n v="87.5"/>
    <n v="60"/>
    <n v="1750"/>
    <n v="1722.5"/>
    <x v="1"/>
    <x v="0"/>
    <x v="0"/>
    <n v="59"/>
    <n v="5"/>
  </r>
  <r>
    <x v="1083"/>
    <x v="80"/>
    <x v="2"/>
    <n v="3"/>
    <n v="22"/>
    <s v="Saturday"/>
    <x v="3"/>
    <x v="6"/>
    <x v="7"/>
    <s v="Cold Coffee"/>
    <x v="1"/>
    <n v="1"/>
    <n v="256"/>
    <n v="0"/>
    <n v="50"/>
    <n v="256"/>
    <n v="306"/>
    <x v="3"/>
    <x v="0"/>
    <x v="0"/>
    <n v="53"/>
    <n v="4.4000000000000004"/>
  </r>
  <r>
    <x v="1084"/>
    <x v="80"/>
    <x v="2"/>
    <n v="3"/>
    <n v="22"/>
    <s v="Saturday"/>
    <x v="7"/>
    <x v="12"/>
    <x v="9"/>
    <s v="Idli Sambar"/>
    <x v="1"/>
    <n v="2"/>
    <n v="199"/>
    <n v="29.85"/>
    <n v="30"/>
    <n v="398"/>
    <n v="398.15"/>
    <x v="2"/>
    <x v="0"/>
    <x v="1"/>
    <n v="70"/>
    <n v="4.7"/>
  </r>
  <r>
    <x v="1085"/>
    <x v="80"/>
    <x v="2"/>
    <n v="3"/>
    <n v="22"/>
    <s v="Saturday"/>
    <x v="3"/>
    <x v="0"/>
    <x v="7"/>
    <s v="Chicken Pizza"/>
    <x v="1"/>
    <n v="1"/>
    <n v="334"/>
    <n v="66.8"/>
    <n v="30"/>
    <n v="334"/>
    <n v="297.2"/>
    <x v="1"/>
    <x v="0"/>
    <x v="0"/>
    <n v="56"/>
    <n v="5"/>
  </r>
  <r>
    <x v="1086"/>
    <x v="80"/>
    <x v="2"/>
    <n v="3"/>
    <n v="22"/>
    <s v="Saturday"/>
    <x v="1"/>
    <x v="13"/>
    <x v="9"/>
    <s v="Fried Rice"/>
    <x v="2"/>
    <n v="2"/>
    <n v="331"/>
    <n v="82.75"/>
    <n v="50"/>
    <n v="662"/>
    <n v="629.25"/>
    <x v="0"/>
    <x v="0"/>
    <x v="0"/>
    <n v="22"/>
    <n v="5"/>
  </r>
  <r>
    <x v="1087"/>
    <x v="80"/>
    <x v="2"/>
    <n v="3"/>
    <n v="22"/>
    <s v="Saturday"/>
    <x v="7"/>
    <x v="4"/>
    <x v="4"/>
    <s v="Chicken Momos"/>
    <x v="2"/>
    <n v="1"/>
    <n v="433"/>
    <n v="64.95"/>
    <n v="30"/>
    <n v="433"/>
    <n v="398.05"/>
    <x v="1"/>
    <x v="0"/>
    <x v="1"/>
    <n v="22"/>
    <n v="3.6"/>
  </r>
  <r>
    <x v="1088"/>
    <x v="80"/>
    <x v="2"/>
    <n v="3"/>
    <n v="22"/>
    <s v="Saturday"/>
    <x v="6"/>
    <x v="0"/>
    <x v="7"/>
    <s v="Veg Biryani"/>
    <x v="1"/>
    <n v="2"/>
    <n v="858"/>
    <n v="85.8"/>
    <n v="70"/>
    <n v="1716"/>
    <n v="1700.2"/>
    <x v="1"/>
    <x v="2"/>
    <x v="0"/>
    <n v="55"/>
    <m/>
  </r>
  <r>
    <x v="1089"/>
    <x v="80"/>
    <x v="2"/>
    <n v="3"/>
    <n v="22"/>
    <s v="Saturday"/>
    <x v="4"/>
    <x v="12"/>
    <x v="1"/>
    <s v="Chicken Biryani"/>
    <x v="3"/>
    <n v="1"/>
    <n v="585"/>
    <n v="117"/>
    <n v="50"/>
    <n v="585"/>
    <n v="518"/>
    <x v="1"/>
    <x v="0"/>
    <x v="1"/>
    <n v="45"/>
    <n v="4.3"/>
  </r>
  <r>
    <x v="1090"/>
    <x v="80"/>
    <x v="2"/>
    <n v="3"/>
    <n v="22"/>
    <s v="Saturday"/>
    <x v="2"/>
    <x v="2"/>
    <x v="1"/>
    <s v="Veg Burger"/>
    <x v="1"/>
    <n v="1"/>
    <n v="261"/>
    <n v="65.25"/>
    <n v="60"/>
    <n v="261"/>
    <n v="255.75"/>
    <x v="1"/>
    <x v="0"/>
    <x v="0"/>
    <n v="36"/>
    <n v="3.9"/>
  </r>
  <r>
    <x v="1091"/>
    <x v="80"/>
    <x v="2"/>
    <n v="3"/>
    <n v="22"/>
    <s v="Saturday"/>
    <x v="6"/>
    <x v="4"/>
    <x v="9"/>
    <s v="Cold Coffee"/>
    <x v="0"/>
    <n v="1"/>
    <n v="753"/>
    <n v="37.65"/>
    <n v="40"/>
    <n v="753"/>
    <n v="755.35"/>
    <x v="1"/>
    <x v="0"/>
    <x v="0"/>
    <n v="47"/>
    <n v="3.5"/>
  </r>
  <r>
    <x v="1092"/>
    <x v="80"/>
    <x v="2"/>
    <n v="3"/>
    <n v="22"/>
    <s v="Saturday"/>
    <x v="8"/>
    <x v="1"/>
    <x v="5"/>
    <s v="Paneer Butter Masala"/>
    <x v="1"/>
    <n v="2"/>
    <n v="429"/>
    <n v="42.9"/>
    <n v="30"/>
    <n v="858"/>
    <n v="845.1"/>
    <x v="2"/>
    <x v="0"/>
    <x v="1"/>
    <n v="19"/>
    <n v="4.2"/>
  </r>
  <r>
    <x v="1093"/>
    <x v="81"/>
    <x v="2"/>
    <n v="3"/>
    <n v="23"/>
    <s v="Sunday"/>
    <x v="5"/>
    <x v="10"/>
    <x v="2"/>
    <s v="Veg Burger"/>
    <x v="1"/>
    <n v="1"/>
    <n v="401"/>
    <n v="20.05"/>
    <n v="40"/>
    <n v="401"/>
    <n v="420.95"/>
    <x v="1"/>
    <x v="1"/>
    <x v="1"/>
    <n v="59"/>
    <m/>
  </r>
  <r>
    <x v="1094"/>
    <x v="81"/>
    <x v="2"/>
    <n v="3"/>
    <n v="23"/>
    <s v="Sunday"/>
    <x v="5"/>
    <x v="9"/>
    <x v="4"/>
    <s v="Paneer Butter Masala"/>
    <x v="2"/>
    <n v="2"/>
    <n v="437"/>
    <n v="109.25"/>
    <n v="30"/>
    <n v="874"/>
    <n v="794.75"/>
    <x v="0"/>
    <x v="0"/>
    <x v="0"/>
    <n v="68"/>
    <n v="4.5999999999999996"/>
  </r>
  <r>
    <x v="1095"/>
    <x v="81"/>
    <x v="2"/>
    <n v="3"/>
    <n v="23"/>
    <s v="Sunday"/>
    <x v="0"/>
    <x v="4"/>
    <x v="7"/>
    <s v="French Fries"/>
    <x v="1"/>
    <n v="2"/>
    <n v="767"/>
    <n v="153.4"/>
    <n v="40"/>
    <n v="1534"/>
    <n v="1420.6"/>
    <x v="2"/>
    <x v="0"/>
    <x v="1"/>
    <n v="67"/>
    <n v="4"/>
  </r>
  <r>
    <x v="1096"/>
    <x v="81"/>
    <x v="2"/>
    <n v="3"/>
    <n v="23"/>
    <s v="Sunday"/>
    <x v="9"/>
    <x v="8"/>
    <x v="9"/>
    <s v="Veg Burger"/>
    <x v="1"/>
    <n v="2"/>
    <n v="438"/>
    <n v="0"/>
    <n v="60"/>
    <n v="876"/>
    <n v="936"/>
    <x v="1"/>
    <x v="0"/>
    <x v="0"/>
    <n v="61"/>
    <n v="4.4000000000000004"/>
  </r>
  <r>
    <x v="1097"/>
    <x v="81"/>
    <x v="2"/>
    <n v="3"/>
    <n v="23"/>
    <s v="Sunday"/>
    <x v="5"/>
    <x v="8"/>
    <x v="0"/>
    <s v="French Fries"/>
    <x v="1"/>
    <n v="3"/>
    <n v="472"/>
    <n v="23.6"/>
    <n v="40"/>
    <n v="1416"/>
    <n v="1432.4"/>
    <x v="1"/>
    <x v="0"/>
    <x v="1"/>
    <n v="35"/>
    <n v="3.4"/>
  </r>
  <r>
    <x v="1098"/>
    <x v="81"/>
    <x v="2"/>
    <n v="3"/>
    <n v="23"/>
    <s v="Sunday"/>
    <x v="3"/>
    <x v="12"/>
    <x v="3"/>
    <s v="Chicken Pizza"/>
    <x v="1"/>
    <n v="1"/>
    <n v="830"/>
    <n v="0"/>
    <n v="20"/>
    <n v="830"/>
    <n v="850"/>
    <x v="1"/>
    <x v="0"/>
    <x v="1"/>
    <n v="35"/>
    <n v="4.9000000000000004"/>
  </r>
  <r>
    <x v="1099"/>
    <x v="81"/>
    <x v="2"/>
    <n v="3"/>
    <n v="23"/>
    <s v="Sunday"/>
    <x v="9"/>
    <x v="4"/>
    <x v="2"/>
    <s v="Pasta"/>
    <x v="1"/>
    <n v="1"/>
    <n v="126"/>
    <n v="31.5"/>
    <n v="40"/>
    <n v="126"/>
    <n v="134.5"/>
    <x v="2"/>
    <x v="0"/>
    <x v="0"/>
    <n v="20"/>
    <n v="4.8"/>
  </r>
  <r>
    <x v="1100"/>
    <x v="81"/>
    <x v="2"/>
    <n v="3"/>
    <n v="23"/>
    <s v="Sunday"/>
    <x v="0"/>
    <x v="0"/>
    <x v="8"/>
    <s v="Chicken Momos"/>
    <x v="1"/>
    <n v="2"/>
    <n v="749"/>
    <n v="37.450000000000003"/>
    <n v="60"/>
    <n v="1498"/>
    <n v="1520.55"/>
    <x v="4"/>
    <x v="0"/>
    <x v="0"/>
    <n v="66"/>
    <n v="4.2"/>
  </r>
  <r>
    <x v="1101"/>
    <x v="81"/>
    <x v="2"/>
    <n v="3"/>
    <n v="23"/>
    <s v="Sunday"/>
    <x v="1"/>
    <x v="13"/>
    <x v="7"/>
    <s v="Chicken Burger"/>
    <x v="2"/>
    <n v="1"/>
    <n v="829"/>
    <n v="41.45"/>
    <n v="60"/>
    <n v="829"/>
    <n v="847.55"/>
    <x v="3"/>
    <x v="2"/>
    <x v="1"/>
    <n v="38"/>
    <m/>
  </r>
  <r>
    <x v="1102"/>
    <x v="81"/>
    <x v="2"/>
    <n v="3"/>
    <n v="23"/>
    <s v="Sunday"/>
    <x v="5"/>
    <x v="12"/>
    <x v="9"/>
    <s v="Chocolate Cake"/>
    <x v="2"/>
    <n v="2"/>
    <n v="819"/>
    <n v="122.85"/>
    <n v="50"/>
    <n v="1638"/>
    <n v="1565.15"/>
    <x v="1"/>
    <x v="0"/>
    <x v="1"/>
    <n v="50"/>
    <n v="4.0999999999999996"/>
  </r>
  <r>
    <x v="1103"/>
    <x v="81"/>
    <x v="2"/>
    <n v="3"/>
    <n v="23"/>
    <s v="Sunday"/>
    <x v="1"/>
    <x v="7"/>
    <x v="5"/>
    <s v="Chicken Burger"/>
    <x v="2"/>
    <n v="1"/>
    <n v="509"/>
    <n v="76.349999999999994"/>
    <n v="30"/>
    <n v="509"/>
    <n v="462.65"/>
    <x v="4"/>
    <x v="3"/>
    <x v="0"/>
    <n v="23"/>
    <m/>
  </r>
  <r>
    <x v="1104"/>
    <x v="81"/>
    <x v="2"/>
    <n v="3"/>
    <n v="23"/>
    <s v="Sunday"/>
    <x v="4"/>
    <x v="5"/>
    <x v="4"/>
    <s v="Chicken Momos"/>
    <x v="1"/>
    <n v="1"/>
    <n v="789"/>
    <n v="0"/>
    <n v="50"/>
    <n v="789"/>
    <n v="839"/>
    <x v="3"/>
    <x v="0"/>
    <x v="1"/>
    <n v="70"/>
    <n v="5"/>
  </r>
  <r>
    <x v="1105"/>
    <x v="81"/>
    <x v="2"/>
    <n v="3"/>
    <n v="23"/>
    <s v="Sunday"/>
    <x v="9"/>
    <x v="7"/>
    <x v="0"/>
    <s v="Idli Sambar"/>
    <x v="1"/>
    <n v="3"/>
    <n v="727"/>
    <n v="181.75"/>
    <n v="30"/>
    <n v="2181"/>
    <n v="2029.25"/>
    <x v="0"/>
    <x v="0"/>
    <x v="1"/>
    <n v="33"/>
    <n v="4.4000000000000004"/>
  </r>
  <r>
    <x v="1106"/>
    <x v="81"/>
    <x v="2"/>
    <n v="3"/>
    <n v="23"/>
    <s v="Sunday"/>
    <x v="2"/>
    <x v="5"/>
    <x v="6"/>
    <s v="Veg Pizza"/>
    <x v="1"/>
    <n v="3"/>
    <n v="277"/>
    <n v="27.7"/>
    <n v="30"/>
    <n v="831"/>
    <n v="833.3"/>
    <x v="3"/>
    <x v="0"/>
    <x v="1"/>
    <n v="26"/>
    <n v="4.5999999999999996"/>
  </r>
  <r>
    <x v="1107"/>
    <x v="81"/>
    <x v="2"/>
    <n v="3"/>
    <n v="23"/>
    <s v="Sunday"/>
    <x v="3"/>
    <x v="14"/>
    <x v="2"/>
    <s v="Chicken Biryani"/>
    <x v="1"/>
    <n v="1"/>
    <n v="694"/>
    <n v="138.80000000000001"/>
    <n v="40"/>
    <n v="694"/>
    <n v="595.20000000000005"/>
    <x v="1"/>
    <x v="2"/>
    <x v="0"/>
    <n v="65"/>
    <m/>
  </r>
  <r>
    <x v="1108"/>
    <x v="82"/>
    <x v="2"/>
    <n v="3"/>
    <n v="24"/>
    <s v="Monday"/>
    <x v="1"/>
    <x v="9"/>
    <x v="3"/>
    <s v="Chocolate Cake"/>
    <x v="3"/>
    <n v="2"/>
    <n v="742"/>
    <n v="148.4"/>
    <n v="30"/>
    <n v="1484"/>
    <n v="1365.6"/>
    <x v="1"/>
    <x v="0"/>
    <x v="1"/>
    <n v="46"/>
    <n v="3.6"/>
  </r>
  <r>
    <x v="1109"/>
    <x v="82"/>
    <x v="2"/>
    <n v="3"/>
    <n v="24"/>
    <s v="Monday"/>
    <x v="5"/>
    <x v="12"/>
    <x v="2"/>
    <s v="Paneer Butter Masala"/>
    <x v="2"/>
    <n v="1"/>
    <n v="793"/>
    <n v="79.3"/>
    <n v="30"/>
    <n v="793"/>
    <n v="743.7"/>
    <x v="1"/>
    <x v="0"/>
    <x v="0"/>
    <n v="62"/>
    <n v="3.9"/>
  </r>
  <r>
    <x v="1110"/>
    <x v="82"/>
    <x v="2"/>
    <n v="3"/>
    <n v="24"/>
    <s v="Monday"/>
    <x v="0"/>
    <x v="2"/>
    <x v="9"/>
    <s v="Veg Pizza"/>
    <x v="1"/>
    <n v="3"/>
    <n v="512"/>
    <n v="51.2"/>
    <n v="60"/>
    <n v="1536"/>
    <n v="1544.8"/>
    <x v="2"/>
    <x v="0"/>
    <x v="1"/>
    <n v="48"/>
    <n v="3.6"/>
  </r>
  <r>
    <x v="1111"/>
    <x v="82"/>
    <x v="2"/>
    <n v="3"/>
    <n v="24"/>
    <s v="Monday"/>
    <x v="3"/>
    <x v="2"/>
    <x v="8"/>
    <s v="Veg Burger"/>
    <x v="3"/>
    <n v="2"/>
    <n v="446"/>
    <n v="66.900000000000006"/>
    <n v="0"/>
    <n v="892"/>
    <n v="825.1"/>
    <x v="3"/>
    <x v="0"/>
    <x v="1"/>
    <n v="22"/>
    <n v="3.2"/>
  </r>
  <r>
    <x v="1112"/>
    <x v="82"/>
    <x v="2"/>
    <n v="3"/>
    <n v="24"/>
    <s v="Monday"/>
    <x v="5"/>
    <x v="2"/>
    <x v="8"/>
    <s v="Veg Burger"/>
    <x v="1"/>
    <n v="2"/>
    <n v="125"/>
    <n v="0"/>
    <n v="40"/>
    <n v="250"/>
    <n v="290"/>
    <x v="1"/>
    <x v="0"/>
    <x v="1"/>
    <n v="70"/>
    <n v="3.8"/>
  </r>
  <r>
    <x v="1113"/>
    <x v="82"/>
    <x v="2"/>
    <n v="3"/>
    <n v="24"/>
    <s v="Monday"/>
    <x v="0"/>
    <x v="13"/>
    <x v="3"/>
    <s v="Chicken Burger"/>
    <x v="1"/>
    <n v="1"/>
    <n v="894"/>
    <n v="178.8"/>
    <n v="30"/>
    <n v="894"/>
    <n v="745.2"/>
    <x v="3"/>
    <x v="3"/>
    <x v="1"/>
    <n v="66"/>
    <m/>
  </r>
  <r>
    <x v="1114"/>
    <x v="82"/>
    <x v="2"/>
    <n v="3"/>
    <n v="24"/>
    <s v="Monday"/>
    <x v="3"/>
    <x v="14"/>
    <x v="7"/>
    <s v="Chicken Burger"/>
    <x v="2"/>
    <n v="1"/>
    <n v="564"/>
    <n v="56.4"/>
    <n v="40"/>
    <n v="564"/>
    <n v="547.6"/>
    <x v="2"/>
    <x v="0"/>
    <x v="0"/>
    <n v="57"/>
    <n v="4.0999999999999996"/>
  </r>
  <r>
    <x v="1115"/>
    <x v="82"/>
    <x v="2"/>
    <n v="3"/>
    <n v="24"/>
    <s v="Monday"/>
    <x v="3"/>
    <x v="12"/>
    <x v="6"/>
    <s v="Pasta"/>
    <x v="2"/>
    <n v="3"/>
    <n v="804"/>
    <n v="80.400000000000006"/>
    <n v="60"/>
    <n v="2412"/>
    <n v="2391.6"/>
    <x v="1"/>
    <x v="0"/>
    <x v="0"/>
    <n v="57"/>
    <n v="3.8"/>
  </r>
  <r>
    <x v="1116"/>
    <x v="82"/>
    <x v="2"/>
    <n v="3"/>
    <n v="24"/>
    <s v="Monday"/>
    <x v="0"/>
    <x v="8"/>
    <x v="4"/>
    <s v="Veg Biryani"/>
    <x v="1"/>
    <n v="2"/>
    <n v="526"/>
    <n v="131.5"/>
    <n v="0"/>
    <n v="1052"/>
    <n v="920.5"/>
    <x v="1"/>
    <x v="0"/>
    <x v="1"/>
    <n v="41"/>
    <n v="3.7"/>
  </r>
  <r>
    <x v="1117"/>
    <x v="82"/>
    <x v="2"/>
    <n v="3"/>
    <n v="24"/>
    <s v="Monday"/>
    <x v="0"/>
    <x v="14"/>
    <x v="0"/>
    <s v="Fried Rice"/>
    <x v="1"/>
    <n v="1"/>
    <n v="774"/>
    <n v="0"/>
    <n v="50"/>
    <n v="774"/>
    <n v="824"/>
    <x v="1"/>
    <x v="0"/>
    <x v="1"/>
    <n v="56"/>
    <n v="3.5"/>
  </r>
  <r>
    <x v="1118"/>
    <x v="83"/>
    <x v="2"/>
    <n v="3"/>
    <n v="25"/>
    <s v="Tuesday"/>
    <x v="4"/>
    <x v="5"/>
    <x v="5"/>
    <s v="Chicken Pizza"/>
    <x v="1"/>
    <n v="1"/>
    <n v="622"/>
    <n v="124.4"/>
    <n v="50"/>
    <n v="622"/>
    <n v="547.6"/>
    <x v="3"/>
    <x v="0"/>
    <x v="1"/>
    <n v="57"/>
    <n v="3.3"/>
  </r>
  <r>
    <x v="1119"/>
    <x v="83"/>
    <x v="2"/>
    <n v="3"/>
    <n v="25"/>
    <s v="Tuesday"/>
    <x v="5"/>
    <x v="5"/>
    <x v="1"/>
    <s v="Paneer Butter Masala"/>
    <x v="2"/>
    <n v="2"/>
    <n v="663"/>
    <n v="33.15"/>
    <n v="40"/>
    <n v="1326"/>
    <n v="1332.85"/>
    <x v="1"/>
    <x v="0"/>
    <x v="0"/>
    <n v="57"/>
    <n v="3.8"/>
  </r>
  <r>
    <x v="1120"/>
    <x v="83"/>
    <x v="2"/>
    <n v="3"/>
    <n v="25"/>
    <s v="Tuesday"/>
    <x v="5"/>
    <x v="4"/>
    <x v="9"/>
    <s v="Chocolate Cake"/>
    <x v="2"/>
    <n v="1"/>
    <n v="283"/>
    <n v="0"/>
    <n v="70"/>
    <n v="283"/>
    <n v="353"/>
    <x v="1"/>
    <x v="0"/>
    <x v="1"/>
    <n v="26"/>
    <n v="4.9000000000000004"/>
  </r>
  <r>
    <x v="1121"/>
    <x v="83"/>
    <x v="2"/>
    <n v="3"/>
    <n v="25"/>
    <s v="Tuesday"/>
    <x v="2"/>
    <x v="11"/>
    <x v="5"/>
    <s v="Idli Sambar"/>
    <x v="1"/>
    <n v="1"/>
    <n v="392"/>
    <n v="19.600000000000001"/>
    <n v="50"/>
    <n v="392"/>
    <n v="422.4"/>
    <x v="1"/>
    <x v="1"/>
    <x v="0"/>
    <n v="64"/>
    <m/>
  </r>
  <r>
    <x v="1122"/>
    <x v="83"/>
    <x v="2"/>
    <n v="3"/>
    <n v="25"/>
    <s v="Tuesday"/>
    <x v="5"/>
    <x v="10"/>
    <x v="8"/>
    <s v="Chicken Pizza"/>
    <x v="0"/>
    <n v="1"/>
    <n v="814"/>
    <n v="81.400000000000006"/>
    <n v="40"/>
    <n v="814"/>
    <n v="772.6"/>
    <x v="3"/>
    <x v="0"/>
    <x v="0"/>
    <n v="32"/>
    <n v="4.8"/>
  </r>
  <r>
    <x v="1123"/>
    <x v="83"/>
    <x v="2"/>
    <n v="3"/>
    <n v="25"/>
    <s v="Tuesday"/>
    <x v="0"/>
    <x v="0"/>
    <x v="3"/>
    <s v="Cold Coffee"/>
    <x v="1"/>
    <n v="1"/>
    <n v="350"/>
    <n v="17.5"/>
    <n v="70"/>
    <n v="350"/>
    <n v="402.5"/>
    <x v="1"/>
    <x v="0"/>
    <x v="1"/>
    <n v="48"/>
    <n v="3.3"/>
  </r>
  <r>
    <x v="1124"/>
    <x v="83"/>
    <x v="2"/>
    <n v="3"/>
    <n v="25"/>
    <s v="Tuesday"/>
    <x v="9"/>
    <x v="2"/>
    <x v="7"/>
    <s v="Chicken Burger"/>
    <x v="1"/>
    <n v="2"/>
    <n v="418"/>
    <n v="0"/>
    <n v="40"/>
    <n v="836"/>
    <n v="876"/>
    <x v="4"/>
    <x v="0"/>
    <x v="1"/>
    <n v="41"/>
    <n v="4.5"/>
  </r>
  <r>
    <x v="1125"/>
    <x v="83"/>
    <x v="2"/>
    <n v="3"/>
    <n v="25"/>
    <s v="Tuesday"/>
    <x v="9"/>
    <x v="9"/>
    <x v="3"/>
    <s v="Masala Dosa"/>
    <x v="1"/>
    <n v="2"/>
    <n v="624"/>
    <n v="124.8"/>
    <n v="30"/>
    <n v="1248"/>
    <n v="1153.2"/>
    <x v="2"/>
    <x v="0"/>
    <x v="1"/>
    <n v="49"/>
    <n v="3.7"/>
  </r>
  <r>
    <x v="1126"/>
    <x v="83"/>
    <x v="2"/>
    <n v="3"/>
    <n v="25"/>
    <s v="Tuesday"/>
    <x v="3"/>
    <x v="12"/>
    <x v="4"/>
    <s v="Veg Biryani"/>
    <x v="2"/>
    <n v="3"/>
    <n v="446"/>
    <n v="66.900000000000006"/>
    <n v="20"/>
    <n v="1338"/>
    <n v="1291.0999999999999"/>
    <x v="2"/>
    <x v="2"/>
    <x v="0"/>
    <n v="56"/>
    <m/>
  </r>
  <r>
    <x v="1127"/>
    <x v="83"/>
    <x v="2"/>
    <n v="3"/>
    <n v="25"/>
    <s v="Tuesday"/>
    <x v="1"/>
    <x v="6"/>
    <x v="1"/>
    <s v="Veg Momos"/>
    <x v="1"/>
    <n v="1"/>
    <n v="678"/>
    <n v="169.5"/>
    <n v="60"/>
    <n v="678"/>
    <n v="568.5"/>
    <x v="1"/>
    <x v="0"/>
    <x v="1"/>
    <n v="19"/>
    <n v="4.8"/>
  </r>
  <r>
    <x v="1128"/>
    <x v="83"/>
    <x v="2"/>
    <n v="3"/>
    <n v="25"/>
    <s v="Tuesday"/>
    <x v="1"/>
    <x v="11"/>
    <x v="7"/>
    <s v="Chicken Biryani"/>
    <x v="2"/>
    <n v="1"/>
    <n v="874"/>
    <n v="131.1"/>
    <n v="50"/>
    <n v="874"/>
    <n v="792.9"/>
    <x v="2"/>
    <x v="2"/>
    <x v="0"/>
    <n v="69"/>
    <m/>
  </r>
  <r>
    <x v="1129"/>
    <x v="83"/>
    <x v="2"/>
    <n v="3"/>
    <n v="25"/>
    <s v="Tuesday"/>
    <x v="1"/>
    <x v="2"/>
    <x v="7"/>
    <s v="Chicken Momos"/>
    <x v="1"/>
    <n v="3"/>
    <n v="456"/>
    <n v="22.8"/>
    <n v="30"/>
    <n v="1368"/>
    <n v="1375.2"/>
    <x v="1"/>
    <x v="0"/>
    <x v="1"/>
    <n v="66"/>
    <n v="4.5"/>
  </r>
  <r>
    <x v="1130"/>
    <x v="83"/>
    <x v="2"/>
    <n v="3"/>
    <n v="25"/>
    <s v="Tuesday"/>
    <x v="5"/>
    <x v="2"/>
    <x v="2"/>
    <s v="Veg Momos"/>
    <x v="1"/>
    <n v="1"/>
    <n v="882"/>
    <n v="220.5"/>
    <n v="50"/>
    <n v="882"/>
    <n v="711.5"/>
    <x v="1"/>
    <x v="0"/>
    <x v="1"/>
    <n v="44"/>
    <n v="4"/>
  </r>
  <r>
    <x v="1131"/>
    <x v="83"/>
    <x v="2"/>
    <n v="3"/>
    <n v="25"/>
    <s v="Tuesday"/>
    <x v="7"/>
    <x v="13"/>
    <x v="6"/>
    <s v="Chicken Biryani"/>
    <x v="1"/>
    <n v="2"/>
    <n v="840"/>
    <n v="126"/>
    <n v="70"/>
    <n v="1680"/>
    <n v="1624"/>
    <x v="2"/>
    <x v="0"/>
    <x v="1"/>
    <n v="70"/>
    <n v="4.8"/>
  </r>
  <r>
    <x v="1132"/>
    <x v="83"/>
    <x v="2"/>
    <n v="3"/>
    <n v="25"/>
    <s v="Tuesday"/>
    <x v="7"/>
    <x v="2"/>
    <x v="5"/>
    <s v="Idli Sambar"/>
    <x v="1"/>
    <n v="1"/>
    <n v="171"/>
    <n v="0"/>
    <n v="30"/>
    <n v="171"/>
    <n v="201"/>
    <x v="3"/>
    <x v="0"/>
    <x v="0"/>
    <n v="26"/>
    <n v="4.3"/>
  </r>
  <r>
    <x v="1133"/>
    <x v="83"/>
    <x v="2"/>
    <n v="3"/>
    <n v="25"/>
    <s v="Tuesday"/>
    <x v="3"/>
    <x v="2"/>
    <x v="4"/>
    <s v="Pasta"/>
    <x v="2"/>
    <n v="2"/>
    <n v="328"/>
    <n v="49.2"/>
    <n v="20"/>
    <n v="656"/>
    <n v="626.79999999999995"/>
    <x v="2"/>
    <x v="0"/>
    <x v="0"/>
    <n v="66"/>
    <n v="4"/>
  </r>
  <r>
    <x v="1134"/>
    <x v="83"/>
    <x v="2"/>
    <n v="3"/>
    <n v="25"/>
    <s v="Tuesday"/>
    <x v="6"/>
    <x v="10"/>
    <x v="9"/>
    <s v="Paneer Butter Masala"/>
    <x v="2"/>
    <n v="2"/>
    <n v="773"/>
    <n v="0"/>
    <n v="20"/>
    <n v="1546"/>
    <n v="1566"/>
    <x v="1"/>
    <x v="0"/>
    <x v="1"/>
    <n v="31"/>
    <n v="3.4"/>
  </r>
  <r>
    <x v="1135"/>
    <x v="83"/>
    <x v="2"/>
    <n v="3"/>
    <n v="25"/>
    <s v="Tuesday"/>
    <x v="8"/>
    <x v="1"/>
    <x v="6"/>
    <s v="Fried Rice"/>
    <x v="1"/>
    <n v="3"/>
    <n v="855"/>
    <n v="42.75"/>
    <n v="0"/>
    <n v="2565"/>
    <n v="2522.25"/>
    <x v="1"/>
    <x v="1"/>
    <x v="1"/>
    <n v="38"/>
    <m/>
  </r>
  <r>
    <x v="1136"/>
    <x v="83"/>
    <x v="2"/>
    <n v="3"/>
    <n v="25"/>
    <s v="Tuesday"/>
    <x v="5"/>
    <x v="6"/>
    <x v="7"/>
    <s v="Masala Dosa"/>
    <x v="1"/>
    <n v="3"/>
    <n v="283"/>
    <n v="14.15"/>
    <n v="30"/>
    <n v="849"/>
    <n v="864.85"/>
    <x v="4"/>
    <x v="0"/>
    <x v="1"/>
    <n v="23"/>
    <n v="3.4"/>
  </r>
  <r>
    <x v="1137"/>
    <x v="83"/>
    <x v="2"/>
    <n v="3"/>
    <n v="25"/>
    <s v="Tuesday"/>
    <x v="7"/>
    <x v="8"/>
    <x v="0"/>
    <s v="Paneer Butter Masala"/>
    <x v="1"/>
    <n v="1"/>
    <n v="753"/>
    <n v="112.95"/>
    <n v="70"/>
    <n v="753"/>
    <n v="710.05"/>
    <x v="4"/>
    <x v="0"/>
    <x v="1"/>
    <n v="24"/>
    <n v="3.1"/>
  </r>
  <r>
    <x v="1138"/>
    <x v="83"/>
    <x v="2"/>
    <n v="3"/>
    <n v="25"/>
    <s v="Tuesday"/>
    <x v="5"/>
    <x v="2"/>
    <x v="2"/>
    <s v="Cold Coffee"/>
    <x v="2"/>
    <n v="1"/>
    <n v="265"/>
    <n v="26.5"/>
    <n v="20"/>
    <n v="265"/>
    <n v="258.5"/>
    <x v="1"/>
    <x v="0"/>
    <x v="0"/>
    <n v="29"/>
    <n v="4.4000000000000004"/>
  </r>
  <r>
    <x v="1139"/>
    <x v="83"/>
    <x v="2"/>
    <n v="3"/>
    <n v="25"/>
    <s v="Tuesday"/>
    <x v="3"/>
    <x v="11"/>
    <x v="4"/>
    <s v="French Fries"/>
    <x v="1"/>
    <n v="2"/>
    <n v="163"/>
    <n v="32.6"/>
    <n v="0"/>
    <n v="326"/>
    <n v="293.39999999999998"/>
    <x v="1"/>
    <x v="0"/>
    <x v="1"/>
    <n v="43"/>
    <n v="4.5999999999999996"/>
  </r>
  <r>
    <x v="1140"/>
    <x v="84"/>
    <x v="2"/>
    <n v="3"/>
    <n v="26"/>
    <s v="Wednesday"/>
    <x v="1"/>
    <x v="3"/>
    <x v="3"/>
    <s v="Veg Pizza"/>
    <x v="1"/>
    <n v="3"/>
    <n v="643"/>
    <n v="64.3"/>
    <n v="50"/>
    <n v="1929"/>
    <n v="1914.7"/>
    <x v="4"/>
    <x v="0"/>
    <x v="1"/>
    <n v="40"/>
    <n v="3.9"/>
  </r>
  <r>
    <x v="1141"/>
    <x v="84"/>
    <x v="2"/>
    <n v="3"/>
    <n v="26"/>
    <s v="Wednesday"/>
    <x v="7"/>
    <x v="12"/>
    <x v="7"/>
    <s v="Chicken Biryani"/>
    <x v="1"/>
    <n v="2"/>
    <n v="620"/>
    <n v="62"/>
    <n v="50"/>
    <n v="1240"/>
    <n v="1228"/>
    <x v="3"/>
    <x v="0"/>
    <x v="1"/>
    <n v="32"/>
    <n v="3.8"/>
  </r>
  <r>
    <x v="1142"/>
    <x v="84"/>
    <x v="2"/>
    <n v="3"/>
    <n v="26"/>
    <s v="Wednesday"/>
    <x v="1"/>
    <x v="9"/>
    <x v="8"/>
    <s v="Veg Momos"/>
    <x v="1"/>
    <n v="1"/>
    <n v="714"/>
    <n v="178.5"/>
    <n v="60"/>
    <n v="714"/>
    <n v="595.5"/>
    <x v="2"/>
    <x v="0"/>
    <x v="1"/>
    <n v="27"/>
    <n v="4.0999999999999996"/>
  </r>
  <r>
    <x v="1143"/>
    <x v="84"/>
    <x v="2"/>
    <n v="3"/>
    <n v="26"/>
    <s v="Wednesday"/>
    <x v="4"/>
    <x v="3"/>
    <x v="5"/>
    <s v="Fried Rice"/>
    <x v="0"/>
    <n v="1"/>
    <n v="447"/>
    <n v="22.35"/>
    <n v="40"/>
    <n v="447"/>
    <n v="464.65"/>
    <x v="3"/>
    <x v="0"/>
    <x v="0"/>
    <n v="30"/>
    <n v="5"/>
  </r>
  <r>
    <x v="1144"/>
    <x v="84"/>
    <x v="2"/>
    <n v="3"/>
    <n v="26"/>
    <s v="Wednesday"/>
    <x v="4"/>
    <x v="13"/>
    <x v="2"/>
    <s v="Chicken Biryani"/>
    <x v="2"/>
    <n v="2"/>
    <n v="522"/>
    <n v="26.1"/>
    <n v="60"/>
    <n v="1044"/>
    <n v="1077.9000000000001"/>
    <x v="1"/>
    <x v="0"/>
    <x v="1"/>
    <n v="35"/>
    <n v="4.5"/>
  </r>
  <r>
    <x v="1145"/>
    <x v="84"/>
    <x v="2"/>
    <n v="3"/>
    <n v="26"/>
    <s v="Wednesday"/>
    <x v="9"/>
    <x v="3"/>
    <x v="1"/>
    <s v="Chocolate Cake"/>
    <x v="1"/>
    <n v="1"/>
    <n v="723"/>
    <n v="0"/>
    <n v="40"/>
    <n v="723"/>
    <n v="763"/>
    <x v="1"/>
    <x v="3"/>
    <x v="0"/>
    <n v="69"/>
    <m/>
  </r>
  <r>
    <x v="1146"/>
    <x v="84"/>
    <x v="2"/>
    <n v="3"/>
    <n v="26"/>
    <s v="Wednesday"/>
    <x v="8"/>
    <x v="1"/>
    <x v="1"/>
    <s v="Chicken Burger"/>
    <x v="1"/>
    <n v="1"/>
    <n v="606"/>
    <n v="121.2"/>
    <n v="20"/>
    <n v="606"/>
    <n v="504.8"/>
    <x v="1"/>
    <x v="0"/>
    <x v="1"/>
    <n v="23"/>
    <n v="5"/>
  </r>
  <r>
    <x v="1147"/>
    <x v="85"/>
    <x v="2"/>
    <n v="3"/>
    <n v="27"/>
    <s v="Thursday"/>
    <x v="0"/>
    <x v="3"/>
    <x v="2"/>
    <s v="Veg Biryani"/>
    <x v="1"/>
    <n v="1"/>
    <n v="276"/>
    <n v="27.6"/>
    <n v="40"/>
    <n v="276"/>
    <n v="288.39999999999998"/>
    <x v="3"/>
    <x v="0"/>
    <x v="1"/>
    <n v="69"/>
    <n v="4.4000000000000004"/>
  </r>
  <r>
    <x v="1148"/>
    <x v="85"/>
    <x v="2"/>
    <n v="3"/>
    <n v="27"/>
    <s v="Thursday"/>
    <x v="3"/>
    <x v="2"/>
    <x v="5"/>
    <s v="Fried Rice"/>
    <x v="3"/>
    <n v="2"/>
    <n v="461"/>
    <n v="69.150000000000006"/>
    <n v="20"/>
    <n v="922"/>
    <n v="872.85"/>
    <x v="1"/>
    <x v="0"/>
    <x v="0"/>
    <n v="60"/>
    <n v="4.3"/>
  </r>
  <r>
    <x v="1149"/>
    <x v="85"/>
    <x v="2"/>
    <n v="3"/>
    <n v="27"/>
    <s v="Thursday"/>
    <x v="8"/>
    <x v="4"/>
    <x v="1"/>
    <s v="Veg Pizza"/>
    <x v="2"/>
    <n v="1"/>
    <n v="139"/>
    <n v="20.85"/>
    <n v="30"/>
    <n v="139"/>
    <n v="148.15"/>
    <x v="1"/>
    <x v="0"/>
    <x v="0"/>
    <n v="41"/>
    <n v="4.5"/>
  </r>
  <r>
    <x v="1150"/>
    <x v="85"/>
    <x v="2"/>
    <n v="3"/>
    <n v="27"/>
    <s v="Thursday"/>
    <x v="3"/>
    <x v="3"/>
    <x v="9"/>
    <s v="Chocolate Cake"/>
    <x v="2"/>
    <n v="2"/>
    <n v="157"/>
    <n v="7.85"/>
    <n v="0"/>
    <n v="314"/>
    <n v="306.14999999999998"/>
    <x v="1"/>
    <x v="0"/>
    <x v="1"/>
    <n v="40"/>
    <n v="3.6"/>
  </r>
  <r>
    <x v="1151"/>
    <x v="85"/>
    <x v="2"/>
    <n v="3"/>
    <n v="27"/>
    <s v="Thursday"/>
    <x v="1"/>
    <x v="3"/>
    <x v="9"/>
    <s v="Chocolate Cake"/>
    <x v="3"/>
    <n v="2"/>
    <n v="683"/>
    <n v="136.6"/>
    <n v="30"/>
    <n v="1366"/>
    <n v="1259.4000000000001"/>
    <x v="1"/>
    <x v="0"/>
    <x v="1"/>
    <n v="42"/>
    <n v="4.9000000000000004"/>
  </r>
  <r>
    <x v="1152"/>
    <x v="85"/>
    <x v="2"/>
    <n v="3"/>
    <n v="27"/>
    <s v="Thursday"/>
    <x v="9"/>
    <x v="0"/>
    <x v="8"/>
    <s v="Chicken Biryani"/>
    <x v="1"/>
    <n v="2"/>
    <n v="880"/>
    <n v="132"/>
    <n v="70"/>
    <n v="1760"/>
    <n v="1698"/>
    <x v="3"/>
    <x v="2"/>
    <x v="0"/>
    <n v="33"/>
    <m/>
  </r>
  <r>
    <x v="1153"/>
    <x v="85"/>
    <x v="2"/>
    <n v="3"/>
    <n v="27"/>
    <s v="Thursday"/>
    <x v="2"/>
    <x v="12"/>
    <x v="4"/>
    <s v="Chicken Biryani"/>
    <x v="1"/>
    <n v="2"/>
    <n v="255"/>
    <n v="38.25"/>
    <n v="20"/>
    <n v="510"/>
    <n v="491.75"/>
    <x v="4"/>
    <x v="0"/>
    <x v="0"/>
    <n v="43"/>
    <n v="4.7"/>
  </r>
  <r>
    <x v="1154"/>
    <x v="85"/>
    <x v="2"/>
    <n v="3"/>
    <n v="27"/>
    <s v="Thursday"/>
    <x v="6"/>
    <x v="7"/>
    <x v="0"/>
    <s v="Veg Biryani"/>
    <x v="2"/>
    <n v="1"/>
    <n v="837"/>
    <n v="125.55"/>
    <n v="40"/>
    <n v="837"/>
    <n v="751.45"/>
    <x v="3"/>
    <x v="3"/>
    <x v="1"/>
    <n v="53"/>
    <m/>
  </r>
  <r>
    <x v="1155"/>
    <x v="85"/>
    <x v="2"/>
    <n v="3"/>
    <n v="27"/>
    <s v="Thursday"/>
    <x v="4"/>
    <x v="12"/>
    <x v="4"/>
    <s v="Cold Coffee"/>
    <x v="1"/>
    <n v="2"/>
    <n v="174"/>
    <n v="8.6999999999999993"/>
    <n v="40"/>
    <n v="348"/>
    <n v="379.3"/>
    <x v="1"/>
    <x v="1"/>
    <x v="1"/>
    <n v="53"/>
    <m/>
  </r>
  <r>
    <x v="1156"/>
    <x v="85"/>
    <x v="2"/>
    <n v="3"/>
    <n v="27"/>
    <s v="Thursday"/>
    <x v="4"/>
    <x v="4"/>
    <x v="2"/>
    <s v="French Fries"/>
    <x v="2"/>
    <n v="1"/>
    <n v="356"/>
    <n v="53.4"/>
    <n v="0"/>
    <n v="356"/>
    <n v="302.60000000000002"/>
    <x v="0"/>
    <x v="0"/>
    <x v="0"/>
    <n v="26"/>
    <n v="4.8"/>
  </r>
  <r>
    <x v="1157"/>
    <x v="85"/>
    <x v="2"/>
    <n v="3"/>
    <n v="27"/>
    <s v="Thursday"/>
    <x v="2"/>
    <x v="8"/>
    <x v="4"/>
    <s v="Cold Coffee"/>
    <x v="1"/>
    <n v="1"/>
    <n v="603"/>
    <n v="60.3"/>
    <n v="40"/>
    <n v="603"/>
    <n v="582.70000000000005"/>
    <x v="1"/>
    <x v="1"/>
    <x v="0"/>
    <n v="50"/>
    <m/>
  </r>
  <r>
    <x v="1158"/>
    <x v="85"/>
    <x v="2"/>
    <n v="3"/>
    <n v="27"/>
    <s v="Thursday"/>
    <x v="9"/>
    <x v="7"/>
    <x v="7"/>
    <s v="Chicken Pizza"/>
    <x v="1"/>
    <n v="3"/>
    <n v="338"/>
    <n v="0"/>
    <n v="40"/>
    <n v="1014"/>
    <n v="1054"/>
    <x v="4"/>
    <x v="3"/>
    <x v="0"/>
    <n v="26"/>
    <m/>
  </r>
  <r>
    <x v="1159"/>
    <x v="85"/>
    <x v="2"/>
    <n v="3"/>
    <n v="27"/>
    <s v="Thursday"/>
    <x v="7"/>
    <x v="7"/>
    <x v="5"/>
    <s v="Veg Burger"/>
    <x v="3"/>
    <n v="1"/>
    <n v="640"/>
    <n v="0"/>
    <n v="60"/>
    <n v="640"/>
    <n v="700"/>
    <x v="3"/>
    <x v="0"/>
    <x v="1"/>
    <n v="31"/>
    <n v="3.8"/>
  </r>
  <r>
    <x v="1160"/>
    <x v="85"/>
    <x v="2"/>
    <n v="3"/>
    <n v="27"/>
    <s v="Thursday"/>
    <x v="9"/>
    <x v="9"/>
    <x v="9"/>
    <s v="Chicken Momos"/>
    <x v="1"/>
    <n v="2"/>
    <n v="258"/>
    <n v="12.9"/>
    <n v="30"/>
    <n v="516"/>
    <n v="533.1"/>
    <x v="0"/>
    <x v="0"/>
    <x v="1"/>
    <n v="35"/>
    <n v="3.9"/>
  </r>
  <r>
    <x v="1161"/>
    <x v="85"/>
    <x v="2"/>
    <n v="3"/>
    <n v="27"/>
    <s v="Thursday"/>
    <x v="5"/>
    <x v="8"/>
    <x v="8"/>
    <s v="Chocolate Cake"/>
    <x v="1"/>
    <n v="1"/>
    <n v="259"/>
    <n v="12.95"/>
    <n v="50"/>
    <n v="259"/>
    <n v="296.05"/>
    <x v="1"/>
    <x v="0"/>
    <x v="1"/>
    <n v="67"/>
    <n v="4.2"/>
  </r>
  <r>
    <x v="1162"/>
    <x v="85"/>
    <x v="2"/>
    <n v="3"/>
    <n v="27"/>
    <s v="Thursday"/>
    <x v="1"/>
    <x v="7"/>
    <x v="1"/>
    <s v="Chicken Biryani"/>
    <x v="1"/>
    <n v="2"/>
    <n v="172"/>
    <n v="17.2"/>
    <n v="60"/>
    <n v="344"/>
    <n v="386.8"/>
    <x v="0"/>
    <x v="0"/>
    <x v="1"/>
    <n v="33"/>
    <n v="3.8"/>
  </r>
  <r>
    <x v="1163"/>
    <x v="85"/>
    <x v="2"/>
    <n v="3"/>
    <n v="27"/>
    <s v="Thursday"/>
    <x v="3"/>
    <x v="9"/>
    <x v="2"/>
    <s v="Veg Momos"/>
    <x v="2"/>
    <n v="2"/>
    <n v="218"/>
    <n v="10.9"/>
    <n v="60"/>
    <n v="436"/>
    <n v="485.1"/>
    <x v="4"/>
    <x v="0"/>
    <x v="1"/>
    <n v="70"/>
    <n v="4.5"/>
  </r>
  <r>
    <x v="1164"/>
    <x v="85"/>
    <x v="2"/>
    <n v="3"/>
    <n v="27"/>
    <s v="Thursday"/>
    <x v="3"/>
    <x v="1"/>
    <x v="1"/>
    <s v="Idli Sambar"/>
    <x v="1"/>
    <n v="2"/>
    <n v="165"/>
    <n v="16.5"/>
    <n v="70"/>
    <n v="330"/>
    <n v="383.5"/>
    <x v="2"/>
    <x v="2"/>
    <x v="1"/>
    <n v="53"/>
    <m/>
  </r>
  <r>
    <x v="1165"/>
    <x v="86"/>
    <x v="2"/>
    <n v="3"/>
    <n v="28"/>
    <s v="Friday"/>
    <x v="3"/>
    <x v="2"/>
    <x v="1"/>
    <s v="Veg Momos"/>
    <x v="2"/>
    <n v="2"/>
    <n v="817"/>
    <n v="204.25"/>
    <n v="50"/>
    <n v="1634"/>
    <n v="1479.75"/>
    <x v="1"/>
    <x v="0"/>
    <x v="0"/>
    <n v="20"/>
    <n v="4.5"/>
  </r>
  <r>
    <x v="1166"/>
    <x v="86"/>
    <x v="2"/>
    <n v="3"/>
    <n v="28"/>
    <s v="Friday"/>
    <x v="0"/>
    <x v="12"/>
    <x v="7"/>
    <s v="Veg Momos"/>
    <x v="1"/>
    <n v="1"/>
    <n v="406"/>
    <n v="40.6"/>
    <n v="50"/>
    <n v="406"/>
    <n v="415.4"/>
    <x v="4"/>
    <x v="0"/>
    <x v="1"/>
    <n v="62"/>
    <n v="4.0999999999999996"/>
  </r>
  <r>
    <x v="1167"/>
    <x v="86"/>
    <x v="2"/>
    <n v="3"/>
    <n v="28"/>
    <s v="Friday"/>
    <x v="0"/>
    <x v="1"/>
    <x v="5"/>
    <s v="Paneer Butter Masala"/>
    <x v="1"/>
    <n v="2"/>
    <n v="353"/>
    <n v="70.599999999999994"/>
    <n v="30"/>
    <n v="706"/>
    <n v="665.4"/>
    <x v="1"/>
    <x v="0"/>
    <x v="0"/>
    <n v="38"/>
    <n v="4.3"/>
  </r>
  <r>
    <x v="1168"/>
    <x v="86"/>
    <x v="2"/>
    <n v="3"/>
    <n v="28"/>
    <s v="Friday"/>
    <x v="9"/>
    <x v="10"/>
    <x v="9"/>
    <s v="Chicken Pizza"/>
    <x v="1"/>
    <n v="1"/>
    <n v="661"/>
    <n v="66.099999999999994"/>
    <n v="50"/>
    <n v="661"/>
    <n v="644.9"/>
    <x v="3"/>
    <x v="0"/>
    <x v="1"/>
    <n v="57"/>
    <n v="4.0999999999999996"/>
  </r>
  <r>
    <x v="1169"/>
    <x v="86"/>
    <x v="2"/>
    <n v="3"/>
    <n v="28"/>
    <s v="Friday"/>
    <x v="4"/>
    <x v="11"/>
    <x v="0"/>
    <s v="Veg Pizza"/>
    <x v="2"/>
    <n v="2"/>
    <n v="590"/>
    <n v="0"/>
    <n v="0"/>
    <n v="1180"/>
    <n v="1180"/>
    <x v="4"/>
    <x v="0"/>
    <x v="1"/>
    <n v="70"/>
    <n v="4.5999999999999996"/>
  </r>
  <r>
    <x v="1170"/>
    <x v="86"/>
    <x v="2"/>
    <n v="3"/>
    <n v="28"/>
    <s v="Friday"/>
    <x v="2"/>
    <x v="1"/>
    <x v="5"/>
    <s v="Cold Coffee"/>
    <x v="2"/>
    <n v="2"/>
    <n v="633"/>
    <n v="31.65"/>
    <n v="30"/>
    <n v="1266"/>
    <n v="1264.3499999999999"/>
    <x v="1"/>
    <x v="0"/>
    <x v="1"/>
    <n v="30"/>
    <n v="3.2"/>
  </r>
  <r>
    <x v="1171"/>
    <x v="86"/>
    <x v="2"/>
    <n v="3"/>
    <n v="28"/>
    <s v="Friday"/>
    <x v="3"/>
    <x v="2"/>
    <x v="5"/>
    <s v="Chicken Pizza"/>
    <x v="2"/>
    <n v="2"/>
    <n v="878"/>
    <n v="0"/>
    <n v="20"/>
    <n v="1756"/>
    <n v="1776"/>
    <x v="2"/>
    <x v="0"/>
    <x v="0"/>
    <n v="53"/>
    <n v="3.2"/>
  </r>
  <r>
    <x v="1172"/>
    <x v="86"/>
    <x v="2"/>
    <n v="3"/>
    <n v="28"/>
    <s v="Friday"/>
    <x v="5"/>
    <x v="9"/>
    <x v="7"/>
    <s v="Fried Rice"/>
    <x v="1"/>
    <n v="3"/>
    <n v="657"/>
    <n v="98.55"/>
    <n v="20"/>
    <n v="1971"/>
    <n v="1892.45"/>
    <x v="2"/>
    <x v="0"/>
    <x v="0"/>
    <n v="58"/>
    <n v="4"/>
  </r>
  <r>
    <x v="1173"/>
    <x v="86"/>
    <x v="2"/>
    <n v="3"/>
    <n v="28"/>
    <s v="Friday"/>
    <x v="7"/>
    <x v="13"/>
    <x v="1"/>
    <s v="Veg Pizza"/>
    <x v="1"/>
    <n v="3"/>
    <n v="384"/>
    <n v="19.2"/>
    <n v="60"/>
    <n v="1152"/>
    <n v="1192.8"/>
    <x v="1"/>
    <x v="2"/>
    <x v="1"/>
    <n v="25"/>
    <m/>
  </r>
  <r>
    <x v="1174"/>
    <x v="86"/>
    <x v="2"/>
    <n v="3"/>
    <n v="28"/>
    <s v="Friday"/>
    <x v="5"/>
    <x v="0"/>
    <x v="8"/>
    <s v="Chocolate Cake"/>
    <x v="1"/>
    <n v="1"/>
    <n v="628"/>
    <n v="31.4"/>
    <n v="40"/>
    <n v="628"/>
    <n v="636.6"/>
    <x v="0"/>
    <x v="0"/>
    <x v="0"/>
    <n v="29"/>
    <n v="4.5"/>
  </r>
  <r>
    <x v="1175"/>
    <x v="86"/>
    <x v="2"/>
    <n v="3"/>
    <n v="28"/>
    <s v="Friday"/>
    <x v="1"/>
    <x v="12"/>
    <x v="8"/>
    <s v="Idli Sambar"/>
    <x v="1"/>
    <n v="1"/>
    <n v="339"/>
    <n v="84.75"/>
    <n v="40"/>
    <n v="339"/>
    <n v="294.25"/>
    <x v="0"/>
    <x v="0"/>
    <x v="0"/>
    <n v="51"/>
    <n v="3.4"/>
  </r>
  <r>
    <x v="1176"/>
    <x v="87"/>
    <x v="2"/>
    <n v="3"/>
    <n v="29"/>
    <s v="Saturday"/>
    <x v="3"/>
    <x v="0"/>
    <x v="9"/>
    <s v="Fried Rice"/>
    <x v="1"/>
    <n v="3"/>
    <n v="560"/>
    <n v="56"/>
    <n v="20"/>
    <n v="1680"/>
    <n v="1644"/>
    <x v="2"/>
    <x v="2"/>
    <x v="1"/>
    <n v="60"/>
    <m/>
  </r>
  <r>
    <x v="1177"/>
    <x v="87"/>
    <x v="2"/>
    <n v="3"/>
    <n v="29"/>
    <s v="Saturday"/>
    <x v="7"/>
    <x v="11"/>
    <x v="0"/>
    <s v="Fried Rice"/>
    <x v="1"/>
    <n v="1"/>
    <n v="319"/>
    <n v="47.85"/>
    <n v="40"/>
    <n v="319"/>
    <n v="311.14999999999998"/>
    <x v="2"/>
    <x v="0"/>
    <x v="0"/>
    <n v="22"/>
    <n v="4.8"/>
  </r>
  <r>
    <x v="1178"/>
    <x v="87"/>
    <x v="2"/>
    <n v="3"/>
    <n v="29"/>
    <s v="Saturday"/>
    <x v="3"/>
    <x v="13"/>
    <x v="7"/>
    <s v="Chicken Momos"/>
    <x v="1"/>
    <n v="2"/>
    <n v="380"/>
    <n v="95"/>
    <n v="20"/>
    <n v="760"/>
    <n v="685"/>
    <x v="1"/>
    <x v="0"/>
    <x v="1"/>
    <n v="42"/>
    <n v="3.9"/>
  </r>
  <r>
    <x v="1179"/>
    <x v="87"/>
    <x v="2"/>
    <n v="3"/>
    <n v="29"/>
    <s v="Saturday"/>
    <x v="4"/>
    <x v="4"/>
    <x v="2"/>
    <s v="Chicken Burger"/>
    <x v="0"/>
    <n v="3"/>
    <n v="193"/>
    <n v="38.6"/>
    <n v="0"/>
    <n v="579"/>
    <n v="540.4"/>
    <x v="3"/>
    <x v="0"/>
    <x v="1"/>
    <n v="30"/>
    <n v="3.9"/>
  </r>
  <r>
    <x v="1180"/>
    <x v="87"/>
    <x v="2"/>
    <n v="3"/>
    <n v="29"/>
    <s v="Saturday"/>
    <x v="3"/>
    <x v="6"/>
    <x v="9"/>
    <s v="Masala Dosa"/>
    <x v="1"/>
    <n v="1"/>
    <n v="534"/>
    <n v="106.8"/>
    <n v="60"/>
    <n v="534"/>
    <n v="487.2"/>
    <x v="1"/>
    <x v="0"/>
    <x v="1"/>
    <n v="53"/>
    <n v="4"/>
  </r>
  <r>
    <x v="1181"/>
    <x v="87"/>
    <x v="2"/>
    <n v="3"/>
    <n v="29"/>
    <s v="Saturday"/>
    <x v="1"/>
    <x v="7"/>
    <x v="0"/>
    <s v="Cold Coffee"/>
    <x v="1"/>
    <n v="2"/>
    <n v="459"/>
    <n v="45.9"/>
    <n v="60"/>
    <n v="918"/>
    <n v="932.1"/>
    <x v="1"/>
    <x v="0"/>
    <x v="0"/>
    <n v="51"/>
    <n v="3.7"/>
  </r>
  <r>
    <x v="1182"/>
    <x v="87"/>
    <x v="2"/>
    <n v="3"/>
    <n v="29"/>
    <s v="Saturday"/>
    <x v="8"/>
    <x v="2"/>
    <x v="6"/>
    <s v="Chicken Burger"/>
    <x v="0"/>
    <n v="1"/>
    <n v="771"/>
    <n v="0"/>
    <n v="70"/>
    <n v="771"/>
    <n v="841"/>
    <x v="1"/>
    <x v="0"/>
    <x v="1"/>
    <n v="35"/>
    <n v="3.4"/>
  </r>
  <r>
    <x v="1183"/>
    <x v="87"/>
    <x v="2"/>
    <n v="3"/>
    <n v="29"/>
    <s v="Saturday"/>
    <x v="2"/>
    <x v="9"/>
    <x v="4"/>
    <s v="Cold Coffee"/>
    <x v="1"/>
    <n v="1"/>
    <n v="446"/>
    <n v="22.3"/>
    <n v="50"/>
    <n v="446"/>
    <n v="473.7"/>
    <x v="1"/>
    <x v="0"/>
    <x v="1"/>
    <n v="66"/>
    <n v="4.3"/>
  </r>
  <r>
    <x v="1184"/>
    <x v="87"/>
    <x v="2"/>
    <n v="3"/>
    <n v="29"/>
    <s v="Saturday"/>
    <x v="9"/>
    <x v="5"/>
    <x v="5"/>
    <s v="French Fries"/>
    <x v="3"/>
    <n v="1"/>
    <n v="595"/>
    <n v="0"/>
    <n v="0"/>
    <n v="595"/>
    <n v="595"/>
    <x v="2"/>
    <x v="2"/>
    <x v="0"/>
    <n v="41"/>
    <m/>
  </r>
  <r>
    <x v="1185"/>
    <x v="88"/>
    <x v="2"/>
    <n v="3"/>
    <n v="30"/>
    <s v="Sunday"/>
    <x v="5"/>
    <x v="7"/>
    <x v="4"/>
    <s v="Fried Rice"/>
    <x v="1"/>
    <n v="1"/>
    <n v="804"/>
    <n v="0"/>
    <n v="20"/>
    <n v="804"/>
    <n v="824"/>
    <x v="1"/>
    <x v="0"/>
    <x v="1"/>
    <n v="54"/>
    <n v="3.4"/>
  </r>
  <r>
    <x v="1186"/>
    <x v="88"/>
    <x v="2"/>
    <n v="3"/>
    <n v="30"/>
    <s v="Sunday"/>
    <x v="2"/>
    <x v="10"/>
    <x v="5"/>
    <s v="Veg Biryani"/>
    <x v="1"/>
    <n v="1"/>
    <n v="375"/>
    <n v="56.25"/>
    <n v="20"/>
    <n v="375"/>
    <n v="338.75"/>
    <x v="2"/>
    <x v="0"/>
    <x v="0"/>
    <n v="66"/>
    <n v="4.0999999999999996"/>
  </r>
  <r>
    <x v="1187"/>
    <x v="88"/>
    <x v="2"/>
    <n v="3"/>
    <n v="30"/>
    <s v="Sunday"/>
    <x v="9"/>
    <x v="7"/>
    <x v="8"/>
    <s v="Idli Sambar"/>
    <x v="1"/>
    <n v="1"/>
    <n v="291"/>
    <n v="43.65"/>
    <n v="40"/>
    <n v="291"/>
    <n v="287.35000000000002"/>
    <x v="3"/>
    <x v="0"/>
    <x v="1"/>
    <n v="48"/>
    <n v="4.8"/>
  </r>
  <r>
    <x v="1188"/>
    <x v="88"/>
    <x v="2"/>
    <n v="3"/>
    <n v="30"/>
    <s v="Sunday"/>
    <x v="5"/>
    <x v="10"/>
    <x v="7"/>
    <s v="Paneer Butter Masala"/>
    <x v="0"/>
    <n v="3"/>
    <n v="699"/>
    <n v="69.900000000000006"/>
    <n v="40"/>
    <n v="2097"/>
    <n v="2067.1"/>
    <x v="1"/>
    <x v="0"/>
    <x v="0"/>
    <n v="37"/>
    <n v="4.0999999999999996"/>
  </r>
  <r>
    <x v="1189"/>
    <x v="88"/>
    <x v="2"/>
    <n v="3"/>
    <n v="30"/>
    <s v="Sunday"/>
    <x v="4"/>
    <x v="10"/>
    <x v="8"/>
    <s v="French Fries"/>
    <x v="1"/>
    <n v="2"/>
    <n v="493"/>
    <n v="0"/>
    <n v="20"/>
    <n v="986"/>
    <n v="1006"/>
    <x v="4"/>
    <x v="0"/>
    <x v="1"/>
    <n v="59"/>
    <n v="3.8"/>
  </r>
  <r>
    <x v="1190"/>
    <x v="88"/>
    <x v="2"/>
    <n v="3"/>
    <n v="30"/>
    <s v="Sunday"/>
    <x v="2"/>
    <x v="3"/>
    <x v="2"/>
    <s v="Veg Burger"/>
    <x v="1"/>
    <n v="3"/>
    <n v="577"/>
    <n v="115.4"/>
    <n v="40"/>
    <n v="1731"/>
    <n v="1655.6"/>
    <x v="2"/>
    <x v="0"/>
    <x v="0"/>
    <n v="35"/>
    <n v="3.7"/>
  </r>
  <r>
    <x v="1191"/>
    <x v="88"/>
    <x v="2"/>
    <n v="3"/>
    <n v="30"/>
    <s v="Sunday"/>
    <x v="3"/>
    <x v="3"/>
    <x v="9"/>
    <s v="Idli Sambar"/>
    <x v="1"/>
    <n v="2"/>
    <n v="749"/>
    <n v="112.35"/>
    <n v="60"/>
    <n v="1498"/>
    <n v="1445.65"/>
    <x v="1"/>
    <x v="3"/>
    <x v="1"/>
    <n v="27"/>
    <m/>
  </r>
  <r>
    <x v="1192"/>
    <x v="88"/>
    <x v="2"/>
    <n v="3"/>
    <n v="30"/>
    <s v="Sunday"/>
    <x v="1"/>
    <x v="1"/>
    <x v="2"/>
    <s v="French Fries"/>
    <x v="1"/>
    <n v="1"/>
    <n v="238"/>
    <n v="35.700000000000003"/>
    <n v="60"/>
    <n v="238"/>
    <n v="262.3"/>
    <x v="4"/>
    <x v="0"/>
    <x v="0"/>
    <n v="41"/>
    <n v="4.2"/>
  </r>
  <r>
    <x v="1193"/>
    <x v="88"/>
    <x v="2"/>
    <n v="3"/>
    <n v="30"/>
    <s v="Sunday"/>
    <x v="3"/>
    <x v="2"/>
    <x v="1"/>
    <s v="Cold Coffee"/>
    <x v="0"/>
    <n v="2"/>
    <n v="654"/>
    <n v="98.1"/>
    <n v="30"/>
    <n v="1308"/>
    <n v="1239.9000000000001"/>
    <x v="1"/>
    <x v="0"/>
    <x v="0"/>
    <n v="25"/>
    <n v="4.4000000000000004"/>
  </r>
  <r>
    <x v="1194"/>
    <x v="88"/>
    <x v="2"/>
    <n v="3"/>
    <n v="30"/>
    <s v="Sunday"/>
    <x v="0"/>
    <x v="11"/>
    <x v="1"/>
    <s v="Chicken Momos"/>
    <x v="1"/>
    <n v="1"/>
    <n v="888"/>
    <n v="133.19999999999999"/>
    <n v="30"/>
    <n v="888"/>
    <n v="784.8"/>
    <x v="4"/>
    <x v="0"/>
    <x v="0"/>
    <n v="64"/>
    <n v="4.5"/>
  </r>
  <r>
    <x v="1195"/>
    <x v="88"/>
    <x v="2"/>
    <n v="3"/>
    <n v="30"/>
    <s v="Sunday"/>
    <x v="1"/>
    <x v="7"/>
    <x v="3"/>
    <s v="French Fries"/>
    <x v="1"/>
    <n v="2"/>
    <n v="511"/>
    <n v="127.75"/>
    <n v="20"/>
    <n v="1022"/>
    <n v="914.25"/>
    <x v="0"/>
    <x v="0"/>
    <x v="1"/>
    <n v="47"/>
    <n v="4.7"/>
  </r>
  <r>
    <x v="1196"/>
    <x v="88"/>
    <x v="2"/>
    <n v="3"/>
    <n v="30"/>
    <s v="Sunday"/>
    <x v="6"/>
    <x v="0"/>
    <x v="2"/>
    <s v="Chicken Biryani"/>
    <x v="1"/>
    <n v="3"/>
    <n v="556"/>
    <n v="111.2"/>
    <n v="40"/>
    <n v="1668"/>
    <n v="1596.8"/>
    <x v="0"/>
    <x v="3"/>
    <x v="0"/>
    <n v="45"/>
    <m/>
  </r>
  <r>
    <x v="1197"/>
    <x v="88"/>
    <x v="2"/>
    <n v="3"/>
    <n v="30"/>
    <s v="Sunday"/>
    <x v="6"/>
    <x v="8"/>
    <x v="2"/>
    <s v="Paneer Butter Masala"/>
    <x v="1"/>
    <n v="1"/>
    <n v="592"/>
    <n v="0"/>
    <n v="40"/>
    <n v="592"/>
    <n v="632"/>
    <x v="1"/>
    <x v="0"/>
    <x v="1"/>
    <n v="33"/>
    <n v="3.3"/>
  </r>
  <r>
    <x v="1198"/>
    <x v="89"/>
    <x v="2"/>
    <n v="3"/>
    <n v="31"/>
    <s v="Monday"/>
    <x v="5"/>
    <x v="0"/>
    <x v="9"/>
    <s v="French Fries"/>
    <x v="1"/>
    <n v="2"/>
    <n v="289"/>
    <n v="57.8"/>
    <n v="0"/>
    <n v="578"/>
    <n v="520.20000000000005"/>
    <x v="1"/>
    <x v="0"/>
    <x v="1"/>
    <n v="53"/>
    <n v="2.6"/>
  </r>
  <r>
    <x v="1199"/>
    <x v="89"/>
    <x v="2"/>
    <n v="3"/>
    <n v="31"/>
    <s v="Monday"/>
    <x v="3"/>
    <x v="9"/>
    <x v="2"/>
    <s v="Chicken Momos"/>
    <x v="2"/>
    <n v="2"/>
    <n v="296"/>
    <n v="74"/>
    <n v="30"/>
    <n v="592"/>
    <n v="548"/>
    <x v="3"/>
    <x v="0"/>
    <x v="0"/>
    <n v="36"/>
    <n v="4.9000000000000004"/>
  </r>
  <r>
    <x v="1200"/>
    <x v="89"/>
    <x v="2"/>
    <n v="3"/>
    <n v="31"/>
    <s v="Monday"/>
    <x v="9"/>
    <x v="9"/>
    <x v="6"/>
    <s v="French Fries"/>
    <x v="1"/>
    <n v="1"/>
    <n v="445"/>
    <n v="66.75"/>
    <n v="0"/>
    <n v="445"/>
    <n v="378.25"/>
    <x v="4"/>
    <x v="0"/>
    <x v="1"/>
    <n v="66"/>
    <n v="3.4"/>
  </r>
  <r>
    <x v="1201"/>
    <x v="89"/>
    <x v="2"/>
    <n v="3"/>
    <n v="31"/>
    <s v="Monday"/>
    <x v="9"/>
    <x v="10"/>
    <x v="2"/>
    <s v="Veg Biryani"/>
    <x v="1"/>
    <n v="2"/>
    <n v="279"/>
    <n v="55.8"/>
    <n v="30"/>
    <n v="558"/>
    <n v="532.20000000000005"/>
    <x v="2"/>
    <x v="0"/>
    <x v="0"/>
    <n v="36"/>
    <n v="3.7"/>
  </r>
  <r>
    <x v="1202"/>
    <x v="89"/>
    <x v="2"/>
    <n v="3"/>
    <n v="31"/>
    <s v="Monday"/>
    <x v="3"/>
    <x v="4"/>
    <x v="7"/>
    <s v="Cold Coffee"/>
    <x v="1"/>
    <n v="3"/>
    <n v="324"/>
    <n v="0"/>
    <n v="0"/>
    <n v="972"/>
    <n v="972"/>
    <x v="3"/>
    <x v="0"/>
    <x v="1"/>
    <n v="24"/>
    <n v="3.7"/>
  </r>
  <r>
    <x v="1203"/>
    <x v="89"/>
    <x v="2"/>
    <n v="3"/>
    <n v="31"/>
    <s v="Monday"/>
    <x v="3"/>
    <x v="4"/>
    <x v="4"/>
    <s v="Paneer Butter Masala"/>
    <x v="1"/>
    <n v="3"/>
    <n v="735"/>
    <n v="73.5"/>
    <n v="50"/>
    <n v="2205"/>
    <n v="2181.5"/>
    <x v="2"/>
    <x v="1"/>
    <x v="0"/>
    <n v="57"/>
    <m/>
  </r>
  <r>
    <x v="1204"/>
    <x v="89"/>
    <x v="2"/>
    <n v="3"/>
    <n v="31"/>
    <s v="Monday"/>
    <x v="9"/>
    <x v="10"/>
    <x v="5"/>
    <s v="Cold Coffee"/>
    <x v="1"/>
    <n v="2"/>
    <n v="784"/>
    <n v="78.400000000000006"/>
    <n v="30"/>
    <n v="1568"/>
    <n v="1519.6"/>
    <x v="1"/>
    <x v="0"/>
    <x v="0"/>
    <n v="41"/>
    <n v="4.5"/>
  </r>
  <r>
    <x v="1205"/>
    <x v="89"/>
    <x v="2"/>
    <n v="3"/>
    <n v="31"/>
    <s v="Monday"/>
    <x v="0"/>
    <x v="0"/>
    <x v="6"/>
    <s v="Masala Dosa"/>
    <x v="1"/>
    <n v="1"/>
    <n v="271"/>
    <n v="40.65"/>
    <n v="30"/>
    <n v="271"/>
    <n v="260.35000000000002"/>
    <x v="0"/>
    <x v="0"/>
    <x v="1"/>
    <n v="58"/>
    <n v="4"/>
  </r>
  <r>
    <x v="1206"/>
    <x v="89"/>
    <x v="2"/>
    <n v="3"/>
    <n v="31"/>
    <s v="Monday"/>
    <x v="3"/>
    <x v="5"/>
    <x v="3"/>
    <s v="Chicken Pizza"/>
    <x v="2"/>
    <n v="1"/>
    <n v="463"/>
    <n v="46.3"/>
    <n v="30"/>
    <n v="463"/>
    <n v="446.7"/>
    <x v="1"/>
    <x v="1"/>
    <x v="1"/>
    <n v="65"/>
    <m/>
  </r>
  <r>
    <x v="1207"/>
    <x v="89"/>
    <x v="2"/>
    <n v="3"/>
    <n v="31"/>
    <s v="Monday"/>
    <x v="3"/>
    <x v="3"/>
    <x v="0"/>
    <s v="Idli Sambar"/>
    <x v="1"/>
    <n v="2"/>
    <n v="547"/>
    <n v="27.35"/>
    <n v="70"/>
    <n v="1094"/>
    <n v="1136.6500000000001"/>
    <x v="1"/>
    <x v="0"/>
    <x v="0"/>
    <n v="52"/>
    <n v="5"/>
  </r>
  <r>
    <x v="1208"/>
    <x v="89"/>
    <x v="2"/>
    <n v="3"/>
    <n v="31"/>
    <s v="Monday"/>
    <x v="1"/>
    <x v="8"/>
    <x v="1"/>
    <s v="Chocolate Cake"/>
    <x v="2"/>
    <n v="1"/>
    <n v="309"/>
    <n v="30.9"/>
    <n v="30"/>
    <n v="309"/>
    <n v="308.10000000000002"/>
    <x v="2"/>
    <x v="0"/>
    <x v="0"/>
    <n v="64"/>
    <n v="3.3"/>
  </r>
  <r>
    <x v="1209"/>
    <x v="89"/>
    <x v="2"/>
    <n v="3"/>
    <n v="31"/>
    <s v="Monday"/>
    <x v="8"/>
    <x v="11"/>
    <x v="9"/>
    <s v="Cold Coffee"/>
    <x v="0"/>
    <n v="2"/>
    <n v="462"/>
    <n v="69.3"/>
    <n v="40"/>
    <n v="924"/>
    <n v="894.7"/>
    <x v="1"/>
    <x v="0"/>
    <x v="0"/>
    <n v="23"/>
    <n v="5"/>
  </r>
  <r>
    <x v="1210"/>
    <x v="89"/>
    <x v="2"/>
    <n v="3"/>
    <n v="31"/>
    <s v="Monday"/>
    <x v="4"/>
    <x v="14"/>
    <x v="2"/>
    <s v="Cold Coffee"/>
    <x v="2"/>
    <n v="1"/>
    <n v="491"/>
    <n v="0"/>
    <n v="40"/>
    <n v="491"/>
    <n v="531"/>
    <x v="0"/>
    <x v="0"/>
    <x v="1"/>
    <n v="33"/>
    <n v="4"/>
  </r>
  <r>
    <x v="1211"/>
    <x v="89"/>
    <x v="2"/>
    <n v="3"/>
    <n v="31"/>
    <s v="Monday"/>
    <x v="9"/>
    <x v="9"/>
    <x v="8"/>
    <s v="Chicken Momos"/>
    <x v="1"/>
    <n v="2"/>
    <n v="728"/>
    <n v="36.4"/>
    <n v="40"/>
    <n v="1456"/>
    <n v="1459.6"/>
    <x v="2"/>
    <x v="0"/>
    <x v="0"/>
    <n v="19"/>
    <n v="3.2"/>
  </r>
  <r>
    <x v="1212"/>
    <x v="89"/>
    <x v="2"/>
    <n v="3"/>
    <n v="31"/>
    <s v="Monday"/>
    <x v="1"/>
    <x v="7"/>
    <x v="3"/>
    <s v="Chocolate Cake"/>
    <x v="3"/>
    <n v="2"/>
    <n v="522"/>
    <n v="130.5"/>
    <n v="0"/>
    <n v="1044"/>
    <n v="913.5"/>
    <x v="1"/>
    <x v="0"/>
    <x v="1"/>
    <n v="67"/>
    <n v="4.3"/>
  </r>
  <r>
    <x v="1213"/>
    <x v="89"/>
    <x v="2"/>
    <n v="3"/>
    <n v="31"/>
    <s v="Monday"/>
    <x v="6"/>
    <x v="5"/>
    <x v="6"/>
    <s v="Chicken Pizza"/>
    <x v="3"/>
    <n v="2"/>
    <n v="343"/>
    <n v="51.45"/>
    <n v="30"/>
    <n v="686"/>
    <n v="664.55"/>
    <x v="4"/>
    <x v="0"/>
    <x v="0"/>
    <n v="54"/>
    <n v="5"/>
  </r>
  <r>
    <x v="1214"/>
    <x v="89"/>
    <x v="2"/>
    <n v="3"/>
    <n v="31"/>
    <s v="Monday"/>
    <x v="0"/>
    <x v="5"/>
    <x v="3"/>
    <s v="Chicken Pizza"/>
    <x v="1"/>
    <n v="2"/>
    <n v="227"/>
    <n v="0"/>
    <n v="20"/>
    <n v="454"/>
    <n v="474"/>
    <x v="1"/>
    <x v="0"/>
    <x v="0"/>
    <n v="57"/>
    <n v="5"/>
  </r>
  <r>
    <x v="1215"/>
    <x v="89"/>
    <x v="2"/>
    <n v="3"/>
    <n v="31"/>
    <s v="Monday"/>
    <x v="3"/>
    <x v="13"/>
    <x v="2"/>
    <s v="Pasta"/>
    <x v="2"/>
    <n v="1"/>
    <n v="537"/>
    <n v="53.7"/>
    <n v="50"/>
    <n v="537"/>
    <n v="533.29999999999995"/>
    <x v="4"/>
    <x v="2"/>
    <x v="1"/>
    <n v="62"/>
    <m/>
  </r>
  <r>
    <x v="1216"/>
    <x v="90"/>
    <x v="3"/>
    <n v="4"/>
    <n v="1"/>
    <s v="Tuesday"/>
    <x v="4"/>
    <x v="2"/>
    <x v="5"/>
    <s v="Masala Dosa"/>
    <x v="1"/>
    <n v="1"/>
    <n v="892"/>
    <n v="178.4"/>
    <n v="40"/>
    <n v="892"/>
    <n v="753.6"/>
    <x v="2"/>
    <x v="0"/>
    <x v="1"/>
    <n v="37"/>
    <n v="4.5"/>
  </r>
  <r>
    <x v="1217"/>
    <x v="90"/>
    <x v="3"/>
    <n v="4"/>
    <n v="1"/>
    <s v="Tuesday"/>
    <x v="6"/>
    <x v="14"/>
    <x v="0"/>
    <s v="Veg Momos"/>
    <x v="1"/>
    <n v="2"/>
    <n v="881"/>
    <n v="88.1"/>
    <n v="30"/>
    <n v="1762"/>
    <n v="1703.9"/>
    <x v="1"/>
    <x v="2"/>
    <x v="1"/>
    <n v="42"/>
    <m/>
  </r>
  <r>
    <x v="1218"/>
    <x v="90"/>
    <x v="3"/>
    <n v="4"/>
    <n v="1"/>
    <s v="Tuesday"/>
    <x v="4"/>
    <x v="7"/>
    <x v="6"/>
    <s v="Veg Momos"/>
    <x v="1"/>
    <n v="1"/>
    <n v="165"/>
    <n v="8.25"/>
    <n v="40"/>
    <n v="165"/>
    <n v="196.75"/>
    <x v="2"/>
    <x v="0"/>
    <x v="0"/>
    <n v="58"/>
    <n v="4.9000000000000004"/>
  </r>
  <r>
    <x v="1219"/>
    <x v="90"/>
    <x v="3"/>
    <n v="4"/>
    <n v="1"/>
    <s v="Tuesday"/>
    <x v="4"/>
    <x v="5"/>
    <x v="4"/>
    <s v="Chocolate Cake"/>
    <x v="1"/>
    <n v="3"/>
    <n v="254"/>
    <n v="25.4"/>
    <n v="50"/>
    <n v="762"/>
    <n v="786.6"/>
    <x v="0"/>
    <x v="0"/>
    <x v="1"/>
    <n v="39"/>
    <n v="4"/>
  </r>
  <r>
    <x v="1220"/>
    <x v="90"/>
    <x v="3"/>
    <n v="4"/>
    <n v="1"/>
    <s v="Tuesday"/>
    <x v="4"/>
    <x v="1"/>
    <x v="3"/>
    <s v="Veg Burger"/>
    <x v="3"/>
    <n v="2"/>
    <n v="267"/>
    <n v="53.4"/>
    <n v="40"/>
    <n v="534"/>
    <n v="520.6"/>
    <x v="1"/>
    <x v="0"/>
    <x v="1"/>
    <n v="58"/>
    <n v="4.9000000000000004"/>
  </r>
  <r>
    <x v="1221"/>
    <x v="90"/>
    <x v="3"/>
    <n v="4"/>
    <n v="1"/>
    <s v="Tuesday"/>
    <x v="7"/>
    <x v="1"/>
    <x v="5"/>
    <s v="Pasta"/>
    <x v="1"/>
    <n v="1"/>
    <n v="181"/>
    <n v="0"/>
    <n v="20"/>
    <n v="181"/>
    <n v="201"/>
    <x v="2"/>
    <x v="0"/>
    <x v="1"/>
    <n v="35"/>
    <n v="3.9"/>
  </r>
  <r>
    <x v="1222"/>
    <x v="90"/>
    <x v="3"/>
    <n v="4"/>
    <n v="1"/>
    <s v="Tuesday"/>
    <x v="3"/>
    <x v="2"/>
    <x v="2"/>
    <s v="Chicken Momos"/>
    <x v="0"/>
    <n v="2"/>
    <n v="417"/>
    <n v="20.85"/>
    <n v="40"/>
    <n v="834"/>
    <n v="853.15"/>
    <x v="1"/>
    <x v="0"/>
    <x v="0"/>
    <n v="23"/>
    <n v="3.2"/>
  </r>
  <r>
    <x v="1223"/>
    <x v="90"/>
    <x v="3"/>
    <n v="4"/>
    <n v="1"/>
    <s v="Tuesday"/>
    <x v="6"/>
    <x v="11"/>
    <x v="8"/>
    <s v="Veg Burger"/>
    <x v="3"/>
    <n v="2"/>
    <n v="668"/>
    <n v="133.6"/>
    <n v="70"/>
    <n v="1336"/>
    <n v="1272.4000000000001"/>
    <x v="4"/>
    <x v="0"/>
    <x v="1"/>
    <n v="49"/>
    <n v="3.8"/>
  </r>
  <r>
    <x v="1224"/>
    <x v="91"/>
    <x v="3"/>
    <n v="4"/>
    <n v="2"/>
    <s v="Wednesday"/>
    <x v="7"/>
    <x v="9"/>
    <x v="6"/>
    <s v="Idli Sambar"/>
    <x v="1"/>
    <n v="1"/>
    <n v="146"/>
    <n v="36.5"/>
    <n v="40"/>
    <n v="146"/>
    <n v="149.5"/>
    <x v="2"/>
    <x v="0"/>
    <x v="1"/>
    <n v="63"/>
    <n v="4.0999999999999996"/>
  </r>
  <r>
    <x v="1225"/>
    <x v="91"/>
    <x v="3"/>
    <n v="4"/>
    <n v="2"/>
    <s v="Wednesday"/>
    <x v="9"/>
    <x v="11"/>
    <x v="2"/>
    <s v="Veg Pizza"/>
    <x v="1"/>
    <n v="2"/>
    <n v="192"/>
    <n v="19.2"/>
    <n v="20"/>
    <n v="384"/>
    <n v="384.8"/>
    <x v="1"/>
    <x v="2"/>
    <x v="1"/>
    <n v="69"/>
    <m/>
  </r>
  <r>
    <x v="1226"/>
    <x v="91"/>
    <x v="3"/>
    <n v="4"/>
    <n v="2"/>
    <s v="Wednesday"/>
    <x v="5"/>
    <x v="9"/>
    <x v="4"/>
    <s v="Pasta"/>
    <x v="1"/>
    <n v="3"/>
    <n v="582"/>
    <n v="58.2"/>
    <n v="50"/>
    <n v="1746"/>
    <n v="1737.8"/>
    <x v="1"/>
    <x v="0"/>
    <x v="1"/>
    <n v="58"/>
    <n v="3.2"/>
  </r>
  <r>
    <x v="1227"/>
    <x v="91"/>
    <x v="3"/>
    <n v="4"/>
    <n v="2"/>
    <s v="Wednesday"/>
    <x v="0"/>
    <x v="2"/>
    <x v="7"/>
    <s v="Veg Pizza"/>
    <x v="1"/>
    <n v="1"/>
    <n v="394"/>
    <n v="59.1"/>
    <n v="0"/>
    <n v="394"/>
    <n v="334.9"/>
    <x v="4"/>
    <x v="0"/>
    <x v="1"/>
    <n v="60"/>
    <n v="3.8"/>
  </r>
  <r>
    <x v="1228"/>
    <x v="91"/>
    <x v="3"/>
    <n v="4"/>
    <n v="2"/>
    <s v="Wednesday"/>
    <x v="5"/>
    <x v="0"/>
    <x v="4"/>
    <s v="Veg Burger"/>
    <x v="1"/>
    <n v="3"/>
    <n v="276"/>
    <n v="55.2"/>
    <n v="70"/>
    <n v="828"/>
    <n v="842.8"/>
    <x v="1"/>
    <x v="0"/>
    <x v="1"/>
    <n v="57"/>
    <n v="4"/>
  </r>
  <r>
    <x v="1229"/>
    <x v="91"/>
    <x v="3"/>
    <n v="4"/>
    <n v="2"/>
    <s v="Wednesday"/>
    <x v="3"/>
    <x v="6"/>
    <x v="5"/>
    <s v="Veg Pizza"/>
    <x v="1"/>
    <n v="2"/>
    <n v="426"/>
    <n v="21.3"/>
    <n v="60"/>
    <n v="852"/>
    <n v="890.7"/>
    <x v="4"/>
    <x v="0"/>
    <x v="0"/>
    <n v="25"/>
    <n v="3.1"/>
  </r>
  <r>
    <x v="1230"/>
    <x v="91"/>
    <x v="3"/>
    <n v="4"/>
    <n v="2"/>
    <s v="Wednesday"/>
    <x v="3"/>
    <x v="12"/>
    <x v="3"/>
    <s v="Veg Burger"/>
    <x v="1"/>
    <n v="2"/>
    <n v="264"/>
    <n v="39.6"/>
    <n v="50"/>
    <n v="528"/>
    <n v="538.4"/>
    <x v="1"/>
    <x v="1"/>
    <x v="1"/>
    <n v="45"/>
    <m/>
  </r>
  <r>
    <x v="1231"/>
    <x v="91"/>
    <x v="3"/>
    <n v="4"/>
    <n v="2"/>
    <s v="Wednesday"/>
    <x v="9"/>
    <x v="1"/>
    <x v="7"/>
    <s v="Masala Dosa"/>
    <x v="2"/>
    <n v="3"/>
    <n v="426"/>
    <n v="63.9"/>
    <n v="50"/>
    <n v="1278"/>
    <n v="1264.0999999999999"/>
    <x v="1"/>
    <x v="0"/>
    <x v="1"/>
    <n v="19"/>
    <n v="3.3"/>
  </r>
  <r>
    <x v="1232"/>
    <x v="91"/>
    <x v="3"/>
    <n v="4"/>
    <n v="2"/>
    <s v="Wednesday"/>
    <x v="8"/>
    <x v="0"/>
    <x v="3"/>
    <s v="French Fries"/>
    <x v="3"/>
    <n v="3"/>
    <n v="377"/>
    <n v="0"/>
    <n v="70"/>
    <n v="1131"/>
    <n v="1201"/>
    <x v="1"/>
    <x v="2"/>
    <x v="1"/>
    <n v="47"/>
    <m/>
  </r>
  <r>
    <x v="1233"/>
    <x v="91"/>
    <x v="3"/>
    <n v="4"/>
    <n v="2"/>
    <s v="Wednesday"/>
    <x v="3"/>
    <x v="3"/>
    <x v="2"/>
    <s v="Chicken Burger"/>
    <x v="1"/>
    <n v="2"/>
    <n v="790"/>
    <n v="39.5"/>
    <n v="30"/>
    <n v="1580"/>
    <n v="1570.5"/>
    <x v="1"/>
    <x v="0"/>
    <x v="1"/>
    <n v="48"/>
    <n v="4.8"/>
  </r>
  <r>
    <x v="1234"/>
    <x v="91"/>
    <x v="3"/>
    <n v="4"/>
    <n v="2"/>
    <s v="Wednesday"/>
    <x v="1"/>
    <x v="10"/>
    <x v="2"/>
    <s v="Masala Dosa"/>
    <x v="1"/>
    <n v="1"/>
    <n v="137"/>
    <n v="13.7"/>
    <n v="20"/>
    <n v="137"/>
    <n v="143.30000000000001"/>
    <x v="1"/>
    <x v="0"/>
    <x v="1"/>
    <n v="40"/>
    <n v="4"/>
  </r>
  <r>
    <x v="1235"/>
    <x v="91"/>
    <x v="3"/>
    <n v="4"/>
    <n v="2"/>
    <s v="Wednesday"/>
    <x v="4"/>
    <x v="8"/>
    <x v="2"/>
    <s v="Veg Biryani"/>
    <x v="1"/>
    <n v="1"/>
    <n v="142"/>
    <n v="0"/>
    <n v="60"/>
    <n v="142"/>
    <n v="202"/>
    <x v="1"/>
    <x v="0"/>
    <x v="1"/>
    <n v="69"/>
    <n v="2.4"/>
  </r>
  <r>
    <x v="1236"/>
    <x v="91"/>
    <x v="3"/>
    <n v="4"/>
    <n v="2"/>
    <s v="Wednesday"/>
    <x v="3"/>
    <x v="6"/>
    <x v="0"/>
    <s v="Idli Sambar"/>
    <x v="1"/>
    <n v="3"/>
    <n v="301"/>
    <n v="60.2"/>
    <n v="30"/>
    <n v="903"/>
    <n v="872.8"/>
    <x v="4"/>
    <x v="2"/>
    <x v="1"/>
    <n v="58"/>
    <m/>
  </r>
  <r>
    <x v="1237"/>
    <x v="91"/>
    <x v="3"/>
    <n v="4"/>
    <n v="2"/>
    <s v="Wednesday"/>
    <x v="0"/>
    <x v="10"/>
    <x v="6"/>
    <s v="Paneer Butter Masala"/>
    <x v="1"/>
    <n v="3"/>
    <n v="778"/>
    <n v="77.8"/>
    <n v="40"/>
    <n v="2334"/>
    <n v="2296.1999999999998"/>
    <x v="1"/>
    <x v="2"/>
    <x v="1"/>
    <n v="61"/>
    <m/>
  </r>
  <r>
    <x v="1238"/>
    <x v="91"/>
    <x v="3"/>
    <n v="4"/>
    <n v="2"/>
    <s v="Wednesday"/>
    <x v="9"/>
    <x v="10"/>
    <x v="4"/>
    <s v="Paneer Butter Masala"/>
    <x v="2"/>
    <n v="1"/>
    <n v="741"/>
    <n v="111.15"/>
    <n v="30"/>
    <n v="741"/>
    <n v="659.85"/>
    <x v="0"/>
    <x v="0"/>
    <x v="1"/>
    <n v="45"/>
    <n v="3.3"/>
  </r>
  <r>
    <x v="1239"/>
    <x v="91"/>
    <x v="3"/>
    <n v="4"/>
    <n v="2"/>
    <s v="Wednesday"/>
    <x v="4"/>
    <x v="4"/>
    <x v="8"/>
    <s v="Paneer Butter Masala"/>
    <x v="2"/>
    <n v="1"/>
    <n v="258"/>
    <n v="64.5"/>
    <n v="20"/>
    <n v="258"/>
    <n v="213.5"/>
    <x v="3"/>
    <x v="0"/>
    <x v="1"/>
    <n v="43"/>
    <n v="3.6"/>
  </r>
  <r>
    <x v="1240"/>
    <x v="91"/>
    <x v="3"/>
    <n v="4"/>
    <n v="2"/>
    <s v="Wednesday"/>
    <x v="3"/>
    <x v="6"/>
    <x v="7"/>
    <s v="Paneer Butter Masala"/>
    <x v="1"/>
    <n v="1"/>
    <n v="686"/>
    <n v="0"/>
    <n v="70"/>
    <n v="686"/>
    <n v="756"/>
    <x v="2"/>
    <x v="0"/>
    <x v="0"/>
    <n v="62"/>
    <n v="3.9"/>
  </r>
  <r>
    <x v="1241"/>
    <x v="92"/>
    <x v="3"/>
    <n v="4"/>
    <n v="3"/>
    <s v="Thursday"/>
    <x v="9"/>
    <x v="13"/>
    <x v="2"/>
    <s v="Fried Rice"/>
    <x v="1"/>
    <n v="2"/>
    <n v="318"/>
    <n v="47.7"/>
    <n v="20"/>
    <n v="636"/>
    <n v="608.29999999999995"/>
    <x v="1"/>
    <x v="0"/>
    <x v="1"/>
    <n v="33"/>
    <n v="4.5999999999999996"/>
  </r>
  <r>
    <x v="1242"/>
    <x v="92"/>
    <x v="3"/>
    <n v="4"/>
    <n v="3"/>
    <s v="Thursday"/>
    <x v="3"/>
    <x v="11"/>
    <x v="3"/>
    <s v="French Fries"/>
    <x v="1"/>
    <n v="2"/>
    <n v="503"/>
    <n v="75.45"/>
    <n v="20"/>
    <n v="1006"/>
    <n v="950.55"/>
    <x v="3"/>
    <x v="0"/>
    <x v="1"/>
    <n v="65"/>
    <n v="3.6"/>
  </r>
  <r>
    <x v="1243"/>
    <x v="92"/>
    <x v="3"/>
    <n v="4"/>
    <n v="3"/>
    <s v="Thursday"/>
    <x v="2"/>
    <x v="5"/>
    <x v="5"/>
    <s v="Chicken Burger"/>
    <x v="1"/>
    <n v="2"/>
    <n v="498"/>
    <n v="49.8"/>
    <n v="70"/>
    <n v="996"/>
    <n v="1016.2"/>
    <x v="0"/>
    <x v="0"/>
    <x v="1"/>
    <n v="28"/>
    <n v="3.9"/>
  </r>
  <r>
    <x v="1244"/>
    <x v="92"/>
    <x v="3"/>
    <n v="4"/>
    <n v="3"/>
    <s v="Thursday"/>
    <x v="9"/>
    <x v="8"/>
    <x v="5"/>
    <s v="Cold Coffee"/>
    <x v="2"/>
    <n v="3"/>
    <n v="151"/>
    <n v="22.65"/>
    <n v="20"/>
    <n v="453"/>
    <n v="450.35"/>
    <x v="2"/>
    <x v="0"/>
    <x v="1"/>
    <n v="29"/>
    <n v="4.5"/>
  </r>
  <r>
    <x v="1245"/>
    <x v="92"/>
    <x v="3"/>
    <n v="4"/>
    <n v="3"/>
    <s v="Thursday"/>
    <x v="7"/>
    <x v="3"/>
    <x v="2"/>
    <s v="Masala Dosa"/>
    <x v="2"/>
    <n v="3"/>
    <n v="642"/>
    <n v="32.1"/>
    <n v="40"/>
    <n v="1926"/>
    <n v="1933.9"/>
    <x v="2"/>
    <x v="2"/>
    <x v="1"/>
    <n v="25"/>
    <m/>
  </r>
  <r>
    <x v="1246"/>
    <x v="92"/>
    <x v="3"/>
    <n v="4"/>
    <n v="3"/>
    <s v="Thursday"/>
    <x v="1"/>
    <x v="11"/>
    <x v="8"/>
    <s v="Chicken Biryani"/>
    <x v="1"/>
    <n v="2"/>
    <n v="493"/>
    <n v="73.95"/>
    <n v="20"/>
    <n v="986"/>
    <n v="932.05"/>
    <x v="0"/>
    <x v="3"/>
    <x v="0"/>
    <n v="36"/>
    <m/>
  </r>
  <r>
    <x v="1247"/>
    <x v="92"/>
    <x v="3"/>
    <n v="4"/>
    <n v="3"/>
    <s v="Thursday"/>
    <x v="4"/>
    <x v="7"/>
    <x v="5"/>
    <s v="French Fries"/>
    <x v="1"/>
    <n v="2"/>
    <n v="652"/>
    <n v="65.2"/>
    <n v="20"/>
    <n v="1304"/>
    <n v="1258.8"/>
    <x v="4"/>
    <x v="0"/>
    <x v="1"/>
    <n v="37"/>
    <n v="4.2"/>
  </r>
  <r>
    <x v="1248"/>
    <x v="92"/>
    <x v="3"/>
    <n v="4"/>
    <n v="3"/>
    <s v="Thursday"/>
    <x v="3"/>
    <x v="6"/>
    <x v="3"/>
    <s v="Veg Biryani"/>
    <x v="1"/>
    <n v="2"/>
    <n v="267"/>
    <n v="0"/>
    <n v="20"/>
    <n v="534"/>
    <n v="554"/>
    <x v="3"/>
    <x v="0"/>
    <x v="0"/>
    <n v="22"/>
    <n v="4.4000000000000004"/>
  </r>
  <r>
    <x v="1249"/>
    <x v="92"/>
    <x v="3"/>
    <n v="4"/>
    <n v="3"/>
    <s v="Thursday"/>
    <x v="5"/>
    <x v="10"/>
    <x v="1"/>
    <s v="Chicken Pizza"/>
    <x v="1"/>
    <n v="2"/>
    <n v="760"/>
    <n v="114"/>
    <n v="20"/>
    <n v="1520"/>
    <n v="1426"/>
    <x v="4"/>
    <x v="1"/>
    <x v="1"/>
    <n v="62"/>
    <m/>
  </r>
  <r>
    <x v="1250"/>
    <x v="92"/>
    <x v="3"/>
    <n v="4"/>
    <n v="3"/>
    <s v="Thursday"/>
    <x v="0"/>
    <x v="9"/>
    <x v="0"/>
    <s v="Idli Sambar"/>
    <x v="2"/>
    <n v="1"/>
    <n v="485"/>
    <n v="0"/>
    <n v="50"/>
    <n v="485"/>
    <n v="535"/>
    <x v="0"/>
    <x v="0"/>
    <x v="0"/>
    <n v="30"/>
    <n v="4.5999999999999996"/>
  </r>
  <r>
    <x v="1251"/>
    <x v="92"/>
    <x v="3"/>
    <n v="4"/>
    <n v="3"/>
    <s v="Thursday"/>
    <x v="1"/>
    <x v="5"/>
    <x v="3"/>
    <s v="Veg Pizza"/>
    <x v="1"/>
    <n v="3"/>
    <n v="626"/>
    <n v="93.9"/>
    <n v="0"/>
    <n v="1878"/>
    <n v="1784.1"/>
    <x v="3"/>
    <x v="0"/>
    <x v="0"/>
    <n v="31"/>
    <n v="3.5"/>
  </r>
  <r>
    <x v="1252"/>
    <x v="92"/>
    <x v="3"/>
    <n v="4"/>
    <n v="3"/>
    <s v="Thursday"/>
    <x v="0"/>
    <x v="11"/>
    <x v="2"/>
    <s v="Fried Rice"/>
    <x v="1"/>
    <n v="1"/>
    <n v="853"/>
    <n v="213.25"/>
    <n v="20"/>
    <n v="853"/>
    <n v="659.75"/>
    <x v="2"/>
    <x v="0"/>
    <x v="1"/>
    <n v="39"/>
    <n v="4.9000000000000004"/>
  </r>
  <r>
    <x v="1253"/>
    <x v="92"/>
    <x v="3"/>
    <n v="4"/>
    <n v="3"/>
    <s v="Thursday"/>
    <x v="0"/>
    <x v="1"/>
    <x v="0"/>
    <s v="Paneer Butter Masala"/>
    <x v="1"/>
    <n v="2"/>
    <n v="183"/>
    <n v="27.45"/>
    <n v="60"/>
    <n v="366"/>
    <n v="398.55"/>
    <x v="3"/>
    <x v="0"/>
    <x v="0"/>
    <n v="66"/>
    <n v="3"/>
  </r>
  <r>
    <x v="1254"/>
    <x v="92"/>
    <x v="3"/>
    <n v="4"/>
    <n v="3"/>
    <s v="Thursday"/>
    <x v="5"/>
    <x v="14"/>
    <x v="4"/>
    <s v="Chicken Pizza"/>
    <x v="1"/>
    <n v="3"/>
    <n v="732"/>
    <n v="109.8"/>
    <n v="40"/>
    <n v="2196"/>
    <n v="2126.1999999999998"/>
    <x v="3"/>
    <x v="3"/>
    <x v="1"/>
    <n v="69"/>
    <m/>
  </r>
  <r>
    <x v="1255"/>
    <x v="92"/>
    <x v="3"/>
    <n v="4"/>
    <n v="3"/>
    <s v="Thursday"/>
    <x v="5"/>
    <x v="9"/>
    <x v="1"/>
    <s v="Veg Pizza"/>
    <x v="1"/>
    <n v="1"/>
    <n v="207"/>
    <n v="31.05"/>
    <n v="30"/>
    <n v="207"/>
    <n v="205.95"/>
    <x v="0"/>
    <x v="0"/>
    <x v="0"/>
    <n v="31"/>
    <n v="5"/>
  </r>
  <r>
    <x v="1256"/>
    <x v="92"/>
    <x v="3"/>
    <n v="4"/>
    <n v="3"/>
    <s v="Thursday"/>
    <x v="5"/>
    <x v="3"/>
    <x v="0"/>
    <s v="Pasta"/>
    <x v="1"/>
    <n v="1"/>
    <n v="795"/>
    <n v="79.5"/>
    <n v="50"/>
    <n v="795"/>
    <n v="765.5"/>
    <x v="4"/>
    <x v="0"/>
    <x v="1"/>
    <n v="48"/>
    <n v="3.4"/>
  </r>
  <r>
    <x v="1257"/>
    <x v="92"/>
    <x v="3"/>
    <n v="4"/>
    <n v="3"/>
    <s v="Thursday"/>
    <x v="9"/>
    <x v="5"/>
    <x v="4"/>
    <s v="Idli Sambar"/>
    <x v="2"/>
    <n v="2"/>
    <n v="234"/>
    <n v="11.7"/>
    <n v="50"/>
    <n v="468"/>
    <n v="506.3"/>
    <x v="2"/>
    <x v="0"/>
    <x v="1"/>
    <n v="53"/>
    <n v="4.5999999999999996"/>
  </r>
  <r>
    <x v="1258"/>
    <x v="93"/>
    <x v="3"/>
    <n v="4"/>
    <n v="4"/>
    <s v="Friday"/>
    <x v="5"/>
    <x v="6"/>
    <x v="1"/>
    <s v="Paneer Butter Masala"/>
    <x v="1"/>
    <n v="1"/>
    <n v="421"/>
    <n v="84.2"/>
    <n v="0"/>
    <n v="421"/>
    <n v="336.8"/>
    <x v="2"/>
    <x v="1"/>
    <x v="0"/>
    <n v="51"/>
    <m/>
  </r>
  <r>
    <x v="1259"/>
    <x v="93"/>
    <x v="3"/>
    <n v="4"/>
    <n v="4"/>
    <s v="Friday"/>
    <x v="9"/>
    <x v="3"/>
    <x v="3"/>
    <s v="Veg Momos"/>
    <x v="2"/>
    <n v="2"/>
    <n v="233"/>
    <n v="46.6"/>
    <n v="20"/>
    <n v="466"/>
    <n v="439.4"/>
    <x v="4"/>
    <x v="0"/>
    <x v="1"/>
    <n v="25"/>
    <n v="4.3"/>
  </r>
  <r>
    <x v="1260"/>
    <x v="93"/>
    <x v="3"/>
    <n v="4"/>
    <n v="4"/>
    <s v="Friday"/>
    <x v="3"/>
    <x v="11"/>
    <x v="6"/>
    <s v="Veg Biryani"/>
    <x v="1"/>
    <n v="1"/>
    <n v="622"/>
    <n v="155.5"/>
    <n v="60"/>
    <n v="622"/>
    <n v="526.5"/>
    <x v="1"/>
    <x v="0"/>
    <x v="1"/>
    <n v="34"/>
    <n v="4.4000000000000004"/>
  </r>
  <r>
    <x v="1261"/>
    <x v="93"/>
    <x v="3"/>
    <n v="4"/>
    <n v="4"/>
    <s v="Friday"/>
    <x v="1"/>
    <x v="1"/>
    <x v="1"/>
    <s v="French Fries"/>
    <x v="1"/>
    <n v="1"/>
    <n v="294"/>
    <n v="58.8"/>
    <n v="20"/>
    <n v="294"/>
    <n v="255.2"/>
    <x v="2"/>
    <x v="0"/>
    <x v="0"/>
    <n v="31"/>
    <n v="3.8"/>
  </r>
  <r>
    <x v="1262"/>
    <x v="93"/>
    <x v="3"/>
    <n v="4"/>
    <n v="4"/>
    <s v="Friday"/>
    <x v="5"/>
    <x v="14"/>
    <x v="6"/>
    <s v="Masala Dosa"/>
    <x v="2"/>
    <n v="2"/>
    <n v="522"/>
    <n v="26.1"/>
    <n v="60"/>
    <n v="1044"/>
    <n v="1077.9000000000001"/>
    <x v="2"/>
    <x v="1"/>
    <x v="1"/>
    <n v="33"/>
    <m/>
  </r>
  <r>
    <x v="1263"/>
    <x v="93"/>
    <x v="3"/>
    <n v="4"/>
    <n v="4"/>
    <s v="Friday"/>
    <x v="6"/>
    <x v="13"/>
    <x v="8"/>
    <s v="Pasta"/>
    <x v="2"/>
    <n v="3"/>
    <n v="252"/>
    <n v="12.6"/>
    <n v="30"/>
    <n v="756"/>
    <n v="773.4"/>
    <x v="2"/>
    <x v="0"/>
    <x v="1"/>
    <n v="48"/>
    <n v="3.4"/>
  </r>
  <r>
    <x v="1264"/>
    <x v="93"/>
    <x v="3"/>
    <n v="4"/>
    <n v="4"/>
    <s v="Friday"/>
    <x v="4"/>
    <x v="5"/>
    <x v="1"/>
    <s v="Chicken Momos"/>
    <x v="1"/>
    <n v="1"/>
    <n v="606"/>
    <n v="0"/>
    <n v="40"/>
    <n v="606"/>
    <n v="646"/>
    <x v="0"/>
    <x v="0"/>
    <x v="0"/>
    <n v="49"/>
    <n v="3.3"/>
  </r>
  <r>
    <x v="1265"/>
    <x v="93"/>
    <x v="3"/>
    <n v="4"/>
    <n v="4"/>
    <s v="Friday"/>
    <x v="3"/>
    <x v="1"/>
    <x v="5"/>
    <s v="Veg Pizza"/>
    <x v="2"/>
    <n v="2"/>
    <n v="158"/>
    <n v="31.6"/>
    <n v="50"/>
    <n v="316"/>
    <n v="334.4"/>
    <x v="4"/>
    <x v="2"/>
    <x v="0"/>
    <n v="44"/>
    <m/>
  </r>
  <r>
    <x v="1266"/>
    <x v="93"/>
    <x v="3"/>
    <n v="4"/>
    <n v="4"/>
    <s v="Friday"/>
    <x v="5"/>
    <x v="11"/>
    <x v="5"/>
    <s v="Paneer Butter Masala"/>
    <x v="1"/>
    <n v="1"/>
    <n v="124"/>
    <n v="24.8"/>
    <n v="60"/>
    <n v="124"/>
    <n v="159.19999999999999"/>
    <x v="2"/>
    <x v="3"/>
    <x v="0"/>
    <n v="62"/>
    <m/>
  </r>
  <r>
    <x v="1267"/>
    <x v="93"/>
    <x v="3"/>
    <n v="4"/>
    <n v="4"/>
    <s v="Friday"/>
    <x v="1"/>
    <x v="12"/>
    <x v="7"/>
    <s v="Chicken Pizza"/>
    <x v="1"/>
    <n v="1"/>
    <n v="450"/>
    <n v="22.5"/>
    <n v="60"/>
    <n v="450"/>
    <n v="487.5"/>
    <x v="0"/>
    <x v="0"/>
    <x v="0"/>
    <n v="33"/>
    <n v="3.1"/>
  </r>
  <r>
    <x v="1268"/>
    <x v="94"/>
    <x v="3"/>
    <n v="4"/>
    <n v="5"/>
    <s v="Saturday"/>
    <x v="3"/>
    <x v="12"/>
    <x v="0"/>
    <s v="Chocolate Cake"/>
    <x v="2"/>
    <n v="2"/>
    <n v="503"/>
    <n v="75.45"/>
    <n v="30"/>
    <n v="1006"/>
    <n v="960.55"/>
    <x v="0"/>
    <x v="3"/>
    <x v="0"/>
    <n v="39"/>
    <m/>
  </r>
  <r>
    <x v="1269"/>
    <x v="94"/>
    <x v="3"/>
    <n v="4"/>
    <n v="5"/>
    <s v="Saturday"/>
    <x v="6"/>
    <x v="11"/>
    <x v="7"/>
    <s v="Chocolate Cake"/>
    <x v="1"/>
    <n v="1"/>
    <n v="216"/>
    <n v="21.6"/>
    <n v="50"/>
    <n v="216"/>
    <n v="244.4"/>
    <x v="0"/>
    <x v="0"/>
    <x v="1"/>
    <n v="62"/>
    <n v="3.7"/>
  </r>
  <r>
    <x v="1270"/>
    <x v="94"/>
    <x v="3"/>
    <n v="4"/>
    <n v="5"/>
    <s v="Saturday"/>
    <x v="3"/>
    <x v="7"/>
    <x v="6"/>
    <s v="Masala Dosa"/>
    <x v="1"/>
    <n v="3"/>
    <n v="260"/>
    <n v="13"/>
    <n v="30"/>
    <n v="780"/>
    <n v="797"/>
    <x v="4"/>
    <x v="0"/>
    <x v="1"/>
    <n v="56"/>
    <n v="4.9000000000000004"/>
  </r>
  <r>
    <x v="1271"/>
    <x v="94"/>
    <x v="3"/>
    <n v="4"/>
    <n v="5"/>
    <s v="Saturday"/>
    <x v="1"/>
    <x v="7"/>
    <x v="0"/>
    <s v="Veg Burger"/>
    <x v="1"/>
    <n v="1"/>
    <n v="158"/>
    <n v="31.6"/>
    <n v="0"/>
    <n v="158"/>
    <n v="126.4"/>
    <x v="3"/>
    <x v="1"/>
    <x v="0"/>
    <n v="59"/>
    <m/>
  </r>
  <r>
    <x v="1272"/>
    <x v="94"/>
    <x v="3"/>
    <n v="4"/>
    <n v="5"/>
    <s v="Saturday"/>
    <x v="5"/>
    <x v="8"/>
    <x v="9"/>
    <s v="Chicken Pizza"/>
    <x v="1"/>
    <n v="1"/>
    <n v="663"/>
    <n v="99.45"/>
    <n v="20"/>
    <n v="663"/>
    <n v="583.54999999999995"/>
    <x v="0"/>
    <x v="0"/>
    <x v="0"/>
    <n v="33"/>
    <n v="4"/>
  </r>
  <r>
    <x v="1273"/>
    <x v="94"/>
    <x v="3"/>
    <n v="4"/>
    <n v="5"/>
    <s v="Saturday"/>
    <x v="0"/>
    <x v="5"/>
    <x v="5"/>
    <s v="Paneer Butter Masala"/>
    <x v="1"/>
    <n v="2"/>
    <n v="645"/>
    <n v="96.75"/>
    <n v="20"/>
    <n v="1290"/>
    <n v="1213.25"/>
    <x v="0"/>
    <x v="0"/>
    <x v="1"/>
    <n v="66"/>
    <n v="4.7"/>
  </r>
  <r>
    <x v="1274"/>
    <x v="94"/>
    <x v="3"/>
    <n v="4"/>
    <n v="5"/>
    <s v="Saturday"/>
    <x v="3"/>
    <x v="13"/>
    <x v="2"/>
    <s v="Masala Dosa"/>
    <x v="1"/>
    <n v="3"/>
    <n v="767"/>
    <n v="153.4"/>
    <n v="30"/>
    <n v="2301"/>
    <n v="2177.6"/>
    <x v="0"/>
    <x v="3"/>
    <x v="1"/>
    <n v="29"/>
    <m/>
  </r>
  <r>
    <x v="1275"/>
    <x v="94"/>
    <x v="3"/>
    <n v="4"/>
    <n v="5"/>
    <s v="Saturday"/>
    <x v="4"/>
    <x v="6"/>
    <x v="4"/>
    <s v="Veg Momos"/>
    <x v="3"/>
    <n v="2"/>
    <n v="881"/>
    <n v="0"/>
    <n v="0"/>
    <n v="1762"/>
    <n v="1762"/>
    <x v="0"/>
    <x v="0"/>
    <x v="1"/>
    <n v="44"/>
    <n v="3.9"/>
  </r>
  <r>
    <x v="1276"/>
    <x v="94"/>
    <x v="3"/>
    <n v="4"/>
    <n v="5"/>
    <s v="Saturday"/>
    <x v="3"/>
    <x v="9"/>
    <x v="0"/>
    <s v="Chicken Momos"/>
    <x v="1"/>
    <n v="1"/>
    <n v="386"/>
    <n v="0"/>
    <n v="20"/>
    <n v="386"/>
    <n v="406"/>
    <x v="1"/>
    <x v="0"/>
    <x v="1"/>
    <n v="25"/>
    <n v="4.8"/>
  </r>
  <r>
    <x v="1277"/>
    <x v="94"/>
    <x v="3"/>
    <n v="4"/>
    <n v="5"/>
    <s v="Saturday"/>
    <x v="8"/>
    <x v="9"/>
    <x v="9"/>
    <s v="Veg Burger"/>
    <x v="0"/>
    <n v="1"/>
    <n v="362"/>
    <n v="54.3"/>
    <n v="60"/>
    <n v="362"/>
    <n v="367.7"/>
    <x v="1"/>
    <x v="0"/>
    <x v="0"/>
    <n v="32"/>
    <n v="5"/>
  </r>
  <r>
    <x v="1278"/>
    <x v="94"/>
    <x v="3"/>
    <n v="4"/>
    <n v="5"/>
    <s v="Saturday"/>
    <x v="4"/>
    <x v="6"/>
    <x v="0"/>
    <s v="Paneer Butter Masala"/>
    <x v="1"/>
    <n v="2"/>
    <n v="516"/>
    <n v="103.2"/>
    <n v="30"/>
    <n v="1032"/>
    <n v="958.8"/>
    <x v="1"/>
    <x v="0"/>
    <x v="0"/>
    <n v="18"/>
    <n v="3.8"/>
  </r>
  <r>
    <x v="1279"/>
    <x v="94"/>
    <x v="3"/>
    <n v="4"/>
    <n v="5"/>
    <s v="Saturday"/>
    <x v="3"/>
    <x v="2"/>
    <x v="5"/>
    <s v="Veg Biryani"/>
    <x v="1"/>
    <n v="2"/>
    <n v="164"/>
    <n v="16.399999999999999"/>
    <n v="30"/>
    <n v="328"/>
    <n v="341.6"/>
    <x v="2"/>
    <x v="0"/>
    <x v="1"/>
    <n v="55"/>
    <n v="3.7"/>
  </r>
  <r>
    <x v="1280"/>
    <x v="95"/>
    <x v="3"/>
    <n v="4"/>
    <n v="6"/>
    <s v="Sunday"/>
    <x v="5"/>
    <x v="12"/>
    <x v="2"/>
    <s v="Chicken Pizza"/>
    <x v="1"/>
    <n v="1"/>
    <n v="783"/>
    <n v="39.15"/>
    <n v="20"/>
    <n v="783"/>
    <n v="763.85"/>
    <x v="4"/>
    <x v="0"/>
    <x v="0"/>
    <n v="56"/>
    <n v="4.5"/>
  </r>
  <r>
    <x v="1281"/>
    <x v="95"/>
    <x v="3"/>
    <n v="4"/>
    <n v="6"/>
    <s v="Sunday"/>
    <x v="4"/>
    <x v="1"/>
    <x v="3"/>
    <s v="Chicken Pizza"/>
    <x v="1"/>
    <n v="1"/>
    <n v="560"/>
    <n v="56"/>
    <n v="30"/>
    <n v="560"/>
    <n v="534"/>
    <x v="3"/>
    <x v="0"/>
    <x v="1"/>
    <n v="69"/>
    <n v="3.1"/>
  </r>
  <r>
    <x v="1282"/>
    <x v="95"/>
    <x v="3"/>
    <n v="4"/>
    <n v="6"/>
    <s v="Sunday"/>
    <x v="3"/>
    <x v="2"/>
    <x v="7"/>
    <s v="Veg Biryani"/>
    <x v="1"/>
    <n v="2"/>
    <n v="291"/>
    <n v="43.65"/>
    <n v="30"/>
    <n v="582"/>
    <n v="568.35"/>
    <x v="0"/>
    <x v="0"/>
    <x v="0"/>
    <n v="21"/>
    <n v="4"/>
  </r>
  <r>
    <x v="1283"/>
    <x v="95"/>
    <x v="3"/>
    <n v="4"/>
    <n v="6"/>
    <s v="Sunday"/>
    <x v="3"/>
    <x v="9"/>
    <x v="1"/>
    <s v="Chicken Momos"/>
    <x v="1"/>
    <n v="3"/>
    <n v="542"/>
    <n v="27.1"/>
    <n v="40"/>
    <n v="1626"/>
    <n v="1638.9"/>
    <x v="1"/>
    <x v="3"/>
    <x v="1"/>
    <n v="22"/>
    <m/>
  </r>
  <r>
    <x v="1284"/>
    <x v="95"/>
    <x v="3"/>
    <n v="4"/>
    <n v="6"/>
    <s v="Sunday"/>
    <x v="1"/>
    <x v="14"/>
    <x v="3"/>
    <s v="Cold Coffee"/>
    <x v="2"/>
    <n v="1"/>
    <n v="216"/>
    <n v="43.2"/>
    <n v="70"/>
    <n v="216"/>
    <n v="242.8"/>
    <x v="4"/>
    <x v="0"/>
    <x v="1"/>
    <n v="35"/>
    <n v="5"/>
  </r>
  <r>
    <x v="1285"/>
    <x v="95"/>
    <x v="3"/>
    <n v="4"/>
    <n v="6"/>
    <s v="Sunday"/>
    <x v="4"/>
    <x v="0"/>
    <x v="4"/>
    <s v="French Fries"/>
    <x v="1"/>
    <n v="2"/>
    <n v="663"/>
    <n v="132.6"/>
    <n v="20"/>
    <n v="1326"/>
    <n v="1213.4000000000001"/>
    <x v="0"/>
    <x v="0"/>
    <x v="1"/>
    <n v="68"/>
    <n v="4.4000000000000004"/>
  </r>
  <r>
    <x v="1286"/>
    <x v="95"/>
    <x v="3"/>
    <n v="4"/>
    <n v="6"/>
    <s v="Sunday"/>
    <x v="5"/>
    <x v="7"/>
    <x v="0"/>
    <s v="Veg Biryani"/>
    <x v="1"/>
    <n v="1"/>
    <n v="353"/>
    <n v="52.95"/>
    <n v="40"/>
    <n v="353"/>
    <n v="340.05"/>
    <x v="1"/>
    <x v="0"/>
    <x v="1"/>
    <n v="56"/>
    <n v="5"/>
  </r>
  <r>
    <x v="1287"/>
    <x v="95"/>
    <x v="3"/>
    <n v="4"/>
    <n v="6"/>
    <s v="Sunday"/>
    <x v="3"/>
    <x v="12"/>
    <x v="7"/>
    <s v="Chocolate Cake"/>
    <x v="1"/>
    <n v="1"/>
    <n v="427"/>
    <n v="42.7"/>
    <n v="40"/>
    <n v="427"/>
    <n v="424.3"/>
    <x v="1"/>
    <x v="3"/>
    <x v="1"/>
    <n v="52"/>
    <m/>
  </r>
  <r>
    <x v="1288"/>
    <x v="95"/>
    <x v="3"/>
    <n v="4"/>
    <n v="6"/>
    <s v="Sunday"/>
    <x v="0"/>
    <x v="8"/>
    <x v="4"/>
    <s v="Chicken Momos"/>
    <x v="2"/>
    <n v="2"/>
    <n v="876"/>
    <n v="131.4"/>
    <n v="0"/>
    <n v="1752"/>
    <n v="1620.6"/>
    <x v="1"/>
    <x v="0"/>
    <x v="0"/>
    <n v="33"/>
    <n v="5"/>
  </r>
  <r>
    <x v="1289"/>
    <x v="95"/>
    <x v="3"/>
    <n v="4"/>
    <n v="6"/>
    <s v="Sunday"/>
    <x v="9"/>
    <x v="3"/>
    <x v="3"/>
    <s v="Chicken Burger"/>
    <x v="1"/>
    <n v="1"/>
    <n v="542"/>
    <n v="81.3"/>
    <n v="60"/>
    <n v="542"/>
    <n v="520.70000000000005"/>
    <x v="1"/>
    <x v="0"/>
    <x v="1"/>
    <n v="38"/>
    <n v="3.7"/>
  </r>
  <r>
    <x v="1290"/>
    <x v="95"/>
    <x v="3"/>
    <n v="4"/>
    <n v="6"/>
    <s v="Sunday"/>
    <x v="1"/>
    <x v="2"/>
    <x v="4"/>
    <s v="Pasta"/>
    <x v="1"/>
    <n v="1"/>
    <n v="631"/>
    <n v="63.1"/>
    <n v="50"/>
    <n v="631"/>
    <n v="617.9"/>
    <x v="1"/>
    <x v="0"/>
    <x v="1"/>
    <n v="62"/>
    <n v="3.3"/>
  </r>
  <r>
    <x v="1291"/>
    <x v="95"/>
    <x v="3"/>
    <n v="4"/>
    <n v="6"/>
    <s v="Sunday"/>
    <x v="9"/>
    <x v="13"/>
    <x v="8"/>
    <s v="Veg Biryani"/>
    <x v="2"/>
    <n v="1"/>
    <n v="419"/>
    <n v="62.85"/>
    <n v="70"/>
    <n v="419"/>
    <n v="426.15"/>
    <x v="0"/>
    <x v="0"/>
    <x v="1"/>
    <n v="49"/>
    <n v="3.6"/>
  </r>
  <r>
    <x v="1292"/>
    <x v="95"/>
    <x v="3"/>
    <n v="4"/>
    <n v="6"/>
    <s v="Sunday"/>
    <x v="1"/>
    <x v="6"/>
    <x v="9"/>
    <s v="Idli Sambar"/>
    <x v="1"/>
    <n v="2"/>
    <n v="201"/>
    <n v="10.050000000000001"/>
    <n v="0"/>
    <n v="402"/>
    <n v="391.95"/>
    <x v="4"/>
    <x v="0"/>
    <x v="1"/>
    <n v="58"/>
    <n v="3.9"/>
  </r>
  <r>
    <x v="1293"/>
    <x v="95"/>
    <x v="3"/>
    <n v="4"/>
    <n v="6"/>
    <s v="Sunday"/>
    <x v="0"/>
    <x v="3"/>
    <x v="6"/>
    <s v="Idli Sambar"/>
    <x v="1"/>
    <n v="1"/>
    <n v="175"/>
    <n v="8.75"/>
    <n v="0"/>
    <n v="175"/>
    <n v="166.25"/>
    <x v="1"/>
    <x v="0"/>
    <x v="1"/>
    <n v="26"/>
    <n v="5"/>
  </r>
  <r>
    <x v="1294"/>
    <x v="96"/>
    <x v="3"/>
    <n v="4"/>
    <n v="7"/>
    <s v="Monday"/>
    <x v="2"/>
    <x v="9"/>
    <x v="0"/>
    <s v="Chocolate Cake"/>
    <x v="1"/>
    <n v="3"/>
    <n v="464"/>
    <n v="0"/>
    <n v="50"/>
    <n v="1392"/>
    <n v="1442"/>
    <x v="1"/>
    <x v="0"/>
    <x v="1"/>
    <n v="34"/>
    <n v="5"/>
  </r>
  <r>
    <x v="1295"/>
    <x v="96"/>
    <x v="3"/>
    <n v="4"/>
    <n v="7"/>
    <s v="Monday"/>
    <x v="1"/>
    <x v="10"/>
    <x v="0"/>
    <s v="Chicken Pizza"/>
    <x v="1"/>
    <n v="3"/>
    <n v="755"/>
    <n v="37.75"/>
    <n v="30"/>
    <n v="2265"/>
    <n v="2257.25"/>
    <x v="0"/>
    <x v="3"/>
    <x v="1"/>
    <n v="18"/>
    <m/>
  </r>
  <r>
    <x v="1296"/>
    <x v="96"/>
    <x v="3"/>
    <n v="4"/>
    <n v="7"/>
    <s v="Monday"/>
    <x v="5"/>
    <x v="1"/>
    <x v="1"/>
    <s v="Cold Coffee"/>
    <x v="2"/>
    <n v="2"/>
    <n v="194"/>
    <n v="9.6999999999999993"/>
    <n v="0"/>
    <n v="388"/>
    <n v="378.3"/>
    <x v="1"/>
    <x v="0"/>
    <x v="0"/>
    <n v="19"/>
    <n v="3.7"/>
  </r>
  <r>
    <x v="1297"/>
    <x v="96"/>
    <x v="3"/>
    <n v="4"/>
    <n v="7"/>
    <s v="Monday"/>
    <x v="9"/>
    <x v="10"/>
    <x v="5"/>
    <s v="Fried Rice"/>
    <x v="2"/>
    <n v="1"/>
    <n v="436"/>
    <n v="43.6"/>
    <n v="40"/>
    <n v="436"/>
    <n v="432.4"/>
    <x v="1"/>
    <x v="0"/>
    <x v="0"/>
    <n v="70"/>
    <n v="2.2999999999999998"/>
  </r>
  <r>
    <x v="1298"/>
    <x v="96"/>
    <x v="3"/>
    <n v="4"/>
    <n v="7"/>
    <s v="Monday"/>
    <x v="8"/>
    <x v="7"/>
    <x v="5"/>
    <s v="Chocolate Cake"/>
    <x v="1"/>
    <n v="2"/>
    <n v="497"/>
    <n v="0"/>
    <n v="50"/>
    <n v="994"/>
    <n v="1044"/>
    <x v="1"/>
    <x v="0"/>
    <x v="1"/>
    <n v="46"/>
    <n v="3.6"/>
  </r>
  <r>
    <x v="1299"/>
    <x v="96"/>
    <x v="3"/>
    <n v="4"/>
    <n v="7"/>
    <s v="Monday"/>
    <x v="2"/>
    <x v="2"/>
    <x v="3"/>
    <s v="Chicken Burger"/>
    <x v="1"/>
    <n v="3"/>
    <n v="672"/>
    <n v="100.8"/>
    <n v="70"/>
    <n v="2016"/>
    <n v="1985.2"/>
    <x v="0"/>
    <x v="0"/>
    <x v="0"/>
    <n v="55"/>
    <n v="4.8"/>
  </r>
  <r>
    <x v="1300"/>
    <x v="96"/>
    <x v="3"/>
    <n v="4"/>
    <n v="7"/>
    <s v="Monday"/>
    <x v="5"/>
    <x v="8"/>
    <x v="8"/>
    <s v="Pasta"/>
    <x v="1"/>
    <n v="1"/>
    <n v="650"/>
    <n v="0"/>
    <n v="30"/>
    <n v="650"/>
    <n v="680"/>
    <x v="0"/>
    <x v="0"/>
    <x v="0"/>
    <n v="24"/>
    <n v="5"/>
  </r>
  <r>
    <x v="1301"/>
    <x v="96"/>
    <x v="3"/>
    <n v="4"/>
    <n v="7"/>
    <s v="Monday"/>
    <x v="5"/>
    <x v="9"/>
    <x v="2"/>
    <s v="Idli Sambar"/>
    <x v="1"/>
    <n v="2"/>
    <n v="462"/>
    <n v="23.1"/>
    <n v="0"/>
    <n v="924"/>
    <n v="900.9"/>
    <x v="2"/>
    <x v="0"/>
    <x v="0"/>
    <n v="43"/>
    <n v="5"/>
  </r>
  <r>
    <x v="1302"/>
    <x v="96"/>
    <x v="3"/>
    <n v="4"/>
    <n v="7"/>
    <s v="Monday"/>
    <x v="5"/>
    <x v="1"/>
    <x v="2"/>
    <s v="Cold Coffee"/>
    <x v="3"/>
    <n v="3"/>
    <n v="822"/>
    <n v="123.3"/>
    <n v="70"/>
    <n v="2466"/>
    <n v="2412.6999999999998"/>
    <x v="2"/>
    <x v="0"/>
    <x v="1"/>
    <n v="61"/>
    <n v="4.5"/>
  </r>
  <r>
    <x v="1303"/>
    <x v="97"/>
    <x v="3"/>
    <n v="4"/>
    <n v="8"/>
    <s v="Tuesday"/>
    <x v="5"/>
    <x v="8"/>
    <x v="4"/>
    <s v="French Fries"/>
    <x v="2"/>
    <n v="1"/>
    <n v="804"/>
    <n v="40.200000000000003"/>
    <n v="20"/>
    <n v="804"/>
    <n v="783.8"/>
    <x v="0"/>
    <x v="0"/>
    <x v="0"/>
    <n v="33"/>
    <n v="3.4"/>
  </r>
  <r>
    <x v="1304"/>
    <x v="97"/>
    <x v="3"/>
    <n v="4"/>
    <n v="8"/>
    <s v="Tuesday"/>
    <x v="7"/>
    <x v="5"/>
    <x v="7"/>
    <s v="Chicken Pizza"/>
    <x v="1"/>
    <n v="1"/>
    <n v="554"/>
    <n v="55.4"/>
    <n v="50"/>
    <n v="554"/>
    <n v="548.6"/>
    <x v="1"/>
    <x v="0"/>
    <x v="1"/>
    <n v="55"/>
    <n v="3.7"/>
  </r>
  <r>
    <x v="1305"/>
    <x v="97"/>
    <x v="3"/>
    <n v="4"/>
    <n v="8"/>
    <s v="Tuesday"/>
    <x v="4"/>
    <x v="10"/>
    <x v="7"/>
    <s v="Pasta"/>
    <x v="0"/>
    <n v="3"/>
    <n v="188"/>
    <n v="18.8"/>
    <n v="50"/>
    <n v="564"/>
    <n v="595.20000000000005"/>
    <x v="1"/>
    <x v="1"/>
    <x v="0"/>
    <n v="42"/>
    <m/>
  </r>
  <r>
    <x v="1306"/>
    <x v="97"/>
    <x v="3"/>
    <n v="4"/>
    <n v="8"/>
    <s v="Tuesday"/>
    <x v="5"/>
    <x v="6"/>
    <x v="3"/>
    <s v="Chicken Momos"/>
    <x v="3"/>
    <n v="2"/>
    <n v="311"/>
    <n v="46.65"/>
    <n v="30"/>
    <n v="622"/>
    <n v="605.35"/>
    <x v="1"/>
    <x v="0"/>
    <x v="1"/>
    <n v="61"/>
    <n v="5"/>
  </r>
  <r>
    <x v="1307"/>
    <x v="97"/>
    <x v="3"/>
    <n v="4"/>
    <n v="8"/>
    <s v="Tuesday"/>
    <x v="1"/>
    <x v="11"/>
    <x v="3"/>
    <s v="Chicken Momos"/>
    <x v="1"/>
    <n v="1"/>
    <n v="440"/>
    <n v="44"/>
    <n v="20"/>
    <n v="440"/>
    <n v="416"/>
    <x v="2"/>
    <x v="1"/>
    <x v="1"/>
    <n v="60"/>
    <m/>
  </r>
  <r>
    <x v="1308"/>
    <x v="97"/>
    <x v="3"/>
    <n v="4"/>
    <n v="8"/>
    <s v="Tuesday"/>
    <x v="9"/>
    <x v="2"/>
    <x v="4"/>
    <s v="French Fries"/>
    <x v="2"/>
    <n v="1"/>
    <n v="370"/>
    <n v="18.5"/>
    <n v="50"/>
    <n v="370"/>
    <n v="401.5"/>
    <x v="1"/>
    <x v="0"/>
    <x v="0"/>
    <n v="36"/>
    <n v="3.9"/>
  </r>
  <r>
    <x v="1309"/>
    <x v="97"/>
    <x v="3"/>
    <n v="4"/>
    <n v="8"/>
    <s v="Tuesday"/>
    <x v="6"/>
    <x v="3"/>
    <x v="2"/>
    <s v="French Fries"/>
    <x v="3"/>
    <n v="1"/>
    <n v="338"/>
    <n v="16.899999999999999"/>
    <n v="20"/>
    <n v="338"/>
    <n v="341.1"/>
    <x v="2"/>
    <x v="2"/>
    <x v="1"/>
    <n v="57"/>
    <m/>
  </r>
  <r>
    <x v="1310"/>
    <x v="97"/>
    <x v="3"/>
    <n v="4"/>
    <n v="8"/>
    <s v="Tuesday"/>
    <x v="5"/>
    <x v="8"/>
    <x v="7"/>
    <s v="French Fries"/>
    <x v="1"/>
    <n v="2"/>
    <n v="712"/>
    <n v="106.8"/>
    <n v="30"/>
    <n v="1424"/>
    <n v="1347.2"/>
    <x v="1"/>
    <x v="0"/>
    <x v="0"/>
    <n v="51"/>
    <n v="2.8"/>
  </r>
  <r>
    <x v="1311"/>
    <x v="97"/>
    <x v="3"/>
    <n v="4"/>
    <n v="8"/>
    <s v="Tuesday"/>
    <x v="5"/>
    <x v="4"/>
    <x v="1"/>
    <s v="French Fries"/>
    <x v="1"/>
    <n v="3"/>
    <n v="448"/>
    <n v="89.6"/>
    <n v="50"/>
    <n v="1344"/>
    <n v="1304.4000000000001"/>
    <x v="1"/>
    <x v="0"/>
    <x v="1"/>
    <n v="40"/>
    <n v="4"/>
  </r>
  <r>
    <x v="1312"/>
    <x v="97"/>
    <x v="3"/>
    <n v="4"/>
    <n v="8"/>
    <s v="Tuesday"/>
    <x v="4"/>
    <x v="9"/>
    <x v="7"/>
    <s v="Chicken Momos"/>
    <x v="3"/>
    <n v="2"/>
    <n v="477"/>
    <n v="95.4"/>
    <n v="20"/>
    <n v="954"/>
    <n v="878.6"/>
    <x v="1"/>
    <x v="0"/>
    <x v="1"/>
    <n v="25"/>
    <n v="4"/>
  </r>
  <r>
    <x v="1313"/>
    <x v="97"/>
    <x v="3"/>
    <n v="4"/>
    <n v="8"/>
    <s v="Tuesday"/>
    <x v="6"/>
    <x v="2"/>
    <x v="8"/>
    <s v="Veg Pizza"/>
    <x v="2"/>
    <n v="2"/>
    <n v="802"/>
    <n v="200.5"/>
    <n v="0"/>
    <n v="1604"/>
    <n v="1403.5"/>
    <x v="1"/>
    <x v="0"/>
    <x v="0"/>
    <n v="47"/>
    <n v="3.1"/>
  </r>
  <r>
    <x v="1314"/>
    <x v="97"/>
    <x v="3"/>
    <n v="4"/>
    <n v="8"/>
    <s v="Tuesday"/>
    <x v="0"/>
    <x v="8"/>
    <x v="6"/>
    <s v="Veg Pizza"/>
    <x v="1"/>
    <n v="1"/>
    <n v="447"/>
    <n v="22.35"/>
    <n v="20"/>
    <n v="447"/>
    <n v="444.65"/>
    <x v="3"/>
    <x v="0"/>
    <x v="1"/>
    <n v="23"/>
    <n v="4.4000000000000004"/>
  </r>
  <r>
    <x v="1315"/>
    <x v="97"/>
    <x v="3"/>
    <n v="4"/>
    <n v="8"/>
    <s v="Tuesday"/>
    <x v="5"/>
    <x v="8"/>
    <x v="2"/>
    <s v="Paneer Butter Masala"/>
    <x v="2"/>
    <n v="2"/>
    <n v="593"/>
    <n v="118.6"/>
    <n v="0"/>
    <n v="1186"/>
    <n v="1067.4000000000001"/>
    <x v="0"/>
    <x v="0"/>
    <x v="0"/>
    <n v="29"/>
    <n v="4.5"/>
  </r>
  <r>
    <x v="1316"/>
    <x v="97"/>
    <x v="3"/>
    <n v="4"/>
    <n v="8"/>
    <s v="Tuesday"/>
    <x v="5"/>
    <x v="1"/>
    <x v="7"/>
    <s v="Cold Coffee"/>
    <x v="1"/>
    <n v="3"/>
    <n v="568"/>
    <n v="85.2"/>
    <n v="50"/>
    <n v="1704"/>
    <n v="1668.8"/>
    <x v="0"/>
    <x v="1"/>
    <x v="0"/>
    <n v="24"/>
    <m/>
  </r>
  <r>
    <x v="1317"/>
    <x v="97"/>
    <x v="3"/>
    <n v="4"/>
    <n v="8"/>
    <s v="Tuesday"/>
    <x v="3"/>
    <x v="4"/>
    <x v="1"/>
    <s v="Cold Coffee"/>
    <x v="2"/>
    <n v="2"/>
    <n v="560"/>
    <n v="28"/>
    <n v="30"/>
    <n v="1120"/>
    <n v="1122"/>
    <x v="3"/>
    <x v="1"/>
    <x v="0"/>
    <n v="23"/>
    <m/>
  </r>
  <r>
    <x v="1318"/>
    <x v="97"/>
    <x v="3"/>
    <n v="4"/>
    <n v="8"/>
    <s v="Tuesday"/>
    <x v="3"/>
    <x v="6"/>
    <x v="6"/>
    <s v="Chocolate Cake"/>
    <x v="2"/>
    <n v="2"/>
    <n v="671"/>
    <n v="100.65"/>
    <n v="0"/>
    <n v="1342"/>
    <n v="1241.3499999999999"/>
    <x v="2"/>
    <x v="0"/>
    <x v="0"/>
    <n v="42"/>
    <n v="5"/>
  </r>
  <r>
    <x v="1319"/>
    <x v="98"/>
    <x v="3"/>
    <n v="4"/>
    <n v="9"/>
    <s v="Wednesday"/>
    <x v="3"/>
    <x v="6"/>
    <x v="4"/>
    <s v="Veg Biryani"/>
    <x v="1"/>
    <n v="3"/>
    <n v="133"/>
    <n v="33.25"/>
    <n v="30"/>
    <n v="399"/>
    <n v="395.75"/>
    <x v="3"/>
    <x v="2"/>
    <x v="1"/>
    <n v="29"/>
    <m/>
  </r>
  <r>
    <x v="1320"/>
    <x v="98"/>
    <x v="3"/>
    <n v="4"/>
    <n v="9"/>
    <s v="Wednesday"/>
    <x v="3"/>
    <x v="8"/>
    <x v="0"/>
    <s v="Paneer Butter Masala"/>
    <x v="1"/>
    <n v="1"/>
    <n v="526"/>
    <n v="78.900000000000006"/>
    <n v="60"/>
    <n v="526"/>
    <n v="507.1"/>
    <x v="1"/>
    <x v="0"/>
    <x v="1"/>
    <n v="29"/>
    <n v="4.2"/>
  </r>
  <r>
    <x v="1321"/>
    <x v="98"/>
    <x v="3"/>
    <n v="4"/>
    <n v="9"/>
    <s v="Wednesday"/>
    <x v="8"/>
    <x v="4"/>
    <x v="2"/>
    <s v="Chicken Biryani"/>
    <x v="2"/>
    <n v="1"/>
    <n v="495"/>
    <n v="123.75"/>
    <n v="20"/>
    <n v="495"/>
    <n v="391.25"/>
    <x v="4"/>
    <x v="0"/>
    <x v="1"/>
    <n v="32"/>
    <n v="4.3"/>
  </r>
  <r>
    <x v="1322"/>
    <x v="98"/>
    <x v="3"/>
    <n v="4"/>
    <n v="9"/>
    <s v="Wednesday"/>
    <x v="0"/>
    <x v="4"/>
    <x v="5"/>
    <s v="Veg Burger"/>
    <x v="2"/>
    <n v="2"/>
    <n v="747"/>
    <n v="74.7"/>
    <n v="60"/>
    <n v="1494"/>
    <n v="1479.3"/>
    <x v="1"/>
    <x v="0"/>
    <x v="1"/>
    <n v="43"/>
    <n v="3.7"/>
  </r>
  <r>
    <x v="1323"/>
    <x v="98"/>
    <x v="3"/>
    <n v="4"/>
    <n v="9"/>
    <s v="Wednesday"/>
    <x v="4"/>
    <x v="8"/>
    <x v="3"/>
    <s v="Pasta"/>
    <x v="2"/>
    <n v="2"/>
    <n v="698"/>
    <n v="69.8"/>
    <n v="60"/>
    <n v="1396"/>
    <n v="1386.2"/>
    <x v="2"/>
    <x v="0"/>
    <x v="1"/>
    <n v="23"/>
    <n v="3.9"/>
  </r>
  <r>
    <x v="1324"/>
    <x v="98"/>
    <x v="3"/>
    <n v="4"/>
    <n v="9"/>
    <s v="Wednesday"/>
    <x v="0"/>
    <x v="4"/>
    <x v="4"/>
    <s v="Chicken Pizza"/>
    <x v="2"/>
    <n v="1"/>
    <n v="556"/>
    <n v="55.6"/>
    <n v="30"/>
    <n v="556"/>
    <n v="530.4"/>
    <x v="1"/>
    <x v="0"/>
    <x v="0"/>
    <n v="20"/>
    <n v="3"/>
  </r>
  <r>
    <x v="1325"/>
    <x v="98"/>
    <x v="3"/>
    <n v="4"/>
    <n v="9"/>
    <s v="Wednesday"/>
    <x v="9"/>
    <x v="10"/>
    <x v="5"/>
    <s v="Chicken Biryani"/>
    <x v="2"/>
    <n v="1"/>
    <n v="215"/>
    <n v="21.5"/>
    <n v="70"/>
    <n v="215"/>
    <n v="263.5"/>
    <x v="1"/>
    <x v="0"/>
    <x v="1"/>
    <n v="34"/>
    <n v="4.3"/>
  </r>
  <r>
    <x v="1326"/>
    <x v="98"/>
    <x v="3"/>
    <n v="4"/>
    <n v="9"/>
    <s v="Wednesday"/>
    <x v="4"/>
    <x v="9"/>
    <x v="8"/>
    <s v="Idli Sambar"/>
    <x v="1"/>
    <n v="2"/>
    <n v="795"/>
    <n v="79.5"/>
    <n v="50"/>
    <n v="1590"/>
    <n v="1560.5"/>
    <x v="0"/>
    <x v="0"/>
    <x v="1"/>
    <n v="64"/>
    <n v="3.1"/>
  </r>
  <r>
    <x v="1327"/>
    <x v="98"/>
    <x v="3"/>
    <n v="4"/>
    <n v="9"/>
    <s v="Wednesday"/>
    <x v="2"/>
    <x v="13"/>
    <x v="5"/>
    <s v="Pasta"/>
    <x v="1"/>
    <n v="2"/>
    <n v="581"/>
    <n v="116.2"/>
    <n v="50"/>
    <n v="1162"/>
    <n v="1095.8"/>
    <x v="1"/>
    <x v="0"/>
    <x v="1"/>
    <n v="58"/>
    <n v="4.5"/>
  </r>
  <r>
    <x v="1328"/>
    <x v="98"/>
    <x v="3"/>
    <n v="4"/>
    <n v="9"/>
    <s v="Wednesday"/>
    <x v="1"/>
    <x v="9"/>
    <x v="0"/>
    <s v="Chicken Biryani"/>
    <x v="1"/>
    <n v="3"/>
    <n v="838"/>
    <n v="83.8"/>
    <n v="50"/>
    <n v="2514"/>
    <n v="2480.1999999999998"/>
    <x v="1"/>
    <x v="0"/>
    <x v="0"/>
    <n v="41"/>
    <n v="4.3"/>
  </r>
  <r>
    <x v="1329"/>
    <x v="98"/>
    <x v="3"/>
    <n v="4"/>
    <n v="9"/>
    <s v="Wednesday"/>
    <x v="5"/>
    <x v="12"/>
    <x v="5"/>
    <s v="Veg Momos"/>
    <x v="1"/>
    <n v="3"/>
    <n v="294"/>
    <n v="58.8"/>
    <n v="20"/>
    <n v="882"/>
    <n v="843.2"/>
    <x v="0"/>
    <x v="0"/>
    <x v="1"/>
    <n v="43"/>
    <n v="2.6"/>
  </r>
  <r>
    <x v="1330"/>
    <x v="98"/>
    <x v="3"/>
    <n v="4"/>
    <n v="9"/>
    <s v="Wednesday"/>
    <x v="5"/>
    <x v="13"/>
    <x v="6"/>
    <s v="Chicken Pizza"/>
    <x v="1"/>
    <n v="1"/>
    <n v="453"/>
    <n v="0"/>
    <n v="40"/>
    <n v="453"/>
    <n v="493"/>
    <x v="1"/>
    <x v="0"/>
    <x v="1"/>
    <n v="24"/>
    <n v="3.6"/>
  </r>
  <r>
    <x v="1331"/>
    <x v="98"/>
    <x v="3"/>
    <n v="4"/>
    <n v="9"/>
    <s v="Wednesday"/>
    <x v="5"/>
    <x v="9"/>
    <x v="9"/>
    <s v="Fried Rice"/>
    <x v="2"/>
    <n v="1"/>
    <n v="586"/>
    <n v="117.2"/>
    <n v="30"/>
    <n v="586"/>
    <n v="498.8"/>
    <x v="0"/>
    <x v="0"/>
    <x v="1"/>
    <n v="29"/>
    <n v="2.5"/>
  </r>
  <r>
    <x v="1332"/>
    <x v="98"/>
    <x v="3"/>
    <n v="4"/>
    <n v="9"/>
    <s v="Wednesday"/>
    <x v="3"/>
    <x v="1"/>
    <x v="6"/>
    <s v="Chocolate Cake"/>
    <x v="1"/>
    <n v="2"/>
    <n v="886"/>
    <n v="132.9"/>
    <n v="0"/>
    <n v="1772"/>
    <n v="1639.1"/>
    <x v="2"/>
    <x v="0"/>
    <x v="1"/>
    <n v="48"/>
    <n v="4.0999999999999996"/>
  </r>
  <r>
    <x v="1333"/>
    <x v="98"/>
    <x v="3"/>
    <n v="4"/>
    <n v="9"/>
    <s v="Wednesday"/>
    <x v="5"/>
    <x v="6"/>
    <x v="5"/>
    <s v="Veg Momos"/>
    <x v="1"/>
    <n v="2"/>
    <n v="680"/>
    <n v="68"/>
    <n v="40"/>
    <n v="1360"/>
    <n v="1332"/>
    <x v="2"/>
    <x v="3"/>
    <x v="1"/>
    <n v="63"/>
    <m/>
  </r>
  <r>
    <x v="1334"/>
    <x v="98"/>
    <x v="3"/>
    <n v="4"/>
    <n v="9"/>
    <s v="Wednesday"/>
    <x v="7"/>
    <x v="8"/>
    <x v="4"/>
    <s v="Chicken Biryani"/>
    <x v="2"/>
    <n v="3"/>
    <n v="572"/>
    <n v="85.8"/>
    <n v="50"/>
    <n v="1716"/>
    <n v="1680.2"/>
    <x v="3"/>
    <x v="3"/>
    <x v="1"/>
    <n v="37"/>
    <m/>
  </r>
  <r>
    <x v="1335"/>
    <x v="98"/>
    <x v="3"/>
    <n v="4"/>
    <n v="9"/>
    <s v="Wednesday"/>
    <x v="5"/>
    <x v="8"/>
    <x v="3"/>
    <s v="Chicken Burger"/>
    <x v="3"/>
    <n v="1"/>
    <n v="324"/>
    <n v="0"/>
    <n v="50"/>
    <n v="324"/>
    <n v="374"/>
    <x v="1"/>
    <x v="3"/>
    <x v="0"/>
    <n v="70"/>
    <m/>
  </r>
  <r>
    <x v="1336"/>
    <x v="99"/>
    <x v="3"/>
    <n v="4"/>
    <n v="10"/>
    <s v="Thursday"/>
    <x v="4"/>
    <x v="3"/>
    <x v="7"/>
    <s v="Veg Biryani"/>
    <x v="1"/>
    <n v="2"/>
    <n v="644"/>
    <n v="64.400000000000006"/>
    <n v="30"/>
    <n v="1288"/>
    <n v="1253.5999999999999"/>
    <x v="0"/>
    <x v="3"/>
    <x v="0"/>
    <n v="22"/>
    <m/>
  </r>
  <r>
    <x v="1337"/>
    <x v="99"/>
    <x v="3"/>
    <n v="4"/>
    <n v="10"/>
    <s v="Thursday"/>
    <x v="5"/>
    <x v="5"/>
    <x v="3"/>
    <s v="Masala Dosa"/>
    <x v="1"/>
    <n v="2"/>
    <n v="456"/>
    <n v="0"/>
    <n v="40"/>
    <n v="912"/>
    <n v="952"/>
    <x v="1"/>
    <x v="0"/>
    <x v="1"/>
    <n v="23"/>
    <n v="3.7"/>
  </r>
  <r>
    <x v="1338"/>
    <x v="99"/>
    <x v="3"/>
    <n v="4"/>
    <n v="10"/>
    <s v="Thursday"/>
    <x v="3"/>
    <x v="10"/>
    <x v="3"/>
    <s v="Masala Dosa"/>
    <x v="1"/>
    <n v="3"/>
    <n v="811"/>
    <n v="121.65"/>
    <n v="40"/>
    <n v="2433"/>
    <n v="2351.35"/>
    <x v="0"/>
    <x v="2"/>
    <x v="0"/>
    <n v="47"/>
    <m/>
  </r>
  <r>
    <x v="1339"/>
    <x v="99"/>
    <x v="3"/>
    <n v="4"/>
    <n v="10"/>
    <s v="Thursday"/>
    <x v="6"/>
    <x v="6"/>
    <x v="2"/>
    <s v="Chicken Momos"/>
    <x v="1"/>
    <n v="1"/>
    <n v="529"/>
    <n v="52.9"/>
    <n v="40"/>
    <n v="529"/>
    <n v="516.1"/>
    <x v="3"/>
    <x v="0"/>
    <x v="1"/>
    <n v="58"/>
    <n v="3.7"/>
  </r>
  <r>
    <x v="1340"/>
    <x v="99"/>
    <x v="3"/>
    <n v="4"/>
    <n v="10"/>
    <s v="Thursday"/>
    <x v="5"/>
    <x v="1"/>
    <x v="7"/>
    <s v="French Fries"/>
    <x v="1"/>
    <n v="2"/>
    <n v="429"/>
    <n v="85.8"/>
    <n v="50"/>
    <n v="858"/>
    <n v="822.2"/>
    <x v="1"/>
    <x v="0"/>
    <x v="1"/>
    <n v="24"/>
    <n v="5"/>
  </r>
  <r>
    <x v="1341"/>
    <x v="99"/>
    <x v="3"/>
    <n v="4"/>
    <n v="10"/>
    <s v="Thursday"/>
    <x v="7"/>
    <x v="1"/>
    <x v="5"/>
    <s v="Veg Burger"/>
    <x v="1"/>
    <n v="2"/>
    <n v="543"/>
    <n v="108.6"/>
    <n v="40"/>
    <n v="1086"/>
    <n v="1017.4"/>
    <x v="2"/>
    <x v="1"/>
    <x v="1"/>
    <n v="59"/>
    <m/>
  </r>
  <r>
    <x v="1342"/>
    <x v="99"/>
    <x v="3"/>
    <n v="4"/>
    <n v="10"/>
    <s v="Thursday"/>
    <x v="8"/>
    <x v="9"/>
    <x v="7"/>
    <s v="Chicken Biryani"/>
    <x v="1"/>
    <n v="1"/>
    <n v="413"/>
    <n v="0"/>
    <n v="50"/>
    <n v="413"/>
    <n v="463"/>
    <x v="1"/>
    <x v="0"/>
    <x v="0"/>
    <n v="37"/>
    <n v="4.5999999999999996"/>
  </r>
  <r>
    <x v="1343"/>
    <x v="99"/>
    <x v="3"/>
    <n v="4"/>
    <n v="10"/>
    <s v="Thursday"/>
    <x v="4"/>
    <x v="12"/>
    <x v="1"/>
    <s v="French Fries"/>
    <x v="1"/>
    <n v="2"/>
    <n v="597"/>
    <n v="89.55"/>
    <n v="40"/>
    <n v="1194"/>
    <n v="1144.45"/>
    <x v="1"/>
    <x v="0"/>
    <x v="0"/>
    <n v="20"/>
    <n v="2.6"/>
  </r>
  <r>
    <x v="1344"/>
    <x v="99"/>
    <x v="3"/>
    <n v="4"/>
    <n v="10"/>
    <s v="Thursday"/>
    <x v="2"/>
    <x v="12"/>
    <x v="8"/>
    <s v="Veg Momos"/>
    <x v="1"/>
    <n v="1"/>
    <n v="292"/>
    <n v="58.4"/>
    <n v="40"/>
    <n v="292"/>
    <n v="273.60000000000002"/>
    <x v="2"/>
    <x v="0"/>
    <x v="0"/>
    <n v="33"/>
    <n v="3.6"/>
  </r>
  <r>
    <x v="1345"/>
    <x v="99"/>
    <x v="3"/>
    <n v="4"/>
    <n v="10"/>
    <s v="Thursday"/>
    <x v="1"/>
    <x v="0"/>
    <x v="7"/>
    <s v="Chicken Biryani"/>
    <x v="1"/>
    <n v="2"/>
    <n v="493"/>
    <n v="49.3"/>
    <n v="30"/>
    <n v="986"/>
    <n v="966.7"/>
    <x v="4"/>
    <x v="0"/>
    <x v="1"/>
    <n v="22"/>
    <n v="5"/>
  </r>
  <r>
    <x v="1346"/>
    <x v="99"/>
    <x v="3"/>
    <n v="4"/>
    <n v="10"/>
    <s v="Thursday"/>
    <x v="6"/>
    <x v="13"/>
    <x v="6"/>
    <s v="Fried Rice"/>
    <x v="2"/>
    <n v="3"/>
    <n v="814"/>
    <n v="122.1"/>
    <n v="40"/>
    <n v="2442"/>
    <n v="2359.9"/>
    <x v="1"/>
    <x v="0"/>
    <x v="1"/>
    <n v="42"/>
    <n v="4.5999999999999996"/>
  </r>
  <r>
    <x v="1347"/>
    <x v="99"/>
    <x v="3"/>
    <n v="4"/>
    <n v="10"/>
    <s v="Thursday"/>
    <x v="4"/>
    <x v="12"/>
    <x v="3"/>
    <s v="French Fries"/>
    <x v="1"/>
    <n v="1"/>
    <n v="520"/>
    <n v="78"/>
    <n v="0"/>
    <n v="520"/>
    <n v="442"/>
    <x v="4"/>
    <x v="0"/>
    <x v="1"/>
    <n v="36"/>
    <n v="4.2"/>
  </r>
  <r>
    <x v="1348"/>
    <x v="99"/>
    <x v="3"/>
    <n v="4"/>
    <n v="10"/>
    <s v="Thursday"/>
    <x v="1"/>
    <x v="0"/>
    <x v="1"/>
    <s v="Idli Sambar"/>
    <x v="1"/>
    <n v="3"/>
    <n v="636"/>
    <n v="95.4"/>
    <n v="0"/>
    <n v="1908"/>
    <n v="1812.6"/>
    <x v="1"/>
    <x v="0"/>
    <x v="1"/>
    <n v="31"/>
    <n v="4.0999999999999996"/>
  </r>
  <r>
    <x v="1349"/>
    <x v="99"/>
    <x v="3"/>
    <n v="4"/>
    <n v="10"/>
    <s v="Thursday"/>
    <x v="3"/>
    <x v="11"/>
    <x v="0"/>
    <s v="Veg Momos"/>
    <x v="2"/>
    <n v="2"/>
    <n v="445"/>
    <n v="22.25"/>
    <n v="40"/>
    <n v="890"/>
    <n v="907.75"/>
    <x v="1"/>
    <x v="0"/>
    <x v="0"/>
    <n v="30"/>
    <n v="4.8"/>
  </r>
  <r>
    <x v="1350"/>
    <x v="100"/>
    <x v="3"/>
    <n v="4"/>
    <n v="11"/>
    <s v="Friday"/>
    <x v="7"/>
    <x v="4"/>
    <x v="2"/>
    <s v="Masala Dosa"/>
    <x v="1"/>
    <n v="1"/>
    <n v="424"/>
    <n v="42.4"/>
    <n v="50"/>
    <n v="424"/>
    <n v="431.6"/>
    <x v="3"/>
    <x v="0"/>
    <x v="1"/>
    <n v="22"/>
    <n v="3.9"/>
  </r>
  <r>
    <x v="1351"/>
    <x v="100"/>
    <x v="3"/>
    <n v="4"/>
    <n v="11"/>
    <s v="Friday"/>
    <x v="2"/>
    <x v="2"/>
    <x v="8"/>
    <s v="French Fries"/>
    <x v="1"/>
    <n v="1"/>
    <n v="829"/>
    <n v="124.35"/>
    <n v="50"/>
    <n v="829"/>
    <n v="754.65"/>
    <x v="3"/>
    <x v="0"/>
    <x v="1"/>
    <n v="20"/>
    <n v="3.6"/>
  </r>
  <r>
    <x v="1352"/>
    <x v="100"/>
    <x v="3"/>
    <n v="4"/>
    <n v="11"/>
    <s v="Friday"/>
    <x v="4"/>
    <x v="8"/>
    <x v="2"/>
    <s v="Paneer Butter Masala"/>
    <x v="2"/>
    <n v="3"/>
    <n v="152"/>
    <n v="22.8"/>
    <n v="30"/>
    <n v="456"/>
    <n v="463.2"/>
    <x v="2"/>
    <x v="0"/>
    <x v="1"/>
    <n v="43"/>
    <n v="4.0999999999999996"/>
  </r>
  <r>
    <x v="1353"/>
    <x v="100"/>
    <x v="3"/>
    <n v="4"/>
    <n v="11"/>
    <s v="Friday"/>
    <x v="1"/>
    <x v="3"/>
    <x v="3"/>
    <s v="Cold Coffee"/>
    <x v="1"/>
    <n v="1"/>
    <n v="327"/>
    <n v="32.700000000000003"/>
    <n v="20"/>
    <n v="327"/>
    <n v="314.3"/>
    <x v="0"/>
    <x v="2"/>
    <x v="0"/>
    <n v="66"/>
    <m/>
  </r>
  <r>
    <x v="1354"/>
    <x v="100"/>
    <x v="3"/>
    <n v="4"/>
    <n v="11"/>
    <s v="Friday"/>
    <x v="3"/>
    <x v="10"/>
    <x v="8"/>
    <s v="Chicken Burger"/>
    <x v="1"/>
    <n v="2"/>
    <n v="779"/>
    <n v="155.80000000000001"/>
    <n v="30"/>
    <n v="1558"/>
    <n v="1432.2"/>
    <x v="4"/>
    <x v="0"/>
    <x v="0"/>
    <n v="30"/>
    <n v="4"/>
  </r>
  <r>
    <x v="1355"/>
    <x v="100"/>
    <x v="3"/>
    <n v="4"/>
    <n v="11"/>
    <s v="Friday"/>
    <x v="1"/>
    <x v="5"/>
    <x v="6"/>
    <s v="Chicken Biryani"/>
    <x v="1"/>
    <n v="2"/>
    <n v="762"/>
    <n v="76.2"/>
    <n v="40"/>
    <n v="1524"/>
    <n v="1487.8"/>
    <x v="0"/>
    <x v="3"/>
    <x v="1"/>
    <n v="42"/>
    <m/>
  </r>
  <r>
    <x v="1356"/>
    <x v="100"/>
    <x v="3"/>
    <n v="4"/>
    <n v="11"/>
    <s v="Friday"/>
    <x v="6"/>
    <x v="14"/>
    <x v="4"/>
    <s v="Masala Dosa"/>
    <x v="0"/>
    <n v="3"/>
    <n v="821"/>
    <n v="123.15"/>
    <n v="50"/>
    <n v="2463"/>
    <n v="2389.85"/>
    <x v="1"/>
    <x v="0"/>
    <x v="1"/>
    <n v="40"/>
    <n v="4.5"/>
  </r>
  <r>
    <x v="1357"/>
    <x v="100"/>
    <x v="3"/>
    <n v="4"/>
    <n v="11"/>
    <s v="Friday"/>
    <x v="9"/>
    <x v="0"/>
    <x v="5"/>
    <s v="Chicken Biryani"/>
    <x v="1"/>
    <n v="2"/>
    <n v="354"/>
    <n v="88.5"/>
    <n v="0"/>
    <n v="708"/>
    <n v="619.5"/>
    <x v="1"/>
    <x v="0"/>
    <x v="1"/>
    <n v="63"/>
    <n v="2.9"/>
  </r>
  <r>
    <x v="1358"/>
    <x v="100"/>
    <x v="3"/>
    <n v="4"/>
    <n v="11"/>
    <s v="Friday"/>
    <x v="1"/>
    <x v="9"/>
    <x v="0"/>
    <s v="Veg Biryani"/>
    <x v="1"/>
    <n v="2"/>
    <n v="774"/>
    <n v="38.700000000000003"/>
    <n v="50"/>
    <n v="1548"/>
    <n v="1559.3"/>
    <x v="3"/>
    <x v="0"/>
    <x v="1"/>
    <n v="65"/>
    <n v="5"/>
  </r>
  <r>
    <x v="1359"/>
    <x v="100"/>
    <x v="3"/>
    <n v="4"/>
    <n v="11"/>
    <s v="Friday"/>
    <x v="1"/>
    <x v="12"/>
    <x v="9"/>
    <s v="Fried Rice"/>
    <x v="1"/>
    <n v="1"/>
    <n v="548"/>
    <n v="137"/>
    <n v="30"/>
    <n v="548"/>
    <n v="441"/>
    <x v="1"/>
    <x v="0"/>
    <x v="1"/>
    <n v="32"/>
    <n v="3.7"/>
  </r>
  <r>
    <x v="1360"/>
    <x v="100"/>
    <x v="3"/>
    <n v="4"/>
    <n v="11"/>
    <s v="Friday"/>
    <x v="5"/>
    <x v="11"/>
    <x v="8"/>
    <s v="Chicken Burger"/>
    <x v="1"/>
    <n v="1"/>
    <n v="536"/>
    <n v="53.6"/>
    <n v="20"/>
    <n v="536"/>
    <n v="502.4"/>
    <x v="0"/>
    <x v="2"/>
    <x v="1"/>
    <n v="44"/>
    <m/>
  </r>
  <r>
    <x v="1361"/>
    <x v="100"/>
    <x v="3"/>
    <n v="4"/>
    <n v="11"/>
    <s v="Friday"/>
    <x v="7"/>
    <x v="5"/>
    <x v="7"/>
    <s v="Veg Biryani"/>
    <x v="1"/>
    <n v="2"/>
    <n v="848"/>
    <n v="42.4"/>
    <n v="40"/>
    <n v="1696"/>
    <n v="1693.6"/>
    <x v="0"/>
    <x v="0"/>
    <x v="0"/>
    <n v="60"/>
    <n v="2.7"/>
  </r>
  <r>
    <x v="1362"/>
    <x v="100"/>
    <x v="3"/>
    <n v="4"/>
    <n v="11"/>
    <s v="Friday"/>
    <x v="4"/>
    <x v="11"/>
    <x v="9"/>
    <s v="Veg Biryani"/>
    <x v="1"/>
    <n v="1"/>
    <n v="893"/>
    <n v="0"/>
    <n v="40"/>
    <n v="893"/>
    <n v="933"/>
    <x v="1"/>
    <x v="0"/>
    <x v="1"/>
    <n v="39"/>
    <n v="3.1"/>
  </r>
  <r>
    <x v="1363"/>
    <x v="100"/>
    <x v="3"/>
    <n v="4"/>
    <n v="11"/>
    <s v="Friday"/>
    <x v="0"/>
    <x v="5"/>
    <x v="6"/>
    <s v="Idli Sambar"/>
    <x v="1"/>
    <n v="1"/>
    <n v="779"/>
    <n v="77.900000000000006"/>
    <n v="20"/>
    <n v="779"/>
    <n v="721.1"/>
    <x v="2"/>
    <x v="2"/>
    <x v="1"/>
    <n v="28"/>
    <m/>
  </r>
  <r>
    <x v="1364"/>
    <x v="100"/>
    <x v="3"/>
    <n v="4"/>
    <n v="11"/>
    <s v="Friday"/>
    <x v="3"/>
    <x v="3"/>
    <x v="7"/>
    <s v="Chicken Momos"/>
    <x v="1"/>
    <n v="3"/>
    <n v="178"/>
    <n v="17.8"/>
    <n v="30"/>
    <n v="534"/>
    <n v="546.20000000000005"/>
    <x v="2"/>
    <x v="0"/>
    <x v="1"/>
    <n v="22"/>
    <n v="4.0999999999999996"/>
  </r>
  <r>
    <x v="1365"/>
    <x v="100"/>
    <x v="3"/>
    <n v="4"/>
    <n v="11"/>
    <s v="Friday"/>
    <x v="4"/>
    <x v="4"/>
    <x v="2"/>
    <s v="French Fries"/>
    <x v="1"/>
    <n v="3"/>
    <n v="585"/>
    <n v="0"/>
    <n v="30"/>
    <n v="1755"/>
    <n v="1785"/>
    <x v="0"/>
    <x v="0"/>
    <x v="1"/>
    <n v="34"/>
    <n v="4"/>
  </r>
  <r>
    <x v="1366"/>
    <x v="100"/>
    <x v="3"/>
    <n v="4"/>
    <n v="11"/>
    <s v="Friday"/>
    <x v="5"/>
    <x v="8"/>
    <x v="5"/>
    <s v="Idli Sambar"/>
    <x v="0"/>
    <n v="2"/>
    <n v="658"/>
    <n v="65.8"/>
    <n v="20"/>
    <n v="1316"/>
    <n v="1270.2"/>
    <x v="0"/>
    <x v="0"/>
    <x v="1"/>
    <n v="27"/>
    <n v="4.0999999999999996"/>
  </r>
  <r>
    <x v="1367"/>
    <x v="100"/>
    <x v="3"/>
    <n v="4"/>
    <n v="11"/>
    <s v="Friday"/>
    <x v="4"/>
    <x v="9"/>
    <x v="6"/>
    <s v="Idli Sambar"/>
    <x v="1"/>
    <n v="1"/>
    <n v="858"/>
    <n v="128.69999999999999"/>
    <n v="60"/>
    <n v="858"/>
    <n v="789.3"/>
    <x v="2"/>
    <x v="0"/>
    <x v="1"/>
    <n v="45"/>
    <n v="4.0999999999999996"/>
  </r>
  <r>
    <x v="1368"/>
    <x v="100"/>
    <x v="3"/>
    <n v="4"/>
    <n v="11"/>
    <s v="Friday"/>
    <x v="8"/>
    <x v="5"/>
    <x v="9"/>
    <s v="Veg Biryani"/>
    <x v="1"/>
    <n v="2"/>
    <n v="171"/>
    <n v="25.65"/>
    <n v="40"/>
    <n v="342"/>
    <n v="356.35"/>
    <x v="2"/>
    <x v="0"/>
    <x v="0"/>
    <n v="33"/>
    <n v="4.3"/>
  </r>
  <r>
    <x v="1369"/>
    <x v="101"/>
    <x v="3"/>
    <n v="4"/>
    <n v="12"/>
    <s v="Saturday"/>
    <x v="9"/>
    <x v="10"/>
    <x v="8"/>
    <s v="Chicken Biryani"/>
    <x v="1"/>
    <n v="1"/>
    <n v="181"/>
    <n v="36.200000000000003"/>
    <n v="40"/>
    <n v="181"/>
    <n v="184.8"/>
    <x v="4"/>
    <x v="0"/>
    <x v="1"/>
    <n v="24"/>
    <n v="4.5999999999999996"/>
  </r>
  <r>
    <x v="1370"/>
    <x v="101"/>
    <x v="3"/>
    <n v="4"/>
    <n v="12"/>
    <s v="Saturday"/>
    <x v="4"/>
    <x v="0"/>
    <x v="3"/>
    <s v="Fried Rice"/>
    <x v="1"/>
    <n v="1"/>
    <n v="751"/>
    <n v="37.549999999999997"/>
    <n v="60"/>
    <n v="751"/>
    <n v="773.45"/>
    <x v="4"/>
    <x v="0"/>
    <x v="1"/>
    <n v="43"/>
    <n v="2.4"/>
  </r>
  <r>
    <x v="1371"/>
    <x v="101"/>
    <x v="3"/>
    <n v="4"/>
    <n v="12"/>
    <s v="Saturday"/>
    <x v="6"/>
    <x v="8"/>
    <x v="0"/>
    <s v="Chicken Biryani"/>
    <x v="1"/>
    <n v="1"/>
    <n v="723"/>
    <n v="144.6"/>
    <n v="50"/>
    <n v="723"/>
    <n v="628.4"/>
    <x v="1"/>
    <x v="1"/>
    <x v="1"/>
    <n v="44"/>
    <m/>
  </r>
  <r>
    <x v="1372"/>
    <x v="101"/>
    <x v="3"/>
    <n v="4"/>
    <n v="12"/>
    <s v="Saturday"/>
    <x v="9"/>
    <x v="6"/>
    <x v="7"/>
    <s v="Veg Pizza"/>
    <x v="2"/>
    <n v="2"/>
    <n v="813"/>
    <n v="162.6"/>
    <n v="60"/>
    <n v="1626"/>
    <n v="1523.4"/>
    <x v="3"/>
    <x v="0"/>
    <x v="1"/>
    <n v="54"/>
    <n v="4.7"/>
  </r>
  <r>
    <x v="1373"/>
    <x v="101"/>
    <x v="3"/>
    <n v="4"/>
    <n v="12"/>
    <s v="Saturday"/>
    <x v="3"/>
    <x v="11"/>
    <x v="4"/>
    <s v="Fried Rice"/>
    <x v="1"/>
    <n v="1"/>
    <n v="148"/>
    <n v="14.8"/>
    <n v="60"/>
    <n v="148"/>
    <n v="193.2"/>
    <x v="2"/>
    <x v="2"/>
    <x v="1"/>
    <n v="62"/>
    <m/>
  </r>
  <r>
    <x v="1374"/>
    <x v="101"/>
    <x v="3"/>
    <n v="4"/>
    <n v="12"/>
    <s v="Saturday"/>
    <x v="3"/>
    <x v="2"/>
    <x v="0"/>
    <s v="Veg Momos"/>
    <x v="1"/>
    <n v="2"/>
    <n v="289"/>
    <n v="0"/>
    <n v="60"/>
    <n v="578"/>
    <n v="638"/>
    <x v="1"/>
    <x v="0"/>
    <x v="1"/>
    <n v="67"/>
    <n v="3.4"/>
  </r>
  <r>
    <x v="1375"/>
    <x v="101"/>
    <x v="3"/>
    <n v="4"/>
    <n v="12"/>
    <s v="Saturday"/>
    <x v="2"/>
    <x v="10"/>
    <x v="6"/>
    <s v="Chicken Biryani"/>
    <x v="1"/>
    <n v="2"/>
    <n v="229"/>
    <n v="57.25"/>
    <n v="40"/>
    <n v="458"/>
    <n v="440.75"/>
    <x v="1"/>
    <x v="2"/>
    <x v="1"/>
    <n v="33"/>
    <m/>
  </r>
  <r>
    <x v="1376"/>
    <x v="101"/>
    <x v="3"/>
    <n v="4"/>
    <n v="12"/>
    <s v="Saturday"/>
    <x v="2"/>
    <x v="2"/>
    <x v="4"/>
    <s v="Masala Dosa"/>
    <x v="1"/>
    <n v="2"/>
    <n v="689"/>
    <n v="137.80000000000001"/>
    <n v="40"/>
    <n v="1378"/>
    <n v="1280.2"/>
    <x v="1"/>
    <x v="2"/>
    <x v="0"/>
    <n v="19"/>
    <m/>
  </r>
  <r>
    <x v="1377"/>
    <x v="101"/>
    <x v="3"/>
    <n v="4"/>
    <n v="12"/>
    <s v="Saturday"/>
    <x v="4"/>
    <x v="5"/>
    <x v="4"/>
    <s v="Veg Burger"/>
    <x v="2"/>
    <n v="2"/>
    <n v="394"/>
    <n v="59.1"/>
    <n v="70"/>
    <n v="788"/>
    <n v="798.9"/>
    <x v="1"/>
    <x v="0"/>
    <x v="1"/>
    <n v="51"/>
    <n v="4.4000000000000004"/>
  </r>
  <r>
    <x v="1378"/>
    <x v="101"/>
    <x v="3"/>
    <n v="4"/>
    <n v="12"/>
    <s v="Saturday"/>
    <x v="9"/>
    <x v="8"/>
    <x v="4"/>
    <s v="Fried Rice"/>
    <x v="1"/>
    <n v="1"/>
    <n v="170"/>
    <n v="17"/>
    <n v="20"/>
    <n v="170"/>
    <n v="173"/>
    <x v="1"/>
    <x v="0"/>
    <x v="1"/>
    <n v="26"/>
    <n v="5"/>
  </r>
  <r>
    <x v="1379"/>
    <x v="101"/>
    <x v="3"/>
    <n v="4"/>
    <n v="12"/>
    <s v="Saturday"/>
    <x v="1"/>
    <x v="10"/>
    <x v="4"/>
    <s v="Chicken Biryani"/>
    <x v="1"/>
    <n v="1"/>
    <n v="268"/>
    <n v="40.200000000000003"/>
    <n v="20"/>
    <n v="268"/>
    <n v="247.8"/>
    <x v="2"/>
    <x v="0"/>
    <x v="1"/>
    <n v="47"/>
    <n v="5"/>
  </r>
  <r>
    <x v="1380"/>
    <x v="101"/>
    <x v="3"/>
    <n v="4"/>
    <n v="12"/>
    <s v="Saturday"/>
    <x v="5"/>
    <x v="11"/>
    <x v="9"/>
    <s v="French Fries"/>
    <x v="1"/>
    <n v="2"/>
    <n v="747"/>
    <n v="0"/>
    <n v="0"/>
    <n v="1494"/>
    <n v="1494"/>
    <x v="0"/>
    <x v="0"/>
    <x v="0"/>
    <n v="27"/>
    <n v="2.4"/>
  </r>
  <r>
    <x v="1381"/>
    <x v="101"/>
    <x v="3"/>
    <n v="4"/>
    <n v="12"/>
    <s v="Saturday"/>
    <x v="2"/>
    <x v="9"/>
    <x v="9"/>
    <s v="Cold Coffee"/>
    <x v="1"/>
    <n v="3"/>
    <n v="412"/>
    <n v="41.2"/>
    <n v="30"/>
    <n v="1236"/>
    <n v="1224.8"/>
    <x v="2"/>
    <x v="0"/>
    <x v="1"/>
    <n v="65"/>
    <n v="4.3"/>
  </r>
  <r>
    <x v="1382"/>
    <x v="101"/>
    <x v="3"/>
    <n v="4"/>
    <n v="12"/>
    <s v="Saturday"/>
    <x v="5"/>
    <x v="6"/>
    <x v="1"/>
    <s v="Pasta"/>
    <x v="1"/>
    <n v="2"/>
    <n v="134"/>
    <n v="6.7"/>
    <n v="40"/>
    <n v="268"/>
    <n v="301.3"/>
    <x v="1"/>
    <x v="0"/>
    <x v="0"/>
    <n v="23"/>
    <n v="4.4000000000000004"/>
  </r>
  <r>
    <x v="1383"/>
    <x v="101"/>
    <x v="3"/>
    <n v="4"/>
    <n v="12"/>
    <s v="Saturday"/>
    <x v="0"/>
    <x v="8"/>
    <x v="6"/>
    <s v="Chicken Burger"/>
    <x v="1"/>
    <n v="2"/>
    <n v="886"/>
    <n v="132.9"/>
    <n v="0"/>
    <n v="1772"/>
    <n v="1639.1"/>
    <x v="2"/>
    <x v="0"/>
    <x v="0"/>
    <n v="48"/>
    <n v="5"/>
  </r>
  <r>
    <x v="1384"/>
    <x v="102"/>
    <x v="3"/>
    <n v="4"/>
    <n v="13"/>
    <s v="Sunday"/>
    <x v="3"/>
    <x v="7"/>
    <x v="2"/>
    <s v="Paneer Butter Masala"/>
    <x v="0"/>
    <n v="1"/>
    <n v="259"/>
    <n v="12.95"/>
    <n v="20"/>
    <n v="259"/>
    <n v="266.05"/>
    <x v="3"/>
    <x v="0"/>
    <x v="0"/>
    <n v="62"/>
    <n v="3.2"/>
  </r>
  <r>
    <x v="1385"/>
    <x v="102"/>
    <x v="3"/>
    <n v="4"/>
    <n v="13"/>
    <s v="Sunday"/>
    <x v="0"/>
    <x v="6"/>
    <x v="8"/>
    <s v="Chicken Pizza"/>
    <x v="3"/>
    <n v="3"/>
    <n v="134"/>
    <n v="13.4"/>
    <n v="40"/>
    <n v="402"/>
    <n v="428.6"/>
    <x v="0"/>
    <x v="1"/>
    <x v="1"/>
    <n v="52"/>
    <m/>
  </r>
  <r>
    <x v="1386"/>
    <x v="102"/>
    <x v="3"/>
    <n v="4"/>
    <n v="13"/>
    <s v="Sunday"/>
    <x v="4"/>
    <x v="13"/>
    <x v="3"/>
    <s v="Veg Burger"/>
    <x v="1"/>
    <n v="1"/>
    <n v="429"/>
    <n v="21.45"/>
    <n v="20"/>
    <n v="429"/>
    <n v="427.55"/>
    <x v="1"/>
    <x v="0"/>
    <x v="1"/>
    <n v="22"/>
    <n v="4"/>
  </r>
  <r>
    <x v="1387"/>
    <x v="102"/>
    <x v="3"/>
    <n v="4"/>
    <n v="13"/>
    <s v="Sunday"/>
    <x v="1"/>
    <x v="10"/>
    <x v="7"/>
    <s v="Idli Sambar"/>
    <x v="1"/>
    <n v="2"/>
    <n v="220"/>
    <n v="22"/>
    <n v="70"/>
    <n v="440"/>
    <n v="488"/>
    <x v="1"/>
    <x v="1"/>
    <x v="1"/>
    <n v="21"/>
    <m/>
  </r>
  <r>
    <x v="1388"/>
    <x v="102"/>
    <x v="3"/>
    <n v="4"/>
    <n v="13"/>
    <s v="Sunday"/>
    <x v="0"/>
    <x v="10"/>
    <x v="4"/>
    <s v="Veg Momos"/>
    <x v="2"/>
    <n v="1"/>
    <n v="767"/>
    <n v="38.35"/>
    <n v="30"/>
    <n v="767"/>
    <n v="758.65"/>
    <x v="2"/>
    <x v="0"/>
    <x v="0"/>
    <n v="22"/>
    <n v="3.6"/>
  </r>
  <r>
    <x v="1389"/>
    <x v="102"/>
    <x v="3"/>
    <n v="4"/>
    <n v="13"/>
    <s v="Sunday"/>
    <x v="6"/>
    <x v="13"/>
    <x v="2"/>
    <s v="Idli Sambar"/>
    <x v="2"/>
    <n v="1"/>
    <n v="487"/>
    <n v="97.4"/>
    <n v="60"/>
    <n v="487"/>
    <n v="449.6"/>
    <x v="0"/>
    <x v="0"/>
    <x v="1"/>
    <n v="64"/>
    <n v="4.3"/>
  </r>
  <r>
    <x v="1390"/>
    <x v="102"/>
    <x v="3"/>
    <n v="4"/>
    <n v="13"/>
    <s v="Sunday"/>
    <x v="4"/>
    <x v="5"/>
    <x v="2"/>
    <s v="Chicken Pizza"/>
    <x v="2"/>
    <n v="1"/>
    <n v="526"/>
    <n v="26.3"/>
    <n v="30"/>
    <n v="526"/>
    <n v="529.70000000000005"/>
    <x v="1"/>
    <x v="0"/>
    <x v="1"/>
    <n v="18"/>
    <n v="4.5999999999999996"/>
  </r>
  <r>
    <x v="1391"/>
    <x v="102"/>
    <x v="3"/>
    <n v="4"/>
    <n v="13"/>
    <s v="Sunday"/>
    <x v="2"/>
    <x v="0"/>
    <x v="5"/>
    <s v="Masala Dosa"/>
    <x v="0"/>
    <n v="1"/>
    <n v="121"/>
    <n v="0"/>
    <n v="30"/>
    <n v="121"/>
    <n v="151"/>
    <x v="0"/>
    <x v="0"/>
    <x v="1"/>
    <n v="54"/>
    <n v="4.5999999999999996"/>
  </r>
  <r>
    <x v="1392"/>
    <x v="102"/>
    <x v="3"/>
    <n v="4"/>
    <n v="13"/>
    <s v="Sunday"/>
    <x v="0"/>
    <x v="14"/>
    <x v="9"/>
    <s v="Pasta"/>
    <x v="0"/>
    <n v="1"/>
    <n v="523"/>
    <n v="130.75"/>
    <n v="0"/>
    <n v="523"/>
    <n v="392.25"/>
    <x v="1"/>
    <x v="2"/>
    <x v="1"/>
    <n v="43"/>
    <m/>
  </r>
  <r>
    <x v="1393"/>
    <x v="102"/>
    <x v="3"/>
    <n v="4"/>
    <n v="13"/>
    <s v="Sunday"/>
    <x v="1"/>
    <x v="3"/>
    <x v="4"/>
    <s v="Veg Biryani"/>
    <x v="1"/>
    <n v="1"/>
    <n v="656"/>
    <n v="65.599999999999994"/>
    <n v="20"/>
    <n v="656"/>
    <n v="610.4"/>
    <x v="1"/>
    <x v="0"/>
    <x v="0"/>
    <n v="67"/>
    <n v="4.8"/>
  </r>
  <r>
    <x v="1394"/>
    <x v="102"/>
    <x v="3"/>
    <n v="4"/>
    <n v="13"/>
    <s v="Sunday"/>
    <x v="7"/>
    <x v="14"/>
    <x v="9"/>
    <s v="Pasta"/>
    <x v="2"/>
    <n v="2"/>
    <n v="192"/>
    <n v="0"/>
    <n v="60"/>
    <n v="384"/>
    <n v="444"/>
    <x v="1"/>
    <x v="0"/>
    <x v="1"/>
    <n v="67"/>
    <n v="4.2"/>
  </r>
  <r>
    <x v="1395"/>
    <x v="103"/>
    <x v="3"/>
    <n v="4"/>
    <n v="14"/>
    <s v="Monday"/>
    <x v="0"/>
    <x v="2"/>
    <x v="6"/>
    <s v="Masala Dosa"/>
    <x v="1"/>
    <n v="1"/>
    <n v="426"/>
    <n v="85.2"/>
    <n v="0"/>
    <n v="426"/>
    <n v="340.8"/>
    <x v="3"/>
    <x v="0"/>
    <x v="1"/>
    <n v="61"/>
    <n v="5"/>
  </r>
  <r>
    <x v="1396"/>
    <x v="103"/>
    <x v="3"/>
    <n v="4"/>
    <n v="14"/>
    <s v="Monday"/>
    <x v="7"/>
    <x v="3"/>
    <x v="3"/>
    <s v="Veg Momos"/>
    <x v="1"/>
    <n v="1"/>
    <n v="725"/>
    <n v="181.25"/>
    <n v="70"/>
    <n v="725"/>
    <n v="613.75"/>
    <x v="1"/>
    <x v="0"/>
    <x v="1"/>
    <n v="58"/>
    <n v="5"/>
  </r>
  <r>
    <x v="1397"/>
    <x v="103"/>
    <x v="3"/>
    <n v="4"/>
    <n v="14"/>
    <s v="Monday"/>
    <x v="1"/>
    <x v="10"/>
    <x v="9"/>
    <s v="Pasta"/>
    <x v="1"/>
    <n v="1"/>
    <n v="324"/>
    <n v="64.8"/>
    <n v="0"/>
    <n v="324"/>
    <n v="259.2"/>
    <x v="1"/>
    <x v="2"/>
    <x v="0"/>
    <n v="58"/>
    <m/>
  </r>
  <r>
    <x v="1398"/>
    <x v="103"/>
    <x v="3"/>
    <n v="4"/>
    <n v="14"/>
    <s v="Monday"/>
    <x v="5"/>
    <x v="10"/>
    <x v="4"/>
    <s v="Idli Sambar"/>
    <x v="0"/>
    <n v="2"/>
    <n v="162"/>
    <n v="16.2"/>
    <n v="0"/>
    <n v="324"/>
    <n v="307.8"/>
    <x v="1"/>
    <x v="0"/>
    <x v="1"/>
    <n v="59"/>
    <n v="5"/>
  </r>
  <r>
    <x v="1399"/>
    <x v="103"/>
    <x v="3"/>
    <n v="4"/>
    <n v="14"/>
    <s v="Monday"/>
    <x v="9"/>
    <x v="6"/>
    <x v="7"/>
    <s v="Idli Sambar"/>
    <x v="0"/>
    <n v="1"/>
    <n v="480"/>
    <n v="72"/>
    <n v="30"/>
    <n v="480"/>
    <n v="438"/>
    <x v="1"/>
    <x v="0"/>
    <x v="0"/>
    <n v="59"/>
    <n v="4.8"/>
  </r>
  <r>
    <x v="1400"/>
    <x v="103"/>
    <x v="3"/>
    <n v="4"/>
    <n v="14"/>
    <s v="Monday"/>
    <x v="5"/>
    <x v="6"/>
    <x v="6"/>
    <s v="Fried Rice"/>
    <x v="1"/>
    <n v="2"/>
    <n v="562"/>
    <n v="56.2"/>
    <n v="20"/>
    <n v="1124"/>
    <n v="1087.8"/>
    <x v="4"/>
    <x v="0"/>
    <x v="0"/>
    <n v="70"/>
    <n v="3.7"/>
  </r>
  <r>
    <x v="1401"/>
    <x v="103"/>
    <x v="3"/>
    <n v="4"/>
    <n v="14"/>
    <s v="Monday"/>
    <x v="4"/>
    <x v="4"/>
    <x v="5"/>
    <s v="Veg Burger"/>
    <x v="2"/>
    <n v="2"/>
    <n v="812"/>
    <n v="40.6"/>
    <n v="0"/>
    <n v="1624"/>
    <n v="1583.4"/>
    <x v="0"/>
    <x v="0"/>
    <x v="1"/>
    <n v="62"/>
    <n v="3.8"/>
  </r>
  <r>
    <x v="1402"/>
    <x v="103"/>
    <x v="3"/>
    <n v="4"/>
    <n v="14"/>
    <s v="Monday"/>
    <x v="1"/>
    <x v="8"/>
    <x v="7"/>
    <s v="Veg Biryani"/>
    <x v="3"/>
    <n v="1"/>
    <n v="587"/>
    <n v="29.35"/>
    <n v="30"/>
    <n v="587"/>
    <n v="587.65"/>
    <x v="1"/>
    <x v="0"/>
    <x v="0"/>
    <n v="35"/>
    <n v="4.5999999999999996"/>
  </r>
  <r>
    <x v="1403"/>
    <x v="103"/>
    <x v="3"/>
    <n v="4"/>
    <n v="14"/>
    <s v="Monday"/>
    <x v="4"/>
    <x v="7"/>
    <x v="1"/>
    <s v="Chicken Pizza"/>
    <x v="2"/>
    <n v="1"/>
    <n v="500"/>
    <n v="0"/>
    <n v="20"/>
    <n v="500"/>
    <n v="520"/>
    <x v="2"/>
    <x v="0"/>
    <x v="1"/>
    <n v="45"/>
    <n v="4.4000000000000004"/>
  </r>
  <r>
    <x v="1404"/>
    <x v="103"/>
    <x v="3"/>
    <n v="4"/>
    <n v="14"/>
    <s v="Monday"/>
    <x v="5"/>
    <x v="7"/>
    <x v="9"/>
    <s v="Paneer Butter Masala"/>
    <x v="2"/>
    <n v="2"/>
    <n v="152"/>
    <n v="7.6"/>
    <n v="60"/>
    <n v="304"/>
    <n v="356.4"/>
    <x v="0"/>
    <x v="0"/>
    <x v="1"/>
    <n v="61"/>
    <n v="4.3"/>
  </r>
  <r>
    <x v="1405"/>
    <x v="103"/>
    <x v="3"/>
    <n v="4"/>
    <n v="14"/>
    <s v="Monday"/>
    <x v="0"/>
    <x v="5"/>
    <x v="5"/>
    <s v="Veg Burger"/>
    <x v="1"/>
    <n v="1"/>
    <n v="624"/>
    <n v="62.4"/>
    <n v="50"/>
    <n v="624"/>
    <n v="611.6"/>
    <x v="1"/>
    <x v="0"/>
    <x v="0"/>
    <n v="18"/>
    <n v="4.5"/>
  </r>
  <r>
    <x v="1406"/>
    <x v="103"/>
    <x v="3"/>
    <n v="4"/>
    <n v="14"/>
    <s v="Monday"/>
    <x v="3"/>
    <x v="3"/>
    <x v="3"/>
    <s v="Paneer Butter Masala"/>
    <x v="1"/>
    <n v="2"/>
    <n v="176"/>
    <n v="0"/>
    <n v="30"/>
    <n v="352"/>
    <n v="382"/>
    <x v="1"/>
    <x v="0"/>
    <x v="1"/>
    <n v="45"/>
    <n v="4.3"/>
  </r>
  <r>
    <x v="1407"/>
    <x v="103"/>
    <x v="3"/>
    <n v="4"/>
    <n v="14"/>
    <s v="Monday"/>
    <x v="5"/>
    <x v="11"/>
    <x v="2"/>
    <s v="Veg Burger"/>
    <x v="1"/>
    <n v="1"/>
    <n v="862"/>
    <n v="129.30000000000001"/>
    <n v="30"/>
    <n v="862"/>
    <n v="762.7"/>
    <x v="2"/>
    <x v="0"/>
    <x v="1"/>
    <n v="27"/>
    <n v="5"/>
  </r>
  <r>
    <x v="1408"/>
    <x v="103"/>
    <x v="3"/>
    <n v="4"/>
    <n v="14"/>
    <s v="Monday"/>
    <x v="3"/>
    <x v="13"/>
    <x v="9"/>
    <s v="Pasta"/>
    <x v="1"/>
    <n v="2"/>
    <n v="286"/>
    <n v="0"/>
    <n v="40"/>
    <n v="572"/>
    <n v="612"/>
    <x v="2"/>
    <x v="3"/>
    <x v="1"/>
    <n v="32"/>
    <m/>
  </r>
  <r>
    <x v="1409"/>
    <x v="103"/>
    <x v="3"/>
    <n v="4"/>
    <n v="14"/>
    <s v="Monday"/>
    <x v="4"/>
    <x v="1"/>
    <x v="9"/>
    <s v="Chicken Burger"/>
    <x v="3"/>
    <n v="1"/>
    <n v="270"/>
    <n v="67.5"/>
    <n v="50"/>
    <n v="270"/>
    <n v="252.5"/>
    <x v="4"/>
    <x v="2"/>
    <x v="0"/>
    <n v="57"/>
    <m/>
  </r>
  <r>
    <x v="1410"/>
    <x v="103"/>
    <x v="3"/>
    <n v="4"/>
    <n v="14"/>
    <s v="Monday"/>
    <x v="1"/>
    <x v="1"/>
    <x v="3"/>
    <s v="Cold Coffee"/>
    <x v="2"/>
    <n v="2"/>
    <n v="154"/>
    <n v="7.7"/>
    <n v="0"/>
    <n v="308"/>
    <n v="300.3"/>
    <x v="3"/>
    <x v="3"/>
    <x v="1"/>
    <n v="47"/>
    <m/>
  </r>
  <r>
    <x v="1411"/>
    <x v="103"/>
    <x v="3"/>
    <n v="4"/>
    <n v="14"/>
    <s v="Monday"/>
    <x v="7"/>
    <x v="9"/>
    <x v="2"/>
    <s v="Pasta"/>
    <x v="1"/>
    <n v="1"/>
    <n v="443"/>
    <n v="44.3"/>
    <n v="40"/>
    <n v="443"/>
    <n v="438.7"/>
    <x v="0"/>
    <x v="0"/>
    <x v="1"/>
    <n v="45"/>
    <n v="3.7"/>
  </r>
  <r>
    <x v="1412"/>
    <x v="103"/>
    <x v="3"/>
    <n v="4"/>
    <n v="14"/>
    <s v="Monday"/>
    <x v="1"/>
    <x v="13"/>
    <x v="8"/>
    <s v="Paneer Butter Masala"/>
    <x v="1"/>
    <n v="1"/>
    <n v="437"/>
    <n v="65.55"/>
    <n v="70"/>
    <n v="437"/>
    <n v="441.45"/>
    <x v="2"/>
    <x v="3"/>
    <x v="1"/>
    <n v="58"/>
    <m/>
  </r>
  <r>
    <x v="1413"/>
    <x v="103"/>
    <x v="3"/>
    <n v="4"/>
    <n v="14"/>
    <s v="Monday"/>
    <x v="5"/>
    <x v="9"/>
    <x v="9"/>
    <s v="Paneer Butter Masala"/>
    <x v="1"/>
    <n v="2"/>
    <n v="607"/>
    <n v="91.05"/>
    <n v="40"/>
    <n v="1214"/>
    <n v="1162.95"/>
    <x v="2"/>
    <x v="2"/>
    <x v="1"/>
    <n v="40"/>
    <m/>
  </r>
  <r>
    <x v="1414"/>
    <x v="103"/>
    <x v="3"/>
    <n v="4"/>
    <n v="14"/>
    <s v="Monday"/>
    <x v="3"/>
    <x v="8"/>
    <x v="6"/>
    <s v="Idli Sambar"/>
    <x v="1"/>
    <n v="2"/>
    <n v="262"/>
    <n v="26.2"/>
    <n v="30"/>
    <n v="524"/>
    <n v="527.79999999999995"/>
    <x v="0"/>
    <x v="3"/>
    <x v="1"/>
    <n v="48"/>
    <m/>
  </r>
  <r>
    <x v="1415"/>
    <x v="103"/>
    <x v="3"/>
    <n v="4"/>
    <n v="14"/>
    <s v="Monday"/>
    <x v="2"/>
    <x v="1"/>
    <x v="9"/>
    <s v="Chicken Momos"/>
    <x v="1"/>
    <n v="1"/>
    <n v="310"/>
    <n v="77.5"/>
    <n v="50"/>
    <n v="310"/>
    <n v="282.5"/>
    <x v="1"/>
    <x v="0"/>
    <x v="1"/>
    <n v="60"/>
    <n v="3.9"/>
  </r>
  <r>
    <x v="1416"/>
    <x v="104"/>
    <x v="3"/>
    <n v="4"/>
    <n v="15"/>
    <s v="Tuesday"/>
    <x v="4"/>
    <x v="2"/>
    <x v="9"/>
    <s v="Chicken Biryani"/>
    <x v="1"/>
    <n v="3"/>
    <n v="276"/>
    <n v="27.6"/>
    <n v="30"/>
    <n v="828"/>
    <n v="830.4"/>
    <x v="1"/>
    <x v="0"/>
    <x v="1"/>
    <n v="31"/>
    <n v="4.5"/>
  </r>
  <r>
    <x v="1417"/>
    <x v="104"/>
    <x v="3"/>
    <n v="4"/>
    <n v="15"/>
    <s v="Tuesday"/>
    <x v="3"/>
    <x v="1"/>
    <x v="3"/>
    <s v="Chicken Momos"/>
    <x v="2"/>
    <n v="2"/>
    <n v="298"/>
    <n v="44.7"/>
    <n v="0"/>
    <n v="596"/>
    <n v="551.29999999999995"/>
    <x v="4"/>
    <x v="2"/>
    <x v="1"/>
    <n v="63"/>
    <m/>
  </r>
  <r>
    <x v="1418"/>
    <x v="104"/>
    <x v="3"/>
    <n v="4"/>
    <n v="15"/>
    <s v="Tuesday"/>
    <x v="4"/>
    <x v="6"/>
    <x v="5"/>
    <s v="Cold Coffee"/>
    <x v="2"/>
    <n v="1"/>
    <n v="416"/>
    <n v="83.2"/>
    <n v="0"/>
    <n v="416"/>
    <n v="332.8"/>
    <x v="4"/>
    <x v="0"/>
    <x v="0"/>
    <n v="37"/>
    <n v="3.3"/>
  </r>
  <r>
    <x v="1419"/>
    <x v="104"/>
    <x v="3"/>
    <n v="4"/>
    <n v="15"/>
    <s v="Tuesday"/>
    <x v="5"/>
    <x v="9"/>
    <x v="7"/>
    <s v="Veg Momos"/>
    <x v="1"/>
    <n v="2"/>
    <n v="141"/>
    <n v="35.25"/>
    <n v="20"/>
    <n v="282"/>
    <n v="266.75"/>
    <x v="2"/>
    <x v="2"/>
    <x v="1"/>
    <n v="64"/>
    <m/>
  </r>
  <r>
    <x v="1420"/>
    <x v="104"/>
    <x v="3"/>
    <n v="4"/>
    <n v="15"/>
    <s v="Tuesday"/>
    <x v="0"/>
    <x v="10"/>
    <x v="9"/>
    <s v="Cold Coffee"/>
    <x v="2"/>
    <n v="2"/>
    <n v="459"/>
    <n v="45.9"/>
    <n v="40"/>
    <n v="918"/>
    <n v="912.1"/>
    <x v="0"/>
    <x v="0"/>
    <x v="1"/>
    <n v="56"/>
    <n v="4.5999999999999996"/>
  </r>
  <r>
    <x v="1421"/>
    <x v="104"/>
    <x v="3"/>
    <n v="4"/>
    <n v="15"/>
    <s v="Tuesday"/>
    <x v="9"/>
    <x v="3"/>
    <x v="3"/>
    <s v="Veg Biryani"/>
    <x v="2"/>
    <n v="2"/>
    <n v="875"/>
    <n v="0"/>
    <n v="30"/>
    <n v="1750"/>
    <n v="1780"/>
    <x v="1"/>
    <x v="0"/>
    <x v="1"/>
    <n v="63"/>
    <n v="4.7"/>
  </r>
  <r>
    <x v="1422"/>
    <x v="104"/>
    <x v="3"/>
    <n v="4"/>
    <n v="15"/>
    <s v="Tuesday"/>
    <x v="4"/>
    <x v="0"/>
    <x v="6"/>
    <s v="Chicken Biryani"/>
    <x v="1"/>
    <n v="1"/>
    <n v="852"/>
    <n v="42.6"/>
    <n v="20"/>
    <n v="852"/>
    <n v="829.4"/>
    <x v="4"/>
    <x v="0"/>
    <x v="1"/>
    <n v="54"/>
    <n v="3.6"/>
  </r>
  <r>
    <x v="1423"/>
    <x v="104"/>
    <x v="3"/>
    <n v="4"/>
    <n v="15"/>
    <s v="Tuesday"/>
    <x v="9"/>
    <x v="5"/>
    <x v="9"/>
    <s v="Veg Pizza"/>
    <x v="1"/>
    <n v="1"/>
    <n v="663"/>
    <n v="33.15"/>
    <n v="30"/>
    <n v="663"/>
    <n v="659.85"/>
    <x v="2"/>
    <x v="0"/>
    <x v="1"/>
    <n v="64"/>
    <n v="5"/>
  </r>
  <r>
    <x v="1424"/>
    <x v="105"/>
    <x v="3"/>
    <n v="4"/>
    <n v="16"/>
    <s v="Wednesday"/>
    <x v="1"/>
    <x v="14"/>
    <x v="6"/>
    <s v="French Fries"/>
    <x v="2"/>
    <n v="1"/>
    <n v="559"/>
    <n v="55.9"/>
    <n v="60"/>
    <n v="559"/>
    <n v="563.1"/>
    <x v="1"/>
    <x v="1"/>
    <x v="0"/>
    <n v="68"/>
    <m/>
  </r>
  <r>
    <x v="1425"/>
    <x v="105"/>
    <x v="3"/>
    <n v="4"/>
    <n v="16"/>
    <s v="Wednesday"/>
    <x v="4"/>
    <x v="2"/>
    <x v="1"/>
    <s v="Chicken Pizza"/>
    <x v="1"/>
    <n v="2"/>
    <n v="232"/>
    <n v="23.2"/>
    <n v="70"/>
    <n v="464"/>
    <n v="510.8"/>
    <x v="1"/>
    <x v="0"/>
    <x v="0"/>
    <n v="29"/>
    <n v="3.6"/>
  </r>
  <r>
    <x v="1426"/>
    <x v="105"/>
    <x v="3"/>
    <n v="4"/>
    <n v="16"/>
    <s v="Wednesday"/>
    <x v="7"/>
    <x v="14"/>
    <x v="8"/>
    <s v="Chicken Biryani"/>
    <x v="1"/>
    <n v="2"/>
    <n v="262"/>
    <n v="13.1"/>
    <n v="40"/>
    <n v="524"/>
    <n v="550.9"/>
    <x v="0"/>
    <x v="0"/>
    <x v="0"/>
    <n v="34"/>
    <n v="3.9"/>
  </r>
  <r>
    <x v="1427"/>
    <x v="105"/>
    <x v="3"/>
    <n v="4"/>
    <n v="16"/>
    <s v="Wednesday"/>
    <x v="7"/>
    <x v="5"/>
    <x v="3"/>
    <s v="Chicken Pizza"/>
    <x v="1"/>
    <n v="1"/>
    <n v="162"/>
    <n v="32.4"/>
    <n v="30"/>
    <n v="162"/>
    <n v="159.6"/>
    <x v="4"/>
    <x v="0"/>
    <x v="0"/>
    <n v="50"/>
    <n v="4.2"/>
  </r>
  <r>
    <x v="1428"/>
    <x v="105"/>
    <x v="3"/>
    <n v="4"/>
    <n v="16"/>
    <s v="Wednesday"/>
    <x v="2"/>
    <x v="11"/>
    <x v="8"/>
    <s v="Fried Rice"/>
    <x v="1"/>
    <n v="1"/>
    <n v="833"/>
    <n v="41.65"/>
    <n v="30"/>
    <n v="833"/>
    <n v="821.35"/>
    <x v="1"/>
    <x v="0"/>
    <x v="0"/>
    <n v="52"/>
    <n v="4"/>
  </r>
  <r>
    <x v="1429"/>
    <x v="105"/>
    <x v="3"/>
    <n v="4"/>
    <n v="16"/>
    <s v="Wednesday"/>
    <x v="7"/>
    <x v="4"/>
    <x v="8"/>
    <s v="Chocolate Cake"/>
    <x v="1"/>
    <n v="2"/>
    <n v="190"/>
    <n v="19"/>
    <n v="60"/>
    <n v="380"/>
    <n v="421"/>
    <x v="1"/>
    <x v="0"/>
    <x v="0"/>
    <n v="53"/>
    <n v="3.1"/>
  </r>
  <r>
    <x v="1430"/>
    <x v="105"/>
    <x v="3"/>
    <n v="4"/>
    <n v="16"/>
    <s v="Wednesday"/>
    <x v="5"/>
    <x v="5"/>
    <x v="8"/>
    <s v="Paneer Butter Masala"/>
    <x v="1"/>
    <n v="2"/>
    <n v="825"/>
    <n v="41.25"/>
    <n v="60"/>
    <n v="1650"/>
    <n v="1668.75"/>
    <x v="3"/>
    <x v="0"/>
    <x v="1"/>
    <n v="53"/>
    <n v="3.5"/>
  </r>
  <r>
    <x v="1431"/>
    <x v="105"/>
    <x v="3"/>
    <n v="4"/>
    <n v="16"/>
    <s v="Wednesday"/>
    <x v="1"/>
    <x v="0"/>
    <x v="0"/>
    <s v="Paneer Butter Masala"/>
    <x v="3"/>
    <n v="1"/>
    <n v="136"/>
    <n v="27.2"/>
    <n v="50"/>
    <n v="136"/>
    <n v="158.80000000000001"/>
    <x v="4"/>
    <x v="2"/>
    <x v="0"/>
    <n v="69"/>
    <m/>
  </r>
  <r>
    <x v="1432"/>
    <x v="105"/>
    <x v="3"/>
    <n v="4"/>
    <n v="16"/>
    <s v="Wednesday"/>
    <x v="0"/>
    <x v="14"/>
    <x v="7"/>
    <s v="Idli Sambar"/>
    <x v="1"/>
    <n v="1"/>
    <n v="621"/>
    <n v="155.25"/>
    <n v="30"/>
    <n v="621"/>
    <n v="495.75"/>
    <x v="3"/>
    <x v="0"/>
    <x v="0"/>
    <n v="39"/>
    <n v="3"/>
  </r>
  <r>
    <x v="1433"/>
    <x v="105"/>
    <x v="3"/>
    <n v="4"/>
    <n v="16"/>
    <s v="Wednesday"/>
    <x v="0"/>
    <x v="10"/>
    <x v="4"/>
    <s v="Veg Pizza"/>
    <x v="1"/>
    <n v="1"/>
    <n v="292"/>
    <n v="14.6"/>
    <n v="60"/>
    <n v="292"/>
    <n v="337.4"/>
    <x v="1"/>
    <x v="0"/>
    <x v="0"/>
    <n v="27"/>
    <n v="3.7"/>
  </r>
  <r>
    <x v="1434"/>
    <x v="105"/>
    <x v="3"/>
    <n v="4"/>
    <n v="16"/>
    <s v="Wednesday"/>
    <x v="3"/>
    <x v="9"/>
    <x v="4"/>
    <s v="Fried Rice"/>
    <x v="1"/>
    <n v="1"/>
    <n v="463"/>
    <n v="46.3"/>
    <n v="60"/>
    <n v="463"/>
    <n v="476.7"/>
    <x v="0"/>
    <x v="0"/>
    <x v="1"/>
    <n v="24"/>
    <n v="4.9000000000000004"/>
  </r>
  <r>
    <x v="1435"/>
    <x v="106"/>
    <x v="3"/>
    <n v="4"/>
    <n v="17"/>
    <s v="Thursday"/>
    <x v="5"/>
    <x v="13"/>
    <x v="8"/>
    <s v="Cold Coffee"/>
    <x v="2"/>
    <n v="1"/>
    <n v="660"/>
    <n v="66"/>
    <n v="40"/>
    <n v="660"/>
    <n v="634"/>
    <x v="1"/>
    <x v="0"/>
    <x v="1"/>
    <n v="46"/>
    <n v="4.4000000000000004"/>
  </r>
  <r>
    <x v="1436"/>
    <x v="106"/>
    <x v="3"/>
    <n v="4"/>
    <n v="17"/>
    <s v="Thursday"/>
    <x v="6"/>
    <x v="3"/>
    <x v="1"/>
    <s v="Chicken Burger"/>
    <x v="1"/>
    <n v="1"/>
    <n v="731"/>
    <n v="146.19999999999999"/>
    <n v="30"/>
    <n v="731"/>
    <n v="614.79999999999995"/>
    <x v="2"/>
    <x v="1"/>
    <x v="0"/>
    <n v="47"/>
    <m/>
  </r>
  <r>
    <x v="1437"/>
    <x v="106"/>
    <x v="3"/>
    <n v="4"/>
    <n v="17"/>
    <s v="Thursday"/>
    <x v="1"/>
    <x v="2"/>
    <x v="0"/>
    <s v="Chicken Pizza"/>
    <x v="1"/>
    <n v="3"/>
    <n v="547"/>
    <n v="109.4"/>
    <n v="60"/>
    <n v="1641"/>
    <n v="1591.6"/>
    <x v="1"/>
    <x v="0"/>
    <x v="1"/>
    <n v="63"/>
    <n v="4.5"/>
  </r>
  <r>
    <x v="1438"/>
    <x v="106"/>
    <x v="3"/>
    <n v="4"/>
    <n v="17"/>
    <s v="Thursday"/>
    <x v="1"/>
    <x v="2"/>
    <x v="9"/>
    <s v="Pasta"/>
    <x v="1"/>
    <n v="2"/>
    <n v="859"/>
    <n v="85.9"/>
    <n v="0"/>
    <n v="1718"/>
    <n v="1632.1"/>
    <x v="1"/>
    <x v="0"/>
    <x v="1"/>
    <n v="49"/>
    <n v="5"/>
  </r>
  <r>
    <x v="1439"/>
    <x v="106"/>
    <x v="3"/>
    <n v="4"/>
    <n v="17"/>
    <s v="Thursday"/>
    <x v="3"/>
    <x v="12"/>
    <x v="4"/>
    <s v="Veg Pizza"/>
    <x v="1"/>
    <n v="1"/>
    <n v="256"/>
    <n v="12.8"/>
    <n v="30"/>
    <n v="256"/>
    <n v="273.2"/>
    <x v="2"/>
    <x v="0"/>
    <x v="1"/>
    <n v="46"/>
    <n v="4"/>
  </r>
  <r>
    <x v="1440"/>
    <x v="106"/>
    <x v="3"/>
    <n v="4"/>
    <n v="17"/>
    <s v="Thursday"/>
    <x v="7"/>
    <x v="14"/>
    <x v="1"/>
    <s v="Fried Rice"/>
    <x v="1"/>
    <n v="3"/>
    <n v="877"/>
    <n v="87.7"/>
    <n v="60"/>
    <n v="2631"/>
    <n v="2603.3000000000002"/>
    <x v="0"/>
    <x v="0"/>
    <x v="1"/>
    <n v="23"/>
    <n v="5"/>
  </r>
  <r>
    <x v="1441"/>
    <x v="106"/>
    <x v="3"/>
    <n v="4"/>
    <n v="17"/>
    <s v="Thursday"/>
    <x v="5"/>
    <x v="4"/>
    <x v="1"/>
    <s v="Paneer Butter Masala"/>
    <x v="2"/>
    <n v="1"/>
    <n v="147"/>
    <n v="22.05"/>
    <n v="20"/>
    <n v="147"/>
    <n v="144.94999999999999"/>
    <x v="4"/>
    <x v="0"/>
    <x v="0"/>
    <n v="22"/>
    <n v="4.3"/>
  </r>
  <r>
    <x v="1442"/>
    <x v="106"/>
    <x v="3"/>
    <n v="4"/>
    <n v="17"/>
    <s v="Thursday"/>
    <x v="4"/>
    <x v="3"/>
    <x v="5"/>
    <s v="Chicken Momos"/>
    <x v="1"/>
    <n v="1"/>
    <n v="128"/>
    <n v="0"/>
    <n v="0"/>
    <n v="128"/>
    <n v="128"/>
    <x v="0"/>
    <x v="1"/>
    <x v="0"/>
    <n v="18"/>
    <m/>
  </r>
  <r>
    <x v="1443"/>
    <x v="106"/>
    <x v="3"/>
    <n v="4"/>
    <n v="17"/>
    <s v="Thursday"/>
    <x v="3"/>
    <x v="11"/>
    <x v="5"/>
    <s v="Chicken Momos"/>
    <x v="2"/>
    <n v="1"/>
    <n v="381"/>
    <n v="76.2"/>
    <n v="0"/>
    <n v="381"/>
    <n v="304.8"/>
    <x v="0"/>
    <x v="0"/>
    <x v="0"/>
    <n v="32"/>
    <n v="3.7"/>
  </r>
  <r>
    <x v="1444"/>
    <x v="106"/>
    <x v="3"/>
    <n v="4"/>
    <n v="17"/>
    <s v="Thursday"/>
    <x v="4"/>
    <x v="7"/>
    <x v="7"/>
    <s v="Cold Coffee"/>
    <x v="1"/>
    <n v="1"/>
    <n v="658"/>
    <n v="131.6"/>
    <n v="60"/>
    <n v="658"/>
    <n v="586.4"/>
    <x v="1"/>
    <x v="0"/>
    <x v="1"/>
    <n v="61"/>
    <n v="4.5"/>
  </r>
  <r>
    <x v="1445"/>
    <x v="106"/>
    <x v="3"/>
    <n v="4"/>
    <n v="17"/>
    <s v="Thursday"/>
    <x v="5"/>
    <x v="12"/>
    <x v="5"/>
    <s v="Chicken Pizza"/>
    <x v="1"/>
    <n v="3"/>
    <n v="348"/>
    <n v="17.399999999999999"/>
    <n v="60"/>
    <n v="1044"/>
    <n v="1086.5999999999999"/>
    <x v="0"/>
    <x v="0"/>
    <x v="0"/>
    <n v="65"/>
    <n v="3.5"/>
  </r>
  <r>
    <x v="1446"/>
    <x v="106"/>
    <x v="3"/>
    <n v="4"/>
    <n v="17"/>
    <s v="Thursday"/>
    <x v="9"/>
    <x v="8"/>
    <x v="1"/>
    <s v="Chicken Burger"/>
    <x v="0"/>
    <n v="1"/>
    <n v="322"/>
    <n v="16.100000000000001"/>
    <n v="40"/>
    <n v="322"/>
    <n v="345.9"/>
    <x v="1"/>
    <x v="0"/>
    <x v="0"/>
    <n v="66"/>
    <n v="4"/>
  </r>
  <r>
    <x v="1447"/>
    <x v="106"/>
    <x v="3"/>
    <n v="4"/>
    <n v="17"/>
    <s v="Thursday"/>
    <x v="4"/>
    <x v="0"/>
    <x v="2"/>
    <s v="Chicken Momos"/>
    <x v="3"/>
    <n v="1"/>
    <n v="739"/>
    <n v="0"/>
    <n v="60"/>
    <n v="739"/>
    <n v="799"/>
    <x v="0"/>
    <x v="0"/>
    <x v="1"/>
    <n v="49"/>
    <n v="3.9"/>
  </r>
  <r>
    <x v="1448"/>
    <x v="106"/>
    <x v="3"/>
    <n v="4"/>
    <n v="17"/>
    <s v="Thursday"/>
    <x v="9"/>
    <x v="0"/>
    <x v="1"/>
    <s v="Chicken Pizza"/>
    <x v="3"/>
    <n v="1"/>
    <n v="245"/>
    <n v="0"/>
    <n v="40"/>
    <n v="245"/>
    <n v="285"/>
    <x v="4"/>
    <x v="0"/>
    <x v="0"/>
    <n v="67"/>
    <n v="3.5"/>
  </r>
  <r>
    <x v="1449"/>
    <x v="107"/>
    <x v="3"/>
    <n v="4"/>
    <n v="18"/>
    <s v="Friday"/>
    <x v="5"/>
    <x v="11"/>
    <x v="3"/>
    <s v="Veg Burger"/>
    <x v="1"/>
    <n v="2"/>
    <n v="454"/>
    <n v="0"/>
    <n v="70"/>
    <n v="908"/>
    <n v="978"/>
    <x v="0"/>
    <x v="0"/>
    <x v="0"/>
    <n v="65"/>
    <n v="4.2"/>
  </r>
  <r>
    <x v="1450"/>
    <x v="107"/>
    <x v="3"/>
    <n v="4"/>
    <n v="18"/>
    <s v="Friday"/>
    <x v="3"/>
    <x v="0"/>
    <x v="1"/>
    <s v="Pasta"/>
    <x v="1"/>
    <n v="1"/>
    <n v="636"/>
    <n v="95.4"/>
    <n v="20"/>
    <n v="636"/>
    <n v="560.6"/>
    <x v="0"/>
    <x v="2"/>
    <x v="0"/>
    <n v="36"/>
    <m/>
  </r>
  <r>
    <x v="1451"/>
    <x v="107"/>
    <x v="3"/>
    <n v="4"/>
    <n v="18"/>
    <s v="Friday"/>
    <x v="1"/>
    <x v="11"/>
    <x v="2"/>
    <s v="Cold Coffee"/>
    <x v="1"/>
    <n v="2"/>
    <n v="626"/>
    <n v="93.9"/>
    <n v="60"/>
    <n v="1252"/>
    <n v="1218.0999999999999"/>
    <x v="4"/>
    <x v="0"/>
    <x v="1"/>
    <n v="59"/>
    <n v="4.7"/>
  </r>
  <r>
    <x v="1452"/>
    <x v="107"/>
    <x v="3"/>
    <n v="4"/>
    <n v="18"/>
    <s v="Friday"/>
    <x v="2"/>
    <x v="8"/>
    <x v="5"/>
    <s v="Paneer Butter Masala"/>
    <x v="1"/>
    <n v="2"/>
    <n v="769"/>
    <n v="153.80000000000001"/>
    <n v="70"/>
    <n v="1538"/>
    <n v="1454.2"/>
    <x v="1"/>
    <x v="0"/>
    <x v="1"/>
    <n v="35"/>
    <n v="4.0999999999999996"/>
  </r>
  <r>
    <x v="1453"/>
    <x v="107"/>
    <x v="3"/>
    <n v="4"/>
    <n v="18"/>
    <s v="Friday"/>
    <x v="6"/>
    <x v="6"/>
    <x v="8"/>
    <s v="Cold Coffee"/>
    <x v="1"/>
    <n v="1"/>
    <n v="207"/>
    <n v="51.75"/>
    <n v="30"/>
    <n v="207"/>
    <n v="185.25"/>
    <x v="3"/>
    <x v="0"/>
    <x v="1"/>
    <n v="30"/>
    <n v="4.7"/>
  </r>
  <r>
    <x v="1454"/>
    <x v="107"/>
    <x v="3"/>
    <n v="4"/>
    <n v="18"/>
    <s v="Friday"/>
    <x v="3"/>
    <x v="11"/>
    <x v="5"/>
    <s v="Chicken Biryani"/>
    <x v="1"/>
    <n v="1"/>
    <n v="674"/>
    <n v="101.1"/>
    <n v="40"/>
    <n v="674"/>
    <n v="612.9"/>
    <x v="3"/>
    <x v="0"/>
    <x v="0"/>
    <n v="20"/>
    <n v="4.7"/>
  </r>
  <r>
    <x v="1455"/>
    <x v="107"/>
    <x v="3"/>
    <n v="4"/>
    <n v="18"/>
    <s v="Friday"/>
    <x v="5"/>
    <x v="14"/>
    <x v="8"/>
    <s v="Chicken Biryani"/>
    <x v="0"/>
    <n v="1"/>
    <n v="410"/>
    <n v="61.5"/>
    <n v="20"/>
    <n v="410"/>
    <n v="368.5"/>
    <x v="1"/>
    <x v="1"/>
    <x v="1"/>
    <n v="29"/>
    <m/>
  </r>
  <r>
    <x v="1456"/>
    <x v="107"/>
    <x v="3"/>
    <n v="4"/>
    <n v="18"/>
    <s v="Friday"/>
    <x v="9"/>
    <x v="13"/>
    <x v="4"/>
    <s v="Chicken Momos"/>
    <x v="1"/>
    <n v="1"/>
    <n v="445"/>
    <n v="111.25"/>
    <n v="30"/>
    <n v="445"/>
    <n v="363.75"/>
    <x v="1"/>
    <x v="0"/>
    <x v="1"/>
    <n v="24"/>
    <n v="4.4000000000000004"/>
  </r>
  <r>
    <x v="1457"/>
    <x v="107"/>
    <x v="3"/>
    <n v="4"/>
    <n v="18"/>
    <s v="Friday"/>
    <x v="3"/>
    <x v="8"/>
    <x v="8"/>
    <s v="Pasta"/>
    <x v="1"/>
    <n v="1"/>
    <n v="363"/>
    <n v="0"/>
    <n v="20"/>
    <n v="363"/>
    <n v="383"/>
    <x v="1"/>
    <x v="0"/>
    <x v="1"/>
    <n v="32"/>
    <n v="4.3"/>
  </r>
  <r>
    <x v="1458"/>
    <x v="107"/>
    <x v="3"/>
    <n v="4"/>
    <n v="18"/>
    <s v="Friday"/>
    <x v="2"/>
    <x v="12"/>
    <x v="0"/>
    <s v="Chicken Momos"/>
    <x v="1"/>
    <n v="2"/>
    <n v="739"/>
    <n v="110.85"/>
    <n v="30"/>
    <n v="1478"/>
    <n v="1397.15"/>
    <x v="2"/>
    <x v="0"/>
    <x v="1"/>
    <n v="37"/>
    <n v="3.8"/>
  </r>
  <r>
    <x v="1459"/>
    <x v="107"/>
    <x v="3"/>
    <n v="4"/>
    <n v="18"/>
    <s v="Friday"/>
    <x v="4"/>
    <x v="11"/>
    <x v="0"/>
    <s v="Fried Rice"/>
    <x v="1"/>
    <n v="3"/>
    <n v="554"/>
    <n v="27.7"/>
    <n v="40"/>
    <n v="1662"/>
    <n v="1674.3"/>
    <x v="4"/>
    <x v="0"/>
    <x v="1"/>
    <n v="25"/>
    <n v="3.4"/>
  </r>
  <r>
    <x v="1460"/>
    <x v="107"/>
    <x v="3"/>
    <n v="4"/>
    <n v="18"/>
    <s v="Friday"/>
    <x v="6"/>
    <x v="11"/>
    <x v="5"/>
    <s v="Pasta"/>
    <x v="2"/>
    <n v="1"/>
    <n v="662"/>
    <n v="0"/>
    <n v="20"/>
    <n v="662"/>
    <n v="682"/>
    <x v="1"/>
    <x v="0"/>
    <x v="0"/>
    <n v="47"/>
    <n v="3.2"/>
  </r>
  <r>
    <x v="1461"/>
    <x v="107"/>
    <x v="3"/>
    <n v="4"/>
    <n v="18"/>
    <s v="Friday"/>
    <x v="5"/>
    <x v="0"/>
    <x v="6"/>
    <s v="Pasta"/>
    <x v="1"/>
    <n v="2"/>
    <n v="283"/>
    <n v="28.3"/>
    <n v="30"/>
    <n v="566"/>
    <n v="567.70000000000005"/>
    <x v="3"/>
    <x v="0"/>
    <x v="1"/>
    <n v="66"/>
    <n v="3.5"/>
  </r>
  <r>
    <x v="1462"/>
    <x v="107"/>
    <x v="3"/>
    <n v="4"/>
    <n v="18"/>
    <s v="Friday"/>
    <x v="6"/>
    <x v="9"/>
    <x v="2"/>
    <s v="Masala Dosa"/>
    <x v="1"/>
    <n v="1"/>
    <n v="419"/>
    <n v="62.85"/>
    <n v="30"/>
    <n v="419"/>
    <n v="386.15"/>
    <x v="4"/>
    <x v="0"/>
    <x v="0"/>
    <n v="51"/>
    <n v="3.6"/>
  </r>
  <r>
    <x v="1463"/>
    <x v="107"/>
    <x v="3"/>
    <n v="4"/>
    <n v="18"/>
    <s v="Friday"/>
    <x v="4"/>
    <x v="10"/>
    <x v="8"/>
    <s v="Veg Momos"/>
    <x v="2"/>
    <n v="1"/>
    <n v="243"/>
    <n v="12.15"/>
    <n v="60"/>
    <n v="243"/>
    <n v="290.85000000000002"/>
    <x v="0"/>
    <x v="0"/>
    <x v="0"/>
    <n v="56"/>
    <n v="4.8"/>
  </r>
  <r>
    <x v="1464"/>
    <x v="107"/>
    <x v="3"/>
    <n v="4"/>
    <n v="18"/>
    <s v="Friday"/>
    <x v="7"/>
    <x v="9"/>
    <x v="7"/>
    <s v="Paneer Butter Masala"/>
    <x v="0"/>
    <n v="1"/>
    <n v="868"/>
    <n v="86.8"/>
    <n v="0"/>
    <n v="868"/>
    <n v="781.2"/>
    <x v="4"/>
    <x v="2"/>
    <x v="1"/>
    <n v="39"/>
    <m/>
  </r>
  <r>
    <x v="1465"/>
    <x v="108"/>
    <x v="3"/>
    <n v="4"/>
    <n v="19"/>
    <s v="Saturday"/>
    <x v="5"/>
    <x v="7"/>
    <x v="0"/>
    <s v="Chicken Burger"/>
    <x v="1"/>
    <n v="1"/>
    <n v="209"/>
    <n v="31.35"/>
    <n v="0"/>
    <n v="209"/>
    <n v="177.65"/>
    <x v="2"/>
    <x v="1"/>
    <x v="0"/>
    <n v="45"/>
    <m/>
  </r>
  <r>
    <x v="1466"/>
    <x v="108"/>
    <x v="3"/>
    <n v="4"/>
    <n v="19"/>
    <s v="Saturday"/>
    <x v="1"/>
    <x v="9"/>
    <x v="6"/>
    <s v="Veg Burger"/>
    <x v="1"/>
    <n v="2"/>
    <n v="292"/>
    <n v="0"/>
    <n v="60"/>
    <n v="584"/>
    <n v="644"/>
    <x v="0"/>
    <x v="0"/>
    <x v="1"/>
    <n v="61"/>
    <n v="3.4"/>
  </r>
  <r>
    <x v="1467"/>
    <x v="108"/>
    <x v="3"/>
    <n v="4"/>
    <n v="19"/>
    <s v="Saturday"/>
    <x v="1"/>
    <x v="1"/>
    <x v="3"/>
    <s v="Idli Sambar"/>
    <x v="1"/>
    <n v="3"/>
    <n v="262"/>
    <n v="13.1"/>
    <n v="0"/>
    <n v="786"/>
    <n v="772.9"/>
    <x v="0"/>
    <x v="0"/>
    <x v="1"/>
    <n v="37"/>
    <n v="5"/>
  </r>
  <r>
    <x v="1468"/>
    <x v="108"/>
    <x v="3"/>
    <n v="4"/>
    <n v="19"/>
    <s v="Saturday"/>
    <x v="5"/>
    <x v="13"/>
    <x v="5"/>
    <s v="Veg Pizza"/>
    <x v="1"/>
    <n v="2"/>
    <n v="844"/>
    <n v="42.2"/>
    <n v="20"/>
    <n v="1688"/>
    <n v="1665.8"/>
    <x v="1"/>
    <x v="0"/>
    <x v="0"/>
    <n v="62"/>
    <n v="4.3"/>
  </r>
  <r>
    <x v="1469"/>
    <x v="108"/>
    <x v="3"/>
    <n v="4"/>
    <n v="19"/>
    <s v="Saturday"/>
    <x v="5"/>
    <x v="13"/>
    <x v="3"/>
    <s v="Pasta"/>
    <x v="1"/>
    <n v="1"/>
    <n v="560"/>
    <n v="112"/>
    <n v="40"/>
    <n v="560"/>
    <n v="488"/>
    <x v="1"/>
    <x v="0"/>
    <x v="0"/>
    <n v="65"/>
    <n v="3.3"/>
  </r>
  <r>
    <x v="1470"/>
    <x v="108"/>
    <x v="3"/>
    <n v="4"/>
    <n v="19"/>
    <s v="Saturday"/>
    <x v="9"/>
    <x v="1"/>
    <x v="2"/>
    <s v="Cold Coffee"/>
    <x v="1"/>
    <n v="3"/>
    <n v="365"/>
    <n v="36.5"/>
    <n v="30"/>
    <n v="1095"/>
    <n v="1088.5"/>
    <x v="2"/>
    <x v="3"/>
    <x v="0"/>
    <n v="67"/>
    <m/>
  </r>
  <r>
    <x v="1471"/>
    <x v="108"/>
    <x v="3"/>
    <n v="4"/>
    <n v="19"/>
    <s v="Saturday"/>
    <x v="2"/>
    <x v="7"/>
    <x v="8"/>
    <s v="Chocolate Cake"/>
    <x v="2"/>
    <n v="1"/>
    <n v="615"/>
    <n v="92.25"/>
    <n v="20"/>
    <n v="615"/>
    <n v="542.75"/>
    <x v="1"/>
    <x v="0"/>
    <x v="1"/>
    <n v="34"/>
    <n v="3.9"/>
  </r>
  <r>
    <x v="1472"/>
    <x v="108"/>
    <x v="3"/>
    <n v="4"/>
    <n v="19"/>
    <s v="Saturday"/>
    <x v="3"/>
    <x v="7"/>
    <x v="5"/>
    <s v="Chicken Pizza"/>
    <x v="1"/>
    <n v="1"/>
    <n v="685"/>
    <n v="68.5"/>
    <n v="60"/>
    <n v="685"/>
    <n v="676.5"/>
    <x v="1"/>
    <x v="0"/>
    <x v="1"/>
    <n v="65"/>
    <n v="4.2"/>
  </r>
  <r>
    <x v="1473"/>
    <x v="108"/>
    <x v="3"/>
    <n v="4"/>
    <n v="19"/>
    <s v="Saturday"/>
    <x v="3"/>
    <x v="8"/>
    <x v="4"/>
    <s v="Veg Burger"/>
    <x v="1"/>
    <n v="2"/>
    <n v="413"/>
    <n v="61.95"/>
    <n v="20"/>
    <n v="826"/>
    <n v="784.05"/>
    <x v="1"/>
    <x v="0"/>
    <x v="1"/>
    <n v="30"/>
    <n v="3.8"/>
  </r>
  <r>
    <x v="1474"/>
    <x v="108"/>
    <x v="3"/>
    <n v="4"/>
    <n v="19"/>
    <s v="Saturday"/>
    <x v="1"/>
    <x v="14"/>
    <x v="3"/>
    <s v="Cold Coffee"/>
    <x v="1"/>
    <n v="1"/>
    <n v="375"/>
    <n v="18.75"/>
    <n v="40"/>
    <n v="375"/>
    <n v="396.25"/>
    <x v="2"/>
    <x v="0"/>
    <x v="0"/>
    <n v="25"/>
    <n v="4.9000000000000004"/>
  </r>
  <r>
    <x v="1475"/>
    <x v="108"/>
    <x v="3"/>
    <n v="4"/>
    <n v="19"/>
    <s v="Saturday"/>
    <x v="7"/>
    <x v="10"/>
    <x v="7"/>
    <s v="Paneer Butter Masala"/>
    <x v="1"/>
    <n v="3"/>
    <n v="249"/>
    <n v="24.9"/>
    <n v="70"/>
    <n v="747"/>
    <n v="792.1"/>
    <x v="4"/>
    <x v="0"/>
    <x v="0"/>
    <n v="37"/>
    <n v="5"/>
  </r>
  <r>
    <x v="1476"/>
    <x v="108"/>
    <x v="3"/>
    <n v="4"/>
    <n v="19"/>
    <s v="Saturday"/>
    <x v="2"/>
    <x v="4"/>
    <x v="2"/>
    <s v="Fried Rice"/>
    <x v="1"/>
    <n v="1"/>
    <n v="426"/>
    <n v="21.3"/>
    <n v="50"/>
    <n v="426"/>
    <n v="454.7"/>
    <x v="2"/>
    <x v="0"/>
    <x v="1"/>
    <n v="60"/>
    <n v="4"/>
  </r>
  <r>
    <x v="1477"/>
    <x v="108"/>
    <x v="3"/>
    <n v="4"/>
    <n v="19"/>
    <s v="Saturday"/>
    <x v="1"/>
    <x v="12"/>
    <x v="1"/>
    <s v="Veg Momos"/>
    <x v="0"/>
    <n v="1"/>
    <n v="208"/>
    <n v="52"/>
    <n v="30"/>
    <n v="208"/>
    <n v="186"/>
    <x v="0"/>
    <x v="0"/>
    <x v="1"/>
    <n v="33"/>
    <n v="3.4"/>
  </r>
  <r>
    <x v="1478"/>
    <x v="108"/>
    <x v="3"/>
    <n v="4"/>
    <n v="19"/>
    <s v="Saturday"/>
    <x v="1"/>
    <x v="12"/>
    <x v="8"/>
    <s v="Veg Biryani"/>
    <x v="1"/>
    <n v="1"/>
    <n v="368"/>
    <n v="0"/>
    <n v="30"/>
    <n v="368"/>
    <n v="398"/>
    <x v="2"/>
    <x v="0"/>
    <x v="1"/>
    <n v="61"/>
    <n v="3.7"/>
  </r>
  <r>
    <x v="1479"/>
    <x v="108"/>
    <x v="3"/>
    <n v="4"/>
    <n v="19"/>
    <s v="Saturday"/>
    <x v="1"/>
    <x v="2"/>
    <x v="9"/>
    <s v="Chicken Biryani"/>
    <x v="1"/>
    <n v="1"/>
    <n v="536"/>
    <n v="26.8"/>
    <n v="0"/>
    <n v="536"/>
    <n v="509.2"/>
    <x v="1"/>
    <x v="0"/>
    <x v="1"/>
    <n v="62"/>
    <n v="4.0999999999999996"/>
  </r>
  <r>
    <x v="1480"/>
    <x v="108"/>
    <x v="3"/>
    <n v="4"/>
    <n v="19"/>
    <s v="Saturday"/>
    <x v="9"/>
    <x v="4"/>
    <x v="8"/>
    <s v="Cold Coffee"/>
    <x v="1"/>
    <n v="1"/>
    <n v="496"/>
    <n v="49.6"/>
    <n v="30"/>
    <n v="496"/>
    <n v="476.4"/>
    <x v="1"/>
    <x v="3"/>
    <x v="1"/>
    <n v="51"/>
    <m/>
  </r>
  <r>
    <x v="1481"/>
    <x v="108"/>
    <x v="3"/>
    <n v="4"/>
    <n v="19"/>
    <s v="Saturday"/>
    <x v="9"/>
    <x v="10"/>
    <x v="6"/>
    <s v="Veg Momos"/>
    <x v="1"/>
    <n v="1"/>
    <n v="743"/>
    <n v="37.15"/>
    <n v="30"/>
    <n v="743"/>
    <n v="735.85"/>
    <x v="1"/>
    <x v="0"/>
    <x v="1"/>
    <n v="55"/>
    <n v="4.7"/>
  </r>
  <r>
    <x v="1482"/>
    <x v="109"/>
    <x v="3"/>
    <n v="4"/>
    <n v="20"/>
    <s v="Sunday"/>
    <x v="0"/>
    <x v="12"/>
    <x v="0"/>
    <s v="Idli Sambar"/>
    <x v="1"/>
    <n v="2"/>
    <n v="426"/>
    <n v="85.2"/>
    <n v="60"/>
    <n v="852"/>
    <n v="826.8"/>
    <x v="4"/>
    <x v="0"/>
    <x v="1"/>
    <n v="69"/>
    <n v="3.1"/>
  </r>
  <r>
    <x v="1483"/>
    <x v="109"/>
    <x v="3"/>
    <n v="4"/>
    <n v="20"/>
    <s v="Sunday"/>
    <x v="3"/>
    <x v="14"/>
    <x v="2"/>
    <s v="Masala Dosa"/>
    <x v="1"/>
    <n v="1"/>
    <n v="779"/>
    <n v="77.900000000000006"/>
    <n v="40"/>
    <n v="779"/>
    <n v="741.1"/>
    <x v="2"/>
    <x v="0"/>
    <x v="1"/>
    <n v="63"/>
    <n v="3.8"/>
  </r>
  <r>
    <x v="1484"/>
    <x v="109"/>
    <x v="3"/>
    <n v="4"/>
    <n v="20"/>
    <s v="Sunday"/>
    <x v="9"/>
    <x v="12"/>
    <x v="2"/>
    <s v="Fried Rice"/>
    <x v="2"/>
    <n v="3"/>
    <n v="366"/>
    <n v="0"/>
    <n v="30"/>
    <n v="1098"/>
    <n v="1128"/>
    <x v="3"/>
    <x v="0"/>
    <x v="1"/>
    <n v="62"/>
    <n v="3.8"/>
  </r>
  <r>
    <x v="1485"/>
    <x v="109"/>
    <x v="3"/>
    <n v="4"/>
    <n v="20"/>
    <s v="Sunday"/>
    <x v="3"/>
    <x v="3"/>
    <x v="2"/>
    <s v="Chicken Burger"/>
    <x v="3"/>
    <n v="1"/>
    <n v="334"/>
    <n v="16.7"/>
    <n v="30"/>
    <n v="334"/>
    <n v="347.3"/>
    <x v="1"/>
    <x v="0"/>
    <x v="0"/>
    <n v="41"/>
    <n v="3.9"/>
  </r>
  <r>
    <x v="1486"/>
    <x v="109"/>
    <x v="3"/>
    <n v="4"/>
    <n v="20"/>
    <s v="Sunday"/>
    <x v="4"/>
    <x v="9"/>
    <x v="2"/>
    <s v="Idli Sambar"/>
    <x v="1"/>
    <n v="2"/>
    <n v="237"/>
    <n v="47.4"/>
    <n v="0"/>
    <n v="474"/>
    <n v="426.6"/>
    <x v="2"/>
    <x v="0"/>
    <x v="1"/>
    <n v="65"/>
    <n v="4.2"/>
  </r>
  <r>
    <x v="1487"/>
    <x v="109"/>
    <x v="3"/>
    <n v="4"/>
    <n v="20"/>
    <s v="Sunday"/>
    <x v="3"/>
    <x v="4"/>
    <x v="7"/>
    <s v="Pasta"/>
    <x v="2"/>
    <n v="1"/>
    <n v="372"/>
    <n v="18.600000000000001"/>
    <n v="40"/>
    <n v="372"/>
    <n v="393.4"/>
    <x v="4"/>
    <x v="0"/>
    <x v="0"/>
    <n v="24"/>
    <n v="4.2"/>
  </r>
  <r>
    <x v="1488"/>
    <x v="109"/>
    <x v="3"/>
    <n v="4"/>
    <n v="20"/>
    <s v="Sunday"/>
    <x v="6"/>
    <x v="13"/>
    <x v="9"/>
    <s v="Veg Pizza"/>
    <x v="1"/>
    <n v="1"/>
    <n v="796"/>
    <n v="119.4"/>
    <n v="50"/>
    <n v="796"/>
    <n v="726.6"/>
    <x v="4"/>
    <x v="0"/>
    <x v="1"/>
    <n v="21"/>
    <n v="3.6"/>
  </r>
  <r>
    <x v="1489"/>
    <x v="109"/>
    <x v="3"/>
    <n v="4"/>
    <n v="20"/>
    <s v="Sunday"/>
    <x v="2"/>
    <x v="10"/>
    <x v="3"/>
    <s v="Idli Sambar"/>
    <x v="1"/>
    <n v="1"/>
    <n v="628"/>
    <n v="157"/>
    <n v="50"/>
    <n v="628"/>
    <n v="521"/>
    <x v="2"/>
    <x v="2"/>
    <x v="0"/>
    <n v="39"/>
    <m/>
  </r>
  <r>
    <x v="1490"/>
    <x v="109"/>
    <x v="3"/>
    <n v="4"/>
    <n v="20"/>
    <s v="Sunday"/>
    <x v="4"/>
    <x v="5"/>
    <x v="9"/>
    <s v="Fried Rice"/>
    <x v="1"/>
    <n v="1"/>
    <n v="762"/>
    <n v="114.3"/>
    <n v="50"/>
    <n v="762"/>
    <n v="697.7"/>
    <x v="1"/>
    <x v="2"/>
    <x v="1"/>
    <n v="27"/>
    <m/>
  </r>
  <r>
    <x v="1491"/>
    <x v="110"/>
    <x v="3"/>
    <n v="4"/>
    <n v="21"/>
    <s v="Monday"/>
    <x v="3"/>
    <x v="10"/>
    <x v="2"/>
    <s v="Veg Biryani"/>
    <x v="2"/>
    <n v="3"/>
    <n v="576"/>
    <n v="86.4"/>
    <n v="40"/>
    <n v="1728"/>
    <n v="1681.6"/>
    <x v="1"/>
    <x v="0"/>
    <x v="1"/>
    <n v="45"/>
    <n v="3.9"/>
  </r>
  <r>
    <x v="1492"/>
    <x v="110"/>
    <x v="3"/>
    <n v="4"/>
    <n v="21"/>
    <s v="Monday"/>
    <x v="1"/>
    <x v="0"/>
    <x v="0"/>
    <s v="Chocolate Cake"/>
    <x v="2"/>
    <n v="1"/>
    <n v="220"/>
    <n v="11"/>
    <n v="50"/>
    <n v="220"/>
    <n v="259"/>
    <x v="3"/>
    <x v="0"/>
    <x v="0"/>
    <n v="37"/>
    <n v="3.1"/>
  </r>
  <r>
    <x v="1493"/>
    <x v="110"/>
    <x v="3"/>
    <n v="4"/>
    <n v="21"/>
    <s v="Monday"/>
    <x v="5"/>
    <x v="10"/>
    <x v="3"/>
    <s v="Chicken Momos"/>
    <x v="1"/>
    <n v="1"/>
    <n v="322"/>
    <n v="80.5"/>
    <n v="20"/>
    <n v="322"/>
    <n v="261.5"/>
    <x v="1"/>
    <x v="0"/>
    <x v="1"/>
    <n v="39"/>
    <n v="3.2"/>
  </r>
  <r>
    <x v="1494"/>
    <x v="110"/>
    <x v="3"/>
    <n v="4"/>
    <n v="21"/>
    <s v="Monday"/>
    <x v="5"/>
    <x v="5"/>
    <x v="7"/>
    <s v="Chicken Biryani"/>
    <x v="2"/>
    <n v="2"/>
    <n v="678"/>
    <n v="135.6"/>
    <n v="30"/>
    <n v="1356"/>
    <n v="1250.4000000000001"/>
    <x v="1"/>
    <x v="0"/>
    <x v="1"/>
    <n v="20"/>
    <n v="3.8"/>
  </r>
  <r>
    <x v="1495"/>
    <x v="110"/>
    <x v="3"/>
    <n v="4"/>
    <n v="21"/>
    <s v="Monday"/>
    <x v="8"/>
    <x v="5"/>
    <x v="2"/>
    <s v="Chicken Burger"/>
    <x v="1"/>
    <n v="2"/>
    <n v="625"/>
    <n v="31.25"/>
    <n v="50"/>
    <n v="1250"/>
    <n v="1268.75"/>
    <x v="0"/>
    <x v="3"/>
    <x v="1"/>
    <n v="69"/>
    <m/>
  </r>
  <r>
    <x v="1496"/>
    <x v="110"/>
    <x v="3"/>
    <n v="4"/>
    <n v="21"/>
    <s v="Monday"/>
    <x v="2"/>
    <x v="5"/>
    <x v="7"/>
    <s v="Veg Biryani"/>
    <x v="1"/>
    <n v="2"/>
    <n v="435"/>
    <n v="21.75"/>
    <n v="50"/>
    <n v="870"/>
    <n v="898.25"/>
    <x v="4"/>
    <x v="0"/>
    <x v="1"/>
    <n v="53"/>
    <n v="4.5999999999999996"/>
  </r>
  <r>
    <x v="1497"/>
    <x v="110"/>
    <x v="3"/>
    <n v="4"/>
    <n v="21"/>
    <s v="Monday"/>
    <x v="9"/>
    <x v="10"/>
    <x v="8"/>
    <s v="Chicken Pizza"/>
    <x v="2"/>
    <n v="3"/>
    <n v="496"/>
    <n v="24.8"/>
    <n v="60"/>
    <n v="1488"/>
    <n v="1523.2"/>
    <x v="1"/>
    <x v="0"/>
    <x v="1"/>
    <n v="65"/>
    <n v="3.8"/>
  </r>
  <r>
    <x v="1498"/>
    <x v="110"/>
    <x v="3"/>
    <n v="4"/>
    <n v="21"/>
    <s v="Monday"/>
    <x v="0"/>
    <x v="10"/>
    <x v="1"/>
    <s v="Veg Burger"/>
    <x v="1"/>
    <n v="2"/>
    <n v="795"/>
    <n v="79.5"/>
    <n v="30"/>
    <n v="1590"/>
    <n v="1540.5"/>
    <x v="2"/>
    <x v="0"/>
    <x v="0"/>
    <n v="59"/>
    <n v="4.2"/>
  </r>
  <r>
    <x v="1499"/>
    <x v="110"/>
    <x v="3"/>
    <n v="4"/>
    <n v="21"/>
    <s v="Monday"/>
    <x v="1"/>
    <x v="14"/>
    <x v="5"/>
    <s v="Chicken Burger"/>
    <x v="1"/>
    <n v="1"/>
    <n v="564"/>
    <n v="84.6"/>
    <n v="50"/>
    <n v="564"/>
    <n v="529.4"/>
    <x v="4"/>
    <x v="0"/>
    <x v="1"/>
    <n v="20"/>
    <n v="4.3"/>
  </r>
  <r>
    <x v="1500"/>
    <x v="110"/>
    <x v="3"/>
    <n v="4"/>
    <n v="21"/>
    <s v="Monday"/>
    <x v="1"/>
    <x v="3"/>
    <x v="3"/>
    <s v="Chicken Pizza"/>
    <x v="2"/>
    <n v="1"/>
    <n v="352"/>
    <n v="35.200000000000003"/>
    <n v="60"/>
    <n v="352"/>
    <n v="376.8"/>
    <x v="0"/>
    <x v="0"/>
    <x v="1"/>
    <n v="36"/>
    <n v="4.5"/>
  </r>
  <r>
    <x v="1501"/>
    <x v="110"/>
    <x v="3"/>
    <n v="4"/>
    <n v="21"/>
    <s v="Monday"/>
    <x v="7"/>
    <x v="8"/>
    <x v="2"/>
    <s v="Idli Sambar"/>
    <x v="2"/>
    <n v="1"/>
    <n v="411"/>
    <n v="0"/>
    <n v="20"/>
    <n v="411"/>
    <n v="431"/>
    <x v="2"/>
    <x v="0"/>
    <x v="1"/>
    <n v="36"/>
    <n v="4.7"/>
  </r>
  <r>
    <x v="1502"/>
    <x v="110"/>
    <x v="3"/>
    <n v="4"/>
    <n v="21"/>
    <s v="Monday"/>
    <x v="7"/>
    <x v="1"/>
    <x v="8"/>
    <s v="Idli Sambar"/>
    <x v="1"/>
    <n v="2"/>
    <n v="657"/>
    <n v="65.7"/>
    <n v="50"/>
    <n v="1314"/>
    <n v="1298.3"/>
    <x v="2"/>
    <x v="1"/>
    <x v="1"/>
    <n v="40"/>
    <m/>
  </r>
  <r>
    <x v="1503"/>
    <x v="110"/>
    <x v="3"/>
    <n v="4"/>
    <n v="21"/>
    <s v="Monday"/>
    <x v="9"/>
    <x v="1"/>
    <x v="8"/>
    <s v="Cold Coffee"/>
    <x v="1"/>
    <n v="1"/>
    <n v="498"/>
    <n v="99.6"/>
    <n v="30"/>
    <n v="498"/>
    <n v="428.4"/>
    <x v="2"/>
    <x v="0"/>
    <x v="0"/>
    <n v="68"/>
    <n v="3.4"/>
  </r>
  <r>
    <x v="1504"/>
    <x v="110"/>
    <x v="3"/>
    <n v="4"/>
    <n v="21"/>
    <s v="Monday"/>
    <x v="7"/>
    <x v="5"/>
    <x v="9"/>
    <s v="Chicken Burger"/>
    <x v="1"/>
    <n v="3"/>
    <n v="160"/>
    <n v="16"/>
    <n v="60"/>
    <n v="480"/>
    <n v="524"/>
    <x v="3"/>
    <x v="2"/>
    <x v="1"/>
    <n v="26"/>
    <m/>
  </r>
  <r>
    <x v="1505"/>
    <x v="110"/>
    <x v="3"/>
    <n v="4"/>
    <n v="21"/>
    <s v="Monday"/>
    <x v="2"/>
    <x v="1"/>
    <x v="7"/>
    <s v="Veg Pizza"/>
    <x v="1"/>
    <n v="1"/>
    <n v="844"/>
    <n v="0"/>
    <n v="60"/>
    <n v="844"/>
    <n v="904"/>
    <x v="0"/>
    <x v="0"/>
    <x v="1"/>
    <n v="42"/>
    <n v="4"/>
  </r>
  <r>
    <x v="1506"/>
    <x v="110"/>
    <x v="3"/>
    <n v="4"/>
    <n v="21"/>
    <s v="Monday"/>
    <x v="4"/>
    <x v="2"/>
    <x v="9"/>
    <s v="Masala Dosa"/>
    <x v="1"/>
    <n v="3"/>
    <n v="521"/>
    <n v="0"/>
    <n v="40"/>
    <n v="1563"/>
    <n v="1603"/>
    <x v="1"/>
    <x v="0"/>
    <x v="0"/>
    <n v="70"/>
    <n v="4.3"/>
  </r>
  <r>
    <x v="1507"/>
    <x v="110"/>
    <x v="3"/>
    <n v="4"/>
    <n v="21"/>
    <s v="Monday"/>
    <x v="2"/>
    <x v="4"/>
    <x v="6"/>
    <s v="Chocolate Cake"/>
    <x v="2"/>
    <n v="2"/>
    <n v="496"/>
    <n v="0"/>
    <n v="20"/>
    <n v="992"/>
    <n v="1012"/>
    <x v="4"/>
    <x v="0"/>
    <x v="0"/>
    <n v="38"/>
    <n v="3.5"/>
  </r>
  <r>
    <x v="1508"/>
    <x v="110"/>
    <x v="3"/>
    <n v="4"/>
    <n v="21"/>
    <s v="Monday"/>
    <x v="9"/>
    <x v="8"/>
    <x v="9"/>
    <s v="Chicken Momos"/>
    <x v="3"/>
    <n v="2"/>
    <n v="333"/>
    <n v="49.95"/>
    <n v="30"/>
    <n v="666"/>
    <n v="646.04999999999995"/>
    <x v="1"/>
    <x v="0"/>
    <x v="1"/>
    <n v="23"/>
    <n v="3.8"/>
  </r>
  <r>
    <x v="1509"/>
    <x v="110"/>
    <x v="3"/>
    <n v="4"/>
    <n v="21"/>
    <s v="Monday"/>
    <x v="3"/>
    <x v="5"/>
    <x v="8"/>
    <s v="Masala Dosa"/>
    <x v="1"/>
    <n v="2"/>
    <n v="306"/>
    <n v="30.6"/>
    <n v="40"/>
    <n v="612"/>
    <n v="621.4"/>
    <x v="0"/>
    <x v="0"/>
    <x v="1"/>
    <n v="65"/>
    <n v="3.5"/>
  </r>
  <r>
    <x v="1510"/>
    <x v="111"/>
    <x v="3"/>
    <n v="4"/>
    <n v="22"/>
    <s v="Tuesday"/>
    <x v="1"/>
    <x v="12"/>
    <x v="6"/>
    <s v="Veg Burger"/>
    <x v="1"/>
    <n v="1"/>
    <n v="390"/>
    <n v="39"/>
    <n v="50"/>
    <n v="390"/>
    <n v="401"/>
    <x v="2"/>
    <x v="0"/>
    <x v="1"/>
    <n v="54"/>
    <n v="3.5"/>
  </r>
  <r>
    <x v="1511"/>
    <x v="111"/>
    <x v="3"/>
    <n v="4"/>
    <n v="22"/>
    <s v="Tuesday"/>
    <x v="5"/>
    <x v="13"/>
    <x v="7"/>
    <s v="Chicken Momos"/>
    <x v="2"/>
    <n v="3"/>
    <n v="419"/>
    <n v="62.85"/>
    <n v="30"/>
    <n v="1257"/>
    <n v="1224.1500000000001"/>
    <x v="4"/>
    <x v="0"/>
    <x v="0"/>
    <n v="65"/>
    <n v="4.0999999999999996"/>
  </r>
  <r>
    <x v="1512"/>
    <x v="111"/>
    <x v="3"/>
    <n v="4"/>
    <n v="22"/>
    <s v="Tuesday"/>
    <x v="3"/>
    <x v="9"/>
    <x v="8"/>
    <s v="Veg Burger"/>
    <x v="3"/>
    <n v="2"/>
    <n v="516"/>
    <n v="0"/>
    <n v="20"/>
    <n v="1032"/>
    <n v="1052"/>
    <x v="1"/>
    <x v="0"/>
    <x v="1"/>
    <n v="62"/>
    <n v="3.2"/>
  </r>
  <r>
    <x v="1513"/>
    <x v="111"/>
    <x v="3"/>
    <n v="4"/>
    <n v="22"/>
    <s v="Tuesday"/>
    <x v="2"/>
    <x v="0"/>
    <x v="7"/>
    <s v="Veg Momos"/>
    <x v="1"/>
    <n v="1"/>
    <n v="557"/>
    <n v="55.7"/>
    <n v="30"/>
    <n v="557"/>
    <n v="531.29999999999995"/>
    <x v="3"/>
    <x v="0"/>
    <x v="0"/>
    <n v="36"/>
    <n v="4.5"/>
  </r>
  <r>
    <x v="1514"/>
    <x v="111"/>
    <x v="3"/>
    <n v="4"/>
    <n v="22"/>
    <s v="Tuesday"/>
    <x v="0"/>
    <x v="9"/>
    <x v="7"/>
    <s v="Veg Burger"/>
    <x v="1"/>
    <n v="1"/>
    <n v="435"/>
    <n v="21.75"/>
    <n v="20"/>
    <n v="435"/>
    <n v="433.25"/>
    <x v="1"/>
    <x v="0"/>
    <x v="1"/>
    <n v="38"/>
    <n v="3"/>
  </r>
  <r>
    <x v="1515"/>
    <x v="111"/>
    <x v="3"/>
    <n v="4"/>
    <n v="22"/>
    <s v="Tuesday"/>
    <x v="0"/>
    <x v="12"/>
    <x v="4"/>
    <s v="Chicken Pizza"/>
    <x v="1"/>
    <n v="2"/>
    <n v="387"/>
    <n v="38.700000000000003"/>
    <n v="30"/>
    <n v="774"/>
    <n v="765.3"/>
    <x v="4"/>
    <x v="0"/>
    <x v="1"/>
    <n v="39"/>
    <n v="3.8"/>
  </r>
  <r>
    <x v="1516"/>
    <x v="111"/>
    <x v="3"/>
    <n v="4"/>
    <n v="22"/>
    <s v="Tuesday"/>
    <x v="3"/>
    <x v="2"/>
    <x v="7"/>
    <s v="Chicken Momos"/>
    <x v="1"/>
    <n v="2"/>
    <n v="812"/>
    <n v="203"/>
    <n v="30"/>
    <n v="1624"/>
    <n v="1451"/>
    <x v="3"/>
    <x v="2"/>
    <x v="1"/>
    <n v="48"/>
    <m/>
  </r>
  <r>
    <x v="1517"/>
    <x v="111"/>
    <x v="3"/>
    <n v="4"/>
    <n v="22"/>
    <s v="Tuesday"/>
    <x v="8"/>
    <x v="0"/>
    <x v="3"/>
    <s v="Chocolate Cake"/>
    <x v="1"/>
    <n v="1"/>
    <n v="516"/>
    <n v="77.400000000000006"/>
    <n v="50"/>
    <n v="516"/>
    <n v="488.6"/>
    <x v="1"/>
    <x v="0"/>
    <x v="1"/>
    <n v="46"/>
    <n v="3.7"/>
  </r>
  <r>
    <x v="1518"/>
    <x v="111"/>
    <x v="3"/>
    <n v="4"/>
    <n v="22"/>
    <s v="Tuesday"/>
    <x v="6"/>
    <x v="11"/>
    <x v="5"/>
    <s v="Masala Dosa"/>
    <x v="1"/>
    <n v="1"/>
    <n v="294"/>
    <n v="0"/>
    <n v="30"/>
    <n v="294"/>
    <n v="324"/>
    <x v="0"/>
    <x v="0"/>
    <x v="1"/>
    <n v="45"/>
    <n v="3.7"/>
  </r>
  <r>
    <x v="1519"/>
    <x v="111"/>
    <x v="3"/>
    <n v="4"/>
    <n v="22"/>
    <s v="Tuesday"/>
    <x v="1"/>
    <x v="12"/>
    <x v="8"/>
    <s v="French Fries"/>
    <x v="3"/>
    <n v="3"/>
    <n v="503"/>
    <n v="50.3"/>
    <n v="20"/>
    <n v="1509"/>
    <n v="1478.7"/>
    <x v="2"/>
    <x v="0"/>
    <x v="1"/>
    <n v="37"/>
    <n v="4.4000000000000004"/>
  </r>
  <r>
    <x v="1520"/>
    <x v="111"/>
    <x v="3"/>
    <n v="4"/>
    <n v="22"/>
    <s v="Tuesday"/>
    <x v="7"/>
    <x v="0"/>
    <x v="2"/>
    <s v="Veg Momos"/>
    <x v="1"/>
    <n v="1"/>
    <n v="738"/>
    <n v="147.6"/>
    <n v="60"/>
    <n v="738"/>
    <n v="650.4"/>
    <x v="0"/>
    <x v="0"/>
    <x v="0"/>
    <n v="32"/>
    <n v="3.3"/>
  </r>
  <r>
    <x v="1521"/>
    <x v="111"/>
    <x v="3"/>
    <n v="4"/>
    <n v="22"/>
    <s v="Tuesday"/>
    <x v="0"/>
    <x v="14"/>
    <x v="5"/>
    <s v="French Fries"/>
    <x v="3"/>
    <n v="1"/>
    <n v="870"/>
    <n v="217.5"/>
    <n v="70"/>
    <n v="870"/>
    <n v="722.5"/>
    <x v="1"/>
    <x v="0"/>
    <x v="1"/>
    <n v="52"/>
    <n v="4.0999999999999996"/>
  </r>
  <r>
    <x v="1522"/>
    <x v="111"/>
    <x v="3"/>
    <n v="4"/>
    <n v="22"/>
    <s v="Tuesday"/>
    <x v="1"/>
    <x v="10"/>
    <x v="4"/>
    <s v="Veg Momos"/>
    <x v="2"/>
    <n v="1"/>
    <n v="838"/>
    <n v="41.9"/>
    <n v="40"/>
    <n v="838"/>
    <n v="836.1"/>
    <x v="2"/>
    <x v="3"/>
    <x v="1"/>
    <n v="40"/>
    <m/>
  </r>
  <r>
    <x v="1523"/>
    <x v="112"/>
    <x v="3"/>
    <n v="4"/>
    <n v="23"/>
    <s v="Wednesday"/>
    <x v="1"/>
    <x v="4"/>
    <x v="3"/>
    <s v="Paneer Butter Masala"/>
    <x v="1"/>
    <n v="2"/>
    <n v="469"/>
    <n v="70.349999999999994"/>
    <n v="50"/>
    <n v="938"/>
    <n v="917.65"/>
    <x v="1"/>
    <x v="0"/>
    <x v="1"/>
    <n v="60"/>
    <n v="5"/>
  </r>
  <r>
    <x v="1524"/>
    <x v="112"/>
    <x v="3"/>
    <n v="4"/>
    <n v="23"/>
    <s v="Wednesday"/>
    <x v="3"/>
    <x v="14"/>
    <x v="0"/>
    <s v="Fried Rice"/>
    <x v="1"/>
    <n v="2"/>
    <n v="321"/>
    <n v="32.1"/>
    <n v="30"/>
    <n v="642"/>
    <n v="639.9"/>
    <x v="3"/>
    <x v="0"/>
    <x v="1"/>
    <n v="44"/>
    <n v="3.7"/>
  </r>
  <r>
    <x v="1525"/>
    <x v="112"/>
    <x v="3"/>
    <n v="4"/>
    <n v="23"/>
    <s v="Wednesday"/>
    <x v="1"/>
    <x v="12"/>
    <x v="9"/>
    <s v="Fried Rice"/>
    <x v="2"/>
    <n v="1"/>
    <n v="737"/>
    <n v="0"/>
    <n v="70"/>
    <n v="737"/>
    <n v="807"/>
    <x v="2"/>
    <x v="0"/>
    <x v="0"/>
    <n v="68"/>
    <n v="3"/>
  </r>
  <r>
    <x v="1526"/>
    <x v="112"/>
    <x v="3"/>
    <n v="4"/>
    <n v="23"/>
    <s v="Wednesday"/>
    <x v="1"/>
    <x v="11"/>
    <x v="1"/>
    <s v="French Fries"/>
    <x v="1"/>
    <n v="1"/>
    <n v="864"/>
    <n v="0"/>
    <n v="30"/>
    <n v="864"/>
    <n v="894"/>
    <x v="1"/>
    <x v="2"/>
    <x v="1"/>
    <n v="34"/>
    <m/>
  </r>
  <r>
    <x v="1527"/>
    <x v="112"/>
    <x v="3"/>
    <n v="4"/>
    <n v="23"/>
    <s v="Wednesday"/>
    <x v="5"/>
    <x v="14"/>
    <x v="8"/>
    <s v="Cold Coffee"/>
    <x v="1"/>
    <n v="2"/>
    <n v="356"/>
    <n v="53.4"/>
    <n v="30"/>
    <n v="712"/>
    <n v="688.6"/>
    <x v="3"/>
    <x v="3"/>
    <x v="0"/>
    <n v="33"/>
    <m/>
  </r>
  <r>
    <x v="1528"/>
    <x v="112"/>
    <x v="3"/>
    <n v="4"/>
    <n v="23"/>
    <s v="Wednesday"/>
    <x v="4"/>
    <x v="0"/>
    <x v="1"/>
    <s v="Veg Pizza"/>
    <x v="3"/>
    <n v="3"/>
    <n v="860"/>
    <n v="86"/>
    <n v="50"/>
    <n v="2580"/>
    <n v="2544"/>
    <x v="1"/>
    <x v="0"/>
    <x v="1"/>
    <n v="22"/>
    <n v="4"/>
  </r>
  <r>
    <x v="1529"/>
    <x v="112"/>
    <x v="3"/>
    <n v="4"/>
    <n v="23"/>
    <s v="Wednesday"/>
    <x v="0"/>
    <x v="2"/>
    <x v="9"/>
    <s v="Chicken Pizza"/>
    <x v="1"/>
    <n v="1"/>
    <n v="437"/>
    <n v="0"/>
    <n v="20"/>
    <n v="437"/>
    <n v="457"/>
    <x v="1"/>
    <x v="0"/>
    <x v="1"/>
    <n v="27"/>
    <n v="3.5"/>
  </r>
  <r>
    <x v="1530"/>
    <x v="112"/>
    <x v="3"/>
    <n v="4"/>
    <n v="23"/>
    <s v="Wednesday"/>
    <x v="0"/>
    <x v="13"/>
    <x v="4"/>
    <s v="French Fries"/>
    <x v="2"/>
    <n v="2"/>
    <n v="200"/>
    <n v="0"/>
    <n v="50"/>
    <n v="400"/>
    <n v="450"/>
    <x v="1"/>
    <x v="0"/>
    <x v="1"/>
    <n v="64"/>
    <n v="4.5999999999999996"/>
  </r>
  <r>
    <x v="1531"/>
    <x v="112"/>
    <x v="3"/>
    <n v="4"/>
    <n v="23"/>
    <s v="Wednesday"/>
    <x v="7"/>
    <x v="3"/>
    <x v="7"/>
    <s v="French Fries"/>
    <x v="0"/>
    <n v="2"/>
    <n v="466"/>
    <n v="23.3"/>
    <n v="70"/>
    <n v="932"/>
    <n v="978.7"/>
    <x v="2"/>
    <x v="0"/>
    <x v="1"/>
    <n v="22"/>
    <n v="3.5"/>
  </r>
  <r>
    <x v="1532"/>
    <x v="112"/>
    <x v="3"/>
    <n v="4"/>
    <n v="23"/>
    <s v="Wednesday"/>
    <x v="2"/>
    <x v="11"/>
    <x v="4"/>
    <s v="Veg Burger"/>
    <x v="3"/>
    <n v="1"/>
    <n v="774"/>
    <n v="0"/>
    <n v="20"/>
    <n v="774"/>
    <n v="794"/>
    <x v="1"/>
    <x v="0"/>
    <x v="0"/>
    <n v="31"/>
    <n v="4.0999999999999996"/>
  </r>
  <r>
    <x v="1533"/>
    <x v="112"/>
    <x v="3"/>
    <n v="4"/>
    <n v="23"/>
    <s v="Wednesday"/>
    <x v="6"/>
    <x v="2"/>
    <x v="3"/>
    <s v="Chocolate Cake"/>
    <x v="2"/>
    <n v="3"/>
    <n v="427"/>
    <n v="21.35"/>
    <n v="40"/>
    <n v="1281"/>
    <n v="1299.6500000000001"/>
    <x v="1"/>
    <x v="0"/>
    <x v="1"/>
    <n v="30"/>
    <n v="3.9"/>
  </r>
  <r>
    <x v="1534"/>
    <x v="112"/>
    <x v="3"/>
    <n v="4"/>
    <n v="23"/>
    <s v="Wednesday"/>
    <x v="7"/>
    <x v="3"/>
    <x v="3"/>
    <s v="Pasta"/>
    <x v="1"/>
    <n v="1"/>
    <n v="190"/>
    <n v="19"/>
    <n v="30"/>
    <n v="190"/>
    <n v="201"/>
    <x v="0"/>
    <x v="1"/>
    <x v="0"/>
    <n v="56"/>
    <m/>
  </r>
  <r>
    <x v="1535"/>
    <x v="112"/>
    <x v="3"/>
    <n v="4"/>
    <n v="23"/>
    <s v="Wednesday"/>
    <x v="0"/>
    <x v="1"/>
    <x v="6"/>
    <s v="Pasta"/>
    <x v="0"/>
    <n v="3"/>
    <n v="442"/>
    <n v="88.4"/>
    <n v="40"/>
    <n v="1326"/>
    <n v="1277.5999999999999"/>
    <x v="1"/>
    <x v="0"/>
    <x v="1"/>
    <n v="48"/>
    <n v="5"/>
  </r>
  <r>
    <x v="1536"/>
    <x v="112"/>
    <x v="3"/>
    <n v="4"/>
    <n v="23"/>
    <s v="Wednesday"/>
    <x v="9"/>
    <x v="3"/>
    <x v="4"/>
    <s v="Pasta"/>
    <x v="2"/>
    <n v="1"/>
    <n v="141"/>
    <n v="28.2"/>
    <n v="60"/>
    <n v="141"/>
    <n v="172.8"/>
    <x v="4"/>
    <x v="1"/>
    <x v="1"/>
    <n v="67"/>
    <m/>
  </r>
  <r>
    <x v="1537"/>
    <x v="112"/>
    <x v="3"/>
    <n v="4"/>
    <n v="23"/>
    <s v="Wednesday"/>
    <x v="5"/>
    <x v="6"/>
    <x v="9"/>
    <s v="Veg Pizza"/>
    <x v="1"/>
    <n v="1"/>
    <n v="153"/>
    <n v="15.3"/>
    <n v="50"/>
    <n v="153"/>
    <n v="187.7"/>
    <x v="1"/>
    <x v="0"/>
    <x v="1"/>
    <n v="28"/>
    <n v="3.8"/>
  </r>
  <r>
    <x v="1538"/>
    <x v="112"/>
    <x v="3"/>
    <n v="4"/>
    <n v="23"/>
    <s v="Wednesday"/>
    <x v="3"/>
    <x v="2"/>
    <x v="5"/>
    <s v="Pasta"/>
    <x v="0"/>
    <n v="1"/>
    <n v="511"/>
    <n v="0"/>
    <n v="0"/>
    <n v="511"/>
    <n v="511"/>
    <x v="1"/>
    <x v="0"/>
    <x v="0"/>
    <n v="69"/>
    <n v="4.5999999999999996"/>
  </r>
  <r>
    <x v="1539"/>
    <x v="112"/>
    <x v="3"/>
    <n v="4"/>
    <n v="23"/>
    <s v="Wednesday"/>
    <x v="3"/>
    <x v="10"/>
    <x v="1"/>
    <s v="Veg Momos"/>
    <x v="2"/>
    <n v="1"/>
    <n v="552"/>
    <n v="0"/>
    <n v="30"/>
    <n v="552"/>
    <n v="582"/>
    <x v="2"/>
    <x v="0"/>
    <x v="1"/>
    <n v="35"/>
    <n v="5"/>
  </r>
  <r>
    <x v="1540"/>
    <x v="112"/>
    <x v="3"/>
    <n v="4"/>
    <n v="23"/>
    <s v="Wednesday"/>
    <x v="4"/>
    <x v="3"/>
    <x v="7"/>
    <s v="Cold Coffee"/>
    <x v="1"/>
    <n v="2"/>
    <n v="135"/>
    <n v="13.5"/>
    <n v="0"/>
    <n v="270"/>
    <n v="256.5"/>
    <x v="3"/>
    <x v="2"/>
    <x v="1"/>
    <n v="38"/>
    <m/>
  </r>
  <r>
    <x v="1541"/>
    <x v="112"/>
    <x v="3"/>
    <n v="4"/>
    <n v="23"/>
    <s v="Wednesday"/>
    <x v="4"/>
    <x v="8"/>
    <x v="6"/>
    <s v="Chicken Momos"/>
    <x v="1"/>
    <n v="1"/>
    <n v="806"/>
    <n v="120.9"/>
    <n v="70"/>
    <n v="806"/>
    <n v="755.1"/>
    <x v="2"/>
    <x v="0"/>
    <x v="1"/>
    <n v="50"/>
    <n v="4.5"/>
  </r>
  <r>
    <x v="1542"/>
    <x v="112"/>
    <x v="3"/>
    <n v="4"/>
    <n v="23"/>
    <s v="Wednesday"/>
    <x v="7"/>
    <x v="3"/>
    <x v="7"/>
    <s v="Chicken Biryani"/>
    <x v="1"/>
    <n v="1"/>
    <n v="850"/>
    <n v="127.5"/>
    <n v="50"/>
    <n v="850"/>
    <n v="772.5"/>
    <x v="3"/>
    <x v="0"/>
    <x v="1"/>
    <n v="49"/>
    <n v="4.0999999999999996"/>
  </r>
  <r>
    <x v="1543"/>
    <x v="112"/>
    <x v="3"/>
    <n v="4"/>
    <n v="23"/>
    <s v="Wednesday"/>
    <x v="8"/>
    <x v="13"/>
    <x v="9"/>
    <s v="Veg Burger"/>
    <x v="1"/>
    <n v="3"/>
    <n v="226"/>
    <n v="11.3"/>
    <n v="50"/>
    <n v="678"/>
    <n v="716.7"/>
    <x v="3"/>
    <x v="2"/>
    <x v="1"/>
    <n v="64"/>
    <m/>
  </r>
  <r>
    <x v="1544"/>
    <x v="113"/>
    <x v="3"/>
    <n v="4"/>
    <n v="24"/>
    <s v="Thursday"/>
    <x v="0"/>
    <x v="13"/>
    <x v="6"/>
    <s v="Idli Sambar"/>
    <x v="1"/>
    <n v="2"/>
    <n v="334"/>
    <n v="33.4"/>
    <n v="60"/>
    <n v="668"/>
    <n v="694.6"/>
    <x v="1"/>
    <x v="3"/>
    <x v="0"/>
    <n v="62"/>
    <m/>
  </r>
  <r>
    <x v="1545"/>
    <x v="113"/>
    <x v="3"/>
    <n v="4"/>
    <n v="24"/>
    <s v="Thursday"/>
    <x v="1"/>
    <x v="4"/>
    <x v="7"/>
    <s v="Chicken Momos"/>
    <x v="1"/>
    <n v="3"/>
    <n v="730"/>
    <n v="109.5"/>
    <n v="0"/>
    <n v="2190"/>
    <n v="2080.5"/>
    <x v="3"/>
    <x v="1"/>
    <x v="0"/>
    <n v="24"/>
    <m/>
  </r>
  <r>
    <x v="1546"/>
    <x v="113"/>
    <x v="3"/>
    <n v="4"/>
    <n v="24"/>
    <s v="Thursday"/>
    <x v="4"/>
    <x v="7"/>
    <x v="6"/>
    <s v="Chocolate Cake"/>
    <x v="1"/>
    <n v="3"/>
    <n v="761"/>
    <n v="190.25"/>
    <n v="70"/>
    <n v="2283"/>
    <n v="2162.75"/>
    <x v="2"/>
    <x v="0"/>
    <x v="0"/>
    <n v="47"/>
    <n v="3.1"/>
  </r>
  <r>
    <x v="1547"/>
    <x v="113"/>
    <x v="3"/>
    <n v="4"/>
    <n v="24"/>
    <s v="Thursday"/>
    <x v="0"/>
    <x v="2"/>
    <x v="8"/>
    <s v="Chocolate Cake"/>
    <x v="1"/>
    <n v="1"/>
    <n v="775"/>
    <n v="193.75"/>
    <n v="0"/>
    <n v="775"/>
    <n v="581.25"/>
    <x v="1"/>
    <x v="0"/>
    <x v="0"/>
    <n v="38"/>
    <n v="3"/>
  </r>
  <r>
    <x v="1548"/>
    <x v="113"/>
    <x v="3"/>
    <n v="4"/>
    <n v="24"/>
    <s v="Thursday"/>
    <x v="8"/>
    <x v="0"/>
    <x v="0"/>
    <s v="Chicken Biryani"/>
    <x v="1"/>
    <n v="2"/>
    <n v="234"/>
    <n v="58.5"/>
    <n v="50"/>
    <n v="468"/>
    <n v="459.5"/>
    <x v="4"/>
    <x v="0"/>
    <x v="1"/>
    <n v="65"/>
    <n v="3.7"/>
  </r>
  <r>
    <x v="1549"/>
    <x v="113"/>
    <x v="3"/>
    <n v="4"/>
    <n v="24"/>
    <s v="Thursday"/>
    <x v="5"/>
    <x v="11"/>
    <x v="9"/>
    <s v="Chicken Biryani"/>
    <x v="1"/>
    <n v="1"/>
    <n v="640"/>
    <n v="64"/>
    <n v="0"/>
    <n v="640"/>
    <n v="576"/>
    <x v="3"/>
    <x v="0"/>
    <x v="0"/>
    <n v="58"/>
    <n v="3.9"/>
  </r>
  <r>
    <x v="1550"/>
    <x v="113"/>
    <x v="3"/>
    <n v="4"/>
    <n v="24"/>
    <s v="Thursday"/>
    <x v="0"/>
    <x v="5"/>
    <x v="7"/>
    <s v="Veg Biryani"/>
    <x v="1"/>
    <n v="2"/>
    <n v="541"/>
    <n v="54.1"/>
    <n v="20"/>
    <n v="1082"/>
    <n v="1047.9000000000001"/>
    <x v="1"/>
    <x v="0"/>
    <x v="0"/>
    <n v="29"/>
    <n v="2.1"/>
  </r>
  <r>
    <x v="1551"/>
    <x v="113"/>
    <x v="3"/>
    <n v="4"/>
    <n v="24"/>
    <s v="Thursday"/>
    <x v="8"/>
    <x v="1"/>
    <x v="6"/>
    <s v="Veg Momos"/>
    <x v="1"/>
    <n v="1"/>
    <n v="316"/>
    <n v="15.8"/>
    <n v="50"/>
    <n v="316"/>
    <n v="350.2"/>
    <x v="1"/>
    <x v="0"/>
    <x v="1"/>
    <n v="18"/>
    <n v="4.5999999999999996"/>
  </r>
  <r>
    <x v="1552"/>
    <x v="113"/>
    <x v="3"/>
    <n v="4"/>
    <n v="24"/>
    <s v="Thursday"/>
    <x v="5"/>
    <x v="11"/>
    <x v="4"/>
    <s v="Chocolate Cake"/>
    <x v="2"/>
    <n v="2"/>
    <n v="737"/>
    <n v="147.4"/>
    <n v="50"/>
    <n v="1474"/>
    <n v="1376.6"/>
    <x v="1"/>
    <x v="3"/>
    <x v="0"/>
    <n v="29"/>
    <m/>
  </r>
  <r>
    <x v="1553"/>
    <x v="113"/>
    <x v="3"/>
    <n v="4"/>
    <n v="24"/>
    <s v="Thursday"/>
    <x v="5"/>
    <x v="12"/>
    <x v="4"/>
    <s v="Chicken Momos"/>
    <x v="1"/>
    <n v="1"/>
    <n v="495"/>
    <n v="123.75"/>
    <n v="40"/>
    <n v="495"/>
    <n v="411.25"/>
    <x v="0"/>
    <x v="0"/>
    <x v="0"/>
    <n v="50"/>
    <n v="3.7"/>
  </r>
  <r>
    <x v="1554"/>
    <x v="113"/>
    <x v="3"/>
    <n v="4"/>
    <n v="24"/>
    <s v="Thursday"/>
    <x v="1"/>
    <x v="10"/>
    <x v="6"/>
    <s v="Chocolate Cake"/>
    <x v="1"/>
    <n v="2"/>
    <n v="195"/>
    <n v="9.75"/>
    <n v="20"/>
    <n v="390"/>
    <n v="400.25"/>
    <x v="1"/>
    <x v="0"/>
    <x v="1"/>
    <n v="34"/>
    <n v="3.7"/>
  </r>
  <r>
    <x v="1555"/>
    <x v="113"/>
    <x v="3"/>
    <n v="4"/>
    <n v="24"/>
    <s v="Thursday"/>
    <x v="2"/>
    <x v="5"/>
    <x v="4"/>
    <s v="Masala Dosa"/>
    <x v="1"/>
    <n v="1"/>
    <n v="690"/>
    <n v="172.5"/>
    <n v="20"/>
    <n v="690"/>
    <n v="537.5"/>
    <x v="4"/>
    <x v="0"/>
    <x v="0"/>
    <n v="35"/>
    <n v="3.5"/>
  </r>
  <r>
    <x v="1556"/>
    <x v="113"/>
    <x v="3"/>
    <n v="4"/>
    <n v="24"/>
    <s v="Thursday"/>
    <x v="5"/>
    <x v="10"/>
    <x v="7"/>
    <s v="Chocolate Cake"/>
    <x v="1"/>
    <n v="1"/>
    <n v="295"/>
    <n v="29.5"/>
    <n v="50"/>
    <n v="295"/>
    <n v="315.5"/>
    <x v="1"/>
    <x v="0"/>
    <x v="1"/>
    <n v="48"/>
    <n v="4"/>
  </r>
  <r>
    <x v="1557"/>
    <x v="114"/>
    <x v="3"/>
    <n v="4"/>
    <n v="25"/>
    <s v="Friday"/>
    <x v="0"/>
    <x v="6"/>
    <x v="7"/>
    <s v="Chicken Burger"/>
    <x v="3"/>
    <n v="1"/>
    <n v="243"/>
    <n v="36.450000000000003"/>
    <n v="40"/>
    <n v="243"/>
    <n v="246.55"/>
    <x v="1"/>
    <x v="0"/>
    <x v="0"/>
    <n v="32"/>
    <n v="4.3"/>
  </r>
  <r>
    <x v="1558"/>
    <x v="114"/>
    <x v="3"/>
    <n v="4"/>
    <n v="25"/>
    <s v="Friday"/>
    <x v="0"/>
    <x v="5"/>
    <x v="5"/>
    <s v="Chicken Burger"/>
    <x v="2"/>
    <n v="1"/>
    <n v="566"/>
    <n v="84.9"/>
    <n v="50"/>
    <n v="566"/>
    <n v="531.1"/>
    <x v="4"/>
    <x v="0"/>
    <x v="1"/>
    <n v="66"/>
    <n v="3.5"/>
  </r>
  <r>
    <x v="1559"/>
    <x v="114"/>
    <x v="3"/>
    <n v="4"/>
    <n v="25"/>
    <s v="Friday"/>
    <x v="8"/>
    <x v="6"/>
    <x v="2"/>
    <s v="Chocolate Cake"/>
    <x v="1"/>
    <n v="1"/>
    <n v="583"/>
    <n v="87.45"/>
    <n v="40"/>
    <n v="583"/>
    <n v="535.54999999999995"/>
    <x v="1"/>
    <x v="0"/>
    <x v="0"/>
    <n v="37"/>
    <n v="4.3"/>
  </r>
  <r>
    <x v="1560"/>
    <x v="114"/>
    <x v="3"/>
    <n v="4"/>
    <n v="25"/>
    <s v="Friday"/>
    <x v="9"/>
    <x v="1"/>
    <x v="6"/>
    <s v="Veg Pizza"/>
    <x v="1"/>
    <n v="1"/>
    <n v="365"/>
    <n v="0"/>
    <n v="50"/>
    <n v="365"/>
    <n v="415"/>
    <x v="1"/>
    <x v="0"/>
    <x v="0"/>
    <n v="24"/>
    <n v="4.9000000000000004"/>
  </r>
  <r>
    <x v="1561"/>
    <x v="114"/>
    <x v="3"/>
    <n v="4"/>
    <n v="25"/>
    <s v="Friday"/>
    <x v="6"/>
    <x v="13"/>
    <x v="0"/>
    <s v="Chicken Pizza"/>
    <x v="2"/>
    <n v="2"/>
    <n v="769"/>
    <n v="192.25"/>
    <n v="20"/>
    <n v="1538"/>
    <n v="1365.75"/>
    <x v="4"/>
    <x v="0"/>
    <x v="0"/>
    <n v="59"/>
    <n v="4.2"/>
  </r>
  <r>
    <x v="1562"/>
    <x v="114"/>
    <x v="3"/>
    <n v="4"/>
    <n v="25"/>
    <s v="Friday"/>
    <x v="6"/>
    <x v="4"/>
    <x v="2"/>
    <s v="Fried Rice"/>
    <x v="2"/>
    <n v="2"/>
    <n v="816"/>
    <n v="163.19999999999999"/>
    <n v="20"/>
    <n v="1632"/>
    <n v="1488.8"/>
    <x v="1"/>
    <x v="0"/>
    <x v="1"/>
    <n v="20"/>
    <n v="4.2"/>
  </r>
  <r>
    <x v="1563"/>
    <x v="114"/>
    <x v="3"/>
    <n v="4"/>
    <n v="25"/>
    <s v="Friday"/>
    <x v="3"/>
    <x v="3"/>
    <x v="7"/>
    <s v="Chocolate Cake"/>
    <x v="1"/>
    <n v="1"/>
    <n v="341"/>
    <n v="0"/>
    <n v="50"/>
    <n v="341"/>
    <n v="391"/>
    <x v="1"/>
    <x v="0"/>
    <x v="0"/>
    <n v="45"/>
    <n v="3.3"/>
  </r>
  <r>
    <x v="1564"/>
    <x v="115"/>
    <x v="3"/>
    <n v="4"/>
    <n v="26"/>
    <s v="Saturday"/>
    <x v="9"/>
    <x v="11"/>
    <x v="5"/>
    <s v="Idli Sambar"/>
    <x v="1"/>
    <n v="2"/>
    <n v="171"/>
    <n v="34.200000000000003"/>
    <n v="0"/>
    <n v="342"/>
    <n v="307.8"/>
    <x v="2"/>
    <x v="0"/>
    <x v="0"/>
    <n v="65"/>
    <n v="4.0999999999999996"/>
  </r>
  <r>
    <x v="1565"/>
    <x v="115"/>
    <x v="3"/>
    <n v="4"/>
    <n v="26"/>
    <s v="Saturday"/>
    <x v="3"/>
    <x v="11"/>
    <x v="5"/>
    <s v="Masala Dosa"/>
    <x v="0"/>
    <n v="1"/>
    <n v="136"/>
    <n v="13.6"/>
    <n v="20"/>
    <n v="136"/>
    <n v="142.4"/>
    <x v="1"/>
    <x v="0"/>
    <x v="1"/>
    <n v="20"/>
    <n v="4"/>
  </r>
  <r>
    <x v="1566"/>
    <x v="115"/>
    <x v="3"/>
    <n v="4"/>
    <n v="26"/>
    <s v="Saturday"/>
    <x v="3"/>
    <x v="5"/>
    <x v="2"/>
    <s v="Pasta"/>
    <x v="1"/>
    <n v="1"/>
    <n v="721"/>
    <n v="0"/>
    <n v="50"/>
    <n v="721"/>
    <n v="771"/>
    <x v="1"/>
    <x v="0"/>
    <x v="0"/>
    <n v="68"/>
    <n v="4.0999999999999996"/>
  </r>
  <r>
    <x v="1567"/>
    <x v="115"/>
    <x v="3"/>
    <n v="4"/>
    <n v="26"/>
    <s v="Saturday"/>
    <x v="6"/>
    <x v="12"/>
    <x v="7"/>
    <s v="Paneer Butter Masala"/>
    <x v="2"/>
    <n v="1"/>
    <n v="308"/>
    <n v="30.8"/>
    <n v="40"/>
    <n v="308"/>
    <n v="317.2"/>
    <x v="2"/>
    <x v="0"/>
    <x v="1"/>
    <n v="53"/>
    <n v="3.4"/>
  </r>
  <r>
    <x v="1568"/>
    <x v="115"/>
    <x v="3"/>
    <n v="4"/>
    <n v="26"/>
    <s v="Saturday"/>
    <x v="1"/>
    <x v="3"/>
    <x v="2"/>
    <s v="Fried Rice"/>
    <x v="2"/>
    <n v="1"/>
    <n v="285"/>
    <n v="0"/>
    <n v="0"/>
    <n v="285"/>
    <n v="285"/>
    <x v="2"/>
    <x v="0"/>
    <x v="1"/>
    <n v="64"/>
    <n v="4.3"/>
  </r>
  <r>
    <x v="1569"/>
    <x v="115"/>
    <x v="3"/>
    <n v="4"/>
    <n v="26"/>
    <s v="Saturday"/>
    <x v="9"/>
    <x v="1"/>
    <x v="9"/>
    <s v="Veg Momos"/>
    <x v="1"/>
    <n v="1"/>
    <n v="177"/>
    <n v="26.55"/>
    <n v="40"/>
    <n v="177"/>
    <n v="190.45"/>
    <x v="1"/>
    <x v="0"/>
    <x v="1"/>
    <n v="62"/>
    <n v="4.2"/>
  </r>
  <r>
    <x v="1570"/>
    <x v="115"/>
    <x v="3"/>
    <n v="4"/>
    <n v="26"/>
    <s v="Saturday"/>
    <x v="5"/>
    <x v="14"/>
    <x v="5"/>
    <s v="Masala Dosa"/>
    <x v="2"/>
    <n v="2"/>
    <n v="440"/>
    <n v="88"/>
    <n v="60"/>
    <n v="880"/>
    <n v="852"/>
    <x v="1"/>
    <x v="0"/>
    <x v="0"/>
    <n v="70"/>
    <n v="3.9"/>
  </r>
  <r>
    <x v="1571"/>
    <x v="115"/>
    <x v="3"/>
    <n v="4"/>
    <n v="26"/>
    <s v="Saturday"/>
    <x v="6"/>
    <x v="1"/>
    <x v="1"/>
    <s v="Veg Biryani"/>
    <x v="1"/>
    <n v="1"/>
    <n v="231"/>
    <n v="23.1"/>
    <n v="50"/>
    <n v="231"/>
    <n v="257.89999999999998"/>
    <x v="3"/>
    <x v="0"/>
    <x v="1"/>
    <n v="61"/>
    <n v="4.5999999999999996"/>
  </r>
  <r>
    <x v="1572"/>
    <x v="115"/>
    <x v="3"/>
    <n v="4"/>
    <n v="26"/>
    <s v="Saturday"/>
    <x v="1"/>
    <x v="7"/>
    <x v="9"/>
    <s v="Chicken Pizza"/>
    <x v="1"/>
    <n v="3"/>
    <n v="723"/>
    <n v="144.6"/>
    <n v="0"/>
    <n v="2169"/>
    <n v="2024.4"/>
    <x v="1"/>
    <x v="0"/>
    <x v="1"/>
    <n v="29"/>
    <n v="4.2"/>
  </r>
  <r>
    <x v="1573"/>
    <x v="115"/>
    <x v="3"/>
    <n v="4"/>
    <n v="26"/>
    <s v="Saturday"/>
    <x v="1"/>
    <x v="11"/>
    <x v="5"/>
    <s v="Chocolate Cake"/>
    <x v="1"/>
    <n v="2"/>
    <n v="774"/>
    <n v="193.5"/>
    <n v="20"/>
    <n v="1548"/>
    <n v="1374.5"/>
    <x v="3"/>
    <x v="2"/>
    <x v="0"/>
    <n v="64"/>
    <m/>
  </r>
  <r>
    <x v="1574"/>
    <x v="115"/>
    <x v="3"/>
    <n v="4"/>
    <n v="26"/>
    <s v="Saturday"/>
    <x v="3"/>
    <x v="13"/>
    <x v="0"/>
    <s v="Idli Sambar"/>
    <x v="1"/>
    <n v="2"/>
    <n v="342"/>
    <n v="51.3"/>
    <n v="60"/>
    <n v="684"/>
    <n v="692.7"/>
    <x v="1"/>
    <x v="2"/>
    <x v="1"/>
    <n v="59"/>
    <m/>
  </r>
  <r>
    <x v="1575"/>
    <x v="115"/>
    <x v="3"/>
    <n v="4"/>
    <n v="26"/>
    <s v="Saturday"/>
    <x v="5"/>
    <x v="0"/>
    <x v="6"/>
    <s v="Chicken Pizza"/>
    <x v="2"/>
    <n v="1"/>
    <n v="509"/>
    <n v="76.349999999999994"/>
    <n v="30"/>
    <n v="509"/>
    <n v="462.65"/>
    <x v="3"/>
    <x v="0"/>
    <x v="0"/>
    <n v="38"/>
    <n v="2.6"/>
  </r>
  <r>
    <x v="1576"/>
    <x v="115"/>
    <x v="3"/>
    <n v="4"/>
    <n v="26"/>
    <s v="Saturday"/>
    <x v="0"/>
    <x v="0"/>
    <x v="3"/>
    <s v="Veg Biryani"/>
    <x v="1"/>
    <n v="3"/>
    <n v="829"/>
    <n v="41.45"/>
    <n v="50"/>
    <n v="2487"/>
    <n v="2495.5500000000002"/>
    <x v="2"/>
    <x v="0"/>
    <x v="1"/>
    <n v="63"/>
    <n v="4.5999999999999996"/>
  </r>
  <r>
    <x v="1577"/>
    <x v="115"/>
    <x v="3"/>
    <n v="4"/>
    <n v="26"/>
    <s v="Saturday"/>
    <x v="5"/>
    <x v="14"/>
    <x v="0"/>
    <s v="Chocolate Cake"/>
    <x v="1"/>
    <n v="1"/>
    <n v="364"/>
    <n v="36.4"/>
    <n v="50"/>
    <n v="364"/>
    <n v="377.6"/>
    <x v="4"/>
    <x v="0"/>
    <x v="1"/>
    <n v="51"/>
    <n v="3.7"/>
  </r>
  <r>
    <x v="1578"/>
    <x v="115"/>
    <x v="3"/>
    <n v="4"/>
    <n v="26"/>
    <s v="Saturday"/>
    <x v="3"/>
    <x v="1"/>
    <x v="2"/>
    <s v="Veg Momos"/>
    <x v="1"/>
    <n v="1"/>
    <n v="699"/>
    <n v="69.900000000000006"/>
    <n v="40"/>
    <n v="699"/>
    <n v="669.1"/>
    <x v="0"/>
    <x v="0"/>
    <x v="1"/>
    <n v="19"/>
    <n v="2.7"/>
  </r>
  <r>
    <x v="1579"/>
    <x v="115"/>
    <x v="3"/>
    <n v="4"/>
    <n v="26"/>
    <s v="Saturday"/>
    <x v="9"/>
    <x v="10"/>
    <x v="1"/>
    <s v="Fried Rice"/>
    <x v="1"/>
    <n v="3"/>
    <n v="860"/>
    <n v="86"/>
    <n v="20"/>
    <n v="2580"/>
    <n v="2514"/>
    <x v="0"/>
    <x v="0"/>
    <x v="0"/>
    <n v="20"/>
    <n v="4.5"/>
  </r>
  <r>
    <x v="1580"/>
    <x v="116"/>
    <x v="3"/>
    <n v="4"/>
    <n v="27"/>
    <s v="Sunday"/>
    <x v="9"/>
    <x v="6"/>
    <x v="9"/>
    <s v="Paneer Butter Masala"/>
    <x v="2"/>
    <n v="2"/>
    <n v="608"/>
    <n v="0"/>
    <n v="60"/>
    <n v="1216"/>
    <n v="1276"/>
    <x v="2"/>
    <x v="0"/>
    <x v="1"/>
    <n v="48"/>
    <n v="3.6"/>
  </r>
  <r>
    <x v="1581"/>
    <x v="116"/>
    <x v="3"/>
    <n v="4"/>
    <n v="27"/>
    <s v="Sunday"/>
    <x v="1"/>
    <x v="0"/>
    <x v="3"/>
    <s v="Paneer Butter Masala"/>
    <x v="1"/>
    <n v="2"/>
    <n v="154"/>
    <n v="15.4"/>
    <n v="30"/>
    <n v="308"/>
    <n v="322.60000000000002"/>
    <x v="1"/>
    <x v="0"/>
    <x v="0"/>
    <n v="35"/>
    <n v="4.2"/>
  </r>
  <r>
    <x v="1582"/>
    <x v="116"/>
    <x v="3"/>
    <n v="4"/>
    <n v="27"/>
    <s v="Sunday"/>
    <x v="9"/>
    <x v="1"/>
    <x v="2"/>
    <s v="Veg Biryani"/>
    <x v="1"/>
    <n v="2"/>
    <n v="196"/>
    <n v="9.8000000000000007"/>
    <n v="70"/>
    <n v="392"/>
    <n v="452.2"/>
    <x v="4"/>
    <x v="0"/>
    <x v="1"/>
    <n v="44"/>
    <n v="4.5999999999999996"/>
  </r>
  <r>
    <x v="1583"/>
    <x v="116"/>
    <x v="3"/>
    <n v="4"/>
    <n v="27"/>
    <s v="Sunday"/>
    <x v="3"/>
    <x v="9"/>
    <x v="2"/>
    <s v="Pasta"/>
    <x v="1"/>
    <n v="1"/>
    <n v="797"/>
    <n v="79.7"/>
    <n v="40"/>
    <n v="797"/>
    <n v="757.3"/>
    <x v="1"/>
    <x v="0"/>
    <x v="1"/>
    <n v="41"/>
    <n v="3.7"/>
  </r>
  <r>
    <x v="1584"/>
    <x v="116"/>
    <x v="3"/>
    <n v="4"/>
    <n v="27"/>
    <s v="Sunday"/>
    <x v="0"/>
    <x v="9"/>
    <x v="0"/>
    <s v="Cold Coffee"/>
    <x v="2"/>
    <n v="2"/>
    <n v="506"/>
    <n v="50.6"/>
    <n v="40"/>
    <n v="1012"/>
    <n v="1001.4"/>
    <x v="1"/>
    <x v="0"/>
    <x v="1"/>
    <n v="58"/>
    <n v="3.9"/>
  </r>
  <r>
    <x v="1585"/>
    <x v="116"/>
    <x v="3"/>
    <n v="4"/>
    <n v="27"/>
    <s v="Sunday"/>
    <x v="5"/>
    <x v="5"/>
    <x v="3"/>
    <s v="Cold Coffee"/>
    <x v="0"/>
    <n v="2"/>
    <n v="477"/>
    <n v="0"/>
    <n v="60"/>
    <n v="954"/>
    <n v="1014"/>
    <x v="2"/>
    <x v="1"/>
    <x v="1"/>
    <n v="24"/>
    <m/>
  </r>
  <r>
    <x v="1586"/>
    <x v="116"/>
    <x v="3"/>
    <n v="4"/>
    <n v="27"/>
    <s v="Sunday"/>
    <x v="3"/>
    <x v="0"/>
    <x v="6"/>
    <s v="Paneer Butter Masala"/>
    <x v="2"/>
    <n v="1"/>
    <n v="605"/>
    <n v="0"/>
    <n v="0"/>
    <n v="605"/>
    <n v="605"/>
    <x v="4"/>
    <x v="2"/>
    <x v="1"/>
    <n v="43"/>
    <m/>
  </r>
  <r>
    <x v="1587"/>
    <x v="116"/>
    <x v="3"/>
    <n v="4"/>
    <n v="27"/>
    <s v="Sunday"/>
    <x v="1"/>
    <x v="13"/>
    <x v="2"/>
    <s v="Masala Dosa"/>
    <x v="1"/>
    <n v="2"/>
    <n v="145"/>
    <n v="29"/>
    <n v="60"/>
    <n v="290"/>
    <n v="321"/>
    <x v="1"/>
    <x v="0"/>
    <x v="0"/>
    <n v="24"/>
    <n v="4.0999999999999996"/>
  </r>
  <r>
    <x v="1588"/>
    <x v="116"/>
    <x v="3"/>
    <n v="4"/>
    <n v="27"/>
    <s v="Sunday"/>
    <x v="3"/>
    <x v="1"/>
    <x v="4"/>
    <s v="Chicken Pizza"/>
    <x v="1"/>
    <n v="1"/>
    <n v="147"/>
    <n v="14.7"/>
    <n v="50"/>
    <n v="147"/>
    <n v="182.3"/>
    <x v="2"/>
    <x v="0"/>
    <x v="1"/>
    <n v="40"/>
    <n v="4.2"/>
  </r>
  <r>
    <x v="1589"/>
    <x v="116"/>
    <x v="3"/>
    <n v="4"/>
    <n v="27"/>
    <s v="Sunday"/>
    <x v="3"/>
    <x v="11"/>
    <x v="7"/>
    <s v="Idli Sambar"/>
    <x v="1"/>
    <n v="1"/>
    <n v="727"/>
    <n v="181.75"/>
    <n v="40"/>
    <n v="727"/>
    <n v="585.25"/>
    <x v="1"/>
    <x v="0"/>
    <x v="1"/>
    <n v="20"/>
    <n v="3.6"/>
  </r>
  <r>
    <x v="1590"/>
    <x v="116"/>
    <x v="3"/>
    <n v="4"/>
    <n v="27"/>
    <s v="Sunday"/>
    <x v="9"/>
    <x v="13"/>
    <x v="9"/>
    <s v="Chicken Momos"/>
    <x v="0"/>
    <n v="1"/>
    <n v="379"/>
    <n v="94.75"/>
    <n v="30"/>
    <n v="379"/>
    <n v="314.25"/>
    <x v="0"/>
    <x v="0"/>
    <x v="1"/>
    <n v="38"/>
    <n v="2.2999999999999998"/>
  </r>
  <r>
    <x v="1591"/>
    <x v="116"/>
    <x v="3"/>
    <n v="4"/>
    <n v="27"/>
    <s v="Sunday"/>
    <x v="2"/>
    <x v="2"/>
    <x v="0"/>
    <s v="Pasta"/>
    <x v="3"/>
    <n v="1"/>
    <n v="399"/>
    <n v="39.9"/>
    <n v="40"/>
    <n v="399"/>
    <n v="399.1"/>
    <x v="0"/>
    <x v="0"/>
    <x v="1"/>
    <n v="42"/>
    <n v="4.2"/>
  </r>
  <r>
    <x v="1592"/>
    <x v="116"/>
    <x v="3"/>
    <n v="4"/>
    <n v="27"/>
    <s v="Sunday"/>
    <x v="2"/>
    <x v="10"/>
    <x v="4"/>
    <s v="Chocolate Cake"/>
    <x v="1"/>
    <n v="1"/>
    <n v="562"/>
    <n v="84.3"/>
    <n v="70"/>
    <n v="562"/>
    <n v="547.70000000000005"/>
    <x v="1"/>
    <x v="0"/>
    <x v="1"/>
    <n v="34"/>
    <n v="4.4000000000000004"/>
  </r>
  <r>
    <x v="1593"/>
    <x v="116"/>
    <x v="3"/>
    <n v="4"/>
    <n v="27"/>
    <s v="Sunday"/>
    <x v="9"/>
    <x v="3"/>
    <x v="0"/>
    <s v="Chocolate Cake"/>
    <x v="1"/>
    <n v="2"/>
    <n v="309"/>
    <n v="15.45"/>
    <n v="60"/>
    <n v="618"/>
    <n v="662.55"/>
    <x v="2"/>
    <x v="0"/>
    <x v="0"/>
    <n v="61"/>
    <n v="5"/>
  </r>
  <r>
    <x v="1594"/>
    <x v="116"/>
    <x v="3"/>
    <n v="4"/>
    <n v="27"/>
    <s v="Sunday"/>
    <x v="4"/>
    <x v="5"/>
    <x v="3"/>
    <s v="Veg Burger"/>
    <x v="1"/>
    <n v="1"/>
    <n v="328"/>
    <n v="65.599999999999994"/>
    <n v="20"/>
    <n v="328"/>
    <n v="282.39999999999998"/>
    <x v="3"/>
    <x v="0"/>
    <x v="0"/>
    <n v="30"/>
    <n v="4.3"/>
  </r>
  <r>
    <x v="1595"/>
    <x v="116"/>
    <x v="3"/>
    <n v="4"/>
    <n v="27"/>
    <s v="Sunday"/>
    <x v="5"/>
    <x v="3"/>
    <x v="5"/>
    <s v="Veg Biryani"/>
    <x v="1"/>
    <n v="1"/>
    <n v="166"/>
    <n v="16.600000000000001"/>
    <n v="0"/>
    <n v="166"/>
    <n v="149.4"/>
    <x v="3"/>
    <x v="0"/>
    <x v="1"/>
    <n v="53"/>
    <n v="3.7"/>
  </r>
  <r>
    <x v="1596"/>
    <x v="116"/>
    <x v="3"/>
    <n v="4"/>
    <n v="27"/>
    <s v="Sunday"/>
    <x v="9"/>
    <x v="10"/>
    <x v="1"/>
    <s v="French Fries"/>
    <x v="1"/>
    <n v="1"/>
    <n v="211"/>
    <n v="42.2"/>
    <n v="20"/>
    <n v="211"/>
    <n v="188.8"/>
    <x v="1"/>
    <x v="0"/>
    <x v="1"/>
    <n v="43"/>
    <n v="3.8"/>
  </r>
  <r>
    <x v="1597"/>
    <x v="116"/>
    <x v="3"/>
    <n v="4"/>
    <n v="27"/>
    <s v="Sunday"/>
    <x v="5"/>
    <x v="1"/>
    <x v="3"/>
    <s v="Chicken Burger"/>
    <x v="1"/>
    <n v="2"/>
    <n v="820"/>
    <n v="82"/>
    <n v="0"/>
    <n v="1640"/>
    <n v="1558"/>
    <x v="1"/>
    <x v="1"/>
    <x v="0"/>
    <n v="20"/>
    <m/>
  </r>
  <r>
    <x v="1598"/>
    <x v="117"/>
    <x v="3"/>
    <n v="4"/>
    <n v="28"/>
    <s v="Monday"/>
    <x v="7"/>
    <x v="14"/>
    <x v="6"/>
    <s v="Paneer Butter Masala"/>
    <x v="1"/>
    <n v="1"/>
    <n v="890"/>
    <n v="222.5"/>
    <n v="30"/>
    <n v="890"/>
    <n v="697.5"/>
    <x v="2"/>
    <x v="0"/>
    <x v="1"/>
    <n v="32"/>
    <n v="4.5"/>
  </r>
  <r>
    <x v="1599"/>
    <x v="117"/>
    <x v="3"/>
    <n v="4"/>
    <n v="28"/>
    <s v="Monday"/>
    <x v="1"/>
    <x v="11"/>
    <x v="0"/>
    <s v="Idli Sambar"/>
    <x v="1"/>
    <n v="1"/>
    <n v="217"/>
    <n v="21.7"/>
    <n v="50"/>
    <n v="217"/>
    <n v="245.3"/>
    <x v="1"/>
    <x v="0"/>
    <x v="1"/>
    <n v="50"/>
    <n v="4.3"/>
  </r>
  <r>
    <x v="1600"/>
    <x v="117"/>
    <x v="3"/>
    <n v="4"/>
    <n v="28"/>
    <s v="Monday"/>
    <x v="5"/>
    <x v="1"/>
    <x v="9"/>
    <s v="Paneer Butter Masala"/>
    <x v="1"/>
    <n v="3"/>
    <n v="343"/>
    <n v="68.599999999999994"/>
    <n v="20"/>
    <n v="1029"/>
    <n v="980.4"/>
    <x v="1"/>
    <x v="0"/>
    <x v="1"/>
    <n v="25"/>
    <n v="4.9000000000000004"/>
  </r>
  <r>
    <x v="1601"/>
    <x v="117"/>
    <x v="3"/>
    <n v="4"/>
    <n v="28"/>
    <s v="Monday"/>
    <x v="6"/>
    <x v="5"/>
    <x v="0"/>
    <s v="Paneer Butter Masala"/>
    <x v="2"/>
    <n v="1"/>
    <n v="469"/>
    <n v="46.9"/>
    <n v="40"/>
    <n v="469"/>
    <n v="462.1"/>
    <x v="0"/>
    <x v="0"/>
    <x v="0"/>
    <n v="59"/>
    <n v="5"/>
  </r>
  <r>
    <x v="1602"/>
    <x v="117"/>
    <x v="3"/>
    <n v="4"/>
    <n v="28"/>
    <s v="Monday"/>
    <x v="6"/>
    <x v="1"/>
    <x v="8"/>
    <s v="Chicken Burger"/>
    <x v="1"/>
    <n v="3"/>
    <n v="689"/>
    <n v="0"/>
    <n v="30"/>
    <n v="2067"/>
    <n v="2097"/>
    <x v="2"/>
    <x v="0"/>
    <x v="1"/>
    <n v="69"/>
    <n v="4.8"/>
  </r>
  <r>
    <x v="1603"/>
    <x v="117"/>
    <x v="3"/>
    <n v="4"/>
    <n v="28"/>
    <s v="Monday"/>
    <x v="4"/>
    <x v="0"/>
    <x v="7"/>
    <s v="Veg Pizza"/>
    <x v="1"/>
    <n v="2"/>
    <n v="843"/>
    <n v="42.15"/>
    <n v="30"/>
    <n v="1686"/>
    <n v="1673.85"/>
    <x v="1"/>
    <x v="1"/>
    <x v="1"/>
    <n v="53"/>
    <m/>
  </r>
  <r>
    <x v="1604"/>
    <x v="117"/>
    <x v="3"/>
    <n v="4"/>
    <n v="28"/>
    <s v="Monday"/>
    <x v="3"/>
    <x v="6"/>
    <x v="2"/>
    <s v="Chicken Pizza"/>
    <x v="1"/>
    <n v="1"/>
    <n v="411"/>
    <n v="61.65"/>
    <n v="30"/>
    <n v="411"/>
    <n v="379.35"/>
    <x v="4"/>
    <x v="0"/>
    <x v="1"/>
    <n v="56"/>
    <n v="3.6"/>
  </r>
  <r>
    <x v="1605"/>
    <x v="117"/>
    <x v="3"/>
    <n v="4"/>
    <n v="28"/>
    <s v="Monday"/>
    <x v="1"/>
    <x v="10"/>
    <x v="3"/>
    <s v="Cold Coffee"/>
    <x v="1"/>
    <n v="1"/>
    <n v="606"/>
    <n v="121.2"/>
    <n v="40"/>
    <n v="606"/>
    <n v="524.79999999999995"/>
    <x v="3"/>
    <x v="0"/>
    <x v="0"/>
    <n v="36"/>
    <n v="3.8"/>
  </r>
  <r>
    <x v="1606"/>
    <x v="117"/>
    <x v="3"/>
    <n v="4"/>
    <n v="28"/>
    <s v="Monday"/>
    <x v="2"/>
    <x v="12"/>
    <x v="0"/>
    <s v="Veg Burger"/>
    <x v="1"/>
    <n v="1"/>
    <n v="185"/>
    <n v="27.75"/>
    <n v="30"/>
    <n v="185"/>
    <n v="187.25"/>
    <x v="3"/>
    <x v="0"/>
    <x v="1"/>
    <n v="48"/>
    <n v="5"/>
  </r>
  <r>
    <x v="1607"/>
    <x v="117"/>
    <x v="3"/>
    <n v="4"/>
    <n v="28"/>
    <s v="Monday"/>
    <x v="7"/>
    <x v="10"/>
    <x v="3"/>
    <s v="French Fries"/>
    <x v="2"/>
    <n v="2"/>
    <n v="416"/>
    <n v="62.4"/>
    <n v="40"/>
    <n v="832"/>
    <n v="809.6"/>
    <x v="2"/>
    <x v="0"/>
    <x v="1"/>
    <n v="31"/>
    <n v="4.2"/>
  </r>
  <r>
    <x v="1608"/>
    <x v="117"/>
    <x v="3"/>
    <n v="4"/>
    <n v="28"/>
    <s v="Monday"/>
    <x v="2"/>
    <x v="5"/>
    <x v="6"/>
    <s v="Chocolate Cake"/>
    <x v="0"/>
    <n v="1"/>
    <n v="816"/>
    <n v="122.4"/>
    <n v="20"/>
    <n v="816"/>
    <n v="713.6"/>
    <x v="1"/>
    <x v="0"/>
    <x v="1"/>
    <n v="40"/>
    <n v="5"/>
  </r>
  <r>
    <x v="1609"/>
    <x v="117"/>
    <x v="3"/>
    <n v="4"/>
    <n v="28"/>
    <s v="Monday"/>
    <x v="4"/>
    <x v="1"/>
    <x v="4"/>
    <s v="Chicken Momos"/>
    <x v="0"/>
    <n v="1"/>
    <n v="205"/>
    <n v="30.75"/>
    <n v="50"/>
    <n v="205"/>
    <n v="224.25"/>
    <x v="1"/>
    <x v="0"/>
    <x v="1"/>
    <n v="40"/>
    <n v="3.7"/>
  </r>
  <r>
    <x v="1610"/>
    <x v="117"/>
    <x v="3"/>
    <n v="4"/>
    <n v="28"/>
    <s v="Monday"/>
    <x v="1"/>
    <x v="3"/>
    <x v="4"/>
    <s v="Paneer Butter Masala"/>
    <x v="1"/>
    <n v="1"/>
    <n v="186"/>
    <n v="37.200000000000003"/>
    <n v="20"/>
    <n v="186"/>
    <n v="168.8"/>
    <x v="4"/>
    <x v="0"/>
    <x v="0"/>
    <n v="41"/>
    <n v="3"/>
  </r>
  <r>
    <x v="1611"/>
    <x v="117"/>
    <x v="3"/>
    <n v="4"/>
    <n v="28"/>
    <s v="Monday"/>
    <x v="0"/>
    <x v="7"/>
    <x v="4"/>
    <s v="French Fries"/>
    <x v="1"/>
    <n v="1"/>
    <n v="875"/>
    <n v="175"/>
    <n v="30"/>
    <n v="875"/>
    <n v="730"/>
    <x v="2"/>
    <x v="0"/>
    <x v="1"/>
    <n v="18"/>
    <n v="4.2"/>
  </r>
  <r>
    <x v="1612"/>
    <x v="117"/>
    <x v="3"/>
    <n v="4"/>
    <n v="28"/>
    <s v="Monday"/>
    <x v="9"/>
    <x v="13"/>
    <x v="2"/>
    <s v="Pasta"/>
    <x v="1"/>
    <n v="2"/>
    <n v="297"/>
    <n v="14.85"/>
    <n v="30"/>
    <n v="594"/>
    <n v="609.15"/>
    <x v="0"/>
    <x v="0"/>
    <x v="0"/>
    <n v="47"/>
    <n v="4.7"/>
  </r>
  <r>
    <x v="1613"/>
    <x v="117"/>
    <x v="3"/>
    <n v="4"/>
    <n v="28"/>
    <s v="Monday"/>
    <x v="2"/>
    <x v="0"/>
    <x v="9"/>
    <s v="Chicken Biryani"/>
    <x v="1"/>
    <n v="3"/>
    <n v="318"/>
    <n v="31.8"/>
    <n v="50"/>
    <n v="954"/>
    <n v="972.2"/>
    <x v="4"/>
    <x v="0"/>
    <x v="1"/>
    <n v="63"/>
    <n v="4.8"/>
  </r>
  <r>
    <x v="1614"/>
    <x v="117"/>
    <x v="3"/>
    <n v="4"/>
    <n v="28"/>
    <s v="Monday"/>
    <x v="3"/>
    <x v="10"/>
    <x v="7"/>
    <s v="Veg Pizza"/>
    <x v="3"/>
    <n v="1"/>
    <n v="718"/>
    <n v="143.6"/>
    <n v="50"/>
    <n v="718"/>
    <n v="624.4"/>
    <x v="1"/>
    <x v="0"/>
    <x v="0"/>
    <n v="47"/>
    <n v="4.3"/>
  </r>
  <r>
    <x v="1615"/>
    <x v="117"/>
    <x v="3"/>
    <n v="4"/>
    <n v="28"/>
    <s v="Monday"/>
    <x v="1"/>
    <x v="10"/>
    <x v="0"/>
    <s v="Veg Pizza"/>
    <x v="1"/>
    <n v="1"/>
    <n v="390"/>
    <n v="58.5"/>
    <n v="40"/>
    <n v="390"/>
    <n v="371.5"/>
    <x v="1"/>
    <x v="0"/>
    <x v="0"/>
    <n v="42"/>
    <n v="4.5"/>
  </r>
  <r>
    <x v="1616"/>
    <x v="117"/>
    <x v="3"/>
    <n v="4"/>
    <n v="28"/>
    <s v="Monday"/>
    <x v="6"/>
    <x v="7"/>
    <x v="2"/>
    <s v="Masala Dosa"/>
    <x v="1"/>
    <n v="2"/>
    <n v="244"/>
    <n v="12.2"/>
    <n v="40"/>
    <n v="488"/>
    <n v="515.79999999999995"/>
    <x v="2"/>
    <x v="0"/>
    <x v="1"/>
    <n v="46"/>
    <n v="3.7"/>
  </r>
  <r>
    <x v="1617"/>
    <x v="117"/>
    <x v="3"/>
    <n v="4"/>
    <n v="28"/>
    <s v="Monday"/>
    <x v="4"/>
    <x v="4"/>
    <x v="7"/>
    <s v="Chicken Biryani"/>
    <x v="1"/>
    <n v="3"/>
    <n v="529"/>
    <n v="52.9"/>
    <n v="40"/>
    <n v="1587"/>
    <n v="1574.1"/>
    <x v="2"/>
    <x v="0"/>
    <x v="1"/>
    <n v="59"/>
    <n v="4.3"/>
  </r>
  <r>
    <x v="1618"/>
    <x v="117"/>
    <x v="3"/>
    <n v="4"/>
    <n v="28"/>
    <s v="Monday"/>
    <x v="4"/>
    <x v="2"/>
    <x v="2"/>
    <s v="Chicken Pizza"/>
    <x v="1"/>
    <n v="1"/>
    <n v="304"/>
    <n v="0"/>
    <n v="0"/>
    <n v="304"/>
    <n v="304"/>
    <x v="1"/>
    <x v="0"/>
    <x v="1"/>
    <n v="61"/>
    <n v="3.1"/>
  </r>
  <r>
    <x v="1619"/>
    <x v="118"/>
    <x v="3"/>
    <n v="4"/>
    <n v="29"/>
    <s v="Tuesday"/>
    <x v="1"/>
    <x v="4"/>
    <x v="5"/>
    <s v="French Fries"/>
    <x v="1"/>
    <n v="2"/>
    <n v="356"/>
    <n v="89"/>
    <n v="60"/>
    <n v="712"/>
    <n v="683"/>
    <x v="0"/>
    <x v="0"/>
    <x v="1"/>
    <n v="52"/>
    <n v="4.2"/>
  </r>
  <r>
    <x v="1620"/>
    <x v="118"/>
    <x v="3"/>
    <n v="4"/>
    <n v="29"/>
    <s v="Tuesday"/>
    <x v="3"/>
    <x v="1"/>
    <x v="7"/>
    <s v="Paneer Butter Masala"/>
    <x v="1"/>
    <n v="1"/>
    <n v="280"/>
    <n v="28"/>
    <n v="40"/>
    <n v="280"/>
    <n v="292"/>
    <x v="1"/>
    <x v="0"/>
    <x v="1"/>
    <n v="46"/>
    <n v="4.4000000000000004"/>
  </r>
  <r>
    <x v="1621"/>
    <x v="118"/>
    <x v="3"/>
    <n v="4"/>
    <n v="29"/>
    <s v="Tuesday"/>
    <x v="6"/>
    <x v="10"/>
    <x v="9"/>
    <s v="Chicken Burger"/>
    <x v="2"/>
    <n v="1"/>
    <n v="268"/>
    <n v="67"/>
    <n v="50"/>
    <n v="268"/>
    <n v="251"/>
    <x v="1"/>
    <x v="0"/>
    <x v="1"/>
    <n v="59"/>
    <n v="5"/>
  </r>
  <r>
    <x v="1622"/>
    <x v="118"/>
    <x v="3"/>
    <n v="4"/>
    <n v="29"/>
    <s v="Tuesday"/>
    <x v="5"/>
    <x v="4"/>
    <x v="5"/>
    <s v="Veg Burger"/>
    <x v="1"/>
    <n v="1"/>
    <n v="284"/>
    <n v="42.6"/>
    <n v="40"/>
    <n v="284"/>
    <n v="281.39999999999998"/>
    <x v="1"/>
    <x v="0"/>
    <x v="1"/>
    <n v="52"/>
    <n v="3.4"/>
  </r>
  <r>
    <x v="1623"/>
    <x v="118"/>
    <x v="3"/>
    <n v="4"/>
    <n v="29"/>
    <s v="Tuesday"/>
    <x v="4"/>
    <x v="0"/>
    <x v="6"/>
    <s v="Veg Burger"/>
    <x v="1"/>
    <n v="2"/>
    <n v="794"/>
    <n v="39.700000000000003"/>
    <n v="30"/>
    <n v="1588"/>
    <n v="1578.3"/>
    <x v="0"/>
    <x v="0"/>
    <x v="1"/>
    <n v="60"/>
    <n v="4"/>
  </r>
  <r>
    <x v="1624"/>
    <x v="118"/>
    <x v="3"/>
    <n v="4"/>
    <n v="29"/>
    <s v="Tuesday"/>
    <x v="6"/>
    <x v="3"/>
    <x v="9"/>
    <s v="Chicken Pizza"/>
    <x v="2"/>
    <n v="1"/>
    <n v="230"/>
    <n v="34.5"/>
    <n v="60"/>
    <n v="230"/>
    <n v="255.5"/>
    <x v="0"/>
    <x v="0"/>
    <x v="0"/>
    <n v="36"/>
    <n v="4.5"/>
  </r>
  <r>
    <x v="1625"/>
    <x v="118"/>
    <x v="3"/>
    <n v="4"/>
    <n v="29"/>
    <s v="Tuesday"/>
    <x v="5"/>
    <x v="2"/>
    <x v="2"/>
    <s v="Paneer Butter Masala"/>
    <x v="0"/>
    <n v="2"/>
    <n v="310"/>
    <n v="31"/>
    <n v="20"/>
    <n v="620"/>
    <n v="609"/>
    <x v="1"/>
    <x v="0"/>
    <x v="0"/>
    <n v="68"/>
    <n v="5"/>
  </r>
  <r>
    <x v="1626"/>
    <x v="118"/>
    <x v="3"/>
    <n v="4"/>
    <n v="29"/>
    <s v="Tuesday"/>
    <x v="5"/>
    <x v="7"/>
    <x v="6"/>
    <s v="Veg Momos"/>
    <x v="1"/>
    <n v="1"/>
    <n v="641"/>
    <n v="160.25"/>
    <n v="20"/>
    <n v="641"/>
    <n v="500.75"/>
    <x v="1"/>
    <x v="0"/>
    <x v="1"/>
    <n v="26"/>
    <n v="3.7"/>
  </r>
  <r>
    <x v="1627"/>
    <x v="118"/>
    <x v="3"/>
    <n v="4"/>
    <n v="29"/>
    <s v="Tuesday"/>
    <x v="4"/>
    <x v="3"/>
    <x v="0"/>
    <s v="Fried Rice"/>
    <x v="2"/>
    <n v="2"/>
    <n v="649"/>
    <n v="162.25"/>
    <n v="20"/>
    <n v="1298"/>
    <n v="1155.75"/>
    <x v="1"/>
    <x v="0"/>
    <x v="1"/>
    <n v="21"/>
    <n v="4.5"/>
  </r>
  <r>
    <x v="1628"/>
    <x v="118"/>
    <x v="3"/>
    <n v="4"/>
    <n v="29"/>
    <s v="Tuesday"/>
    <x v="3"/>
    <x v="5"/>
    <x v="8"/>
    <s v="Chicken Momos"/>
    <x v="1"/>
    <n v="2"/>
    <n v="369"/>
    <n v="18.45"/>
    <n v="20"/>
    <n v="738"/>
    <n v="739.55"/>
    <x v="0"/>
    <x v="3"/>
    <x v="1"/>
    <n v="28"/>
    <m/>
  </r>
  <r>
    <x v="1629"/>
    <x v="118"/>
    <x v="3"/>
    <n v="4"/>
    <n v="29"/>
    <s v="Tuesday"/>
    <x v="6"/>
    <x v="10"/>
    <x v="2"/>
    <s v="Chicken Burger"/>
    <x v="2"/>
    <n v="1"/>
    <n v="709"/>
    <n v="70.900000000000006"/>
    <n v="40"/>
    <n v="709"/>
    <n v="678.1"/>
    <x v="0"/>
    <x v="0"/>
    <x v="1"/>
    <n v="47"/>
    <n v="5"/>
  </r>
  <r>
    <x v="1630"/>
    <x v="118"/>
    <x v="3"/>
    <n v="4"/>
    <n v="29"/>
    <s v="Tuesday"/>
    <x v="5"/>
    <x v="14"/>
    <x v="9"/>
    <s v="Cold Coffee"/>
    <x v="0"/>
    <n v="2"/>
    <n v="260"/>
    <n v="26"/>
    <n v="50"/>
    <n v="520"/>
    <n v="544"/>
    <x v="3"/>
    <x v="0"/>
    <x v="0"/>
    <n v="22"/>
    <n v="3.7"/>
  </r>
  <r>
    <x v="1631"/>
    <x v="118"/>
    <x v="3"/>
    <n v="4"/>
    <n v="29"/>
    <s v="Tuesday"/>
    <x v="5"/>
    <x v="0"/>
    <x v="5"/>
    <s v="Chocolate Cake"/>
    <x v="1"/>
    <n v="2"/>
    <n v="356"/>
    <n v="35.6"/>
    <n v="20"/>
    <n v="712"/>
    <n v="696.4"/>
    <x v="0"/>
    <x v="3"/>
    <x v="1"/>
    <n v="37"/>
    <m/>
  </r>
  <r>
    <x v="1632"/>
    <x v="118"/>
    <x v="3"/>
    <n v="4"/>
    <n v="29"/>
    <s v="Tuesday"/>
    <x v="3"/>
    <x v="3"/>
    <x v="8"/>
    <s v="Veg Pizza"/>
    <x v="3"/>
    <n v="1"/>
    <n v="624"/>
    <n v="93.6"/>
    <n v="40"/>
    <n v="624"/>
    <n v="570.4"/>
    <x v="4"/>
    <x v="0"/>
    <x v="1"/>
    <n v="19"/>
    <n v="5"/>
  </r>
  <r>
    <x v="1633"/>
    <x v="118"/>
    <x v="3"/>
    <n v="4"/>
    <n v="29"/>
    <s v="Tuesday"/>
    <x v="8"/>
    <x v="8"/>
    <x v="9"/>
    <s v="Idli Sambar"/>
    <x v="1"/>
    <n v="2"/>
    <n v="359"/>
    <n v="35.9"/>
    <n v="30"/>
    <n v="718"/>
    <n v="712.1"/>
    <x v="1"/>
    <x v="1"/>
    <x v="0"/>
    <n v="19"/>
    <m/>
  </r>
  <r>
    <x v="1634"/>
    <x v="119"/>
    <x v="3"/>
    <n v="4"/>
    <n v="30"/>
    <s v="Wednesday"/>
    <x v="3"/>
    <x v="9"/>
    <x v="1"/>
    <s v="Veg Biryani"/>
    <x v="2"/>
    <n v="2"/>
    <n v="594"/>
    <n v="148.5"/>
    <n v="50"/>
    <n v="1188"/>
    <n v="1089.5"/>
    <x v="1"/>
    <x v="0"/>
    <x v="0"/>
    <n v="46"/>
    <n v="3"/>
  </r>
  <r>
    <x v="1635"/>
    <x v="119"/>
    <x v="3"/>
    <n v="4"/>
    <n v="30"/>
    <s v="Wednesday"/>
    <x v="5"/>
    <x v="13"/>
    <x v="7"/>
    <s v="Idli Sambar"/>
    <x v="2"/>
    <n v="2"/>
    <n v="756"/>
    <n v="113.4"/>
    <n v="30"/>
    <n v="1512"/>
    <n v="1428.6"/>
    <x v="0"/>
    <x v="0"/>
    <x v="0"/>
    <n v="69"/>
    <n v="4.5"/>
  </r>
  <r>
    <x v="1636"/>
    <x v="119"/>
    <x v="3"/>
    <n v="4"/>
    <n v="30"/>
    <s v="Wednesday"/>
    <x v="6"/>
    <x v="14"/>
    <x v="0"/>
    <s v="Idli Sambar"/>
    <x v="2"/>
    <n v="1"/>
    <n v="895"/>
    <n v="223.75"/>
    <n v="30"/>
    <n v="895"/>
    <n v="701.25"/>
    <x v="1"/>
    <x v="0"/>
    <x v="1"/>
    <n v="36"/>
    <n v="4.2"/>
  </r>
  <r>
    <x v="1637"/>
    <x v="119"/>
    <x v="3"/>
    <n v="4"/>
    <n v="30"/>
    <s v="Wednesday"/>
    <x v="3"/>
    <x v="3"/>
    <x v="2"/>
    <s v="Chicken Biryani"/>
    <x v="1"/>
    <n v="2"/>
    <n v="187"/>
    <n v="46.75"/>
    <n v="20"/>
    <n v="374"/>
    <n v="347.25"/>
    <x v="1"/>
    <x v="0"/>
    <x v="1"/>
    <n v="19"/>
    <n v="4.9000000000000004"/>
  </r>
  <r>
    <x v="1638"/>
    <x v="119"/>
    <x v="3"/>
    <n v="4"/>
    <n v="30"/>
    <s v="Wednesday"/>
    <x v="1"/>
    <x v="5"/>
    <x v="3"/>
    <s v="Chocolate Cake"/>
    <x v="1"/>
    <n v="2"/>
    <n v="480"/>
    <n v="48"/>
    <n v="40"/>
    <n v="960"/>
    <n v="952"/>
    <x v="0"/>
    <x v="2"/>
    <x v="1"/>
    <n v="32"/>
    <m/>
  </r>
  <r>
    <x v="1639"/>
    <x v="119"/>
    <x v="3"/>
    <n v="4"/>
    <n v="30"/>
    <s v="Wednesday"/>
    <x v="1"/>
    <x v="14"/>
    <x v="5"/>
    <s v="Veg Momos"/>
    <x v="1"/>
    <n v="2"/>
    <n v="238"/>
    <n v="47.6"/>
    <n v="20"/>
    <n v="476"/>
    <n v="448.4"/>
    <x v="3"/>
    <x v="1"/>
    <x v="1"/>
    <n v="49"/>
    <m/>
  </r>
  <r>
    <x v="1640"/>
    <x v="119"/>
    <x v="3"/>
    <n v="4"/>
    <n v="30"/>
    <s v="Wednesday"/>
    <x v="3"/>
    <x v="12"/>
    <x v="1"/>
    <s v="Fried Rice"/>
    <x v="1"/>
    <n v="1"/>
    <n v="849"/>
    <n v="212.25"/>
    <n v="30"/>
    <n v="849"/>
    <n v="666.75"/>
    <x v="3"/>
    <x v="0"/>
    <x v="0"/>
    <n v="33"/>
    <n v="4.3"/>
  </r>
  <r>
    <x v="1641"/>
    <x v="119"/>
    <x v="3"/>
    <n v="4"/>
    <n v="30"/>
    <s v="Wednesday"/>
    <x v="7"/>
    <x v="4"/>
    <x v="0"/>
    <s v="Chocolate Cake"/>
    <x v="1"/>
    <n v="1"/>
    <n v="230"/>
    <n v="11.5"/>
    <n v="0"/>
    <n v="230"/>
    <n v="218.5"/>
    <x v="1"/>
    <x v="0"/>
    <x v="1"/>
    <n v="60"/>
    <n v="5"/>
  </r>
  <r>
    <x v="1642"/>
    <x v="119"/>
    <x v="3"/>
    <n v="4"/>
    <n v="30"/>
    <s v="Wednesday"/>
    <x v="9"/>
    <x v="6"/>
    <x v="6"/>
    <s v="Chicken Momos"/>
    <x v="1"/>
    <n v="2"/>
    <n v="569"/>
    <n v="56.9"/>
    <n v="60"/>
    <n v="1138"/>
    <n v="1141.0999999999999"/>
    <x v="2"/>
    <x v="0"/>
    <x v="0"/>
    <n v="41"/>
    <n v="3.3"/>
  </r>
  <r>
    <x v="1643"/>
    <x v="119"/>
    <x v="3"/>
    <n v="4"/>
    <n v="30"/>
    <s v="Wednesday"/>
    <x v="9"/>
    <x v="11"/>
    <x v="4"/>
    <s v="Pasta"/>
    <x v="3"/>
    <n v="2"/>
    <n v="330"/>
    <n v="33"/>
    <n v="50"/>
    <n v="660"/>
    <n v="677"/>
    <x v="1"/>
    <x v="0"/>
    <x v="1"/>
    <n v="54"/>
    <n v="4.3"/>
  </r>
  <r>
    <x v="1644"/>
    <x v="119"/>
    <x v="3"/>
    <n v="4"/>
    <n v="30"/>
    <s v="Wednesday"/>
    <x v="3"/>
    <x v="6"/>
    <x v="7"/>
    <s v="Veg Biryani"/>
    <x v="1"/>
    <n v="1"/>
    <n v="422"/>
    <n v="21.1"/>
    <n v="30"/>
    <n v="422"/>
    <n v="430.9"/>
    <x v="1"/>
    <x v="0"/>
    <x v="1"/>
    <n v="54"/>
    <n v="3.2"/>
  </r>
  <r>
    <x v="1645"/>
    <x v="119"/>
    <x v="3"/>
    <n v="4"/>
    <n v="30"/>
    <s v="Wednesday"/>
    <x v="5"/>
    <x v="12"/>
    <x v="7"/>
    <s v="Fried Rice"/>
    <x v="1"/>
    <n v="2"/>
    <n v="644"/>
    <n v="32.200000000000003"/>
    <n v="0"/>
    <n v="1288"/>
    <n v="1255.8"/>
    <x v="2"/>
    <x v="0"/>
    <x v="1"/>
    <n v="44"/>
    <n v="4.4000000000000004"/>
  </r>
  <r>
    <x v="1646"/>
    <x v="119"/>
    <x v="3"/>
    <n v="4"/>
    <n v="30"/>
    <s v="Wednesday"/>
    <x v="0"/>
    <x v="10"/>
    <x v="7"/>
    <s v="Fried Rice"/>
    <x v="1"/>
    <n v="1"/>
    <n v="817"/>
    <n v="40.85"/>
    <n v="0"/>
    <n v="817"/>
    <n v="776.15"/>
    <x v="1"/>
    <x v="0"/>
    <x v="1"/>
    <n v="35"/>
    <n v="4.0999999999999996"/>
  </r>
  <r>
    <x v="1647"/>
    <x v="119"/>
    <x v="3"/>
    <n v="4"/>
    <n v="30"/>
    <s v="Wednesday"/>
    <x v="2"/>
    <x v="8"/>
    <x v="8"/>
    <s v="Veg Pizza"/>
    <x v="3"/>
    <n v="1"/>
    <n v="866"/>
    <n v="0"/>
    <n v="0"/>
    <n v="866"/>
    <n v="866"/>
    <x v="0"/>
    <x v="0"/>
    <x v="1"/>
    <n v="29"/>
    <n v="3.3"/>
  </r>
  <r>
    <x v="1648"/>
    <x v="119"/>
    <x v="3"/>
    <n v="4"/>
    <n v="30"/>
    <s v="Wednesday"/>
    <x v="2"/>
    <x v="10"/>
    <x v="6"/>
    <s v="Fried Rice"/>
    <x v="1"/>
    <n v="1"/>
    <n v="596"/>
    <n v="149"/>
    <n v="50"/>
    <n v="596"/>
    <n v="497"/>
    <x v="3"/>
    <x v="0"/>
    <x v="1"/>
    <n v="38"/>
    <n v="4.8"/>
  </r>
  <r>
    <x v="1649"/>
    <x v="120"/>
    <x v="4"/>
    <n v="5"/>
    <n v="1"/>
    <s v="Thursday"/>
    <x v="4"/>
    <x v="8"/>
    <x v="9"/>
    <s v="Chicken Biryani"/>
    <x v="1"/>
    <n v="1"/>
    <n v="616"/>
    <n v="92.4"/>
    <n v="50"/>
    <n v="616"/>
    <n v="573.6"/>
    <x v="0"/>
    <x v="0"/>
    <x v="1"/>
    <n v="34"/>
    <n v="4.5999999999999996"/>
  </r>
  <r>
    <x v="1650"/>
    <x v="120"/>
    <x v="4"/>
    <n v="5"/>
    <n v="1"/>
    <s v="Thursday"/>
    <x v="5"/>
    <x v="13"/>
    <x v="5"/>
    <s v="Idli Sambar"/>
    <x v="1"/>
    <n v="2"/>
    <n v="757"/>
    <n v="151.4"/>
    <n v="50"/>
    <n v="1514"/>
    <n v="1412.6"/>
    <x v="4"/>
    <x v="3"/>
    <x v="1"/>
    <n v="22"/>
    <m/>
  </r>
  <r>
    <x v="1651"/>
    <x v="120"/>
    <x v="4"/>
    <n v="5"/>
    <n v="1"/>
    <s v="Thursday"/>
    <x v="4"/>
    <x v="6"/>
    <x v="0"/>
    <s v="Masala Dosa"/>
    <x v="3"/>
    <n v="2"/>
    <n v="243"/>
    <n v="0"/>
    <n v="0"/>
    <n v="486"/>
    <n v="486"/>
    <x v="4"/>
    <x v="0"/>
    <x v="1"/>
    <n v="64"/>
    <n v="4.7"/>
  </r>
  <r>
    <x v="1652"/>
    <x v="120"/>
    <x v="4"/>
    <n v="5"/>
    <n v="1"/>
    <s v="Thursday"/>
    <x v="0"/>
    <x v="4"/>
    <x v="2"/>
    <s v="Masala Dosa"/>
    <x v="2"/>
    <n v="2"/>
    <n v="702"/>
    <n v="105.3"/>
    <n v="40"/>
    <n v="1404"/>
    <n v="1338.7"/>
    <x v="1"/>
    <x v="0"/>
    <x v="0"/>
    <n v="38"/>
    <n v="4.0999999999999996"/>
  </r>
  <r>
    <x v="1653"/>
    <x v="120"/>
    <x v="4"/>
    <n v="5"/>
    <n v="1"/>
    <s v="Thursday"/>
    <x v="3"/>
    <x v="8"/>
    <x v="3"/>
    <s v="Chicken Momos"/>
    <x v="1"/>
    <n v="3"/>
    <n v="157"/>
    <n v="7.85"/>
    <n v="40"/>
    <n v="471"/>
    <n v="503.15"/>
    <x v="1"/>
    <x v="0"/>
    <x v="1"/>
    <n v="37"/>
    <n v="3.3"/>
  </r>
  <r>
    <x v="1654"/>
    <x v="120"/>
    <x v="4"/>
    <n v="5"/>
    <n v="1"/>
    <s v="Thursday"/>
    <x v="1"/>
    <x v="9"/>
    <x v="5"/>
    <s v="Chocolate Cake"/>
    <x v="1"/>
    <n v="3"/>
    <n v="187"/>
    <n v="28.05"/>
    <n v="30"/>
    <n v="561"/>
    <n v="562.95000000000005"/>
    <x v="1"/>
    <x v="2"/>
    <x v="0"/>
    <n v="28"/>
    <m/>
  </r>
  <r>
    <x v="1655"/>
    <x v="120"/>
    <x v="4"/>
    <n v="5"/>
    <n v="1"/>
    <s v="Thursday"/>
    <x v="6"/>
    <x v="0"/>
    <x v="8"/>
    <s v="Fried Rice"/>
    <x v="0"/>
    <n v="2"/>
    <n v="540"/>
    <n v="27"/>
    <n v="40"/>
    <n v="1080"/>
    <n v="1093"/>
    <x v="1"/>
    <x v="0"/>
    <x v="0"/>
    <n v="34"/>
    <n v="5"/>
  </r>
  <r>
    <x v="1656"/>
    <x v="120"/>
    <x v="4"/>
    <n v="5"/>
    <n v="1"/>
    <s v="Thursday"/>
    <x v="9"/>
    <x v="9"/>
    <x v="7"/>
    <s v="Chicken Burger"/>
    <x v="1"/>
    <n v="1"/>
    <n v="461"/>
    <n v="46.1"/>
    <n v="70"/>
    <n v="461"/>
    <n v="484.9"/>
    <x v="4"/>
    <x v="0"/>
    <x v="0"/>
    <n v="22"/>
    <n v="4.8"/>
  </r>
  <r>
    <x v="1657"/>
    <x v="120"/>
    <x v="4"/>
    <n v="5"/>
    <n v="1"/>
    <s v="Thursday"/>
    <x v="4"/>
    <x v="2"/>
    <x v="7"/>
    <s v="Chicken Pizza"/>
    <x v="2"/>
    <n v="3"/>
    <n v="720"/>
    <n v="180"/>
    <n v="60"/>
    <n v="2160"/>
    <n v="2040"/>
    <x v="0"/>
    <x v="0"/>
    <x v="1"/>
    <n v="37"/>
    <n v="4.5"/>
  </r>
  <r>
    <x v="1658"/>
    <x v="120"/>
    <x v="4"/>
    <n v="5"/>
    <n v="1"/>
    <s v="Thursday"/>
    <x v="5"/>
    <x v="5"/>
    <x v="6"/>
    <s v="Chicken Burger"/>
    <x v="1"/>
    <n v="1"/>
    <n v="296"/>
    <n v="59.2"/>
    <n v="60"/>
    <n v="296"/>
    <n v="296.8"/>
    <x v="1"/>
    <x v="3"/>
    <x v="1"/>
    <n v="28"/>
    <m/>
  </r>
  <r>
    <x v="1659"/>
    <x v="121"/>
    <x v="4"/>
    <n v="5"/>
    <n v="2"/>
    <s v="Friday"/>
    <x v="3"/>
    <x v="9"/>
    <x v="0"/>
    <s v="Chicken Burger"/>
    <x v="1"/>
    <n v="1"/>
    <n v="613"/>
    <n v="0"/>
    <n v="70"/>
    <n v="613"/>
    <n v="683"/>
    <x v="2"/>
    <x v="2"/>
    <x v="1"/>
    <n v="66"/>
    <m/>
  </r>
  <r>
    <x v="1660"/>
    <x v="121"/>
    <x v="4"/>
    <n v="5"/>
    <n v="2"/>
    <s v="Friday"/>
    <x v="2"/>
    <x v="7"/>
    <x v="1"/>
    <s v="Masala Dosa"/>
    <x v="1"/>
    <n v="2"/>
    <n v="853"/>
    <n v="85.3"/>
    <n v="40"/>
    <n v="1706"/>
    <n v="1660.7"/>
    <x v="4"/>
    <x v="1"/>
    <x v="0"/>
    <n v="34"/>
    <m/>
  </r>
  <r>
    <x v="1661"/>
    <x v="121"/>
    <x v="4"/>
    <n v="5"/>
    <n v="2"/>
    <s v="Friday"/>
    <x v="1"/>
    <x v="10"/>
    <x v="4"/>
    <s v="Masala Dosa"/>
    <x v="0"/>
    <n v="2"/>
    <n v="412"/>
    <n v="82.4"/>
    <n v="30"/>
    <n v="824"/>
    <n v="771.6"/>
    <x v="1"/>
    <x v="0"/>
    <x v="0"/>
    <n v="60"/>
    <n v="3.3"/>
  </r>
  <r>
    <x v="1662"/>
    <x v="121"/>
    <x v="4"/>
    <n v="5"/>
    <n v="2"/>
    <s v="Friday"/>
    <x v="1"/>
    <x v="12"/>
    <x v="3"/>
    <s v="Masala Dosa"/>
    <x v="1"/>
    <n v="1"/>
    <n v="208"/>
    <n v="10.4"/>
    <n v="60"/>
    <n v="208"/>
    <n v="257.60000000000002"/>
    <x v="1"/>
    <x v="1"/>
    <x v="0"/>
    <n v="63"/>
    <m/>
  </r>
  <r>
    <x v="1663"/>
    <x v="121"/>
    <x v="4"/>
    <n v="5"/>
    <n v="2"/>
    <s v="Friday"/>
    <x v="0"/>
    <x v="11"/>
    <x v="9"/>
    <s v="Idli Sambar"/>
    <x v="1"/>
    <n v="1"/>
    <n v="726"/>
    <n v="72.599999999999994"/>
    <n v="0"/>
    <n v="726"/>
    <n v="653.4"/>
    <x v="0"/>
    <x v="0"/>
    <x v="1"/>
    <n v="63"/>
    <n v="4.3"/>
  </r>
  <r>
    <x v="1664"/>
    <x v="121"/>
    <x v="4"/>
    <n v="5"/>
    <n v="2"/>
    <s v="Friday"/>
    <x v="5"/>
    <x v="7"/>
    <x v="9"/>
    <s v="Chicken Biryani"/>
    <x v="2"/>
    <n v="3"/>
    <n v="798"/>
    <n v="0"/>
    <n v="50"/>
    <n v="2394"/>
    <n v="2444"/>
    <x v="1"/>
    <x v="0"/>
    <x v="0"/>
    <n v="60"/>
    <n v="4.5999999999999996"/>
  </r>
  <r>
    <x v="1665"/>
    <x v="121"/>
    <x v="4"/>
    <n v="5"/>
    <n v="2"/>
    <s v="Friday"/>
    <x v="4"/>
    <x v="3"/>
    <x v="9"/>
    <s v="Chicken Burger"/>
    <x v="1"/>
    <n v="1"/>
    <n v="891"/>
    <n v="133.65"/>
    <n v="40"/>
    <n v="891"/>
    <n v="797.35"/>
    <x v="1"/>
    <x v="2"/>
    <x v="0"/>
    <n v="52"/>
    <m/>
  </r>
  <r>
    <x v="1666"/>
    <x v="121"/>
    <x v="4"/>
    <n v="5"/>
    <n v="2"/>
    <s v="Friday"/>
    <x v="5"/>
    <x v="12"/>
    <x v="0"/>
    <s v="Fried Rice"/>
    <x v="2"/>
    <n v="2"/>
    <n v="140"/>
    <n v="7"/>
    <n v="20"/>
    <n v="280"/>
    <n v="293"/>
    <x v="0"/>
    <x v="0"/>
    <x v="1"/>
    <n v="35"/>
    <n v="4.8"/>
  </r>
  <r>
    <x v="1667"/>
    <x v="121"/>
    <x v="4"/>
    <n v="5"/>
    <n v="2"/>
    <s v="Friday"/>
    <x v="1"/>
    <x v="5"/>
    <x v="4"/>
    <s v="Idli Sambar"/>
    <x v="0"/>
    <n v="2"/>
    <n v="783"/>
    <n v="0"/>
    <n v="60"/>
    <n v="1566"/>
    <n v="1626"/>
    <x v="1"/>
    <x v="0"/>
    <x v="0"/>
    <n v="49"/>
    <n v="4.7"/>
  </r>
  <r>
    <x v="1668"/>
    <x v="121"/>
    <x v="4"/>
    <n v="5"/>
    <n v="2"/>
    <s v="Friday"/>
    <x v="1"/>
    <x v="3"/>
    <x v="9"/>
    <s v="Veg Pizza"/>
    <x v="2"/>
    <n v="2"/>
    <n v="382"/>
    <n v="38.200000000000003"/>
    <n v="30"/>
    <n v="764"/>
    <n v="755.8"/>
    <x v="2"/>
    <x v="0"/>
    <x v="1"/>
    <n v="58"/>
    <n v="4.7"/>
  </r>
  <r>
    <x v="1669"/>
    <x v="121"/>
    <x v="4"/>
    <n v="5"/>
    <n v="2"/>
    <s v="Friday"/>
    <x v="2"/>
    <x v="4"/>
    <x v="1"/>
    <s v="Veg Biryani"/>
    <x v="1"/>
    <n v="2"/>
    <n v="127"/>
    <n v="12.7"/>
    <n v="40"/>
    <n v="254"/>
    <n v="281.3"/>
    <x v="1"/>
    <x v="0"/>
    <x v="1"/>
    <n v="61"/>
    <n v="4.4000000000000004"/>
  </r>
  <r>
    <x v="1670"/>
    <x v="121"/>
    <x v="4"/>
    <n v="5"/>
    <n v="2"/>
    <s v="Friday"/>
    <x v="2"/>
    <x v="7"/>
    <x v="8"/>
    <s v="Chicken Biryani"/>
    <x v="1"/>
    <n v="2"/>
    <n v="817"/>
    <n v="0"/>
    <n v="40"/>
    <n v="1634"/>
    <n v="1674"/>
    <x v="1"/>
    <x v="3"/>
    <x v="1"/>
    <n v="22"/>
    <m/>
  </r>
  <r>
    <x v="1671"/>
    <x v="121"/>
    <x v="4"/>
    <n v="5"/>
    <n v="2"/>
    <s v="Friday"/>
    <x v="5"/>
    <x v="1"/>
    <x v="0"/>
    <s v="Veg Momos"/>
    <x v="1"/>
    <n v="2"/>
    <n v="584"/>
    <n v="58.4"/>
    <n v="20"/>
    <n v="1168"/>
    <n v="1129.5999999999999"/>
    <x v="0"/>
    <x v="0"/>
    <x v="1"/>
    <n v="34"/>
    <n v="4.8"/>
  </r>
  <r>
    <x v="1672"/>
    <x v="121"/>
    <x v="4"/>
    <n v="5"/>
    <n v="2"/>
    <s v="Friday"/>
    <x v="0"/>
    <x v="2"/>
    <x v="2"/>
    <s v="Paneer Butter Masala"/>
    <x v="1"/>
    <n v="2"/>
    <n v="810"/>
    <n v="81"/>
    <n v="50"/>
    <n v="1620"/>
    <n v="1589"/>
    <x v="4"/>
    <x v="0"/>
    <x v="1"/>
    <n v="66"/>
    <n v="3.9"/>
  </r>
  <r>
    <x v="1673"/>
    <x v="121"/>
    <x v="4"/>
    <n v="5"/>
    <n v="2"/>
    <s v="Friday"/>
    <x v="2"/>
    <x v="11"/>
    <x v="1"/>
    <s v="French Fries"/>
    <x v="1"/>
    <n v="1"/>
    <n v="136"/>
    <n v="6.8"/>
    <n v="60"/>
    <n v="136"/>
    <n v="189.2"/>
    <x v="0"/>
    <x v="0"/>
    <x v="1"/>
    <n v="62"/>
    <n v="5"/>
  </r>
  <r>
    <x v="1674"/>
    <x v="122"/>
    <x v="4"/>
    <n v="5"/>
    <n v="3"/>
    <s v="Saturday"/>
    <x v="2"/>
    <x v="12"/>
    <x v="4"/>
    <s v="Idli Sambar"/>
    <x v="2"/>
    <n v="1"/>
    <n v="812"/>
    <n v="40.6"/>
    <n v="60"/>
    <n v="812"/>
    <n v="831.4"/>
    <x v="3"/>
    <x v="0"/>
    <x v="1"/>
    <n v="21"/>
    <n v="3.4"/>
  </r>
  <r>
    <x v="1675"/>
    <x v="122"/>
    <x v="4"/>
    <n v="5"/>
    <n v="3"/>
    <s v="Saturday"/>
    <x v="5"/>
    <x v="8"/>
    <x v="0"/>
    <s v="Pasta"/>
    <x v="3"/>
    <n v="2"/>
    <n v="577"/>
    <n v="28.85"/>
    <n v="50"/>
    <n v="1154"/>
    <n v="1175.1500000000001"/>
    <x v="1"/>
    <x v="0"/>
    <x v="1"/>
    <n v="61"/>
    <n v="3.8"/>
  </r>
  <r>
    <x v="1676"/>
    <x v="122"/>
    <x v="4"/>
    <n v="5"/>
    <n v="3"/>
    <s v="Saturday"/>
    <x v="7"/>
    <x v="1"/>
    <x v="6"/>
    <s v="Masala Dosa"/>
    <x v="2"/>
    <n v="2"/>
    <n v="637"/>
    <n v="63.7"/>
    <n v="0"/>
    <n v="1274"/>
    <n v="1210.3"/>
    <x v="0"/>
    <x v="0"/>
    <x v="1"/>
    <n v="33"/>
    <n v="4.3"/>
  </r>
  <r>
    <x v="1677"/>
    <x v="122"/>
    <x v="4"/>
    <n v="5"/>
    <n v="3"/>
    <s v="Saturday"/>
    <x v="1"/>
    <x v="8"/>
    <x v="7"/>
    <s v="French Fries"/>
    <x v="1"/>
    <n v="1"/>
    <n v="695"/>
    <n v="104.25"/>
    <n v="30"/>
    <n v="695"/>
    <n v="620.75"/>
    <x v="1"/>
    <x v="3"/>
    <x v="0"/>
    <n v="54"/>
    <m/>
  </r>
  <r>
    <x v="1678"/>
    <x v="122"/>
    <x v="4"/>
    <n v="5"/>
    <n v="3"/>
    <s v="Saturday"/>
    <x v="7"/>
    <x v="3"/>
    <x v="3"/>
    <s v="Veg Momos"/>
    <x v="2"/>
    <n v="3"/>
    <n v="830"/>
    <n v="0"/>
    <n v="60"/>
    <n v="2490"/>
    <n v="2550"/>
    <x v="2"/>
    <x v="1"/>
    <x v="0"/>
    <n v="53"/>
    <m/>
  </r>
  <r>
    <x v="1679"/>
    <x v="122"/>
    <x v="4"/>
    <n v="5"/>
    <n v="3"/>
    <s v="Saturday"/>
    <x v="0"/>
    <x v="7"/>
    <x v="9"/>
    <s v="Veg Burger"/>
    <x v="1"/>
    <n v="2"/>
    <n v="700"/>
    <n v="105"/>
    <n v="60"/>
    <n v="1400"/>
    <n v="1355"/>
    <x v="1"/>
    <x v="0"/>
    <x v="0"/>
    <n v="67"/>
    <n v="4.5999999999999996"/>
  </r>
  <r>
    <x v="1680"/>
    <x v="122"/>
    <x v="4"/>
    <n v="5"/>
    <n v="3"/>
    <s v="Saturday"/>
    <x v="5"/>
    <x v="9"/>
    <x v="4"/>
    <s v="Veg Burger"/>
    <x v="1"/>
    <n v="1"/>
    <n v="646"/>
    <n v="161.5"/>
    <n v="30"/>
    <n v="646"/>
    <n v="514.5"/>
    <x v="2"/>
    <x v="0"/>
    <x v="1"/>
    <n v="40"/>
    <n v="3.3"/>
  </r>
  <r>
    <x v="1681"/>
    <x v="122"/>
    <x v="4"/>
    <n v="5"/>
    <n v="3"/>
    <s v="Saturday"/>
    <x v="1"/>
    <x v="3"/>
    <x v="3"/>
    <s v="Chocolate Cake"/>
    <x v="1"/>
    <n v="1"/>
    <n v="510"/>
    <n v="76.5"/>
    <n v="60"/>
    <n v="510"/>
    <n v="493.5"/>
    <x v="1"/>
    <x v="0"/>
    <x v="1"/>
    <n v="21"/>
    <n v="3.7"/>
  </r>
  <r>
    <x v="1682"/>
    <x v="123"/>
    <x v="4"/>
    <n v="5"/>
    <n v="4"/>
    <s v="Sunday"/>
    <x v="4"/>
    <x v="12"/>
    <x v="6"/>
    <s v="Veg Momos"/>
    <x v="1"/>
    <n v="2"/>
    <n v="771"/>
    <n v="115.65"/>
    <n v="40"/>
    <n v="1542"/>
    <n v="1466.35"/>
    <x v="3"/>
    <x v="0"/>
    <x v="1"/>
    <n v="56"/>
    <n v="4.0999999999999996"/>
  </r>
  <r>
    <x v="1683"/>
    <x v="123"/>
    <x v="4"/>
    <n v="5"/>
    <n v="4"/>
    <s v="Sunday"/>
    <x v="5"/>
    <x v="5"/>
    <x v="4"/>
    <s v="Veg Momos"/>
    <x v="1"/>
    <n v="3"/>
    <n v="302"/>
    <n v="45.3"/>
    <n v="30"/>
    <n v="906"/>
    <n v="890.7"/>
    <x v="1"/>
    <x v="0"/>
    <x v="0"/>
    <n v="36"/>
    <n v="4.8"/>
  </r>
  <r>
    <x v="1684"/>
    <x v="123"/>
    <x v="4"/>
    <n v="5"/>
    <n v="4"/>
    <s v="Sunday"/>
    <x v="1"/>
    <x v="10"/>
    <x v="4"/>
    <s v="Chicken Biryani"/>
    <x v="1"/>
    <n v="3"/>
    <n v="736"/>
    <n v="73.599999999999994"/>
    <n v="60"/>
    <n v="2208"/>
    <n v="2194.4"/>
    <x v="1"/>
    <x v="0"/>
    <x v="0"/>
    <n v="68"/>
    <n v="4.5999999999999996"/>
  </r>
  <r>
    <x v="1685"/>
    <x v="123"/>
    <x v="4"/>
    <n v="5"/>
    <n v="4"/>
    <s v="Sunday"/>
    <x v="3"/>
    <x v="2"/>
    <x v="7"/>
    <s v="Veg Biryani"/>
    <x v="1"/>
    <n v="1"/>
    <n v="375"/>
    <n v="75"/>
    <n v="30"/>
    <n v="375"/>
    <n v="330"/>
    <x v="2"/>
    <x v="1"/>
    <x v="0"/>
    <n v="54"/>
    <m/>
  </r>
  <r>
    <x v="1686"/>
    <x v="123"/>
    <x v="4"/>
    <n v="5"/>
    <n v="4"/>
    <s v="Sunday"/>
    <x v="2"/>
    <x v="2"/>
    <x v="9"/>
    <s v="Masala Dosa"/>
    <x v="1"/>
    <n v="3"/>
    <n v="340"/>
    <n v="34"/>
    <n v="30"/>
    <n v="1020"/>
    <n v="1016"/>
    <x v="1"/>
    <x v="2"/>
    <x v="1"/>
    <n v="38"/>
    <m/>
  </r>
  <r>
    <x v="1687"/>
    <x v="123"/>
    <x v="4"/>
    <n v="5"/>
    <n v="4"/>
    <s v="Sunday"/>
    <x v="4"/>
    <x v="11"/>
    <x v="4"/>
    <s v="Cold Coffee"/>
    <x v="1"/>
    <n v="1"/>
    <n v="217"/>
    <n v="0"/>
    <n v="20"/>
    <n v="217"/>
    <n v="237"/>
    <x v="1"/>
    <x v="0"/>
    <x v="0"/>
    <n v="35"/>
    <n v="3.9"/>
  </r>
  <r>
    <x v="1688"/>
    <x v="123"/>
    <x v="4"/>
    <n v="5"/>
    <n v="4"/>
    <s v="Sunday"/>
    <x v="9"/>
    <x v="7"/>
    <x v="6"/>
    <s v="Veg Momos"/>
    <x v="1"/>
    <n v="1"/>
    <n v="392"/>
    <n v="78.400000000000006"/>
    <n v="40"/>
    <n v="392"/>
    <n v="353.6"/>
    <x v="1"/>
    <x v="0"/>
    <x v="1"/>
    <n v="57"/>
    <n v="4.2"/>
  </r>
  <r>
    <x v="1689"/>
    <x v="123"/>
    <x v="4"/>
    <n v="5"/>
    <n v="4"/>
    <s v="Sunday"/>
    <x v="6"/>
    <x v="5"/>
    <x v="7"/>
    <s v="Fried Rice"/>
    <x v="1"/>
    <n v="2"/>
    <n v="863"/>
    <n v="86.3"/>
    <n v="70"/>
    <n v="1726"/>
    <n v="1709.7"/>
    <x v="1"/>
    <x v="0"/>
    <x v="0"/>
    <n v="37"/>
    <n v="4.5"/>
  </r>
  <r>
    <x v="1690"/>
    <x v="123"/>
    <x v="4"/>
    <n v="5"/>
    <n v="4"/>
    <s v="Sunday"/>
    <x v="0"/>
    <x v="6"/>
    <x v="7"/>
    <s v="Chicken Pizza"/>
    <x v="3"/>
    <n v="1"/>
    <n v="642"/>
    <n v="64.2"/>
    <n v="30"/>
    <n v="642"/>
    <n v="607.79999999999995"/>
    <x v="3"/>
    <x v="0"/>
    <x v="0"/>
    <n v="40"/>
    <n v="5"/>
  </r>
  <r>
    <x v="1691"/>
    <x v="123"/>
    <x v="4"/>
    <n v="5"/>
    <n v="4"/>
    <s v="Sunday"/>
    <x v="6"/>
    <x v="10"/>
    <x v="3"/>
    <s v="Paneer Butter Masala"/>
    <x v="1"/>
    <n v="2"/>
    <n v="455"/>
    <n v="68.25"/>
    <n v="40"/>
    <n v="910"/>
    <n v="881.75"/>
    <x v="1"/>
    <x v="0"/>
    <x v="1"/>
    <n v="27"/>
    <n v="4.5"/>
  </r>
  <r>
    <x v="1692"/>
    <x v="123"/>
    <x v="4"/>
    <n v="5"/>
    <n v="4"/>
    <s v="Sunday"/>
    <x v="1"/>
    <x v="11"/>
    <x v="0"/>
    <s v="Veg Momos"/>
    <x v="1"/>
    <n v="3"/>
    <n v="345"/>
    <n v="86.25"/>
    <n v="70"/>
    <n v="1035"/>
    <n v="1018.75"/>
    <x v="1"/>
    <x v="0"/>
    <x v="0"/>
    <n v="24"/>
    <n v="4.0999999999999996"/>
  </r>
  <r>
    <x v="1693"/>
    <x v="123"/>
    <x v="4"/>
    <n v="5"/>
    <n v="4"/>
    <s v="Sunday"/>
    <x v="4"/>
    <x v="6"/>
    <x v="2"/>
    <s v="Chicken Pizza"/>
    <x v="2"/>
    <n v="3"/>
    <n v="127"/>
    <n v="0"/>
    <n v="20"/>
    <n v="381"/>
    <n v="401"/>
    <x v="1"/>
    <x v="0"/>
    <x v="1"/>
    <n v="26"/>
    <n v="5"/>
  </r>
  <r>
    <x v="1694"/>
    <x v="123"/>
    <x v="4"/>
    <n v="5"/>
    <n v="4"/>
    <s v="Sunday"/>
    <x v="3"/>
    <x v="1"/>
    <x v="4"/>
    <s v="Cold Coffee"/>
    <x v="3"/>
    <n v="2"/>
    <n v="286"/>
    <n v="28.6"/>
    <n v="30"/>
    <n v="572"/>
    <n v="573.4"/>
    <x v="3"/>
    <x v="0"/>
    <x v="1"/>
    <n v="31"/>
    <n v="3.5"/>
  </r>
  <r>
    <x v="1695"/>
    <x v="123"/>
    <x v="4"/>
    <n v="5"/>
    <n v="4"/>
    <s v="Sunday"/>
    <x v="1"/>
    <x v="5"/>
    <x v="2"/>
    <s v="Veg Pizza"/>
    <x v="1"/>
    <n v="1"/>
    <n v="649"/>
    <n v="32.450000000000003"/>
    <n v="50"/>
    <n v="649"/>
    <n v="666.55"/>
    <x v="1"/>
    <x v="0"/>
    <x v="1"/>
    <n v="64"/>
    <n v="4.9000000000000004"/>
  </r>
  <r>
    <x v="1696"/>
    <x v="124"/>
    <x v="4"/>
    <n v="5"/>
    <n v="5"/>
    <s v="Monday"/>
    <x v="3"/>
    <x v="4"/>
    <x v="6"/>
    <s v="French Fries"/>
    <x v="1"/>
    <n v="1"/>
    <n v="218"/>
    <n v="32.700000000000003"/>
    <n v="30"/>
    <n v="218"/>
    <n v="215.3"/>
    <x v="3"/>
    <x v="0"/>
    <x v="1"/>
    <n v="69"/>
    <n v="4.5"/>
  </r>
  <r>
    <x v="1697"/>
    <x v="124"/>
    <x v="4"/>
    <n v="5"/>
    <n v="5"/>
    <s v="Monday"/>
    <x v="2"/>
    <x v="5"/>
    <x v="6"/>
    <s v="Veg Burger"/>
    <x v="2"/>
    <n v="3"/>
    <n v="337"/>
    <n v="0"/>
    <n v="20"/>
    <n v="1011"/>
    <n v="1031"/>
    <x v="4"/>
    <x v="0"/>
    <x v="1"/>
    <n v="68"/>
    <n v="3.4"/>
  </r>
  <r>
    <x v="1698"/>
    <x v="124"/>
    <x v="4"/>
    <n v="5"/>
    <n v="5"/>
    <s v="Monday"/>
    <x v="6"/>
    <x v="13"/>
    <x v="5"/>
    <s v="Fried Rice"/>
    <x v="1"/>
    <n v="1"/>
    <n v="671"/>
    <n v="33.549999999999997"/>
    <n v="0"/>
    <n v="671"/>
    <n v="637.45000000000005"/>
    <x v="1"/>
    <x v="0"/>
    <x v="0"/>
    <n v="42"/>
    <n v="4.5999999999999996"/>
  </r>
  <r>
    <x v="1699"/>
    <x v="124"/>
    <x v="4"/>
    <n v="5"/>
    <n v="5"/>
    <s v="Monday"/>
    <x v="1"/>
    <x v="9"/>
    <x v="0"/>
    <s v="Veg Biryani"/>
    <x v="0"/>
    <n v="3"/>
    <n v="863"/>
    <n v="86.3"/>
    <n v="30"/>
    <n v="2589"/>
    <n v="2532.6999999999998"/>
    <x v="4"/>
    <x v="0"/>
    <x v="1"/>
    <n v="37"/>
    <n v="4.0999999999999996"/>
  </r>
  <r>
    <x v="1700"/>
    <x v="124"/>
    <x v="4"/>
    <n v="5"/>
    <n v="5"/>
    <s v="Monday"/>
    <x v="0"/>
    <x v="13"/>
    <x v="2"/>
    <s v="Fried Rice"/>
    <x v="0"/>
    <n v="3"/>
    <n v="762"/>
    <n v="152.4"/>
    <n v="0"/>
    <n v="2286"/>
    <n v="2133.6"/>
    <x v="1"/>
    <x v="0"/>
    <x v="0"/>
    <n v="27"/>
    <n v="4.4000000000000004"/>
  </r>
  <r>
    <x v="1701"/>
    <x v="124"/>
    <x v="4"/>
    <n v="5"/>
    <n v="5"/>
    <s v="Monday"/>
    <x v="2"/>
    <x v="11"/>
    <x v="8"/>
    <s v="Chicken Burger"/>
    <x v="1"/>
    <n v="1"/>
    <n v="267"/>
    <n v="66.75"/>
    <n v="40"/>
    <n v="267"/>
    <n v="240.25"/>
    <x v="4"/>
    <x v="0"/>
    <x v="1"/>
    <n v="54"/>
    <n v="3.6"/>
  </r>
  <r>
    <x v="1702"/>
    <x v="124"/>
    <x v="4"/>
    <n v="5"/>
    <n v="5"/>
    <s v="Monday"/>
    <x v="6"/>
    <x v="13"/>
    <x v="4"/>
    <s v="Masala Dosa"/>
    <x v="1"/>
    <n v="3"/>
    <n v="209"/>
    <n v="31.35"/>
    <n v="50"/>
    <n v="627"/>
    <n v="645.65"/>
    <x v="1"/>
    <x v="0"/>
    <x v="1"/>
    <n v="65"/>
    <n v="3.8"/>
  </r>
  <r>
    <x v="1703"/>
    <x v="124"/>
    <x v="4"/>
    <n v="5"/>
    <n v="5"/>
    <s v="Monday"/>
    <x v="4"/>
    <x v="1"/>
    <x v="9"/>
    <s v="Veg Biryani"/>
    <x v="1"/>
    <n v="1"/>
    <n v="524"/>
    <n v="26.2"/>
    <n v="0"/>
    <n v="524"/>
    <n v="497.8"/>
    <x v="4"/>
    <x v="0"/>
    <x v="0"/>
    <n v="53"/>
    <n v="4.4000000000000004"/>
  </r>
  <r>
    <x v="1704"/>
    <x v="124"/>
    <x v="4"/>
    <n v="5"/>
    <n v="5"/>
    <s v="Monday"/>
    <x v="4"/>
    <x v="13"/>
    <x v="5"/>
    <s v="Chicken Pizza"/>
    <x v="1"/>
    <n v="3"/>
    <n v="481"/>
    <n v="96.2"/>
    <n v="0"/>
    <n v="1443"/>
    <n v="1346.8"/>
    <x v="0"/>
    <x v="0"/>
    <x v="1"/>
    <n v="63"/>
    <n v="3.6"/>
  </r>
  <r>
    <x v="1705"/>
    <x v="124"/>
    <x v="4"/>
    <n v="5"/>
    <n v="5"/>
    <s v="Monday"/>
    <x v="4"/>
    <x v="13"/>
    <x v="5"/>
    <s v="Chicken Momos"/>
    <x v="1"/>
    <n v="2"/>
    <n v="293"/>
    <n v="29.3"/>
    <n v="20"/>
    <n v="586"/>
    <n v="576.70000000000005"/>
    <x v="4"/>
    <x v="3"/>
    <x v="1"/>
    <n v="46"/>
    <m/>
  </r>
  <r>
    <x v="1706"/>
    <x v="124"/>
    <x v="4"/>
    <n v="5"/>
    <n v="5"/>
    <s v="Monday"/>
    <x v="3"/>
    <x v="3"/>
    <x v="8"/>
    <s v="Veg Biryani"/>
    <x v="2"/>
    <n v="1"/>
    <n v="263"/>
    <n v="13.15"/>
    <n v="40"/>
    <n v="263"/>
    <n v="289.85000000000002"/>
    <x v="1"/>
    <x v="0"/>
    <x v="1"/>
    <n v="49"/>
    <n v="2.2000000000000002"/>
  </r>
  <r>
    <x v="1707"/>
    <x v="124"/>
    <x v="4"/>
    <n v="5"/>
    <n v="5"/>
    <s v="Monday"/>
    <x v="0"/>
    <x v="14"/>
    <x v="1"/>
    <s v="Cold Coffee"/>
    <x v="1"/>
    <n v="1"/>
    <n v="860"/>
    <n v="86"/>
    <n v="30"/>
    <n v="860"/>
    <n v="804"/>
    <x v="0"/>
    <x v="2"/>
    <x v="1"/>
    <n v="28"/>
    <m/>
  </r>
  <r>
    <x v="1708"/>
    <x v="125"/>
    <x v="4"/>
    <n v="5"/>
    <n v="6"/>
    <s v="Tuesday"/>
    <x v="5"/>
    <x v="3"/>
    <x v="1"/>
    <s v="Masala Dosa"/>
    <x v="1"/>
    <n v="1"/>
    <n v="252"/>
    <n v="25.2"/>
    <n v="40"/>
    <n v="252"/>
    <n v="266.8"/>
    <x v="2"/>
    <x v="1"/>
    <x v="0"/>
    <n v="68"/>
    <m/>
  </r>
  <r>
    <x v="1709"/>
    <x v="125"/>
    <x v="4"/>
    <n v="5"/>
    <n v="6"/>
    <s v="Tuesday"/>
    <x v="0"/>
    <x v="5"/>
    <x v="5"/>
    <s v="Chicken Pizza"/>
    <x v="3"/>
    <n v="1"/>
    <n v="589"/>
    <n v="88.35"/>
    <n v="50"/>
    <n v="589"/>
    <n v="550.65"/>
    <x v="2"/>
    <x v="0"/>
    <x v="0"/>
    <n v="56"/>
    <n v="4.5999999999999996"/>
  </r>
  <r>
    <x v="1710"/>
    <x v="125"/>
    <x v="4"/>
    <n v="5"/>
    <n v="6"/>
    <s v="Tuesday"/>
    <x v="2"/>
    <x v="12"/>
    <x v="1"/>
    <s v="Chicken Biryani"/>
    <x v="1"/>
    <n v="1"/>
    <n v="819"/>
    <n v="0"/>
    <n v="30"/>
    <n v="819"/>
    <n v="849"/>
    <x v="2"/>
    <x v="0"/>
    <x v="0"/>
    <n v="34"/>
    <n v="3.1"/>
  </r>
  <r>
    <x v="1711"/>
    <x v="125"/>
    <x v="4"/>
    <n v="5"/>
    <n v="6"/>
    <s v="Tuesday"/>
    <x v="0"/>
    <x v="12"/>
    <x v="9"/>
    <s v="Masala Dosa"/>
    <x v="1"/>
    <n v="2"/>
    <n v="559"/>
    <n v="55.9"/>
    <n v="30"/>
    <n v="1118"/>
    <n v="1092.0999999999999"/>
    <x v="2"/>
    <x v="0"/>
    <x v="1"/>
    <n v="27"/>
    <n v="4.9000000000000004"/>
  </r>
  <r>
    <x v="1712"/>
    <x v="125"/>
    <x v="4"/>
    <n v="5"/>
    <n v="6"/>
    <s v="Tuesday"/>
    <x v="5"/>
    <x v="9"/>
    <x v="7"/>
    <s v="Veg Biryani"/>
    <x v="1"/>
    <n v="3"/>
    <n v="140"/>
    <n v="21"/>
    <n v="40"/>
    <n v="420"/>
    <n v="439"/>
    <x v="3"/>
    <x v="0"/>
    <x v="1"/>
    <n v="45"/>
    <n v="4.9000000000000004"/>
  </r>
  <r>
    <x v="1713"/>
    <x v="125"/>
    <x v="4"/>
    <n v="5"/>
    <n v="6"/>
    <s v="Tuesday"/>
    <x v="3"/>
    <x v="4"/>
    <x v="8"/>
    <s v="Chicken Biryani"/>
    <x v="1"/>
    <n v="1"/>
    <n v="665"/>
    <n v="33.25"/>
    <n v="30"/>
    <n v="665"/>
    <n v="661.75"/>
    <x v="2"/>
    <x v="0"/>
    <x v="1"/>
    <n v="33"/>
    <n v="3.7"/>
  </r>
  <r>
    <x v="1714"/>
    <x v="125"/>
    <x v="4"/>
    <n v="5"/>
    <n v="6"/>
    <s v="Tuesday"/>
    <x v="8"/>
    <x v="6"/>
    <x v="9"/>
    <s v="Masala Dosa"/>
    <x v="1"/>
    <n v="1"/>
    <n v="818"/>
    <n v="163.6"/>
    <n v="0"/>
    <n v="818"/>
    <n v="654.4"/>
    <x v="1"/>
    <x v="0"/>
    <x v="1"/>
    <n v="35"/>
    <n v="4.2"/>
  </r>
  <r>
    <x v="1715"/>
    <x v="125"/>
    <x v="4"/>
    <n v="5"/>
    <n v="6"/>
    <s v="Tuesday"/>
    <x v="1"/>
    <x v="6"/>
    <x v="1"/>
    <s v="Chocolate Cake"/>
    <x v="1"/>
    <n v="3"/>
    <n v="741"/>
    <n v="37.049999999999997"/>
    <n v="20"/>
    <n v="2223"/>
    <n v="2205.9499999999998"/>
    <x v="1"/>
    <x v="0"/>
    <x v="0"/>
    <n v="26"/>
    <n v="4.7"/>
  </r>
  <r>
    <x v="1716"/>
    <x v="125"/>
    <x v="4"/>
    <n v="5"/>
    <n v="6"/>
    <s v="Tuesday"/>
    <x v="3"/>
    <x v="8"/>
    <x v="2"/>
    <s v="Veg Biryani"/>
    <x v="1"/>
    <n v="2"/>
    <n v="170"/>
    <n v="34"/>
    <n v="40"/>
    <n v="340"/>
    <n v="346"/>
    <x v="0"/>
    <x v="0"/>
    <x v="0"/>
    <n v="59"/>
    <n v="3"/>
  </r>
  <r>
    <x v="1717"/>
    <x v="125"/>
    <x v="4"/>
    <n v="5"/>
    <n v="6"/>
    <s v="Tuesday"/>
    <x v="9"/>
    <x v="5"/>
    <x v="4"/>
    <s v="Paneer Butter Masala"/>
    <x v="2"/>
    <n v="3"/>
    <n v="176"/>
    <n v="26.4"/>
    <n v="60"/>
    <n v="528"/>
    <n v="561.6"/>
    <x v="2"/>
    <x v="2"/>
    <x v="0"/>
    <n v="67"/>
    <m/>
  </r>
  <r>
    <x v="1718"/>
    <x v="125"/>
    <x v="4"/>
    <n v="5"/>
    <n v="6"/>
    <s v="Tuesday"/>
    <x v="1"/>
    <x v="9"/>
    <x v="6"/>
    <s v="Veg Pizza"/>
    <x v="0"/>
    <n v="2"/>
    <n v="697"/>
    <n v="104.55"/>
    <n v="50"/>
    <n v="1394"/>
    <n v="1339.45"/>
    <x v="0"/>
    <x v="0"/>
    <x v="1"/>
    <n v="29"/>
    <n v="3.3"/>
  </r>
  <r>
    <x v="1719"/>
    <x v="125"/>
    <x v="4"/>
    <n v="5"/>
    <n v="6"/>
    <s v="Tuesday"/>
    <x v="5"/>
    <x v="4"/>
    <x v="6"/>
    <s v="Veg Momos"/>
    <x v="2"/>
    <n v="1"/>
    <n v="252"/>
    <n v="12.6"/>
    <n v="70"/>
    <n v="252"/>
    <n v="309.39999999999998"/>
    <x v="4"/>
    <x v="0"/>
    <x v="0"/>
    <n v="32"/>
    <n v="3.1"/>
  </r>
  <r>
    <x v="1720"/>
    <x v="125"/>
    <x v="4"/>
    <n v="5"/>
    <n v="6"/>
    <s v="Tuesday"/>
    <x v="4"/>
    <x v="14"/>
    <x v="4"/>
    <s v="Chicken Burger"/>
    <x v="1"/>
    <n v="1"/>
    <n v="827"/>
    <n v="0"/>
    <n v="40"/>
    <n v="827"/>
    <n v="867"/>
    <x v="0"/>
    <x v="1"/>
    <x v="0"/>
    <n v="61"/>
    <m/>
  </r>
  <r>
    <x v="1721"/>
    <x v="125"/>
    <x v="4"/>
    <n v="5"/>
    <n v="6"/>
    <s v="Tuesday"/>
    <x v="1"/>
    <x v="4"/>
    <x v="9"/>
    <s v="Fried Rice"/>
    <x v="1"/>
    <n v="2"/>
    <n v="705"/>
    <n v="141"/>
    <n v="60"/>
    <n v="1410"/>
    <n v="1329"/>
    <x v="1"/>
    <x v="0"/>
    <x v="1"/>
    <n v="22"/>
    <n v="3.3"/>
  </r>
  <r>
    <x v="1722"/>
    <x v="125"/>
    <x v="4"/>
    <n v="5"/>
    <n v="6"/>
    <s v="Tuesday"/>
    <x v="2"/>
    <x v="8"/>
    <x v="1"/>
    <s v="Veg Biryani"/>
    <x v="1"/>
    <n v="1"/>
    <n v="285"/>
    <n v="57"/>
    <n v="70"/>
    <n v="285"/>
    <n v="298"/>
    <x v="3"/>
    <x v="2"/>
    <x v="0"/>
    <n v="40"/>
    <m/>
  </r>
  <r>
    <x v="1723"/>
    <x v="125"/>
    <x v="4"/>
    <n v="5"/>
    <n v="6"/>
    <s v="Tuesday"/>
    <x v="3"/>
    <x v="12"/>
    <x v="5"/>
    <s v="Chicken Biryani"/>
    <x v="1"/>
    <n v="2"/>
    <n v="207"/>
    <n v="20.7"/>
    <n v="40"/>
    <n v="414"/>
    <n v="433.3"/>
    <x v="4"/>
    <x v="0"/>
    <x v="1"/>
    <n v="55"/>
    <n v="2.9"/>
  </r>
  <r>
    <x v="1724"/>
    <x v="125"/>
    <x v="4"/>
    <n v="5"/>
    <n v="6"/>
    <s v="Tuesday"/>
    <x v="5"/>
    <x v="12"/>
    <x v="6"/>
    <s v="Chicken Pizza"/>
    <x v="1"/>
    <n v="1"/>
    <n v="689"/>
    <n v="172.25"/>
    <n v="20"/>
    <n v="689"/>
    <n v="536.75"/>
    <x v="2"/>
    <x v="0"/>
    <x v="0"/>
    <n v="33"/>
    <n v="5"/>
  </r>
  <r>
    <x v="1725"/>
    <x v="125"/>
    <x v="4"/>
    <n v="5"/>
    <n v="6"/>
    <s v="Tuesday"/>
    <x v="6"/>
    <x v="13"/>
    <x v="8"/>
    <s v="Cold Coffee"/>
    <x v="1"/>
    <n v="1"/>
    <n v="577"/>
    <n v="57.7"/>
    <n v="40"/>
    <n v="577"/>
    <n v="559.29999999999995"/>
    <x v="1"/>
    <x v="0"/>
    <x v="1"/>
    <n v="53"/>
    <n v="3.6"/>
  </r>
  <r>
    <x v="1726"/>
    <x v="126"/>
    <x v="4"/>
    <n v="5"/>
    <n v="7"/>
    <s v="Wednesday"/>
    <x v="0"/>
    <x v="7"/>
    <x v="9"/>
    <s v="Paneer Butter Masala"/>
    <x v="1"/>
    <n v="3"/>
    <n v="692"/>
    <n v="103.8"/>
    <n v="40"/>
    <n v="2076"/>
    <n v="2012.2"/>
    <x v="2"/>
    <x v="0"/>
    <x v="1"/>
    <n v="69"/>
    <n v="3.8"/>
  </r>
  <r>
    <x v="1727"/>
    <x v="126"/>
    <x v="4"/>
    <n v="5"/>
    <n v="7"/>
    <s v="Wednesday"/>
    <x v="5"/>
    <x v="11"/>
    <x v="5"/>
    <s v="Chocolate Cake"/>
    <x v="1"/>
    <n v="1"/>
    <n v="253"/>
    <n v="63.25"/>
    <n v="50"/>
    <n v="253"/>
    <n v="239.75"/>
    <x v="2"/>
    <x v="0"/>
    <x v="0"/>
    <n v="29"/>
    <n v="3.8"/>
  </r>
  <r>
    <x v="1728"/>
    <x v="126"/>
    <x v="4"/>
    <n v="5"/>
    <n v="7"/>
    <s v="Wednesday"/>
    <x v="5"/>
    <x v="0"/>
    <x v="7"/>
    <s v="Chicken Momos"/>
    <x v="0"/>
    <n v="1"/>
    <n v="263"/>
    <n v="52.6"/>
    <n v="0"/>
    <n v="263"/>
    <n v="210.4"/>
    <x v="2"/>
    <x v="0"/>
    <x v="1"/>
    <n v="57"/>
    <n v="3.3"/>
  </r>
  <r>
    <x v="1729"/>
    <x v="126"/>
    <x v="4"/>
    <n v="5"/>
    <n v="7"/>
    <s v="Wednesday"/>
    <x v="3"/>
    <x v="8"/>
    <x v="9"/>
    <s v="Fried Rice"/>
    <x v="1"/>
    <n v="3"/>
    <n v="196"/>
    <n v="0"/>
    <n v="0"/>
    <n v="588"/>
    <n v="588"/>
    <x v="0"/>
    <x v="0"/>
    <x v="1"/>
    <n v="55"/>
    <n v="3.2"/>
  </r>
  <r>
    <x v="1730"/>
    <x v="126"/>
    <x v="4"/>
    <n v="5"/>
    <n v="7"/>
    <s v="Wednesday"/>
    <x v="0"/>
    <x v="4"/>
    <x v="6"/>
    <s v="French Fries"/>
    <x v="1"/>
    <n v="1"/>
    <n v="715"/>
    <n v="107.25"/>
    <n v="40"/>
    <n v="715"/>
    <n v="647.75"/>
    <x v="2"/>
    <x v="0"/>
    <x v="1"/>
    <n v="43"/>
    <n v="3.3"/>
  </r>
  <r>
    <x v="1731"/>
    <x v="126"/>
    <x v="4"/>
    <n v="5"/>
    <n v="7"/>
    <s v="Wednesday"/>
    <x v="2"/>
    <x v="9"/>
    <x v="0"/>
    <s v="Chicken Pizza"/>
    <x v="1"/>
    <n v="2"/>
    <n v="370"/>
    <n v="18.5"/>
    <n v="60"/>
    <n v="740"/>
    <n v="781.5"/>
    <x v="2"/>
    <x v="0"/>
    <x v="0"/>
    <n v="61"/>
    <n v="4.5"/>
  </r>
  <r>
    <x v="1732"/>
    <x v="126"/>
    <x v="4"/>
    <n v="5"/>
    <n v="7"/>
    <s v="Wednesday"/>
    <x v="1"/>
    <x v="6"/>
    <x v="3"/>
    <s v="Veg Burger"/>
    <x v="0"/>
    <n v="3"/>
    <n v="871"/>
    <n v="0"/>
    <n v="20"/>
    <n v="2613"/>
    <n v="2633"/>
    <x v="3"/>
    <x v="0"/>
    <x v="1"/>
    <n v="37"/>
    <n v="3.7"/>
  </r>
  <r>
    <x v="1733"/>
    <x v="126"/>
    <x v="4"/>
    <n v="5"/>
    <n v="7"/>
    <s v="Wednesday"/>
    <x v="9"/>
    <x v="5"/>
    <x v="5"/>
    <s v="Cold Coffee"/>
    <x v="1"/>
    <n v="1"/>
    <n v="143"/>
    <n v="21.45"/>
    <n v="40"/>
    <n v="143"/>
    <n v="161.55000000000001"/>
    <x v="1"/>
    <x v="0"/>
    <x v="0"/>
    <n v="54"/>
    <n v="4.2"/>
  </r>
  <r>
    <x v="1734"/>
    <x v="126"/>
    <x v="4"/>
    <n v="5"/>
    <n v="7"/>
    <s v="Wednesday"/>
    <x v="5"/>
    <x v="1"/>
    <x v="5"/>
    <s v="Pasta"/>
    <x v="1"/>
    <n v="1"/>
    <n v="708"/>
    <n v="141.6"/>
    <n v="0"/>
    <n v="708"/>
    <n v="566.4"/>
    <x v="2"/>
    <x v="0"/>
    <x v="1"/>
    <n v="25"/>
    <n v="3.5"/>
  </r>
  <r>
    <x v="1735"/>
    <x v="126"/>
    <x v="4"/>
    <n v="5"/>
    <n v="7"/>
    <s v="Wednesday"/>
    <x v="9"/>
    <x v="9"/>
    <x v="3"/>
    <s v="Veg Pizza"/>
    <x v="1"/>
    <n v="3"/>
    <n v="385"/>
    <n v="57.75"/>
    <n v="30"/>
    <n v="1155"/>
    <n v="1127.25"/>
    <x v="2"/>
    <x v="0"/>
    <x v="0"/>
    <n v="46"/>
    <n v="3.7"/>
  </r>
  <r>
    <x v="1736"/>
    <x v="126"/>
    <x v="4"/>
    <n v="5"/>
    <n v="7"/>
    <s v="Wednesday"/>
    <x v="6"/>
    <x v="1"/>
    <x v="6"/>
    <s v="French Fries"/>
    <x v="0"/>
    <n v="2"/>
    <n v="758"/>
    <n v="75.8"/>
    <n v="40"/>
    <n v="1516"/>
    <n v="1480.2"/>
    <x v="3"/>
    <x v="0"/>
    <x v="1"/>
    <n v="55"/>
    <n v="3.7"/>
  </r>
  <r>
    <x v="1737"/>
    <x v="126"/>
    <x v="4"/>
    <n v="5"/>
    <n v="7"/>
    <s v="Wednesday"/>
    <x v="5"/>
    <x v="0"/>
    <x v="9"/>
    <s v="Masala Dosa"/>
    <x v="1"/>
    <n v="2"/>
    <n v="495"/>
    <n v="49.5"/>
    <n v="70"/>
    <n v="990"/>
    <n v="1010.5"/>
    <x v="1"/>
    <x v="0"/>
    <x v="1"/>
    <n v="19"/>
    <n v="4.5"/>
  </r>
  <r>
    <x v="1738"/>
    <x v="126"/>
    <x v="4"/>
    <n v="5"/>
    <n v="7"/>
    <s v="Wednesday"/>
    <x v="0"/>
    <x v="12"/>
    <x v="7"/>
    <s v="Veg Pizza"/>
    <x v="1"/>
    <n v="2"/>
    <n v="695"/>
    <n v="69.5"/>
    <n v="50"/>
    <n v="1390"/>
    <n v="1370.5"/>
    <x v="4"/>
    <x v="0"/>
    <x v="1"/>
    <n v="43"/>
    <n v="4.7"/>
  </r>
  <r>
    <x v="1739"/>
    <x v="126"/>
    <x v="4"/>
    <n v="5"/>
    <n v="7"/>
    <s v="Wednesday"/>
    <x v="1"/>
    <x v="14"/>
    <x v="1"/>
    <s v="Chicken Burger"/>
    <x v="1"/>
    <n v="2"/>
    <n v="454"/>
    <n v="113.5"/>
    <n v="40"/>
    <n v="908"/>
    <n v="834.5"/>
    <x v="2"/>
    <x v="0"/>
    <x v="1"/>
    <n v="39"/>
    <n v="5"/>
  </r>
  <r>
    <x v="1740"/>
    <x v="126"/>
    <x v="4"/>
    <n v="5"/>
    <n v="7"/>
    <s v="Wednesday"/>
    <x v="3"/>
    <x v="14"/>
    <x v="6"/>
    <s v="Chicken Pizza"/>
    <x v="2"/>
    <n v="3"/>
    <n v="166"/>
    <n v="16.600000000000001"/>
    <n v="40"/>
    <n v="498"/>
    <n v="521.4"/>
    <x v="1"/>
    <x v="0"/>
    <x v="1"/>
    <n v="29"/>
    <n v="4.9000000000000004"/>
  </r>
  <r>
    <x v="1741"/>
    <x v="127"/>
    <x v="4"/>
    <n v="5"/>
    <n v="8"/>
    <s v="Thursday"/>
    <x v="7"/>
    <x v="7"/>
    <x v="7"/>
    <s v="Veg Biryani"/>
    <x v="2"/>
    <n v="3"/>
    <n v="588"/>
    <n v="58.8"/>
    <n v="30"/>
    <n v="1764"/>
    <n v="1735.2"/>
    <x v="0"/>
    <x v="0"/>
    <x v="1"/>
    <n v="51"/>
    <n v="3"/>
  </r>
  <r>
    <x v="1742"/>
    <x v="127"/>
    <x v="4"/>
    <n v="5"/>
    <n v="8"/>
    <s v="Thursday"/>
    <x v="4"/>
    <x v="1"/>
    <x v="7"/>
    <s v="Chicken Momos"/>
    <x v="1"/>
    <n v="1"/>
    <n v="138"/>
    <n v="27.6"/>
    <n v="30"/>
    <n v="138"/>
    <n v="140.4"/>
    <x v="1"/>
    <x v="3"/>
    <x v="1"/>
    <n v="56"/>
    <m/>
  </r>
  <r>
    <x v="1743"/>
    <x v="127"/>
    <x v="4"/>
    <n v="5"/>
    <n v="8"/>
    <s v="Thursday"/>
    <x v="7"/>
    <x v="13"/>
    <x v="2"/>
    <s v="Idli Sambar"/>
    <x v="1"/>
    <n v="2"/>
    <n v="457"/>
    <n v="22.85"/>
    <n v="50"/>
    <n v="914"/>
    <n v="941.15"/>
    <x v="1"/>
    <x v="0"/>
    <x v="1"/>
    <n v="35"/>
    <n v="4"/>
  </r>
  <r>
    <x v="1744"/>
    <x v="127"/>
    <x v="4"/>
    <n v="5"/>
    <n v="8"/>
    <s v="Thursday"/>
    <x v="7"/>
    <x v="7"/>
    <x v="3"/>
    <s v="Veg Biryani"/>
    <x v="1"/>
    <n v="2"/>
    <n v="644"/>
    <n v="161"/>
    <n v="50"/>
    <n v="1288"/>
    <n v="1177"/>
    <x v="4"/>
    <x v="2"/>
    <x v="0"/>
    <n v="54"/>
    <m/>
  </r>
  <r>
    <x v="1745"/>
    <x v="127"/>
    <x v="4"/>
    <n v="5"/>
    <n v="8"/>
    <s v="Thursday"/>
    <x v="2"/>
    <x v="3"/>
    <x v="7"/>
    <s v="Cold Coffee"/>
    <x v="2"/>
    <n v="2"/>
    <n v="488"/>
    <n v="97.6"/>
    <n v="30"/>
    <n v="976"/>
    <n v="908.4"/>
    <x v="4"/>
    <x v="0"/>
    <x v="1"/>
    <n v="49"/>
    <n v="4.3"/>
  </r>
  <r>
    <x v="1746"/>
    <x v="127"/>
    <x v="4"/>
    <n v="5"/>
    <n v="8"/>
    <s v="Thursday"/>
    <x v="3"/>
    <x v="14"/>
    <x v="4"/>
    <s v="Veg Burger"/>
    <x v="2"/>
    <n v="1"/>
    <n v="128"/>
    <n v="19.2"/>
    <n v="60"/>
    <n v="128"/>
    <n v="168.8"/>
    <x v="2"/>
    <x v="1"/>
    <x v="0"/>
    <n v="33"/>
    <m/>
  </r>
  <r>
    <x v="1747"/>
    <x v="127"/>
    <x v="4"/>
    <n v="5"/>
    <n v="8"/>
    <s v="Thursday"/>
    <x v="3"/>
    <x v="13"/>
    <x v="2"/>
    <s v="Fried Rice"/>
    <x v="1"/>
    <n v="2"/>
    <n v="312"/>
    <n v="78"/>
    <n v="60"/>
    <n v="624"/>
    <n v="606"/>
    <x v="4"/>
    <x v="0"/>
    <x v="0"/>
    <n v="38"/>
    <n v="3"/>
  </r>
  <r>
    <x v="1748"/>
    <x v="127"/>
    <x v="4"/>
    <n v="5"/>
    <n v="8"/>
    <s v="Thursday"/>
    <x v="1"/>
    <x v="0"/>
    <x v="8"/>
    <s v="Fried Rice"/>
    <x v="2"/>
    <n v="2"/>
    <n v="189"/>
    <n v="28.35"/>
    <n v="20"/>
    <n v="378"/>
    <n v="369.65"/>
    <x v="1"/>
    <x v="0"/>
    <x v="0"/>
    <n v="56"/>
    <n v="4.5999999999999996"/>
  </r>
  <r>
    <x v="1749"/>
    <x v="127"/>
    <x v="4"/>
    <n v="5"/>
    <n v="8"/>
    <s v="Thursday"/>
    <x v="9"/>
    <x v="8"/>
    <x v="6"/>
    <s v="Cold Coffee"/>
    <x v="1"/>
    <n v="1"/>
    <n v="636"/>
    <n v="63.6"/>
    <n v="40"/>
    <n v="636"/>
    <n v="612.4"/>
    <x v="2"/>
    <x v="0"/>
    <x v="1"/>
    <n v="47"/>
    <n v="3.6"/>
  </r>
  <r>
    <x v="1750"/>
    <x v="127"/>
    <x v="4"/>
    <n v="5"/>
    <n v="8"/>
    <s v="Thursday"/>
    <x v="3"/>
    <x v="3"/>
    <x v="5"/>
    <s v="Paneer Butter Masala"/>
    <x v="1"/>
    <n v="1"/>
    <n v="556"/>
    <n v="111.2"/>
    <n v="0"/>
    <n v="556"/>
    <n v="444.8"/>
    <x v="2"/>
    <x v="0"/>
    <x v="1"/>
    <n v="22"/>
    <n v="4.5"/>
  </r>
  <r>
    <x v="1751"/>
    <x v="127"/>
    <x v="4"/>
    <n v="5"/>
    <n v="8"/>
    <s v="Thursday"/>
    <x v="7"/>
    <x v="2"/>
    <x v="0"/>
    <s v="French Fries"/>
    <x v="1"/>
    <n v="1"/>
    <n v="760"/>
    <n v="38"/>
    <n v="40"/>
    <n v="760"/>
    <n v="762"/>
    <x v="2"/>
    <x v="0"/>
    <x v="1"/>
    <n v="59"/>
    <n v="3.8"/>
  </r>
  <r>
    <x v="1752"/>
    <x v="127"/>
    <x v="4"/>
    <n v="5"/>
    <n v="8"/>
    <s v="Thursday"/>
    <x v="7"/>
    <x v="12"/>
    <x v="5"/>
    <s v="Chocolate Cake"/>
    <x v="1"/>
    <n v="2"/>
    <n v="768"/>
    <n v="76.8"/>
    <n v="30"/>
    <n v="1536"/>
    <n v="1489.2"/>
    <x v="1"/>
    <x v="0"/>
    <x v="1"/>
    <n v="43"/>
    <n v="3.5"/>
  </r>
  <r>
    <x v="1753"/>
    <x v="127"/>
    <x v="4"/>
    <n v="5"/>
    <n v="8"/>
    <s v="Thursday"/>
    <x v="3"/>
    <x v="0"/>
    <x v="0"/>
    <s v="Veg Momos"/>
    <x v="1"/>
    <n v="2"/>
    <n v="891"/>
    <n v="89.1"/>
    <n v="40"/>
    <n v="1782"/>
    <n v="1732.9"/>
    <x v="1"/>
    <x v="0"/>
    <x v="1"/>
    <n v="30"/>
    <n v="4.0999999999999996"/>
  </r>
  <r>
    <x v="1754"/>
    <x v="127"/>
    <x v="4"/>
    <n v="5"/>
    <n v="8"/>
    <s v="Thursday"/>
    <x v="7"/>
    <x v="1"/>
    <x v="4"/>
    <s v="Chicken Pizza"/>
    <x v="2"/>
    <n v="1"/>
    <n v="433"/>
    <n v="64.95"/>
    <n v="50"/>
    <n v="433"/>
    <n v="418.05"/>
    <x v="3"/>
    <x v="0"/>
    <x v="0"/>
    <n v="37"/>
    <n v="3.4"/>
  </r>
  <r>
    <x v="1755"/>
    <x v="127"/>
    <x v="4"/>
    <n v="5"/>
    <n v="8"/>
    <s v="Thursday"/>
    <x v="9"/>
    <x v="2"/>
    <x v="0"/>
    <s v="Pasta"/>
    <x v="1"/>
    <n v="1"/>
    <n v="491"/>
    <n v="122.75"/>
    <n v="60"/>
    <n v="491"/>
    <n v="428.25"/>
    <x v="1"/>
    <x v="0"/>
    <x v="0"/>
    <n v="32"/>
    <n v="3.6"/>
  </r>
  <r>
    <x v="1756"/>
    <x v="127"/>
    <x v="4"/>
    <n v="5"/>
    <n v="8"/>
    <s v="Thursday"/>
    <x v="3"/>
    <x v="6"/>
    <x v="7"/>
    <s v="Cold Coffee"/>
    <x v="2"/>
    <n v="1"/>
    <n v="210"/>
    <n v="0"/>
    <n v="30"/>
    <n v="210"/>
    <n v="240"/>
    <x v="2"/>
    <x v="0"/>
    <x v="0"/>
    <n v="69"/>
    <n v="4.4000000000000004"/>
  </r>
  <r>
    <x v="1757"/>
    <x v="128"/>
    <x v="4"/>
    <n v="5"/>
    <n v="9"/>
    <s v="Friday"/>
    <x v="5"/>
    <x v="5"/>
    <x v="2"/>
    <s v="Chocolate Cake"/>
    <x v="2"/>
    <n v="1"/>
    <n v="838"/>
    <n v="83.8"/>
    <n v="60"/>
    <n v="838"/>
    <n v="814.2"/>
    <x v="1"/>
    <x v="0"/>
    <x v="1"/>
    <n v="18"/>
    <n v="3.3"/>
  </r>
  <r>
    <x v="1758"/>
    <x v="128"/>
    <x v="4"/>
    <n v="5"/>
    <n v="9"/>
    <s v="Friday"/>
    <x v="1"/>
    <x v="11"/>
    <x v="0"/>
    <s v="Idli Sambar"/>
    <x v="2"/>
    <n v="3"/>
    <n v="770"/>
    <n v="0"/>
    <n v="40"/>
    <n v="2310"/>
    <n v="2350"/>
    <x v="3"/>
    <x v="0"/>
    <x v="1"/>
    <n v="36"/>
    <n v="4.5"/>
  </r>
  <r>
    <x v="1759"/>
    <x v="128"/>
    <x v="4"/>
    <n v="5"/>
    <n v="9"/>
    <s v="Friday"/>
    <x v="6"/>
    <x v="6"/>
    <x v="2"/>
    <s v="Fried Rice"/>
    <x v="2"/>
    <n v="1"/>
    <n v="280"/>
    <n v="28"/>
    <n v="20"/>
    <n v="280"/>
    <n v="272"/>
    <x v="0"/>
    <x v="0"/>
    <x v="1"/>
    <n v="60"/>
    <n v="4.2"/>
  </r>
  <r>
    <x v="1760"/>
    <x v="128"/>
    <x v="4"/>
    <n v="5"/>
    <n v="9"/>
    <s v="Friday"/>
    <x v="5"/>
    <x v="11"/>
    <x v="9"/>
    <s v="Chicken Momos"/>
    <x v="1"/>
    <n v="2"/>
    <n v="216"/>
    <n v="21.6"/>
    <n v="0"/>
    <n v="432"/>
    <n v="410.4"/>
    <x v="4"/>
    <x v="0"/>
    <x v="1"/>
    <n v="48"/>
    <n v="5"/>
  </r>
  <r>
    <x v="1761"/>
    <x v="128"/>
    <x v="4"/>
    <n v="5"/>
    <n v="9"/>
    <s v="Friday"/>
    <x v="4"/>
    <x v="12"/>
    <x v="9"/>
    <s v="Masala Dosa"/>
    <x v="1"/>
    <n v="2"/>
    <n v="557"/>
    <n v="139.25"/>
    <n v="0"/>
    <n v="1114"/>
    <n v="974.75"/>
    <x v="1"/>
    <x v="0"/>
    <x v="0"/>
    <n v="19"/>
    <n v="4.3"/>
  </r>
  <r>
    <x v="1762"/>
    <x v="128"/>
    <x v="4"/>
    <n v="5"/>
    <n v="9"/>
    <s v="Friday"/>
    <x v="0"/>
    <x v="3"/>
    <x v="6"/>
    <s v="Chicken Biryani"/>
    <x v="1"/>
    <n v="1"/>
    <n v="707"/>
    <n v="106.05"/>
    <n v="40"/>
    <n v="707"/>
    <n v="640.95000000000005"/>
    <x v="1"/>
    <x v="0"/>
    <x v="1"/>
    <n v="59"/>
    <n v="4.3"/>
  </r>
  <r>
    <x v="1763"/>
    <x v="128"/>
    <x v="4"/>
    <n v="5"/>
    <n v="9"/>
    <s v="Friday"/>
    <x v="6"/>
    <x v="11"/>
    <x v="6"/>
    <s v="Veg Momos"/>
    <x v="1"/>
    <n v="2"/>
    <n v="606"/>
    <n v="60.6"/>
    <n v="0"/>
    <n v="1212"/>
    <n v="1151.4000000000001"/>
    <x v="1"/>
    <x v="0"/>
    <x v="1"/>
    <n v="59"/>
    <n v="4.9000000000000004"/>
  </r>
  <r>
    <x v="1764"/>
    <x v="128"/>
    <x v="4"/>
    <n v="5"/>
    <n v="9"/>
    <s v="Friday"/>
    <x v="5"/>
    <x v="14"/>
    <x v="0"/>
    <s v="Paneer Butter Masala"/>
    <x v="1"/>
    <n v="3"/>
    <n v="661"/>
    <n v="66.099999999999994"/>
    <n v="20"/>
    <n v="1983"/>
    <n v="1936.9"/>
    <x v="4"/>
    <x v="0"/>
    <x v="0"/>
    <n v="55"/>
    <n v="5"/>
  </r>
  <r>
    <x v="1765"/>
    <x v="128"/>
    <x v="4"/>
    <n v="5"/>
    <n v="9"/>
    <s v="Friday"/>
    <x v="4"/>
    <x v="9"/>
    <x v="1"/>
    <s v="Idli Sambar"/>
    <x v="1"/>
    <n v="2"/>
    <n v="233"/>
    <n v="23.3"/>
    <n v="30"/>
    <n v="466"/>
    <n v="472.7"/>
    <x v="0"/>
    <x v="3"/>
    <x v="1"/>
    <n v="25"/>
    <m/>
  </r>
  <r>
    <x v="1766"/>
    <x v="128"/>
    <x v="4"/>
    <n v="5"/>
    <n v="9"/>
    <s v="Friday"/>
    <x v="9"/>
    <x v="5"/>
    <x v="7"/>
    <s v="Chicken Biryani"/>
    <x v="1"/>
    <n v="1"/>
    <n v="138"/>
    <n v="0"/>
    <n v="50"/>
    <n v="138"/>
    <n v="188"/>
    <x v="1"/>
    <x v="0"/>
    <x v="1"/>
    <n v="32"/>
    <n v="3.1"/>
  </r>
  <r>
    <x v="1767"/>
    <x v="128"/>
    <x v="4"/>
    <n v="5"/>
    <n v="9"/>
    <s v="Friday"/>
    <x v="1"/>
    <x v="14"/>
    <x v="8"/>
    <s v="Chicken Burger"/>
    <x v="2"/>
    <n v="2"/>
    <n v="298"/>
    <n v="14.9"/>
    <n v="50"/>
    <n v="596"/>
    <n v="631.1"/>
    <x v="0"/>
    <x v="0"/>
    <x v="1"/>
    <n v="66"/>
    <n v="4.2"/>
  </r>
  <r>
    <x v="1768"/>
    <x v="128"/>
    <x v="4"/>
    <n v="5"/>
    <n v="9"/>
    <s v="Friday"/>
    <x v="3"/>
    <x v="1"/>
    <x v="3"/>
    <s v="Veg Pizza"/>
    <x v="0"/>
    <n v="1"/>
    <n v="899"/>
    <n v="224.75"/>
    <n v="40"/>
    <n v="899"/>
    <n v="714.25"/>
    <x v="0"/>
    <x v="0"/>
    <x v="0"/>
    <n v="46"/>
    <n v="4.0999999999999996"/>
  </r>
  <r>
    <x v="1769"/>
    <x v="128"/>
    <x v="4"/>
    <n v="5"/>
    <n v="9"/>
    <s v="Friday"/>
    <x v="0"/>
    <x v="6"/>
    <x v="6"/>
    <s v="Chicken Burger"/>
    <x v="1"/>
    <n v="1"/>
    <n v="198"/>
    <n v="29.7"/>
    <n v="70"/>
    <n v="198"/>
    <n v="238.3"/>
    <x v="3"/>
    <x v="0"/>
    <x v="1"/>
    <n v="31"/>
    <n v="2.5"/>
  </r>
  <r>
    <x v="1770"/>
    <x v="128"/>
    <x v="4"/>
    <n v="5"/>
    <n v="9"/>
    <s v="Friday"/>
    <x v="8"/>
    <x v="13"/>
    <x v="9"/>
    <s v="Veg Burger"/>
    <x v="1"/>
    <n v="1"/>
    <n v="415"/>
    <n v="41.5"/>
    <n v="40"/>
    <n v="415"/>
    <n v="413.5"/>
    <x v="3"/>
    <x v="2"/>
    <x v="1"/>
    <n v="64"/>
    <m/>
  </r>
  <r>
    <x v="1771"/>
    <x v="128"/>
    <x v="4"/>
    <n v="5"/>
    <n v="9"/>
    <s v="Friday"/>
    <x v="3"/>
    <x v="11"/>
    <x v="8"/>
    <s v="Veg Biryani"/>
    <x v="1"/>
    <n v="2"/>
    <n v="782"/>
    <n v="0"/>
    <n v="60"/>
    <n v="1564"/>
    <n v="1624"/>
    <x v="1"/>
    <x v="0"/>
    <x v="1"/>
    <n v="63"/>
    <n v="3.4"/>
  </r>
  <r>
    <x v="1772"/>
    <x v="129"/>
    <x v="4"/>
    <n v="5"/>
    <n v="10"/>
    <s v="Saturday"/>
    <x v="0"/>
    <x v="9"/>
    <x v="7"/>
    <s v="Chocolate Cake"/>
    <x v="0"/>
    <n v="1"/>
    <n v="504"/>
    <n v="25.2"/>
    <n v="70"/>
    <n v="504"/>
    <n v="548.79999999999995"/>
    <x v="1"/>
    <x v="0"/>
    <x v="1"/>
    <n v="20"/>
    <n v="4.0999999999999996"/>
  </r>
  <r>
    <x v="1773"/>
    <x v="129"/>
    <x v="4"/>
    <n v="5"/>
    <n v="10"/>
    <s v="Saturday"/>
    <x v="5"/>
    <x v="6"/>
    <x v="0"/>
    <s v="Masala Dosa"/>
    <x v="3"/>
    <n v="1"/>
    <n v="701"/>
    <n v="175.25"/>
    <n v="60"/>
    <n v="701"/>
    <n v="585.75"/>
    <x v="1"/>
    <x v="0"/>
    <x v="1"/>
    <n v="21"/>
    <n v="4"/>
  </r>
  <r>
    <x v="1774"/>
    <x v="129"/>
    <x v="4"/>
    <n v="5"/>
    <n v="10"/>
    <s v="Saturday"/>
    <x v="5"/>
    <x v="3"/>
    <x v="2"/>
    <s v="Veg Momos"/>
    <x v="1"/>
    <n v="2"/>
    <n v="211"/>
    <n v="10.55"/>
    <n v="70"/>
    <n v="422"/>
    <n v="481.45"/>
    <x v="3"/>
    <x v="0"/>
    <x v="1"/>
    <n v="63"/>
    <n v="5"/>
  </r>
  <r>
    <x v="1775"/>
    <x v="129"/>
    <x v="4"/>
    <n v="5"/>
    <n v="10"/>
    <s v="Saturday"/>
    <x v="1"/>
    <x v="6"/>
    <x v="3"/>
    <s v="Veg Momos"/>
    <x v="1"/>
    <n v="3"/>
    <n v="488"/>
    <n v="0"/>
    <n v="50"/>
    <n v="1464"/>
    <n v="1514"/>
    <x v="2"/>
    <x v="0"/>
    <x v="0"/>
    <n v="21"/>
    <n v="3.4"/>
  </r>
  <r>
    <x v="1776"/>
    <x v="129"/>
    <x v="4"/>
    <n v="5"/>
    <n v="10"/>
    <s v="Saturday"/>
    <x v="2"/>
    <x v="14"/>
    <x v="5"/>
    <s v="French Fries"/>
    <x v="1"/>
    <n v="2"/>
    <n v="305"/>
    <n v="15.25"/>
    <n v="50"/>
    <n v="610"/>
    <n v="644.75"/>
    <x v="1"/>
    <x v="0"/>
    <x v="0"/>
    <n v="67"/>
    <n v="4.7"/>
  </r>
  <r>
    <x v="1777"/>
    <x v="129"/>
    <x v="4"/>
    <n v="5"/>
    <n v="10"/>
    <s v="Saturday"/>
    <x v="6"/>
    <x v="9"/>
    <x v="9"/>
    <s v="Chicken Biryani"/>
    <x v="0"/>
    <n v="1"/>
    <n v="345"/>
    <n v="0"/>
    <n v="30"/>
    <n v="345"/>
    <n v="375"/>
    <x v="0"/>
    <x v="2"/>
    <x v="0"/>
    <n v="54"/>
    <m/>
  </r>
  <r>
    <x v="1778"/>
    <x v="129"/>
    <x v="4"/>
    <n v="5"/>
    <n v="10"/>
    <s v="Saturday"/>
    <x v="1"/>
    <x v="10"/>
    <x v="0"/>
    <s v="Chicken Momos"/>
    <x v="2"/>
    <n v="3"/>
    <n v="481"/>
    <n v="48.1"/>
    <n v="20"/>
    <n v="1443"/>
    <n v="1414.9"/>
    <x v="1"/>
    <x v="0"/>
    <x v="1"/>
    <n v="26"/>
    <n v="3.7"/>
  </r>
  <r>
    <x v="1779"/>
    <x v="129"/>
    <x v="4"/>
    <n v="5"/>
    <n v="10"/>
    <s v="Saturday"/>
    <x v="2"/>
    <x v="13"/>
    <x v="9"/>
    <s v="Chicken Biryani"/>
    <x v="0"/>
    <n v="1"/>
    <n v="844"/>
    <n v="126.6"/>
    <n v="20"/>
    <n v="844"/>
    <n v="737.4"/>
    <x v="1"/>
    <x v="0"/>
    <x v="1"/>
    <n v="27"/>
    <n v="5"/>
  </r>
  <r>
    <x v="1780"/>
    <x v="129"/>
    <x v="4"/>
    <n v="5"/>
    <n v="10"/>
    <s v="Saturday"/>
    <x v="4"/>
    <x v="1"/>
    <x v="5"/>
    <s v="Fried Rice"/>
    <x v="0"/>
    <n v="1"/>
    <n v="277"/>
    <n v="27.7"/>
    <n v="20"/>
    <n v="277"/>
    <n v="269.3"/>
    <x v="1"/>
    <x v="0"/>
    <x v="0"/>
    <n v="58"/>
    <n v="2.9"/>
  </r>
  <r>
    <x v="1781"/>
    <x v="129"/>
    <x v="4"/>
    <n v="5"/>
    <n v="10"/>
    <s v="Saturday"/>
    <x v="6"/>
    <x v="14"/>
    <x v="9"/>
    <s v="Fried Rice"/>
    <x v="2"/>
    <n v="3"/>
    <n v="349"/>
    <n v="34.9"/>
    <n v="20"/>
    <n v="1047"/>
    <n v="1032.0999999999999"/>
    <x v="0"/>
    <x v="0"/>
    <x v="0"/>
    <n v="36"/>
    <n v="3.9"/>
  </r>
  <r>
    <x v="1782"/>
    <x v="129"/>
    <x v="4"/>
    <n v="5"/>
    <n v="10"/>
    <s v="Saturday"/>
    <x v="8"/>
    <x v="14"/>
    <x v="9"/>
    <s v="Veg Momos"/>
    <x v="1"/>
    <n v="2"/>
    <n v="883"/>
    <n v="88.3"/>
    <n v="0"/>
    <n v="1766"/>
    <n v="1677.7"/>
    <x v="2"/>
    <x v="0"/>
    <x v="0"/>
    <n v="67"/>
    <n v="2.2000000000000002"/>
  </r>
  <r>
    <x v="1783"/>
    <x v="129"/>
    <x v="4"/>
    <n v="5"/>
    <n v="10"/>
    <s v="Saturday"/>
    <x v="7"/>
    <x v="11"/>
    <x v="8"/>
    <s v="Chicken Pizza"/>
    <x v="2"/>
    <n v="1"/>
    <n v="711"/>
    <n v="106.65"/>
    <n v="50"/>
    <n v="711"/>
    <n v="654.35"/>
    <x v="3"/>
    <x v="0"/>
    <x v="1"/>
    <n v="63"/>
    <n v="3.2"/>
  </r>
  <r>
    <x v="1784"/>
    <x v="129"/>
    <x v="4"/>
    <n v="5"/>
    <n v="10"/>
    <s v="Saturday"/>
    <x v="7"/>
    <x v="12"/>
    <x v="6"/>
    <s v="Veg Biryani"/>
    <x v="2"/>
    <n v="2"/>
    <n v="371"/>
    <n v="18.55"/>
    <n v="0"/>
    <n v="742"/>
    <n v="723.45"/>
    <x v="2"/>
    <x v="0"/>
    <x v="0"/>
    <n v="62"/>
    <n v="3.8"/>
  </r>
  <r>
    <x v="1785"/>
    <x v="129"/>
    <x v="4"/>
    <n v="5"/>
    <n v="10"/>
    <s v="Saturday"/>
    <x v="5"/>
    <x v="12"/>
    <x v="5"/>
    <s v="Idli Sambar"/>
    <x v="1"/>
    <n v="1"/>
    <n v="572"/>
    <n v="57.2"/>
    <n v="20"/>
    <n v="572"/>
    <n v="534.79999999999995"/>
    <x v="0"/>
    <x v="0"/>
    <x v="0"/>
    <n v="29"/>
    <n v="3.7"/>
  </r>
  <r>
    <x v="1786"/>
    <x v="130"/>
    <x v="4"/>
    <n v="5"/>
    <n v="11"/>
    <s v="Sunday"/>
    <x v="1"/>
    <x v="10"/>
    <x v="7"/>
    <s v="Chocolate Cake"/>
    <x v="1"/>
    <n v="1"/>
    <n v="430"/>
    <n v="107.5"/>
    <n v="50"/>
    <n v="430"/>
    <n v="372.5"/>
    <x v="0"/>
    <x v="0"/>
    <x v="0"/>
    <n v="30"/>
    <n v="4.0999999999999996"/>
  </r>
  <r>
    <x v="1787"/>
    <x v="130"/>
    <x v="4"/>
    <n v="5"/>
    <n v="11"/>
    <s v="Sunday"/>
    <x v="5"/>
    <x v="2"/>
    <x v="1"/>
    <s v="Chicken Burger"/>
    <x v="1"/>
    <n v="2"/>
    <n v="230"/>
    <n v="46"/>
    <n v="50"/>
    <n v="460"/>
    <n v="464"/>
    <x v="0"/>
    <x v="0"/>
    <x v="0"/>
    <n v="64"/>
    <n v="4.2"/>
  </r>
  <r>
    <x v="1788"/>
    <x v="130"/>
    <x v="4"/>
    <n v="5"/>
    <n v="11"/>
    <s v="Sunday"/>
    <x v="6"/>
    <x v="2"/>
    <x v="7"/>
    <s v="Idli Sambar"/>
    <x v="2"/>
    <n v="1"/>
    <n v="594"/>
    <n v="0"/>
    <n v="50"/>
    <n v="594"/>
    <n v="644"/>
    <x v="2"/>
    <x v="1"/>
    <x v="0"/>
    <n v="68"/>
    <m/>
  </r>
  <r>
    <x v="1789"/>
    <x v="130"/>
    <x v="4"/>
    <n v="5"/>
    <n v="11"/>
    <s v="Sunday"/>
    <x v="4"/>
    <x v="4"/>
    <x v="8"/>
    <s v="Masala Dosa"/>
    <x v="1"/>
    <n v="1"/>
    <n v="504"/>
    <n v="25.2"/>
    <n v="40"/>
    <n v="504"/>
    <n v="518.79999999999995"/>
    <x v="0"/>
    <x v="0"/>
    <x v="1"/>
    <n v="21"/>
    <n v="3.4"/>
  </r>
  <r>
    <x v="1790"/>
    <x v="130"/>
    <x v="4"/>
    <n v="5"/>
    <n v="11"/>
    <s v="Sunday"/>
    <x v="0"/>
    <x v="4"/>
    <x v="2"/>
    <s v="Veg Biryani"/>
    <x v="1"/>
    <n v="3"/>
    <n v="775"/>
    <n v="77.5"/>
    <n v="50"/>
    <n v="2325"/>
    <n v="2297.5"/>
    <x v="1"/>
    <x v="0"/>
    <x v="1"/>
    <n v="53"/>
    <n v="3.5"/>
  </r>
  <r>
    <x v="1791"/>
    <x v="130"/>
    <x v="4"/>
    <n v="5"/>
    <n v="11"/>
    <s v="Sunday"/>
    <x v="4"/>
    <x v="7"/>
    <x v="1"/>
    <s v="Idli Sambar"/>
    <x v="1"/>
    <n v="2"/>
    <n v="262"/>
    <n v="26.2"/>
    <n v="40"/>
    <n v="524"/>
    <n v="537.79999999999995"/>
    <x v="1"/>
    <x v="0"/>
    <x v="1"/>
    <n v="35"/>
    <n v="3.2"/>
  </r>
  <r>
    <x v="1792"/>
    <x v="130"/>
    <x v="4"/>
    <n v="5"/>
    <n v="11"/>
    <s v="Sunday"/>
    <x v="1"/>
    <x v="2"/>
    <x v="4"/>
    <s v="Chicken Biryani"/>
    <x v="1"/>
    <n v="2"/>
    <n v="763"/>
    <n v="190.75"/>
    <n v="60"/>
    <n v="1526"/>
    <n v="1395.25"/>
    <x v="2"/>
    <x v="0"/>
    <x v="1"/>
    <n v="47"/>
    <n v="3.3"/>
  </r>
  <r>
    <x v="1793"/>
    <x v="130"/>
    <x v="4"/>
    <n v="5"/>
    <n v="11"/>
    <s v="Sunday"/>
    <x v="4"/>
    <x v="9"/>
    <x v="0"/>
    <s v="Chicken Burger"/>
    <x v="1"/>
    <n v="1"/>
    <n v="743"/>
    <n v="74.3"/>
    <n v="30"/>
    <n v="743"/>
    <n v="698.7"/>
    <x v="1"/>
    <x v="0"/>
    <x v="1"/>
    <n v="57"/>
    <n v="4.5"/>
  </r>
  <r>
    <x v="1794"/>
    <x v="130"/>
    <x v="4"/>
    <n v="5"/>
    <n v="11"/>
    <s v="Sunday"/>
    <x v="0"/>
    <x v="10"/>
    <x v="7"/>
    <s v="Cold Coffee"/>
    <x v="1"/>
    <n v="2"/>
    <n v="887"/>
    <n v="44.35"/>
    <n v="70"/>
    <n v="1774"/>
    <n v="1799.65"/>
    <x v="3"/>
    <x v="0"/>
    <x v="1"/>
    <n v="62"/>
    <n v="4.2"/>
  </r>
  <r>
    <x v="1795"/>
    <x v="130"/>
    <x v="4"/>
    <n v="5"/>
    <n v="11"/>
    <s v="Sunday"/>
    <x v="5"/>
    <x v="13"/>
    <x v="2"/>
    <s v="Fried Rice"/>
    <x v="1"/>
    <n v="2"/>
    <n v="336"/>
    <n v="33.6"/>
    <n v="20"/>
    <n v="672"/>
    <n v="658.4"/>
    <x v="0"/>
    <x v="0"/>
    <x v="1"/>
    <n v="34"/>
    <n v="5"/>
  </r>
  <r>
    <x v="1796"/>
    <x v="130"/>
    <x v="4"/>
    <n v="5"/>
    <n v="11"/>
    <s v="Sunday"/>
    <x v="1"/>
    <x v="13"/>
    <x v="3"/>
    <s v="Paneer Butter Masala"/>
    <x v="2"/>
    <n v="2"/>
    <n v="488"/>
    <n v="73.2"/>
    <n v="30"/>
    <n v="976"/>
    <n v="932.8"/>
    <x v="1"/>
    <x v="0"/>
    <x v="1"/>
    <n v="38"/>
    <n v="3.6"/>
  </r>
  <r>
    <x v="1797"/>
    <x v="130"/>
    <x v="4"/>
    <n v="5"/>
    <n v="11"/>
    <s v="Sunday"/>
    <x v="2"/>
    <x v="0"/>
    <x v="5"/>
    <s v="Fried Rice"/>
    <x v="1"/>
    <n v="1"/>
    <n v="315"/>
    <n v="63"/>
    <n v="0"/>
    <n v="315"/>
    <n v="252"/>
    <x v="0"/>
    <x v="0"/>
    <x v="1"/>
    <n v="67"/>
    <n v="3.6"/>
  </r>
  <r>
    <x v="1798"/>
    <x v="130"/>
    <x v="4"/>
    <n v="5"/>
    <n v="11"/>
    <s v="Sunday"/>
    <x v="1"/>
    <x v="3"/>
    <x v="5"/>
    <s v="Cold Coffee"/>
    <x v="2"/>
    <n v="1"/>
    <n v="131"/>
    <n v="6.55"/>
    <n v="60"/>
    <n v="131"/>
    <n v="184.45"/>
    <x v="0"/>
    <x v="0"/>
    <x v="0"/>
    <n v="46"/>
    <n v="2.6"/>
  </r>
  <r>
    <x v="1799"/>
    <x v="131"/>
    <x v="4"/>
    <n v="5"/>
    <n v="12"/>
    <s v="Monday"/>
    <x v="1"/>
    <x v="11"/>
    <x v="6"/>
    <s v="Pasta"/>
    <x v="1"/>
    <n v="1"/>
    <n v="305"/>
    <n v="30.5"/>
    <n v="0"/>
    <n v="305"/>
    <n v="274.5"/>
    <x v="0"/>
    <x v="3"/>
    <x v="1"/>
    <n v="66"/>
    <m/>
  </r>
  <r>
    <x v="1800"/>
    <x v="131"/>
    <x v="4"/>
    <n v="5"/>
    <n v="12"/>
    <s v="Monday"/>
    <x v="9"/>
    <x v="13"/>
    <x v="2"/>
    <s v="Veg Momos"/>
    <x v="2"/>
    <n v="1"/>
    <n v="163"/>
    <n v="16.3"/>
    <n v="30"/>
    <n v="163"/>
    <n v="176.7"/>
    <x v="4"/>
    <x v="0"/>
    <x v="0"/>
    <n v="18"/>
    <n v="3.8"/>
  </r>
  <r>
    <x v="1801"/>
    <x v="131"/>
    <x v="4"/>
    <n v="5"/>
    <n v="12"/>
    <s v="Monday"/>
    <x v="5"/>
    <x v="3"/>
    <x v="0"/>
    <s v="Chicken Biryani"/>
    <x v="2"/>
    <n v="2"/>
    <n v="674"/>
    <n v="67.400000000000006"/>
    <n v="40"/>
    <n v="1348"/>
    <n v="1320.6"/>
    <x v="0"/>
    <x v="0"/>
    <x v="0"/>
    <n v="58"/>
    <n v="4.5999999999999996"/>
  </r>
  <r>
    <x v="1802"/>
    <x v="131"/>
    <x v="4"/>
    <n v="5"/>
    <n v="12"/>
    <s v="Monday"/>
    <x v="4"/>
    <x v="10"/>
    <x v="5"/>
    <s v="Veg Pizza"/>
    <x v="1"/>
    <n v="1"/>
    <n v="449"/>
    <n v="22.45"/>
    <n v="0"/>
    <n v="449"/>
    <n v="426.55"/>
    <x v="1"/>
    <x v="0"/>
    <x v="0"/>
    <n v="22"/>
    <n v="4.4000000000000004"/>
  </r>
  <r>
    <x v="1803"/>
    <x v="131"/>
    <x v="4"/>
    <n v="5"/>
    <n v="12"/>
    <s v="Monday"/>
    <x v="7"/>
    <x v="0"/>
    <x v="3"/>
    <s v="Veg Pizza"/>
    <x v="3"/>
    <n v="2"/>
    <n v="290"/>
    <n v="29"/>
    <n v="20"/>
    <n v="580"/>
    <n v="571"/>
    <x v="1"/>
    <x v="0"/>
    <x v="0"/>
    <n v="31"/>
    <n v="4.5999999999999996"/>
  </r>
  <r>
    <x v="1804"/>
    <x v="131"/>
    <x v="4"/>
    <n v="5"/>
    <n v="12"/>
    <s v="Monday"/>
    <x v="6"/>
    <x v="4"/>
    <x v="5"/>
    <s v="Pasta"/>
    <x v="1"/>
    <n v="3"/>
    <n v="524"/>
    <n v="52.4"/>
    <n v="60"/>
    <n v="1572"/>
    <n v="1579.6"/>
    <x v="1"/>
    <x v="0"/>
    <x v="1"/>
    <n v="59"/>
    <n v="4.2"/>
  </r>
  <r>
    <x v="1805"/>
    <x v="131"/>
    <x v="4"/>
    <n v="5"/>
    <n v="12"/>
    <s v="Monday"/>
    <x v="9"/>
    <x v="0"/>
    <x v="2"/>
    <s v="Veg Burger"/>
    <x v="1"/>
    <n v="3"/>
    <n v="400"/>
    <n v="0"/>
    <n v="30"/>
    <n v="1200"/>
    <n v="1230"/>
    <x v="0"/>
    <x v="0"/>
    <x v="1"/>
    <n v="55"/>
    <n v="4.0999999999999996"/>
  </r>
  <r>
    <x v="1806"/>
    <x v="131"/>
    <x v="4"/>
    <n v="5"/>
    <n v="12"/>
    <s v="Monday"/>
    <x v="1"/>
    <x v="12"/>
    <x v="0"/>
    <s v="Idli Sambar"/>
    <x v="1"/>
    <n v="2"/>
    <n v="855"/>
    <n v="128.25"/>
    <n v="30"/>
    <n v="1710"/>
    <n v="1611.75"/>
    <x v="2"/>
    <x v="0"/>
    <x v="1"/>
    <n v="36"/>
    <n v="3.3"/>
  </r>
  <r>
    <x v="1807"/>
    <x v="131"/>
    <x v="4"/>
    <n v="5"/>
    <n v="12"/>
    <s v="Monday"/>
    <x v="1"/>
    <x v="13"/>
    <x v="4"/>
    <s v="Fried Rice"/>
    <x v="1"/>
    <n v="1"/>
    <n v="838"/>
    <n v="83.8"/>
    <n v="50"/>
    <n v="838"/>
    <n v="804.2"/>
    <x v="2"/>
    <x v="0"/>
    <x v="0"/>
    <n v="66"/>
    <n v="3.7"/>
  </r>
  <r>
    <x v="1808"/>
    <x v="131"/>
    <x v="4"/>
    <n v="5"/>
    <n v="12"/>
    <s v="Monday"/>
    <x v="2"/>
    <x v="2"/>
    <x v="1"/>
    <s v="Veg Burger"/>
    <x v="1"/>
    <n v="2"/>
    <n v="814"/>
    <n v="0"/>
    <n v="40"/>
    <n v="1628"/>
    <n v="1668"/>
    <x v="4"/>
    <x v="2"/>
    <x v="1"/>
    <n v="35"/>
    <m/>
  </r>
  <r>
    <x v="1809"/>
    <x v="131"/>
    <x v="4"/>
    <n v="5"/>
    <n v="12"/>
    <s v="Monday"/>
    <x v="3"/>
    <x v="11"/>
    <x v="1"/>
    <s v="Chicken Momos"/>
    <x v="1"/>
    <n v="2"/>
    <n v="177"/>
    <n v="44.25"/>
    <n v="20"/>
    <n v="354"/>
    <n v="329.75"/>
    <x v="1"/>
    <x v="0"/>
    <x v="0"/>
    <n v="52"/>
    <n v="5"/>
  </r>
  <r>
    <x v="1810"/>
    <x v="131"/>
    <x v="4"/>
    <n v="5"/>
    <n v="12"/>
    <s v="Monday"/>
    <x v="1"/>
    <x v="0"/>
    <x v="5"/>
    <s v="Chicken Pizza"/>
    <x v="1"/>
    <n v="2"/>
    <n v="663"/>
    <n v="33.15"/>
    <n v="50"/>
    <n v="1326"/>
    <n v="1342.85"/>
    <x v="2"/>
    <x v="3"/>
    <x v="1"/>
    <n v="48"/>
    <m/>
  </r>
  <r>
    <x v="1811"/>
    <x v="132"/>
    <x v="4"/>
    <n v="5"/>
    <n v="13"/>
    <s v="Tuesday"/>
    <x v="1"/>
    <x v="11"/>
    <x v="1"/>
    <s v="Chocolate Cake"/>
    <x v="1"/>
    <n v="3"/>
    <n v="565"/>
    <n v="28.25"/>
    <n v="30"/>
    <n v="1695"/>
    <n v="1696.75"/>
    <x v="2"/>
    <x v="1"/>
    <x v="1"/>
    <n v="65"/>
    <m/>
  </r>
  <r>
    <x v="1812"/>
    <x v="132"/>
    <x v="4"/>
    <n v="5"/>
    <n v="13"/>
    <s v="Tuesday"/>
    <x v="3"/>
    <x v="5"/>
    <x v="3"/>
    <s v="Veg Burger"/>
    <x v="3"/>
    <n v="2"/>
    <n v="223"/>
    <n v="11.15"/>
    <n v="50"/>
    <n v="446"/>
    <n v="484.85"/>
    <x v="4"/>
    <x v="2"/>
    <x v="1"/>
    <n v="37"/>
    <m/>
  </r>
  <r>
    <x v="1813"/>
    <x v="132"/>
    <x v="4"/>
    <n v="5"/>
    <n v="13"/>
    <s v="Tuesday"/>
    <x v="2"/>
    <x v="7"/>
    <x v="7"/>
    <s v="Veg Momos"/>
    <x v="1"/>
    <n v="3"/>
    <n v="692"/>
    <n v="69.2"/>
    <n v="30"/>
    <n v="2076"/>
    <n v="2036.8"/>
    <x v="2"/>
    <x v="0"/>
    <x v="1"/>
    <n v="57"/>
    <n v="5"/>
  </r>
  <r>
    <x v="1814"/>
    <x v="132"/>
    <x v="4"/>
    <n v="5"/>
    <n v="13"/>
    <s v="Tuesday"/>
    <x v="1"/>
    <x v="13"/>
    <x v="1"/>
    <s v="Idli Sambar"/>
    <x v="1"/>
    <n v="1"/>
    <n v="874"/>
    <n v="43.7"/>
    <n v="30"/>
    <n v="874"/>
    <n v="860.3"/>
    <x v="4"/>
    <x v="0"/>
    <x v="0"/>
    <n v="56"/>
    <n v="3.7"/>
  </r>
  <r>
    <x v="1815"/>
    <x v="132"/>
    <x v="4"/>
    <n v="5"/>
    <n v="13"/>
    <s v="Tuesday"/>
    <x v="6"/>
    <x v="1"/>
    <x v="4"/>
    <s v="French Fries"/>
    <x v="1"/>
    <n v="1"/>
    <n v="391"/>
    <n v="97.75"/>
    <n v="50"/>
    <n v="391"/>
    <n v="343.25"/>
    <x v="0"/>
    <x v="0"/>
    <x v="0"/>
    <n v="18"/>
    <n v="4.0999999999999996"/>
  </r>
  <r>
    <x v="1816"/>
    <x v="132"/>
    <x v="4"/>
    <n v="5"/>
    <n v="13"/>
    <s v="Tuesday"/>
    <x v="1"/>
    <x v="6"/>
    <x v="7"/>
    <s v="Veg Pizza"/>
    <x v="1"/>
    <n v="1"/>
    <n v="815"/>
    <n v="122.25"/>
    <n v="30"/>
    <n v="815"/>
    <n v="722.75"/>
    <x v="4"/>
    <x v="0"/>
    <x v="1"/>
    <n v="28"/>
    <n v="2.7"/>
  </r>
  <r>
    <x v="1817"/>
    <x v="132"/>
    <x v="4"/>
    <n v="5"/>
    <n v="13"/>
    <s v="Tuesday"/>
    <x v="7"/>
    <x v="0"/>
    <x v="4"/>
    <s v="Cold Coffee"/>
    <x v="3"/>
    <n v="2"/>
    <n v="380"/>
    <n v="38"/>
    <n v="40"/>
    <n v="760"/>
    <n v="762"/>
    <x v="3"/>
    <x v="0"/>
    <x v="1"/>
    <n v="41"/>
    <n v="4.4000000000000004"/>
  </r>
  <r>
    <x v="1818"/>
    <x v="132"/>
    <x v="4"/>
    <n v="5"/>
    <n v="13"/>
    <s v="Tuesday"/>
    <x v="9"/>
    <x v="5"/>
    <x v="8"/>
    <s v="Chicken Burger"/>
    <x v="2"/>
    <n v="1"/>
    <n v="456"/>
    <n v="45.6"/>
    <n v="60"/>
    <n v="456"/>
    <n v="470.4"/>
    <x v="2"/>
    <x v="1"/>
    <x v="1"/>
    <n v="55"/>
    <m/>
  </r>
  <r>
    <x v="1819"/>
    <x v="132"/>
    <x v="4"/>
    <n v="5"/>
    <n v="13"/>
    <s v="Tuesday"/>
    <x v="4"/>
    <x v="8"/>
    <x v="8"/>
    <s v="Chocolate Cake"/>
    <x v="1"/>
    <n v="1"/>
    <n v="296"/>
    <n v="29.6"/>
    <n v="0"/>
    <n v="296"/>
    <n v="266.39999999999998"/>
    <x v="2"/>
    <x v="1"/>
    <x v="1"/>
    <n v="42"/>
    <m/>
  </r>
  <r>
    <x v="1820"/>
    <x v="132"/>
    <x v="4"/>
    <n v="5"/>
    <n v="13"/>
    <s v="Tuesday"/>
    <x v="4"/>
    <x v="0"/>
    <x v="8"/>
    <s v="Masala Dosa"/>
    <x v="0"/>
    <n v="1"/>
    <n v="755"/>
    <n v="113.25"/>
    <n v="30"/>
    <n v="755"/>
    <n v="671.75"/>
    <x v="0"/>
    <x v="0"/>
    <x v="1"/>
    <n v="51"/>
    <n v="2.6"/>
  </r>
  <r>
    <x v="1821"/>
    <x v="132"/>
    <x v="4"/>
    <n v="5"/>
    <n v="13"/>
    <s v="Tuesday"/>
    <x v="2"/>
    <x v="7"/>
    <x v="0"/>
    <s v="Chicken Burger"/>
    <x v="1"/>
    <n v="2"/>
    <n v="194"/>
    <n v="48.5"/>
    <n v="20"/>
    <n v="388"/>
    <n v="359.5"/>
    <x v="2"/>
    <x v="0"/>
    <x v="1"/>
    <n v="54"/>
    <n v="4.4000000000000004"/>
  </r>
  <r>
    <x v="1822"/>
    <x v="132"/>
    <x v="4"/>
    <n v="5"/>
    <n v="13"/>
    <s v="Tuesday"/>
    <x v="4"/>
    <x v="7"/>
    <x v="0"/>
    <s v="Chicken Momos"/>
    <x v="1"/>
    <n v="3"/>
    <n v="823"/>
    <n v="123.45"/>
    <n v="30"/>
    <n v="2469"/>
    <n v="2375.5500000000002"/>
    <x v="1"/>
    <x v="0"/>
    <x v="0"/>
    <n v="19"/>
    <n v="3.3"/>
  </r>
  <r>
    <x v="1823"/>
    <x v="132"/>
    <x v="4"/>
    <n v="5"/>
    <n v="13"/>
    <s v="Tuesday"/>
    <x v="5"/>
    <x v="11"/>
    <x v="6"/>
    <s v="Veg Pizza"/>
    <x v="1"/>
    <n v="1"/>
    <n v="587"/>
    <n v="88.05"/>
    <n v="50"/>
    <n v="587"/>
    <n v="548.95000000000005"/>
    <x v="4"/>
    <x v="0"/>
    <x v="0"/>
    <n v="63"/>
    <n v="3"/>
  </r>
  <r>
    <x v="1824"/>
    <x v="132"/>
    <x v="4"/>
    <n v="5"/>
    <n v="13"/>
    <s v="Tuesday"/>
    <x v="3"/>
    <x v="9"/>
    <x v="2"/>
    <s v="French Fries"/>
    <x v="1"/>
    <n v="2"/>
    <n v="574"/>
    <n v="57.4"/>
    <n v="70"/>
    <n v="1148"/>
    <n v="1160.5999999999999"/>
    <x v="2"/>
    <x v="1"/>
    <x v="1"/>
    <n v="50"/>
    <m/>
  </r>
  <r>
    <x v="1825"/>
    <x v="132"/>
    <x v="4"/>
    <n v="5"/>
    <n v="13"/>
    <s v="Tuesday"/>
    <x v="0"/>
    <x v="8"/>
    <x v="4"/>
    <s v="Masala Dosa"/>
    <x v="2"/>
    <n v="1"/>
    <n v="411"/>
    <n v="41.1"/>
    <n v="40"/>
    <n v="411"/>
    <n v="409.9"/>
    <x v="1"/>
    <x v="0"/>
    <x v="1"/>
    <n v="20"/>
    <n v="2.4"/>
  </r>
  <r>
    <x v="1826"/>
    <x v="132"/>
    <x v="4"/>
    <n v="5"/>
    <n v="13"/>
    <s v="Tuesday"/>
    <x v="3"/>
    <x v="2"/>
    <x v="5"/>
    <s v="Veg Pizza"/>
    <x v="1"/>
    <n v="2"/>
    <n v="237"/>
    <n v="0"/>
    <n v="30"/>
    <n v="474"/>
    <n v="504"/>
    <x v="3"/>
    <x v="0"/>
    <x v="1"/>
    <n v="23"/>
    <n v="4"/>
  </r>
  <r>
    <x v="1827"/>
    <x v="133"/>
    <x v="4"/>
    <n v="5"/>
    <n v="14"/>
    <s v="Wednesday"/>
    <x v="8"/>
    <x v="2"/>
    <x v="2"/>
    <s v="Veg Biryani"/>
    <x v="1"/>
    <n v="2"/>
    <n v="715"/>
    <n v="35.75"/>
    <n v="40"/>
    <n v="1430"/>
    <n v="1434.25"/>
    <x v="0"/>
    <x v="0"/>
    <x v="1"/>
    <n v="61"/>
    <n v="2.6"/>
  </r>
  <r>
    <x v="1828"/>
    <x v="133"/>
    <x v="4"/>
    <n v="5"/>
    <n v="14"/>
    <s v="Wednesday"/>
    <x v="1"/>
    <x v="0"/>
    <x v="8"/>
    <s v="Veg Pizza"/>
    <x v="1"/>
    <n v="2"/>
    <n v="320"/>
    <n v="80"/>
    <n v="30"/>
    <n v="640"/>
    <n v="590"/>
    <x v="0"/>
    <x v="0"/>
    <x v="1"/>
    <n v="47"/>
    <n v="4"/>
  </r>
  <r>
    <x v="1829"/>
    <x v="133"/>
    <x v="4"/>
    <n v="5"/>
    <n v="14"/>
    <s v="Wednesday"/>
    <x v="2"/>
    <x v="10"/>
    <x v="4"/>
    <s v="Cold Coffee"/>
    <x v="2"/>
    <n v="1"/>
    <n v="365"/>
    <n v="18.25"/>
    <n v="40"/>
    <n v="365"/>
    <n v="386.75"/>
    <x v="3"/>
    <x v="0"/>
    <x v="1"/>
    <n v="24"/>
    <n v="4"/>
  </r>
  <r>
    <x v="1830"/>
    <x v="133"/>
    <x v="4"/>
    <n v="5"/>
    <n v="14"/>
    <s v="Wednesday"/>
    <x v="3"/>
    <x v="13"/>
    <x v="2"/>
    <s v="Chicken Burger"/>
    <x v="1"/>
    <n v="2"/>
    <n v="533"/>
    <n v="106.6"/>
    <n v="20"/>
    <n v="1066"/>
    <n v="979.4"/>
    <x v="3"/>
    <x v="0"/>
    <x v="1"/>
    <n v="45"/>
    <n v="3.6"/>
  </r>
  <r>
    <x v="1831"/>
    <x v="133"/>
    <x v="4"/>
    <n v="5"/>
    <n v="14"/>
    <s v="Wednesday"/>
    <x v="1"/>
    <x v="8"/>
    <x v="7"/>
    <s v="Cold Coffee"/>
    <x v="1"/>
    <n v="1"/>
    <n v="293"/>
    <n v="29.3"/>
    <n v="50"/>
    <n v="293"/>
    <n v="313.7"/>
    <x v="4"/>
    <x v="0"/>
    <x v="1"/>
    <n v="33"/>
    <n v="4.5"/>
  </r>
  <r>
    <x v="1832"/>
    <x v="133"/>
    <x v="4"/>
    <n v="5"/>
    <n v="14"/>
    <s v="Wednesday"/>
    <x v="1"/>
    <x v="10"/>
    <x v="5"/>
    <s v="Veg Momos"/>
    <x v="1"/>
    <n v="2"/>
    <n v="690"/>
    <n v="69"/>
    <n v="50"/>
    <n v="1380"/>
    <n v="1361"/>
    <x v="4"/>
    <x v="0"/>
    <x v="1"/>
    <n v="30"/>
    <n v="5"/>
  </r>
  <r>
    <x v="1833"/>
    <x v="133"/>
    <x v="4"/>
    <n v="5"/>
    <n v="14"/>
    <s v="Wednesday"/>
    <x v="8"/>
    <x v="12"/>
    <x v="4"/>
    <s v="Chicken Biryani"/>
    <x v="1"/>
    <n v="3"/>
    <n v="362"/>
    <n v="0"/>
    <n v="0"/>
    <n v="1086"/>
    <n v="1086"/>
    <x v="1"/>
    <x v="0"/>
    <x v="0"/>
    <n v="58"/>
    <n v="4.5999999999999996"/>
  </r>
  <r>
    <x v="1834"/>
    <x v="133"/>
    <x v="4"/>
    <n v="5"/>
    <n v="14"/>
    <s v="Wednesday"/>
    <x v="9"/>
    <x v="9"/>
    <x v="8"/>
    <s v="Fried Rice"/>
    <x v="1"/>
    <n v="3"/>
    <n v="897"/>
    <n v="134.55000000000001"/>
    <n v="20"/>
    <n v="2691"/>
    <n v="2576.4499999999998"/>
    <x v="2"/>
    <x v="0"/>
    <x v="1"/>
    <n v="56"/>
    <n v="3.9"/>
  </r>
  <r>
    <x v="1835"/>
    <x v="133"/>
    <x v="4"/>
    <n v="5"/>
    <n v="14"/>
    <s v="Wednesday"/>
    <x v="5"/>
    <x v="5"/>
    <x v="7"/>
    <s v="Chicken Burger"/>
    <x v="3"/>
    <n v="2"/>
    <n v="882"/>
    <n v="176.4"/>
    <n v="0"/>
    <n v="1764"/>
    <n v="1587.6"/>
    <x v="0"/>
    <x v="0"/>
    <x v="1"/>
    <n v="31"/>
    <n v="5"/>
  </r>
  <r>
    <x v="1836"/>
    <x v="133"/>
    <x v="4"/>
    <n v="5"/>
    <n v="14"/>
    <s v="Wednesday"/>
    <x v="5"/>
    <x v="4"/>
    <x v="3"/>
    <s v="Chicken Pizza"/>
    <x v="1"/>
    <n v="2"/>
    <n v="302"/>
    <n v="15.1"/>
    <n v="20"/>
    <n v="604"/>
    <n v="608.9"/>
    <x v="1"/>
    <x v="0"/>
    <x v="1"/>
    <n v="31"/>
    <n v="4.2"/>
  </r>
  <r>
    <x v="1837"/>
    <x v="133"/>
    <x v="4"/>
    <n v="5"/>
    <n v="14"/>
    <s v="Wednesday"/>
    <x v="6"/>
    <x v="2"/>
    <x v="8"/>
    <s v="Chicken Burger"/>
    <x v="1"/>
    <n v="1"/>
    <n v="314"/>
    <n v="47.1"/>
    <n v="30"/>
    <n v="314"/>
    <n v="296.89999999999998"/>
    <x v="0"/>
    <x v="0"/>
    <x v="1"/>
    <n v="21"/>
    <n v="4.8"/>
  </r>
  <r>
    <x v="1838"/>
    <x v="133"/>
    <x v="4"/>
    <n v="5"/>
    <n v="14"/>
    <s v="Wednesday"/>
    <x v="5"/>
    <x v="9"/>
    <x v="0"/>
    <s v="Paneer Butter Masala"/>
    <x v="2"/>
    <n v="1"/>
    <n v="395"/>
    <n v="0"/>
    <n v="0"/>
    <n v="395"/>
    <n v="395"/>
    <x v="2"/>
    <x v="0"/>
    <x v="1"/>
    <n v="67"/>
    <n v="4.0999999999999996"/>
  </r>
  <r>
    <x v="1839"/>
    <x v="133"/>
    <x v="4"/>
    <n v="5"/>
    <n v="14"/>
    <s v="Wednesday"/>
    <x v="5"/>
    <x v="3"/>
    <x v="0"/>
    <s v="Chicken Biryani"/>
    <x v="1"/>
    <n v="2"/>
    <n v="214"/>
    <n v="32.1"/>
    <n v="30"/>
    <n v="428"/>
    <n v="425.9"/>
    <x v="2"/>
    <x v="0"/>
    <x v="1"/>
    <n v="32"/>
    <n v="3.8"/>
  </r>
  <r>
    <x v="1840"/>
    <x v="133"/>
    <x v="4"/>
    <n v="5"/>
    <n v="14"/>
    <s v="Wednesday"/>
    <x v="6"/>
    <x v="12"/>
    <x v="4"/>
    <s v="Chicken Momos"/>
    <x v="1"/>
    <n v="1"/>
    <n v="510"/>
    <n v="127.5"/>
    <n v="0"/>
    <n v="510"/>
    <n v="382.5"/>
    <x v="2"/>
    <x v="0"/>
    <x v="1"/>
    <n v="36"/>
    <n v="4.5999999999999996"/>
  </r>
  <r>
    <x v="1841"/>
    <x v="134"/>
    <x v="4"/>
    <n v="5"/>
    <n v="15"/>
    <s v="Thursday"/>
    <x v="2"/>
    <x v="2"/>
    <x v="7"/>
    <s v="Chocolate Cake"/>
    <x v="1"/>
    <n v="2"/>
    <n v="534"/>
    <n v="26.7"/>
    <n v="30"/>
    <n v="1068"/>
    <n v="1071.3"/>
    <x v="1"/>
    <x v="0"/>
    <x v="1"/>
    <n v="50"/>
    <n v="4"/>
  </r>
  <r>
    <x v="1842"/>
    <x v="134"/>
    <x v="4"/>
    <n v="5"/>
    <n v="15"/>
    <s v="Thursday"/>
    <x v="9"/>
    <x v="10"/>
    <x v="2"/>
    <s v="Paneer Butter Masala"/>
    <x v="2"/>
    <n v="1"/>
    <n v="888"/>
    <n v="0"/>
    <n v="60"/>
    <n v="888"/>
    <n v="948"/>
    <x v="1"/>
    <x v="0"/>
    <x v="1"/>
    <n v="67"/>
    <n v="4.8"/>
  </r>
  <r>
    <x v="1843"/>
    <x v="134"/>
    <x v="4"/>
    <n v="5"/>
    <n v="15"/>
    <s v="Thursday"/>
    <x v="7"/>
    <x v="8"/>
    <x v="3"/>
    <s v="Veg Burger"/>
    <x v="0"/>
    <n v="1"/>
    <n v="497"/>
    <n v="49.7"/>
    <n v="60"/>
    <n v="497"/>
    <n v="507.3"/>
    <x v="0"/>
    <x v="0"/>
    <x v="0"/>
    <n v="25"/>
    <n v="4.9000000000000004"/>
  </r>
  <r>
    <x v="1844"/>
    <x v="134"/>
    <x v="4"/>
    <n v="5"/>
    <n v="15"/>
    <s v="Thursday"/>
    <x v="3"/>
    <x v="7"/>
    <x v="5"/>
    <s v="Chicken Pizza"/>
    <x v="2"/>
    <n v="3"/>
    <n v="693"/>
    <n v="138.6"/>
    <n v="60"/>
    <n v="2079"/>
    <n v="2000.4"/>
    <x v="0"/>
    <x v="1"/>
    <x v="0"/>
    <n v="25"/>
    <m/>
  </r>
  <r>
    <x v="1845"/>
    <x v="134"/>
    <x v="4"/>
    <n v="5"/>
    <n v="15"/>
    <s v="Thursday"/>
    <x v="0"/>
    <x v="2"/>
    <x v="6"/>
    <s v="Veg Biryani"/>
    <x v="1"/>
    <n v="2"/>
    <n v="415"/>
    <n v="62.25"/>
    <n v="30"/>
    <n v="830"/>
    <n v="797.75"/>
    <x v="2"/>
    <x v="0"/>
    <x v="1"/>
    <n v="60"/>
    <n v="3.9"/>
  </r>
  <r>
    <x v="1846"/>
    <x v="134"/>
    <x v="4"/>
    <n v="5"/>
    <n v="15"/>
    <s v="Thursday"/>
    <x v="1"/>
    <x v="10"/>
    <x v="6"/>
    <s v="Idli Sambar"/>
    <x v="1"/>
    <n v="1"/>
    <n v="403"/>
    <n v="100.75"/>
    <n v="40"/>
    <n v="403"/>
    <n v="342.25"/>
    <x v="0"/>
    <x v="0"/>
    <x v="1"/>
    <n v="69"/>
    <n v="4"/>
  </r>
  <r>
    <x v="1847"/>
    <x v="134"/>
    <x v="4"/>
    <n v="5"/>
    <n v="15"/>
    <s v="Thursday"/>
    <x v="1"/>
    <x v="6"/>
    <x v="0"/>
    <s v="Chicken Pizza"/>
    <x v="2"/>
    <n v="2"/>
    <n v="758"/>
    <n v="151.6"/>
    <n v="50"/>
    <n v="1516"/>
    <n v="1414.4"/>
    <x v="4"/>
    <x v="0"/>
    <x v="1"/>
    <n v="68"/>
    <n v="3.1"/>
  </r>
  <r>
    <x v="1848"/>
    <x v="135"/>
    <x v="4"/>
    <n v="5"/>
    <n v="16"/>
    <s v="Friday"/>
    <x v="4"/>
    <x v="8"/>
    <x v="8"/>
    <s v="Veg Pizza"/>
    <x v="1"/>
    <n v="1"/>
    <n v="226"/>
    <n v="22.6"/>
    <n v="50"/>
    <n v="226"/>
    <n v="253.4"/>
    <x v="2"/>
    <x v="0"/>
    <x v="1"/>
    <n v="30"/>
    <n v="1.9"/>
  </r>
  <r>
    <x v="1849"/>
    <x v="135"/>
    <x v="4"/>
    <n v="5"/>
    <n v="16"/>
    <s v="Friday"/>
    <x v="4"/>
    <x v="1"/>
    <x v="8"/>
    <s v="Idli Sambar"/>
    <x v="1"/>
    <n v="2"/>
    <n v="679"/>
    <n v="135.80000000000001"/>
    <n v="60"/>
    <n v="1358"/>
    <n v="1282.2"/>
    <x v="1"/>
    <x v="0"/>
    <x v="1"/>
    <n v="43"/>
    <n v="4.4000000000000004"/>
  </r>
  <r>
    <x v="1850"/>
    <x v="135"/>
    <x v="4"/>
    <n v="5"/>
    <n v="16"/>
    <s v="Friday"/>
    <x v="5"/>
    <x v="9"/>
    <x v="4"/>
    <s v="Pasta"/>
    <x v="1"/>
    <n v="1"/>
    <n v="646"/>
    <n v="129.19999999999999"/>
    <n v="30"/>
    <n v="646"/>
    <n v="546.79999999999995"/>
    <x v="3"/>
    <x v="0"/>
    <x v="0"/>
    <n v="33"/>
    <n v="4.2"/>
  </r>
  <r>
    <x v="1851"/>
    <x v="135"/>
    <x v="4"/>
    <n v="5"/>
    <n v="16"/>
    <s v="Friday"/>
    <x v="0"/>
    <x v="12"/>
    <x v="8"/>
    <s v="Idli Sambar"/>
    <x v="2"/>
    <n v="1"/>
    <n v="506"/>
    <n v="25.3"/>
    <n v="30"/>
    <n v="506"/>
    <n v="510.7"/>
    <x v="3"/>
    <x v="0"/>
    <x v="1"/>
    <n v="63"/>
    <n v="3.8"/>
  </r>
  <r>
    <x v="1852"/>
    <x v="135"/>
    <x v="4"/>
    <n v="5"/>
    <n v="16"/>
    <s v="Friday"/>
    <x v="5"/>
    <x v="8"/>
    <x v="9"/>
    <s v="Idli Sambar"/>
    <x v="1"/>
    <n v="1"/>
    <n v="607"/>
    <n v="60.7"/>
    <n v="0"/>
    <n v="607"/>
    <n v="546.29999999999995"/>
    <x v="3"/>
    <x v="3"/>
    <x v="0"/>
    <n v="54"/>
    <m/>
  </r>
  <r>
    <x v="1853"/>
    <x v="135"/>
    <x v="4"/>
    <n v="5"/>
    <n v="16"/>
    <s v="Friday"/>
    <x v="1"/>
    <x v="9"/>
    <x v="1"/>
    <s v="Pasta"/>
    <x v="1"/>
    <n v="1"/>
    <n v="441"/>
    <n v="66.150000000000006"/>
    <n v="40"/>
    <n v="441"/>
    <n v="414.85"/>
    <x v="2"/>
    <x v="0"/>
    <x v="1"/>
    <n v="48"/>
    <n v="2.8"/>
  </r>
  <r>
    <x v="1854"/>
    <x v="135"/>
    <x v="4"/>
    <n v="5"/>
    <n v="16"/>
    <s v="Friday"/>
    <x v="8"/>
    <x v="13"/>
    <x v="9"/>
    <s v="Chicken Biryani"/>
    <x v="1"/>
    <n v="2"/>
    <n v="261"/>
    <n v="0"/>
    <n v="30"/>
    <n v="522"/>
    <n v="552"/>
    <x v="2"/>
    <x v="0"/>
    <x v="0"/>
    <n v="60"/>
    <n v="3.5"/>
  </r>
  <r>
    <x v="1855"/>
    <x v="135"/>
    <x v="4"/>
    <n v="5"/>
    <n v="16"/>
    <s v="Friday"/>
    <x v="5"/>
    <x v="13"/>
    <x v="7"/>
    <s v="Pasta"/>
    <x v="1"/>
    <n v="2"/>
    <n v="449"/>
    <n v="67.349999999999994"/>
    <n v="50"/>
    <n v="898"/>
    <n v="880.65"/>
    <x v="1"/>
    <x v="0"/>
    <x v="1"/>
    <n v="50"/>
    <n v="2.2999999999999998"/>
  </r>
  <r>
    <x v="1856"/>
    <x v="135"/>
    <x v="4"/>
    <n v="5"/>
    <n v="16"/>
    <s v="Friday"/>
    <x v="4"/>
    <x v="0"/>
    <x v="8"/>
    <s v="Veg Momos"/>
    <x v="1"/>
    <n v="2"/>
    <n v="536"/>
    <n v="107.2"/>
    <n v="0"/>
    <n v="1072"/>
    <n v="964.8"/>
    <x v="3"/>
    <x v="0"/>
    <x v="1"/>
    <n v="50"/>
    <n v="4.3"/>
  </r>
  <r>
    <x v="1857"/>
    <x v="135"/>
    <x v="4"/>
    <n v="5"/>
    <n v="16"/>
    <s v="Friday"/>
    <x v="1"/>
    <x v="6"/>
    <x v="4"/>
    <s v="Chocolate Cake"/>
    <x v="1"/>
    <n v="1"/>
    <n v="436"/>
    <n v="0"/>
    <n v="20"/>
    <n v="436"/>
    <n v="456"/>
    <x v="3"/>
    <x v="0"/>
    <x v="1"/>
    <n v="48"/>
    <n v="5"/>
  </r>
  <r>
    <x v="1858"/>
    <x v="135"/>
    <x v="4"/>
    <n v="5"/>
    <n v="16"/>
    <s v="Friday"/>
    <x v="5"/>
    <x v="13"/>
    <x v="2"/>
    <s v="Paneer Butter Masala"/>
    <x v="2"/>
    <n v="1"/>
    <n v="483"/>
    <n v="120.75"/>
    <n v="40"/>
    <n v="483"/>
    <n v="402.25"/>
    <x v="1"/>
    <x v="2"/>
    <x v="1"/>
    <n v="40"/>
    <m/>
  </r>
  <r>
    <x v="1859"/>
    <x v="135"/>
    <x v="4"/>
    <n v="5"/>
    <n v="16"/>
    <s v="Friday"/>
    <x v="9"/>
    <x v="14"/>
    <x v="6"/>
    <s v="Chicken Pizza"/>
    <x v="1"/>
    <n v="1"/>
    <n v="378"/>
    <n v="56.7"/>
    <n v="0"/>
    <n v="378"/>
    <n v="321.3"/>
    <x v="1"/>
    <x v="0"/>
    <x v="0"/>
    <n v="50"/>
    <n v="3.5"/>
  </r>
  <r>
    <x v="1860"/>
    <x v="135"/>
    <x v="4"/>
    <n v="5"/>
    <n v="16"/>
    <s v="Friday"/>
    <x v="1"/>
    <x v="12"/>
    <x v="0"/>
    <s v="French Fries"/>
    <x v="2"/>
    <n v="2"/>
    <n v="514"/>
    <n v="77.099999999999994"/>
    <n v="30"/>
    <n v="1028"/>
    <n v="980.9"/>
    <x v="4"/>
    <x v="0"/>
    <x v="1"/>
    <n v="67"/>
    <n v="4.7"/>
  </r>
  <r>
    <x v="1861"/>
    <x v="135"/>
    <x v="4"/>
    <n v="5"/>
    <n v="16"/>
    <s v="Friday"/>
    <x v="5"/>
    <x v="4"/>
    <x v="5"/>
    <s v="Chicken Biryani"/>
    <x v="2"/>
    <n v="3"/>
    <n v="334"/>
    <n v="16.7"/>
    <n v="40"/>
    <n v="1002"/>
    <n v="1025.3"/>
    <x v="1"/>
    <x v="0"/>
    <x v="1"/>
    <n v="49"/>
    <n v="4.8"/>
  </r>
  <r>
    <x v="1862"/>
    <x v="135"/>
    <x v="4"/>
    <n v="5"/>
    <n v="16"/>
    <s v="Friday"/>
    <x v="1"/>
    <x v="3"/>
    <x v="0"/>
    <s v="Veg Biryani"/>
    <x v="1"/>
    <n v="2"/>
    <n v="853"/>
    <n v="0"/>
    <n v="60"/>
    <n v="1706"/>
    <n v="1766"/>
    <x v="2"/>
    <x v="0"/>
    <x v="0"/>
    <n v="25"/>
    <n v="4.4000000000000004"/>
  </r>
  <r>
    <x v="1863"/>
    <x v="136"/>
    <x v="4"/>
    <n v="5"/>
    <n v="17"/>
    <s v="Saturday"/>
    <x v="5"/>
    <x v="3"/>
    <x v="1"/>
    <s v="Veg Pizza"/>
    <x v="1"/>
    <n v="1"/>
    <n v="433"/>
    <n v="108.25"/>
    <n v="30"/>
    <n v="433"/>
    <n v="354.75"/>
    <x v="3"/>
    <x v="0"/>
    <x v="0"/>
    <n v="45"/>
    <n v="4.7"/>
  </r>
  <r>
    <x v="1864"/>
    <x v="136"/>
    <x v="4"/>
    <n v="5"/>
    <n v="17"/>
    <s v="Saturday"/>
    <x v="5"/>
    <x v="4"/>
    <x v="4"/>
    <s v="Masala Dosa"/>
    <x v="1"/>
    <n v="1"/>
    <n v="219"/>
    <n v="43.8"/>
    <n v="50"/>
    <n v="219"/>
    <n v="225.2"/>
    <x v="2"/>
    <x v="0"/>
    <x v="1"/>
    <n v="68"/>
    <n v="4.5999999999999996"/>
  </r>
  <r>
    <x v="1865"/>
    <x v="136"/>
    <x v="4"/>
    <n v="5"/>
    <n v="17"/>
    <s v="Saturday"/>
    <x v="8"/>
    <x v="2"/>
    <x v="1"/>
    <s v="Paneer Butter Masala"/>
    <x v="1"/>
    <n v="3"/>
    <n v="407"/>
    <n v="40.700000000000003"/>
    <n v="40"/>
    <n v="1221"/>
    <n v="1220.3"/>
    <x v="1"/>
    <x v="0"/>
    <x v="1"/>
    <n v="28"/>
    <n v="4"/>
  </r>
  <r>
    <x v="1866"/>
    <x v="136"/>
    <x v="4"/>
    <n v="5"/>
    <n v="17"/>
    <s v="Saturday"/>
    <x v="1"/>
    <x v="7"/>
    <x v="1"/>
    <s v="Veg Biryani"/>
    <x v="1"/>
    <n v="2"/>
    <n v="161"/>
    <n v="16.100000000000001"/>
    <n v="40"/>
    <n v="322"/>
    <n v="345.9"/>
    <x v="3"/>
    <x v="0"/>
    <x v="1"/>
    <n v="19"/>
    <n v="4"/>
  </r>
  <r>
    <x v="1867"/>
    <x v="136"/>
    <x v="4"/>
    <n v="5"/>
    <n v="17"/>
    <s v="Saturday"/>
    <x v="5"/>
    <x v="14"/>
    <x v="3"/>
    <s v="Idli Sambar"/>
    <x v="1"/>
    <n v="2"/>
    <n v="195"/>
    <n v="48.75"/>
    <n v="40"/>
    <n v="390"/>
    <n v="381.25"/>
    <x v="1"/>
    <x v="0"/>
    <x v="0"/>
    <n v="58"/>
    <n v="3.3"/>
  </r>
  <r>
    <x v="1868"/>
    <x v="136"/>
    <x v="4"/>
    <n v="5"/>
    <n v="17"/>
    <s v="Saturday"/>
    <x v="6"/>
    <x v="2"/>
    <x v="0"/>
    <s v="Veg Pizza"/>
    <x v="1"/>
    <n v="1"/>
    <n v="896"/>
    <n v="0"/>
    <n v="20"/>
    <n v="896"/>
    <n v="916"/>
    <x v="4"/>
    <x v="0"/>
    <x v="0"/>
    <n v="63"/>
    <n v="3.7"/>
  </r>
  <r>
    <x v="1869"/>
    <x v="136"/>
    <x v="4"/>
    <n v="5"/>
    <n v="17"/>
    <s v="Saturday"/>
    <x v="4"/>
    <x v="14"/>
    <x v="2"/>
    <s v="Chicken Pizza"/>
    <x v="1"/>
    <n v="2"/>
    <n v="752"/>
    <n v="112.8"/>
    <n v="30"/>
    <n v="1504"/>
    <n v="1421.2"/>
    <x v="0"/>
    <x v="0"/>
    <x v="1"/>
    <n v="27"/>
    <n v="3.4"/>
  </r>
  <r>
    <x v="1870"/>
    <x v="136"/>
    <x v="4"/>
    <n v="5"/>
    <n v="17"/>
    <s v="Saturday"/>
    <x v="7"/>
    <x v="9"/>
    <x v="8"/>
    <s v="Veg Momos"/>
    <x v="1"/>
    <n v="1"/>
    <n v="541"/>
    <n v="54.1"/>
    <n v="30"/>
    <n v="541"/>
    <n v="516.9"/>
    <x v="2"/>
    <x v="1"/>
    <x v="0"/>
    <n v="50"/>
    <m/>
  </r>
  <r>
    <x v="1871"/>
    <x v="136"/>
    <x v="4"/>
    <n v="5"/>
    <n v="17"/>
    <s v="Saturday"/>
    <x v="5"/>
    <x v="5"/>
    <x v="4"/>
    <s v="French Fries"/>
    <x v="1"/>
    <n v="1"/>
    <n v="869"/>
    <n v="0"/>
    <n v="0"/>
    <n v="869"/>
    <n v="869"/>
    <x v="2"/>
    <x v="0"/>
    <x v="1"/>
    <n v="30"/>
    <n v="5"/>
  </r>
  <r>
    <x v="1872"/>
    <x v="136"/>
    <x v="4"/>
    <n v="5"/>
    <n v="17"/>
    <s v="Saturday"/>
    <x v="7"/>
    <x v="0"/>
    <x v="5"/>
    <s v="Pasta"/>
    <x v="1"/>
    <n v="3"/>
    <n v="525"/>
    <n v="78.75"/>
    <n v="50"/>
    <n v="1575"/>
    <n v="1546.25"/>
    <x v="4"/>
    <x v="2"/>
    <x v="1"/>
    <n v="44"/>
    <m/>
  </r>
  <r>
    <x v="1873"/>
    <x v="136"/>
    <x v="4"/>
    <n v="5"/>
    <n v="17"/>
    <s v="Saturday"/>
    <x v="1"/>
    <x v="3"/>
    <x v="9"/>
    <s v="Fried Rice"/>
    <x v="1"/>
    <n v="1"/>
    <n v="864"/>
    <n v="216"/>
    <n v="40"/>
    <n v="864"/>
    <n v="688"/>
    <x v="1"/>
    <x v="0"/>
    <x v="1"/>
    <n v="51"/>
    <n v="5"/>
  </r>
  <r>
    <x v="1874"/>
    <x v="136"/>
    <x v="4"/>
    <n v="5"/>
    <n v="17"/>
    <s v="Saturday"/>
    <x v="5"/>
    <x v="11"/>
    <x v="0"/>
    <s v="Masala Dosa"/>
    <x v="3"/>
    <n v="2"/>
    <n v="873"/>
    <n v="43.65"/>
    <n v="50"/>
    <n v="1746"/>
    <n v="1752.35"/>
    <x v="1"/>
    <x v="2"/>
    <x v="1"/>
    <n v="55"/>
    <m/>
  </r>
  <r>
    <x v="1875"/>
    <x v="136"/>
    <x v="4"/>
    <n v="5"/>
    <n v="17"/>
    <s v="Saturday"/>
    <x v="9"/>
    <x v="2"/>
    <x v="1"/>
    <s v="Idli Sambar"/>
    <x v="1"/>
    <n v="2"/>
    <n v="327"/>
    <n v="0"/>
    <n v="50"/>
    <n v="654"/>
    <n v="704"/>
    <x v="4"/>
    <x v="0"/>
    <x v="0"/>
    <n v="56"/>
    <n v="3.7"/>
  </r>
  <r>
    <x v="1876"/>
    <x v="136"/>
    <x v="4"/>
    <n v="5"/>
    <n v="17"/>
    <s v="Saturday"/>
    <x v="2"/>
    <x v="8"/>
    <x v="8"/>
    <s v="Cold Coffee"/>
    <x v="1"/>
    <n v="2"/>
    <n v="488"/>
    <n v="122"/>
    <n v="30"/>
    <n v="976"/>
    <n v="884"/>
    <x v="2"/>
    <x v="0"/>
    <x v="0"/>
    <n v="67"/>
    <n v="3.4"/>
  </r>
  <r>
    <x v="1877"/>
    <x v="136"/>
    <x v="4"/>
    <n v="5"/>
    <n v="17"/>
    <s v="Saturday"/>
    <x v="1"/>
    <x v="7"/>
    <x v="6"/>
    <s v="Fried Rice"/>
    <x v="1"/>
    <n v="1"/>
    <n v="713"/>
    <n v="71.3"/>
    <n v="50"/>
    <n v="713"/>
    <n v="691.7"/>
    <x v="2"/>
    <x v="0"/>
    <x v="0"/>
    <n v="66"/>
    <n v="3.9"/>
  </r>
  <r>
    <x v="1878"/>
    <x v="137"/>
    <x v="4"/>
    <n v="5"/>
    <n v="18"/>
    <s v="Sunday"/>
    <x v="0"/>
    <x v="11"/>
    <x v="7"/>
    <s v="Idli Sambar"/>
    <x v="2"/>
    <n v="2"/>
    <n v="764"/>
    <n v="191"/>
    <n v="70"/>
    <n v="1528"/>
    <n v="1407"/>
    <x v="2"/>
    <x v="0"/>
    <x v="0"/>
    <n v="61"/>
    <n v="4.9000000000000004"/>
  </r>
  <r>
    <x v="1879"/>
    <x v="137"/>
    <x v="4"/>
    <n v="5"/>
    <n v="18"/>
    <s v="Sunday"/>
    <x v="4"/>
    <x v="6"/>
    <x v="5"/>
    <s v="Veg Burger"/>
    <x v="2"/>
    <n v="3"/>
    <n v="373"/>
    <n v="18.649999999999999"/>
    <n v="60"/>
    <n v="1119"/>
    <n v="1160.3499999999999"/>
    <x v="1"/>
    <x v="0"/>
    <x v="1"/>
    <n v="53"/>
    <n v="5"/>
  </r>
  <r>
    <x v="1880"/>
    <x v="137"/>
    <x v="4"/>
    <n v="5"/>
    <n v="18"/>
    <s v="Sunday"/>
    <x v="5"/>
    <x v="5"/>
    <x v="4"/>
    <s v="Veg Pizza"/>
    <x v="2"/>
    <n v="2"/>
    <n v="336"/>
    <n v="50.4"/>
    <n v="30"/>
    <n v="672"/>
    <n v="651.6"/>
    <x v="3"/>
    <x v="0"/>
    <x v="1"/>
    <n v="35"/>
    <n v="3.6"/>
  </r>
  <r>
    <x v="1881"/>
    <x v="137"/>
    <x v="4"/>
    <n v="5"/>
    <n v="18"/>
    <s v="Sunday"/>
    <x v="9"/>
    <x v="6"/>
    <x v="9"/>
    <s v="Idli Sambar"/>
    <x v="1"/>
    <n v="1"/>
    <n v="899"/>
    <n v="134.85"/>
    <n v="30"/>
    <n v="899"/>
    <n v="794.15"/>
    <x v="3"/>
    <x v="0"/>
    <x v="1"/>
    <n v="70"/>
    <n v="4"/>
  </r>
  <r>
    <x v="1882"/>
    <x v="137"/>
    <x v="4"/>
    <n v="5"/>
    <n v="18"/>
    <s v="Sunday"/>
    <x v="9"/>
    <x v="7"/>
    <x v="3"/>
    <s v="Idli Sambar"/>
    <x v="1"/>
    <n v="2"/>
    <n v="765"/>
    <n v="0"/>
    <n v="20"/>
    <n v="1530"/>
    <n v="1550"/>
    <x v="1"/>
    <x v="0"/>
    <x v="0"/>
    <n v="34"/>
    <n v="2.9"/>
  </r>
  <r>
    <x v="1883"/>
    <x v="137"/>
    <x v="4"/>
    <n v="5"/>
    <n v="18"/>
    <s v="Sunday"/>
    <x v="5"/>
    <x v="12"/>
    <x v="1"/>
    <s v="Veg Momos"/>
    <x v="2"/>
    <n v="2"/>
    <n v="374"/>
    <n v="37.4"/>
    <n v="30"/>
    <n v="748"/>
    <n v="740.6"/>
    <x v="0"/>
    <x v="0"/>
    <x v="0"/>
    <n v="22"/>
    <n v="3.3"/>
  </r>
  <r>
    <x v="1884"/>
    <x v="137"/>
    <x v="4"/>
    <n v="5"/>
    <n v="18"/>
    <s v="Sunday"/>
    <x v="5"/>
    <x v="2"/>
    <x v="0"/>
    <s v="Masala Dosa"/>
    <x v="2"/>
    <n v="2"/>
    <n v="542"/>
    <n v="135.5"/>
    <n v="0"/>
    <n v="1084"/>
    <n v="948.5"/>
    <x v="1"/>
    <x v="0"/>
    <x v="0"/>
    <n v="30"/>
    <n v="3.9"/>
  </r>
  <r>
    <x v="1885"/>
    <x v="137"/>
    <x v="4"/>
    <n v="5"/>
    <n v="18"/>
    <s v="Sunday"/>
    <x v="3"/>
    <x v="2"/>
    <x v="5"/>
    <s v="Veg Pizza"/>
    <x v="3"/>
    <n v="1"/>
    <n v="351"/>
    <n v="35.1"/>
    <n v="50"/>
    <n v="351"/>
    <n v="365.9"/>
    <x v="2"/>
    <x v="0"/>
    <x v="0"/>
    <n v="41"/>
    <n v="4.4000000000000004"/>
  </r>
  <r>
    <x v="1886"/>
    <x v="137"/>
    <x v="4"/>
    <n v="5"/>
    <n v="18"/>
    <s v="Sunday"/>
    <x v="5"/>
    <x v="7"/>
    <x v="2"/>
    <s v="Chicken Burger"/>
    <x v="0"/>
    <n v="3"/>
    <n v="439"/>
    <n v="87.8"/>
    <n v="20"/>
    <n v="1317"/>
    <n v="1249.2"/>
    <x v="1"/>
    <x v="0"/>
    <x v="1"/>
    <n v="28"/>
    <n v="4.5999999999999996"/>
  </r>
  <r>
    <x v="1887"/>
    <x v="137"/>
    <x v="4"/>
    <n v="5"/>
    <n v="18"/>
    <s v="Sunday"/>
    <x v="1"/>
    <x v="0"/>
    <x v="4"/>
    <s v="Cold Coffee"/>
    <x v="1"/>
    <n v="2"/>
    <n v="346"/>
    <n v="51.9"/>
    <n v="0"/>
    <n v="692"/>
    <n v="640.1"/>
    <x v="1"/>
    <x v="0"/>
    <x v="1"/>
    <n v="31"/>
    <n v="4.2"/>
  </r>
  <r>
    <x v="1888"/>
    <x v="137"/>
    <x v="4"/>
    <n v="5"/>
    <n v="18"/>
    <s v="Sunday"/>
    <x v="5"/>
    <x v="11"/>
    <x v="9"/>
    <s v="Veg Burger"/>
    <x v="1"/>
    <n v="1"/>
    <n v="863"/>
    <n v="129.44999999999999"/>
    <n v="0"/>
    <n v="863"/>
    <n v="733.55"/>
    <x v="0"/>
    <x v="2"/>
    <x v="1"/>
    <n v="47"/>
    <m/>
  </r>
  <r>
    <x v="1889"/>
    <x v="137"/>
    <x v="4"/>
    <n v="5"/>
    <n v="18"/>
    <s v="Sunday"/>
    <x v="5"/>
    <x v="6"/>
    <x v="0"/>
    <s v="Idli Sambar"/>
    <x v="1"/>
    <n v="2"/>
    <n v="786"/>
    <n v="157.19999999999999"/>
    <n v="0"/>
    <n v="1572"/>
    <n v="1414.8"/>
    <x v="2"/>
    <x v="0"/>
    <x v="1"/>
    <n v="21"/>
    <n v="4.7"/>
  </r>
  <r>
    <x v="1890"/>
    <x v="137"/>
    <x v="4"/>
    <n v="5"/>
    <n v="18"/>
    <s v="Sunday"/>
    <x v="1"/>
    <x v="3"/>
    <x v="5"/>
    <s v="Chicken Biryani"/>
    <x v="2"/>
    <n v="2"/>
    <n v="427"/>
    <n v="64.05"/>
    <n v="20"/>
    <n v="854"/>
    <n v="809.95"/>
    <x v="3"/>
    <x v="0"/>
    <x v="1"/>
    <n v="36"/>
    <n v="5"/>
  </r>
  <r>
    <x v="1891"/>
    <x v="137"/>
    <x v="4"/>
    <n v="5"/>
    <n v="18"/>
    <s v="Sunday"/>
    <x v="2"/>
    <x v="13"/>
    <x v="2"/>
    <s v="Masala Dosa"/>
    <x v="1"/>
    <n v="1"/>
    <n v="614"/>
    <n v="0"/>
    <n v="30"/>
    <n v="614"/>
    <n v="644"/>
    <x v="4"/>
    <x v="3"/>
    <x v="1"/>
    <n v="57"/>
    <m/>
  </r>
  <r>
    <x v="1892"/>
    <x v="137"/>
    <x v="4"/>
    <n v="5"/>
    <n v="18"/>
    <s v="Sunday"/>
    <x v="3"/>
    <x v="4"/>
    <x v="6"/>
    <s v="French Fries"/>
    <x v="1"/>
    <n v="1"/>
    <n v="222"/>
    <n v="33.299999999999997"/>
    <n v="20"/>
    <n v="222"/>
    <n v="208.7"/>
    <x v="1"/>
    <x v="3"/>
    <x v="0"/>
    <n v="55"/>
    <m/>
  </r>
  <r>
    <x v="1893"/>
    <x v="138"/>
    <x v="4"/>
    <n v="5"/>
    <n v="19"/>
    <s v="Monday"/>
    <x v="7"/>
    <x v="7"/>
    <x v="3"/>
    <s v="Masala Dosa"/>
    <x v="1"/>
    <n v="3"/>
    <n v="825"/>
    <n v="123.75"/>
    <n v="20"/>
    <n v="2475"/>
    <n v="2371.25"/>
    <x v="1"/>
    <x v="0"/>
    <x v="1"/>
    <n v="65"/>
    <n v="3.5"/>
  </r>
  <r>
    <x v="1894"/>
    <x v="138"/>
    <x v="4"/>
    <n v="5"/>
    <n v="19"/>
    <s v="Monday"/>
    <x v="3"/>
    <x v="2"/>
    <x v="9"/>
    <s v="Veg Momos"/>
    <x v="1"/>
    <n v="1"/>
    <n v="197"/>
    <n v="29.55"/>
    <n v="30"/>
    <n v="197"/>
    <n v="197.45"/>
    <x v="3"/>
    <x v="0"/>
    <x v="1"/>
    <n v="22"/>
    <n v="4.8"/>
  </r>
  <r>
    <x v="1895"/>
    <x v="138"/>
    <x v="4"/>
    <n v="5"/>
    <n v="19"/>
    <s v="Monday"/>
    <x v="9"/>
    <x v="9"/>
    <x v="8"/>
    <s v="Idli Sambar"/>
    <x v="1"/>
    <n v="2"/>
    <n v="357"/>
    <n v="53.55"/>
    <n v="20"/>
    <n v="714"/>
    <n v="680.45"/>
    <x v="2"/>
    <x v="0"/>
    <x v="1"/>
    <n v="20"/>
    <n v="5"/>
  </r>
  <r>
    <x v="1896"/>
    <x v="138"/>
    <x v="4"/>
    <n v="5"/>
    <n v="19"/>
    <s v="Monday"/>
    <x v="5"/>
    <x v="14"/>
    <x v="6"/>
    <s v="Chocolate Cake"/>
    <x v="2"/>
    <n v="3"/>
    <n v="501"/>
    <n v="75.150000000000006"/>
    <n v="20"/>
    <n v="1503"/>
    <n v="1447.85"/>
    <x v="1"/>
    <x v="1"/>
    <x v="1"/>
    <n v="44"/>
    <m/>
  </r>
  <r>
    <x v="1897"/>
    <x v="138"/>
    <x v="4"/>
    <n v="5"/>
    <n v="19"/>
    <s v="Monday"/>
    <x v="3"/>
    <x v="1"/>
    <x v="7"/>
    <s v="Veg Biryani"/>
    <x v="2"/>
    <n v="2"/>
    <n v="788"/>
    <n v="39.4"/>
    <n v="20"/>
    <n v="1576"/>
    <n v="1556.6"/>
    <x v="1"/>
    <x v="0"/>
    <x v="1"/>
    <n v="25"/>
    <n v="4"/>
  </r>
  <r>
    <x v="1898"/>
    <x v="138"/>
    <x v="4"/>
    <n v="5"/>
    <n v="19"/>
    <s v="Monday"/>
    <x v="1"/>
    <x v="5"/>
    <x v="1"/>
    <s v="Idli Sambar"/>
    <x v="1"/>
    <n v="2"/>
    <n v="514"/>
    <n v="51.4"/>
    <n v="50"/>
    <n v="1028"/>
    <n v="1026.5999999999999"/>
    <x v="0"/>
    <x v="0"/>
    <x v="1"/>
    <n v="59"/>
    <n v="3.7"/>
  </r>
  <r>
    <x v="1899"/>
    <x v="138"/>
    <x v="4"/>
    <n v="5"/>
    <n v="19"/>
    <s v="Monday"/>
    <x v="2"/>
    <x v="0"/>
    <x v="0"/>
    <s v="Veg Pizza"/>
    <x v="2"/>
    <n v="2"/>
    <n v="861"/>
    <n v="86.1"/>
    <n v="40"/>
    <n v="1722"/>
    <n v="1675.9"/>
    <x v="1"/>
    <x v="2"/>
    <x v="0"/>
    <n v="22"/>
    <m/>
  </r>
  <r>
    <x v="1900"/>
    <x v="138"/>
    <x v="4"/>
    <n v="5"/>
    <n v="19"/>
    <s v="Monday"/>
    <x v="5"/>
    <x v="12"/>
    <x v="8"/>
    <s v="French Fries"/>
    <x v="1"/>
    <n v="1"/>
    <n v="175"/>
    <n v="0"/>
    <n v="70"/>
    <n v="175"/>
    <n v="245"/>
    <x v="4"/>
    <x v="0"/>
    <x v="1"/>
    <n v="65"/>
    <n v="4"/>
  </r>
  <r>
    <x v="1901"/>
    <x v="138"/>
    <x v="4"/>
    <n v="5"/>
    <n v="19"/>
    <s v="Monday"/>
    <x v="3"/>
    <x v="14"/>
    <x v="3"/>
    <s v="Veg Pizza"/>
    <x v="2"/>
    <n v="2"/>
    <n v="341"/>
    <n v="68.2"/>
    <n v="40"/>
    <n v="682"/>
    <n v="653.79999999999995"/>
    <x v="1"/>
    <x v="0"/>
    <x v="1"/>
    <n v="27"/>
    <n v="4.9000000000000004"/>
  </r>
  <r>
    <x v="1902"/>
    <x v="138"/>
    <x v="4"/>
    <n v="5"/>
    <n v="19"/>
    <s v="Monday"/>
    <x v="9"/>
    <x v="0"/>
    <x v="5"/>
    <s v="Idli Sambar"/>
    <x v="1"/>
    <n v="2"/>
    <n v="661"/>
    <n v="66.099999999999994"/>
    <n v="50"/>
    <n v="1322"/>
    <n v="1305.9000000000001"/>
    <x v="1"/>
    <x v="0"/>
    <x v="1"/>
    <n v="29"/>
    <n v="3.6"/>
  </r>
  <r>
    <x v="1903"/>
    <x v="138"/>
    <x v="4"/>
    <n v="5"/>
    <n v="19"/>
    <s v="Monday"/>
    <x v="3"/>
    <x v="4"/>
    <x v="4"/>
    <s v="Chocolate Cake"/>
    <x v="1"/>
    <n v="1"/>
    <n v="857"/>
    <n v="85.7"/>
    <n v="20"/>
    <n v="857"/>
    <n v="791.3"/>
    <x v="1"/>
    <x v="0"/>
    <x v="1"/>
    <n v="46"/>
    <n v="3.3"/>
  </r>
  <r>
    <x v="1904"/>
    <x v="138"/>
    <x v="4"/>
    <n v="5"/>
    <n v="19"/>
    <s v="Monday"/>
    <x v="3"/>
    <x v="7"/>
    <x v="3"/>
    <s v="Veg Biryani"/>
    <x v="1"/>
    <n v="2"/>
    <n v="714"/>
    <n v="71.400000000000006"/>
    <n v="40"/>
    <n v="1428"/>
    <n v="1396.6"/>
    <x v="1"/>
    <x v="0"/>
    <x v="1"/>
    <n v="61"/>
    <n v="4.8"/>
  </r>
  <r>
    <x v="1905"/>
    <x v="138"/>
    <x v="4"/>
    <n v="5"/>
    <n v="19"/>
    <s v="Monday"/>
    <x v="7"/>
    <x v="12"/>
    <x v="8"/>
    <s v="Fried Rice"/>
    <x v="1"/>
    <n v="2"/>
    <n v="335"/>
    <n v="16.75"/>
    <n v="20"/>
    <n v="670"/>
    <n v="673.25"/>
    <x v="1"/>
    <x v="0"/>
    <x v="1"/>
    <n v="55"/>
    <n v="2.9"/>
  </r>
  <r>
    <x v="1906"/>
    <x v="139"/>
    <x v="4"/>
    <n v="5"/>
    <n v="20"/>
    <s v="Tuesday"/>
    <x v="5"/>
    <x v="4"/>
    <x v="1"/>
    <s v="Veg Biryani"/>
    <x v="2"/>
    <n v="1"/>
    <n v="800"/>
    <n v="160"/>
    <n v="20"/>
    <n v="800"/>
    <n v="660"/>
    <x v="2"/>
    <x v="0"/>
    <x v="1"/>
    <n v="42"/>
    <n v="3.5"/>
  </r>
  <r>
    <x v="1907"/>
    <x v="139"/>
    <x v="4"/>
    <n v="5"/>
    <n v="20"/>
    <s v="Tuesday"/>
    <x v="1"/>
    <x v="13"/>
    <x v="0"/>
    <s v="Masala Dosa"/>
    <x v="3"/>
    <n v="1"/>
    <n v="833"/>
    <n v="166.6"/>
    <n v="70"/>
    <n v="833"/>
    <n v="736.4"/>
    <x v="0"/>
    <x v="0"/>
    <x v="0"/>
    <n v="41"/>
    <n v="4.4000000000000004"/>
  </r>
  <r>
    <x v="1908"/>
    <x v="139"/>
    <x v="4"/>
    <n v="5"/>
    <n v="20"/>
    <s v="Tuesday"/>
    <x v="5"/>
    <x v="3"/>
    <x v="8"/>
    <s v="Idli Sambar"/>
    <x v="2"/>
    <n v="2"/>
    <n v="483"/>
    <n v="72.45"/>
    <n v="20"/>
    <n v="966"/>
    <n v="913.55"/>
    <x v="1"/>
    <x v="0"/>
    <x v="1"/>
    <n v="50"/>
    <n v="4.4000000000000004"/>
  </r>
  <r>
    <x v="1909"/>
    <x v="139"/>
    <x v="4"/>
    <n v="5"/>
    <n v="20"/>
    <s v="Tuesday"/>
    <x v="0"/>
    <x v="2"/>
    <x v="8"/>
    <s v="Chicken Burger"/>
    <x v="1"/>
    <n v="1"/>
    <n v="323"/>
    <n v="0"/>
    <n v="40"/>
    <n v="323"/>
    <n v="363"/>
    <x v="1"/>
    <x v="0"/>
    <x v="1"/>
    <n v="53"/>
    <n v="4.3"/>
  </r>
  <r>
    <x v="1910"/>
    <x v="139"/>
    <x v="4"/>
    <n v="5"/>
    <n v="20"/>
    <s v="Tuesday"/>
    <x v="1"/>
    <x v="2"/>
    <x v="9"/>
    <s v="Chicken Pizza"/>
    <x v="2"/>
    <n v="1"/>
    <n v="436"/>
    <n v="109"/>
    <n v="0"/>
    <n v="436"/>
    <n v="327"/>
    <x v="1"/>
    <x v="0"/>
    <x v="1"/>
    <n v="62"/>
    <n v="4.4000000000000004"/>
  </r>
  <r>
    <x v="1911"/>
    <x v="139"/>
    <x v="4"/>
    <n v="5"/>
    <n v="20"/>
    <s v="Tuesday"/>
    <x v="5"/>
    <x v="10"/>
    <x v="3"/>
    <s v="Masala Dosa"/>
    <x v="1"/>
    <n v="3"/>
    <n v="562"/>
    <n v="56.2"/>
    <n v="40"/>
    <n v="1686"/>
    <n v="1669.8"/>
    <x v="2"/>
    <x v="0"/>
    <x v="0"/>
    <n v="45"/>
    <n v="3.8"/>
  </r>
  <r>
    <x v="1912"/>
    <x v="139"/>
    <x v="4"/>
    <n v="5"/>
    <n v="20"/>
    <s v="Tuesday"/>
    <x v="8"/>
    <x v="4"/>
    <x v="4"/>
    <s v="Chicken Burger"/>
    <x v="1"/>
    <n v="2"/>
    <n v="694"/>
    <n v="104.1"/>
    <n v="30"/>
    <n v="1388"/>
    <n v="1313.9"/>
    <x v="0"/>
    <x v="0"/>
    <x v="1"/>
    <n v="54"/>
    <n v="4.9000000000000004"/>
  </r>
  <r>
    <x v="1913"/>
    <x v="139"/>
    <x v="4"/>
    <n v="5"/>
    <n v="20"/>
    <s v="Tuesday"/>
    <x v="4"/>
    <x v="13"/>
    <x v="3"/>
    <s v="Chicken Burger"/>
    <x v="1"/>
    <n v="1"/>
    <n v="464"/>
    <n v="69.599999999999994"/>
    <n v="30"/>
    <n v="464"/>
    <n v="424.4"/>
    <x v="4"/>
    <x v="0"/>
    <x v="1"/>
    <n v="40"/>
    <n v="3.9"/>
  </r>
  <r>
    <x v="1914"/>
    <x v="139"/>
    <x v="4"/>
    <n v="5"/>
    <n v="20"/>
    <s v="Tuesday"/>
    <x v="3"/>
    <x v="3"/>
    <x v="5"/>
    <s v="Masala Dosa"/>
    <x v="1"/>
    <n v="1"/>
    <n v="501"/>
    <n v="75.150000000000006"/>
    <n v="60"/>
    <n v="501"/>
    <n v="485.85"/>
    <x v="2"/>
    <x v="0"/>
    <x v="1"/>
    <n v="35"/>
    <n v="4.5999999999999996"/>
  </r>
  <r>
    <x v="1915"/>
    <x v="140"/>
    <x v="4"/>
    <n v="5"/>
    <n v="21"/>
    <s v="Wednesday"/>
    <x v="3"/>
    <x v="7"/>
    <x v="9"/>
    <s v="Chocolate Cake"/>
    <x v="1"/>
    <n v="3"/>
    <n v="590"/>
    <n v="118"/>
    <n v="50"/>
    <n v="1770"/>
    <n v="1702"/>
    <x v="1"/>
    <x v="0"/>
    <x v="1"/>
    <n v="60"/>
    <n v="4.5"/>
  </r>
  <r>
    <x v="1916"/>
    <x v="140"/>
    <x v="4"/>
    <n v="5"/>
    <n v="21"/>
    <s v="Wednesday"/>
    <x v="0"/>
    <x v="14"/>
    <x v="1"/>
    <s v="Chicken Momos"/>
    <x v="1"/>
    <n v="2"/>
    <n v="240"/>
    <n v="36"/>
    <n v="30"/>
    <n v="480"/>
    <n v="474"/>
    <x v="1"/>
    <x v="0"/>
    <x v="0"/>
    <n v="45"/>
    <n v="3.3"/>
  </r>
  <r>
    <x v="1917"/>
    <x v="140"/>
    <x v="4"/>
    <n v="5"/>
    <n v="21"/>
    <s v="Wednesday"/>
    <x v="1"/>
    <x v="8"/>
    <x v="5"/>
    <s v="Cold Coffee"/>
    <x v="2"/>
    <n v="1"/>
    <n v="122"/>
    <n v="12.2"/>
    <n v="20"/>
    <n v="122"/>
    <n v="129.80000000000001"/>
    <x v="3"/>
    <x v="0"/>
    <x v="1"/>
    <n v="49"/>
    <n v="4.3"/>
  </r>
  <r>
    <x v="1918"/>
    <x v="140"/>
    <x v="4"/>
    <n v="5"/>
    <n v="21"/>
    <s v="Wednesday"/>
    <x v="5"/>
    <x v="7"/>
    <x v="7"/>
    <s v="Veg Momos"/>
    <x v="1"/>
    <n v="1"/>
    <n v="678"/>
    <n v="135.6"/>
    <n v="40"/>
    <n v="678"/>
    <n v="582.4"/>
    <x v="0"/>
    <x v="0"/>
    <x v="0"/>
    <n v="54"/>
    <n v="4.3"/>
  </r>
  <r>
    <x v="1919"/>
    <x v="140"/>
    <x v="4"/>
    <n v="5"/>
    <n v="21"/>
    <s v="Wednesday"/>
    <x v="1"/>
    <x v="11"/>
    <x v="7"/>
    <s v="Chicken Pizza"/>
    <x v="2"/>
    <n v="3"/>
    <n v="678"/>
    <n v="101.7"/>
    <n v="70"/>
    <n v="2034"/>
    <n v="2002.3"/>
    <x v="0"/>
    <x v="0"/>
    <x v="1"/>
    <n v="27"/>
    <n v="5"/>
  </r>
  <r>
    <x v="1920"/>
    <x v="140"/>
    <x v="4"/>
    <n v="5"/>
    <n v="21"/>
    <s v="Wednesday"/>
    <x v="1"/>
    <x v="4"/>
    <x v="4"/>
    <s v="Chicken Pizza"/>
    <x v="2"/>
    <n v="1"/>
    <n v="520"/>
    <n v="26"/>
    <n v="30"/>
    <n v="520"/>
    <n v="524"/>
    <x v="1"/>
    <x v="0"/>
    <x v="1"/>
    <n v="70"/>
    <n v="3.6"/>
  </r>
  <r>
    <x v="1921"/>
    <x v="140"/>
    <x v="4"/>
    <n v="5"/>
    <n v="21"/>
    <s v="Wednesday"/>
    <x v="5"/>
    <x v="0"/>
    <x v="7"/>
    <s v="French Fries"/>
    <x v="1"/>
    <n v="2"/>
    <n v="866"/>
    <n v="43.3"/>
    <n v="50"/>
    <n v="1732"/>
    <n v="1738.7"/>
    <x v="2"/>
    <x v="1"/>
    <x v="1"/>
    <n v="50"/>
    <m/>
  </r>
  <r>
    <x v="1922"/>
    <x v="140"/>
    <x v="4"/>
    <n v="5"/>
    <n v="21"/>
    <s v="Wednesday"/>
    <x v="5"/>
    <x v="4"/>
    <x v="0"/>
    <s v="Veg Burger"/>
    <x v="1"/>
    <n v="3"/>
    <n v="160"/>
    <n v="8"/>
    <n v="70"/>
    <n v="480"/>
    <n v="542"/>
    <x v="2"/>
    <x v="0"/>
    <x v="1"/>
    <n v="29"/>
    <n v="3.5"/>
  </r>
  <r>
    <x v="1923"/>
    <x v="140"/>
    <x v="4"/>
    <n v="5"/>
    <n v="21"/>
    <s v="Wednesday"/>
    <x v="3"/>
    <x v="2"/>
    <x v="6"/>
    <s v="Veg Momos"/>
    <x v="1"/>
    <n v="2"/>
    <n v="403"/>
    <n v="40.299999999999997"/>
    <n v="40"/>
    <n v="806"/>
    <n v="805.7"/>
    <x v="4"/>
    <x v="0"/>
    <x v="0"/>
    <n v="66"/>
    <n v="5"/>
  </r>
  <r>
    <x v="1924"/>
    <x v="140"/>
    <x v="4"/>
    <n v="5"/>
    <n v="21"/>
    <s v="Wednesday"/>
    <x v="0"/>
    <x v="4"/>
    <x v="8"/>
    <s v="Masala Dosa"/>
    <x v="1"/>
    <n v="1"/>
    <n v="608"/>
    <n v="152"/>
    <n v="40"/>
    <n v="608"/>
    <n v="496"/>
    <x v="3"/>
    <x v="0"/>
    <x v="1"/>
    <n v="55"/>
    <n v="3.3"/>
  </r>
  <r>
    <x v="1925"/>
    <x v="140"/>
    <x v="4"/>
    <n v="5"/>
    <n v="21"/>
    <s v="Wednesday"/>
    <x v="0"/>
    <x v="5"/>
    <x v="6"/>
    <s v="Chicken Pizza"/>
    <x v="1"/>
    <n v="2"/>
    <n v="813"/>
    <n v="121.95"/>
    <n v="20"/>
    <n v="1626"/>
    <n v="1524.05"/>
    <x v="2"/>
    <x v="0"/>
    <x v="1"/>
    <n v="21"/>
    <n v="3.5"/>
  </r>
  <r>
    <x v="1926"/>
    <x v="140"/>
    <x v="4"/>
    <n v="5"/>
    <n v="21"/>
    <s v="Wednesday"/>
    <x v="2"/>
    <x v="7"/>
    <x v="6"/>
    <s v="Masala Dosa"/>
    <x v="2"/>
    <n v="1"/>
    <n v="626"/>
    <n v="93.9"/>
    <n v="50"/>
    <n v="626"/>
    <n v="582.1"/>
    <x v="0"/>
    <x v="0"/>
    <x v="0"/>
    <n v="47"/>
    <n v="3.8"/>
  </r>
  <r>
    <x v="1927"/>
    <x v="140"/>
    <x v="4"/>
    <n v="5"/>
    <n v="21"/>
    <s v="Wednesday"/>
    <x v="4"/>
    <x v="6"/>
    <x v="4"/>
    <s v="Chicken Momos"/>
    <x v="1"/>
    <n v="2"/>
    <n v="568"/>
    <n v="0"/>
    <n v="50"/>
    <n v="1136"/>
    <n v="1186"/>
    <x v="0"/>
    <x v="0"/>
    <x v="1"/>
    <n v="32"/>
    <n v="4.0999999999999996"/>
  </r>
  <r>
    <x v="1928"/>
    <x v="140"/>
    <x v="4"/>
    <n v="5"/>
    <n v="21"/>
    <s v="Wednesday"/>
    <x v="3"/>
    <x v="14"/>
    <x v="6"/>
    <s v="Chicken Biryani"/>
    <x v="1"/>
    <n v="1"/>
    <n v="186"/>
    <n v="27.9"/>
    <n v="20"/>
    <n v="186"/>
    <n v="178.1"/>
    <x v="2"/>
    <x v="0"/>
    <x v="1"/>
    <n v="26"/>
    <n v="4.0999999999999996"/>
  </r>
  <r>
    <x v="1929"/>
    <x v="140"/>
    <x v="4"/>
    <n v="5"/>
    <n v="21"/>
    <s v="Wednesday"/>
    <x v="0"/>
    <x v="7"/>
    <x v="3"/>
    <s v="Chocolate Cake"/>
    <x v="1"/>
    <n v="2"/>
    <n v="467"/>
    <n v="23.35"/>
    <n v="0"/>
    <n v="934"/>
    <n v="910.65"/>
    <x v="3"/>
    <x v="0"/>
    <x v="1"/>
    <n v="59"/>
    <n v="3.6"/>
  </r>
  <r>
    <x v="1930"/>
    <x v="140"/>
    <x v="4"/>
    <n v="5"/>
    <n v="21"/>
    <s v="Wednesday"/>
    <x v="1"/>
    <x v="2"/>
    <x v="2"/>
    <s v="Idli Sambar"/>
    <x v="3"/>
    <n v="3"/>
    <n v="576"/>
    <n v="0"/>
    <n v="30"/>
    <n v="1728"/>
    <n v="1758"/>
    <x v="3"/>
    <x v="0"/>
    <x v="0"/>
    <n v="47"/>
    <n v="4.5"/>
  </r>
  <r>
    <x v="1931"/>
    <x v="140"/>
    <x v="4"/>
    <n v="5"/>
    <n v="21"/>
    <s v="Wednesday"/>
    <x v="7"/>
    <x v="3"/>
    <x v="2"/>
    <s v="Cold Coffee"/>
    <x v="1"/>
    <n v="2"/>
    <n v="671"/>
    <n v="67.099999999999994"/>
    <n v="30"/>
    <n v="1342"/>
    <n v="1304.9000000000001"/>
    <x v="2"/>
    <x v="1"/>
    <x v="1"/>
    <n v="47"/>
    <m/>
  </r>
  <r>
    <x v="1932"/>
    <x v="140"/>
    <x v="4"/>
    <n v="5"/>
    <n v="21"/>
    <s v="Wednesday"/>
    <x v="1"/>
    <x v="5"/>
    <x v="2"/>
    <s v="Paneer Butter Masala"/>
    <x v="1"/>
    <n v="1"/>
    <n v="668"/>
    <n v="100.2"/>
    <n v="30"/>
    <n v="668"/>
    <n v="597.79999999999995"/>
    <x v="0"/>
    <x v="0"/>
    <x v="1"/>
    <n v="49"/>
    <n v="3.3"/>
  </r>
  <r>
    <x v="1933"/>
    <x v="141"/>
    <x v="4"/>
    <n v="5"/>
    <n v="22"/>
    <s v="Thursday"/>
    <x v="7"/>
    <x v="14"/>
    <x v="7"/>
    <s v="Cold Coffee"/>
    <x v="1"/>
    <n v="1"/>
    <n v="592"/>
    <n v="118.4"/>
    <n v="40"/>
    <n v="592"/>
    <n v="513.6"/>
    <x v="0"/>
    <x v="0"/>
    <x v="0"/>
    <n v="27"/>
    <n v="3.8"/>
  </r>
  <r>
    <x v="1934"/>
    <x v="141"/>
    <x v="4"/>
    <n v="5"/>
    <n v="22"/>
    <s v="Thursday"/>
    <x v="7"/>
    <x v="8"/>
    <x v="4"/>
    <s v="Chicken Momos"/>
    <x v="1"/>
    <n v="1"/>
    <n v="596"/>
    <n v="119.2"/>
    <n v="50"/>
    <n v="596"/>
    <n v="526.79999999999995"/>
    <x v="2"/>
    <x v="0"/>
    <x v="1"/>
    <n v="68"/>
    <n v="4.3"/>
  </r>
  <r>
    <x v="1935"/>
    <x v="141"/>
    <x v="4"/>
    <n v="5"/>
    <n v="22"/>
    <s v="Thursday"/>
    <x v="4"/>
    <x v="0"/>
    <x v="5"/>
    <s v="Veg Biryani"/>
    <x v="2"/>
    <n v="1"/>
    <n v="526"/>
    <n v="26.3"/>
    <n v="20"/>
    <n v="526"/>
    <n v="519.70000000000005"/>
    <x v="1"/>
    <x v="0"/>
    <x v="1"/>
    <n v="64"/>
    <n v="5"/>
  </r>
  <r>
    <x v="1936"/>
    <x v="141"/>
    <x v="4"/>
    <n v="5"/>
    <n v="22"/>
    <s v="Thursday"/>
    <x v="0"/>
    <x v="5"/>
    <x v="5"/>
    <s v="Chicken Biryani"/>
    <x v="1"/>
    <n v="1"/>
    <n v="245"/>
    <n v="61.25"/>
    <n v="40"/>
    <n v="245"/>
    <n v="223.75"/>
    <x v="1"/>
    <x v="0"/>
    <x v="1"/>
    <n v="64"/>
    <n v="4.0999999999999996"/>
  </r>
  <r>
    <x v="1937"/>
    <x v="141"/>
    <x v="4"/>
    <n v="5"/>
    <n v="22"/>
    <s v="Thursday"/>
    <x v="2"/>
    <x v="9"/>
    <x v="0"/>
    <s v="Chicken Pizza"/>
    <x v="1"/>
    <n v="1"/>
    <n v="122"/>
    <n v="30.5"/>
    <n v="30"/>
    <n v="122"/>
    <n v="121.5"/>
    <x v="1"/>
    <x v="0"/>
    <x v="1"/>
    <n v="22"/>
    <n v="3.7"/>
  </r>
  <r>
    <x v="1938"/>
    <x v="141"/>
    <x v="4"/>
    <n v="5"/>
    <n v="22"/>
    <s v="Thursday"/>
    <x v="5"/>
    <x v="5"/>
    <x v="8"/>
    <s v="Pasta"/>
    <x v="1"/>
    <n v="3"/>
    <n v="860"/>
    <n v="129"/>
    <n v="20"/>
    <n v="2580"/>
    <n v="2471"/>
    <x v="0"/>
    <x v="0"/>
    <x v="1"/>
    <n v="49"/>
    <n v="4.8"/>
  </r>
  <r>
    <x v="1939"/>
    <x v="141"/>
    <x v="4"/>
    <n v="5"/>
    <n v="22"/>
    <s v="Thursday"/>
    <x v="5"/>
    <x v="6"/>
    <x v="4"/>
    <s v="Veg Biryani"/>
    <x v="2"/>
    <n v="1"/>
    <n v="162"/>
    <n v="24.3"/>
    <n v="60"/>
    <n v="162"/>
    <n v="197.7"/>
    <x v="1"/>
    <x v="0"/>
    <x v="1"/>
    <n v="43"/>
    <n v="4.7"/>
  </r>
  <r>
    <x v="1940"/>
    <x v="141"/>
    <x v="4"/>
    <n v="5"/>
    <n v="22"/>
    <s v="Thursday"/>
    <x v="1"/>
    <x v="4"/>
    <x v="4"/>
    <s v="Chicken Momos"/>
    <x v="2"/>
    <n v="3"/>
    <n v="138"/>
    <n v="0"/>
    <n v="40"/>
    <n v="414"/>
    <n v="454"/>
    <x v="3"/>
    <x v="0"/>
    <x v="1"/>
    <n v="62"/>
    <n v="3.7"/>
  </r>
  <r>
    <x v="1941"/>
    <x v="141"/>
    <x v="4"/>
    <n v="5"/>
    <n v="22"/>
    <s v="Thursday"/>
    <x v="1"/>
    <x v="11"/>
    <x v="3"/>
    <s v="French Fries"/>
    <x v="1"/>
    <n v="1"/>
    <n v="861"/>
    <n v="86.1"/>
    <n v="20"/>
    <n v="861"/>
    <n v="794.9"/>
    <x v="2"/>
    <x v="0"/>
    <x v="1"/>
    <n v="54"/>
    <n v="4.2"/>
  </r>
  <r>
    <x v="1942"/>
    <x v="141"/>
    <x v="4"/>
    <n v="5"/>
    <n v="22"/>
    <s v="Thursday"/>
    <x v="7"/>
    <x v="13"/>
    <x v="5"/>
    <s v="French Fries"/>
    <x v="1"/>
    <n v="1"/>
    <n v="337"/>
    <n v="84.25"/>
    <n v="40"/>
    <n v="337"/>
    <n v="292.75"/>
    <x v="0"/>
    <x v="0"/>
    <x v="1"/>
    <n v="64"/>
    <n v="2.9"/>
  </r>
  <r>
    <x v="1943"/>
    <x v="141"/>
    <x v="4"/>
    <n v="5"/>
    <n v="22"/>
    <s v="Thursday"/>
    <x v="3"/>
    <x v="10"/>
    <x v="1"/>
    <s v="Veg Burger"/>
    <x v="1"/>
    <n v="2"/>
    <n v="742"/>
    <n v="37.1"/>
    <n v="40"/>
    <n v="1484"/>
    <n v="1486.9"/>
    <x v="4"/>
    <x v="0"/>
    <x v="0"/>
    <n v="57"/>
    <n v="5"/>
  </r>
  <r>
    <x v="1944"/>
    <x v="142"/>
    <x v="4"/>
    <n v="5"/>
    <n v="23"/>
    <s v="Friday"/>
    <x v="3"/>
    <x v="5"/>
    <x v="7"/>
    <s v="Paneer Butter Masala"/>
    <x v="2"/>
    <n v="2"/>
    <n v="238"/>
    <n v="35.700000000000003"/>
    <n v="20"/>
    <n v="476"/>
    <n v="460.3"/>
    <x v="4"/>
    <x v="0"/>
    <x v="1"/>
    <n v="49"/>
    <n v="4.2"/>
  </r>
  <r>
    <x v="1945"/>
    <x v="142"/>
    <x v="4"/>
    <n v="5"/>
    <n v="23"/>
    <s v="Friday"/>
    <x v="5"/>
    <x v="3"/>
    <x v="2"/>
    <s v="Veg Pizza"/>
    <x v="1"/>
    <n v="1"/>
    <n v="806"/>
    <n v="161.19999999999999"/>
    <n v="50"/>
    <n v="806"/>
    <n v="694.8"/>
    <x v="0"/>
    <x v="2"/>
    <x v="1"/>
    <n v="52"/>
    <m/>
  </r>
  <r>
    <x v="1946"/>
    <x v="142"/>
    <x v="4"/>
    <n v="5"/>
    <n v="23"/>
    <s v="Friday"/>
    <x v="4"/>
    <x v="7"/>
    <x v="2"/>
    <s v="Veg Momos"/>
    <x v="2"/>
    <n v="3"/>
    <n v="133"/>
    <n v="19.95"/>
    <n v="40"/>
    <n v="399"/>
    <n v="419.05"/>
    <x v="4"/>
    <x v="0"/>
    <x v="1"/>
    <n v="36"/>
    <n v="4.8"/>
  </r>
  <r>
    <x v="1947"/>
    <x v="142"/>
    <x v="4"/>
    <n v="5"/>
    <n v="23"/>
    <s v="Friday"/>
    <x v="5"/>
    <x v="8"/>
    <x v="6"/>
    <s v="Paneer Butter Masala"/>
    <x v="1"/>
    <n v="3"/>
    <n v="272"/>
    <n v="40.799999999999997"/>
    <n v="40"/>
    <n v="816"/>
    <n v="815.2"/>
    <x v="1"/>
    <x v="0"/>
    <x v="1"/>
    <n v="35"/>
    <n v="4.7"/>
  </r>
  <r>
    <x v="1948"/>
    <x v="142"/>
    <x v="4"/>
    <n v="5"/>
    <n v="23"/>
    <s v="Friday"/>
    <x v="3"/>
    <x v="0"/>
    <x v="2"/>
    <s v="Chicken Biryani"/>
    <x v="1"/>
    <n v="1"/>
    <n v="750"/>
    <n v="187.5"/>
    <n v="50"/>
    <n v="750"/>
    <n v="612.5"/>
    <x v="0"/>
    <x v="0"/>
    <x v="0"/>
    <n v="55"/>
    <n v="3.6"/>
  </r>
  <r>
    <x v="1949"/>
    <x v="142"/>
    <x v="4"/>
    <n v="5"/>
    <n v="23"/>
    <s v="Friday"/>
    <x v="5"/>
    <x v="13"/>
    <x v="3"/>
    <s v="Masala Dosa"/>
    <x v="0"/>
    <n v="2"/>
    <n v="391"/>
    <n v="39.1"/>
    <n v="60"/>
    <n v="782"/>
    <n v="802.9"/>
    <x v="3"/>
    <x v="0"/>
    <x v="1"/>
    <n v="49"/>
    <n v="4.4000000000000004"/>
  </r>
  <r>
    <x v="1950"/>
    <x v="142"/>
    <x v="4"/>
    <n v="5"/>
    <n v="23"/>
    <s v="Friday"/>
    <x v="5"/>
    <x v="11"/>
    <x v="0"/>
    <s v="Idli Sambar"/>
    <x v="1"/>
    <n v="1"/>
    <n v="379"/>
    <n v="75.8"/>
    <n v="30"/>
    <n v="379"/>
    <n v="333.2"/>
    <x v="1"/>
    <x v="0"/>
    <x v="1"/>
    <n v="42"/>
    <n v="4.7"/>
  </r>
  <r>
    <x v="1951"/>
    <x v="142"/>
    <x v="4"/>
    <n v="5"/>
    <n v="23"/>
    <s v="Friday"/>
    <x v="4"/>
    <x v="13"/>
    <x v="2"/>
    <s v="Veg Pizza"/>
    <x v="1"/>
    <n v="1"/>
    <n v="430"/>
    <n v="64.5"/>
    <n v="30"/>
    <n v="430"/>
    <n v="395.5"/>
    <x v="1"/>
    <x v="0"/>
    <x v="1"/>
    <n v="34"/>
    <n v="4.5999999999999996"/>
  </r>
  <r>
    <x v="1952"/>
    <x v="142"/>
    <x v="4"/>
    <n v="5"/>
    <n v="23"/>
    <s v="Friday"/>
    <x v="3"/>
    <x v="10"/>
    <x v="6"/>
    <s v="Pasta"/>
    <x v="1"/>
    <n v="1"/>
    <n v="208"/>
    <n v="0"/>
    <n v="0"/>
    <n v="208"/>
    <n v="208"/>
    <x v="1"/>
    <x v="0"/>
    <x v="0"/>
    <n v="67"/>
    <n v="4.5999999999999996"/>
  </r>
  <r>
    <x v="1953"/>
    <x v="142"/>
    <x v="4"/>
    <n v="5"/>
    <n v="23"/>
    <s v="Friday"/>
    <x v="5"/>
    <x v="7"/>
    <x v="7"/>
    <s v="Veg Pizza"/>
    <x v="0"/>
    <n v="1"/>
    <n v="266"/>
    <n v="0"/>
    <n v="50"/>
    <n v="266"/>
    <n v="316"/>
    <x v="4"/>
    <x v="0"/>
    <x v="1"/>
    <n v="67"/>
    <n v="4.0999999999999996"/>
  </r>
  <r>
    <x v="1954"/>
    <x v="142"/>
    <x v="4"/>
    <n v="5"/>
    <n v="23"/>
    <s v="Friday"/>
    <x v="0"/>
    <x v="9"/>
    <x v="3"/>
    <s v="Masala Dosa"/>
    <x v="1"/>
    <n v="1"/>
    <n v="236"/>
    <n v="35.4"/>
    <n v="30"/>
    <n v="236"/>
    <n v="230.6"/>
    <x v="1"/>
    <x v="2"/>
    <x v="0"/>
    <n v="42"/>
    <m/>
  </r>
  <r>
    <x v="1955"/>
    <x v="142"/>
    <x v="4"/>
    <n v="5"/>
    <n v="23"/>
    <s v="Friday"/>
    <x v="0"/>
    <x v="1"/>
    <x v="3"/>
    <s v="Veg Momos"/>
    <x v="1"/>
    <n v="2"/>
    <n v="754"/>
    <n v="113.1"/>
    <n v="50"/>
    <n v="1508"/>
    <n v="1444.9"/>
    <x v="2"/>
    <x v="2"/>
    <x v="1"/>
    <n v="30"/>
    <m/>
  </r>
  <r>
    <x v="1956"/>
    <x v="142"/>
    <x v="4"/>
    <n v="5"/>
    <n v="23"/>
    <s v="Friday"/>
    <x v="4"/>
    <x v="8"/>
    <x v="5"/>
    <s v="Fried Rice"/>
    <x v="1"/>
    <n v="3"/>
    <n v="375"/>
    <n v="75"/>
    <n v="70"/>
    <n v="1125"/>
    <n v="1120"/>
    <x v="2"/>
    <x v="0"/>
    <x v="1"/>
    <n v="50"/>
    <n v="4.2"/>
  </r>
  <r>
    <x v="1957"/>
    <x v="142"/>
    <x v="4"/>
    <n v="5"/>
    <n v="23"/>
    <s v="Friday"/>
    <x v="3"/>
    <x v="13"/>
    <x v="7"/>
    <s v="Chicken Biryani"/>
    <x v="1"/>
    <n v="3"/>
    <n v="354"/>
    <n v="17.7"/>
    <n v="50"/>
    <n v="1062"/>
    <n v="1094.3"/>
    <x v="1"/>
    <x v="0"/>
    <x v="1"/>
    <n v="59"/>
    <n v="3.7"/>
  </r>
  <r>
    <x v="1958"/>
    <x v="142"/>
    <x v="4"/>
    <n v="5"/>
    <n v="23"/>
    <s v="Friday"/>
    <x v="3"/>
    <x v="14"/>
    <x v="8"/>
    <s v="Veg Burger"/>
    <x v="2"/>
    <n v="1"/>
    <n v="422"/>
    <n v="63.3"/>
    <n v="50"/>
    <n v="422"/>
    <n v="408.7"/>
    <x v="3"/>
    <x v="0"/>
    <x v="1"/>
    <n v="21"/>
    <n v="3.2"/>
  </r>
  <r>
    <x v="1959"/>
    <x v="142"/>
    <x v="4"/>
    <n v="5"/>
    <n v="23"/>
    <s v="Friday"/>
    <x v="2"/>
    <x v="13"/>
    <x v="0"/>
    <s v="Veg Momos"/>
    <x v="2"/>
    <n v="1"/>
    <n v="842"/>
    <n v="42.1"/>
    <n v="30"/>
    <n v="842"/>
    <n v="829.9"/>
    <x v="1"/>
    <x v="0"/>
    <x v="1"/>
    <n v="27"/>
    <n v="4.5"/>
  </r>
  <r>
    <x v="1960"/>
    <x v="142"/>
    <x v="4"/>
    <n v="5"/>
    <n v="23"/>
    <s v="Friday"/>
    <x v="3"/>
    <x v="2"/>
    <x v="8"/>
    <s v="Paneer Butter Masala"/>
    <x v="1"/>
    <n v="2"/>
    <n v="620"/>
    <n v="93"/>
    <n v="0"/>
    <n v="1240"/>
    <n v="1147"/>
    <x v="0"/>
    <x v="0"/>
    <x v="0"/>
    <n v="50"/>
    <n v="4.5"/>
  </r>
  <r>
    <x v="1961"/>
    <x v="143"/>
    <x v="4"/>
    <n v="5"/>
    <n v="24"/>
    <s v="Saturday"/>
    <x v="1"/>
    <x v="9"/>
    <x v="1"/>
    <s v="Paneer Butter Masala"/>
    <x v="1"/>
    <n v="2"/>
    <n v="507"/>
    <n v="0"/>
    <n v="50"/>
    <n v="1014"/>
    <n v="1064"/>
    <x v="3"/>
    <x v="0"/>
    <x v="1"/>
    <n v="49"/>
    <n v="3.6"/>
  </r>
  <r>
    <x v="1962"/>
    <x v="143"/>
    <x v="4"/>
    <n v="5"/>
    <n v="24"/>
    <s v="Saturday"/>
    <x v="9"/>
    <x v="13"/>
    <x v="9"/>
    <s v="Chicken Pizza"/>
    <x v="1"/>
    <n v="2"/>
    <n v="891"/>
    <n v="133.65"/>
    <n v="50"/>
    <n v="1782"/>
    <n v="1698.35"/>
    <x v="1"/>
    <x v="0"/>
    <x v="0"/>
    <n v="20"/>
    <n v="3.3"/>
  </r>
  <r>
    <x v="1963"/>
    <x v="143"/>
    <x v="4"/>
    <n v="5"/>
    <n v="24"/>
    <s v="Saturday"/>
    <x v="4"/>
    <x v="7"/>
    <x v="3"/>
    <s v="Cold Coffee"/>
    <x v="1"/>
    <n v="2"/>
    <n v="288"/>
    <n v="57.6"/>
    <n v="0"/>
    <n v="576"/>
    <n v="518.4"/>
    <x v="1"/>
    <x v="0"/>
    <x v="0"/>
    <n v="22"/>
    <n v="3.9"/>
  </r>
  <r>
    <x v="1964"/>
    <x v="143"/>
    <x v="4"/>
    <n v="5"/>
    <n v="24"/>
    <s v="Saturday"/>
    <x v="6"/>
    <x v="13"/>
    <x v="1"/>
    <s v="Fried Rice"/>
    <x v="3"/>
    <n v="3"/>
    <n v="506"/>
    <n v="75.900000000000006"/>
    <n v="40"/>
    <n v="1518"/>
    <n v="1482.1"/>
    <x v="1"/>
    <x v="3"/>
    <x v="0"/>
    <n v="63"/>
    <m/>
  </r>
  <r>
    <x v="1965"/>
    <x v="143"/>
    <x v="4"/>
    <n v="5"/>
    <n v="24"/>
    <s v="Saturday"/>
    <x v="6"/>
    <x v="7"/>
    <x v="4"/>
    <s v="Veg Biryani"/>
    <x v="3"/>
    <n v="1"/>
    <n v="446"/>
    <n v="44.6"/>
    <n v="40"/>
    <n v="446"/>
    <n v="441.4"/>
    <x v="4"/>
    <x v="0"/>
    <x v="1"/>
    <n v="55"/>
    <n v="4.0999999999999996"/>
  </r>
  <r>
    <x v="1966"/>
    <x v="143"/>
    <x v="4"/>
    <n v="5"/>
    <n v="24"/>
    <s v="Saturday"/>
    <x v="5"/>
    <x v="12"/>
    <x v="1"/>
    <s v="Chicken Burger"/>
    <x v="2"/>
    <n v="2"/>
    <n v="793"/>
    <n v="79.3"/>
    <n v="30"/>
    <n v="1586"/>
    <n v="1536.7"/>
    <x v="2"/>
    <x v="0"/>
    <x v="1"/>
    <n v="47"/>
    <n v="4"/>
  </r>
  <r>
    <x v="1967"/>
    <x v="143"/>
    <x v="4"/>
    <n v="5"/>
    <n v="24"/>
    <s v="Saturday"/>
    <x v="1"/>
    <x v="1"/>
    <x v="2"/>
    <s v="Cold Coffee"/>
    <x v="0"/>
    <n v="2"/>
    <n v="607"/>
    <n v="121.4"/>
    <n v="0"/>
    <n v="1214"/>
    <n v="1092.5999999999999"/>
    <x v="4"/>
    <x v="0"/>
    <x v="0"/>
    <n v="51"/>
    <n v="3.7"/>
  </r>
  <r>
    <x v="1968"/>
    <x v="143"/>
    <x v="4"/>
    <n v="5"/>
    <n v="24"/>
    <s v="Saturday"/>
    <x v="8"/>
    <x v="7"/>
    <x v="5"/>
    <s v="Masala Dosa"/>
    <x v="1"/>
    <n v="1"/>
    <n v="493"/>
    <n v="73.95"/>
    <n v="40"/>
    <n v="493"/>
    <n v="459.05"/>
    <x v="1"/>
    <x v="0"/>
    <x v="1"/>
    <n v="41"/>
    <n v="5"/>
  </r>
  <r>
    <x v="1969"/>
    <x v="143"/>
    <x v="4"/>
    <n v="5"/>
    <n v="24"/>
    <s v="Saturday"/>
    <x v="3"/>
    <x v="9"/>
    <x v="1"/>
    <s v="Chicken Burger"/>
    <x v="1"/>
    <n v="1"/>
    <n v="420"/>
    <n v="42"/>
    <n v="40"/>
    <n v="420"/>
    <n v="418"/>
    <x v="0"/>
    <x v="1"/>
    <x v="0"/>
    <n v="58"/>
    <m/>
  </r>
  <r>
    <x v="1970"/>
    <x v="143"/>
    <x v="4"/>
    <n v="5"/>
    <n v="24"/>
    <s v="Saturday"/>
    <x v="3"/>
    <x v="13"/>
    <x v="1"/>
    <s v="Idli Sambar"/>
    <x v="1"/>
    <n v="2"/>
    <n v="124"/>
    <n v="12.4"/>
    <n v="0"/>
    <n v="248"/>
    <n v="235.6"/>
    <x v="3"/>
    <x v="0"/>
    <x v="0"/>
    <n v="40"/>
    <n v="5"/>
  </r>
  <r>
    <x v="1971"/>
    <x v="143"/>
    <x v="4"/>
    <n v="5"/>
    <n v="24"/>
    <s v="Saturday"/>
    <x v="3"/>
    <x v="12"/>
    <x v="4"/>
    <s v="Masala Dosa"/>
    <x v="0"/>
    <n v="2"/>
    <n v="500"/>
    <n v="75"/>
    <n v="20"/>
    <n v="1000"/>
    <n v="945"/>
    <x v="3"/>
    <x v="0"/>
    <x v="1"/>
    <n v="20"/>
    <n v="4.0999999999999996"/>
  </r>
  <r>
    <x v="1972"/>
    <x v="143"/>
    <x v="4"/>
    <n v="5"/>
    <n v="24"/>
    <s v="Saturday"/>
    <x v="8"/>
    <x v="3"/>
    <x v="4"/>
    <s v="Veg Biryani"/>
    <x v="2"/>
    <n v="1"/>
    <n v="527"/>
    <n v="0"/>
    <n v="30"/>
    <n v="527"/>
    <n v="557"/>
    <x v="1"/>
    <x v="2"/>
    <x v="1"/>
    <n v="52"/>
    <m/>
  </r>
  <r>
    <x v="1973"/>
    <x v="143"/>
    <x v="4"/>
    <n v="5"/>
    <n v="24"/>
    <s v="Saturday"/>
    <x v="4"/>
    <x v="1"/>
    <x v="0"/>
    <s v="Veg Burger"/>
    <x v="1"/>
    <n v="1"/>
    <n v="808"/>
    <n v="121.2"/>
    <n v="50"/>
    <n v="808"/>
    <n v="736.8"/>
    <x v="0"/>
    <x v="0"/>
    <x v="1"/>
    <n v="52"/>
    <n v="3.4"/>
  </r>
  <r>
    <x v="1974"/>
    <x v="143"/>
    <x v="4"/>
    <n v="5"/>
    <n v="24"/>
    <s v="Saturday"/>
    <x v="1"/>
    <x v="11"/>
    <x v="0"/>
    <s v="Cold Coffee"/>
    <x v="1"/>
    <n v="1"/>
    <n v="123"/>
    <n v="12.3"/>
    <n v="40"/>
    <n v="123"/>
    <n v="150.69999999999999"/>
    <x v="3"/>
    <x v="0"/>
    <x v="0"/>
    <n v="37"/>
    <n v="3"/>
  </r>
  <r>
    <x v="1975"/>
    <x v="143"/>
    <x v="4"/>
    <n v="5"/>
    <n v="24"/>
    <s v="Saturday"/>
    <x v="4"/>
    <x v="12"/>
    <x v="9"/>
    <s v="Chicken Biryani"/>
    <x v="2"/>
    <n v="1"/>
    <n v="264"/>
    <n v="26.4"/>
    <n v="40"/>
    <n v="264"/>
    <n v="277.60000000000002"/>
    <x v="1"/>
    <x v="0"/>
    <x v="0"/>
    <n v="52"/>
    <n v="4.4000000000000004"/>
  </r>
  <r>
    <x v="1976"/>
    <x v="144"/>
    <x v="4"/>
    <n v="5"/>
    <n v="25"/>
    <s v="Sunday"/>
    <x v="9"/>
    <x v="1"/>
    <x v="3"/>
    <s v="Chicken Biryani"/>
    <x v="1"/>
    <n v="3"/>
    <n v="297"/>
    <n v="0"/>
    <n v="40"/>
    <n v="891"/>
    <n v="931"/>
    <x v="0"/>
    <x v="0"/>
    <x v="0"/>
    <n v="39"/>
    <n v="5"/>
  </r>
  <r>
    <x v="1977"/>
    <x v="144"/>
    <x v="4"/>
    <n v="5"/>
    <n v="25"/>
    <s v="Sunday"/>
    <x v="4"/>
    <x v="2"/>
    <x v="8"/>
    <s v="Veg Biryani"/>
    <x v="2"/>
    <n v="2"/>
    <n v="627"/>
    <n v="125.4"/>
    <n v="50"/>
    <n v="1254"/>
    <n v="1178.5999999999999"/>
    <x v="1"/>
    <x v="1"/>
    <x v="0"/>
    <n v="38"/>
    <m/>
  </r>
  <r>
    <x v="1978"/>
    <x v="144"/>
    <x v="4"/>
    <n v="5"/>
    <n v="25"/>
    <s v="Sunday"/>
    <x v="4"/>
    <x v="10"/>
    <x v="0"/>
    <s v="Chicken Pizza"/>
    <x v="1"/>
    <n v="1"/>
    <n v="745"/>
    <n v="74.5"/>
    <n v="0"/>
    <n v="745"/>
    <n v="670.5"/>
    <x v="1"/>
    <x v="0"/>
    <x v="0"/>
    <n v="37"/>
    <n v="2.2000000000000002"/>
  </r>
  <r>
    <x v="1979"/>
    <x v="144"/>
    <x v="4"/>
    <n v="5"/>
    <n v="25"/>
    <s v="Sunday"/>
    <x v="0"/>
    <x v="3"/>
    <x v="3"/>
    <s v="Chicken Burger"/>
    <x v="1"/>
    <n v="2"/>
    <n v="174"/>
    <n v="8.6999999999999993"/>
    <n v="40"/>
    <n v="348"/>
    <n v="379.3"/>
    <x v="0"/>
    <x v="0"/>
    <x v="0"/>
    <n v="50"/>
    <n v="4.4000000000000004"/>
  </r>
  <r>
    <x v="1980"/>
    <x v="144"/>
    <x v="4"/>
    <n v="5"/>
    <n v="25"/>
    <s v="Sunday"/>
    <x v="9"/>
    <x v="9"/>
    <x v="9"/>
    <s v="Chocolate Cake"/>
    <x v="1"/>
    <n v="1"/>
    <n v="277"/>
    <n v="55.4"/>
    <n v="60"/>
    <n v="277"/>
    <n v="281.60000000000002"/>
    <x v="1"/>
    <x v="0"/>
    <x v="1"/>
    <n v="31"/>
    <n v="3.4"/>
  </r>
  <r>
    <x v="1981"/>
    <x v="144"/>
    <x v="4"/>
    <n v="5"/>
    <n v="25"/>
    <s v="Sunday"/>
    <x v="3"/>
    <x v="0"/>
    <x v="7"/>
    <s v="Pasta"/>
    <x v="2"/>
    <n v="1"/>
    <n v="142"/>
    <n v="21.3"/>
    <n v="0"/>
    <n v="142"/>
    <n v="120.7"/>
    <x v="3"/>
    <x v="0"/>
    <x v="1"/>
    <n v="33"/>
    <n v="4.4000000000000004"/>
  </r>
  <r>
    <x v="1982"/>
    <x v="144"/>
    <x v="4"/>
    <n v="5"/>
    <n v="25"/>
    <s v="Sunday"/>
    <x v="8"/>
    <x v="5"/>
    <x v="8"/>
    <s v="Chicken Biryani"/>
    <x v="1"/>
    <n v="1"/>
    <n v="896"/>
    <n v="134.4"/>
    <n v="50"/>
    <n v="896"/>
    <n v="811.6"/>
    <x v="2"/>
    <x v="2"/>
    <x v="0"/>
    <n v="33"/>
    <m/>
  </r>
  <r>
    <x v="1983"/>
    <x v="144"/>
    <x v="4"/>
    <n v="5"/>
    <n v="25"/>
    <s v="Sunday"/>
    <x v="3"/>
    <x v="10"/>
    <x v="7"/>
    <s v="Veg Momos"/>
    <x v="1"/>
    <n v="1"/>
    <n v="620"/>
    <n v="93"/>
    <n v="40"/>
    <n v="620"/>
    <n v="567"/>
    <x v="4"/>
    <x v="0"/>
    <x v="1"/>
    <n v="60"/>
    <n v="3.7"/>
  </r>
  <r>
    <x v="1984"/>
    <x v="144"/>
    <x v="4"/>
    <n v="5"/>
    <n v="25"/>
    <s v="Sunday"/>
    <x v="5"/>
    <x v="11"/>
    <x v="7"/>
    <s v="Veg Burger"/>
    <x v="2"/>
    <n v="2"/>
    <n v="402"/>
    <n v="40.200000000000003"/>
    <n v="40"/>
    <n v="804"/>
    <n v="803.8"/>
    <x v="1"/>
    <x v="0"/>
    <x v="1"/>
    <n v="43"/>
    <n v="4"/>
  </r>
  <r>
    <x v="1985"/>
    <x v="144"/>
    <x v="4"/>
    <n v="5"/>
    <n v="25"/>
    <s v="Sunday"/>
    <x v="5"/>
    <x v="3"/>
    <x v="6"/>
    <s v="Pasta"/>
    <x v="1"/>
    <n v="3"/>
    <n v="816"/>
    <n v="122.4"/>
    <n v="40"/>
    <n v="2448"/>
    <n v="2365.6"/>
    <x v="1"/>
    <x v="3"/>
    <x v="1"/>
    <n v="44"/>
    <m/>
  </r>
  <r>
    <x v="1986"/>
    <x v="144"/>
    <x v="4"/>
    <n v="5"/>
    <n v="25"/>
    <s v="Sunday"/>
    <x v="0"/>
    <x v="5"/>
    <x v="4"/>
    <s v="Chicken Momos"/>
    <x v="2"/>
    <n v="1"/>
    <n v="873"/>
    <n v="0"/>
    <n v="40"/>
    <n v="873"/>
    <n v="913"/>
    <x v="2"/>
    <x v="0"/>
    <x v="1"/>
    <n v="31"/>
    <n v="4"/>
  </r>
  <r>
    <x v="1987"/>
    <x v="144"/>
    <x v="4"/>
    <n v="5"/>
    <n v="25"/>
    <s v="Sunday"/>
    <x v="5"/>
    <x v="3"/>
    <x v="1"/>
    <s v="Chicken Burger"/>
    <x v="2"/>
    <n v="1"/>
    <n v="647"/>
    <n v="32.35"/>
    <n v="30"/>
    <n v="647"/>
    <n v="644.65"/>
    <x v="3"/>
    <x v="0"/>
    <x v="1"/>
    <n v="67"/>
    <n v="3.4"/>
  </r>
  <r>
    <x v="1988"/>
    <x v="144"/>
    <x v="4"/>
    <n v="5"/>
    <n v="25"/>
    <s v="Sunday"/>
    <x v="2"/>
    <x v="8"/>
    <x v="7"/>
    <s v="Chicken Biryani"/>
    <x v="2"/>
    <n v="3"/>
    <n v="809"/>
    <n v="161.80000000000001"/>
    <n v="50"/>
    <n v="2427"/>
    <n v="2315.1999999999998"/>
    <x v="1"/>
    <x v="0"/>
    <x v="0"/>
    <n v="50"/>
    <n v="3.7"/>
  </r>
  <r>
    <x v="1989"/>
    <x v="144"/>
    <x v="4"/>
    <n v="5"/>
    <n v="25"/>
    <s v="Sunday"/>
    <x v="1"/>
    <x v="4"/>
    <x v="9"/>
    <s v="Chicken Biryani"/>
    <x v="1"/>
    <n v="1"/>
    <n v="761"/>
    <n v="38.049999999999997"/>
    <n v="50"/>
    <n v="761"/>
    <n v="772.95"/>
    <x v="0"/>
    <x v="0"/>
    <x v="1"/>
    <n v="61"/>
    <n v="3.4"/>
  </r>
  <r>
    <x v="1990"/>
    <x v="145"/>
    <x v="4"/>
    <n v="5"/>
    <n v="26"/>
    <s v="Monday"/>
    <x v="1"/>
    <x v="1"/>
    <x v="6"/>
    <s v="French Fries"/>
    <x v="1"/>
    <n v="1"/>
    <n v="827"/>
    <n v="124.05"/>
    <n v="40"/>
    <n v="827"/>
    <n v="742.95"/>
    <x v="1"/>
    <x v="0"/>
    <x v="0"/>
    <n v="27"/>
    <n v="4.9000000000000004"/>
  </r>
  <r>
    <x v="1991"/>
    <x v="145"/>
    <x v="4"/>
    <n v="5"/>
    <n v="26"/>
    <s v="Monday"/>
    <x v="5"/>
    <x v="2"/>
    <x v="2"/>
    <s v="French Fries"/>
    <x v="1"/>
    <n v="1"/>
    <n v="895"/>
    <n v="223.75"/>
    <n v="70"/>
    <n v="895"/>
    <n v="741.25"/>
    <x v="3"/>
    <x v="0"/>
    <x v="1"/>
    <n v="32"/>
    <n v="2.8"/>
  </r>
  <r>
    <x v="1992"/>
    <x v="145"/>
    <x v="4"/>
    <n v="5"/>
    <n v="26"/>
    <s v="Monday"/>
    <x v="3"/>
    <x v="3"/>
    <x v="2"/>
    <s v="Fried Rice"/>
    <x v="1"/>
    <n v="3"/>
    <n v="159"/>
    <n v="15.9"/>
    <n v="40"/>
    <n v="477"/>
    <n v="501.1"/>
    <x v="3"/>
    <x v="0"/>
    <x v="0"/>
    <n v="64"/>
    <n v="4.4000000000000004"/>
  </r>
  <r>
    <x v="1993"/>
    <x v="145"/>
    <x v="4"/>
    <n v="5"/>
    <n v="26"/>
    <s v="Monday"/>
    <x v="3"/>
    <x v="3"/>
    <x v="8"/>
    <s v="Fried Rice"/>
    <x v="0"/>
    <n v="1"/>
    <n v="158"/>
    <n v="23.7"/>
    <n v="70"/>
    <n v="158"/>
    <n v="204.3"/>
    <x v="1"/>
    <x v="0"/>
    <x v="0"/>
    <n v="66"/>
    <n v="3.4"/>
  </r>
  <r>
    <x v="1994"/>
    <x v="145"/>
    <x v="4"/>
    <n v="5"/>
    <n v="26"/>
    <s v="Monday"/>
    <x v="2"/>
    <x v="6"/>
    <x v="1"/>
    <s v="Chicken Burger"/>
    <x v="1"/>
    <n v="1"/>
    <n v="143"/>
    <n v="0"/>
    <n v="40"/>
    <n v="143"/>
    <n v="183"/>
    <x v="1"/>
    <x v="0"/>
    <x v="1"/>
    <n v="27"/>
    <n v="3.8"/>
  </r>
  <r>
    <x v="1995"/>
    <x v="145"/>
    <x v="4"/>
    <n v="5"/>
    <n v="26"/>
    <s v="Monday"/>
    <x v="0"/>
    <x v="0"/>
    <x v="3"/>
    <s v="Paneer Butter Masala"/>
    <x v="1"/>
    <n v="3"/>
    <n v="664"/>
    <n v="132.80000000000001"/>
    <n v="50"/>
    <n v="1992"/>
    <n v="1909.2"/>
    <x v="1"/>
    <x v="0"/>
    <x v="1"/>
    <n v="62"/>
    <n v="4.5999999999999996"/>
  </r>
  <r>
    <x v="1996"/>
    <x v="145"/>
    <x v="4"/>
    <n v="5"/>
    <n v="26"/>
    <s v="Monday"/>
    <x v="5"/>
    <x v="3"/>
    <x v="9"/>
    <s v="Veg Burger"/>
    <x v="1"/>
    <n v="3"/>
    <n v="762"/>
    <n v="190.5"/>
    <n v="60"/>
    <n v="2286"/>
    <n v="2155.5"/>
    <x v="2"/>
    <x v="0"/>
    <x v="1"/>
    <n v="34"/>
    <n v="5"/>
  </r>
  <r>
    <x v="1997"/>
    <x v="145"/>
    <x v="4"/>
    <n v="5"/>
    <n v="26"/>
    <s v="Monday"/>
    <x v="4"/>
    <x v="10"/>
    <x v="0"/>
    <s v="Idli Sambar"/>
    <x v="1"/>
    <n v="1"/>
    <n v="352"/>
    <n v="17.600000000000001"/>
    <n v="30"/>
    <n v="352"/>
    <n v="364.4"/>
    <x v="1"/>
    <x v="0"/>
    <x v="1"/>
    <n v="18"/>
    <n v="4.2"/>
  </r>
  <r>
    <x v="1998"/>
    <x v="145"/>
    <x v="4"/>
    <n v="5"/>
    <n v="26"/>
    <s v="Monday"/>
    <x v="1"/>
    <x v="6"/>
    <x v="7"/>
    <s v="Chicken Burger"/>
    <x v="3"/>
    <n v="2"/>
    <n v="314"/>
    <n v="15.7"/>
    <n v="60"/>
    <n v="628"/>
    <n v="672.3"/>
    <x v="1"/>
    <x v="3"/>
    <x v="1"/>
    <n v="18"/>
    <m/>
  </r>
  <r>
    <x v="1999"/>
    <x v="145"/>
    <x v="4"/>
    <n v="5"/>
    <n v="26"/>
    <s v="Monday"/>
    <x v="4"/>
    <x v="12"/>
    <x v="9"/>
    <s v="Masala Dosa"/>
    <x v="2"/>
    <n v="3"/>
    <n v="192"/>
    <n v="9.6"/>
    <n v="30"/>
    <n v="576"/>
    <n v="596.4"/>
    <x v="4"/>
    <x v="0"/>
    <x v="0"/>
    <n v="58"/>
    <n v="4.4000000000000004"/>
  </r>
  <r>
    <x v="2000"/>
    <x v="145"/>
    <x v="4"/>
    <n v="5"/>
    <n v="26"/>
    <s v="Monday"/>
    <x v="7"/>
    <x v="12"/>
    <x v="5"/>
    <s v="Veg Burger"/>
    <x v="3"/>
    <n v="1"/>
    <n v="507"/>
    <n v="101.4"/>
    <n v="20"/>
    <n v="507"/>
    <n v="425.6"/>
    <x v="2"/>
    <x v="2"/>
    <x v="0"/>
    <n v="54"/>
    <m/>
  </r>
  <r>
    <x v="2001"/>
    <x v="145"/>
    <x v="4"/>
    <n v="5"/>
    <n v="26"/>
    <s v="Monday"/>
    <x v="5"/>
    <x v="3"/>
    <x v="9"/>
    <s v="Chocolate Cake"/>
    <x v="1"/>
    <n v="1"/>
    <n v="485"/>
    <n v="48.5"/>
    <n v="60"/>
    <n v="485"/>
    <n v="496.5"/>
    <x v="1"/>
    <x v="0"/>
    <x v="1"/>
    <n v="68"/>
    <n v="3.6"/>
  </r>
  <r>
    <x v="2002"/>
    <x v="145"/>
    <x v="4"/>
    <n v="5"/>
    <n v="26"/>
    <s v="Monday"/>
    <x v="4"/>
    <x v="7"/>
    <x v="4"/>
    <s v="French Fries"/>
    <x v="2"/>
    <n v="1"/>
    <n v="809"/>
    <n v="40.450000000000003"/>
    <n v="40"/>
    <n v="809"/>
    <n v="808.55"/>
    <x v="2"/>
    <x v="0"/>
    <x v="0"/>
    <n v="42"/>
    <n v="4.0999999999999996"/>
  </r>
  <r>
    <x v="2003"/>
    <x v="145"/>
    <x v="4"/>
    <n v="5"/>
    <n v="26"/>
    <s v="Monday"/>
    <x v="5"/>
    <x v="13"/>
    <x v="4"/>
    <s v="Chocolate Cake"/>
    <x v="1"/>
    <n v="2"/>
    <n v="649"/>
    <n v="64.900000000000006"/>
    <n v="50"/>
    <n v="1298"/>
    <n v="1283.0999999999999"/>
    <x v="1"/>
    <x v="0"/>
    <x v="1"/>
    <n v="19"/>
    <n v="3.9"/>
  </r>
  <r>
    <x v="2004"/>
    <x v="145"/>
    <x v="4"/>
    <n v="5"/>
    <n v="26"/>
    <s v="Monday"/>
    <x v="1"/>
    <x v="9"/>
    <x v="7"/>
    <s v="Idli Sambar"/>
    <x v="1"/>
    <n v="1"/>
    <n v="632"/>
    <n v="63.2"/>
    <n v="60"/>
    <n v="632"/>
    <n v="628.79999999999995"/>
    <x v="1"/>
    <x v="0"/>
    <x v="0"/>
    <n v="45"/>
    <n v="4.5999999999999996"/>
  </r>
  <r>
    <x v="2005"/>
    <x v="146"/>
    <x v="4"/>
    <n v="5"/>
    <n v="27"/>
    <s v="Tuesday"/>
    <x v="1"/>
    <x v="14"/>
    <x v="9"/>
    <s v="Chicken Biryani"/>
    <x v="2"/>
    <n v="2"/>
    <n v="367"/>
    <n v="18.350000000000001"/>
    <n v="50"/>
    <n v="734"/>
    <n v="765.65"/>
    <x v="2"/>
    <x v="0"/>
    <x v="0"/>
    <n v="35"/>
    <n v="5"/>
  </r>
  <r>
    <x v="2006"/>
    <x v="146"/>
    <x v="4"/>
    <n v="5"/>
    <n v="27"/>
    <s v="Tuesday"/>
    <x v="2"/>
    <x v="13"/>
    <x v="4"/>
    <s v="Veg Pizza"/>
    <x v="2"/>
    <n v="2"/>
    <n v="818"/>
    <n v="81.8"/>
    <n v="0"/>
    <n v="1636"/>
    <n v="1554.2"/>
    <x v="0"/>
    <x v="0"/>
    <x v="0"/>
    <n v="49"/>
    <n v="3.3"/>
  </r>
  <r>
    <x v="2007"/>
    <x v="146"/>
    <x v="4"/>
    <n v="5"/>
    <n v="27"/>
    <s v="Tuesday"/>
    <x v="5"/>
    <x v="10"/>
    <x v="6"/>
    <s v="Veg Burger"/>
    <x v="1"/>
    <n v="2"/>
    <n v="244"/>
    <n v="24.4"/>
    <n v="20"/>
    <n v="488"/>
    <n v="483.6"/>
    <x v="0"/>
    <x v="0"/>
    <x v="1"/>
    <n v="45"/>
    <n v="3.9"/>
  </r>
  <r>
    <x v="2008"/>
    <x v="146"/>
    <x v="4"/>
    <n v="5"/>
    <n v="27"/>
    <s v="Tuesday"/>
    <x v="4"/>
    <x v="6"/>
    <x v="1"/>
    <s v="Veg Burger"/>
    <x v="1"/>
    <n v="2"/>
    <n v="595"/>
    <n v="89.25"/>
    <n v="30"/>
    <n v="1190"/>
    <n v="1130.75"/>
    <x v="4"/>
    <x v="0"/>
    <x v="0"/>
    <n v="34"/>
    <n v="3.4"/>
  </r>
  <r>
    <x v="2009"/>
    <x v="146"/>
    <x v="4"/>
    <n v="5"/>
    <n v="27"/>
    <s v="Tuesday"/>
    <x v="5"/>
    <x v="8"/>
    <x v="5"/>
    <s v="Pasta"/>
    <x v="1"/>
    <n v="2"/>
    <n v="405"/>
    <n v="60.75"/>
    <n v="20"/>
    <n v="810"/>
    <n v="769.25"/>
    <x v="4"/>
    <x v="0"/>
    <x v="1"/>
    <n v="22"/>
    <n v="4.2"/>
  </r>
  <r>
    <x v="2010"/>
    <x v="146"/>
    <x v="4"/>
    <n v="5"/>
    <n v="27"/>
    <s v="Tuesday"/>
    <x v="4"/>
    <x v="14"/>
    <x v="6"/>
    <s v="Veg Burger"/>
    <x v="1"/>
    <n v="3"/>
    <n v="475"/>
    <n v="95"/>
    <n v="0"/>
    <n v="1425"/>
    <n v="1330"/>
    <x v="1"/>
    <x v="0"/>
    <x v="0"/>
    <n v="53"/>
    <n v="4.5"/>
  </r>
  <r>
    <x v="2011"/>
    <x v="146"/>
    <x v="4"/>
    <n v="5"/>
    <n v="27"/>
    <s v="Tuesday"/>
    <x v="0"/>
    <x v="4"/>
    <x v="2"/>
    <s v="French Fries"/>
    <x v="1"/>
    <n v="1"/>
    <n v="266"/>
    <n v="66.5"/>
    <n v="50"/>
    <n v="266"/>
    <n v="249.5"/>
    <x v="1"/>
    <x v="0"/>
    <x v="1"/>
    <n v="27"/>
    <n v="3.6"/>
  </r>
  <r>
    <x v="2012"/>
    <x v="146"/>
    <x v="4"/>
    <n v="5"/>
    <n v="27"/>
    <s v="Tuesday"/>
    <x v="8"/>
    <x v="9"/>
    <x v="9"/>
    <s v="Pasta"/>
    <x v="1"/>
    <n v="2"/>
    <n v="777"/>
    <n v="38.85"/>
    <n v="0"/>
    <n v="1554"/>
    <n v="1515.15"/>
    <x v="2"/>
    <x v="1"/>
    <x v="1"/>
    <n v="60"/>
    <m/>
  </r>
  <r>
    <x v="2013"/>
    <x v="146"/>
    <x v="4"/>
    <n v="5"/>
    <n v="27"/>
    <s v="Tuesday"/>
    <x v="5"/>
    <x v="6"/>
    <x v="8"/>
    <s v="Veg Burger"/>
    <x v="1"/>
    <n v="2"/>
    <n v="264"/>
    <n v="39.6"/>
    <n v="0"/>
    <n v="528"/>
    <n v="488.4"/>
    <x v="2"/>
    <x v="0"/>
    <x v="1"/>
    <n v="67"/>
    <n v="3.5"/>
  </r>
  <r>
    <x v="2014"/>
    <x v="146"/>
    <x v="4"/>
    <n v="5"/>
    <n v="27"/>
    <s v="Tuesday"/>
    <x v="5"/>
    <x v="5"/>
    <x v="8"/>
    <s v="Pasta"/>
    <x v="1"/>
    <n v="1"/>
    <n v="290"/>
    <n v="58"/>
    <n v="20"/>
    <n v="290"/>
    <n v="252"/>
    <x v="0"/>
    <x v="0"/>
    <x v="1"/>
    <n v="38"/>
    <n v="4.5"/>
  </r>
  <r>
    <x v="2015"/>
    <x v="146"/>
    <x v="4"/>
    <n v="5"/>
    <n v="27"/>
    <s v="Tuesday"/>
    <x v="1"/>
    <x v="0"/>
    <x v="4"/>
    <s v="Veg Burger"/>
    <x v="1"/>
    <n v="2"/>
    <n v="138"/>
    <n v="13.8"/>
    <n v="40"/>
    <n v="276"/>
    <n v="302.2"/>
    <x v="1"/>
    <x v="0"/>
    <x v="1"/>
    <n v="42"/>
    <n v="4.4000000000000004"/>
  </r>
  <r>
    <x v="2016"/>
    <x v="146"/>
    <x v="4"/>
    <n v="5"/>
    <n v="27"/>
    <s v="Tuesday"/>
    <x v="2"/>
    <x v="3"/>
    <x v="6"/>
    <s v="French Fries"/>
    <x v="2"/>
    <n v="2"/>
    <n v="341"/>
    <n v="34.1"/>
    <n v="30"/>
    <n v="682"/>
    <n v="677.9"/>
    <x v="1"/>
    <x v="0"/>
    <x v="1"/>
    <n v="21"/>
    <n v="4.8"/>
  </r>
  <r>
    <x v="2017"/>
    <x v="146"/>
    <x v="4"/>
    <n v="5"/>
    <n v="27"/>
    <s v="Tuesday"/>
    <x v="1"/>
    <x v="6"/>
    <x v="8"/>
    <s v="Fried Rice"/>
    <x v="1"/>
    <n v="1"/>
    <n v="864"/>
    <n v="129.6"/>
    <n v="20"/>
    <n v="864"/>
    <n v="754.4"/>
    <x v="3"/>
    <x v="0"/>
    <x v="0"/>
    <n v="57"/>
    <n v="4.5999999999999996"/>
  </r>
  <r>
    <x v="2018"/>
    <x v="146"/>
    <x v="4"/>
    <n v="5"/>
    <n v="27"/>
    <s v="Tuesday"/>
    <x v="2"/>
    <x v="1"/>
    <x v="5"/>
    <s v="Chocolate Cake"/>
    <x v="1"/>
    <n v="1"/>
    <n v="164"/>
    <n v="41"/>
    <n v="40"/>
    <n v="164"/>
    <n v="163"/>
    <x v="2"/>
    <x v="0"/>
    <x v="0"/>
    <n v="27"/>
    <n v="3.7"/>
  </r>
  <r>
    <x v="2019"/>
    <x v="146"/>
    <x v="4"/>
    <n v="5"/>
    <n v="27"/>
    <s v="Tuesday"/>
    <x v="3"/>
    <x v="8"/>
    <x v="2"/>
    <s v="Chicken Burger"/>
    <x v="2"/>
    <n v="1"/>
    <n v="321"/>
    <n v="64.2"/>
    <n v="70"/>
    <n v="321"/>
    <n v="326.8"/>
    <x v="1"/>
    <x v="0"/>
    <x v="0"/>
    <n v="35"/>
    <n v="4.4000000000000004"/>
  </r>
  <r>
    <x v="2020"/>
    <x v="146"/>
    <x v="4"/>
    <n v="5"/>
    <n v="27"/>
    <s v="Tuesday"/>
    <x v="0"/>
    <x v="10"/>
    <x v="6"/>
    <s v="Pasta"/>
    <x v="1"/>
    <n v="2"/>
    <n v="881"/>
    <n v="132.15"/>
    <n v="40"/>
    <n v="1762"/>
    <n v="1669.85"/>
    <x v="1"/>
    <x v="0"/>
    <x v="0"/>
    <n v="26"/>
    <n v="4.2"/>
  </r>
  <r>
    <x v="2021"/>
    <x v="146"/>
    <x v="4"/>
    <n v="5"/>
    <n v="27"/>
    <s v="Tuesday"/>
    <x v="0"/>
    <x v="5"/>
    <x v="7"/>
    <s v="Cold Coffee"/>
    <x v="1"/>
    <n v="2"/>
    <n v="630"/>
    <n v="157.5"/>
    <n v="20"/>
    <n v="1260"/>
    <n v="1122.5"/>
    <x v="0"/>
    <x v="0"/>
    <x v="1"/>
    <n v="58"/>
    <n v="4.5999999999999996"/>
  </r>
  <r>
    <x v="2022"/>
    <x v="146"/>
    <x v="4"/>
    <n v="5"/>
    <n v="27"/>
    <s v="Tuesday"/>
    <x v="2"/>
    <x v="9"/>
    <x v="5"/>
    <s v="Veg Burger"/>
    <x v="1"/>
    <n v="1"/>
    <n v="432"/>
    <n v="43.2"/>
    <n v="20"/>
    <n v="432"/>
    <n v="408.8"/>
    <x v="1"/>
    <x v="0"/>
    <x v="1"/>
    <n v="41"/>
    <n v="4.5999999999999996"/>
  </r>
  <r>
    <x v="2023"/>
    <x v="146"/>
    <x v="4"/>
    <n v="5"/>
    <n v="27"/>
    <s v="Tuesday"/>
    <x v="6"/>
    <x v="2"/>
    <x v="5"/>
    <s v="Paneer Butter Masala"/>
    <x v="2"/>
    <n v="1"/>
    <n v="480"/>
    <n v="48"/>
    <n v="40"/>
    <n v="480"/>
    <n v="472"/>
    <x v="2"/>
    <x v="0"/>
    <x v="1"/>
    <n v="59"/>
    <n v="3.5"/>
  </r>
  <r>
    <x v="2024"/>
    <x v="146"/>
    <x v="4"/>
    <n v="5"/>
    <n v="27"/>
    <s v="Tuesday"/>
    <x v="6"/>
    <x v="12"/>
    <x v="3"/>
    <s v="Pasta"/>
    <x v="2"/>
    <n v="1"/>
    <n v="602"/>
    <n v="60.2"/>
    <n v="20"/>
    <n v="602"/>
    <n v="561.79999999999995"/>
    <x v="0"/>
    <x v="0"/>
    <x v="1"/>
    <n v="60"/>
    <n v="3.9"/>
  </r>
  <r>
    <x v="2025"/>
    <x v="146"/>
    <x v="4"/>
    <n v="5"/>
    <n v="27"/>
    <s v="Tuesday"/>
    <x v="4"/>
    <x v="4"/>
    <x v="8"/>
    <s v="Masala Dosa"/>
    <x v="1"/>
    <n v="1"/>
    <n v="180"/>
    <n v="18"/>
    <n v="40"/>
    <n v="180"/>
    <n v="202"/>
    <x v="1"/>
    <x v="0"/>
    <x v="0"/>
    <n v="22"/>
    <n v="3.9"/>
  </r>
  <r>
    <x v="2026"/>
    <x v="146"/>
    <x v="4"/>
    <n v="5"/>
    <n v="27"/>
    <s v="Tuesday"/>
    <x v="3"/>
    <x v="3"/>
    <x v="7"/>
    <s v="Chicken Biryani"/>
    <x v="1"/>
    <n v="1"/>
    <n v="727"/>
    <n v="0"/>
    <n v="30"/>
    <n v="727"/>
    <n v="757"/>
    <x v="4"/>
    <x v="3"/>
    <x v="1"/>
    <n v="45"/>
    <m/>
  </r>
  <r>
    <x v="2027"/>
    <x v="146"/>
    <x v="4"/>
    <n v="5"/>
    <n v="27"/>
    <s v="Tuesday"/>
    <x v="5"/>
    <x v="0"/>
    <x v="7"/>
    <s v="Pasta"/>
    <x v="2"/>
    <n v="1"/>
    <n v="146"/>
    <n v="21.9"/>
    <n v="60"/>
    <n v="146"/>
    <n v="184.1"/>
    <x v="4"/>
    <x v="0"/>
    <x v="0"/>
    <n v="53"/>
    <n v="3.4"/>
  </r>
  <r>
    <x v="2028"/>
    <x v="147"/>
    <x v="4"/>
    <n v="5"/>
    <n v="28"/>
    <s v="Wednesday"/>
    <x v="1"/>
    <x v="4"/>
    <x v="0"/>
    <s v="Fried Rice"/>
    <x v="2"/>
    <n v="1"/>
    <n v="500"/>
    <n v="25"/>
    <n v="70"/>
    <n v="500"/>
    <n v="545"/>
    <x v="1"/>
    <x v="0"/>
    <x v="0"/>
    <n v="70"/>
    <n v="4.5"/>
  </r>
  <r>
    <x v="2029"/>
    <x v="147"/>
    <x v="4"/>
    <n v="5"/>
    <n v="28"/>
    <s v="Wednesday"/>
    <x v="1"/>
    <x v="6"/>
    <x v="7"/>
    <s v="Pasta"/>
    <x v="1"/>
    <n v="2"/>
    <n v="273"/>
    <n v="13.65"/>
    <n v="60"/>
    <n v="546"/>
    <n v="592.35"/>
    <x v="2"/>
    <x v="0"/>
    <x v="0"/>
    <n v="63"/>
    <n v="5"/>
  </r>
  <r>
    <x v="2030"/>
    <x v="147"/>
    <x v="4"/>
    <n v="5"/>
    <n v="28"/>
    <s v="Wednesday"/>
    <x v="5"/>
    <x v="2"/>
    <x v="6"/>
    <s v="Fried Rice"/>
    <x v="1"/>
    <n v="1"/>
    <n v="308"/>
    <n v="15.4"/>
    <n v="30"/>
    <n v="308"/>
    <n v="322.60000000000002"/>
    <x v="1"/>
    <x v="0"/>
    <x v="1"/>
    <n v="51"/>
    <n v="4.3"/>
  </r>
  <r>
    <x v="2031"/>
    <x v="147"/>
    <x v="4"/>
    <n v="5"/>
    <n v="28"/>
    <s v="Wednesday"/>
    <x v="3"/>
    <x v="14"/>
    <x v="6"/>
    <s v="Masala Dosa"/>
    <x v="2"/>
    <n v="1"/>
    <n v="372"/>
    <n v="0"/>
    <n v="50"/>
    <n v="372"/>
    <n v="422"/>
    <x v="1"/>
    <x v="1"/>
    <x v="0"/>
    <n v="24"/>
    <m/>
  </r>
  <r>
    <x v="2032"/>
    <x v="147"/>
    <x v="4"/>
    <n v="5"/>
    <n v="28"/>
    <s v="Wednesday"/>
    <x v="9"/>
    <x v="4"/>
    <x v="6"/>
    <s v="Chicken Biryani"/>
    <x v="1"/>
    <n v="1"/>
    <n v="379"/>
    <n v="56.85"/>
    <n v="0"/>
    <n v="379"/>
    <n v="322.14999999999998"/>
    <x v="2"/>
    <x v="0"/>
    <x v="1"/>
    <n v="19"/>
    <n v="3.1"/>
  </r>
  <r>
    <x v="2033"/>
    <x v="147"/>
    <x v="4"/>
    <n v="5"/>
    <n v="28"/>
    <s v="Wednesday"/>
    <x v="8"/>
    <x v="9"/>
    <x v="1"/>
    <s v="Veg Pizza"/>
    <x v="1"/>
    <n v="2"/>
    <n v="882"/>
    <n v="88.2"/>
    <n v="30"/>
    <n v="1764"/>
    <n v="1705.8"/>
    <x v="3"/>
    <x v="3"/>
    <x v="1"/>
    <n v="18"/>
    <m/>
  </r>
  <r>
    <x v="2034"/>
    <x v="147"/>
    <x v="4"/>
    <n v="5"/>
    <n v="28"/>
    <s v="Wednesday"/>
    <x v="0"/>
    <x v="6"/>
    <x v="7"/>
    <s v="Chicken Pizza"/>
    <x v="1"/>
    <n v="1"/>
    <n v="182"/>
    <n v="36.4"/>
    <n v="50"/>
    <n v="182"/>
    <n v="195.6"/>
    <x v="1"/>
    <x v="0"/>
    <x v="0"/>
    <n v="54"/>
    <n v="3.7"/>
  </r>
  <r>
    <x v="2035"/>
    <x v="147"/>
    <x v="4"/>
    <n v="5"/>
    <n v="28"/>
    <s v="Wednesday"/>
    <x v="5"/>
    <x v="11"/>
    <x v="7"/>
    <s v="Veg Pizza"/>
    <x v="0"/>
    <n v="2"/>
    <n v="533"/>
    <n v="0"/>
    <n v="40"/>
    <n v="1066"/>
    <n v="1106"/>
    <x v="2"/>
    <x v="0"/>
    <x v="1"/>
    <n v="39"/>
    <n v="3.6"/>
  </r>
  <r>
    <x v="2036"/>
    <x v="147"/>
    <x v="4"/>
    <n v="5"/>
    <n v="28"/>
    <s v="Wednesday"/>
    <x v="9"/>
    <x v="10"/>
    <x v="8"/>
    <s v="Veg Burger"/>
    <x v="2"/>
    <n v="1"/>
    <n v="268"/>
    <n v="67"/>
    <n v="50"/>
    <n v="268"/>
    <n v="251"/>
    <x v="1"/>
    <x v="0"/>
    <x v="1"/>
    <n v="64"/>
    <n v="2.9"/>
  </r>
  <r>
    <x v="2037"/>
    <x v="147"/>
    <x v="4"/>
    <n v="5"/>
    <n v="28"/>
    <s v="Wednesday"/>
    <x v="5"/>
    <x v="11"/>
    <x v="6"/>
    <s v="Chicken Biryani"/>
    <x v="1"/>
    <n v="2"/>
    <n v="483"/>
    <n v="48.3"/>
    <n v="50"/>
    <n v="966"/>
    <n v="967.7"/>
    <x v="1"/>
    <x v="0"/>
    <x v="1"/>
    <n v="50"/>
    <n v="4.5"/>
  </r>
  <r>
    <x v="2038"/>
    <x v="147"/>
    <x v="4"/>
    <n v="5"/>
    <n v="28"/>
    <s v="Wednesday"/>
    <x v="3"/>
    <x v="5"/>
    <x v="4"/>
    <s v="Chicken Momos"/>
    <x v="1"/>
    <n v="1"/>
    <n v="561"/>
    <n v="0"/>
    <n v="40"/>
    <n v="561"/>
    <n v="601"/>
    <x v="1"/>
    <x v="0"/>
    <x v="1"/>
    <n v="69"/>
    <n v="4.2"/>
  </r>
  <r>
    <x v="2039"/>
    <x v="147"/>
    <x v="4"/>
    <n v="5"/>
    <n v="28"/>
    <s v="Wednesday"/>
    <x v="0"/>
    <x v="3"/>
    <x v="1"/>
    <s v="Chicken Momos"/>
    <x v="1"/>
    <n v="1"/>
    <n v="709"/>
    <n v="141.80000000000001"/>
    <n v="40"/>
    <n v="709"/>
    <n v="607.20000000000005"/>
    <x v="2"/>
    <x v="0"/>
    <x v="1"/>
    <n v="41"/>
    <n v="4.0999999999999996"/>
  </r>
  <r>
    <x v="2040"/>
    <x v="147"/>
    <x v="4"/>
    <n v="5"/>
    <n v="28"/>
    <s v="Wednesday"/>
    <x v="5"/>
    <x v="8"/>
    <x v="8"/>
    <s v="Idli Sambar"/>
    <x v="1"/>
    <n v="3"/>
    <n v="886"/>
    <n v="88.6"/>
    <n v="60"/>
    <n v="2658"/>
    <n v="2629.4"/>
    <x v="0"/>
    <x v="0"/>
    <x v="0"/>
    <n v="34"/>
    <n v="4.4000000000000004"/>
  </r>
  <r>
    <x v="2041"/>
    <x v="147"/>
    <x v="4"/>
    <n v="5"/>
    <n v="28"/>
    <s v="Wednesday"/>
    <x v="6"/>
    <x v="8"/>
    <x v="9"/>
    <s v="Cold Coffee"/>
    <x v="1"/>
    <n v="3"/>
    <n v="884"/>
    <n v="88.4"/>
    <n v="20"/>
    <n v="2652"/>
    <n v="2583.6"/>
    <x v="2"/>
    <x v="0"/>
    <x v="0"/>
    <n v="25"/>
    <n v="4.5"/>
  </r>
  <r>
    <x v="2042"/>
    <x v="147"/>
    <x v="4"/>
    <n v="5"/>
    <n v="28"/>
    <s v="Wednesday"/>
    <x v="2"/>
    <x v="9"/>
    <x v="5"/>
    <s v="Chicken Pizza"/>
    <x v="1"/>
    <n v="1"/>
    <n v="857"/>
    <n v="85.7"/>
    <n v="0"/>
    <n v="857"/>
    <n v="771.3"/>
    <x v="2"/>
    <x v="0"/>
    <x v="1"/>
    <n v="69"/>
    <n v="5"/>
  </r>
  <r>
    <x v="2043"/>
    <x v="147"/>
    <x v="4"/>
    <n v="5"/>
    <n v="28"/>
    <s v="Wednesday"/>
    <x v="0"/>
    <x v="4"/>
    <x v="8"/>
    <s v="Chicken Biryani"/>
    <x v="1"/>
    <n v="1"/>
    <n v="468"/>
    <n v="23.4"/>
    <n v="0"/>
    <n v="468"/>
    <n v="444.6"/>
    <x v="2"/>
    <x v="3"/>
    <x v="1"/>
    <n v="31"/>
    <m/>
  </r>
  <r>
    <x v="2044"/>
    <x v="147"/>
    <x v="4"/>
    <n v="5"/>
    <n v="28"/>
    <s v="Wednesday"/>
    <x v="5"/>
    <x v="1"/>
    <x v="8"/>
    <s v="Masala Dosa"/>
    <x v="2"/>
    <n v="2"/>
    <n v="375"/>
    <n v="56.25"/>
    <n v="0"/>
    <n v="750"/>
    <n v="693.75"/>
    <x v="2"/>
    <x v="0"/>
    <x v="1"/>
    <n v="30"/>
    <n v="3.3"/>
  </r>
  <r>
    <x v="2045"/>
    <x v="148"/>
    <x v="4"/>
    <n v="5"/>
    <n v="29"/>
    <s v="Thursday"/>
    <x v="4"/>
    <x v="13"/>
    <x v="5"/>
    <s v="Veg Biryani"/>
    <x v="1"/>
    <n v="1"/>
    <n v="656"/>
    <n v="32.799999999999997"/>
    <n v="20"/>
    <n v="656"/>
    <n v="643.20000000000005"/>
    <x v="1"/>
    <x v="0"/>
    <x v="1"/>
    <n v="50"/>
    <n v="3"/>
  </r>
  <r>
    <x v="2046"/>
    <x v="148"/>
    <x v="4"/>
    <n v="5"/>
    <n v="29"/>
    <s v="Thursday"/>
    <x v="4"/>
    <x v="6"/>
    <x v="2"/>
    <s v="Cold Coffee"/>
    <x v="1"/>
    <n v="3"/>
    <n v="542"/>
    <n v="81.3"/>
    <n v="30"/>
    <n v="1626"/>
    <n v="1574.7"/>
    <x v="1"/>
    <x v="0"/>
    <x v="1"/>
    <n v="55"/>
    <n v="3.7"/>
  </r>
  <r>
    <x v="2047"/>
    <x v="148"/>
    <x v="4"/>
    <n v="5"/>
    <n v="29"/>
    <s v="Thursday"/>
    <x v="0"/>
    <x v="5"/>
    <x v="0"/>
    <s v="Fried Rice"/>
    <x v="1"/>
    <n v="3"/>
    <n v="328"/>
    <n v="65.599999999999994"/>
    <n v="70"/>
    <n v="984"/>
    <n v="988.4"/>
    <x v="1"/>
    <x v="0"/>
    <x v="0"/>
    <n v="36"/>
    <n v="4.4000000000000004"/>
  </r>
  <r>
    <x v="2048"/>
    <x v="148"/>
    <x v="4"/>
    <n v="5"/>
    <n v="29"/>
    <s v="Thursday"/>
    <x v="9"/>
    <x v="10"/>
    <x v="8"/>
    <s v="Paneer Butter Masala"/>
    <x v="1"/>
    <n v="2"/>
    <n v="212"/>
    <n v="21.2"/>
    <n v="50"/>
    <n v="424"/>
    <n v="452.8"/>
    <x v="4"/>
    <x v="0"/>
    <x v="0"/>
    <n v="42"/>
    <n v="4.9000000000000004"/>
  </r>
  <r>
    <x v="2049"/>
    <x v="148"/>
    <x v="4"/>
    <n v="5"/>
    <n v="29"/>
    <s v="Thursday"/>
    <x v="7"/>
    <x v="13"/>
    <x v="8"/>
    <s v="Chicken Biryani"/>
    <x v="1"/>
    <n v="2"/>
    <n v="333"/>
    <n v="16.649999999999999"/>
    <n v="0"/>
    <n v="666"/>
    <n v="649.35"/>
    <x v="1"/>
    <x v="0"/>
    <x v="0"/>
    <n v="47"/>
    <n v="4.5"/>
  </r>
  <r>
    <x v="2050"/>
    <x v="148"/>
    <x v="4"/>
    <n v="5"/>
    <n v="29"/>
    <s v="Thursday"/>
    <x v="7"/>
    <x v="7"/>
    <x v="4"/>
    <s v="Cold Coffee"/>
    <x v="0"/>
    <n v="2"/>
    <n v="302"/>
    <n v="60.4"/>
    <n v="40"/>
    <n v="604"/>
    <n v="583.6"/>
    <x v="1"/>
    <x v="0"/>
    <x v="0"/>
    <n v="62"/>
    <n v="5"/>
  </r>
  <r>
    <x v="2051"/>
    <x v="148"/>
    <x v="4"/>
    <n v="5"/>
    <n v="29"/>
    <s v="Thursday"/>
    <x v="3"/>
    <x v="9"/>
    <x v="3"/>
    <s v="Pasta"/>
    <x v="0"/>
    <n v="1"/>
    <n v="145"/>
    <n v="29"/>
    <n v="20"/>
    <n v="145"/>
    <n v="136"/>
    <x v="4"/>
    <x v="0"/>
    <x v="1"/>
    <n v="62"/>
    <n v="3.9"/>
  </r>
  <r>
    <x v="2052"/>
    <x v="148"/>
    <x v="4"/>
    <n v="5"/>
    <n v="29"/>
    <s v="Thursday"/>
    <x v="7"/>
    <x v="13"/>
    <x v="3"/>
    <s v="Chicken Biryani"/>
    <x v="2"/>
    <n v="2"/>
    <n v="447"/>
    <n v="0"/>
    <n v="40"/>
    <n v="894"/>
    <n v="934"/>
    <x v="0"/>
    <x v="0"/>
    <x v="1"/>
    <n v="57"/>
    <n v="4.2"/>
  </r>
  <r>
    <x v="2053"/>
    <x v="148"/>
    <x v="4"/>
    <n v="5"/>
    <n v="29"/>
    <s v="Thursday"/>
    <x v="2"/>
    <x v="7"/>
    <x v="7"/>
    <s v="Idli Sambar"/>
    <x v="3"/>
    <n v="2"/>
    <n v="520"/>
    <n v="52"/>
    <n v="20"/>
    <n v="1040"/>
    <n v="1008"/>
    <x v="0"/>
    <x v="0"/>
    <x v="0"/>
    <n v="40"/>
    <n v="3.6"/>
  </r>
  <r>
    <x v="2054"/>
    <x v="148"/>
    <x v="4"/>
    <n v="5"/>
    <n v="29"/>
    <s v="Thursday"/>
    <x v="4"/>
    <x v="13"/>
    <x v="6"/>
    <s v="Veg Burger"/>
    <x v="1"/>
    <n v="1"/>
    <n v="263"/>
    <n v="26.3"/>
    <n v="20"/>
    <n v="263"/>
    <n v="256.7"/>
    <x v="1"/>
    <x v="0"/>
    <x v="1"/>
    <n v="64"/>
    <n v="4.5"/>
  </r>
  <r>
    <x v="2055"/>
    <x v="148"/>
    <x v="4"/>
    <n v="5"/>
    <n v="29"/>
    <s v="Thursday"/>
    <x v="3"/>
    <x v="9"/>
    <x v="7"/>
    <s v="Chicken Biryani"/>
    <x v="2"/>
    <n v="1"/>
    <n v="434"/>
    <n v="65.099999999999994"/>
    <n v="40"/>
    <n v="434"/>
    <n v="408.9"/>
    <x v="2"/>
    <x v="0"/>
    <x v="0"/>
    <n v="66"/>
    <n v="4.2"/>
  </r>
  <r>
    <x v="2056"/>
    <x v="148"/>
    <x v="4"/>
    <n v="5"/>
    <n v="29"/>
    <s v="Thursday"/>
    <x v="0"/>
    <x v="10"/>
    <x v="5"/>
    <s v="Chicken Momos"/>
    <x v="1"/>
    <n v="3"/>
    <n v="130"/>
    <n v="6.5"/>
    <n v="30"/>
    <n v="390"/>
    <n v="413.5"/>
    <x v="1"/>
    <x v="0"/>
    <x v="1"/>
    <n v="35"/>
    <n v="3.7"/>
  </r>
  <r>
    <x v="2057"/>
    <x v="148"/>
    <x v="4"/>
    <n v="5"/>
    <n v="29"/>
    <s v="Thursday"/>
    <x v="2"/>
    <x v="8"/>
    <x v="7"/>
    <s v="Paneer Butter Masala"/>
    <x v="1"/>
    <n v="3"/>
    <n v="513"/>
    <n v="102.6"/>
    <n v="0"/>
    <n v="1539"/>
    <n v="1436.4"/>
    <x v="3"/>
    <x v="0"/>
    <x v="0"/>
    <n v="49"/>
    <n v="3.3"/>
  </r>
  <r>
    <x v="2058"/>
    <x v="148"/>
    <x v="4"/>
    <n v="5"/>
    <n v="29"/>
    <s v="Thursday"/>
    <x v="4"/>
    <x v="5"/>
    <x v="3"/>
    <s v="Pasta"/>
    <x v="1"/>
    <n v="1"/>
    <n v="508"/>
    <n v="50.8"/>
    <n v="50"/>
    <n v="508"/>
    <n v="507.2"/>
    <x v="0"/>
    <x v="2"/>
    <x v="1"/>
    <n v="53"/>
    <m/>
  </r>
  <r>
    <x v="2059"/>
    <x v="148"/>
    <x v="4"/>
    <n v="5"/>
    <n v="29"/>
    <s v="Thursday"/>
    <x v="0"/>
    <x v="4"/>
    <x v="9"/>
    <s v="Idli Sambar"/>
    <x v="1"/>
    <n v="3"/>
    <n v="634"/>
    <n v="0"/>
    <n v="40"/>
    <n v="1902"/>
    <n v="1942"/>
    <x v="1"/>
    <x v="2"/>
    <x v="1"/>
    <n v="56"/>
    <m/>
  </r>
  <r>
    <x v="2060"/>
    <x v="148"/>
    <x v="4"/>
    <n v="5"/>
    <n v="29"/>
    <s v="Thursday"/>
    <x v="7"/>
    <x v="10"/>
    <x v="5"/>
    <s v="Cold Coffee"/>
    <x v="2"/>
    <n v="2"/>
    <n v="691"/>
    <n v="0"/>
    <n v="30"/>
    <n v="1382"/>
    <n v="1412"/>
    <x v="1"/>
    <x v="1"/>
    <x v="1"/>
    <n v="41"/>
    <m/>
  </r>
  <r>
    <x v="2061"/>
    <x v="148"/>
    <x v="4"/>
    <n v="5"/>
    <n v="29"/>
    <s v="Thursday"/>
    <x v="4"/>
    <x v="1"/>
    <x v="2"/>
    <s v="Veg Biryani"/>
    <x v="1"/>
    <n v="2"/>
    <n v="414"/>
    <n v="0"/>
    <n v="30"/>
    <n v="828"/>
    <n v="858"/>
    <x v="2"/>
    <x v="0"/>
    <x v="1"/>
    <n v="58"/>
    <n v="5"/>
  </r>
  <r>
    <x v="2062"/>
    <x v="148"/>
    <x v="4"/>
    <n v="5"/>
    <n v="29"/>
    <s v="Thursday"/>
    <x v="3"/>
    <x v="5"/>
    <x v="7"/>
    <s v="Cold Coffee"/>
    <x v="1"/>
    <n v="2"/>
    <n v="176"/>
    <n v="26.4"/>
    <n v="0"/>
    <n v="352"/>
    <n v="325.60000000000002"/>
    <x v="1"/>
    <x v="0"/>
    <x v="0"/>
    <n v="57"/>
    <n v="3.9"/>
  </r>
  <r>
    <x v="2063"/>
    <x v="149"/>
    <x v="4"/>
    <n v="5"/>
    <n v="30"/>
    <s v="Friday"/>
    <x v="0"/>
    <x v="1"/>
    <x v="5"/>
    <s v="French Fries"/>
    <x v="1"/>
    <n v="1"/>
    <n v="857"/>
    <n v="85.7"/>
    <n v="40"/>
    <n v="857"/>
    <n v="811.3"/>
    <x v="3"/>
    <x v="0"/>
    <x v="1"/>
    <n v="25"/>
    <n v="5"/>
  </r>
  <r>
    <x v="2064"/>
    <x v="149"/>
    <x v="4"/>
    <n v="5"/>
    <n v="30"/>
    <s v="Friday"/>
    <x v="5"/>
    <x v="13"/>
    <x v="3"/>
    <s v="Veg Momos"/>
    <x v="3"/>
    <n v="2"/>
    <n v="707"/>
    <n v="176.75"/>
    <n v="0"/>
    <n v="1414"/>
    <n v="1237.25"/>
    <x v="1"/>
    <x v="0"/>
    <x v="0"/>
    <n v="56"/>
    <n v="3"/>
  </r>
  <r>
    <x v="2065"/>
    <x v="149"/>
    <x v="4"/>
    <n v="5"/>
    <n v="30"/>
    <s v="Friday"/>
    <x v="5"/>
    <x v="10"/>
    <x v="3"/>
    <s v="Veg Biryani"/>
    <x v="1"/>
    <n v="2"/>
    <n v="534"/>
    <n v="106.8"/>
    <n v="30"/>
    <n v="1068"/>
    <n v="991.2"/>
    <x v="2"/>
    <x v="0"/>
    <x v="1"/>
    <n v="69"/>
    <n v="5"/>
  </r>
  <r>
    <x v="2066"/>
    <x v="149"/>
    <x v="4"/>
    <n v="5"/>
    <n v="30"/>
    <s v="Friday"/>
    <x v="9"/>
    <x v="9"/>
    <x v="9"/>
    <s v="French Fries"/>
    <x v="1"/>
    <n v="2"/>
    <n v="126"/>
    <n v="25.2"/>
    <n v="20"/>
    <n v="252"/>
    <n v="246.8"/>
    <x v="2"/>
    <x v="3"/>
    <x v="1"/>
    <n v="68"/>
    <m/>
  </r>
  <r>
    <x v="2067"/>
    <x v="149"/>
    <x v="4"/>
    <n v="5"/>
    <n v="30"/>
    <s v="Friday"/>
    <x v="1"/>
    <x v="1"/>
    <x v="5"/>
    <s v="Chicken Biryani"/>
    <x v="1"/>
    <n v="1"/>
    <n v="645"/>
    <n v="0"/>
    <n v="50"/>
    <n v="645"/>
    <n v="695"/>
    <x v="1"/>
    <x v="0"/>
    <x v="1"/>
    <n v="33"/>
    <n v="3.4"/>
  </r>
  <r>
    <x v="2068"/>
    <x v="149"/>
    <x v="4"/>
    <n v="5"/>
    <n v="30"/>
    <s v="Friday"/>
    <x v="1"/>
    <x v="1"/>
    <x v="5"/>
    <s v="Cold Coffee"/>
    <x v="1"/>
    <n v="2"/>
    <n v="166"/>
    <n v="16.600000000000001"/>
    <n v="0"/>
    <n v="332"/>
    <n v="315.39999999999998"/>
    <x v="1"/>
    <x v="0"/>
    <x v="1"/>
    <n v="58"/>
    <n v="4"/>
  </r>
  <r>
    <x v="2069"/>
    <x v="149"/>
    <x v="4"/>
    <n v="5"/>
    <n v="30"/>
    <s v="Friday"/>
    <x v="5"/>
    <x v="0"/>
    <x v="6"/>
    <s v="Idli Sambar"/>
    <x v="1"/>
    <n v="2"/>
    <n v="804"/>
    <n v="40.200000000000003"/>
    <n v="20"/>
    <n v="1608"/>
    <n v="1587.8"/>
    <x v="4"/>
    <x v="0"/>
    <x v="0"/>
    <n v="35"/>
    <n v="4.4000000000000004"/>
  </r>
  <r>
    <x v="2070"/>
    <x v="149"/>
    <x v="4"/>
    <n v="5"/>
    <n v="30"/>
    <s v="Friday"/>
    <x v="1"/>
    <x v="9"/>
    <x v="7"/>
    <s v="Paneer Butter Masala"/>
    <x v="1"/>
    <n v="1"/>
    <n v="340"/>
    <n v="34"/>
    <n v="30"/>
    <n v="340"/>
    <n v="336"/>
    <x v="2"/>
    <x v="1"/>
    <x v="1"/>
    <n v="65"/>
    <m/>
  </r>
  <r>
    <x v="2071"/>
    <x v="149"/>
    <x v="4"/>
    <n v="5"/>
    <n v="30"/>
    <s v="Friday"/>
    <x v="4"/>
    <x v="2"/>
    <x v="0"/>
    <s v="Chocolate Cake"/>
    <x v="1"/>
    <n v="1"/>
    <n v="488"/>
    <n v="97.6"/>
    <n v="60"/>
    <n v="488"/>
    <n v="450.4"/>
    <x v="1"/>
    <x v="0"/>
    <x v="1"/>
    <n v="52"/>
    <n v="4.0999999999999996"/>
  </r>
  <r>
    <x v="2072"/>
    <x v="149"/>
    <x v="4"/>
    <n v="5"/>
    <n v="30"/>
    <s v="Friday"/>
    <x v="5"/>
    <x v="10"/>
    <x v="0"/>
    <s v="French Fries"/>
    <x v="1"/>
    <n v="2"/>
    <n v="292"/>
    <n v="0"/>
    <n v="60"/>
    <n v="584"/>
    <n v="644"/>
    <x v="1"/>
    <x v="0"/>
    <x v="1"/>
    <n v="61"/>
    <n v="4.4000000000000004"/>
  </r>
  <r>
    <x v="2073"/>
    <x v="149"/>
    <x v="4"/>
    <n v="5"/>
    <n v="30"/>
    <s v="Friday"/>
    <x v="9"/>
    <x v="8"/>
    <x v="6"/>
    <s v="Chicken Pizza"/>
    <x v="1"/>
    <n v="2"/>
    <n v="679"/>
    <n v="67.900000000000006"/>
    <n v="30"/>
    <n v="1358"/>
    <n v="1320.1"/>
    <x v="2"/>
    <x v="0"/>
    <x v="0"/>
    <n v="63"/>
    <n v="5"/>
  </r>
  <r>
    <x v="2074"/>
    <x v="149"/>
    <x v="4"/>
    <n v="5"/>
    <n v="30"/>
    <s v="Friday"/>
    <x v="9"/>
    <x v="5"/>
    <x v="2"/>
    <s v="Chicken Biryani"/>
    <x v="1"/>
    <n v="2"/>
    <n v="624"/>
    <n v="0"/>
    <n v="20"/>
    <n v="1248"/>
    <n v="1268"/>
    <x v="2"/>
    <x v="0"/>
    <x v="1"/>
    <n v="60"/>
    <n v="4.7"/>
  </r>
  <r>
    <x v="2075"/>
    <x v="149"/>
    <x v="4"/>
    <n v="5"/>
    <n v="30"/>
    <s v="Friday"/>
    <x v="3"/>
    <x v="12"/>
    <x v="3"/>
    <s v="Veg Momos"/>
    <x v="1"/>
    <n v="1"/>
    <n v="274"/>
    <n v="13.7"/>
    <n v="0"/>
    <n v="274"/>
    <n v="260.3"/>
    <x v="1"/>
    <x v="0"/>
    <x v="1"/>
    <n v="69"/>
    <n v="3.3"/>
  </r>
  <r>
    <x v="2076"/>
    <x v="149"/>
    <x v="4"/>
    <n v="5"/>
    <n v="30"/>
    <s v="Friday"/>
    <x v="2"/>
    <x v="7"/>
    <x v="9"/>
    <s v="Pasta"/>
    <x v="2"/>
    <n v="2"/>
    <n v="318"/>
    <n v="63.6"/>
    <n v="30"/>
    <n v="636"/>
    <n v="602.4"/>
    <x v="1"/>
    <x v="0"/>
    <x v="1"/>
    <n v="33"/>
    <n v="4.0999999999999996"/>
  </r>
  <r>
    <x v="2077"/>
    <x v="149"/>
    <x v="4"/>
    <n v="5"/>
    <n v="30"/>
    <s v="Friday"/>
    <x v="6"/>
    <x v="2"/>
    <x v="0"/>
    <s v="Veg Burger"/>
    <x v="1"/>
    <n v="3"/>
    <n v="312"/>
    <n v="15.6"/>
    <n v="30"/>
    <n v="936"/>
    <n v="950.4"/>
    <x v="1"/>
    <x v="0"/>
    <x v="1"/>
    <n v="55"/>
    <n v="4.5"/>
  </r>
  <r>
    <x v="2078"/>
    <x v="150"/>
    <x v="4"/>
    <n v="5"/>
    <n v="31"/>
    <s v="Saturday"/>
    <x v="4"/>
    <x v="5"/>
    <x v="5"/>
    <s v="Fried Rice"/>
    <x v="1"/>
    <n v="3"/>
    <n v="548"/>
    <n v="82.2"/>
    <n v="40"/>
    <n v="1644"/>
    <n v="1601.8"/>
    <x v="1"/>
    <x v="0"/>
    <x v="0"/>
    <n v="33"/>
    <n v="4.4000000000000004"/>
  </r>
  <r>
    <x v="2079"/>
    <x v="150"/>
    <x v="4"/>
    <n v="5"/>
    <n v="31"/>
    <s v="Saturday"/>
    <x v="6"/>
    <x v="4"/>
    <x v="8"/>
    <s v="Veg Biryani"/>
    <x v="1"/>
    <n v="3"/>
    <n v="727"/>
    <n v="109.05"/>
    <n v="0"/>
    <n v="2181"/>
    <n v="2071.9499999999998"/>
    <x v="1"/>
    <x v="3"/>
    <x v="1"/>
    <n v="60"/>
    <m/>
  </r>
  <r>
    <x v="2080"/>
    <x v="150"/>
    <x v="4"/>
    <n v="5"/>
    <n v="31"/>
    <s v="Saturday"/>
    <x v="1"/>
    <x v="11"/>
    <x v="8"/>
    <s v="Veg Pizza"/>
    <x v="1"/>
    <n v="2"/>
    <n v="824"/>
    <n v="41.2"/>
    <n v="50"/>
    <n v="1648"/>
    <n v="1656.8"/>
    <x v="2"/>
    <x v="0"/>
    <x v="1"/>
    <n v="28"/>
    <n v="4.8"/>
  </r>
  <r>
    <x v="2081"/>
    <x v="150"/>
    <x v="4"/>
    <n v="5"/>
    <n v="31"/>
    <s v="Saturday"/>
    <x v="7"/>
    <x v="4"/>
    <x v="3"/>
    <s v="Chicken Momos"/>
    <x v="0"/>
    <n v="1"/>
    <n v="206"/>
    <n v="20.6"/>
    <n v="60"/>
    <n v="206"/>
    <n v="245.4"/>
    <x v="3"/>
    <x v="0"/>
    <x v="0"/>
    <n v="65"/>
    <n v="3.7"/>
  </r>
  <r>
    <x v="2082"/>
    <x v="150"/>
    <x v="4"/>
    <n v="5"/>
    <n v="31"/>
    <s v="Saturday"/>
    <x v="1"/>
    <x v="11"/>
    <x v="8"/>
    <s v="French Fries"/>
    <x v="1"/>
    <n v="3"/>
    <n v="852"/>
    <n v="85.2"/>
    <n v="40"/>
    <n v="2556"/>
    <n v="2510.8000000000002"/>
    <x v="1"/>
    <x v="0"/>
    <x v="1"/>
    <n v="41"/>
    <n v="3.7"/>
  </r>
  <r>
    <x v="2083"/>
    <x v="150"/>
    <x v="4"/>
    <n v="5"/>
    <n v="31"/>
    <s v="Saturday"/>
    <x v="7"/>
    <x v="1"/>
    <x v="2"/>
    <s v="Veg Momos"/>
    <x v="0"/>
    <n v="1"/>
    <n v="505"/>
    <n v="50.5"/>
    <n v="0"/>
    <n v="505"/>
    <n v="454.5"/>
    <x v="1"/>
    <x v="0"/>
    <x v="1"/>
    <n v="19"/>
    <n v="2.8"/>
  </r>
  <r>
    <x v="2084"/>
    <x v="150"/>
    <x v="4"/>
    <n v="5"/>
    <n v="31"/>
    <s v="Saturday"/>
    <x v="0"/>
    <x v="4"/>
    <x v="2"/>
    <s v="Idli Sambar"/>
    <x v="1"/>
    <n v="2"/>
    <n v="683"/>
    <n v="136.6"/>
    <n v="30"/>
    <n v="1366"/>
    <n v="1259.4000000000001"/>
    <x v="1"/>
    <x v="0"/>
    <x v="1"/>
    <n v="61"/>
    <n v="4.9000000000000004"/>
  </r>
  <r>
    <x v="2085"/>
    <x v="150"/>
    <x v="4"/>
    <n v="5"/>
    <n v="31"/>
    <s v="Saturday"/>
    <x v="1"/>
    <x v="8"/>
    <x v="8"/>
    <s v="Fried Rice"/>
    <x v="1"/>
    <n v="1"/>
    <n v="639"/>
    <n v="63.9"/>
    <n v="50"/>
    <n v="639"/>
    <n v="625.1"/>
    <x v="0"/>
    <x v="0"/>
    <x v="1"/>
    <n v="68"/>
    <n v="3.7"/>
  </r>
  <r>
    <x v="2086"/>
    <x v="150"/>
    <x v="4"/>
    <n v="5"/>
    <n v="31"/>
    <s v="Saturday"/>
    <x v="9"/>
    <x v="5"/>
    <x v="1"/>
    <s v="Cold Coffee"/>
    <x v="1"/>
    <n v="2"/>
    <n v="217"/>
    <n v="0"/>
    <n v="30"/>
    <n v="434"/>
    <n v="464"/>
    <x v="1"/>
    <x v="0"/>
    <x v="0"/>
    <n v="42"/>
    <n v="4"/>
  </r>
  <r>
    <x v="2087"/>
    <x v="150"/>
    <x v="4"/>
    <n v="5"/>
    <n v="31"/>
    <s v="Saturday"/>
    <x v="2"/>
    <x v="2"/>
    <x v="7"/>
    <s v="Cold Coffee"/>
    <x v="0"/>
    <n v="1"/>
    <n v="631"/>
    <n v="94.65"/>
    <n v="30"/>
    <n v="631"/>
    <n v="566.35"/>
    <x v="3"/>
    <x v="1"/>
    <x v="1"/>
    <n v="68"/>
    <m/>
  </r>
  <r>
    <x v="2088"/>
    <x v="150"/>
    <x v="4"/>
    <n v="5"/>
    <n v="31"/>
    <s v="Saturday"/>
    <x v="0"/>
    <x v="14"/>
    <x v="4"/>
    <s v="French Fries"/>
    <x v="1"/>
    <n v="1"/>
    <n v="817"/>
    <n v="81.7"/>
    <n v="0"/>
    <n v="817"/>
    <n v="735.3"/>
    <x v="1"/>
    <x v="1"/>
    <x v="0"/>
    <n v="23"/>
    <m/>
  </r>
  <r>
    <x v="2089"/>
    <x v="150"/>
    <x v="4"/>
    <n v="5"/>
    <n v="31"/>
    <s v="Saturday"/>
    <x v="7"/>
    <x v="4"/>
    <x v="1"/>
    <s v="Chicken Momos"/>
    <x v="1"/>
    <n v="2"/>
    <n v="823"/>
    <n v="41.15"/>
    <n v="20"/>
    <n v="1646"/>
    <n v="1624.85"/>
    <x v="4"/>
    <x v="0"/>
    <x v="1"/>
    <n v="65"/>
    <n v="3.6"/>
  </r>
  <r>
    <x v="2090"/>
    <x v="151"/>
    <x v="5"/>
    <n v="6"/>
    <n v="1"/>
    <s v="Sunday"/>
    <x v="5"/>
    <x v="6"/>
    <x v="0"/>
    <s v="Veg Momos"/>
    <x v="1"/>
    <n v="1"/>
    <n v="607"/>
    <n v="30.35"/>
    <n v="60"/>
    <n v="607"/>
    <n v="636.65"/>
    <x v="3"/>
    <x v="0"/>
    <x v="0"/>
    <n v="58"/>
    <n v="4.8"/>
  </r>
  <r>
    <x v="2091"/>
    <x v="151"/>
    <x v="5"/>
    <n v="6"/>
    <n v="1"/>
    <s v="Sunday"/>
    <x v="3"/>
    <x v="0"/>
    <x v="0"/>
    <s v="Chicken Biryani"/>
    <x v="1"/>
    <n v="3"/>
    <n v="619"/>
    <n v="0"/>
    <n v="30"/>
    <n v="1857"/>
    <n v="1887"/>
    <x v="1"/>
    <x v="0"/>
    <x v="0"/>
    <n v="62"/>
    <n v="3.6"/>
  </r>
  <r>
    <x v="2092"/>
    <x v="151"/>
    <x v="5"/>
    <n v="6"/>
    <n v="1"/>
    <s v="Sunday"/>
    <x v="1"/>
    <x v="6"/>
    <x v="3"/>
    <s v="Chicken Pizza"/>
    <x v="1"/>
    <n v="1"/>
    <n v="175"/>
    <n v="17.5"/>
    <n v="20"/>
    <n v="175"/>
    <n v="177.5"/>
    <x v="2"/>
    <x v="0"/>
    <x v="1"/>
    <n v="46"/>
    <n v="3.7"/>
  </r>
  <r>
    <x v="2093"/>
    <x v="151"/>
    <x v="5"/>
    <n v="6"/>
    <n v="1"/>
    <s v="Sunday"/>
    <x v="1"/>
    <x v="13"/>
    <x v="8"/>
    <s v="Paneer Butter Masala"/>
    <x v="2"/>
    <n v="1"/>
    <n v="752"/>
    <n v="75.2"/>
    <n v="0"/>
    <n v="752"/>
    <n v="676.8"/>
    <x v="1"/>
    <x v="0"/>
    <x v="1"/>
    <n v="67"/>
    <n v="4.9000000000000004"/>
  </r>
  <r>
    <x v="2094"/>
    <x v="151"/>
    <x v="5"/>
    <n v="6"/>
    <n v="1"/>
    <s v="Sunday"/>
    <x v="3"/>
    <x v="11"/>
    <x v="1"/>
    <s v="Veg Burger"/>
    <x v="1"/>
    <n v="2"/>
    <n v="589"/>
    <n v="0"/>
    <n v="0"/>
    <n v="1178"/>
    <n v="1178"/>
    <x v="1"/>
    <x v="0"/>
    <x v="0"/>
    <n v="65"/>
    <n v="4.8"/>
  </r>
  <r>
    <x v="2095"/>
    <x v="151"/>
    <x v="5"/>
    <n v="6"/>
    <n v="1"/>
    <s v="Sunday"/>
    <x v="9"/>
    <x v="13"/>
    <x v="5"/>
    <s v="Pasta"/>
    <x v="1"/>
    <n v="1"/>
    <n v="809"/>
    <n v="40.450000000000003"/>
    <n v="40"/>
    <n v="809"/>
    <n v="808.55"/>
    <x v="1"/>
    <x v="1"/>
    <x v="1"/>
    <n v="24"/>
    <m/>
  </r>
  <r>
    <x v="2096"/>
    <x v="151"/>
    <x v="5"/>
    <n v="6"/>
    <n v="1"/>
    <s v="Sunday"/>
    <x v="5"/>
    <x v="5"/>
    <x v="9"/>
    <s v="Chicken Burger"/>
    <x v="1"/>
    <n v="1"/>
    <n v="545"/>
    <n v="54.5"/>
    <n v="30"/>
    <n v="545"/>
    <n v="520.5"/>
    <x v="4"/>
    <x v="0"/>
    <x v="1"/>
    <n v="58"/>
    <n v="3.6"/>
  </r>
  <r>
    <x v="2097"/>
    <x v="151"/>
    <x v="5"/>
    <n v="6"/>
    <n v="1"/>
    <s v="Sunday"/>
    <x v="4"/>
    <x v="11"/>
    <x v="1"/>
    <s v="Paneer Butter Masala"/>
    <x v="1"/>
    <n v="1"/>
    <n v="447"/>
    <n v="0"/>
    <n v="0"/>
    <n v="447"/>
    <n v="447"/>
    <x v="2"/>
    <x v="2"/>
    <x v="1"/>
    <n v="26"/>
    <m/>
  </r>
  <r>
    <x v="2098"/>
    <x v="151"/>
    <x v="5"/>
    <n v="6"/>
    <n v="1"/>
    <s v="Sunday"/>
    <x v="3"/>
    <x v="5"/>
    <x v="1"/>
    <s v="Idli Sambar"/>
    <x v="1"/>
    <n v="1"/>
    <n v="618"/>
    <n v="30.9"/>
    <n v="20"/>
    <n v="618"/>
    <n v="607.1"/>
    <x v="4"/>
    <x v="0"/>
    <x v="1"/>
    <n v="19"/>
    <n v="4.3"/>
  </r>
  <r>
    <x v="2099"/>
    <x v="151"/>
    <x v="5"/>
    <n v="6"/>
    <n v="1"/>
    <s v="Sunday"/>
    <x v="3"/>
    <x v="12"/>
    <x v="2"/>
    <s v="Veg Biryani"/>
    <x v="2"/>
    <n v="2"/>
    <n v="309"/>
    <n v="30.9"/>
    <n v="20"/>
    <n v="618"/>
    <n v="607.1"/>
    <x v="3"/>
    <x v="0"/>
    <x v="1"/>
    <n v="58"/>
    <n v="4"/>
  </r>
  <r>
    <x v="2100"/>
    <x v="151"/>
    <x v="5"/>
    <n v="6"/>
    <n v="1"/>
    <s v="Sunday"/>
    <x v="3"/>
    <x v="7"/>
    <x v="9"/>
    <s v="Pasta"/>
    <x v="1"/>
    <n v="1"/>
    <n v="152"/>
    <n v="38"/>
    <n v="40"/>
    <n v="152"/>
    <n v="154"/>
    <x v="1"/>
    <x v="0"/>
    <x v="0"/>
    <n v="46"/>
    <n v="4.5"/>
  </r>
  <r>
    <x v="2101"/>
    <x v="151"/>
    <x v="5"/>
    <n v="6"/>
    <n v="1"/>
    <s v="Sunday"/>
    <x v="4"/>
    <x v="6"/>
    <x v="6"/>
    <s v="French Fries"/>
    <x v="1"/>
    <n v="2"/>
    <n v="252"/>
    <n v="50.4"/>
    <n v="60"/>
    <n v="504"/>
    <n v="513.6"/>
    <x v="2"/>
    <x v="0"/>
    <x v="1"/>
    <n v="67"/>
    <n v="4.0999999999999996"/>
  </r>
  <r>
    <x v="2102"/>
    <x v="151"/>
    <x v="5"/>
    <n v="6"/>
    <n v="1"/>
    <s v="Sunday"/>
    <x v="3"/>
    <x v="6"/>
    <x v="7"/>
    <s v="Chicken Momos"/>
    <x v="1"/>
    <n v="1"/>
    <n v="365"/>
    <n v="36.5"/>
    <n v="40"/>
    <n v="365"/>
    <n v="368.5"/>
    <x v="0"/>
    <x v="0"/>
    <x v="1"/>
    <n v="31"/>
    <n v="3.4"/>
  </r>
  <r>
    <x v="2103"/>
    <x v="151"/>
    <x v="5"/>
    <n v="6"/>
    <n v="1"/>
    <s v="Sunday"/>
    <x v="9"/>
    <x v="3"/>
    <x v="1"/>
    <s v="French Fries"/>
    <x v="1"/>
    <n v="1"/>
    <n v="844"/>
    <n v="84.4"/>
    <n v="50"/>
    <n v="844"/>
    <n v="809.6"/>
    <x v="1"/>
    <x v="0"/>
    <x v="1"/>
    <n v="22"/>
    <n v="3.1"/>
  </r>
  <r>
    <x v="2104"/>
    <x v="151"/>
    <x v="5"/>
    <n v="6"/>
    <n v="1"/>
    <s v="Sunday"/>
    <x v="5"/>
    <x v="1"/>
    <x v="7"/>
    <s v="Chicken Biryani"/>
    <x v="2"/>
    <n v="1"/>
    <n v="151"/>
    <n v="30.2"/>
    <n v="0"/>
    <n v="151"/>
    <n v="120.8"/>
    <x v="1"/>
    <x v="0"/>
    <x v="1"/>
    <n v="50"/>
    <n v="4.5999999999999996"/>
  </r>
  <r>
    <x v="2105"/>
    <x v="151"/>
    <x v="5"/>
    <n v="6"/>
    <n v="1"/>
    <s v="Sunday"/>
    <x v="9"/>
    <x v="1"/>
    <x v="2"/>
    <s v="Veg Pizza"/>
    <x v="1"/>
    <n v="1"/>
    <n v="848"/>
    <n v="84.8"/>
    <n v="50"/>
    <n v="848"/>
    <n v="813.2"/>
    <x v="2"/>
    <x v="0"/>
    <x v="1"/>
    <n v="21"/>
    <n v="4.5999999999999996"/>
  </r>
  <r>
    <x v="2106"/>
    <x v="151"/>
    <x v="5"/>
    <n v="6"/>
    <n v="1"/>
    <s v="Sunday"/>
    <x v="5"/>
    <x v="8"/>
    <x v="5"/>
    <s v="Paneer Butter Masala"/>
    <x v="1"/>
    <n v="2"/>
    <n v="694"/>
    <n v="173.5"/>
    <n v="50"/>
    <n v="1388"/>
    <n v="1264.5"/>
    <x v="3"/>
    <x v="0"/>
    <x v="1"/>
    <n v="37"/>
    <n v="4.0999999999999996"/>
  </r>
  <r>
    <x v="2107"/>
    <x v="151"/>
    <x v="5"/>
    <n v="6"/>
    <n v="1"/>
    <s v="Sunday"/>
    <x v="5"/>
    <x v="10"/>
    <x v="4"/>
    <s v="Masala Dosa"/>
    <x v="1"/>
    <n v="3"/>
    <n v="609"/>
    <n v="121.8"/>
    <n v="60"/>
    <n v="1827"/>
    <n v="1765.2"/>
    <x v="1"/>
    <x v="0"/>
    <x v="1"/>
    <n v="41"/>
    <n v="5"/>
  </r>
  <r>
    <x v="2108"/>
    <x v="151"/>
    <x v="5"/>
    <n v="6"/>
    <n v="1"/>
    <s v="Sunday"/>
    <x v="5"/>
    <x v="2"/>
    <x v="1"/>
    <s v="Masala Dosa"/>
    <x v="1"/>
    <n v="1"/>
    <n v="454"/>
    <n v="90.8"/>
    <n v="30"/>
    <n v="454"/>
    <n v="393.2"/>
    <x v="1"/>
    <x v="0"/>
    <x v="0"/>
    <n v="69"/>
    <n v="3.1"/>
  </r>
  <r>
    <x v="2109"/>
    <x v="152"/>
    <x v="5"/>
    <n v="6"/>
    <n v="2"/>
    <s v="Monday"/>
    <x v="5"/>
    <x v="9"/>
    <x v="6"/>
    <s v="Chicken Burger"/>
    <x v="1"/>
    <n v="3"/>
    <n v="357"/>
    <n v="0"/>
    <n v="50"/>
    <n v="1071"/>
    <n v="1121"/>
    <x v="2"/>
    <x v="0"/>
    <x v="1"/>
    <n v="24"/>
    <n v="4.5999999999999996"/>
  </r>
  <r>
    <x v="2110"/>
    <x v="152"/>
    <x v="5"/>
    <n v="6"/>
    <n v="2"/>
    <s v="Monday"/>
    <x v="3"/>
    <x v="1"/>
    <x v="9"/>
    <s v="Idli Sambar"/>
    <x v="1"/>
    <n v="1"/>
    <n v="367"/>
    <n v="91.75"/>
    <n v="20"/>
    <n v="367"/>
    <n v="295.25"/>
    <x v="1"/>
    <x v="2"/>
    <x v="0"/>
    <n v="45"/>
    <m/>
  </r>
  <r>
    <x v="2111"/>
    <x v="152"/>
    <x v="5"/>
    <n v="6"/>
    <n v="2"/>
    <s v="Monday"/>
    <x v="5"/>
    <x v="3"/>
    <x v="3"/>
    <s v="Chocolate Cake"/>
    <x v="1"/>
    <n v="1"/>
    <n v="672"/>
    <n v="134.4"/>
    <n v="50"/>
    <n v="672"/>
    <n v="587.6"/>
    <x v="1"/>
    <x v="0"/>
    <x v="1"/>
    <n v="39"/>
    <n v="3.4"/>
  </r>
  <r>
    <x v="2112"/>
    <x v="152"/>
    <x v="5"/>
    <n v="6"/>
    <n v="2"/>
    <s v="Monday"/>
    <x v="3"/>
    <x v="1"/>
    <x v="3"/>
    <s v="Cold Coffee"/>
    <x v="1"/>
    <n v="3"/>
    <n v="386"/>
    <n v="77.2"/>
    <n v="30"/>
    <n v="1158"/>
    <n v="1110.8"/>
    <x v="4"/>
    <x v="0"/>
    <x v="0"/>
    <n v="41"/>
    <n v="5"/>
  </r>
  <r>
    <x v="2113"/>
    <x v="152"/>
    <x v="5"/>
    <n v="6"/>
    <n v="2"/>
    <s v="Monday"/>
    <x v="6"/>
    <x v="7"/>
    <x v="6"/>
    <s v="Fried Rice"/>
    <x v="1"/>
    <n v="1"/>
    <n v="289"/>
    <n v="28.9"/>
    <n v="20"/>
    <n v="289"/>
    <n v="280.10000000000002"/>
    <x v="3"/>
    <x v="0"/>
    <x v="0"/>
    <n v="69"/>
    <n v="3.4"/>
  </r>
  <r>
    <x v="2114"/>
    <x v="152"/>
    <x v="5"/>
    <n v="6"/>
    <n v="2"/>
    <s v="Monday"/>
    <x v="1"/>
    <x v="13"/>
    <x v="0"/>
    <s v="Chicken Biryani"/>
    <x v="1"/>
    <n v="2"/>
    <n v="279"/>
    <n v="0"/>
    <n v="0"/>
    <n v="558"/>
    <n v="558"/>
    <x v="1"/>
    <x v="0"/>
    <x v="1"/>
    <n v="35"/>
    <n v="4.5"/>
  </r>
  <r>
    <x v="2115"/>
    <x v="152"/>
    <x v="5"/>
    <n v="6"/>
    <n v="2"/>
    <s v="Monday"/>
    <x v="5"/>
    <x v="11"/>
    <x v="7"/>
    <s v="Veg Pizza"/>
    <x v="1"/>
    <n v="2"/>
    <n v="467"/>
    <n v="70.05"/>
    <n v="0"/>
    <n v="934"/>
    <n v="863.95"/>
    <x v="1"/>
    <x v="0"/>
    <x v="1"/>
    <n v="49"/>
    <n v="3.2"/>
  </r>
  <r>
    <x v="2116"/>
    <x v="152"/>
    <x v="5"/>
    <n v="6"/>
    <n v="2"/>
    <s v="Monday"/>
    <x v="9"/>
    <x v="5"/>
    <x v="6"/>
    <s v="Cold Coffee"/>
    <x v="2"/>
    <n v="3"/>
    <n v="808"/>
    <n v="202"/>
    <n v="30"/>
    <n v="2424"/>
    <n v="2252"/>
    <x v="1"/>
    <x v="0"/>
    <x v="0"/>
    <n v="23"/>
    <n v="3.6"/>
  </r>
  <r>
    <x v="2117"/>
    <x v="152"/>
    <x v="5"/>
    <n v="6"/>
    <n v="2"/>
    <s v="Monday"/>
    <x v="0"/>
    <x v="12"/>
    <x v="0"/>
    <s v="Pasta"/>
    <x v="1"/>
    <n v="2"/>
    <n v="872"/>
    <n v="218"/>
    <n v="60"/>
    <n v="1744"/>
    <n v="1586"/>
    <x v="0"/>
    <x v="3"/>
    <x v="1"/>
    <n v="52"/>
    <m/>
  </r>
  <r>
    <x v="2118"/>
    <x v="152"/>
    <x v="5"/>
    <n v="6"/>
    <n v="2"/>
    <s v="Monday"/>
    <x v="5"/>
    <x v="0"/>
    <x v="2"/>
    <s v="Masala Dosa"/>
    <x v="1"/>
    <n v="2"/>
    <n v="610"/>
    <n v="152.5"/>
    <n v="50"/>
    <n v="1220"/>
    <n v="1117.5"/>
    <x v="1"/>
    <x v="0"/>
    <x v="0"/>
    <n v="41"/>
    <n v="5"/>
  </r>
  <r>
    <x v="2119"/>
    <x v="152"/>
    <x v="5"/>
    <n v="6"/>
    <n v="2"/>
    <s v="Monday"/>
    <x v="8"/>
    <x v="10"/>
    <x v="3"/>
    <s v="Idli Sambar"/>
    <x v="3"/>
    <n v="3"/>
    <n v="362"/>
    <n v="0"/>
    <n v="30"/>
    <n v="1086"/>
    <n v="1116"/>
    <x v="2"/>
    <x v="0"/>
    <x v="1"/>
    <n v="28"/>
    <n v="3.3"/>
  </r>
  <r>
    <x v="2120"/>
    <x v="152"/>
    <x v="5"/>
    <n v="6"/>
    <n v="2"/>
    <s v="Monday"/>
    <x v="1"/>
    <x v="6"/>
    <x v="0"/>
    <s v="Veg Momos"/>
    <x v="1"/>
    <n v="2"/>
    <n v="184"/>
    <n v="9.1999999999999993"/>
    <n v="50"/>
    <n v="368"/>
    <n v="408.8"/>
    <x v="3"/>
    <x v="0"/>
    <x v="1"/>
    <n v="64"/>
    <n v="4.7"/>
  </r>
  <r>
    <x v="2121"/>
    <x v="152"/>
    <x v="5"/>
    <n v="6"/>
    <n v="2"/>
    <s v="Monday"/>
    <x v="6"/>
    <x v="14"/>
    <x v="1"/>
    <s v="Pasta"/>
    <x v="1"/>
    <n v="1"/>
    <n v="441"/>
    <n v="110.25"/>
    <n v="20"/>
    <n v="441"/>
    <n v="350.75"/>
    <x v="1"/>
    <x v="0"/>
    <x v="1"/>
    <n v="26"/>
    <n v="3.8"/>
  </r>
  <r>
    <x v="2122"/>
    <x v="152"/>
    <x v="5"/>
    <n v="6"/>
    <n v="2"/>
    <s v="Monday"/>
    <x v="4"/>
    <x v="14"/>
    <x v="7"/>
    <s v="Chicken Biryani"/>
    <x v="1"/>
    <n v="1"/>
    <n v="165"/>
    <n v="41.25"/>
    <n v="40"/>
    <n v="165"/>
    <n v="163.75"/>
    <x v="0"/>
    <x v="0"/>
    <x v="1"/>
    <n v="62"/>
    <n v="3.7"/>
  </r>
  <r>
    <x v="2123"/>
    <x v="152"/>
    <x v="5"/>
    <n v="6"/>
    <n v="2"/>
    <s v="Monday"/>
    <x v="1"/>
    <x v="12"/>
    <x v="4"/>
    <s v="Idli Sambar"/>
    <x v="1"/>
    <n v="1"/>
    <n v="745"/>
    <n v="74.5"/>
    <n v="60"/>
    <n v="745"/>
    <n v="730.5"/>
    <x v="3"/>
    <x v="2"/>
    <x v="1"/>
    <n v="42"/>
    <m/>
  </r>
  <r>
    <x v="2124"/>
    <x v="152"/>
    <x v="5"/>
    <n v="6"/>
    <n v="2"/>
    <s v="Monday"/>
    <x v="9"/>
    <x v="2"/>
    <x v="4"/>
    <s v="Masala Dosa"/>
    <x v="3"/>
    <n v="1"/>
    <n v="432"/>
    <n v="86.4"/>
    <n v="60"/>
    <n v="432"/>
    <n v="405.6"/>
    <x v="3"/>
    <x v="0"/>
    <x v="1"/>
    <n v="34"/>
    <n v="3.7"/>
  </r>
  <r>
    <x v="2125"/>
    <x v="153"/>
    <x v="5"/>
    <n v="6"/>
    <n v="3"/>
    <s v="Tuesday"/>
    <x v="5"/>
    <x v="1"/>
    <x v="6"/>
    <s v="Chicken Burger"/>
    <x v="1"/>
    <n v="1"/>
    <n v="816"/>
    <n v="81.599999999999994"/>
    <n v="0"/>
    <n v="816"/>
    <n v="734.4"/>
    <x v="2"/>
    <x v="0"/>
    <x v="1"/>
    <n v="31"/>
    <n v="3.9"/>
  </r>
  <r>
    <x v="2126"/>
    <x v="153"/>
    <x v="5"/>
    <n v="6"/>
    <n v="3"/>
    <s v="Tuesday"/>
    <x v="4"/>
    <x v="10"/>
    <x v="6"/>
    <s v="Chicken Momos"/>
    <x v="2"/>
    <n v="2"/>
    <n v="358"/>
    <n v="71.599999999999994"/>
    <n v="40"/>
    <n v="716"/>
    <n v="684.4"/>
    <x v="2"/>
    <x v="0"/>
    <x v="1"/>
    <n v="53"/>
    <n v="4.5"/>
  </r>
  <r>
    <x v="2127"/>
    <x v="153"/>
    <x v="5"/>
    <n v="6"/>
    <n v="3"/>
    <s v="Tuesday"/>
    <x v="5"/>
    <x v="10"/>
    <x v="7"/>
    <s v="Chicken Momos"/>
    <x v="1"/>
    <n v="2"/>
    <n v="437"/>
    <n v="65.55"/>
    <n v="60"/>
    <n v="874"/>
    <n v="868.45"/>
    <x v="2"/>
    <x v="0"/>
    <x v="1"/>
    <n v="47"/>
    <n v="4.3"/>
  </r>
  <r>
    <x v="2128"/>
    <x v="153"/>
    <x v="5"/>
    <n v="6"/>
    <n v="3"/>
    <s v="Tuesday"/>
    <x v="3"/>
    <x v="4"/>
    <x v="7"/>
    <s v="Idli Sambar"/>
    <x v="1"/>
    <n v="2"/>
    <n v="215"/>
    <n v="53.75"/>
    <n v="50"/>
    <n v="430"/>
    <n v="426.25"/>
    <x v="2"/>
    <x v="0"/>
    <x v="1"/>
    <n v="67"/>
    <n v="3.6"/>
  </r>
  <r>
    <x v="2129"/>
    <x v="153"/>
    <x v="5"/>
    <n v="6"/>
    <n v="3"/>
    <s v="Tuesday"/>
    <x v="7"/>
    <x v="4"/>
    <x v="1"/>
    <s v="Paneer Butter Masala"/>
    <x v="1"/>
    <n v="1"/>
    <n v="661"/>
    <n v="132.19999999999999"/>
    <n v="40"/>
    <n v="661"/>
    <n v="568.79999999999995"/>
    <x v="1"/>
    <x v="0"/>
    <x v="0"/>
    <n v="60"/>
    <n v="3.2"/>
  </r>
  <r>
    <x v="2130"/>
    <x v="153"/>
    <x v="5"/>
    <n v="6"/>
    <n v="3"/>
    <s v="Tuesday"/>
    <x v="5"/>
    <x v="13"/>
    <x v="5"/>
    <s v="Idli Sambar"/>
    <x v="2"/>
    <n v="1"/>
    <n v="363"/>
    <n v="36.299999999999997"/>
    <n v="60"/>
    <n v="363"/>
    <n v="386.7"/>
    <x v="2"/>
    <x v="0"/>
    <x v="0"/>
    <n v="44"/>
    <n v="3.6"/>
  </r>
  <r>
    <x v="2131"/>
    <x v="153"/>
    <x v="5"/>
    <n v="6"/>
    <n v="3"/>
    <s v="Tuesday"/>
    <x v="9"/>
    <x v="12"/>
    <x v="8"/>
    <s v="Chicken Momos"/>
    <x v="1"/>
    <n v="1"/>
    <n v="718"/>
    <n v="143.6"/>
    <n v="50"/>
    <n v="718"/>
    <n v="624.4"/>
    <x v="0"/>
    <x v="0"/>
    <x v="0"/>
    <n v="40"/>
    <n v="4.5999999999999996"/>
  </r>
  <r>
    <x v="2132"/>
    <x v="153"/>
    <x v="5"/>
    <n v="6"/>
    <n v="3"/>
    <s v="Tuesday"/>
    <x v="1"/>
    <x v="11"/>
    <x v="1"/>
    <s v="Fried Rice"/>
    <x v="1"/>
    <n v="2"/>
    <n v="736"/>
    <n v="36.799999999999997"/>
    <n v="20"/>
    <n v="1472"/>
    <n v="1455.2"/>
    <x v="2"/>
    <x v="0"/>
    <x v="1"/>
    <n v="31"/>
    <n v="3.2"/>
  </r>
  <r>
    <x v="2133"/>
    <x v="153"/>
    <x v="5"/>
    <n v="6"/>
    <n v="3"/>
    <s v="Tuesday"/>
    <x v="9"/>
    <x v="14"/>
    <x v="8"/>
    <s v="Chocolate Cake"/>
    <x v="0"/>
    <n v="2"/>
    <n v="190"/>
    <n v="0"/>
    <n v="40"/>
    <n v="380"/>
    <n v="420"/>
    <x v="0"/>
    <x v="0"/>
    <x v="1"/>
    <n v="33"/>
    <n v="3.8"/>
  </r>
  <r>
    <x v="2134"/>
    <x v="153"/>
    <x v="5"/>
    <n v="6"/>
    <n v="3"/>
    <s v="Tuesday"/>
    <x v="8"/>
    <x v="1"/>
    <x v="7"/>
    <s v="Fried Rice"/>
    <x v="1"/>
    <n v="1"/>
    <n v="872"/>
    <n v="43.6"/>
    <n v="20"/>
    <n v="872"/>
    <n v="848.4"/>
    <x v="1"/>
    <x v="0"/>
    <x v="1"/>
    <n v="50"/>
    <n v="5"/>
  </r>
  <r>
    <x v="2135"/>
    <x v="153"/>
    <x v="5"/>
    <n v="6"/>
    <n v="3"/>
    <s v="Tuesday"/>
    <x v="3"/>
    <x v="4"/>
    <x v="8"/>
    <s v="Pasta"/>
    <x v="3"/>
    <n v="2"/>
    <n v="601"/>
    <n v="90.15"/>
    <n v="60"/>
    <n v="1202"/>
    <n v="1171.8499999999999"/>
    <x v="3"/>
    <x v="0"/>
    <x v="0"/>
    <n v="28"/>
    <n v="3.6"/>
  </r>
  <r>
    <x v="2136"/>
    <x v="153"/>
    <x v="5"/>
    <n v="6"/>
    <n v="3"/>
    <s v="Tuesday"/>
    <x v="9"/>
    <x v="10"/>
    <x v="1"/>
    <s v="Idli Sambar"/>
    <x v="1"/>
    <n v="1"/>
    <n v="154"/>
    <n v="15.4"/>
    <n v="20"/>
    <n v="154"/>
    <n v="158.6"/>
    <x v="1"/>
    <x v="0"/>
    <x v="1"/>
    <n v="50"/>
    <n v="4.7"/>
  </r>
  <r>
    <x v="2137"/>
    <x v="153"/>
    <x v="5"/>
    <n v="6"/>
    <n v="3"/>
    <s v="Tuesday"/>
    <x v="0"/>
    <x v="14"/>
    <x v="9"/>
    <s v="Chicken Biryani"/>
    <x v="0"/>
    <n v="1"/>
    <n v="198"/>
    <n v="29.7"/>
    <n v="30"/>
    <n v="198"/>
    <n v="198.3"/>
    <x v="1"/>
    <x v="0"/>
    <x v="1"/>
    <n v="53"/>
    <n v="3.9"/>
  </r>
  <r>
    <x v="2138"/>
    <x v="153"/>
    <x v="5"/>
    <n v="6"/>
    <n v="3"/>
    <s v="Tuesday"/>
    <x v="7"/>
    <x v="0"/>
    <x v="5"/>
    <s v="Paneer Butter Masala"/>
    <x v="1"/>
    <n v="2"/>
    <n v="376"/>
    <n v="0"/>
    <n v="20"/>
    <n v="752"/>
    <n v="772"/>
    <x v="4"/>
    <x v="0"/>
    <x v="1"/>
    <n v="64"/>
    <n v="4.0999999999999996"/>
  </r>
  <r>
    <x v="2139"/>
    <x v="153"/>
    <x v="5"/>
    <n v="6"/>
    <n v="3"/>
    <s v="Tuesday"/>
    <x v="5"/>
    <x v="7"/>
    <x v="3"/>
    <s v="Pasta"/>
    <x v="2"/>
    <n v="1"/>
    <n v="619"/>
    <n v="123.8"/>
    <n v="40"/>
    <n v="619"/>
    <n v="535.20000000000005"/>
    <x v="3"/>
    <x v="0"/>
    <x v="0"/>
    <n v="51"/>
    <n v="3.8"/>
  </r>
  <r>
    <x v="2140"/>
    <x v="153"/>
    <x v="5"/>
    <n v="6"/>
    <n v="3"/>
    <s v="Tuesday"/>
    <x v="0"/>
    <x v="9"/>
    <x v="0"/>
    <s v="Idli Sambar"/>
    <x v="1"/>
    <n v="1"/>
    <n v="516"/>
    <n v="0"/>
    <n v="20"/>
    <n v="516"/>
    <n v="536"/>
    <x v="1"/>
    <x v="0"/>
    <x v="0"/>
    <n v="49"/>
    <n v="3.4"/>
  </r>
  <r>
    <x v="2141"/>
    <x v="153"/>
    <x v="5"/>
    <n v="6"/>
    <n v="3"/>
    <s v="Tuesday"/>
    <x v="0"/>
    <x v="1"/>
    <x v="1"/>
    <s v="Chicken Momos"/>
    <x v="2"/>
    <n v="1"/>
    <n v="275"/>
    <n v="68.75"/>
    <n v="60"/>
    <n v="275"/>
    <n v="266.25"/>
    <x v="1"/>
    <x v="2"/>
    <x v="0"/>
    <n v="22"/>
    <m/>
  </r>
  <r>
    <x v="2142"/>
    <x v="153"/>
    <x v="5"/>
    <n v="6"/>
    <n v="3"/>
    <s v="Tuesday"/>
    <x v="5"/>
    <x v="9"/>
    <x v="9"/>
    <s v="Chocolate Cake"/>
    <x v="1"/>
    <n v="1"/>
    <n v="638"/>
    <n v="63.8"/>
    <n v="0"/>
    <n v="638"/>
    <n v="574.20000000000005"/>
    <x v="1"/>
    <x v="0"/>
    <x v="0"/>
    <n v="53"/>
    <n v="3.7"/>
  </r>
  <r>
    <x v="2143"/>
    <x v="153"/>
    <x v="5"/>
    <n v="6"/>
    <n v="3"/>
    <s v="Tuesday"/>
    <x v="1"/>
    <x v="13"/>
    <x v="9"/>
    <s v="Veg Biryani"/>
    <x v="2"/>
    <n v="2"/>
    <n v="472"/>
    <n v="0"/>
    <n v="0"/>
    <n v="944"/>
    <n v="944"/>
    <x v="1"/>
    <x v="0"/>
    <x v="1"/>
    <n v="64"/>
    <n v="4.4000000000000004"/>
  </r>
  <r>
    <x v="2144"/>
    <x v="153"/>
    <x v="5"/>
    <n v="6"/>
    <n v="3"/>
    <s v="Tuesday"/>
    <x v="3"/>
    <x v="9"/>
    <x v="7"/>
    <s v="Paneer Butter Masala"/>
    <x v="1"/>
    <n v="1"/>
    <n v="893"/>
    <n v="89.3"/>
    <n v="30"/>
    <n v="893"/>
    <n v="833.7"/>
    <x v="2"/>
    <x v="2"/>
    <x v="1"/>
    <n v="53"/>
    <m/>
  </r>
  <r>
    <x v="2145"/>
    <x v="153"/>
    <x v="5"/>
    <n v="6"/>
    <n v="3"/>
    <s v="Tuesday"/>
    <x v="6"/>
    <x v="4"/>
    <x v="0"/>
    <s v="Chicken Momos"/>
    <x v="0"/>
    <n v="3"/>
    <n v="374"/>
    <n v="56.1"/>
    <n v="40"/>
    <n v="1122"/>
    <n v="1105.9000000000001"/>
    <x v="1"/>
    <x v="0"/>
    <x v="0"/>
    <n v="28"/>
    <n v="3.1"/>
  </r>
  <r>
    <x v="2146"/>
    <x v="153"/>
    <x v="5"/>
    <n v="6"/>
    <n v="3"/>
    <s v="Tuesday"/>
    <x v="7"/>
    <x v="7"/>
    <x v="6"/>
    <s v="Cold Coffee"/>
    <x v="0"/>
    <n v="3"/>
    <n v="827"/>
    <n v="165.4"/>
    <n v="40"/>
    <n v="2481"/>
    <n v="2355.6"/>
    <x v="3"/>
    <x v="0"/>
    <x v="1"/>
    <n v="21"/>
    <n v="4.5999999999999996"/>
  </r>
  <r>
    <x v="2147"/>
    <x v="153"/>
    <x v="5"/>
    <n v="6"/>
    <n v="3"/>
    <s v="Tuesday"/>
    <x v="1"/>
    <x v="11"/>
    <x v="9"/>
    <s v="Chicken Pizza"/>
    <x v="1"/>
    <n v="2"/>
    <n v="496"/>
    <n v="0"/>
    <n v="40"/>
    <n v="992"/>
    <n v="1032"/>
    <x v="1"/>
    <x v="0"/>
    <x v="1"/>
    <n v="40"/>
    <n v="3.3"/>
  </r>
  <r>
    <x v="2148"/>
    <x v="153"/>
    <x v="5"/>
    <n v="6"/>
    <n v="3"/>
    <s v="Tuesday"/>
    <x v="6"/>
    <x v="8"/>
    <x v="6"/>
    <s v="Pasta"/>
    <x v="1"/>
    <n v="1"/>
    <n v="382"/>
    <n v="38.200000000000003"/>
    <n v="20"/>
    <n v="382"/>
    <n v="363.8"/>
    <x v="0"/>
    <x v="0"/>
    <x v="0"/>
    <n v="49"/>
    <n v="2.9"/>
  </r>
  <r>
    <x v="2149"/>
    <x v="154"/>
    <x v="5"/>
    <n v="6"/>
    <n v="4"/>
    <s v="Wednesday"/>
    <x v="2"/>
    <x v="0"/>
    <x v="6"/>
    <s v="Fried Rice"/>
    <x v="1"/>
    <n v="2"/>
    <n v="687"/>
    <n v="103.05"/>
    <n v="30"/>
    <n v="1374"/>
    <n v="1300.95"/>
    <x v="2"/>
    <x v="0"/>
    <x v="1"/>
    <n v="58"/>
    <n v="4.0999999999999996"/>
  </r>
  <r>
    <x v="2150"/>
    <x v="154"/>
    <x v="5"/>
    <n v="6"/>
    <n v="4"/>
    <s v="Wednesday"/>
    <x v="3"/>
    <x v="13"/>
    <x v="2"/>
    <s v="Masala Dosa"/>
    <x v="0"/>
    <n v="1"/>
    <n v="658"/>
    <n v="164.5"/>
    <n v="30"/>
    <n v="658"/>
    <n v="523.5"/>
    <x v="1"/>
    <x v="0"/>
    <x v="1"/>
    <n v="37"/>
    <n v="4.5999999999999996"/>
  </r>
  <r>
    <x v="2151"/>
    <x v="154"/>
    <x v="5"/>
    <n v="6"/>
    <n v="4"/>
    <s v="Wednesday"/>
    <x v="3"/>
    <x v="5"/>
    <x v="7"/>
    <s v="Chicken Pizza"/>
    <x v="1"/>
    <n v="1"/>
    <n v="761"/>
    <n v="152.19999999999999"/>
    <n v="60"/>
    <n v="761"/>
    <n v="668.8"/>
    <x v="1"/>
    <x v="0"/>
    <x v="0"/>
    <n v="26"/>
    <n v="3.8"/>
  </r>
  <r>
    <x v="2152"/>
    <x v="154"/>
    <x v="5"/>
    <n v="6"/>
    <n v="4"/>
    <s v="Wednesday"/>
    <x v="0"/>
    <x v="0"/>
    <x v="1"/>
    <s v="Cold Coffee"/>
    <x v="1"/>
    <n v="1"/>
    <n v="286"/>
    <n v="28.6"/>
    <n v="20"/>
    <n v="286"/>
    <n v="277.39999999999998"/>
    <x v="3"/>
    <x v="0"/>
    <x v="1"/>
    <n v="67"/>
    <n v="4.9000000000000004"/>
  </r>
  <r>
    <x v="2153"/>
    <x v="154"/>
    <x v="5"/>
    <n v="6"/>
    <n v="4"/>
    <s v="Wednesday"/>
    <x v="0"/>
    <x v="5"/>
    <x v="0"/>
    <s v="Masala Dosa"/>
    <x v="2"/>
    <n v="2"/>
    <n v="837"/>
    <n v="0"/>
    <n v="50"/>
    <n v="1674"/>
    <n v="1724"/>
    <x v="2"/>
    <x v="0"/>
    <x v="0"/>
    <n v="61"/>
    <n v="3.8"/>
  </r>
  <r>
    <x v="2154"/>
    <x v="154"/>
    <x v="5"/>
    <n v="6"/>
    <n v="4"/>
    <s v="Wednesday"/>
    <x v="7"/>
    <x v="0"/>
    <x v="8"/>
    <s v="Chicken Pizza"/>
    <x v="1"/>
    <n v="1"/>
    <n v="545"/>
    <n v="81.75"/>
    <n v="40"/>
    <n v="545"/>
    <n v="503.25"/>
    <x v="0"/>
    <x v="2"/>
    <x v="0"/>
    <n v="69"/>
    <m/>
  </r>
  <r>
    <x v="2155"/>
    <x v="154"/>
    <x v="5"/>
    <n v="6"/>
    <n v="4"/>
    <s v="Wednesday"/>
    <x v="1"/>
    <x v="3"/>
    <x v="1"/>
    <s v="French Fries"/>
    <x v="1"/>
    <n v="3"/>
    <n v="876"/>
    <n v="87.6"/>
    <n v="30"/>
    <n v="2628"/>
    <n v="2570.4"/>
    <x v="3"/>
    <x v="0"/>
    <x v="0"/>
    <n v="68"/>
    <n v="3.5"/>
  </r>
  <r>
    <x v="2156"/>
    <x v="154"/>
    <x v="5"/>
    <n v="6"/>
    <n v="4"/>
    <s v="Wednesday"/>
    <x v="3"/>
    <x v="10"/>
    <x v="7"/>
    <s v="French Fries"/>
    <x v="1"/>
    <n v="2"/>
    <n v="860"/>
    <n v="0"/>
    <n v="30"/>
    <n v="1720"/>
    <n v="1750"/>
    <x v="0"/>
    <x v="0"/>
    <x v="1"/>
    <n v="70"/>
    <n v="4.0999999999999996"/>
  </r>
  <r>
    <x v="2157"/>
    <x v="154"/>
    <x v="5"/>
    <n v="6"/>
    <n v="4"/>
    <s v="Wednesday"/>
    <x v="1"/>
    <x v="10"/>
    <x v="3"/>
    <s v="Chicken Biryani"/>
    <x v="1"/>
    <n v="3"/>
    <n v="896"/>
    <n v="224"/>
    <n v="40"/>
    <n v="2688"/>
    <n v="2504"/>
    <x v="1"/>
    <x v="0"/>
    <x v="0"/>
    <n v="45"/>
    <n v="5"/>
  </r>
  <r>
    <x v="2158"/>
    <x v="154"/>
    <x v="5"/>
    <n v="6"/>
    <n v="4"/>
    <s v="Wednesday"/>
    <x v="9"/>
    <x v="9"/>
    <x v="6"/>
    <s v="Idli Sambar"/>
    <x v="1"/>
    <n v="2"/>
    <n v="266"/>
    <n v="26.6"/>
    <n v="0"/>
    <n v="532"/>
    <n v="505.4"/>
    <x v="1"/>
    <x v="0"/>
    <x v="1"/>
    <n v="50"/>
    <n v="3.6"/>
  </r>
  <r>
    <x v="2159"/>
    <x v="154"/>
    <x v="5"/>
    <n v="6"/>
    <n v="4"/>
    <s v="Wednesday"/>
    <x v="7"/>
    <x v="1"/>
    <x v="0"/>
    <s v="Cold Coffee"/>
    <x v="1"/>
    <n v="2"/>
    <n v="892"/>
    <n v="0"/>
    <n v="40"/>
    <n v="1784"/>
    <n v="1824"/>
    <x v="2"/>
    <x v="0"/>
    <x v="1"/>
    <n v="55"/>
    <n v="4.4000000000000004"/>
  </r>
  <r>
    <x v="2160"/>
    <x v="155"/>
    <x v="5"/>
    <n v="6"/>
    <n v="5"/>
    <s v="Thursday"/>
    <x v="5"/>
    <x v="7"/>
    <x v="3"/>
    <s v="Chicken Burger"/>
    <x v="1"/>
    <n v="3"/>
    <n v="817"/>
    <n v="0"/>
    <n v="40"/>
    <n v="2451"/>
    <n v="2491"/>
    <x v="1"/>
    <x v="0"/>
    <x v="1"/>
    <n v="23"/>
    <n v="3.1"/>
  </r>
  <r>
    <x v="2161"/>
    <x v="155"/>
    <x v="5"/>
    <n v="6"/>
    <n v="5"/>
    <s v="Thursday"/>
    <x v="2"/>
    <x v="6"/>
    <x v="3"/>
    <s v="Chicken Burger"/>
    <x v="1"/>
    <n v="2"/>
    <n v="334"/>
    <n v="33.4"/>
    <n v="60"/>
    <n v="668"/>
    <n v="694.6"/>
    <x v="1"/>
    <x v="0"/>
    <x v="0"/>
    <n v="23"/>
    <n v="5"/>
  </r>
  <r>
    <x v="2162"/>
    <x v="155"/>
    <x v="5"/>
    <n v="6"/>
    <n v="5"/>
    <s v="Thursday"/>
    <x v="3"/>
    <x v="3"/>
    <x v="2"/>
    <s v="Chicken Biryani"/>
    <x v="3"/>
    <n v="1"/>
    <n v="681"/>
    <n v="102.15"/>
    <n v="60"/>
    <n v="681"/>
    <n v="638.85"/>
    <x v="1"/>
    <x v="0"/>
    <x v="1"/>
    <n v="57"/>
    <n v="4.8"/>
  </r>
  <r>
    <x v="2163"/>
    <x v="155"/>
    <x v="5"/>
    <n v="6"/>
    <n v="5"/>
    <s v="Thursday"/>
    <x v="5"/>
    <x v="4"/>
    <x v="9"/>
    <s v="Pasta"/>
    <x v="1"/>
    <n v="3"/>
    <n v="337"/>
    <n v="84.25"/>
    <n v="50"/>
    <n v="1011"/>
    <n v="976.75"/>
    <x v="3"/>
    <x v="2"/>
    <x v="1"/>
    <n v="35"/>
    <m/>
  </r>
  <r>
    <x v="2164"/>
    <x v="155"/>
    <x v="5"/>
    <n v="6"/>
    <n v="5"/>
    <s v="Thursday"/>
    <x v="3"/>
    <x v="6"/>
    <x v="0"/>
    <s v="Veg Momos"/>
    <x v="2"/>
    <n v="1"/>
    <n v="322"/>
    <n v="64.400000000000006"/>
    <n v="60"/>
    <n v="322"/>
    <n v="317.60000000000002"/>
    <x v="1"/>
    <x v="0"/>
    <x v="1"/>
    <n v="67"/>
    <n v="3.7"/>
  </r>
  <r>
    <x v="2165"/>
    <x v="155"/>
    <x v="5"/>
    <n v="6"/>
    <n v="5"/>
    <s v="Thursday"/>
    <x v="0"/>
    <x v="8"/>
    <x v="7"/>
    <s v="Veg Biryani"/>
    <x v="2"/>
    <n v="1"/>
    <n v="442"/>
    <n v="44.2"/>
    <n v="40"/>
    <n v="442"/>
    <n v="437.8"/>
    <x v="3"/>
    <x v="0"/>
    <x v="1"/>
    <n v="23"/>
    <n v="4.2"/>
  </r>
  <r>
    <x v="2166"/>
    <x v="155"/>
    <x v="5"/>
    <n v="6"/>
    <n v="5"/>
    <s v="Thursday"/>
    <x v="6"/>
    <x v="0"/>
    <x v="4"/>
    <s v="Chicken Momos"/>
    <x v="2"/>
    <n v="2"/>
    <n v="267"/>
    <n v="13.35"/>
    <n v="30"/>
    <n v="534"/>
    <n v="550.65"/>
    <x v="2"/>
    <x v="0"/>
    <x v="1"/>
    <n v="39"/>
    <n v="4.2"/>
  </r>
  <r>
    <x v="2167"/>
    <x v="155"/>
    <x v="5"/>
    <n v="6"/>
    <n v="5"/>
    <s v="Thursday"/>
    <x v="4"/>
    <x v="10"/>
    <x v="3"/>
    <s v="Idli Sambar"/>
    <x v="1"/>
    <n v="3"/>
    <n v="363"/>
    <n v="54.45"/>
    <n v="40"/>
    <n v="1089"/>
    <n v="1074.55"/>
    <x v="2"/>
    <x v="0"/>
    <x v="1"/>
    <n v="55"/>
    <n v="4"/>
  </r>
  <r>
    <x v="2168"/>
    <x v="155"/>
    <x v="5"/>
    <n v="6"/>
    <n v="5"/>
    <s v="Thursday"/>
    <x v="3"/>
    <x v="8"/>
    <x v="0"/>
    <s v="Cold Coffee"/>
    <x v="0"/>
    <n v="2"/>
    <n v="526"/>
    <n v="78.900000000000006"/>
    <n v="60"/>
    <n v="1052"/>
    <n v="1033.0999999999999"/>
    <x v="0"/>
    <x v="0"/>
    <x v="0"/>
    <n v="50"/>
    <n v="3.6"/>
  </r>
  <r>
    <x v="2169"/>
    <x v="155"/>
    <x v="5"/>
    <n v="6"/>
    <n v="5"/>
    <s v="Thursday"/>
    <x v="7"/>
    <x v="12"/>
    <x v="1"/>
    <s v="Chocolate Cake"/>
    <x v="1"/>
    <n v="2"/>
    <n v="786"/>
    <n v="196.5"/>
    <n v="0"/>
    <n v="1572"/>
    <n v="1375.5"/>
    <x v="2"/>
    <x v="2"/>
    <x v="1"/>
    <n v="54"/>
    <m/>
  </r>
  <r>
    <x v="2170"/>
    <x v="155"/>
    <x v="5"/>
    <n v="6"/>
    <n v="5"/>
    <s v="Thursday"/>
    <x v="4"/>
    <x v="3"/>
    <x v="6"/>
    <s v="Fried Rice"/>
    <x v="0"/>
    <n v="2"/>
    <n v="690"/>
    <n v="0"/>
    <n v="40"/>
    <n v="1380"/>
    <n v="1420"/>
    <x v="0"/>
    <x v="0"/>
    <x v="1"/>
    <n v="68"/>
    <n v="4.5999999999999996"/>
  </r>
  <r>
    <x v="2171"/>
    <x v="155"/>
    <x v="5"/>
    <n v="6"/>
    <n v="5"/>
    <s v="Thursday"/>
    <x v="0"/>
    <x v="8"/>
    <x v="9"/>
    <s v="Paneer Butter Masala"/>
    <x v="1"/>
    <n v="1"/>
    <n v="353"/>
    <n v="17.649999999999999"/>
    <n v="40"/>
    <n v="353"/>
    <n v="375.35"/>
    <x v="3"/>
    <x v="0"/>
    <x v="1"/>
    <n v="35"/>
    <n v="4.3"/>
  </r>
  <r>
    <x v="2172"/>
    <x v="155"/>
    <x v="5"/>
    <n v="6"/>
    <n v="5"/>
    <s v="Thursday"/>
    <x v="3"/>
    <x v="5"/>
    <x v="7"/>
    <s v="Chocolate Cake"/>
    <x v="1"/>
    <n v="2"/>
    <n v="459"/>
    <n v="45.9"/>
    <n v="50"/>
    <n v="918"/>
    <n v="922.1"/>
    <x v="0"/>
    <x v="0"/>
    <x v="0"/>
    <n v="69"/>
    <n v="3.9"/>
  </r>
  <r>
    <x v="2173"/>
    <x v="155"/>
    <x v="5"/>
    <n v="6"/>
    <n v="5"/>
    <s v="Thursday"/>
    <x v="0"/>
    <x v="2"/>
    <x v="8"/>
    <s v="Fried Rice"/>
    <x v="2"/>
    <n v="1"/>
    <n v="668"/>
    <n v="33.4"/>
    <n v="50"/>
    <n v="668"/>
    <n v="684.6"/>
    <x v="3"/>
    <x v="0"/>
    <x v="1"/>
    <n v="22"/>
    <n v="3.4"/>
  </r>
  <r>
    <x v="2174"/>
    <x v="155"/>
    <x v="5"/>
    <n v="6"/>
    <n v="5"/>
    <s v="Thursday"/>
    <x v="5"/>
    <x v="7"/>
    <x v="8"/>
    <s v="Cold Coffee"/>
    <x v="1"/>
    <n v="1"/>
    <n v="147"/>
    <n v="22.05"/>
    <n v="60"/>
    <n v="147"/>
    <n v="184.95"/>
    <x v="1"/>
    <x v="0"/>
    <x v="0"/>
    <n v="56"/>
    <n v="3.2"/>
  </r>
  <r>
    <x v="2175"/>
    <x v="155"/>
    <x v="5"/>
    <n v="6"/>
    <n v="5"/>
    <s v="Thursday"/>
    <x v="2"/>
    <x v="5"/>
    <x v="6"/>
    <s v="Idli Sambar"/>
    <x v="2"/>
    <n v="2"/>
    <n v="528"/>
    <n v="52.8"/>
    <n v="40"/>
    <n v="1056"/>
    <n v="1043.2"/>
    <x v="2"/>
    <x v="0"/>
    <x v="0"/>
    <n v="67"/>
    <n v="3.5"/>
  </r>
  <r>
    <x v="2176"/>
    <x v="156"/>
    <x v="5"/>
    <n v="6"/>
    <n v="6"/>
    <s v="Friday"/>
    <x v="5"/>
    <x v="4"/>
    <x v="8"/>
    <s v="Veg Biryani"/>
    <x v="2"/>
    <n v="2"/>
    <n v="702"/>
    <n v="70.2"/>
    <n v="0"/>
    <n v="1404"/>
    <n v="1333.8"/>
    <x v="2"/>
    <x v="0"/>
    <x v="1"/>
    <n v="61"/>
    <n v="4.4000000000000004"/>
  </r>
  <r>
    <x v="2177"/>
    <x v="156"/>
    <x v="5"/>
    <n v="6"/>
    <n v="6"/>
    <s v="Friday"/>
    <x v="4"/>
    <x v="2"/>
    <x v="8"/>
    <s v="Chocolate Cake"/>
    <x v="0"/>
    <n v="3"/>
    <n v="771"/>
    <n v="115.65"/>
    <n v="30"/>
    <n v="2313"/>
    <n v="2227.35"/>
    <x v="2"/>
    <x v="0"/>
    <x v="0"/>
    <n v="68"/>
    <n v="3.4"/>
  </r>
  <r>
    <x v="2178"/>
    <x v="156"/>
    <x v="5"/>
    <n v="6"/>
    <n v="6"/>
    <s v="Friday"/>
    <x v="0"/>
    <x v="14"/>
    <x v="2"/>
    <s v="French Fries"/>
    <x v="1"/>
    <n v="2"/>
    <n v="618"/>
    <n v="61.8"/>
    <n v="30"/>
    <n v="1236"/>
    <n v="1204.2"/>
    <x v="0"/>
    <x v="0"/>
    <x v="1"/>
    <n v="45"/>
    <n v="3.2"/>
  </r>
  <r>
    <x v="2179"/>
    <x v="156"/>
    <x v="5"/>
    <n v="6"/>
    <n v="6"/>
    <s v="Friday"/>
    <x v="9"/>
    <x v="14"/>
    <x v="1"/>
    <s v="Paneer Butter Masala"/>
    <x v="2"/>
    <n v="1"/>
    <n v="442"/>
    <n v="44.2"/>
    <n v="40"/>
    <n v="442"/>
    <n v="437.8"/>
    <x v="2"/>
    <x v="0"/>
    <x v="1"/>
    <n v="28"/>
    <n v="3.4"/>
  </r>
  <r>
    <x v="2180"/>
    <x v="156"/>
    <x v="5"/>
    <n v="6"/>
    <n v="6"/>
    <s v="Friday"/>
    <x v="5"/>
    <x v="5"/>
    <x v="2"/>
    <s v="Chicken Burger"/>
    <x v="1"/>
    <n v="1"/>
    <n v="770"/>
    <n v="115.5"/>
    <n v="20"/>
    <n v="770"/>
    <n v="674.5"/>
    <x v="2"/>
    <x v="3"/>
    <x v="1"/>
    <n v="46"/>
    <m/>
  </r>
  <r>
    <x v="2181"/>
    <x v="156"/>
    <x v="5"/>
    <n v="6"/>
    <n v="6"/>
    <s v="Friday"/>
    <x v="6"/>
    <x v="1"/>
    <x v="1"/>
    <s v="Chicken Momos"/>
    <x v="2"/>
    <n v="2"/>
    <n v="813"/>
    <n v="0"/>
    <n v="0"/>
    <n v="1626"/>
    <n v="1626"/>
    <x v="0"/>
    <x v="0"/>
    <x v="1"/>
    <n v="24"/>
    <n v="3.7"/>
  </r>
  <r>
    <x v="2182"/>
    <x v="156"/>
    <x v="5"/>
    <n v="6"/>
    <n v="6"/>
    <s v="Friday"/>
    <x v="0"/>
    <x v="6"/>
    <x v="9"/>
    <s v="Veg Pizza"/>
    <x v="2"/>
    <n v="2"/>
    <n v="871"/>
    <n v="0"/>
    <n v="30"/>
    <n v="1742"/>
    <n v="1772"/>
    <x v="4"/>
    <x v="1"/>
    <x v="1"/>
    <n v="40"/>
    <m/>
  </r>
  <r>
    <x v="2183"/>
    <x v="156"/>
    <x v="5"/>
    <n v="6"/>
    <n v="6"/>
    <s v="Friday"/>
    <x v="8"/>
    <x v="12"/>
    <x v="5"/>
    <s v="Veg Momos"/>
    <x v="1"/>
    <n v="1"/>
    <n v="243"/>
    <n v="24.3"/>
    <n v="40"/>
    <n v="243"/>
    <n v="258.7"/>
    <x v="4"/>
    <x v="2"/>
    <x v="0"/>
    <n v="49"/>
    <m/>
  </r>
  <r>
    <x v="2184"/>
    <x v="156"/>
    <x v="5"/>
    <n v="6"/>
    <n v="6"/>
    <s v="Friday"/>
    <x v="5"/>
    <x v="6"/>
    <x v="2"/>
    <s v="French Fries"/>
    <x v="1"/>
    <n v="3"/>
    <n v="462"/>
    <n v="0"/>
    <n v="30"/>
    <n v="1386"/>
    <n v="1416"/>
    <x v="0"/>
    <x v="0"/>
    <x v="0"/>
    <n v="43"/>
    <n v="4.0999999999999996"/>
  </r>
  <r>
    <x v="2185"/>
    <x v="156"/>
    <x v="5"/>
    <n v="6"/>
    <n v="6"/>
    <s v="Friday"/>
    <x v="4"/>
    <x v="0"/>
    <x v="2"/>
    <s v="Chicken Momos"/>
    <x v="1"/>
    <n v="1"/>
    <n v="192"/>
    <n v="48"/>
    <n v="40"/>
    <n v="192"/>
    <n v="184"/>
    <x v="0"/>
    <x v="0"/>
    <x v="1"/>
    <n v="47"/>
    <n v="3.5"/>
  </r>
  <r>
    <x v="2186"/>
    <x v="156"/>
    <x v="5"/>
    <n v="6"/>
    <n v="6"/>
    <s v="Friday"/>
    <x v="4"/>
    <x v="7"/>
    <x v="5"/>
    <s v="Veg Momos"/>
    <x v="1"/>
    <n v="1"/>
    <n v="367"/>
    <n v="18.350000000000001"/>
    <n v="0"/>
    <n v="367"/>
    <n v="348.65"/>
    <x v="4"/>
    <x v="1"/>
    <x v="1"/>
    <n v="51"/>
    <m/>
  </r>
  <r>
    <x v="2187"/>
    <x v="156"/>
    <x v="5"/>
    <n v="6"/>
    <n v="6"/>
    <s v="Friday"/>
    <x v="6"/>
    <x v="9"/>
    <x v="2"/>
    <s v="Veg Biryani"/>
    <x v="3"/>
    <n v="2"/>
    <n v="895"/>
    <n v="89.5"/>
    <n v="30"/>
    <n v="1790"/>
    <n v="1730.5"/>
    <x v="0"/>
    <x v="0"/>
    <x v="0"/>
    <n v="33"/>
    <n v="4.7"/>
  </r>
  <r>
    <x v="2188"/>
    <x v="156"/>
    <x v="5"/>
    <n v="6"/>
    <n v="6"/>
    <s v="Friday"/>
    <x v="5"/>
    <x v="3"/>
    <x v="0"/>
    <s v="Paneer Butter Masala"/>
    <x v="1"/>
    <n v="2"/>
    <n v="185"/>
    <n v="27.75"/>
    <n v="40"/>
    <n v="370"/>
    <n v="382.25"/>
    <x v="4"/>
    <x v="0"/>
    <x v="1"/>
    <n v="21"/>
    <n v="4"/>
  </r>
  <r>
    <x v="2189"/>
    <x v="156"/>
    <x v="5"/>
    <n v="6"/>
    <n v="6"/>
    <s v="Friday"/>
    <x v="3"/>
    <x v="0"/>
    <x v="2"/>
    <s v="Chicken Biryani"/>
    <x v="2"/>
    <n v="1"/>
    <n v="128"/>
    <n v="19.2"/>
    <n v="40"/>
    <n v="128"/>
    <n v="148.80000000000001"/>
    <x v="1"/>
    <x v="0"/>
    <x v="0"/>
    <n v="62"/>
    <n v="3.7"/>
  </r>
  <r>
    <x v="2190"/>
    <x v="157"/>
    <x v="5"/>
    <n v="6"/>
    <n v="7"/>
    <s v="Saturday"/>
    <x v="5"/>
    <x v="4"/>
    <x v="0"/>
    <s v="Chicken Biryani"/>
    <x v="1"/>
    <n v="3"/>
    <n v="604"/>
    <n v="90.6"/>
    <n v="40"/>
    <n v="1812"/>
    <n v="1761.4"/>
    <x v="1"/>
    <x v="2"/>
    <x v="1"/>
    <n v="43"/>
    <m/>
  </r>
  <r>
    <x v="2191"/>
    <x v="157"/>
    <x v="5"/>
    <n v="6"/>
    <n v="7"/>
    <s v="Saturday"/>
    <x v="5"/>
    <x v="14"/>
    <x v="8"/>
    <s v="Fried Rice"/>
    <x v="1"/>
    <n v="3"/>
    <n v="293"/>
    <n v="73.25"/>
    <n v="30"/>
    <n v="879"/>
    <n v="835.75"/>
    <x v="0"/>
    <x v="0"/>
    <x v="0"/>
    <n v="41"/>
    <n v="3.3"/>
  </r>
  <r>
    <x v="2192"/>
    <x v="157"/>
    <x v="5"/>
    <n v="6"/>
    <n v="7"/>
    <s v="Saturday"/>
    <x v="1"/>
    <x v="1"/>
    <x v="8"/>
    <s v="Veg Burger"/>
    <x v="1"/>
    <n v="2"/>
    <n v="395"/>
    <n v="79"/>
    <n v="20"/>
    <n v="790"/>
    <n v="731"/>
    <x v="0"/>
    <x v="0"/>
    <x v="1"/>
    <n v="48"/>
    <n v="4"/>
  </r>
  <r>
    <x v="2193"/>
    <x v="157"/>
    <x v="5"/>
    <n v="6"/>
    <n v="7"/>
    <s v="Saturday"/>
    <x v="0"/>
    <x v="6"/>
    <x v="1"/>
    <s v="Chicken Momos"/>
    <x v="1"/>
    <n v="1"/>
    <n v="870"/>
    <n v="87"/>
    <n v="0"/>
    <n v="870"/>
    <n v="783"/>
    <x v="3"/>
    <x v="0"/>
    <x v="1"/>
    <n v="68"/>
    <n v="3.4"/>
  </r>
  <r>
    <x v="2194"/>
    <x v="157"/>
    <x v="5"/>
    <n v="6"/>
    <n v="7"/>
    <s v="Saturday"/>
    <x v="4"/>
    <x v="14"/>
    <x v="6"/>
    <s v="Pasta"/>
    <x v="2"/>
    <n v="1"/>
    <n v="758"/>
    <n v="113.7"/>
    <n v="40"/>
    <n v="758"/>
    <n v="684.3"/>
    <x v="3"/>
    <x v="0"/>
    <x v="1"/>
    <n v="30"/>
    <n v="3.6"/>
  </r>
  <r>
    <x v="2195"/>
    <x v="157"/>
    <x v="5"/>
    <n v="6"/>
    <n v="7"/>
    <s v="Saturday"/>
    <x v="2"/>
    <x v="12"/>
    <x v="5"/>
    <s v="Idli Sambar"/>
    <x v="1"/>
    <n v="1"/>
    <n v="700"/>
    <n v="35"/>
    <n v="20"/>
    <n v="700"/>
    <n v="685"/>
    <x v="4"/>
    <x v="0"/>
    <x v="1"/>
    <n v="65"/>
    <n v="3.4"/>
  </r>
  <r>
    <x v="2196"/>
    <x v="157"/>
    <x v="5"/>
    <n v="6"/>
    <n v="7"/>
    <s v="Saturday"/>
    <x v="3"/>
    <x v="12"/>
    <x v="3"/>
    <s v="Veg Biryani"/>
    <x v="1"/>
    <n v="2"/>
    <n v="286"/>
    <n v="28.6"/>
    <n v="0"/>
    <n v="572"/>
    <n v="543.4"/>
    <x v="2"/>
    <x v="0"/>
    <x v="1"/>
    <n v="55"/>
    <n v="4.0999999999999996"/>
  </r>
  <r>
    <x v="2197"/>
    <x v="157"/>
    <x v="5"/>
    <n v="6"/>
    <n v="7"/>
    <s v="Saturday"/>
    <x v="5"/>
    <x v="14"/>
    <x v="6"/>
    <s v="Chicken Momos"/>
    <x v="1"/>
    <n v="2"/>
    <n v="333"/>
    <n v="49.95"/>
    <n v="40"/>
    <n v="666"/>
    <n v="656.05"/>
    <x v="1"/>
    <x v="0"/>
    <x v="1"/>
    <n v="42"/>
    <n v="4.5"/>
  </r>
  <r>
    <x v="2198"/>
    <x v="157"/>
    <x v="5"/>
    <n v="6"/>
    <n v="7"/>
    <s v="Saturday"/>
    <x v="6"/>
    <x v="2"/>
    <x v="2"/>
    <s v="Chicken Biryani"/>
    <x v="3"/>
    <n v="3"/>
    <n v="387"/>
    <n v="58.05"/>
    <n v="60"/>
    <n v="1161"/>
    <n v="1162.95"/>
    <x v="4"/>
    <x v="0"/>
    <x v="1"/>
    <n v="43"/>
    <n v="3.8"/>
  </r>
  <r>
    <x v="2199"/>
    <x v="157"/>
    <x v="5"/>
    <n v="6"/>
    <n v="7"/>
    <s v="Saturday"/>
    <x v="3"/>
    <x v="5"/>
    <x v="3"/>
    <s v="Veg Momos"/>
    <x v="1"/>
    <n v="2"/>
    <n v="120"/>
    <n v="12"/>
    <n v="0"/>
    <n v="240"/>
    <n v="228"/>
    <x v="1"/>
    <x v="0"/>
    <x v="0"/>
    <n v="45"/>
    <n v="4.5999999999999996"/>
  </r>
  <r>
    <x v="2200"/>
    <x v="157"/>
    <x v="5"/>
    <n v="6"/>
    <n v="7"/>
    <s v="Saturday"/>
    <x v="7"/>
    <x v="11"/>
    <x v="7"/>
    <s v="Idli Sambar"/>
    <x v="1"/>
    <n v="1"/>
    <n v="166"/>
    <n v="41.5"/>
    <n v="30"/>
    <n v="166"/>
    <n v="154.5"/>
    <x v="4"/>
    <x v="2"/>
    <x v="0"/>
    <n v="49"/>
    <m/>
  </r>
  <r>
    <x v="2201"/>
    <x v="157"/>
    <x v="5"/>
    <n v="6"/>
    <n v="7"/>
    <s v="Saturday"/>
    <x v="1"/>
    <x v="4"/>
    <x v="2"/>
    <s v="Veg Biryani"/>
    <x v="1"/>
    <n v="1"/>
    <n v="669"/>
    <n v="33.450000000000003"/>
    <n v="30"/>
    <n v="669"/>
    <n v="665.55"/>
    <x v="4"/>
    <x v="0"/>
    <x v="0"/>
    <n v="41"/>
    <n v="3.2"/>
  </r>
  <r>
    <x v="2202"/>
    <x v="157"/>
    <x v="5"/>
    <n v="6"/>
    <n v="7"/>
    <s v="Saturday"/>
    <x v="3"/>
    <x v="9"/>
    <x v="8"/>
    <s v="Cold Coffee"/>
    <x v="1"/>
    <n v="1"/>
    <n v="167"/>
    <n v="16.7"/>
    <n v="40"/>
    <n v="167"/>
    <n v="190.3"/>
    <x v="0"/>
    <x v="0"/>
    <x v="1"/>
    <n v="36"/>
    <n v="4"/>
  </r>
  <r>
    <x v="2203"/>
    <x v="157"/>
    <x v="5"/>
    <n v="6"/>
    <n v="7"/>
    <s v="Saturday"/>
    <x v="5"/>
    <x v="4"/>
    <x v="1"/>
    <s v="Idli Sambar"/>
    <x v="1"/>
    <n v="1"/>
    <n v="438"/>
    <n v="21.9"/>
    <n v="40"/>
    <n v="438"/>
    <n v="456.1"/>
    <x v="1"/>
    <x v="0"/>
    <x v="1"/>
    <n v="62"/>
    <n v="4.5999999999999996"/>
  </r>
  <r>
    <x v="2204"/>
    <x v="157"/>
    <x v="5"/>
    <n v="6"/>
    <n v="7"/>
    <s v="Saturday"/>
    <x v="3"/>
    <x v="14"/>
    <x v="2"/>
    <s v="Veg Pizza"/>
    <x v="0"/>
    <n v="2"/>
    <n v="673"/>
    <n v="33.65"/>
    <n v="40"/>
    <n v="1346"/>
    <n v="1352.35"/>
    <x v="1"/>
    <x v="0"/>
    <x v="1"/>
    <n v="62"/>
    <n v="3.9"/>
  </r>
  <r>
    <x v="2205"/>
    <x v="157"/>
    <x v="5"/>
    <n v="6"/>
    <n v="7"/>
    <s v="Saturday"/>
    <x v="0"/>
    <x v="4"/>
    <x v="3"/>
    <s v="Cold Coffee"/>
    <x v="1"/>
    <n v="1"/>
    <n v="361"/>
    <n v="0"/>
    <n v="0"/>
    <n v="361"/>
    <n v="361"/>
    <x v="1"/>
    <x v="0"/>
    <x v="1"/>
    <n v="58"/>
    <n v="4.7"/>
  </r>
  <r>
    <x v="2206"/>
    <x v="158"/>
    <x v="5"/>
    <n v="6"/>
    <n v="8"/>
    <s v="Sunday"/>
    <x v="5"/>
    <x v="5"/>
    <x v="5"/>
    <s v="Pasta"/>
    <x v="1"/>
    <n v="1"/>
    <n v="325"/>
    <n v="0"/>
    <n v="0"/>
    <n v="325"/>
    <n v="325"/>
    <x v="1"/>
    <x v="0"/>
    <x v="1"/>
    <n v="35"/>
    <n v="3.7"/>
  </r>
  <r>
    <x v="2207"/>
    <x v="158"/>
    <x v="5"/>
    <n v="6"/>
    <n v="8"/>
    <s v="Sunday"/>
    <x v="0"/>
    <x v="4"/>
    <x v="1"/>
    <s v="Idli Sambar"/>
    <x v="1"/>
    <n v="1"/>
    <n v="421"/>
    <n v="84.2"/>
    <n v="50"/>
    <n v="421"/>
    <n v="386.8"/>
    <x v="1"/>
    <x v="2"/>
    <x v="0"/>
    <n v="50"/>
    <m/>
  </r>
  <r>
    <x v="2208"/>
    <x v="158"/>
    <x v="5"/>
    <n v="6"/>
    <n v="8"/>
    <s v="Sunday"/>
    <x v="3"/>
    <x v="2"/>
    <x v="4"/>
    <s v="Veg Biryani"/>
    <x v="3"/>
    <n v="2"/>
    <n v="121"/>
    <n v="24.2"/>
    <n v="50"/>
    <n v="242"/>
    <n v="267.8"/>
    <x v="0"/>
    <x v="0"/>
    <x v="1"/>
    <n v="33"/>
    <n v="4.2"/>
  </r>
  <r>
    <x v="2209"/>
    <x v="158"/>
    <x v="5"/>
    <n v="6"/>
    <n v="8"/>
    <s v="Sunday"/>
    <x v="0"/>
    <x v="5"/>
    <x v="9"/>
    <s v="Chocolate Cake"/>
    <x v="3"/>
    <n v="1"/>
    <n v="445"/>
    <n v="66.75"/>
    <n v="0"/>
    <n v="445"/>
    <n v="378.25"/>
    <x v="1"/>
    <x v="1"/>
    <x v="1"/>
    <n v="22"/>
    <m/>
  </r>
  <r>
    <x v="2210"/>
    <x v="158"/>
    <x v="5"/>
    <n v="6"/>
    <n v="8"/>
    <s v="Sunday"/>
    <x v="4"/>
    <x v="1"/>
    <x v="1"/>
    <s v="Veg Momos"/>
    <x v="2"/>
    <n v="1"/>
    <n v="221"/>
    <n v="22.1"/>
    <n v="60"/>
    <n v="221"/>
    <n v="258.89999999999998"/>
    <x v="2"/>
    <x v="0"/>
    <x v="0"/>
    <n v="64"/>
    <n v="4.0999999999999996"/>
  </r>
  <r>
    <x v="2211"/>
    <x v="158"/>
    <x v="5"/>
    <n v="6"/>
    <n v="8"/>
    <s v="Sunday"/>
    <x v="3"/>
    <x v="9"/>
    <x v="0"/>
    <s v="Veg Momos"/>
    <x v="1"/>
    <n v="1"/>
    <n v="424"/>
    <n v="63.6"/>
    <n v="40"/>
    <n v="424"/>
    <n v="400.4"/>
    <x v="2"/>
    <x v="0"/>
    <x v="1"/>
    <n v="53"/>
    <n v="4.0999999999999996"/>
  </r>
  <r>
    <x v="2212"/>
    <x v="158"/>
    <x v="5"/>
    <n v="6"/>
    <n v="8"/>
    <s v="Sunday"/>
    <x v="3"/>
    <x v="1"/>
    <x v="7"/>
    <s v="Paneer Butter Masala"/>
    <x v="1"/>
    <n v="1"/>
    <n v="207"/>
    <n v="0"/>
    <n v="30"/>
    <n v="207"/>
    <n v="237"/>
    <x v="4"/>
    <x v="0"/>
    <x v="0"/>
    <n v="67"/>
    <n v="3.8"/>
  </r>
  <r>
    <x v="2213"/>
    <x v="158"/>
    <x v="5"/>
    <n v="6"/>
    <n v="8"/>
    <s v="Sunday"/>
    <x v="9"/>
    <x v="0"/>
    <x v="3"/>
    <s v="Veg Momos"/>
    <x v="2"/>
    <n v="1"/>
    <n v="809"/>
    <n v="40.450000000000003"/>
    <n v="50"/>
    <n v="809"/>
    <n v="818.55"/>
    <x v="0"/>
    <x v="0"/>
    <x v="1"/>
    <n v="50"/>
    <n v="3.1"/>
  </r>
  <r>
    <x v="2214"/>
    <x v="159"/>
    <x v="5"/>
    <n v="6"/>
    <n v="9"/>
    <s v="Monday"/>
    <x v="7"/>
    <x v="12"/>
    <x v="7"/>
    <s v="Chicken Pizza"/>
    <x v="2"/>
    <n v="1"/>
    <n v="168"/>
    <n v="16.8"/>
    <n v="0"/>
    <n v="168"/>
    <n v="151.19999999999999"/>
    <x v="2"/>
    <x v="0"/>
    <x v="0"/>
    <n v="45"/>
    <n v="4.0999999999999996"/>
  </r>
  <r>
    <x v="2215"/>
    <x v="159"/>
    <x v="5"/>
    <n v="6"/>
    <n v="9"/>
    <s v="Monday"/>
    <x v="7"/>
    <x v="11"/>
    <x v="0"/>
    <s v="Chicken Pizza"/>
    <x v="1"/>
    <n v="2"/>
    <n v="283"/>
    <n v="28.3"/>
    <n v="60"/>
    <n v="566"/>
    <n v="597.70000000000005"/>
    <x v="0"/>
    <x v="3"/>
    <x v="0"/>
    <n v="35"/>
    <m/>
  </r>
  <r>
    <x v="2216"/>
    <x v="159"/>
    <x v="5"/>
    <n v="6"/>
    <n v="9"/>
    <s v="Monday"/>
    <x v="5"/>
    <x v="12"/>
    <x v="6"/>
    <s v="Fried Rice"/>
    <x v="1"/>
    <n v="1"/>
    <n v="812"/>
    <n v="162.4"/>
    <n v="0"/>
    <n v="812"/>
    <n v="649.6"/>
    <x v="2"/>
    <x v="0"/>
    <x v="0"/>
    <n v="64"/>
    <n v="5"/>
  </r>
  <r>
    <x v="2217"/>
    <x v="159"/>
    <x v="5"/>
    <n v="6"/>
    <n v="9"/>
    <s v="Monday"/>
    <x v="0"/>
    <x v="5"/>
    <x v="4"/>
    <s v="Chocolate Cake"/>
    <x v="0"/>
    <n v="1"/>
    <n v="581"/>
    <n v="145.25"/>
    <n v="40"/>
    <n v="581"/>
    <n v="475.75"/>
    <x v="1"/>
    <x v="2"/>
    <x v="0"/>
    <n v="31"/>
    <m/>
  </r>
  <r>
    <x v="2218"/>
    <x v="159"/>
    <x v="5"/>
    <n v="6"/>
    <n v="9"/>
    <s v="Monday"/>
    <x v="8"/>
    <x v="3"/>
    <x v="6"/>
    <s v="Veg Momos"/>
    <x v="1"/>
    <n v="3"/>
    <n v="498"/>
    <n v="24.9"/>
    <n v="30"/>
    <n v="1494"/>
    <n v="1499.1"/>
    <x v="1"/>
    <x v="2"/>
    <x v="0"/>
    <n v="37"/>
    <m/>
  </r>
  <r>
    <x v="2219"/>
    <x v="159"/>
    <x v="5"/>
    <n v="6"/>
    <n v="9"/>
    <s v="Monday"/>
    <x v="2"/>
    <x v="12"/>
    <x v="5"/>
    <s v="Chicken Biryani"/>
    <x v="1"/>
    <n v="2"/>
    <n v="365"/>
    <n v="36.5"/>
    <n v="50"/>
    <n v="730"/>
    <n v="743.5"/>
    <x v="4"/>
    <x v="3"/>
    <x v="0"/>
    <n v="59"/>
    <m/>
  </r>
  <r>
    <x v="2220"/>
    <x v="159"/>
    <x v="5"/>
    <n v="6"/>
    <n v="9"/>
    <s v="Monday"/>
    <x v="5"/>
    <x v="14"/>
    <x v="3"/>
    <s v="Chicken Pizza"/>
    <x v="1"/>
    <n v="1"/>
    <n v="601"/>
    <n v="60.1"/>
    <n v="50"/>
    <n v="601"/>
    <n v="590.9"/>
    <x v="4"/>
    <x v="1"/>
    <x v="1"/>
    <n v="52"/>
    <m/>
  </r>
  <r>
    <x v="2221"/>
    <x v="159"/>
    <x v="5"/>
    <n v="6"/>
    <n v="9"/>
    <s v="Monday"/>
    <x v="1"/>
    <x v="12"/>
    <x v="9"/>
    <s v="Cold Coffee"/>
    <x v="1"/>
    <n v="1"/>
    <n v="186"/>
    <n v="37.200000000000003"/>
    <n v="30"/>
    <n v="186"/>
    <n v="178.8"/>
    <x v="1"/>
    <x v="1"/>
    <x v="1"/>
    <n v="23"/>
    <m/>
  </r>
  <r>
    <x v="2222"/>
    <x v="159"/>
    <x v="5"/>
    <n v="6"/>
    <n v="9"/>
    <s v="Monday"/>
    <x v="9"/>
    <x v="6"/>
    <x v="6"/>
    <s v="Paneer Butter Masala"/>
    <x v="2"/>
    <n v="1"/>
    <n v="261"/>
    <n v="0"/>
    <n v="40"/>
    <n v="261"/>
    <n v="301"/>
    <x v="0"/>
    <x v="0"/>
    <x v="0"/>
    <n v="18"/>
    <n v="4.3"/>
  </r>
  <r>
    <x v="2223"/>
    <x v="159"/>
    <x v="5"/>
    <n v="6"/>
    <n v="9"/>
    <s v="Monday"/>
    <x v="3"/>
    <x v="2"/>
    <x v="4"/>
    <s v="Chicken Burger"/>
    <x v="1"/>
    <n v="1"/>
    <n v="780"/>
    <n v="156"/>
    <n v="20"/>
    <n v="780"/>
    <n v="644"/>
    <x v="0"/>
    <x v="3"/>
    <x v="1"/>
    <n v="66"/>
    <m/>
  </r>
  <r>
    <x v="2224"/>
    <x v="159"/>
    <x v="5"/>
    <n v="6"/>
    <n v="9"/>
    <s v="Monday"/>
    <x v="9"/>
    <x v="4"/>
    <x v="9"/>
    <s v="Veg Pizza"/>
    <x v="1"/>
    <n v="1"/>
    <n v="346"/>
    <n v="34.6"/>
    <n v="40"/>
    <n v="346"/>
    <n v="351.4"/>
    <x v="1"/>
    <x v="0"/>
    <x v="1"/>
    <n v="56"/>
    <n v="3.9"/>
  </r>
  <r>
    <x v="2225"/>
    <x v="159"/>
    <x v="5"/>
    <n v="6"/>
    <n v="9"/>
    <s v="Monday"/>
    <x v="1"/>
    <x v="7"/>
    <x v="4"/>
    <s v="Cold Coffee"/>
    <x v="1"/>
    <n v="2"/>
    <n v="540"/>
    <n v="81"/>
    <n v="50"/>
    <n v="1080"/>
    <n v="1049"/>
    <x v="2"/>
    <x v="0"/>
    <x v="1"/>
    <n v="52"/>
    <n v="4.3"/>
  </r>
  <r>
    <x v="2226"/>
    <x v="159"/>
    <x v="5"/>
    <n v="6"/>
    <n v="9"/>
    <s v="Monday"/>
    <x v="5"/>
    <x v="10"/>
    <x v="6"/>
    <s v="Veg Biryani"/>
    <x v="1"/>
    <n v="1"/>
    <n v="603"/>
    <n v="90.45"/>
    <n v="30"/>
    <n v="603"/>
    <n v="542.54999999999995"/>
    <x v="1"/>
    <x v="0"/>
    <x v="1"/>
    <n v="37"/>
    <n v="4.0999999999999996"/>
  </r>
  <r>
    <x v="2227"/>
    <x v="159"/>
    <x v="5"/>
    <n v="6"/>
    <n v="9"/>
    <s v="Monday"/>
    <x v="5"/>
    <x v="12"/>
    <x v="7"/>
    <s v="Fried Rice"/>
    <x v="1"/>
    <n v="2"/>
    <n v="664"/>
    <n v="99.6"/>
    <n v="60"/>
    <n v="1328"/>
    <n v="1288.4000000000001"/>
    <x v="1"/>
    <x v="0"/>
    <x v="1"/>
    <n v="25"/>
    <n v="5"/>
  </r>
  <r>
    <x v="2228"/>
    <x v="159"/>
    <x v="5"/>
    <n v="6"/>
    <n v="9"/>
    <s v="Monday"/>
    <x v="5"/>
    <x v="13"/>
    <x v="5"/>
    <s v="Chocolate Cake"/>
    <x v="1"/>
    <n v="2"/>
    <n v="624"/>
    <n v="156"/>
    <n v="30"/>
    <n v="1248"/>
    <n v="1122"/>
    <x v="1"/>
    <x v="0"/>
    <x v="0"/>
    <n v="68"/>
    <n v="5"/>
  </r>
  <r>
    <x v="2229"/>
    <x v="159"/>
    <x v="5"/>
    <n v="6"/>
    <n v="9"/>
    <s v="Monday"/>
    <x v="0"/>
    <x v="10"/>
    <x v="7"/>
    <s v="Fried Rice"/>
    <x v="2"/>
    <n v="2"/>
    <n v="482"/>
    <n v="48.2"/>
    <n v="30"/>
    <n v="964"/>
    <n v="945.8"/>
    <x v="1"/>
    <x v="3"/>
    <x v="1"/>
    <n v="29"/>
    <m/>
  </r>
  <r>
    <x v="2230"/>
    <x v="159"/>
    <x v="5"/>
    <n v="6"/>
    <n v="9"/>
    <s v="Monday"/>
    <x v="3"/>
    <x v="7"/>
    <x v="0"/>
    <s v="Veg Momos"/>
    <x v="3"/>
    <n v="1"/>
    <n v="373"/>
    <n v="0"/>
    <n v="20"/>
    <n v="373"/>
    <n v="393"/>
    <x v="4"/>
    <x v="0"/>
    <x v="1"/>
    <n v="36"/>
    <n v="4.5999999999999996"/>
  </r>
  <r>
    <x v="2231"/>
    <x v="159"/>
    <x v="5"/>
    <n v="6"/>
    <n v="9"/>
    <s v="Monday"/>
    <x v="1"/>
    <x v="12"/>
    <x v="0"/>
    <s v="Fried Rice"/>
    <x v="2"/>
    <n v="2"/>
    <n v="311"/>
    <n v="46.65"/>
    <n v="0"/>
    <n v="622"/>
    <n v="575.35"/>
    <x v="1"/>
    <x v="2"/>
    <x v="1"/>
    <n v="56"/>
    <m/>
  </r>
  <r>
    <x v="2232"/>
    <x v="159"/>
    <x v="5"/>
    <n v="6"/>
    <n v="9"/>
    <s v="Monday"/>
    <x v="8"/>
    <x v="4"/>
    <x v="3"/>
    <s v="Paneer Butter Masala"/>
    <x v="1"/>
    <n v="1"/>
    <n v="772"/>
    <n v="38.6"/>
    <n v="60"/>
    <n v="772"/>
    <n v="793.4"/>
    <x v="4"/>
    <x v="0"/>
    <x v="0"/>
    <n v="67"/>
    <n v="4.5999999999999996"/>
  </r>
  <r>
    <x v="2233"/>
    <x v="159"/>
    <x v="5"/>
    <n v="6"/>
    <n v="9"/>
    <s v="Monday"/>
    <x v="6"/>
    <x v="3"/>
    <x v="2"/>
    <s v="Veg Pizza"/>
    <x v="1"/>
    <n v="1"/>
    <n v="221"/>
    <n v="33.15"/>
    <n v="0"/>
    <n v="221"/>
    <n v="187.85"/>
    <x v="0"/>
    <x v="0"/>
    <x v="1"/>
    <n v="18"/>
    <n v="4.0999999999999996"/>
  </r>
  <r>
    <x v="2234"/>
    <x v="159"/>
    <x v="5"/>
    <n v="6"/>
    <n v="9"/>
    <s v="Monday"/>
    <x v="9"/>
    <x v="12"/>
    <x v="9"/>
    <s v="Pasta"/>
    <x v="1"/>
    <n v="1"/>
    <n v="408"/>
    <n v="61.2"/>
    <n v="50"/>
    <n v="408"/>
    <n v="396.8"/>
    <x v="2"/>
    <x v="0"/>
    <x v="1"/>
    <n v="54"/>
    <n v="4.7"/>
  </r>
  <r>
    <x v="2235"/>
    <x v="160"/>
    <x v="5"/>
    <n v="6"/>
    <n v="10"/>
    <s v="Tuesday"/>
    <x v="2"/>
    <x v="9"/>
    <x v="5"/>
    <s v="Veg Pizza"/>
    <x v="1"/>
    <n v="2"/>
    <n v="290"/>
    <n v="0"/>
    <n v="0"/>
    <n v="580"/>
    <n v="580"/>
    <x v="2"/>
    <x v="0"/>
    <x v="0"/>
    <n v="47"/>
    <n v="4.2"/>
  </r>
  <r>
    <x v="2236"/>
    <x v="160"/>
    <x v="5"/>
    <n v="6"/>
    <n v="10"/>
    <s v="Tuesday"/>
    <x v="1"/>
    <x v="11"/>
    <x v="9"/>
    <s v="Chicken Pizza"/>
    <x v="1"/>
    <n v="1"/>
    <n v="635"/>
    <n v="95.25"/>
    <n v="60"/>
    <n v="635"/>
    <n v="599.75"/>
    <x v="1"/>
    <x v="2"/>
    <x v="0"/>
    <n v="40"/>
    <m/>
  </r>
  <r>
    <x v="2237"/>
    <x v="160"/>
    <x v="5"/>
    <n v="6"/>
    <n v="10"/>
    <s v="Tuesday"/>
    <x v="0"/>
    <x v="13"/>
    <x v="4"/>
    <s v="Pasta"/>
    <x v="2"/>
    <n v="2"/>
    <n v="602"/>
    <n v="120.4"/>
    <n v="60"/>
    <n v="1204"/>
    <n v="1143.5999999999999"/>
    <x v="2"/>
    <x v="0"/>
    <x v="0"/>
    <n v="33"/>
    <n v="4.8"/>
  </r>
  <r>
    <x v="2238"/>
    <x v="160"/>
    <x v="5"/>
    <n v="6"/>
    <n v="10"/>
    <s v="Tuesday"/>
    <x v="7"/>
    <x v="11"/>
    <x v="1"/>
    <s v="Chicken Burger"/>
    <x v="2"/>
    <n v="2"/>
    <n v="753"/>
    <n v="112.95"/>
    <n v="20"/>
    <n v="1506"/>
    <n v="1413.05"/>
    <x v="4"/>
    <x v="0"/>
    <x v="0"/>
    <n v="23"/>
    <n v="4.5"/>
  </r>
  <r>
    <x v="2239"/>
    <x v="160"/>
    <x v="5"/>
    <n v="6"/>
    <n v="10"/>
    <s v="Tuesday"/>
    <x v="1"/>
    <x v="8"/>
    <x v="9"/>
    <s v="Chicken Burger"/>
    <x v="1"/>
    <n v="2"/>
    <n v="852"/>
    <n v="127.8"/>
    <n v="60"/>
    <n v="1704"/>
    <n v="1636.2"/>
    <x v="3"/>
    <x v="0"/>
    <x v="0"/>
    <n v="25"/>
    <n v="5"/>
  </r>
  <r>
    <x v="2240"/>
    <x v="160"/>
    <x v="5"/>
    <n v="6"/>
    <n v="10"/>
    <s v="Tuesday"/>
    <x v="9"/>
    <x v="1"/>
    <x v="2"/>
    <s v="Idli Sambar"/>
    <x v="1"/>
    <n v="2"/>
    <n v="631"/>
    <n v="94.65"/>
    <n v="20"/>
    <n v="1262"/>
    <n v="1187.3499999999999"/>
    <x v="2"/>
    <x v="3"/>
    <x v="1"/>
    <n v="66"/>
    <m/>
  </r>
  <r>
    <x v="2241"/>
    <x v="160"/>
    <x v="5"/>
    <n v="6"/>
    <n v="10"/>
    <s v="Tuesday"/>
    <x v="9"/>
    <x v="13"/>
    <x v="5"/>
    <s v="Chocolate Cake"/>
    <x v="2"/>
    <n v="2"/>
    <n v="717"/>
    <n v="71.7"/>
    <n v="0"/>
    <n v="1434"/>
    <n v="1362.3"/>
    <x v="2"/>
    <x v="2"/>
    <x v="0"/>
    <n v="49"/>
    <m/>
  </r>
  <r>
    <x v="2242"/>
    <x v="160"/>
    <x v="5"/>
    <n v="6"/>
    <n v="10"/>
    <s v="Tuesday"/>
    <x v="9"/>
    <x v="11"/>
    <x v="4"/>
    <s v="Cold Coffee"/>
    <x v="1"/>
    <n v="1"/>
    <n v="891"/>
    <n v="178.2"/>
    <n v="0"/>
    <n v="891"/>
    <n v="712.8"/>
    <x v="3"/>
    <x v="0"/>
    <x v="1"/>
    <n v="63"/>
    <n v="3.3"/>
  </r>
  <r>
    <x v="2243"/>
    <x v="160"/>
    <x v="5"/>
    <n v="6"/>
    <n v="10"/>
    <s v="Tuesday"/>
    <x v="6"/>
    <x v="14"/>
    <x v="2"/>
    <s v="Chocolate Cake"/>
    <x v="1"/>
    <n v="1"/>
    <n v="339"/>
    <n v="67.8"/>
    <n v="30"/>
    <n v="339"/>
    <n v="301.2"/>
    <x v="0"/>
    <x v="0"/>
    <x v="0"/>
    <n v="41"/>
    <n v="4.9000000000000004"/>
  </r>
  <r>
    <x v="2244"/>
    <x v="160"/>
    <x v="5"/>
    <n v="6"/>
    <n v="10"/>
    <s v="Tuesday"/>
    <x v="5"/>
    <x v="7"/>
    <x v="3"/>
    <s v="Masala Dosa"/>
    <x v="1"/>
    <n v="1"/>
    <n v="272"/>
    <n v="54.4"/>
    <n v="20"/>
    <n v="272"/>
    <n v="237.6"/>
    <x v="0"/>
    <x v="0"/>
    <x v="0"/>
    <n v="36"/>
    <n v="3.4"/>
  </r>
  <r>
    <x v="2245"/>
    <x v="160"/>
    <x v="5"/>
    <n v="6"/>
    <n v="10"/>
    <s v="Tuesday"/>
    <x v="3"/>
    <x v="2"/>
    <x v="2"/>
    <s v="Idli Sambar"/>
    <x v="0"/>
    <n v="2"/>
    <n v="299"/>
    <n v="74.75"/>
    <n v="20"/>
    <n v="598"/>
    <n v="543.25"/>
    <x v="1"/>
    <x v="0"/>
    <x v="0"/>
    <n v="43"/>
    <n v="2.6"/>
  </r>
  <r>
    <x v="2246"/>
    <x v="160"/>
    <x v="5"/>
    <n v="6"/>
    <n v="10"/>
    <s v="Tuesday"/>
    <x v="4"/>
    <x v="4"/>
    <x v="5"/>
    <s v="Pasta"/>
    <x v="1"/>
    <n v="1"/>
    <n v="445"/>
    <n v="66.75"/>
    <n v="40"/>
    <n v="445"/>
    <n v="418.25"/>
    <x v="0"/>
    <x v="0"/>
    <x v="0"/>
    <n v="65"/>
    <n v="4.3"/>
  </r>
  <r>
    <x v="2247"/>
    <x v="160"/>
    <x v="5"/>
    <n v="6"/>
    <n v="10"/>
    <s v="Tuesday"/>
    <x v="3"/>
    <x v="0"/>
    <x v="0"/>
    <s v="Chicken Biryani"/>
    <x v="3"/>
    <n v="2"/>
    <n v="378"/>
    <n v="37.799999999999997"/>
    <n v="50"/>
    <n v="756"/>
    <n v="768.2"/>
    <x v="4"/>
    <x v="0"/>
    <x v="1"/>
    <n v="49"/>
    <n v="4.0999999999999996"/>
  </r>
  <r>
    <x v="2248"/>
    <x v="160"/>
    <x v="5"/>
    <n v="6"/>
    <n v="10"/>
    <s v="Tuesday"/>
    <x v="5"/>
    <x v="14"/>
    <x v="0"/>
    <s v="Idli Sambar"/>
    <x v="1"/>
    <n v="2"/>
    <n v="686"/>
    <n v="68.599999999999994"/>
    <n v="50"/>
    <n v="1372"/>
    <n v="1353.4"/>
    <x v="0"/>
    <x v="0"/>
    <x v="1"/>
    <n v="45"/>
    <n v="4.5"/>
  </r>
  <r>
    <x v="2249"/>
    <x v="160"/>
    <x v="5"/>
    <n v="6"/>
    <n v="10"/>
    <s v="Tuesday"/>
    <x v="6"/>
    <x v="10"/>
    <x v="1"/>
    <s v="Veg Burger"/>
    <x v="1"/>
    <n v="1"/>
    <n v="686"/>
    <n v="102.9"/>
    <n v="0"/>
    <n v="686"/>
    <n v="583.1"/>
    <x v="0"/>
    <x v="2"/>
    <x v="1"/>
    <n v="38"/>
    <m/>
  </r>
  <r>
    <x v="2250"/>
    <x v="160"/>
    <x v="5"/>
    <n v="6"/>
    <n v="10"/>
    <s v="Tuesday"/>
    <x v="4"/>
    <x v="6"/>
    <x v="2"/>
    <s v="Cold Coffee"/>
    <x v="1"/>
    <n v="3"/>
    <n v="158"/>
    <n v="15.8"/>
    <n v="40"/>
    <n v="474"/>
    <n v="498.2"/>
    <x v="1"/>
    <x v="0"/>
    <x v="1"/>
    <n v="66"/>
    <n v="4.0999999999999996"/>
  </r>
  <r>
    <x v="2251"/>
    <x v="160"/>
    <x v="5"/>
    <n v="6"/>
    <n v="10"/>
    <s v="Tuesday"/>
    <x v="3"/>
    <x v="11"/>
    <x v="4"/>
    <s v="Cold Coffee"/>
    <x v="1"/>
    <n v="3"/>
    <n v="221"/>
    <n v="22.1"/>
    <n v="40"/>
    <n v="663"/>
    <n v="680.9"/>
    <x v="0"/>
    <x v="3"/>
    <x v="1"/>
    <n v="37"/>
    <m/>
  </r>
  <r>
    <x v="2252"/>
    <x v="160"/>
    <x v="5"/>
    <n v="6"/>
    <n v="10"/>
    <s v="Tuesday"/>
    <x v="3"/>
    <x v="10"/>
    <x v="6"/>
    <s v="Chocolate Cake"/>
    <x v="1"/>
    <n v="1"/>
    <n v="325"/>
    <n v="16.25"/>
    <n v="30"/>
    <n v="325"/>
    <n v="338.75"/>
    <x v="1"/>
    <x v="0"/>
    <x v="0"/>
    <n v="33"/>
    <n v="3.6"/>
  </r>
  <r>
    <x v="2253"/>
    <x v="160"/>
    <x v="5"/>
    <n v="6"/>
    <n v="10"/>
    <s v="Tuesday"/>
    <x v="0"/>
    <x v="8"/>
    <x v="4"/>
    <s v="Pasta"/>
    <x v="0"/>
    <n v="2"/>
    <n v="507"/>
    <n v="126.75"/>
    <n v="60"/>
    <n v="1014"/>
    <n v="947.25"/>
    <x v="3"/>
    <x v="0"/>
    <x v="0"/>
    <n v="43"/>
    <n v="4.5"/>
  </r>
  <r>
    <x v="2254"/>
    <x v="160"/>
    <x v="5"/>
    <n v="6"/>
    <n v="10"/>
    <s v="Tuesday"/>
    <x v="6"/>
    <x v="9"/>
    <x v="9"/>
    <s v="French Fries"/>
    <x v="1"/>
    <n v="1"/>
    <n v="748"/>
    <n v="74.8"/>
    <n v="30"/>
    <n v="748"/>
    <n v="703.2"/>
    <x v="4"/>
    <x v="1"/>
    <x v="0"/>
    <n v="46"/>
    <m/>
  </r>
  <r>
    <x v="2255"/>
    <x v="160"/>
    <x v="5"/>
    <n v="6"/>
    <n v="10"/>
    <s v="Tuesday"/>
    <x v="1"/>
    <x v="6"/>
    <x v="0"/>
    <s v="Chicken Pizza"/>
    <x v="3"/>
    <n v="2"/>
    <n v="342"/>
    <n v="68.400000000000006"/>
    <n v="40"/>
    <n v="684"/>
    <n v="655.6"/>
    <x v="0"/>
    <x v="0"/>
    <x v="0"/>
    <n v="35"/>
    <n v="3.5"/>
  </r>
  <r>
    <x v="2256"/>
    <x v="161"/>
    <x v="5"/>
    <n v="6"/>
    <n v="11"/>
    <s v="Wednesday"/>
    <x v="3"/>
    <x v="1"/>
    <x v="8"/>
    <s v="Cold Coffee"/>
    <x v="3"/>
    <n v="2"/>
    <n v="898"/>
    <n v="134.69999999999999"/>
    <n v="30"/>
    <n v="1796"/>
    <n v="1691.3"/>
    <x v="1"/>
    <x v="0"/>
    <x v="1"/>
    <n v="42"/>
    <n v="4.3"/>
  </r>
  <r>
    <x v="2257"/>
    <x v="161"/>
    <x v="5"/>
    <n v="6"/>
    <n v="11"/>
    <s v="Wednesday"/>
    <x v="9"/>
    <x v="3"/>
    <x v="8"/>
    <s v="Veg Biryani"/>
    <x v="1"/>
    <n v="3"/>
    <n v="728"/>
    <n v="109.2"/>
    <n v="20"/>
    <n v="2184"/>
    <n v="2094.8000000000002"/>
    <x v="4"/>
    <x v="0"/>
    <x v="0"/>
    <n v="34"/>
    <n v="4.4000000000000004"/>
  </r>
  <r>
    <x v="2258"/>
    <x v="161"/>
    <x v="5"/>
    <n v="6"/>
    <n v="11"/>
    <s v="Wednesday"/>
    <x v="3"/>
    <x v="12"/>
    <x v="1"/>
    <s v="Chicken Biryani"/>
    <x v="1"/>
    <n v="1"/>
    <n v="396"/>
    <n v="0"/>
    <n v="60"/>
    <n v="396"/>
    <n v="456"/>
    <x v="4"/>
    <x v="0"/>
    <x v="0"/>
    <n v="54"/>
    <n v="3.5"/>
  </r>
  <r>
    <x v="2259"/>
    <x v="161"/>
    <x v="5"/>
    <n v="6"/>
    <n v="11"/>
    <s v="Wednesday"/>
    <x v="0"/>
    <x v="7"/>
    <x v="6"/>
    <s v="Chicken Momos"/>
    <x v="1"/>
    <n v="1"/>
    <n v="753"/>
    <n v="75.3"/>
    <n v="0"/>
    <n v="753"/>
    <n v="677.7"/>
    <x v="1"/>
    <x v="0"/>
    <x v="0"/>
    <n v="68"/>
    <n v="5"/>
  </r>
  <r>
    <x v="2260"/>
    <x v="161"/>
    <x v="5"/>
    <n v="6"/>
    <n v="11"/>
    <s v="Wednesday"/>
    <x v="6"/>
    <x v="0"/>
    <x v="8"/>
    <s v="Pasta"/>
    <x v="1"/>
    <n v="1"/>
    <n v="187"/>
    <n v="46.75"/>
    <n v="40"/>
    <n v="187"/>
    <n v="180.25"/>
    <x v="1"/>
    <x v="0"/>
    <x v="0"/>
    <n v="23"/>
    <n v="4.5"/>
  </r>
  <r>
    <x v="2261"/>
    <x v="161"/>
    <x v="5"/>
    <n v="6"/>
    <n v="11"/>
    <s v="Wednesday"/>
    <x v="8"/>
    <x v="8"/>
    <x v="3"/>
    <s v="French Fries"/>
    <x v="1"/>
    <n v="1"/>
    <n v="783"/>
    <n v="117.45"/>
    <n v="30"/>
    <n v="783"/>
    <n v="695.55"/>
    <x v="1"/>
    <x v="0"/>
    <x v="1"/>
    <n v="40"/>
    <n v="4.4000000000000004"/>
  </r>
  <r>
    <x v="2262"/>
    <x v="161"/>
    <x v="5"/>
    <n v="6"/>
    <n v="11"/>
    <s v="Wednesday"/>
    <x v="2"/>
    <x v="1"/>
    <x v="7"/>
    <s v="Chicken Biryani"/>
    <x v="1"/>
    <n v="1"/>
    <n v="215"/>
    <n v="32.25"/>
    <n v="40"/>
    <n v="215"/>
    <n v="222.75"/>
    <x v="1"/>
    <x v="0"/>
    <x v="1"/>
    <n v="49"/>
    <n v="5"/>
  </r>
  <r>
    <x v="2263"/>
    <x v="161"/>
    <x v="5"/>
    <n v="6"/>
    <n v="11"/>
    <s v="Wednesday"/>
    <x v="2"/>
    <x v="12"/>
    <x v="4"/>
    <s v="Veg Biryani"/>
    <x v="2"/>
    <n v="1"/>
    <n v="898"/>
    <n v="179.6"/>
    <n v="50"/>
    <n v="898"/>
    <n v="768.4"/>
    <x v="0"/>
    <x v="2"/>
    <x v="1"/>
    <n v="23"/>
    <m/>
  </r>
  <r>
    <x v="2264"/>
    <x v="161"/>
    <x v="5"/>
    <n v="6"/>
    <n v="11"/>
    <s v="Wednesday"/>
    <x v="1"/>
    <x v="1"/>
    <x v="5"/>
    <s v="Pasta"/>
    <x v="3"/>
    <n v="1"/>
    <n v="546"/>
    <n v="81.900000000000006"/>
    <n v="20"/>
    <n v="546"/>
    <n v="484.1"/>
    <x v="1"/>
    <x v="0"/>
    <x v="0"/>
    <n v="34"/>
    <n v="4.7"/>
  </r>
  <r>
    <x v="2265"/>
    <x v="161"/>
    <x v="5"/>
    <n v="6"/>
    <n v="11"/>
    <s v="Wednesday"/>
    <x v="2"/>
    <x v="0"/>
    <x v="5"/>
    <s v="Chicken Biryani"/>
    <x v="1"/>
    <n v="3"/>
    <n v="294"/>
    <n v="44.1"/>
    <n v="50"/>
    <n v="882"/>
    <n v="887.9"/>
    <x v="1"/>
    <x v="0"/>
    <x v="1"/>
    <n v="26"/>
    <n v="4.5999999999999996"/>
  </r>
  <r>
    <x v="2266"/>
    <x v="161"/>
    <x v="5"/>
    <n v="6"/>
    <n v="11"/>
    <s v="Wednesday"/>
    <x v="2"/>
    <x v="5"/>
    <x v="0"/>
    <s v="French Fries"/>
    <x v="1"/>
    <n v="1"/>
    <n v="740"/>
    <n v="37"/>
    <n v="0"/>
    <n v="740"/>
    <n v="703"/>
    <x v="0"/>
    <x v="0"/>
    <x v="1"/>
    <n v="22"/>
    <n v="4.5999999999999996"/>
  </r>
  <r>
    <x v="2267"/>
    <x v="161"/>
    <x v="5"/>
    <n v="6"/>
    <n v="11"/>
    <s v="Wednesday"/>
    <x v="2"/>
    <x v="0"/>
    <x v="4"/>
    <s v="Idli Sambar"/>
    <x v="1"/>
    <n v="1"/>
    <n v="817"/>
    <n v="0"/>
    <n v="30"/>
    <n v="817"/>
    <n v="847"/>
    <x v="1"/>
    <x v="0"/>
    <x v="0"/>
    <n v="32"/>
    <n v="3.8"/>
  </r>
  <r>
    <x v="2268"/>
    <x v="161"/>
    <x v="5"/>
    <n v="6"/>
    <n v="11"/>
    <s v="Wednesday"/>
    <x v="1"/>
    <x v="0"/>
    <x v="8"/>
    <s v="Chocolate Cake"/>
    <x v="3"/>
    <n v="3"/>
    <n v="696"/>
    <n v="139.19999999999999"/>
    <n v="20"/>
    <n v="2088"/>
    <n v="1968.8"/>
    <x v="1"/>
    <x v="0"/>
    <x v="1"/>
    <n v="21"/>
    <n v="4.5"/>
  </r>
  <r>
    <x v="2269"/>
    <x v="161"/>
    <x v="5"/>
    <n v="6"/>
    <n v="11"/>
    <s v="Wednesday"/>
    <x v="4"/>
    <x v="6"/>
    <x v="4"/>
    <s v="Chicken Biryani"/>
    <x v="1"/>
    <n v="1"/>
    <n v="580"/>
    <n v="116"/>
    <n v="20"/>
    <n v="580"/>
    <n v="484"/>
    <x v="0"/>
    <x v="0"/>
    <x v="0"/>
    <n v="46"/>
    <n v="3.3"/>
  </r>
  <r>
    <x v="2270"/>
    <x v="161"/>
    <x v="5"/>
    <n v="6"/>
    <n v="11"/>
    <s v="Wednesday"/>
    <x v="2"/>
    <x v="9"/>
    <x v="9"/>
    <s v="Fried Rice"/>
    <x v="3"/>
    <n v="1"/>
    <n v="775"/>
    <n v="77.5"/>
    <n v="50"/>
    <n v="775"/>
    <n v="747.5"/>
    <x v="2"/>
    <x v="0"/>
    <x v="0"/>
    <n v="34"/>
    <n v="3.6"/>
  </r>
  <r>
    <x v="2271"/>
    <x v="162"/>
    <x v="5"/>
    <n v="6"/>
    <n v="12"/>
    <s v="Thursday"/>
    <x v="5"/>
    <x v="2"/>
    <x v="7"/>
    <s v="Cold Coffee"/>
    <x v="1"/>
    <n v="1"/>
    <n v="609"/>
    <n v="30.45"/>
    <n v="40"/>
    <n v="609"/>
    <n v="618.54999999999995"/>
    <x v="1"/>
    <x v="0"/>
    <x v="1"/>
    <n v="64"/>
    <n v="3.5"/>
  </r>
  <r>
    <x v="2272"/>
    <x v="162"/>
    <x v="5"/>
    <n v="6"/>
    <n v="12"/>
    <s v="Thursday"/>
    <x v="0"/>
    <x v="5"/>
    <x v="0"/>
    <s v="Fried Rice"/>
    <x v="1"/>
    <n v="2"/>
    <n v="872"/>
    <n v="43.6"/>
    <n v="0"/>
    <n v="1744"/>
    <n v="1700.4"/>
    <x v="1"/>
    <x v="0"/>
    <x v="0"/>
    <n v="29"/>
    <n v="5"/>
  </r>
  <r>
    <x v="2273"/>
    <x v="162"/>
    <x v="5"/>
    <n v="6"/>
    <n v="12"/>
    <s v="Thursday"/>
    <x v="0"/>
    <x v="8"/>
    <x v="7"/>
    <s v="Fried Rice"/>
    <x v="1"/>
    <n v="1"/>
    <n v="814"/>
    <n v="162.80000000000001"/>
    <n v="40"/>
    <n v="814"/>
    <n v="691.2"/>
    <x v="1"/>
    <x v="3"/>
    <x v="0"/>
    <n v="41"/>
    <m/>
  </r>
  <r>
    <x v="2274"/>
    <x v="162"/>
    <x v="5"/>
    <n v="6"/>
    <n v="12"/>
    <s v="Thursday"/>
    <x v="7"/>
    <x v="5"/>
    <x v="1"/>
    <s v="Masala Dosa"/>
    <x v="2"/>
    <n v="2"/>
    <n v="518"/>
    <n v="51.8"/>
    <n v="30"/>
    <n v="1036"/>
    <n v="1014.2"/>
    <x v="1"/>
    <x v="1"/>
    <x v="1"/>
    <n v="25"/>
    <m/>
  </r>
  <r>
    <x v="2275"/>
    <x v="162"/>
    <x v="5"/>
    <n v="6"/>
    <n v="12"/>
    <s v="Thursday"/>
    <x v="2"/>
    <x v="8"/>
    <x v="1"/>
    <s v="Fried Rice"/>
    <x v="1"/>
    <n v="2"/>
    <n v="391"/>
    <n v="58.65"/>
    <n v="60"/>
    <n v="782"/>
    <n v="783.35"/>
    <x v="3"/>
    <x v="0"/>
    <x v="1"/>
    <n v="23"/>
    <n v="3.1"/>
  </r>
  <r>
    <x v="2276"/>
    <x v="162"/>
    <x v="5"/>
    <n v="6"/>
    <n v="12"/>
    <s v="Thursday"/>
    <x v="2"/>
    <x v="8"/>
    <x v="7"/>
    <s v="Chocolate Cake"/>
    <x v="1"/>
    <n v="2"/>
    <n v="363"/>
    <n v="36.299999999999997"/>
    <n v="50"/>
    <n v="726"/>
    <n v="739.7"/>
    <x v="1"/>
    <x v="0"/>
    <x v="0"/>
    <n v="18"/>
    <n v="3.8"/>
  </r>
  <r>
    <x v="2277"/>
    <x v="162"/>
    <x v="5"/>
    <n v="6"/>
    <n v="12"/>
    <s v="Thursday"/>
    <x v="1"/>
    <x v="10"/>
    <x v="1"/>
    <s v="Idli Sambar"/>
    <x v="0"/>
    <n v="2"/>
    <n v="241"/>
    <n v="36.15"/>
    <n v="60"/>
    <n v="482"/>
    <n v="505.85"/>
    <x v="2"/>
    <x v="0"/>
    <x v="0"/>
    <n v="48"/>
    <n v="3.7"/>
  </r>
  <r>
    <x v="2278"/>
    <x v="162"/>
    <x v="5"/>
    <n v="6"/>
    <n v="12"/>
    <s v="Thursday"/>
    <x v="5"/>
    <x v="1"/>
    <x v="8"/>
    <s v="Veg Momos"/>
    <x v="1"/>
    <n v="1"/>
    <n v="715"/>
    <n v="35.75"/>
    <n v="0"/>
    <n v="715"/>
    <n v="679.25"/>
    <x v="1"/>
    <x v="0"/>
    <x v="1"/>
    <n v="50"/>
    <n v="4.3"/>
  </r>
  <r>
    <x v="2279"/>
    <x v="162"/>
    <x v="5"/>
    <n v="6"/>
    <n v="12"/>
    <s v="Thursday"/>
    <x v="7"/>
    <x v="8"/>
    <x v="6"/>
    <s v="Chicken Momos"/>
    <x v="1"/>
    <n v="3"/>
    <n v="489"/>
    <n v="122.25"/>
    <n v="40"/>
    <n v="1467"/>
    <n v="1384.75"/>
    <x v="4"/>
    <x v="0"/>
    <x v="1"/>
    <n v="56"/>
    <n v="3.3"/>
  </r>
  <r>
    <x v="2280"/>
    <x v="162"/>
    <x v="5"/>
    <n v="6"/>
    <n v="12"/>
    <s v="Thursday"/>
    <x v="5"/>
    <x v="8"/>
    <x v="2"/>
    <s v="Chicken Pizza"/>
    <x v="0"/>
    <n v="1"/>
    <n v="354"/>
    <n v="53.1"/>
    <n v="60"/>
    <n v="354"/>
    <n v="360.9"/>
    <x v="4"/>
    <x v="0"/>
    <x v="0"/>
    <n v="30"/>
    <n v="4.9000000000000004"/>
  </r>
  <r>
    <x v="2281"/>
    <x v="162"/>
    <x v="5"/>
    <n v="6"/>
    <n v="12"/>
    <s v="Thursday"/>
    <x v="6"/>
    <x v="6"/>
    <x v="9"/>
    <s v="Veg Momos"/>
    <x v="1"/>
    <n v="2"/>
    <n v="461"/>
    <n v="46.1"/>
    <n v="50"/>
    <n v="922"/>
    <n v="925.9"/>
    <x v="3"/>
    <x v="0"/>
    <x v="1"/>
    <n v="63"/>
    <n v="4.7"/>
  </r>
  <r>
    <x v="2282"/>
    <x v="162"/>
    <x v="5"/>
    <n v="6"/>
    <n v="12"/>
    <s v="Thursday"/>
    <x v="3"/>
    <x v="14"/>
    <x v="1"/>
    <s v="Pasta"/>
    <x v="2"/>
    <n v="3"/>
    <n v="288"/>
    <n v="14.4"/>
    <n v="30"/>
    <n v="864"/>
    <n v="879.6"/>
    <x v="1"/>
    <x v="0"/>
    <x v="0"/>
    <n v="34"/>
    <n v="4.7"/>
  </r>
  <r>
    <x v="2283"/>
    <x v="162"/>
    <x v="5"/>
    <n v="6"/>
    <n v="12"/>
    <s v="Thursday"/>
    <x v="3"/>
    <x v="2"/>
    <x v="4"/>
    <s v="Veg Biryani"/>
    <x v="3"/>
    <n v="1"/>
    <n v="124"/>
    <n v="31"/>
    <n v="20"/>
    <n v="124"/>
    <n v="113"/>
    <x v="2"/>
    <x v="2"/>
    <x v="1"/>
    <n v="60"/>
    <m/>
  </r>
  <r>
    <x v="2284"/>
    <x v="162"/>
    <x v="5"/>
    <n v="6"/>
    <n v="12"/>
    <s v="Thursday"/>
    <x v="0"/>
    <x v="12"/>
    <x v="7"/>
    <s v="Chocolate Cake"/>
    <x v="2"/>
    <n v="3"/>
    <n v="624"/>
    <n v="124.8"/>
    <n v="50"/>
    <n v="1872"/>
    <n v="1797.2"/>
    <x v="2"/>
    <x v="0"/>
    <x v="1"/>
    <n v="37"/>
    <n v="3.4"/>
  </r>
  <r>
    <x v="2285"/>
    <x v="162"/>
    <x v="5"/>
    <n v="6"/>
    <n v="12"/>
    <s v="Thursday"/>
    <x v="2"/>
    <x v="10"/>
    <x v="2"/>
    <s v="Masala Dosa"/>
    <x v="2"/>
    <n v="2"/>
    <n v="526"/>
    <n v="105.2"/>
    <n v="20"/>
    <n v="1052"/>
    <n v="966.8"/>
    <x v="4"/>
    <x v="0"/>
    <x v="1"/>
    <n v="27"/>
    <n v="3.4"/>
  </r>
  <r>
    <x v="2286"/>
    <x v="162"/>
    <x v="5"/>
    <n v="6"/>
    <n v="12"/>
    <s v="Thursday"/>
    <x v="3"/>
    <x v="6"/>
    <x v="8"/>
    <s v="French Fries"/>
    <x v="1"/>
    <n v="1"/>
    <n v="359"/>
    <n v="35.9"/>
    <n v="0"/>
    <n v="359"/>
    <n v="323.10000000000002"/>
    <x v="4"/>
    <x v="0"/>
    <x v="1"/>
    <n v="37"/>
    <n v="2.6"/>
  </r>
  <r>
    <x v="2287"/>
    <x v="163"/>
    <x v="5"/>
    <n v="6"/>
    <n v="13"/>
    <s v="Friday"/>
    <x v="1"/>
    <x v="10"/>
    <x v="3"/>
    <s v="Cold Coffee"/>
    <x v="1"/>
    <n v="1"/>
    <n v="293"/>
    <n v="73.25"/>
    <n v="0"/>
    <n v="293"/>
    <n v="219.75"/>
    <x v="2"/>
    <x v="0"/>
    <x v="1"/>
    <n v="52"/>
    <n v="3.4"/>
  </r>
  <r>
    <x v="2288"/>
    <x v="163"/>
    <x v="5"/>
    <n v="6"/>
    <n v="13"/>
    <s v="Friday"/>
    <x v="3"/>
    <x v="1"/>
    <x v="9"/>
    <s v="Chicken Pizza"/>
    <x v="1"/>
    <n v="1"/>
    <n v="824"/>
    <n v="164.8"/>
    <n v="40"/>
    <n v="824"/>
    <n v="699.2"/>
    <x v="1"/>
    <x v="0"/>
    <x v="1"/>
    <n v="64"/>
    <n v="3.5"/>
  </r>
  <r>
    <x v="2289"/>
    <x v="163"/>
    <x v="5"/>
    <n v="6"/>
    <n v="13"/>
    <s v="Friday"/>
    <x v="1"/>
    <x v="14"/>
    <x v="7"/>
    <s v="Chicken Burger"/>
    <x v="1"/>
    <n v="1"/>
    <n v="897"/>
    <n v="134.55000000000001"/>
    <n v="20"/>
    <n v="897"/>
    <n v="782.45"/>
    <x v="3"/>
    <x v="3"/>
    <x v="0"/>
    <n v="53"/>
    <m/>
  </r>
  <r>
    <x v="2290"/>
    <x v="163"/>
    <x v="5"/>
    <n v="6"/>
    <n v="13"/>
    <s v="Friday"/>
    <x v="3"/>
    <x v="6"/>
    <x v="5"/>
    <s v="French Fries"/>
    <x v="1"/>
    <n v="1"/>
    <n v="326"/>
    <n v="0"/>
    <n v="40"/>
    <n v="326"/>
    <n v="366"/>
    <x v="3"/>
    <x v="0"/>
    <x v="1"/>
    <n v="49"/>
    <n v="3.9"/>
  </r>
  <r>
    <x v="2291"/>
    <x v="163"/>
    <x v="5"/>
    <n v="6"/>
    <n v="13"/>
    <s v="Friday"/>
    <x v="1"/>
    <x v="6"/>
    <x v="3"/>
    <s v="Chicken Pizza"/>
    <x v="1"/>
    <n v="3"/>
    <n v="213"/>
    <n v="21.3"/>
    <n v="30"/>
    <n v="639"/>
    <n v="647.70000000000005"/>
    <x v="1"/>
    <x v="0"/>
    <x v="1"/>
    <n v="60"/>
    <n v="3"/>
  </r>
  <r>
    <x v="2292"/>
    <x v="163"/>
    <x v="5"/>
    <n v="6"/>
    <n v="13"/>
    <s v="Friday"/>
    <x v="3"/>
    <x v="10"/>
    <x v="3"/>
    <s v="Chicken Momos"/>
    <x v="2"/>
    <n v="1"/>
    <n v="758"/>
    <n v="37.9"/>
    <n v="20"/>
    <n v="758"/>
    <n v="740.1"/>
    <x v="0"/>
    <x v="0"/>
    <x v="0"/>
    <n v="25"/>
    <n v="3.8"/>
  </r>
  <r>
    <x v="2293"/>
    <x v="163"/>
    <x v="5"/>
    <n v="6"/>
    <n v="13"/>
    <s v="Friday"/>
    <x v="9"/>
    <x v="7"/>
    <x v="1"/>
    <s v="Idli Sambar"/>
    <x v="1"/>
    <n v="2"/>
    <n v="205"/>
    <n v="30.75"/>
    <n v="30"/>
    <n v="410"/>
    <n v="409.25"/>
    <x v="4"/>
    <x v="1"/>
    <x v="1"/>
    <n v="50"/>
    <m/>
  </r>
  <r>
    <x v="2294"/>
    <x v="163"/>
    <x v="5"/>
    <n v="6"/>
    <n v="13"/>
    <s v="Friday"/>
    <x v="4"/>
    <x v="4"/>
    <x v="0"/>
    <s v="Masala Dosa"/>
    <x v="2"/>
    <n v="3"/>
    <n v="303"/>
    <n v="45.45"/>
    <n v="30"/>
    <n v="909"/>
    <n v="893.55"/>
    <x v="1"/>
    <x v="0"/>
    <x v="0"/>
    <n v="36"/>
    <n v="4.3"/>
  </r>
  <r>
    <x v="2295"/>
    <x v="163"/>
    <x v="5"/>
    <n v="6"/>
    <n v="13"/>
    <s v="Friday"/>
    <x v="5"/>
    <x v="12"/>
    <x v="2"/>
    <s v="Veg Pizza"/>
    <x v="1"/>
    <n v="1"/>
    <n v="180"/>
    <n v="27"/>
    <n v="40"/>
    <n v="180"/>
    <n v="193"/>
    <x v="4"/>
    <x v="0"/>
    <x v="1"/>
    <n v="67"/>
    <n v="4.0999999999999996"/>
  </r>
  <r>
    <x v="2296"/>
    <x v="163"/>
    <x v="5"/>
    <n v="6"/>
    <n v="13"/>
    <s v="Friday"/>
    <x v="0"/>
    <x v="8"/>
    <x v="0"/>
    <s v="Idli Sambar"/>
    <x v="1"/>
    <n v="1"/>
    <n v="577"/>
    <n v="115.4"/>
    <n v="40"/>
    <n v="577"/>
    <n v="501.6"/>
    <x v="0"/>
    <x v="0"/>
    <x v="1"/>
    <n v="60"/>
    <n v="5"/>
  </r>
  <r>
    <x v="2297"/>
    <x v="163"/>
    <x v="5"/>
    <n v="6"/>
    <n v="13"/>
    <s v="Friday"/>
    <x v="8"/>
    <x v="8"/>
    <x v="9"/>
    <s v="Veg Pizza"/>
    <x v="1"/>
    <n v="1"/>
    <n v="740"/>
    <n v="111"/>
    <n v="40"/>
    <n v="740"/>
    <n v="669"/>
    <x v="0"/>
    <x v="0"/>
    <x v="1"/>
    <n v="18"/>
    <n v="5"/>
  </r>
  <r>
    <x v="2298"/>
    <x v="163"/>
    <x v="5"/>
    <n v="6"/>
    <n v="13"/>
    <s v="Friday"/>
    <x v="2"/>
    <x v="7"/>
    <x v="8"/>
    <s v="Veg Burger"/>
    <x v="1"/>
    <n v="2"/>
    <n v="309"/>
    <n v="61.8"/>
    <n v="40"/>
    <n v="618"/>
    <n v="596.20000000000005"/>
    <x v="1"/>
    <x v="0"/>
    <x v="1"/>
    <n v="32"/>
    <n v="4.3"/>
  </r>
  <r>
    <x v="2299"/>
    <x v="163"/>
    <x v="5"/>
    <n v="6"/>
    <n v="13"/>
    <s v="Friday"/>
    <x v="3"/>
    <x v="2"/>
    <x v="2"/>
    <s v="Chicken Biryani"/>
    <x v="0"/>
    <n v="2"/>
    <n v="751"/>
    <n v="75.099999999999994"/>
    <n v="60"/>
    <n v="1502"/>
    <n v="1486.9"/>
    <x v="3"/>
    <x v="0"/>
    <x v="1"/>
    <n v="26"/>
    <n v="4.0999999999999996"/>
  </r>
  <r>
    <x v="2300"/>
    <x v="163"/>
    <x v="5"/>
    <n v="6"/>
    <n v="13"/>
    <s v="Friday"/>
    <x v="6"/>
    <x v="0"/>
    <x v="8"/>
    <s v="Masala Dosa"/>
    <x v="1"/>
    <n v="2"/>
    <n v="285"/>
    <n v="57"/>
    <n v="50"/>
    <n v="570"/>
    <n v="563"/>
    <x v="1"/>
    <x v="2"/>
    <x v="0"/>
    <n v="44"/>
    <m/>
  </r>
  <r>
    <x v="2301"/>
    <x v="163"/>
    <x v="5"/>
    <n v="6"/>
    <n v="13"/>
    <s v="Friday"/>
    <x v="5"/>
    <x v="10"/>
    <x v="8"/>
    <s v="Chicken Biryani"/>
    <x v="1"/>
    <n v="1"/>
    <n v="326"/>
    <n v="0"/>
    <n v="30"/>
    <n v="326"/>
    <n v="356"/>
    <x v="2"/>
    <x v="0"/>
    <x v="1"/>
    <n v="42"/>
    <n v="3.6"/>
  </r>
  <r>
    <x v="2302"/>
    <x v="163"/>
    <x v="5"/>
    <n v="6"/>
    <n v="13"/>
    <s v="Friday"/>
    <x v="4"/>
    <x v="0"/>
    <x v="1"/>
    <s v="Paneer Butter Masala"/>
    <x v="1"/>
    <n v="1"/>
    <n v="463"/>
    <n v="23.15"/>
    <n v="50"/>
    <n v="463"/>
    <n v="489.85"/>
    <x v="4"/>
    <x v="0"/>
    <x v="1"/>
    <n v="50"/>
    <n v="4.5"/>
  </r>
  <r>
    <x v="2303"/>
    <x v="163"/>
    <x v="5"/>
    <n v="6"/>
    <n v="13"/>
    <s v="Friday"/>
    <x v="2"/>
    <x v="4"/>
    <x v="0"/>
    <s v="Idli Sambar"/>
    <x v="1"/>
    <n v="2"/>
    <n v="727"/>
    <n v="181.75"/>
    <n v="0"/>
    <n v="1454"/>
    <n v="1272.25"/>
    <x v="1"/>
    <x v="1"/>
    <x v="1"/>
    <n v="34"/>
    <m/>
  </r>
  <r>
    <x v="2304"/>
    <x v="163"/>
    <x v="5"/>
    <n v="6"/>
    <n v="13"/>
    <s v="Friday"/>
    <x v="5"/>
    <x v="14"/>
    <x v="5"/>
    <s v="Veg Momos"/>
    <x v="2"/>
    <n v="3"/>
    <n v="582"/>
    <n v="87.3"/>
    <n v="30"/>
    <n v="1746"/>
    <n v="1688.7"/>
    <x v="0"/>
    <x v="0"/>
    <x v="1"/>
    <n v="38"/>
    <n v="4.7"/>
  </r>
  <r>
    <x v="2305"/>
    <x v="164"/>
    <x v="5"/>
    <n v="6"/>
    <n v="14"/>
    <s v="Saturday"/>
    <x v="2"/>
    <x v="10"/>
    <x v="0"/>
    <s v="Cold Coffee"/>
    <x v="2"/>
    <n v="2"/>
    <n v="784"/>
    <n v="78.400000000000006"/>
    <n v="60"/>
    <n v="1568"/>
    <n v="1549.6"/>
    <x v="2"/>
    <x v="0"/>
    <x v="1"/>
    <n v="33"/>
    <n v="3.5"/>
  </r>
  <r>
    <x v="2306"/>
    <x v="164"/>
    <x v="5"/>
    <n v="6"/>
    <n v="14"/>
    <s v="Saturday"/>
    <x v="9"/>
    <x v="10"/>
    <x v="2"/>
    <s v="Pasta"/>
    <x v="1"/>
    <n v="1"/>
    <n v="261"/>
    <n v="0"/>
    <n v="0"/>
    <n v="261"/>
    <n v="261"/>
    <x v="1"/>
    <x v="0"/>
    <x v="1"/>
    <n v="53"/>
    <n v="5"/>
  </r>
  <r>
    <x v="2307"/>
    <x v="164"/>
    <x v="5"/>
    <n v="6"/>
    <n v="14"/>
    <s v="Saturday"/>
    <x v="4"/>
    <x v="8"/>
    <x v="4"/>
    <s v="Cold Coffee"/>
    <x v="2"/>
    <n v="1"/>
    <n v="425"/>
    <n v="42.5"/>
    <n v="50"/>
    <n v="425"/>
    <n v="432.5"/>
    <x v="3"/>
    <x v="2"/>
    <x v="0"/>
    <n v="22"/>
    <m/>
  </r>
  <r>
    <x v="2308"/>
    <x v="164"/>
    <x v="5"/>
    <n v="6"/>
    <n v="14"/>
    <s v="Saturday"/>
    <x v="3"/>
    <x v="3"/>
    <x v="8"/>
    <s v="Veg Biryani"/>
    <x v="1"/>
    <n v="1"/>
    <n v="384"/>
    <n v="0"/>
    <n v="30"/>
    <n v="384"/>
    <n v="414"/>
    <x v="3"/>
    <x v="0"/>
    <x v="0"/>
    <n v="54"/>
    <n v="4.2"/>
  </r>
  <r>
    <x v="2309"/>
    <x v="164"/>
    <x v="5"/>
    <n v="6"/>
    <n v="14"/>
    <s v="Saturday"/>
    <x v="7"/>
    <x v="3"/>
    <x v="4"/>
    <s v="Chicken Biryani"/>
    <x v="1"/>
    <n v="3"/>
    <n v="336"/>
    <n v="50.4"/>
    <n v="40"/>
    <n v="1008"/>
    <n v="997.6"/>
    <x v="4"/>
    <x v="0"/>
    <x v="1"/>
    <n v="39"/>
    <n v="4"/>
  </r>
  <r>
    <x v="2310"/>
    <x v="164"/>
    <x v="5"/>
    <n v="6"/>
    <n v="14"/>
    <s v="Saturday"/>
    <x v="0"/>
    <x v="2"/>
    <x v="1"/>
    <s v="Idli Sambar"/>
    <x v="1"/>
    <n v="2"/>
    <n v="861"/>
    <n v="172.2"/>
    <n v="20"/>
    <n v="1722"/>
    <n v="1569.8"/>
    <x v="1"/>
    <x v="0"/>
    <x v="1"/>
    <n v="45"/>
    <n v="4.2"/>
  </r>
  <r>
    <x v="2311"/>
    <x v="164"/>
    <x v="5"/>
    <n v="6"/>
    <n v="14"/>
    <s v="Saturday"/>
    <x v="5"/>
    <x v="4"/>
    <x v="6"/>
    <s v="Masala Dosa"/>
    <x v="2"/>
    <n v="2"/>
    <n v="848"/>
    <n v="42.4"/>
    <n v="40"/>
    <n v="1696"/>
    <n v="1693.6"/>
    <x v="0"/>
    <x v="0"/>
    <x v="0"/>
    <n v="23"/>
    <n v="3.9"/>
  </r>
  <r>
    <x v="2312"/>
    <x v="164"/>
    <x v="5"/>
    <n v="6"/>
    <n v="14"/>
    <s v="Saturday"/>
    <x v="6"/>
    <x v="2"/>
    <x v="7"/>
    <s v="Idli Sambar"/>
    <x v="1"/>
    <n v="1"/>
    <n v="142"/>
    <n v="28.4"/>
    <n v="60"/>
    <n v="142"/>
    <n v="173.6"/>
    <x v="1"/>
    <x v="1"/>
    <x v="0"/>
    <n v="59"/>
    <m/>
  </r>
  <r>
    <x v="2313"/>
    <x v="164"/>
    <x v="5"/>
    <n v="6"/>
    <n v="14"/>
    <s v="Saturday"/>
    <x v="5"/>
    <x v="11"/>
    <x v="7"/>
    <s v="Veg Momos"/>
    <x v="1"/>
    <n v="1"/>
    <n v="699"/>
    <n v="34.950000000000003"/>
    <n v="20"/>
    <n v="699"/>
    <n v="684.05"/>
    <x v="2"/>
    <x v="0"/>
    <x v="1"/>
    <n v="37"/>
    <n v="4.9000000000000004"/>
  </r>
  <r>
    <x v="2314"/>
    <x v="164"/>
    <x v="5"/>
    <n v="6"/>
    <n v="14"/>
    <s v="Saturday"/>
    <x v="4"/>
    <x v="7"/>
    <x v="9"/>
    <s v="Fried Rice"/>
    <x v="3"/>
    <n v="3"/>
    <n v="281"/>
    <n v="42.15"/>
    <n v="40"/>
    <n v="843"/>
    <n v="840.85"/>
    <x v="0"/>
    <x v="0"/>
    <x v="1"/>
    <n v="40"/>
    <n v="4.0999999999999996"/>
  </r>
  <r>
    <x v="2315"/>
    <x v="164"/>
    <x v="5"/>
    <n v="6"/>
    <n v="14"/>
    <s v="Saturday"/>
    <x v="3"/>
    <x v="10"/>
    <x v="6"/>
    <s v="Paneer Butter Masala"/>
    <x v="1"/>
    <n v="3"/>
    <n v="441"/>
    <n v="22.05"/>
    <n v="0"/>
    <n v="1323"/>
    <n v="1300.95"/>
    <x v="0"/>
    <x v="0"/>
    <x v="0"/>
    <n v="29"/>
    <n v="4.8"/>
  </r>
  <r>
    <x v="2316"/>
    <x v="164"/>
    <x v="5"/>
    <n v="6"/>
    <n v="14"/>
    <s v="Saturday"/>
    <x v="1"/>
    <x v="9"/>
    <x v="1"/>
    <s v="Chicken Burger"/>
    <x v="2"/>
    <n v="2"/>
    <n v="801"/>
    <n v="160.19999999999999"/>
    <n v="0"/>
    <n v="1602"/>
    <n v="1441.8"/>
    <x v="2"/>
    <x v="2"/>
    <x v="1"/>
    <n v="42"/>
    <m/>
  </r>
  <r>
    <x v="2317"/>
    <x v="164"/>
    <x v="5"/>
    <n v="6"/>
    <n v="14"/>
    <s v="Saturday"/>
    <x v="4"/>
    <x v="2"/>
    <x v="9"/>
    <s v="Chicken Biryani"/>
    <x v="2"/>
    <n v="1"/>
    <n v="439"/>
    <n v="21.95"/>
    <n v="60"/>
    <n v="439"/>
    <n v="477.05"/>
    <x v="0"/>
    <x v="0"/>
    <x v="1"/>
    <n v="43"/>
    <n v="3.4"/>
  </r>
  <r>
    <x v="2318"/>
    <x v="165"/>
    <x v="5"/>
    <n v="6"/>
    <n v="15"/>
    <s v="Sunday"/>
    <x v="1"/>
    <x v="2"/>
    <x v="7"/>
    <s v="Cold Coffee"/>
    <x v="0"/>
    <n v="1"/>
    <n v="767"/>
    <n v="115.05"/>
    <n v="70"/>
    <n v="767"/>
    <n v="721.95"/>
    <x v="4"/>
    <x v="0"/>
    <x v="1"/>
    <n v="25"/>
    <n v="3.9"/>
  </r>
  <r>
    <x v="2319"/>
    <x v="165"/>
    <x v="5"/>
    <n v="6"/>
    <n v="15"/>
    <s v="Sunday"/>
    <x v="5"/>
    <x v="10"/>
    <x v="6"/>
    <s v="Fried Rice"/>
    <x v="1"/>
    <n v="2"/>
    <n v="219"/>
    <n v="0"/>
    <n v="20"/>
    <n v="438"/>
    <n v="458"/>
    <x v="1"/>
    <x v="0"/>
    <x v="0"/>
    <n v="19"/>
    <n v="3.5"/>
  </r>
  <r>
    <x v="2320"/>
    <x v="165"/>
    <x v="5"/>
    <n v="6"/>
    <n v="15"/>
    <s v="Sunday"/>
    <x v="3"/>
    <x v="10"/>
    <x v="9"/>
    <s v="Chicken Pizza"/>
    <x v="2"/>
    <n v="3"/>
    <n v="840"/>
    <n v="84"/>
    <n v="40"/>
    <n v="2520"/>
    <n v="2476"/>
    <x v="0"/>
    <x v="0"/>
    <x v="0"/>
    <n v="59"/>
    <n v="2.7"/>
  </r>
  <r>
    <x v="2321"/>
    <x v="165"/>
    <x v="5"/>
    <n v="6"/>
    <n v="15"/>
    <s v="Sunday"/>
    <x v="5"/>
    <x v="1"/>
    <x v="1"/>
    <s v="Paneer Butter Masala"/>
    <x v="2"/>
    <n v="1"/>
    <n v="688"/>
    <n v="172"/>
    <n v="30"/>
    <n v="688"/>
    <n v="546"/>
    <x v="1"/>
    <x v="0"/>
    <x v="1"/>
    <n v="64"/>
    <n v="4.5999999999999996"/>
  </r>
  <r>
    <x v="2322"/>
    <x v="165"/>
    <x v="5"/>
    <n v="6"/>
    <n v="15"/>
    <s v="Sunday"/>
    <x v="1"/>
    <x v="5"/>
    <x v="8"/>
    <s v="Paneer Butter Masala"/>
    <x v="3"/>
    <n v="1"/>
    <n v="217"/>
    <n v="0"/>
    <n v="40"/>
    <n v="217"/>
    <n v="257"/>
    <x v="1"/>
    <x v="0"/>
    <x v="1"/>
    <n v="41"/>
    <n v="3.9"/>
  </r>
  <r>
    <x v="2323"/>
    <x v="165"/>
    <x v="5"/>
    <n v="6"/>
    <n v="15"/>
    <s v="Sunday"/>
    <x v="2"/>
    <x v="12"/>
    <x v="9"/>
    <s v="Chicken Momos"/>
    <x v="1"/>
    <n v="2"/>
    <n v="632"/>
    <n v="0"/>
    <n v="0"/>
    <n v="1264"/>
    <n v="1264"/>
    <x v="1"/>
    <x v="0"/>
    <x v="1"/>
    <n v="38"/>
    <n v="4.4000000000000004"/>
  </r>
  <r>
    <x v="2324"/>
    <x v="165"/>
    <x v="5"/>
    <n v="6"/>
    <n v="15"/>
    <s v="Sunday"/>
    <x v="5"/>
    <x v="6"/>
    <x v="7"/>
    <s v="Veg Pizza"/>
    <x v="1"/>
    <n v="2"/>
    <n v="297"/>
    <n v="59.4"/>
    <n v="60"/>
    <n v="594"/>
    <n v="594.6"/>
    <x v="4"/>
    <x v="0"/>
    <x v="1"/>
    <n v="68"/>
    <n v="4.2"/>
  </r>
  <r>
    <x v="2325"/>
    <x v="165"/>
    <x v="5"/>
    <n v="6"/>
    <n v="15"/>
    <s v="Sunday"/>
    <x v="9"/>
    <x v="7"/>
    <x v="6"/>
    <s v="Paneer Butter Masala"/>
    <x v="1"/>
    <n v="1"/>
    <n v="568"/>
    <n v="85.2"/>
    <n v="40"/>
    <n v="568"/>
    <n v="522.79999999999995"/>
    <x v="3"/>
    <x v="0"/>
    <x v="1"/>
    <n v="29"/>
    <n v="4"/>
  </r>
  <r>
    <x v="2326"/>
    <x v="165"/>
    <x v="5"/>
    <n v="6"/>
    <n v="15"/>
    <s v="Sunday"/>
    <x v="3"/>
    <x v="3"/>
    <x v="3"/>
    <s v="Chicken Biryani"/>
    <x v="1"/>
    <n v="2"/>
    <n v="240"/>
    <n v="0"/>
    <n v="70"/>
    <n v="480"/>
    <n v="550"/>
    <x v="1"/>
    <x v="0"/>
    <x v="1"/>
    <n v="39"/>
    <n v="3.1"/>
  </r>
  <r>
    <x v="2327"/>
    <x v="165"/>
    <x v="5"/>
    <n v="6"/>
    <n v="15"/>
    <s v="Sunday"/>
    <x v="5"/>
    <x v="4"/>
    <x v="5"/>
    <s v="Cold Coffee"/>
    <x v="2"/>
    <n v="1"/>
    <n v="613"/>
    <n v="153.25"/>
    <n v="30"/>
    <n v="613"/>
    <n v="489.75"/>
    <x v="3"/>
    <x v="0"/>
    <x v="1"/>
    <n v="66"/>
    <n v="4.8"/>
  </r>
  <r>
    <x v="2328"/>
    <x v="165"/>
    <x v="5"/>
    <n v="6"/>
    <n v="15"/>
    <s v="Sunday"/>
    <x v="3"/>
    <x v="5"/>
    <x v="4"/>
    <s v="Chicken Burger"/>
    <x v="1"/>
    <n v="2"/>
    <n v="125"/>
    <n v="25"/>
    <n v="60"/>
    <n v="250"/>
    <n v="285"/>
    <x v="2"/>
    <x v="0"/>
    <x v="1"/>
    <n v="64"/>
    <n v="4.2"/>
  </r>
  <r>
    <x v="2329"/>
    <x v="165"/>
    <x v="5"/>
    <n v="6"/>
    <n v="15"/>
    <s v="Sunday"/>
    <x v="2"/>
    <x v="6"/>
    <x v="8"/>
    <s v="Chicken Biryani"/>
    <x v="1"/>
    <n v="2"/>
    <n v="633"/>
    <n v="94.95"/>
    <n v="20"/>
    <n v="1266"/>
    <n v="1191.05"/>
    <x v="4"/>
    <x v="0"/>
    <x v="1"/>
    <n v="35"/>
    <n v="4.5"/>
  </r>
  <r>
    <x v="2330"/>
    <x v="165"/>
    <x v="5"/>
    <n v="6"/>
    <n v="15"/>
    <s v="Sunday"/>
    <x v="2"/>
    <x v="10"/>
    <x v="1"/>
    <s v="Veg Biryani"/>
    <x v="1"/>
    <n v="1"/>
    <n v="405"/>
    <n v="20.25"/>
    <n v="50"/>
    <n v="405"/>
    <n v="434.75"/>
    <x v="2"/>
    <x v="0"/>
    <x v="1"/>
    <n v="51"/>
    <n v="4.0999999999999996"/>
  </r>
  <r>
    <x v="2331"/>
    <x v="165"/>
    <x v="5"/>
    <n v="6"/>
    <n v="15"/>
    <s v="Sunday"/>
    <x v="4"/>
    <x v="0"/>
    <x v="0"/>
    <s v="Chicken Biryani"/>
    <x v="2"/>
    <n v="3"/>
    <n v="497"/>
    <n v="99.4"/>
    <n v="0"/>
    <n v="1491"/>
    <n v="1391.6"/>
    <x v="0"/>
    <x v="0"/>
    <x v="1"/>
    <n v="33"/>
    <n v="4.9000000000000004"/>
  </r>
  <r>
    <x v="2332"/>
    <x v="166"/>
    <x v="5"/>
    <n v="6"/>
    <n v="16"/>
    <s v="Monday"/>
    <x v="2"/>
    <x v="5"/>
    <x v="1"/>
    <s v="Idli Sambar"/>
    <x v="1"/>
    <n v="3"/>
    <n v="313"/>
    <n v="46.95"/>
    <n v="40"/>
    <n v="939"/>
    <n v="932.05"/>
    <x v="1"/>
    <x v="0"/>
    <x v="1"/>
    <n v="18"/>
    <n v="2.6"/>
  </r>
  <r>
    <x v="2333"/>
    <x v="166"/>
    <x v="5"/>
    <n v="6"/>
    <n v="16"/>
    <s v="Monday"/>
    <x v="3"/>
    <x v="13"/>
    <x v="0"/>
    <s v="Veg Burger"/>
    <x v="1"/>
    <n v="1"/>
    <n v="675"/>
    <n v="168.75"/>
    <n v="50"/>
    <n v="675"/>
    <n v="556.25"/>
    <x v="3"/>
    <x v="0"/>
    <x v="1"/>
    <n v="63"/>
    <n v="4.0999999999999996"/>
  </r>
  <r>
    <x v="2334"/>
    <x v="166"/>
    <x v="5"/>
    <n v="6"/>
    <n v="16"/>
    <s v="Monday"/>
    <x v="1"/>
    <x v="12"/>
    <x v="2"/>
    <s v="Idli Sambar"/>
    <x v="2"/>
    <n v="2"/>
    <n v="434"/>
    <n v="21.7"/>
    <n v="20"/>
    <n v="868"/>
    <n v="866.3"/>
    <x v="3"/>
    <x v="0"/>
    <x v="0"/>
    <n v="39"/>
    <n v="4.4000000000000004"/>
  </r>
  <r>
    <x v="2335"/>
    <x v="166"/>
    <x v="5"/>
    <n v="6"/>
    <n v="16"/>
    <s v="Monday"/>
    <x v="8"/>
    <x v="2"/>
    <x v="3"/>
    <s v="Fried Rice"/>
    <x v="1"/>
    <n v="1"/>
    <n v="156"/>
    <n v="15.6"/>
    <n v="50"/>
    <n v="156"/>
    <n v="190.4"/>
    <x v="0"/>
    <x v="1"/>
    <x v="1"/>
    <n v="32"/>
    <m/>
  </r>
  <r>
    <x v="2336"/>
    <x v="166"/>
    <x v="5"/>
    <n v="6"/>
    <n v="16"/>
    <s v="Monday"/>
    <x v="3"/>
    <x v="5"/>
    <x v="8"/>
    <s v="Pasta"/>
    <x v="3"/>
    <n v="2"/>
    <n v="305"/>
    <n v="61"/>
    <n v="70"/>
    <n v="610"/>
    <n v="619"/>
    <x v="2"/>
    <x v="0"/>
    <x v="1"/>
    <n v="19"/>
    <n v="5"/>
  </r>
  <r>
    <x v="2337"/>
    <x v="166"/>
    <x v="5"/>
    <n v="6"/>
    <n v="16"/>
    <s v="Monday"/>
    <x v="5"/>
    <x v="5"/>
    <x v="7"/>
    <s v="Idli Sambar"/>
    <x v="2"/>
    <n v="1"/>
    <n v="205"/>
    <n v="10.25"/>
    <n v="40"/>
    <n v="205"/>
    <n v="234.75"/>
    <x v="1"/>
    <x v="0"/>
    <x v="0"/>
    <n v="21"/>
    <n v="3.6"/>
  </r>
  <r>
    <x v="2338"/>
    <x v="166"/>
    <x v="5"/>
    <n v="6"/>
    <n v="16"/>
    <s v="Monday"/>
    <x v="5"/>
    <x v="3"/>
    <x v="0"/>
    <s v="Veg Momos"/>
    <x v="2"/>
    <n v="2"/>
    <n v="154"/>
    <n v="15.4"/>
    <n v="60"/>
    <n v="308"/>
    <n v="352.6"/>
    <x v="1"/>
    <x v="0"/>
    <x v="1"/>
    <n v="34"/>
    <n v="4.5"/>
  </r>
  <r>
    <x v="2339"/>
    <x v="166"/>
    <x v="5"/>
    <n v="6"/>
    <n v="16"/>
    <s v="Monday"/>
    <x v="5"/>
    <x v="9"/>
    <x v="1"/>
    <s v="Chicken Biryani"/>
    <x v="1"/>
    <n v="1"/>
    <n v="548"/>
    <n v="54.8"/>
    <n v="0"/>
    <n v="548"/>
    <n v="493.2"/>
    <x v="1"/>
    <x v="0"/>
    <x v="0"/>
    <n v="28"/>
    <n v="4.2"/>
  </r>
  <r>
    <x v="2340"/>
    <x v="166"/>
    <x v="5"/>
    <n v="6"/>
    <n v="16"/>
    <s v="Monday"/>
    <x v="4"/>
    <x v="2"/>
    <x v="4"/>
    <s v="Veg Biryani"/>
    <x v="2"/>
    <n v="2"/>
    <n v="327"/>
    <n v="16.350000000000001"/>
    <n v="0"/>
    <n v="654"/>
    <n v="637.65"/>
    <x v="4"/>
    <x v="0"/>
    <x v="1"/>
    <n v="69"/>
    <n v="3.8"/>
  </r>
  <r>
    <x v="2341"/>
    <x v="166"/>
    <x v="5"/>
    <n v="6"/>
    <n v="16"/>
    <s v="Monday"/>
    <x v="7"/>
    <x v="4"/>
    <x v="5"/>
    <s v="Chicken Biryani"/>
    <x v="2"/>
    <n v="1"/>
    <n v="852"/>
    <n v="213"/>
    <n v="70"/>
    <n v="852"/>
    <n v="709"/>
    <x v="4"/>
    <x v="0"/>
    <x v="1"/>
    <n v="39"/>
    <n v="4.4000000000000004"/>
  </r>
  <r>
    <x v="2342"/>
    <x v="166"/>
    <x v="5"/>
    <n v="6"/>
    <n v="16"/>
    <s v="Monday"/>
    <x v="1"/>
    <x v="6"/>
    <x v="2"/>
    <s v="Paneer Butter Masala"/>
    <x v="1"/>
    <n v="2"/>
    <n v="141"/>
    <n v="21.15"/>
    <n v="40"/>
    <n v="282"/>
    <n v="300.85000000000002"/>
    <x v="3"/>
    <x v="2"/>
    <x v="1"/>
    <n v="21"/>
    <m/>
  </r>
  <r>
    <x v="2343"/>
    <x v="167"/>
    <x v="5"/>
    <n v="6"/>
    <n v="17"/>
    <s v="Tuesday"/>
    <x v="1"/>
    <x v="1"/>
    <x v="0"/>
    <s v="Chicken Biryani"/>
    <x v="1"/>
    <n v="1"/>
    <n v="373"/>
    <n v="55.95"/>
    <n v="70"/>
    <n v="373"/>
    <n v="387.05"/>
    <x v="1"/>
    <x v="0"/>
    <x v="0"/>
    <n v="63"/>
    <n v="4.9000000000000004"/>
  </r>
  <r>
    <x v="2344"/>
    <x v="167"/>
    <x v="5"/>
    <n v="6"/>
    <n v="17"/>
    <s v="Tuesday"/>
    <x v="4"/>
    <x v="1"/>
    <x v="0"/>
    <s v="Chocolate Cake"/>
    <x v="2"/>
    <n v="2"/>
    <n v="357"/>
    <n v="17.850000000000001"/>
    <n v="30"/>
    <n v="714"/>
    <n v="726.15"/>
    <x v="4"/>
    <x v="0"/>
    <x v="1"/>
    <n v="30"/>
    <n v="3.6"/>
  </r>
  <r>
    <x v="2345"/>
    <x v="167"/>
    <x v="5"/>
    <n v="6"/>
    <n v="17"/>
    <s v="Tuesday"/>
    <x v="3"/>
    <x v="4"/>
    <x v="7"/>
    <s v="Veg Pizza"/>
    <x v="1"/>
    <n v="1"/>
    <n v="333"/>
    <n v="49.95"/>
    <n v="40"/>
    <n v="333"/>
    <n v="323.05"/>
    <x v="0"/>
    <x v="1"/>
    <x v="1"/>
    <n v="34"/>
    <m/>
  </r>
  <r>
    <x v="2346"/>
    <x v="167"/>
    <x v="5"/>
    <n v="6"/>
    <n v="17"/>
    <s v="Tuesday"/>
    <x v="4"/>
    <x v="5"/>
    <x v="5"/>
    <s v="Idli Sambar"/>
    <x v="1"/>
    <n v="1"/>
    <n v="781"/>
    <n v="117.15"/>
    <n v="30"/>
    <n v="781"/>
    <n v="693.85"/>
    <x v="4"/>
    <x v="0"/>
    <x v="1"/>
    <n v="65"/>
    <n v="3.3"/>
  </r>
  <r>
    <x v="2347"/>
    <x v="167"/>
    <x v="5"/>
    <n v="6"/>
    <n v="17"/>
    <s v="Tuesday"/>
    <x v="3"/>
    <x v="0"/>
    <x v="6"/>
    <s v="Idli Sambar"/>
    <x v="1"/>
    <n v="1"/>
    <n v="362"/>
    <n v="18.100000000000001"/>
    <n v="70"/>
    <n v="362"/>
    <n v="413.9"/>
    <x v="3"/>
    <x v="0"/>
    <x v="1"/>
    <n v="55"/>
    <n v="4.5"/>
  </r>
  <r>
    <x v="2348"/>
    <x v="167"/>
    <x v="5"/>
    <n v="6"/>
    <n v="17"/>
    <s v="Tuesday"/>
    <x v="3"/>
    <x v="0"/>
    <x v="1"/>
    <s v="Veg Burger"/>
    <x v="1"/>
    <n v="2"/>
    <n v="321"/>
    <n v="80.25"/>
    <n v="0"/>
    <n v="642"/>
    <n v="561.75"/>
    <x v="2"/>
    <x v="0"/>
    <x v="0"/>
    <n v="48"/>
    <n v="3.7"/>
  </r>
  <r>
    <x v="2349"/>
    <x v="167"/>
    <x v="5"/>
    <n v="6"/>
    <n v="17"/>
    <s v="Tuesday"/>
    <x v="9"/>
    <x v="14"/>
    <x v="3"/>
    <s v="Chicken Pizza"/>
    <x v="1"/>
    <n v="2"/>
    <n v="709"/>
    <n v="106.35"/>
    <n v="0"/>
    <n v="1418"/>
    <n v="1311.65"/>
    <x v="2"/>
    <x v="0"/>
    <x v="1"/>
    <n v="37"/>
    <n v="5"/>
  </r>
  <r>
    <x v="2350"/>
    <x v="167"/>
    <x v="5"/>
    <n v="6"/>
    <n v="17"/>
    <s v="Tuesday"/>
    <x v="4"/>
    <x v="12"/>
    <x v="2"/>
    <s v="Veg Momos"/>
    <x v="1"/>
    <n v="1"/>
    <n v="233"/>
    <n v="58.25"/>
    <n v="40"/>
    <n v="233"/>
    <n v="214.75"/>
    <x v="0"/>
    <x v="1"/>
    <x v="0"/>
    <n v="43"/>
    <m/>
  </r>
  <r>
    <x v="2351"/>
    <x v="167"/>
    <x v="5"/>
    <n v="6"/>
    <n v="17"/>
    <s v="Tuesday"/>
    <x v="5"/>
    <x v="14"/>
    <x v="9"/>
    <s v="Chicken Momos"/>
    <x v="1"/>
    <n v="1"/>
    <n v="455"/>
    <n v="113.75"/>
    <n v="40"/>
    <n v="455"/>
    <n v="381.25"/>
    <x v="0"/>
    <x v="3"/>
    <x v="1"/>
    <n v="59"/>
    <m/>
  </r>
  <r>
    <x v="2352"/>
    <x v="167"/>
    <x v="5"/>
    <n v="6"/>
    <n v="17"/>
    <s v="Tuesday"/>
    <x v="2"/>
    <x v="0"/>
    <x v="8"/>
    <s v="Chicken Burger"/>
    <x v="1"/>
    <n v="1"/>
    <n v="874"/>
    <n v="131.1"/>
    <n v="40"/>
    <n v="874"/>
    <n v="782.9"/>
    <x v="1"/>
    <x v="0"/>
    <x v="1"/>
    <n v="57"/>
    <n v="4.4000000000000004"/>
  </r>
  <r>
    <x v="2353"/>
    <x v="167"/>
    <x v="5"/>
    <n v="6"/>
    <n v="17"/>
    <s v="Tuesday"/>
    <x v="3"/>
    <x v="4"/>
    <x v="4"/>
    <s v="Veg Biryani"/>
    <x v="1"/>
    <n v="2"/>
    <n v="512"/>
    <n v="102.4"/>
    <n v="50"/>
    <n v="1024"/>
    <n v="971.6"/>
    <x v="1"/>
    <x v="0"/>
    <x v="1"/>
    <n v="21"/>
    <n v="4.0999999999999996"/>
  </r>
  <r>
    <x v="2354"/>
    <x v="168"/>
    <x v="5"/>
    <n v="6"/>
    <n v="18"/>
    <s v="Wednesday"/>
    <x v="5"/>
    <x v="0"/>
    <x v="6"/>
    <s v="Idli Sambar"/>
    <x v="1"/>
    <n v="2"/>
    <n v="535"/>
    <n v="53.5"/>
    <n v="60"/>
    <n v="1070"/>
    <n v="1076.5"/>
    <x v="2"/>
    <x v="0"/>
    <x v="1"/>
    <n v="22"/>
    <n v="4.5999999999999996"/>
  </r>
  <r>
    <x v="2355"/>
    <x v="168"/>
    <x v="5"/>
    <n v="6"/>
    <n v="18"/>
    <s v="Wednesday"/>
    <x v="4"/>
    <x v="4"/>
    <x v="1"/>
    <s v="Cold Coffee"/>
    <x v="2"/>
    <n v="1"/>
    <n v="527"/>
    <n v="26.35"/>
    <n v="50"/>
    <n v="527"/>
    <n v="550.65"/>
    <x v="1"/>
    <x v="1"/>
    <x v="1"/>
    <n v="43"/>
    <m/>
  </r>
  <r>
    <x v="2356"/>
    <x v="168"/>
    <x v="5"/>
    <n v="6"/>
    <n v="18"/>
    <s v="Wednesday"/>
    <x v="6"/>
    <x v="6"/>
    <x v="5"/>
    <s v="Fried Rice"/>
    <x v="1"/>
    <n v="1"/>
    <n v="337"/>
    <n v="33.700000000000003"/>
    <n v="30"/>
    <n v="337"/>
    <n v="333.3"/>
    <x v="0"/>
    <x v="0"/>
    <x v="1"/>
    <n v="23"/>
    <n v="4.5"/>
  </r>
  <r>
    <x v="2357"/>
    <x v="168"/>
    <x v="5"/>
    <n v="6"/>
    <n v="18"/>
    <s v="Wednesday"/>
    <x v="1"/>
    <x v="0"/>
    <x v="7"/>
    <s v="Pasta"/>
    <x v="3"/>
    <n v="1"/>
    <n v="738"/>
    <n v="73.8"/>
    <n v="60"/>
    <n v="738"/>
    <n v="724.2"/>
    <x v="1"/>
    <x v="0"/>
    <x v="0"/>
    <n v="55"/>
    <n v="4.2"/>
  </r>
  <r>
    <x v="2358"/>
    <x v="168"/>
    <x v="5"/>
    <n v="6"/>
    <n v="18"/>
    <s v="Wednesday"/>
    <x v="6"/>
    <x v="13"/>
    <x v="8"/>
    <s v="Masala Dosa"/>
    <x v="1"/>
    <n v="1"/>
    <n v="618"/>
    <n v="92.7"/>
    <n v="70"/>
    <n v="618"/>
    <n v="595.29999999999995"/>
    <x v="0"/>
    <x v="0"/>
    <x v="1"/>
    <n v="37"/>
    <n v="3.8"/>
  </r>
  <r>
    <x v="2359"/>
    <x v="168"/>
    <x v="5"/>
    <n v="6"/>
    <n v="18"/>
    <s v="Wednesday"/>
    <x v="3"/>
    <x v="12"/>
    <x v="9"/>
    <s v="Veg Momos"/>
    <x v="1"/>
    <n v="2"/>
    <n v="804"/>
    <n v="40.200000000000003"/>
    <n v="40"/>
    <n v="1608"/>
    <n v="1607.8"/>
    <x v="4"/>
    <x v="0"/>
    <x v="0"/>
    <n v="56"/>
    <n v="3.4"/>
  </r>
  <r>
    <x v="2360"/>
    <x v="168"/>
    <x v="5"/>
    <n v="6"/>
    <n v="18"/>
    <s v="Wednesday"/>
    <x v="5"/>
    <x v="7"/>
    <x v="0"/>
    <s v="Veg Pizza"/>
    <x v="1"/>
    <n v="1"/>
    <n v="876"/>
    <n v="43.8"/>
    <n v="20"/>
    <n v="876"/>
    <n v="852.2"/>
    <x v="1"/>
    <x v="0"/>
    <x v="1"/>
    <n v="41"/>
    <n v="4.5"/>
  </r>
  <r>
    <x v="2361"/>
    <x v="168"/>
    <x v="5"/>
    <n v="6"/>
    <n v="18"/>
    <s v="Wednesday"/>
    <x v="3"/>
    <x v="9"/>
    <x v="8"/>
    <s v="Veg Biryani"/>
    <x v="0"/>
    <n v="2"/>
    <n v="364"/>
    <n v="91"/>
    <n v="50"/>
    <n v="728"/>
    <n v="687"/>
    <x v="1"/>
    <x v="0"/>
    <x v="0"/>
    <n v="68"/>
    <n v="3.6"/>
  </r>
  <r>
    <x v="2362"/>
    <x v="168"/>
    <x v="5"/>
    <n v="6"/>
    <n v="18"/>
    <s v="Wednesday"/>
    <x v="0"/>
    <x v="7"/>
    <x v="4"/>
    <s v="French Fries"/>
    <x v="1"/>
    <n v="2"/>
    <n v="176"/>
    <n v="8.8000000000000007"/>
    <n v="40"/>
    <n v="352"/>
    <n v="383.2"/>
    <x v="1"/>
    <x v="2"/>
    <x v="0"/>
    <n v="67"/>
    <m/>
  </r>
  <r>
    <x v="2363"/>
    <x v="168"/>
    <x v="5"/>
    <n v="6"/>
    <n v="18"/>
    <s v="Wednesday"/>
    <x v="3"/>
    <x v="14"/>
    <x v="5"/>
    <s v="Veg Pizza"/>
    <x v="1"/>
    <n v="2"/>
    <n v="194"/>
    <n v="29.1"/>
    <n v="40"/>
    <n v="388"/>
    <n v="398.9"/>
    <x v="0"/>
    <x v="0"/>
    <x v="0"/>
    <n v="55"/>
    <n v="4.8"/>
  </r>
  <r>
    <x v="2364"/>
    <x v="168"/>
    <x v="5"/>
    <n v="6"/>
    <n v="18"/>
    <s v="Wednesday"/>
    <x v="0"/>
    <x v="9"/>
    <x v="1"/>
    <s v="Idli Sambar"/>
    <x v="2"/>
    <n v="2"/>
    <n v="571"/>
    <n v="28.55"/>
    <n v="40"/>
    <n v="1142"/>
    <n v="1153.45"/>
    <x v="3"/>
    <x v="0"/>
    <x v="1"/>
    <n v="27"/>
    <n v="4.9000000000000004"/>
  </r>
  <r>
    <x v="2365"/>
    <x v="169"/>
    <x v="5"/>
    <n v="6"/>
    <n v="19"/>
    <s v="Thursday"/>
    <x v="9"/>
    <x v="11"/>
    <x v="1"/>
    <s v="Cold Coffee"/>
    <x v="3"/>
    <n v="1"/>
    <n v="852"/>
    <n v="127.8"/>
    <n v="20"/>
    <n v="852"/>
    <n v="744.2"/>
    <x v="2"/>
    <x v="0"/>
    <x v="0"/>
    <n v="48"/>
    <n v="4.8"/>
  </r>
  <r>
    <x v="2366"/>
    <x v="169"/>
    <x v="5"/>
    <n v="6"/>
    <n v="19"/>
    <s v="Thursday"/>
    <x v="3"/>
    <x v="12"/>
    <x v="1"/>
    <s v="Chicken Pizza"/>
    <x v="1"/>
    <n v="2"/>
    <n v="580"/>
    <n v="116"/>
    <n v="30"/>
    <n v="1160"/>
    <n v="1074"/>
    <x v="0"/>
    <x v="0"/>
    <x v="1"/>
    <n v="60"/>
    <n v="3.2"/>
  </r>
  <r>
    <x v="2367"/>
    <x v="169"/>
    <x v="5"/>
    <n v="6"/>
    <n v="19"/>
    <s v="Thursday"/>
    <x v="5"/>
    <x v="11"/>
    <x v="6"/>
    <s v="Masala Dosa"/>
    <x v="3"/>
    <n v="1"/>
    <n v="585"/>
    <n v="0"/>
    <n v="40"/>
    <n v="585"/>
    <n v="625"/>
    <x v="1"/>
    <x v="0"/>
    <x v="0"/>
    <n v="66"/>
    <n v="5"/>
  </r>
  <r>
    <x v="2368"/>
    <x v="169"/>
    <x v="5"/>
    <n v="6"/>
    <n v="19"/>
    <s v="Thursday"/>
    <x v="9"/>
    <x v="4"/>
    <x v="3"/>
    <s v="Paneer Butter Masala"/>
    <x v="3"/>
    <n v="3"/>
    <n v="841"/>
    <n v="84.1"/>
    <n v="30"/>
    <n v="2523"/>
    <n v="2468.9"/>
    <x v="2"/>
    <x v="0"/>
    <x v="0"/>
    <n v="69"/>
    <n v="4.4000000000000004"/>
  </r>
  <r>
    <x v="2369"/>
    <x v="169"/>
    <x v="5"/>
    <n v="6"/>
    <n v="19"/>
    <s v="Thursday"/>
    <x v="0"/>
    <x v="5"/>
    <x v="6"/>
    <s v="Chicken Biryani"/>
    <x v="1"/>
    <n v="2"/>
    <n v="724"/>
    <n v="36.200000000000003"/>
    <n v="30"/>
    <n v="1448"/>
    <n v="1441.8"/>
    <x v="2"/>
    <x v="0"/>
    <x v="1"/>
    <n v="70"/>
    <n v="4"/>
  </r>
  <r>
    <x v="2370"/>
    <x v="169"/>
    <x v="5"/>
    <n v="6"/>
    <n v="19"/>
    <s v="Thursday"/>
    <x v="3"/>
    <x v="13"/>
    <x v="5"/>
    <s v="Veg Burger"/>
    <x v="2"/>
    <n v="1"/>
    <n v="812"/>
    <n v="121.8"/>
    <n v="0"/>
    <n v="812"/>
    <n v="690.2"/>
    <x v="0"/>
    <x v="1"/>
    <x v="1"/>
    <n v="63"/>
    <m/>
  </r>
  <r>
    <x v="2371"/>
    <x v="169"/>
    <x v="5"/>
    <n v="6"/>
    <n v="19"/>
    <s v="Thursday"/>
    <x v="9"/>
    <x v="10"/>
    <x v="2"/>
    <s v="Paneer Butter Masala"/>
    <x v="1"/>
    <n v="1"/>
    <n v="147"/>
    <n v="14.7"/>
    <n v="50"/>
    <n v="147"/>
    <n v="182.3"/>
    <x v="0"/>
    <x v="0"/>
    <x v="1"/>
    <n v="31"/>
    <n v="4.3"/>
  </r>
  <r>
    <x v="2372"/>
    <x v="169"/>
    <x v="5"/>
    <n v="6"/>
    <n v="19"/>
    <s v="Thursday"/>
    <x v="6"/>
    <x v="3"/>
    <x v="6"/>
    <s v="Chicken Momos"/>
    <x v="1"/>
    <n v="2"/>
    <n v="512"/>
    <n v="76.8"/>
    <n v="60"/>
    <n v="1024"/>
    <n v="1007.2"/>
    <x v="2"/>
    <x v="0"/>
    <x v="1"/>
    <n v="68"/>
    <n v="3.5"/>
  </r>
  <r>
    <x v="2373"/>
    <x v="169"/>
    <x v="5"/>
    <n v="6"/>
    <n v="19"/>
    <s v="Thursday"/>
    <x v="7"/>
    <x v="5"/>
    <x v="9"/>
    <s v="French Fries"/>
    <x v="2"/>
    <n v="1"/>
    <n v="286"/>
    <n v="28.6"/>
    <n v="30"/>
    <n v="286"/>
    <n v="287.39999999999998"/>
    <x v="2"/>
    <x v="0"/>
    <x v="0"/>
    <n v="43"/>
    <n v="4.5"/>
  </r>
  <r>
    <x v="2374"/>
    <x v="169"/>
    <x v="5"/>
    <n v="6"/>
    <n v="19"/>
    <s v="Thursday"/>
    <x v="0"/>
    <x v="5"/>
    <x v="6"/>
    <s v="Veg Burger"/>
    <x v="1"/>
    <n v="3"/>
    <n v="292"/>
    <n v="43.8"/>
    <n v="20"/>
    <n v="876"/>
    <n v="852.2"/>
    <x v="1"/>
    <x v="0"/>
    <x v="1"/>
    <n v="55"/>
    <n v="2.6"/>
  </r>
  <r>
    <x v="2375"/>
    <x v="169"/>
    <x v="5"/>
    <n v="6"/>
    <n v="19"/>
    <s v="Thursday"/>
    <x v="5"/>
    <x v="9"/>
    <x v="4"/>
    <s v="French Fries"/>
    <x v="1"/>
    <n v="1"/>
    <n v="642"/>
    <n v="96.3"/>
    <n v="30"/>
    <n v="642"/>
    <n v="575.70000000000005"/>
    <x v="3"/>
    <x v="0"/>
    <x v="1"/>
    <n v="55"/>
    <n v="3.3"/>
  </r>
  <r>
    <x v="2376"/>
    <x v="169"/>
    <x v="5"/>
    <n v="6"/>
    <n v="19"/>
    <s v="Thursday"/>
    <x v="0"/>
    <x v="13"/>
    <x v="3"/>
    <s v="Cold Coffee"/>
    <x v="1"/>
    <n v="2"/>
    <n v="796"/>
    <n v="79.599999999999994"/>
    <n v="30"/>
    <n v="1592"/>
    <n v="1542.4"/>
    <x v="3"/>
    <x v="0"/>
    <x v="1"/>
    <n v="66"/>
    <n v="4.0999999999999996"/>
  </r>
  <r>
    <x v="2377"/>
    <x v="169"/>
    <x v="5"/>
    <n v="6"/>
    <n v="19"/>
    <s v="Thursday"/>
    <x v="9"/>
    <x v="13"/>
    <x v="7"/>
    <s v="Pasta"/>
    <x v="2"/>
    <n v="3"/>
    <n v="415"/>
    <n v="83"/>
    <n v="0"/>
    <n v="1245"/>
    <n v="1162"/>
    <x v="2"/>
    <x v="0"/>
    <x v="0"/>
    <n v="25"/>
    <n v="2.5"/>
  </r>
  <r>
    <x v="2378"/>
    <x v="169"/>
    <x v="5"/>
    <n v="6"/>
    <n v="19"/>
    <s v="Thursday"/>
    <x v="1"/>
    <x v="0"/>
    <x v="0"/>
    <s v="Paneer Butter Masala"/>
    <x v="2"/>
    <n v="2"/>
    <n v="298"/>
    <n v="29.8"/>
    <n v="50"/>
    <n v="596"/>
    <n v="616.20000000000005"/>
    <x v="0"/>
    <x v="0"/>
    <x v="1"/>
    <n v="66"/>
    <n v="4"/>
  </r>
  <r>
    <x v="2379"/>
    <x v="169"/>
    <x v="5"/>
    <n v="6"/>
    <n v="19"/>
    <s v="Thursday"/>
    <x v="4"/>
    <x v="12"/>
    <x v="5"/>
    <s v="Fried Rice"/>
    <x v="1"/>
    <n v="1"/>
    <n v="752"/>
    <n v="150.4"/>
    <n v="40"/>
    <n v="752"/>
    <n v="641.6"/>
    <x v="1"/>
    <x v="0"/>
    <x v="1"/>
    <n v="46"/>
    <n v="4.5"/>
  </r>
  <r>
    <x v="2380"/>
    <x v="169"/>
    <x v="5"/>
    <n v="6"/>
    <n v="19"/>
    <s v="Thursday"/>
    <x v="5"/>
    <x v="4"/>
    <x v="0"/>
    <s v="Cold Coffee"/>
    <x v="1"/>
    <n v="1"/>
    <n v="167"/>
    <n v="0"/>
    <n v="50"/>
    <n v="167"/>
    <n v="217"/>
    <x v="2"/>
    <x v="0"/>
    <x v="1"/>
    <n v="33"/>
    <n v="4"/>
  </r>
  <r>
    <x v="2381"/>
    <x v="170"/>
    <x v="5"/>
    <n v="6"/>
    <n v="20"/>
    <s v="Friday"/>
    <x v="9"/>
    <x v="6"/>
    <x v="8"/>
    <s v="Chicken Pizza"/>
    <x v="2"/>
    <n v="3"/>
    <n v="501"/>
    <n v="100.2"/>
    <n v="20"/>
    <n v="1503"/>
    <n v="1422.8"/>
    <x v="2"/>
    <x v="0"/>
    <x v="0"/>
    <n v="65"/>
    <n v="4.0999999999999996"/>
  </r>
  <r>
    <x v="2382"/>
    <x v="170"/>
    <x v="5"/>
    <n v="6"/>
    <n v="20"/>
    <s v="Friday"/>
    <x v="0"/>
    <x v="2"/>
    <x v="1"/>
    <s v="Veg Momos"/>
    <x v="0"/>
    <n v="2"/>
    <n v="126"/>
    <n v="6.3"/>
    <n v="20"/>
    <n v="252"/>
    <n v="265.7"/>
    <x v="1"/>
    <x v="0"/>
    <x v="0"/>
    <n v="19"/>
    <n v="4"/>
  </r>
  <r>
    <x v="2383"/>
    <x v="170"/>
    <x v="5"/>
    <n v="6"/>
    <n v="20"/>
    <s v="Friday"/>
    <x v="3"/>
    <x v="2"/>
    <x v="3"/>
    <s v="Masala Dosa"/>
    <x v="3"/>
    <n v="2"/>
    <n v="375"/>
    <n v="18.75"/>
    <n v="40"/>
    <n v="750"/>
    <n v="771.25"/>
    <x v="2"/>
    <x v="0"/>
    <x v="1"/>
    <n v="46"/>
    <n v="3.7"/>
  </r>
  <r>
    <x v="2384"/>
    <x v="170"/>
    <x v="5"/>
    <n v="6"/>
    <n v="20"/>
    <s v="Friday"/>
    <x v="0"/>
    <x v="10"/>
    <x v="1"/>
    <s v="Masala Dosa"/>
    <x v="1"/>
    <n v="2"/>
    <n v="411"/>
    <n v="0"/>
    <n v="0"/>
    <n v="822"/>
    <n v="822"/>
    <x v="1"/>
    <x v="2"/>
    <x v="0"/>
    <n v="48"/>
    <m/>
  </r>
  <r>
    <x v="2385"/>
    <x v="170"/>
    <x v="5"/>
    <n v="6"/>
    <n v="20"/>
    <s v="Friday"/>
    <x v="5"/>
    <x v="0"/>
    <x v="3"/>
    <s v="Veg Momos"/>
    <x v="1"/>
    <n v="2"/>
    <n v="273"/>
    <n v="27.3"/>
    <n v="50"/>
    <n v="546"/>
    <n v="568.70000000000005"/>
    <x v="3"/>
    <x v="0"/>
    <x v="0"/>
    <n v="48"/>
    <n v="4.4000000000000004"/>
  </r>
  <r>
    <x v="2386"/>
    <x v="170"/>
    <x v="5"/>
    <n v="6"/>
    <n v="20"/>
    <s v="Friday"/>
    <x v="1"/>
    <x v="3"/>
    <x v="1"/>
    <s v="Paneer Butter Masala"/>
    <x v="1"/>
    <n v="1"/>
    <n v="451"/>
    <n v="90.2"/>
    <n v="0"/>
    <n v="451"/>
    <n v="360.8"/>
    <x v="1"/>
    <x v="0"/>
    <x v="1"/>
    <n v="56"/>
    <n v="3.5"/>
  </r>
  <r>
    <x v="2387"/>
    <x v="170"/>
    <x v="5"/>
    <n v="6"/>
    <n v="20"/>
    <s v="Friday"/>
    <x v="2"/>
    <x v="10"/>
    <x v="9"/>
    <s v="Chicken Biryani"/>
    <x v="2"/>
    <n v="1"/>
    <n v="717"/>
    <n v="71.7"/>
    <n v="50"/>
    <n v="717"/>
    <n v="695.3"/>
    <x v="0"/>
    <x v="0"/>
    <x v="1"/>
    <n v="36"/>
    <n v="4.3"/>
  </r>
  <r>
    <x v="2388"/>
    <x v="170"/>
    <x v="5"/>
    <n v="6"/>
    <n v="20"/>
    <s v="Friday"/>
    <x v="0"/>
    <x v="3"/>
    <x v="1"/>
    <s v="Cold Coffee"/>
    <x v="1"/>
    <n v="1"/>
    <n v="184"/>
    <n v="36.799999999999997"/>
    <n v="40"/>
    <n v="184"/>
    <n v="187.2"/>
    <x v="1"/>
    <x v="0"/>
    <x v="1"/>
    <n v="64"/>
    <n v="4.5"/>
  </r>
  <r>
    <x v="2389"/>
    <x v="170"/>
    <x v="5"/>
    <n v="6"/>
    <n v="20"/>
    <s v="Friday"/>
    <x v="9"/>
    <x v="7"/>
    <x v="8"/>
    <s v="Chicken Burger"/>
    <x v="0"/>
    <n v="1"/>
    <n v="864"/>
    <n v="172.8"/>
    <n v="40"/>
    <n v="864"/>
    <n v="731.2"/>
    <x v="1"/>
    <x v="0"/>
    <x v="1"/>
    <n v="40"/>
    <n v="5"/>
  </r>
  <r>
    <x v="2390"/>
    <x v="170"/>
    <x v="5"/>
    <n v="6"/>
    <n v="20"/>
    <s v="Friday"/>
    <x v="4"/>
    <x v="6"/>
    <x v="4"/>
    <s v="Veg Burger"/>
    <x v="3"/>
    <n v="1"/>
    <n v="368"/>
    <n v="0"/>
    <n v="50"/>
    <n v="368"/>
    <n v="418"/>
    <x v="2"/>
    <x v="0"/>
    <x v="1"/>
    <n v="34"/>
    <n v="3.5"/>
  </r>
  <r>
    <x v="2391"/>
    <x v="171"/>
    <x v="5"/>
    <n v="6"/>
    <n v="21"/>
    <s v="Saturday"/>
    <x v="4"/>
    <x v="0"/>
    <x v="8"/>
    <s v="Veg Biryani"/>
    <x v="2"/>
    <n v="2"/>
    <n v="846"/>
    <n v="169.2"/>
    <n v="30"/>
    <n v="1692"/>
    <n v="1552.8"/>
    <x v="2"/>
    <x v="2"/>
    <x v="1"/>
    <n v="58"/>
    <m/>
  </r>
  <r>
    <x v="2392"/>
    <x v="171"/>
    <x v="5"/>
    <n v="6"/>
    <n v="21"/>
    <s v="Saturday"/>
    <x v="7"/>
    <x v="11"/>
    <x v="0"/>
    <s v="Chicken Burger"/>
    <x v="0"/>
    <n v="3"/>
    <n v="872"/>
    <n v="218"/>
    <n v="30"/>
    <n v="2616"/>
    <n v="2428"/>
    <x v="2"/>
    <x v="0"/>
    <x v="1"/>
    <n v="64"/>
    <n v="3"/>
  </r>
  <r>
    <x v="2393"/>
    <x v="171"/>
    <x v="5"/>
    <n v="6"/>
    <n v="21"/>
    <s v="Saturday"/>
    <x v="0"/>
    <x v="0"/>
    <x v="6"/>
    <s v="Veg Pizza"/>
    <x v="1"/>
    <n v="1"/>
    <n v="770"/>
    <n v="77"/>
    <n v="40"/>
    <n v="770"/>
    <n v="733"/>
    <x v="1"/>
    <x v="0"/>
    <x v="1"/>
    <n v="36"/>
    <n v="3.6"/>
  </r>
  <r>
    <x v="2394"/>
    <x v="171"/>
    <x v="5"/>
    <n v="6"/>
    <n v="21"/>
    <s v="Saturday"/>
    <x v="4"/>
    <x v="10"/>
    <x v="3"/>
    <s v="Veg Burger"/>
    <x v="1"/>
    <n v="2"/>
    <n v="318"/>
    <n v="47.7"/>
    <n v="50"/>
    <n v="636"/>
    <n v="638.29999999999995"/>
    <x v="1"/>
    <x v="0"/>
    <x v="0"/>
    <n v="68"/>
    <n v="4.0999999999999996"/>
  </r>
  <r>
    <x v="2395"/>
    <x v="171"/>
    <x v="5"/>
    <n v="6"/>
    <n v="21"/>
    <s v="Saturday"/>
    <x v="3"/>
    <x v="14"/>
    <x v="8"/>
    <s v="Chicken Burger"/>
    <x v="1"/>
    <n v="1"/>
    <n v="747"/>
    <n v="0"/>
    <n v="0"/>
    <n v="747"/>
    <n v="747"/>
    <x v="0"/>
    <x v="0"/>
    <x v="1"/>
    <n v="25"/>
    <n v="3.8"/>
  </r>
  <r>
    <x v="2396"/>
    <x v="171"/>
    <x v="5"/>
    <n v="6"/>
    <n v="21"/>
    <s v="Saturday"/>
    <x v="2"/>
    <x v="10"/>
    <x v="3"/>
    <s v="French Fries"/>
    <x v="0"/>
    <n v="1"/>
    <n v="453"/>
    <n v="90.6"/>
    <n v="20"/>
    <n v="453"/>
    <n v="382.4"/>
    <x v="2"/>
    <x v="0"/>
    <x v="1"/>
    <n v="48"/>
    <n v="3.2"/>
  </r>
  <r>
    <x v="2397"/>
    <x v="171"/>
    <x v="5"/>
    <n v="6"/>
    <n v="21"/>
    <s v="Saturday"/>
    <x v="4"/>
    <x v="1"/>
    <x v="4"/>
    <s v="Veg Pizza"/>
    <x v="1"/>
    <n v="1"/>
    <n v="826"/>
    <n v="82.6"/>
    <n v="30"/>
    <n v="826"/>
    <n v="773.4"/>
    <x v="3"/>
    <x v="0"/>
    <x v="1"/>
    <n v="51"/>
    <n v="4.8"/>
  </r>
  <r>
    <x v="2398"/>
    <x v="171"/>
    <x v="5"/>
    <n v="6"/>
    <n v="21"/>
    <s v="Saturday"/>
    <x v="2"/>
    <x v="3"/>
    <x v="0"/>
    <s v="Pasta"/>
    <x v="1"/>
    <n v="3"/>
    <n v="425"/>
    <n v="85"/>
    <n v="30"/>
    <n v="1275"/>
    <n v="1220"/>
    <x v="2"/>
    <x v="0"/>
    <x v="1"/>
    <n v="29"/>
    <n v="3.9"/>
  </r>
  <r>
    <x v="2399"/>
    <x v="171"/>
    <x v="5"/>
    <n v="6"/>
    <n v="21"/>
    <s v="Saturday"/>
    <x v="6"/>
    <x v="0"/>
    <x v="6"/>
    <s v="Chicken Pizza"/>
    <x v="1"/>
    <n v="2"/>
    <n v="865"/>
    <n v="129.75"/>
    <n v="0"/>
    <n v="1730"/>
    <n v="1600.25"/>
    <x v="3"/>
    <x v="0"/>
    <x v="1"/>
    <n v="29"/>
    <n v="5"/>
  </r>
  <r>
    <x v="2400"/>
    <x v="171"/>
    <x v="5"/>
    <n v="6"/>
    <n v="21"/>
    <s v="Saturday"/>
    <x v="7"/>
    <x v="5"/>
    <x v="0"/>
    <s v="Veg Momos"/>
    <x v="0"/>
    <n v="2"/>
    <n v="238"/>
    <n v="35.700000000000003"/>
    <n v="30"/>
    <n v="476"/>
    <n v="470.3"/>
    <x v="4"/>
    <x v="0"/>
    <x v="0"/>
    <n v="29"/>
    <n v="4.8"/>
  </r>
  <r>
    <x v="2401"/>
    <x v="171"/>
    <x v="5"/>
    <n v="6"/>
    <n v="21"/>
    <s v="Saturday"/>
    <x v="5"/>
    <x v="13"/>
    <x v="0"/>
    <s v="Chocolate Cake"/>
    <x v="1"/>
    <n v="3"/>
    <n v="422"/>
    <n v="0"/>
    <n v="50"/>
    <n v="1266"/>
    <n v="1316"/>
    <x v="2"/>
    <x v="2"/>
    <x v="1"/>
    <n v="45"/>
    <m/>
  </r>
  <r>
    <x v="2402"/>
    <x v="172"/>
    <x v="5"/>
    <n v="6"/>
    <n v="22"/>
    <s v="Sunday"/>
    <x v="9"/>
    <x v="1"/>
    <x v="8"/>
    <s v="French Fries"/>
    <x v="0"/>
    <n v="3"/>
    <n v="641"/>
    <n v="64.099999999999994"/>
    <n v="40"/>
    <n v="1923"/>
    <n v="1898.9"/>
    <x v="1"/>
    <x v="0"/>
    <x v="1"/>
    <n v="67"/>
    <n v="3.8"/>
  </r>
  <r>
    <x v="2403"/>
    <x v="172"/>
    <x v="5"/>
    <n v="6"/>
    <n v="22"/>
    <s v="Sunday"/>
    <x v="6"/>
    <x v="14"/>
    <x v="1"/>
    <s v="Chicken Pizza"/>
    <x v="1"/>
    <n v="1"/>
    <n v="580"/>
    <n v="116"/>
    <n v="50"/>
    <n v="580"/>
    <n v="514"/>
    <x v="0"/>
    <x v="0"/>
    <x v="1"/>
    <n v="69"/>
    <n v="3.4"/>
  </r>
  <r>
    <x v="2404"/>
    <x v="172"/>
    <x v="5"/>
    <n v="6"/>
    <n v="22"/>
    <s v="Sunday"/>
    <x v="0"/>
    <x v="13"/>
    <x v="7"/>
    <s v="Paneer Butter Masala"/>
    <x v="2"/>
    <n v="2"/>
    <n v="630"/>
    <n v="157.5"/>
    <n v="30"/>
    <n v="1260"/>
    <n v="1132.5"/>
    <x v="2"/>
    <x v="0"/>
    <x v="1"/>
    <n v="34"/>
    <n v="4.0999999999999996"/>
  </r>
  <r>
    <x v="2405"/>
    <x v="172"/>
    <x v="5"/>
    <n v="6"/>
    <n v="22"/>
    <s v="Sunday"/>
    <x v="9"/>
    <x v="3"/>
    <x v="2"/>
    <s v="Fried Rice"/>
    <x v="1"/>
    <n v="2"/>
    <n v="343"/>
    <n v="85.75"/>
    <n v="30"/>
    <n v="686"/>
    <n v="630.25"/>
    <x v="4"/>
    <x v="3"/>
    <x v="1"/>
    <n v="26"/>
    <m/>
  </r>
  <r>
    <x v="2406"/>
    <x v="172"/>
    <x v="5"/>
    <n v="6"/>
    <n v="22"/>
    <s v="Sunday"/>
    <x v="4"/>
    <x v="0"/>
    <x v="6"/>
    <s v="Veg Biryani"/>
    <x v="1"/>
    <n v="1"/>
    <n v="786"/>
    <n v="196.5"/>
    <n v="0"/>
    <n v="786"/>
    <n v="589.5"/>
    <x v="1"/>
    <x v="3"/>
    <x v="1"/>
    <n v="19"/>
    <m/>
  </r>
  <r>
    <x v="2407"/>
    <x v="172"/>
    <x v="5"/>
    <n v="6"/>
    <n v="22"/>
    <s v="Sunday"/>
    <x v="4"/>
    <x v="10"/>
    <x v="5"/>
    <s v="Veg Burger"/>
    <x v="2"/>
    <n v="2"/>
    <n v="608"/>
    <n v="0"/>
    <n v="30"/>
    <n v="1216"/>
    <n v="1246"/>
    <x v="2"/>
    <x v="0"/>
    <x v="1"/>
    <n v="22"/>
    <n v="4.5999999999999996"/>
  </r>
  <r>
    <x v="2408"/>
    <x v="172"/>
    <x v="5"/>
    <n v="6"/>
    <n v="22"/>
    <s v="Sunday"/>
    <x v="9"/>
    <x v="9"/>
    <x v="8"/>
    <s v="Fried Rice"/>
    <x v="1"/>
    <n v="1"/>
    <n v="547"/>
    <n v="0"/>
    <n v="40"/>
    <n v="547"/>
    <n v="587"/>
    <x v="4"/>
    <x v="2"/>
    <x v="1"/>
    <n v="61"/>
    <m/>
  </r>
  <r>
    <x v="2409"/>
    <x v="172"/>
    <x v="5"/>
    <n v="6"/>
    <n v="22"/>
    <s v="Sunday"/>
    <x v="3"/>
    <x v="12"/>
    <x v="3"/>
    <s v="Fried Rice"/>
    <x v="3"/>
    <n v="1"/>
    <n v="456"/>
    <n v="45.6"/>
    <n v="60"/>
    <n v="456"/>
    <n v="470.4"/>
    <x v="2"/>
    <x v="0"/>
    <x v="1"/>
    <n v="30"/>
    <n v="5"/>
  </r>
  <r>
    <x v="2410"/>
    <x v="172"/>
    <x v="5"/>
    <n v="6"/>
    <n v="22"/>
    <s v="Sunday"/>
    <x v="5"/>
    <x v="13"/>
    <x v="7"/>
    <s v="Idli Sambar"/>
    <x v="1"/>
    <n v="2"/>
    <n v="402"/>
    <n v="60.3"/>
    <n v="50"/>
    <n v="804"/>
    <n v="793.7"/>
    <x v="2"/>
    <x v="1"/>
    <x v="0"/>
    <n v="24"/>
    <m/>
  </r>
  <r>
    <x v="2411"/>
    <x v="172"/>
    <x v="5"/>
    <n v="6"/>
    <n v="22"/>
    <s v="Sunday"/>
    <x v="3"/>
    <x v="8"/>
    <x v="5"/>
    <s v="Cold Coffee"/>
    <x v="1"/>
    <n v="2"/>
    <n v="651"/>
    <n v="32.549999999999997"/>
    <n v="0"/>
    <n v="1302"/>
    <n v="1269.45"/>
    <x v="1"/>
    <x v="0"/>
    <x v="1"/>
    <n v="54"/>
    <n v="4.8"/>
  </r>
  <r>
    <x v="2412"/>
    <x v="172"/>
    <x v="5"/>
    <n v="6"/>
    <n v="22"/>
    <s v="Sunday"/>
    <x v="5"/>
    <x v="12"/>
    <x v="6"/>
    <s v="Fried Rice"/>
    <x v="2"/>
    <n v="1"/>
    <n v="238"/>
    <n v="11.9"/>
    <n v="30"/>
    <n v="238"/>
    <n v="256.10000000000002"/>
    <x v="0"/>
    <x v="1"/>
    <x v="0"/>
    <n v="51"/>
    <m/>
  </r>
  <r>
    <x v="2413"/>
    <x v="172"/>
    <x v="5"/>
    <n v="6"/>
    <n v="22"/>
    <s v="Sunday"/>
    <x v="4"/>
    <x v="13"/>
    <x v="2"/>
    <s v="Veg Burger"/>
    <x v="1"/>
    <n v="3"/>
    <n v="493"/>
    <n v="24.65"/>
    <n v="40"/>
    <n v="1479"/>
    <n v="1494.35"/>
    <x v="0"/>
    <x v="0"/>
    <x v="0"/>
    <n v="30"/>
    <n v="3.1"/>
  </r>
  <r>
    <x v="2414"/>
    <x v="172"/>
    <x v="5"/>
    <n v="6"/>
    <n v="22"/>
    <s v="Sunday"/>
    <x v="2"/>
    <x v="13"/>
    <x v="7"/>
    <s v="Veg Momos"/>
    <x v="3"/>
    <n v="2"/>
    <n v="785"/>
    <n v="78.5"/>
    <n v="30"/>
    <n v="1570"/>
    <n v="1521.5"/>
    <x v="1"/>
    <x v="0"/>
    <x v="1"/>
    <n v="50"/>
    <n v="2.9"/>
  </r>
  <r>
    <x v="2415"/>
    <x v="172"/>
    <x v="5"/>
    <n v="6"/>
    <n v="22"/>
    <s v="Sunday"/>
    <x v="5"/>
    <x v="3"/>
    <x v="0"/>
    <s v="Veg Burger"/>
    <x v="1"/>
    <n v="2"/>
    <n v="470"/>
    <n v="23.5"/>
    <n v="30"/>
    <n v="940"/>
    <n v="946.5"/>
    <x v="0"/>
    <x v="0"/>
    <x v="1"/>
    <n v="56"/>
    <n v="5"/>
  </r>
  <r>
    <x v="2416"/>
    <x v="172"/>
    <x v="5"/>
    <n v="6"/>
    <n v="22"/>
    <s v="Sunday"/>
    <x v="3"/>
    <x v="11"/>
    <x v="8"/>
    <s v="Chocolate Cake"/>
    <x v="1"/>
    <n v="2"/>
    <n v="255"/>
    <n v="63.75"/>
    <n v="40"/>
    <n v="510"/>
    <n v="486.25"/>
    <x v="0"/>
    <x v="0"/>
    <x v="1"/>
    <n v="29"/>
    <n v="3.9"/>
  </r>
  <r>
    <x v="2417"/>
    <x v="172"/>
    <x v="5"/>
    <n v="6"/>
    <n v="22"/>
    <s v="Sunday"/>
    <x v="7"/>
    <x v="8"/>
    <x v="5"/>
    <s v="Veg Pizza"/>
    <x v="1"/>
    <n v="1"/>
    <n v="487"/>
    <n v="97.4"/>
    <n v="40"/>
    <n v="487"/>
    <n v="429.6"/>
    <x v="4"/>
    <x v="0"/>
    <x v="1"/>
    <n v="53"/>
    <n v="3.3"/>
  </r>
  <r>
    <x v="2418"/>
    <x v="172"/>
    <x v="5"/>
    <n v="6"/>
    <n v="22"/>
    <s v="Sunday"/>
    <x v="3"/>
    <x v="10"/>
    <x v="4"/>
    <s v="Fried Rice"/>
    <x v="2"/>
    <n v="1"/>
    <n v="884"/>
    <n v="221"/>
    <n v="70"/>
    <n v="884"/>
    <n v="733"/>
    <x v="3"/>
    <x v="0"/>
    <x v="1"/>
    <n v="39"/>
    <n v="4.7"/>
  </r>
  <r>
    <x v="2419"/>
    <x v="172"/>
    <x v="5"/>
    <n v="6"/>
    <n v="22"/>
    <s v="Sunday"/>
    <x v="8"/>
    <x v="2"/>
    <x v="2"/>
    <s v="Veg Pizza"/>
    <x v="1"/>
    <n v="2"/>
    <n v="321"/>
    <n v="0"/>
    <n v="20"/>
    <n v="642"/>
    <n v="662"/>
    <x v="2"/>
    <x v="0"/>
    <x v="1"/>
    <n v="52"/>
    <n v="3.8"/>
  </r>
  <r>
    <x v="2420"/>
    <x v="172"/>
    <x v="5"/>
    <n v="6"/>
    <n v="22"/>
    <s v="Sunday"/>
    <x v="0"/>
    <x v="11"/>
    <x v="6"/>
    <s v="French Fries"/>
    <x v="1"/>
    <n v="2"/>
    <n v="122"/>
    <n v="18.3"/>
    <n v="50"/>
    <n v="244"/>
    <n v="275.7"/>
    <x v="2"/>
    <x v="0"/>
    <x v="1"/>
    <n v="31"/>
    <n v="2.8"/>
  </r>
  <r>
    <x v="2421"/>
    <x v="172"/>
    <x v="5"/>
    <n v="6"/>
    <n v="22"/>
    <s v="Sunday"/>
    <x v="4"/>
    <x v="13"/>
    <x v="4"/>
    <s v="Veg Biryani"/>
    <x v="1"/>
    <n v="1"/>
    <n v="417"/>
    <n v="41.7"/>
    <n v="40"/>
    <n v="417"/>
    <n v="415.3"/>
    <x v="1"/>
    <x v="0"/>
    <x v="1"/>
    <n v="48"/>
    <n v="3.8"/>
  </r>
  <r>
    <x v="2422"/>
    <x v="172"/>
    <x v="5"/>
    <n v="6"/>
    <n v="22"/>
    <s v="Sunday"/>
    <x v="5"/>
    <x v="13"/>
    <x v="2"/>
    <s v="Chicken Biryani"/>
    <x v="2"/>
    <n v="1"/>
    <n v="312"/>
    <n v="62.4"/>
    <n v="20"/>
    <n v="312"/>
    <n v="269.60000000000002"/>
    <x v="3"/>
    <x v="0"/>
    <x v="1"/>
    <n v="19"/>
    <n v="3.5"/>
  </r>
  <r>
    <x v="2423"/>
    <x v="172"/>
    <x v="5"/>
    <n v="6"/>
    <n v="22"/>
    <s v="Sunday"/>
    <x v="5"/>
    <x v="5"/>
    <x v="8"/>
    <s v="Masala Dosa"/>
    <x v="1"/>
    <n v="1"/>
    <n v="779"/>
    <n v="38.950000000000003"/>
    <n v="60"/>
    <n v="779"/>
    <n v="800.05"/>
    <x v="2"/>
    <x v="0"/>
    <x v="1"/>
    <n v="70"/>
    <n v="4.3"/>
  </r>
  <r>
    <x v="2424"/>
    <x v="173"/>
    <x v="5"/>
    <n v="6"/>
    <n v="23"/>
    <s v="Monday"/>
    <x v="2"/>
    <x v="0"/>
    <x v="4"/>
    <s v="Masala Dosa"/>
    <x v="1"/>
    <n v="1"/>
    <n v="692"/>
    <n v="138.4"/>
    <n v="30"/>
    <n v="692"/>
    <n v="583.6"/>
    <x v="1"/>
    <x v="0"/>
    <x v="1"/>
    <n v="38"/>
    <n v="4.5"/>
  </r>
  <r>
    <x v="2425"/>
    <x v="173"/>
    <x v="5"/>
    <n v="6"/>
    <n v="23"/>
    <s v="Monday"/>
    <x v="5"/>
    <x v="1"/>
    <x v="6"/>
    <s v="French Fries"/>
    <x v="0"/>
    <n v="3"/>
    <n v="652"/>
    <n v="65.2"/>
    <n v="30"/>
    <n v="1956"/>
    <n v="1920.8"/>
    <x v="1"/>
    <x v="0"/>
    <x v="1"/>
    <n v="68"/>
    <n v="4.2"/>
  </r>
  <r>
    <x v="2426"/>
    <x v="173"/>
    <x v="5"/>
    <n v="6"/>
    <n v="23"/>
    <s v="Monday"/>
    <x v="4"/>
    <x v="9"/>
    <x v="9"/>
    <s v="Idli Sambar"/>
    <x v="1"/>
    <n v="3"/>
    <n v="244"/>
    <n v="24.4"/>
    <n v="0"/>
    <n v="732"/>
    <n v="707.6"/>
    <x v="0"/>
    <x v="0"/>
    <x v="1"/>
    <n v="56"/>
    <n v="4.4000000000000004"/>
  </r>
  <r>
    <x v="2427"/>
    <x v="173"/>
    <x v="5"/>
    <n v="6"/>
    <n v="23"/>
    <s v="Monday"/>
    <x v="3"/>
    <x v="6"/>
    <x v="4"/>
    <s v="Chicken Burger"/>
    <x v="1"/>
    <n v="3"/>
    <n v="337"/>
    <n v="16.850000000000001"/>
    <n v="60"/>
    <n v="1011"/>
    <n v="1054.1500000000001"/>
    <x v="1"/>
    <x v="0"/>
    <x v="1"/>
    <n v="64"/>
    <n v="4.8"/>
  </r>
  <r>
    <x v="2428"/>
    <x v="173"/>
    <x v="5"/>
    <n v="6"/>
    <n v="23"/>
    <s v="Monday"/>
    <x v="1"/>
    <x v="11"/>
    <x v="8"/>
    <s v="Veg Pizza"/>
    <x v="2"/>
    <n v="2"/>
    <n v="198"/>
    <n v="39.6"/>
    <n v="0"/>
    <n v="396"/>
    <n v="356.4"/>
    <x v="3"/>
    <x v="0"/>
    <x v="0"/>
    <n v="46"/>
    <n v="3.1"/>
  </r>
  <r>
    <x v="2429"/>
    <x v="173"/>
    <x v="5"/>
    <n v="6"/>
    <n v="23"/>
    <s v="Monday"/>
    <x v="1"/>
    <x v="6"/>
    <x v="5"/>
    <s v="Veg Momos"/>
    <x v="2"/>
    <n v="2"/>
    <n v="440"/>
    <n v="0"/>
    <n v="40"/>
    <n v="880"/>
    <n v="920"/>
    <x v="1"/>
    <x v="0"/>
    <x v="1"/>
    <n v="20"/>
    <n v="4"/>
  </r>
  <r>
    <x v="2430"/>
    <x v="173"/>
    <x v="5"/>
    <n v="6"/>
    <n v="23"/>
    <s v="Monday"/>
    <x v="9"/>
    <x v="2"/>
    <x v="0"/>
    <s v="Chicken Biryani"/>
    <x v="1"/>
    <n v="2"/>
    <n v="898"/>
    <n v="89.8"/>
    <n v="40"/>
    <n v="1796"/>
    <n v="1746.2"/>
    <x v="0"/>
    <x v="0"/>
    <x v="1"/>
    <n v="25"/>
    <n v="4.5"/>
  </r>
  <r>
    <x v="2431"/>
    <x v="173"/>
    <x v="5"/>
    <n v="6"/>
    <n v="23"/>
    <s v="Monday"/>
    <x v="0"/>
    <x v="5"/>
    <x v="6"/>
    <s v="Chicken Momos"/>
    <x v="2"/>
    <n v="2"/>
    <n v="587"/>
    <n v="146.75"/>
    <n v="20"/>
    <n v="1174"/>
    <n v="1047.25"/>
    <x v="2"/>
    <x v="0"/>
    <x v="0"/>
    <n v="26"/>
    <n v="3.5"/>
  </r>
  <r>
    <x v="2432"/>
    <x v="173"/>
    <x v="5"/>
    <n v="6"/>
    <n v="23"/>
    <s v="Monday"/>
    <x v="3"/>
    <x v="5"/>
    <x v="7"/>
    <s v="Chicken Biryani"/>
    <x v="1"/>
    <n v="3"/>
    <n v="459"/>
    <n v="68.849999999999994"/>
    <n v="30"/>
    <n v="1377"/>
    <n v="1338.15"/>
    <x v="2"/>
    <x v="0"/>
    <x v="1"/>
    <n v="38"/>
    <n v="4"/>
  </r>
  <r>
    <x v="2433"/>
    <x v="173"/>
    <x v="5"/>
    <n v="6"/>
    <n v="23"/>
    <s v="Monday"/>
    <x v="0"/>
    <x v="13"/>
    <x v="5"/>
    <s v="Veg Momos"/>
    <x v="2"/>
    <n v="1"/>
    <n v="294"/>
    <n v="14.7"/>
    <n v="30"/>
    <n v="294"/>
    <n v="309.3"/>
    <x v="4"/>
    <x v="3"/>
    <x v="0"/>
    <n v="40"/>
    <m/>
  </r>
  <r>
    <x v="2434"/>
    <x v="174"/>
    <x v="5"/>
    <n v="6"/>
    <n v="24"/>
    <s v="Tuesday"/>
    <x v="0"/>
    <x v="0"/>
    <x v="1"/>
    <s v="French Fries"/>
    <x v="1"/>
    <n v="2"/>
    <n v="244"/>
    <n v="0"/>
    <n v="30"/>
    <n v="488"/>
    <n v="518"/>
    <x v="1"/>
    <x v="2"/>
    <x v="0"/>
    <n v="28"/>
    <m/>
  </r>
  <r>
    <x v="2435"/>
    <x v="174"/>
    <x v="5"/>
    <n v="6"/>
    <n v="24"/>
    <s v="Tuesday"/>
    <x v="6"/>
    <x v="9"/>
    <x v="6"/>
    <s v="Veg Pizza"/>
    <x v="1"/>
    <n v="2"/>
    <n v="211"/>
    <n v="42.2"/>
    <n v="40"/>
    <n v="422"/>
    <n v="419.8"/>
    <x v="2"/>
    <x v="2"/>
    <x v="0"/>
    <n v="49"/>
    <m/>
  </r>
  <r>
    <x v="2436"/>
    <x v="174"/>
    <x v="5"/>
    <n v="6"/>
    <n v="24"/>
    <s v="Tuesday"/>
    <x v="6"/>
    <x v="12"/>
    <x v="2"/>
    <s v="Veg Biryani"/>
    <x v="1"/>
    <n v="2"/>
    <n v="436"/>
    <n v="65.400000000000006"/>
    <n v="70"/>
    <n v="872"/>
    <n v="876.6"/>
    <x v="0"/>
    <x v="0"/>
    <x v="1"/>
    <n v="38"/>
    <n v="4.0999999999999996"/>
  </r>
  <r>
    <x v="2437"/>
    <x v="174"/>
    <x v="5"/>
    <n v="6"/>
    <n v="24"/>
    <s v="Tuesday"/>
    <x v="5"/>
    <x v="6"/>
    <x v="5"/>
    <s v="Chicken Burger"/>
    <x v="1"/>
    <n v="1"/>
    <n v="668"/>
    <n v="100.2"/>
    <n v="0"/>
    <n v="668"/>
    <n v="567.79999999999995"/>
    <x v="0"/>
    <x v="0"/>
    <x v="1"/>
    <n v="52"/>
    <n v="3.5"/>
  </r>
  <r>
    <x v="2438"/>
    <x v="174"/>
    <x v="5"/>
    <n v="6"/>
    <n v="24"/>
    <s v="Tuesday"/>
    <x v="4"/>
    <x v="8"/>
    <x v="1"/>
    <s v="Veg Pizza"/>
    <x v="1"/>
    <n v="1"/>
    <n v="391"/>
    <n v="0"/>
    <n v="40"/>
    <n v="391"/>
    <n v="431"/>
    <x v="0"/>
    <x v="0"/>
    <x v="0"/>
    <n v="39"/>
    <n v="4"/>
  </r>
  <r>
    <x v="2439"/>
    <x v="174"/>
    <x v="5"/>
    <n v="6"/>
    <n v="24"/>
    <s v="Tuesday"/>
    <x v="2"/>
    <x v="4"/>
    <x v="0"/>
    <s v="Chicken Biryani"/>
    <x v="1"/>
    <n v="1"/>
    <n v="637"/>
    <n v="95.55"/>
    <n v="0"/>
    <n v="637"/>
    <n v="541.45000000000005"/>
    <x v="0"/>
    <x v="0"/>
    <x v="0"/>
    <n v="58"/>
    <n v="3.1"/>
  </r>
  <r>
    <x v="2440"/>
    <x v="174"/>
    <x v="5"/>
    <n v="6"/>
    <n v="24"/>
    <s v="Tuesday"/>
    <x v="3"/>
    <x v="13"/>
    <x v="2"/>
    <s v="Veg Burger"/>
    <x v="1"/>
    <n v="1"/>
    <n v="212"/>
    <n v="31.8"/>
    <n v="30"/>
    <n v="212"/>
    <n v="210.2"/>
    <x v="0"/>
    <x v="0"/>
    <x v="0"/>
    <n v="43"/>
    <n v="3.7"/>
  </r>
  <r>
    <x v="2441"/>
    <x v="174"/>
    <x v="5"/>
    <n v="6"/>
    <n v="24"/>
    <s v="Tuesday"/>
    <x v="7"/>
    <x v="4"/>
    <x v="0"/>
    <s v="Chocolate Cake"/>
    <x v="3"/>
    <n v="1"/>
    <n v="531"/>
    <n v="0"/>
    <n v="30"/>
    <n v="531"/>
    <n v="561"/>
    <x v="2"/>
    <x v="0"/>
    <x v="1"/>
    <n v="22"/>
    <n v="3.7"/>
  </r>
  <r>
    <x v="2442"/>
    <x v="174"/>
    <x v="5"/>
    <n v="6"/>
    <n v="24"/>
    <s v="Tuesday"/>
    <x v="3"/>
    <x v="4"/>
    <x v="6"/>
    <s v="Veg Burger"/>
    <x v="1"/>
    <n v="1"/>
    <n v="599"/>
    <n v="149.75"/>
    <n v="30"/>
    <n v="599"/>
    <n v="479.25"/>
    <x v="2"/>
    <x v="0"/>
    <x v="1"/>
    <n v="70"/>
    <n v="3.9"/>
  </r>
  <r>
    <x v="2443"/>
    <x v="174"/>
    <x v="5"/>
    <n v="6"/>
    <n v="24"/>
    <s v="Tuesday"/>
    <x v="7"/>
    <x v="9"/>
    <x v="1"/>
    <s v="Cold Coffee"/>
    <x v="1"/>
    <n v="2"/>
    <n v="291"/>
    <n v="14.55"/>
    <n v="0"/>
    <n v="582"/>
    <n v="567.45000000000005"/>
    <x v="0"/>
    <x v="0"/>
    <x v="1"/>
    <n v="32"/>
    <n v="4.3"/>
  </r>
  <r>
    <x v="2444"/>
    <x v="174"/>
    <x v="5"/>
    <n v="6"/>
    <n v="24"/>
    <s v="Tuesday"/>
    <x v="6"/>
    <x v="1"/>
    <x v="3"/>
    <s v="Chicken Momos"/>
    <x v="3"/>
    <n v="2"/>
    <n v="166"/>
    <n v="33.200000000000003"/>
    <n v="40"/>
    <n v="332"/>
    <n v="338.8"/>
    <x v="3"/>
    <x v="0"/>
    <x v="1"/>
    <n v="48"/>
    <n v="3.5"/>
  </r>
  <r>
    <x v="2445"/>
    <x v="174"/>
    <x v="5"/>
    <n v="6"/>
    <n v="24"/>
    <s v="Tuesday"/>
    <x v="2"/>
    <x v="3"/>
    <x v="5"/>
    <s v="Pasta"/>
    <x v="2"/>
    <n v="3"/>
    <n v="890"/>
    <n v="133.5"/>
    <n v="20"/>
    <n v="2670"/>
    <n v="2556.5"/>
    <x v="1"/>
    <x v="0"/>
    <x v="1"/>
    <n v="52"/>
    <n v="4.4000000000000004"/>
  </r>
  <r>
    <x v="2446"/>
    <x v="174"/>
    <x v="5"/>
    <n v="6"/>
    <n v="24"/>
    <s v="Tuesday"/>
    <x v="1"/>
    <x v="13"/>
    <x v="1"/>
    <s v="Chicken Pizza"/>
    <x v="1"/>
    <n v="2"/>
    <n v="309"/>
    <n v="30.9"/>
    <n v="30"/>
    <n v="618"/>
    <n v="617.1"/>
    <x v="0"/>
    <x v="0"/>
    <x v="1"/>
    <n v="23"/>
    <n v="3.9"/>
  </r>
  <r>
    <x v="2447"/>
    <x v="174"/>
    <x v="5"/>
    <n v="6"/>
    <n v="24"/>
    <s v="Tuesday"/>
    <x v="2"/>
    <x v="11"/>
    <x v="8"/>
    <s v="French Fries"/>
    <x v="2"/>
    <n v="3"/>
    <n v="342"/>
    <n v="0"/>
    <n v="30"/>
    <n v="1026"/>
    <n v="1056"/>
    <x v="0"/>
    <x v="0"/>
    <x v="1"/>
    <n v="32"/>
    <n v="4.2"/>
  </r>
  <r>
    <x v="2448"/>
    <x v="174"/>
    <x v="5"/>
    <n v="6"/>
    <n v="24"/>
    <s v="Tuesday"/>
    <x v="5"/>
    <x v="5"/>
    <x v="2"/>
    <s v="Veg Biryani"/>
    <x v="2"/>
    <n v="3"/>
    <n v="689"/>
    <n v="137.80000000000001"/>
    <n v="20"/>
    <n v="2067"/>
    <n v="1949.2"/>
    <x v="0"/>
    <x v="3"/>
    <x v="1"/>
    <n v="35"/>
    <m/>
  </r>
  <r>
    <x v="2449"/>
    <x v="174"/>
    <x v="5"/>
    <n v="6"/>
    <n v="24"/>
    <s v="Tuesday"/>
    <x v="3"/>
    <x v="6"/>
    <x v="0"/>
    <s v="Pasta"/>
    <x v="1"/>
    <n v="1"/>
    <n v="141"/>
    <n v="14.1"/>
    <n v="20"/>
    <n v="141"/>
    <n v="146.9"/>
    <x v="0"/>
    <x v="0"/>
    <x v="1"/>
    <n v="34"/>
    <n v="3"/>
  </r>
  <r>
    <x v="2450"/>
    <x v="175"/>
    <x v="5"/>
    <n v="6"/>
    <n v="25"/>
    <s v="Wednesday"/>
    <x v="6"/>
    <x v="10"/>
    <x v="6"/>
    <s v="Paneer Butter Masala"/>
    <x v="1"/>
    <n v="1"/>
    <n v="280"/>
    <n v="0"/>
    <n v="30"/>
    <n v="280"/>
    <n v="310"/>
    <x v="0"/>
    <x v="0"/>
    <x v="0"/>
    <n v="61"/>
    <n v="4.7"/>
  </r>
  <r>
    <x v="2451"/>
    <x v="175"/>
    <x v="5"/>
    <n v="6"/>
    <n v="25"/>
    <s v="Wednesday"/>
    <x v="2"/>
    <x v="13"/>
    <x v="6"/>
    <s v="Chicken Momos"/>
    <x v="1"/>
    <n v="2"/>
    <n v="438"/>
    <n v="43.8"/>
    <n v="20"/>
    <n v="876"/>
    <n v="852.2"/>
    <x v="1"/>
    <x v="0"/>
    <x v="0"/>
    <n v="63"/>
    <n v="5"/>
  </r>
  <r>
    <x v="2452"/>
    <x v="175"/>
    <x v="5"/>
    <n v="6"/>
    <n v="25"/>
    <s v="Wednesday"/>
    <x v="0"/>
    <x v="10"/>
    <x v="3"/>
    <s v="Paneer Butter Masala"/>
    <x v="1"/>
    <n v="2"/>
    <n v="635"/>
    <n v="95.25"/>
    <n v="20"/>
    <n v="1270"/>
    <n v="1194.75"/>
    <x v="1"/>
    <x v="1"/>
    <x v="1"/>
    <n v="43"/>
    <m/>
  </r>
  <r>
    <x v="2453"/>
    <x v="175"/>
    <x v="5"/>
    <n v="6"/>
    <n v="25"/>
    <s v="Wednesday"/>
    <x v="1"/>
    <x v="5"/>
    <x v="2"/>
    <s v="Veg Burger"/>
    <x v="2"/>
    <n v="3"/>
    <n v="538"/>
    <n v="80.7"/>
    <n v="60"/>
    <n v="1614"/>
    <n v="1593.3"/>
    <x v="4"/>
    <x v="0"/>
    <x v="0"/>
    <n v="40"/>
    <n v="3"/>
  </r>
  <r>
    <x v="2454"/>
    <x v="175"/>
    <x v="5"/>
    <n v="6"/>
    <n v="25"/>
    <s v="Wednesday"/>
    <x v="5"/>
    <x v="14"/>
    <x v="8"/>
    <s v="Paneer Butter Masala"/>
    <x v="1"/>
    <n v="2"/>
    <n v="796"/>
    <n v="79.599999999999994"/>
    <n v="50"/>
    <n v="1592"/>
    <n v="1562.4"/>
    <x v="2"/>
    <x v="0"/>
    <x v="1"/>
    <n v="46"/>
    <n v="4.5"/>
  </r>
  <r>
    <x v="2455"/>
    <x v="175"/>
    <x v="5"/>
    <n v="6"/>
    <n v="25"/>
    <s v="Wednesday"/>
    <x v="4"/>
    <x v="12"/>
    <x v="9"/>
    <s v="Chicken Momos"/>
    <x v="1"/>
    <n v="3"/>
    <n v="439"/>
    <n v="43.9"/>
    <n v="20"/>
    <n v="1317"/>
    <n v="1293.0999999999999"/>
    <x v="1"/>
    <x v="0"/>
    <x v="1"/>
    <n v="34"/>
    <n v="4.0999999999999996"/>
  </r>
  <r>
    <x v="2456"/>
    <x v="175"/>
    <x v="5"/>
    <n v="6"/>
    <n v="25"/>
    <s v="Wednesday"/>
    <x v="8"/>
    <x v="10"/>
    <x v="0"/>
    <s v="Cold Coffee"/>
    <x v="1"/>
    <n v="1"/>
    <n v="592"/>
    <n v="118.4"/>
    <n v="70"/>
    <n v="592"/>
    <n v="543.6"/>
    <x v="1"/>
    <x v="0"/>
    <x v="1"/>
    <n v="41"/>
    <n v="5"/>
  </r>
  <r>
    <x v="2457"/>
    <x v="175"/>
    <x v="5"/>
    <n v="6"/>
    <n v="25"/>
    <s v="Wednesday"/>
    <x v="2"/>
    <x v="6"/>
    <x v="2"/>
    <s v="Veg Burger"/>
    <x v="2"/>
    <n v="3"/>
    <n v="303"/>
    <n v="15.15"/>
    <n v="20"/>
    <n v="909"/>
    <n v="913.85"/>
    <x v="4"/>
    <x v="2"/>
    <x v="1"/>
    <n v="62"/>
    <m/>
  </r>
  <r>
    <x v="2458"/>
    <x v="175"/>
    <x v="5"/>
    <n v="6"/>
    <n v="25"/>
    <s v="Wednesday"/>
    <x v="1"/>
    <x v="13"/>
    <x v="1"/>
    <s v="Chocolate Cake"/>
    <x v="1"/>
    <n v="1"/>
    <n v="504"/>
    <n v="0"/>
    <n v="40"/>
    <n v="504"/>
    <n v="544"/>
    <x v="0"/>
    <x v="0"/>
    <x v="1"/>
    <n v="36"/>
    <n v="4.3"/>
  </r>
  <r>
    <x v="2459"/>
    <x v="175"/>
    <x v="5"/>
    <n v="6"/>
    <n v="25"/>
    <s v="Wednesday"/>
    <x v="4"/>
    <x v="13"/>
    <x v="0"/>
    <s v="Veg Burger"/>
    <x v="1"/>
    <n v="2"/>
    <n v="179"/>
    <n v="35.799999999999997"/>
    <n v="20"/>
    <n v="358"/>
    <n v="342.2"/>
    <x v="3"/>
    <x v="0"/>
    <x v="1"/>
    <n v="46"/>
    <n v="4.3"/>
  </r>
  <r>
    <x v="2460"/>
    <x v="175"/>
    <x v="5"/>
    <n v="6"/>
    <n v="25"/>
    <s v="Wednesday"/>
    <x v="7"/>
    <x v="11"/>
    <x v="0"/>
    <s v="Fried Rice"/>
    <x v="1"/>
    <n v="1"/>
    <n v="482"/>
    <n v="24.1"/>
    <n v="40"/>
    <n v="482"/>
    <n v="497.9"/>
    <x v="0"/>
    <x v="0"/>
    <x v="1"/>
    <n v="36"/>
    <n v="2.9"/>
  </r>
  <r>
    <x v="2461"/>
    <x v="175"/>
    <x v="5"/>
    <n v="6"/>
    <n v="25"/>
    <s v="Wednesday"/>
    <x v="4"/>
    <x v="7"/>
    <x v="5"/>
    <s v="Idli Sambar"/>
    <x v="1"/>
    <n v="1"/>
    <n v="641"/>
    <n v="64.099999999999994"/>
    <n v="30"/>
    <n v="641"/>
    <n v="606.9"/>
    <x v="0"/>
    <x v="0"/>
    <x v="0"/>
    <n v="38"/>
    <n v="4.0999999999999996"/>
  </r>
  <r>
    <x v="2462"/>
    <x v="176"/>
    <x v="5"/>
    <n v="6"/>
    <n v="26"/>
    <s v="Thursday"/>
    <x v="5"/>
    <x v="10"/>
    <x v="0"/>
    <s v="Veg Biryani"/>
    <x v="1"/>
    <n v="2"/>
    <n v="887"/>
    <n v="88.7"/>
    <n v="50"/>
    <n v="1774"/>
    <n v="1735.3"/>
    <x v="4"/>
    <x v="0"/>
    <x v="1"/>
    <n v="33"/>
    <n v="4.8"/>
  </r>
  <r>
    <x v="2463"/>
    <x v="176"/>
    <x v="5"/>
    <n v="6"/>
    <n v="26"/>
    <s v="Thursday"/>
    <x v="2"/>
    <x v="1"/>
    <x v="4"/>
    <s v="Masala Dosa"/>
    <x v="1"/>
    <n v="1"/>
    <n v="203"/>
    <n v="40.6"/>
    <n v="40"/>
    <n v="203"/>
    <n v="202.4"/>
    <x v="0"/>
    <x v="0"/>
    <x v="1"/>
    <n v="53"/>
    <n v="4.4000000000000004"/>
  </r>
  <r>
    <x v="2464"/>
    <x v="176"/>
    <x v="5"/>
    <n v="6"/>
    <n v="26"/>
    <s v="Thursday"/>
    <x v="0"/>
    <x v="7"/>
    <x v="0"/>
    <s v="Chicken Momos"/>
    <x v="1"/>
    <n v="1"/>
    <n v="542"/>
    <n v="54.2"/>
    <n v="30"/>
    <n v="542"/>
    <n v="517.79999999999995"/>
    <x v="2"/>
    <x v="0"/>
    <x v="0"/>
    <n v="51"/>
    <n v="4.7"/>
  </r>
  <r>
    <x v="2465"/>
    <x v="176"/>
    <x v="5"/>
    <n v="6"/>
    <n v="26"/>
    <s v="Thursday"/>
    <x v="1"/>
    <x v="7"/>
    <x v="5"/>
    <s v="Masala Dosa"/>
    <x v="1"/>
    <n v="1"/>
    <n v="538"/>
    <n v="53.8"/>
    <n v="30"/>
    <n v="538"/>
    <n v="514.20000000000005"/>
    <x v="3"/>
    <x v="0"/>
    <x v="0"/>
    <n v="39"/>
    <n v="3.9"/>
  </r>
  <r>
    <x v="2466"/>
    <x v="176"/>
    <x v="5"/>
    <n v="6"/>
    <n v="26"/>
    <s v="Thursday"/>
    <x v="3"/>
    <x v="14"/>
    <x v="6"/>
    <s v="Veg Momos"/>
    <x v="3"/>
    <n v="2"/>
    <n v="148"/>
    <n v="7.4"/>
    <n v="0"/>
    <n v="296"/>
    <n v="288.60000000000002"/>
    <x v="0"/>
    <x v="0"/>
    <x v="0"/>
    <n v="66"/>
    <n v="3.4"/>
  </r>
  <r>
    <x v="2467"/>
    <x v="176"/>
    <x v="5"/>
    <n v="6"/>
    <n v="26"/>
    <s v="Thursday"/>
    <x v="1"/>
    <x v="11"/>
    <x v="9"/>
    <s v="Paneer Butter Masala"/>
    <x v="2"/>
    <n v="2"/>
    <n v="340"/>
    <n v="85"/>
    <n v="40"/>
    <n v="680"/>
    <n v="635"/>
    <x v="1"/>
    <x v="0"/>
    <x v="1"/>
    <n v="43"/>
    <n v="4.2"/>
  </r>
  <r>
    <x v="2468"/>
    <x v="176"/>
    <x v="5"/>
    <n v="6"/>
    <n v="26"/>
    <s v="Thursday"/>
    <x v="0"/>
    <x v="2"/>
    <x v="8"/>
    <s v="Masala Dosa"/>
    <x v="1"/>
    <n v="3"/>
    <n v="415"/>
    <n v="103.75"/>
    <n v="30"/>
    <n v="1245"/>
    <n v="1171.25"/>
    <x v="1"/>
    <x v="0"/>
    <x v="1"/>
    <n v="54"/>
    <n v="5"/>
  </r>
  <r>
    <x v="2469"/>
    <x v="176"/>
    <x v="5"/>
    <n v="6"/>
    <n v="26"/>
    <s v="Thursday"/>
    <x v="2"/>
    <x v="8"/>
    <x v="2"/>
    <s v="Chicken Pizza"/>
    <x v="1"/>
    <n v="1"/>
    <n v="176"/>
    <n v="44"/>
    <n v="70"/>
    <n v="176"/>
    <n v="202"/>
    <x v="3"/>
    <x v="0"/>
    <x v="1"/>
    <n v="36"/>
    <n v="3.2"/>
  </r>
  <r>
    <x v="2470"/>
    <x v="176"/>
    <x v="5"/>
    <n v="6"/>
    <n v="26"/>
    <s v="Thursday"/>
    <x v="3"/>
    <x v="12"/>
    <x v="8"/>
    <s v="Fried Rice"/>
    <x v="3"/>
    <n v="1"/>
    <n v="602"/>
    <n v="0"/>
    <n v="30"/>
    <n v="602"/>
    <n v="632"/>
    <x v="0"/>
    <x v="0"/>
    <x v="1"/>
    <n v="37"/>
    <n v="4.2"/>
  </r>
  <r>
    <x v="2471"/>
    <x v="176"/>
    <x v="5"/>
    <n v="6"/>
    <n v="26"/>
    <s v="Thursday"/>
    <x v="1"/>
    <x v="14"/>
    <x v="6"/>
    <s v="Chicken Momos"/>
    <x v="1"/>
    <n v="1"/>
    <n v="683"/>
    <n v="136.6"/>
    <n v="20"/>
    <n v="683"/>
    <n v="566.4"/>
    <x v="4"/>
    <x v="0"/>
    <x v="1"/>
    <n v="32"/>
    <n v="4.0999999999999996"/>
  </r>
  <r>
    <x v="2472"/>
    <x v="176"/>
    <x v="5"/>
    <n v="6"/>
    <n v="26"/>
    <s v="Thursday"/>
    <x v="4"/>
    <x v="12"/>
    <x v="9"/>
    <s v="Chicken Momos"/>
    <x v="1"/>
    <n v="1"/>
    <n v="856"/>
    <n v="85.6"/>
    <n v="30"/>
    <n v="856"/>
    <n v="800.4"/>
    <x v="1"/>
    <x v="0"/>
    <x v="0"/>
    <n v="60"/>
    <n v="4.5999999999999996"/>
  </r>
  <r>
    <x v="2473"/>
    <x v="176"/>
    <x v="5"/>
    <n v="6"/>
    <n v="26"/>
    <s v="Thursday"/>
    <x v="5"/>
    <x v="2"/>
    <x v="2"/>
    <s v="Chicken Momos"/>
    <x v="1"/>
    <n v="2"/>
    <n v="505"/>
    <n v="101"/>
    <n v="60"/>
    <n v="1010"/>
    <n v="969"/>
    <x v="0"/>
    <x v="0"/>
    <x v="0"/>
    <n v="51"/>
    <n v="3.8"/>
  </r>
  <r>
    <x v="2474"/>
    <x v="176"/>
    <x v="5"/>
    <n v="6"/>
    <n v="26"/>
    <s v="Thursday"/>
    <x v="7"/>
    <x v="10"/>
    <x v="0"/>
    <s v="Chicken Momos"/>
    <x v="1"/>
    <n v="1"/>
    <n v="533"/>
    <n v="53.3"/>
    <n v="0"/>
    <n v="533"/>
    <n v="479.7"/>
    <x v="2"/>
    <x v="1"/>
    <x v="0"/>
    <n v="45"/>
    <m/>
  </r>
  <r>
    <x v="2475"/>
    <x v="176"/>
    <x v="5"/>
    <n v="6"/>
    <n v="26"/>
    <s v="Thursday"/>
    <x v="4"/>
    <x v="8"/>
    <x v="1"/>
    <s v="Cold Coffee"/>
    <x v="1"/>
    <n v="2"/>
    <n v="461"/>
    <n v="69.150000000000006"/>
    <n v="60"/>
    <n v="922"/>
    <n v="912.85"/>
    <x v="3"/>
    <x v="2"/>
    <x v="1"/>
    <n v="20"/>
    <m/>
  </r>
  <r>
    <x v="2476"/>
    <x v="176"/>
    <x v="5"/>
    <n v="6"/>
    <n v="26"/>
    <s v="Thursday"/>
    <x v="7"/>
    <x v="6"/>
    <x v="0"/>
    <s v="Idli Sambar"/>
    <x v="3"/>
    <n v="2"/>
    <n v="700"/>
    <n v="70"/>
    <n v="20"/>
    <n v="1400"/>
    <n v="1350"/>
    <x v="1"/>
    <x v="0"/>
    <x v="1"/>
    <n v="53"/>
    <n v="4.3"/>
  </r>
  <r>
    <x v="2477"/>
    <x v="177"/>
    <x v="5"/>
    <n v="6"/>
    <n v="27"/>
    <s v="Friday"/>
    <x v="1"/>
    <x v="5"/>
    <x v="6"/>
    <s v="Idli Sambar"/>
    <x v="2"/>
    <n v="2"/>
    <n v="867"/>
    <n v="130.05000000000001"/>
    <n v="20"/>
    <n v="1734"/>
    <n v="1623.95"/>
    <x v="1"/>
    <x v="0"/>
    <x v="0"/>
    <n v="65"/>
    <n v="3.5"/>
  </r>
  <r>
    <x v="2478"/>
    <x v="177"/>
    <x v="5"/>
    <n v="6"/>
    <n v="27"/>
    <s v="Friday"/>
    <x v="3"/>
    <x v="14"/>
    <x v="8"/>
    <s v="Chicken Momos"/>
    <x v="0"/>
    <n v="1"/>
    <n v="641"/>
    <n v="0"/>
    <n v="30"/>
    <n v="641"/>
    <n v="671"/>
    <x v="0"/>
    <x v="0"/>
    <x v="1"/>
    <n v="62"/>
    <n v="3.8"/>
  </r>
  <r>
    <x v="2479"/>
    <x v="177"/>
    <x v="5"/>
    <n v="6"/>
    <n v="27"/>
    <s v="Friday"/>
    <x v="2"/>
    <x v="0"/>
    <x v="5"/>
    <s v="Veg Biryani"/>
    <x v="1"/>
    <n v="2"/>
    <n v="670"/>
    <n v="33.5"/>
    <n v="60"/>
    <n v="1340"/>
    <n v="1366.5"/>
    <x v="0"/>
    <x v="2"/>
    <x v="1"/>
    <n v="21"/>
    <m/>
  </r>
  <r>
    <x v="2480"/>
    <x v="177"/>
    <x v="5"/>
    <n v="6"/>
    <n v="27"/>
    <s v="Friday"/>
    <x v="6"/>
    <x v="9"/>
    <x v="7"/>
    <s v="Cold Coffee"/>
    <x v="2"/>
    <n v="2"/>
    <n v="496"/>
    <n v="49.6"/>
    <n v="20"/>
    <n v="992"/>
    <n v="962.4"/>
    <x v="0"/>
    <x v="0"/>
    <x v="1"/>
    <n v="40"/>
    <n v="3.9"/>
  </r>
  <r>
    <x v="2481"/>
    <x v="177"/>
    <x v="5"/>
    <n v="6"/>
    <n v="27"/>
    <s v="Friday"/>
    <x v="5"/>
    <x v="14"/>
    <x v="7"/>
    <s v="Veg Burger"/>
    <x v="2"/>
    <n v="2"/>
    <n v="197"/>
    <n v="19.7"/>
    <n v="40"/>
    <n v="394"/>
    <n v="414.3"/>
    <x v="2"/>
    <x v="0"/>
    <x v="1"/>
    <n v="28"/>
    <n v="5"/>
  </r>
  <r>
    <x v="2482"/>
    <x v="177"/>
    <x v="5"/>
    <n v="6"/>
    <n v="27"/>
    <s v="Friday"/>
    <x v="2"/>
    <x v="11"/>
    <x v="9"/>
    <s v="Chocolate Cake"/>
    <x v="0"/>
    <n v="2"/>
    <n v="652"/>
    <n v="130.4"/>
    <n v="40"/>
    <n v="1304"/>
    <n v="1213.5999999999999"/>
    <x v="0"/>
    <x v="3"/>
    <x v="1"/>
    <n v="32"/>
    <m/>
  </r>
  <r>
    <x v="2483"/>
    <x v="177"/>
    <x v="5"/>
    <n v="6"/>
    <n v="27"/>
    <s v="Friday"/>
    <x v="8"/>
    <x v="9"/>
    <x v="8"/>
    <s v="Cold Coffee"/>
    <x v="1"/>
    <n v="1"/>
    <n v="238"/>
    <n v="23.8"/>
    <n v="60"/>
    <n v="238"/>
    <n v="274.2"/>
    <x v="4"/>
    <x v="0"/>
    <x v="1"/>
    <n v="32"/>
    <n v="4.4000000000000004"/>
  </r>
  <r>
    <x v="2484"/>
    <x v="177"/>
    <x v="5"/>
    <n v="6"/>
    <n v="27"/>
    <s v="Friday"/>
    <x v="9"/>
    <x v="9"/>
    <x v="7"/>
    <s v="French Fries"/>
    <x v="1"/>
    <n v="2"/>
    <n v="801"/>
    <n v="200.25"/>
    <n v="0"/>
    <n v="1602"/>
    <n v="1401.75"/>
    <x v="2"/>
    <x v="2"/>
    <x v="1"/>
    <n v="20"/>
    <m/>
  </r>
  <r>
    <x v="2485"/>
    <x v="177"/>
    <x v="5"/>
    <n v="6"/>
    <n v="27"/>
    <s v="Friday"/>
    <x v="1"/>
    <x v="10"/>
    <x v="3"/>
    <s v="Paneer Butter Masala"/>
    <x v="1"/>
    <n v="3"/>
    <n v="268"/>
    <n v="67"/>
    <n v="20"/>
    <n v="804"/>
    <n v="757"/>
    <x v="1"/>
    <x v="0"/>
    <x v="0"/>
    <n v="23"/>
    <n v="3.8"/>
  </r>
  <r>
    <x v="2486"/>
    <x v="177"/>
    <x v="5"/>
    <n v="6"/>
    <n v="27"/>
    <s v="Friday"/>
    <x v="5"/>
    <x v="10"/>
    <x v="8"/>
    <s v="Masala Dosa"/>
    <x v="1"/>
    <n v="2"/>
    <n v="891"/>
    <n v="133.65"/>
    <n v="30"/>
    <n v="1782"/>
    <n v="1678.35"/>
    <x v="0"/>
    <x v="0"/>
    <x v="1"/>
    <n v="43"/>
    <n v="4.4000000000000004"/>
  </r>
  <r>
    <x v="2487"/>
    <x v="177"/>
    <x v="5"/>
    <n v="6"/>
    <n v="27"/>
    <s v="Friday"/>
    <x v="8"/>
    <x v="1"/>
    <x v="8"/>
    <s v="Chicken Pizza"/>
    <x v="2"/>
    <n v="1"/>
    <n v="806"/>
    <n v="201.5"/>
    <n v="0"/>
    <n v="806"/>
    <n v="604.5"/>
    <x v="3"/>
    <x v="0"/>
    <x v="0"/>
    <n v="39"/>
    <n v="3.6"/>
  </r>
  <r>
    <x v="2488"/>
    <x v="177"/>
    <x v="5"/>
    <n v="6"/>
    <n v="27"/>
    <s v="Friday"/>
    <x v="8"/>
    <x v="2"/>
    <x v="6"/>
    <s v="Veg Burger"/>
    <x v="1"/>
    <n v="3"/>
    <n v="484"/>
    <n v="72.599999999999994"/>
    <n v="20"/>
    <n v="1452"/>
    <n v="1399.4"/>
    <x v="0"/>
    <x v="0"/>
    <x v="1"/>
    <n v="40"/>
    <n v="3.3"/>
  </r>
  <r>
    <x v="2489"/>
    <x v="177"/>
    <x v="5"/>
    <n v="6"/>
    <n v="27"/>
    <s v="Friday"/>
    <x v="2"/>
    <x v="9"/>
    <x v="8"/>
    <s v="Chicken Pizza"/>
    <x v="2"/>
    <n v="1"/>
    <n v="213"/>
    <n v="21.3"/>
    <n v="60"/>
    <n v="213"/>
    <n v="251.7"/>
    <x v="1"/>
    <x v="0"/>
    <x v="1"/>
    <n v="26"/>
    <n v="3.4"/>
  </r>
  <r>
    <x v="2490"/>
    <x v="177"/>
    <x v="5"/>
    <n v="6"/>
    <n v="27"/>
    <s v="Friday"/>
    <x v="7"/>
    <x v="8"/>
    <x v="7"/>
    <s v="Veg Momos"/>
    <x v="3"/>
    <n v="1"/>
    <n v="372"/>
    <n v="18.600000000000001"/>
    <n v="0"/>
    <n v="372"/>
    <n v="353.4"/>
    <x v="3"/>
    <x v="3"/>
    <x v="0"/>
    <n v="57"/>
    <m/>
  </r>
  <r>
    <x v="2491"/>
    <x v="177"/>
    <x v="5"/>
    <n v="6"/>
    <n v="27"/>
    <s v="Friday"/>
    <x v="3"/>
    <x v="11"/>
    <x v="5"/>
    <s v="Chicken Momos"/>
    <x v="2"/>
    <n v="1"/>
    <n v="214"/>
    <n v="10.7"/>
    <n v="40"/>
    <n v="214"/>
    <n v="243.3"/>
    <x v="1"/>
    <x v="0"/>
    <x v="1"/>
    <n v="44"/>
    <n v="4.4000000000000004"/>
  </r>
  <r>
    <x v="2492"/>
    <x v="177"/>
    <x v="5"/>
    <n v="6"/>
    <n v="27"/>
    <s v="Friday"/>
    <x v="2"/>
    <x v="2"/>
    <x v="2"/>
    <s v="Idli Sambar"/>
    <x v="3"/>
    <n v="3"/>
    <n v="605"/>
    <n v="0"/>
    <n v="50"/>
    <n v="1815"/>
    <n v="1865"/>
    <x v="1"/>
    <x v="0"/>
    <x v="1"/>
    <n v="49"/>
    <n v="4.5"/>
  </r>
  <r>
    <x v="2493"/>
    <x v="178"/>
    <x v="5"/>
    <n v="6"/>
    <n v="28"/>
    <s v="Saturday"/>
    <x v="4"/>
    <x v="10"/>
    <x v="5"/>
    <s v="Chocolate Cake"/>
    <x v="2"/>
    <n v="2"/>
    <n v="448"/>
    <n v="89.6"/>
    <n v="30"/>
    <n v="896"/>
    <n v="836.4"/>
    <x v="4"/>
    <x v="0"/>
    <x v="1"/>
    <n v="37"/>
    <n v="4.0999999999999996"/>
  </r>
  <r>
    <x v="2494"/>
    <x v="178"/>
    <x v="5"/>
    <n v="6"/>
    <n v="28"/>
    <s v="Saturday"/>
    <x v="2"/>
    <x v="1"/>
    <x v="4"/>
    <s v="Veg Momos"/>
    <x v="1"/>
    <n v="1"/>
    <n v="754"/>
    <n v="113.1"/>
    <n v="30"/>
    <n v="754"/>
    <n v="670.9"/>
    <x v="1"/>
    <x v="3"/>
    <x v="1"/>
    <n v="63"/>
    <m/>
  </r>
  <r>
    <x v="2495"/>
    <x v="178"/>
    <x v="5"/>
    <n v="6"/>
    <n v="28"/>
    <s v="Saturday"/>
    <x v="5"/>
    <x v="4"/>
    <x v="5"/>
    <s v="Masala Dosa"/>
    <x v="2"/>
    <n v="3"/>
    <n v="290"/>
    <n v="0"/>
    <n v="40"/>
    <n v="870"/>
    <n v="910"/>
    <x v="0"/>
    <x v="2"/>
    <x v="0"/>
    <n v="61"/>
    <m/>
  </r>
  <r>
    <x v="2496"/>
    <x v="178"/>
    <x v="5"/>
    <n v="6"/>
    <n v="28"/>
    <s v="Saturday"/>
    <x v="5"/>
    <x v="8"/>
    <x v="2"/>
    <s v="Veg Momos"/>
    <x v="1"/>
    <n v="1"/>
    <n v="741"/>
    <n v="37.049999999999997"/>
    <n v="50"/>
    <n v="741"/>
    <n v="753.95"/>
    <x v="1"/>
    <x v="0"/>
    <x v="1"/>
    <n v="33"/>
    <n v="3.1"/>
  </r>
  <r>
    <x v="2497"/>
    <x v="178"/>
    <x v="5"/>
    <n v="6"/>
    <n v="28"/>
    <s v="Saturday"/>
    <x v="4"/>
    <x v="6"/>
    <x v="6"/>
    <s v="Chicken Biryani"/>
    <x v="1"/>
    <n v="3"/>
    <n v="452"/>
    <n v="67.8"/>
    <n v="30"/>
    <n v="1356"/>
    <n v="1318.2"/>
    <x v="2"/>
    <x v="0"/>
    <x v="1"/>
    <n v="31"/>
    <n v="5"/>
  </r>
  <r>
    <x v="2498"/>
    <x v="178"/>
    <x v="5"/>
    <n v="6"/>
    <n v="28"/>
    <s v="Saturday"/>
    <x v="4"/>
    <x v="6"/>
    <x v="4"/>
    <s v="Veg Burger"/>
    <x v="1"/>
    <n v="2"/>
    <n v="658"/>
    <n v="131.6"/>
    <n v="30"/>
    <n v="1316"/>
    <n v="1214.4000000000001"/>
    <x v="1"/>
    <x v="0"/>
    <x v="1"/>
    <n v="26"/>
    <n v="3.9"/>
  </r>
  <r>
    <x v="2499"/>
    <x v="178"/>
    <x v="5"/>
    <n v="6"/>
    <n v="28"/>
    <s v="Saturday"/>
    <x v="7"/>
    <x v="3"/>
    <x v="5"/>
    <s v="Chocolate Cake"/>
    <x v="1"/>
    <n v="2"/>
    <n v="448"/>
    <n v="0"/>
    <n v="0"/>
    <n v="896"/>
    <n v="896"/>
    <x v="0"/>
    <x v="3"/>
    <x v="0"/>
    <n v="50"/>
    <m/>
  </r>
  <r>
    <x v="2500"/>
    <x v="178"/>
    <x v="5"/>
    <n v="6"/>
    <n v="28"/>
    <s v="Saturday"/>
    <x v="3"/>
    <x v="13"/>
    <x v="5"/>
    <s v="Veg Burger"/>
    <x v="2"/>
    <n v="1"/>
    <n v="272"/>
    <n v="27.2"/>
    <n v="30"/>
    <n v="272"/>
    <n v="274.8"/>
    <x v="2"/>
    <x v="3"/>
    <x v="1"/>
    <n v="29"/>
    <m/>
  </r>
  <r>
    <x v="2501"/>
    <x v="178"/>
    <x v="5"/>
    <n v="6"/>
    <n v="28"/>
    <s v="Saturday"/>
    <x v="2"/>
    <x v="10"/>
    <x v="4"/>
    <s v="Chicken Biryani"/>
    <x v="2"/>
    <n v="3"/>
    <n v="351"/>
    <n v="17.55"/>
    <n v="30"/>
    <n v="1053"/>
    <n v="1065.45"/>
    <x v="1"/>
    <x v="0"/>
    <x v="1"/>
    <n v="24"/>
    <n v="3.6"/>
  </r>
  <r>
    <x v="2502"/>
    <x v="178"/>
    <x v="5"/>
    <n v="6"/>
    <n v="28"/>
    <s v="Saturday"/>
    <x v="4"/>
    <x v="13"/>
    <x v="8"/>
    <s v="Cold Coffee"/>
    <x v="1"/>
    <n v="2"/>
    <n v="543"/>
    <n v="108.6"/>
    <n v="20"/>
    <n v="1086"/>
    <n v="997.4"/>
    <x v="4"/>
    <x v="0"/>
    <x v="1"/>
    <n v="23"/>
    <n v="4.4000000000000004"/>
  </r>
  <r>
    <x v="2503"/>
    <x v="178"/>
    <x v="5"/>
    <n v="6"/>
    <n v="28"/>
    <s v="Saturday"/>
    <x v="1"/>
    <x v="10"/>
    <x v="7"/>
    <s v="Fried Rice"/>
    <x v="1"/>
    <n v="1"/>
    <n v="369"/>
    <n v="55.35"/>
    <n v="50"/>
    <n v="369"/>
    <n v="363.65"/>
    <x v="1"/>
    <x v="0"/>
    <x v="0"/>
    <n v="51"/>
    <n v="3.2"/>
  </r>
  <r>
    <x v="2504"/>
    <x v="178"/>
    <x v="5"/>
    <n v="6"/>
    <n v="28"/>
    <s v="Saturday"/>
    <x v="2"/>
    <x v="4"/>
    <x v="3"/>
    <s v="Pasta"/>
    <x v="1"/>
    <n v="2"/>
    <n v="417"/>
    <n v="104.25"/>
    <n v="30"/>
    <n v="834"/>
    <n v="759.75"/>
    <x v="3"/>
    <x v="0"/>
    <x v="1"/>
    <n v="59"/>
    <n v="3.9"/>
  </r>
  <r>
    <x v="2505"/>
    <x v="178"/>
    <x v="5"/>
    <n v="6"/>
    <n v="28"/>
    <s v="Saturday"/>
    <x v="3"/>
    <x v="4"/>
    <x v="9"/>
    <s v="Cold Coffee"/>
    <x v="1"/>
    <n v="2"/>
    <n v="325"/>
    <n v="0"/>
    <n v="0"/>
    <n v="650"/>
    <n v="650"/>
    <x v="0"/>
    <x v="2"/>
    <x v="1"/>
    <n v="31"/>
    <m/>
  </r>
  <r>
    <x v="2506"/>
    <x v="178"/>
    <x v="5"/>
    <n v="6"/>
    <n v="28"/>
    <s v="Saturday"/>
    <x v="3"/>
    <x v="12"/>
    <x v="2"/>
    <s v="Veg Pizza"/>
    <x v="3"/>
    <n v="2"/>
    <n v="874"/>
    <n v="218.5"/>
    <n v="0"/>
    <n v="1748"/>
    <n v="1529.5"/>
    <x v="1"/>
    <x v="0"/>
    <x v="0"/>
    <n v="40"/>
    <n v="4.4000000000000004"/>
  </r>
  <r>
    <x v="2507"/>
    <x v="179"/>
    <x v="5"/>
    <n v="6"/>
    <n v="29"/>
    <s v="Sunday"/>
    <x v="3"/>
    <x v="14"/>
    <x v="5"/>
    <s v="Chicken Biryani"/>
    <x v="1"/>
    <n v="1"/>
    <n v="200"/>
    <n v="40"/>
    <n v="40"/>
    <n v="200"/>
    <n v="200"/>
    <x v="1"/>
    <x v="0"/>
    <x v="1"/>
    <n v="65"/>
    <n v="4.0999999999999996"/>
  </r>
  <r>
    <x v="2508"/>
    <x v="179"/>
    <x v="5"/>
    <n v="6"/>
    <n v="29"/>
    <s v="Sunday"/>
    <x v="5"/>
    <x v="6"/>
    <x v="4"/>
    <s v="French Fries"/>
    <x v="1"/>
    <n v="2"/>
    <n v="657"/>
    <n v="131.4"/>
    <n v="50"/>
    <n v="1314"/>
    <n v="1232.5999999999999"/>
    <x v="2"/>
    <x v="0"/>
    <x v="1"/>
    <n v="59"/>
    <n v="3.7"/>
  </r>
  <r>
    <x v="2509"/>
    <x v="179"/>
    <x v="5"/>
    <n v="6"/>
    <n v="29"/>
    <s v="Sunday"/>
    <x v="0"/>
    <x v="9"/>
    <x v="1"/>
    <s v="Fried Rice"/>
    <x v="0"/>
    <n v="1"/>
    <n v="653"/>
    <n v="163.25"/>
    <n v="40"/>
    <n v="653"/>
    <n v="529.75"/>
    <x v="3"/>
    <x v="0"/>
    <x v="0"/>
    <n v="31"/>
    <n v="4.4000000000000004"/>
  </r>
  <r>
    <x v="2510"/>
    <x v="179"/>
    <x v="5"/>
    <n v="6"/>
    <n v="29"/>
    <s v="Sunday"/>
    <x v="1"/>
    <x v="8"/>
    <x v="0"/>
    <s v="Chicken Momos"/>
    <x v="1"/>
    <n v="2"/>
    <n v="281"/>
    <n v="0"/>
    <n v="30"/>
    <n v="562"/>
    <n v="592"/>
    <x v="2"/>
    <x v="0"/>
    <x v="1"/>
    <n v="21"/>
    <n v="3.3"/>
  </r>
  <r>
    <x v="2511"/>
    <x v="179"/>
    <x v="5"/>
    <n v="6"/>
    <n v="29"/>
    <s v="Sunday"/>
    <x v="0"/>
    <x v="7"/>
    <x v="4"/>
    <s v="Veg Biryani"/>
    <x v="1"/>
    <n v="1"/>
    <n v="270"/>
    <n v="40.5"/>
    <n v="40"/>
    <n v="270"/>
    <n v="269.5"/>
    <x v="1"/>
    <x v="0"/>
    <x v="0"/>
    <n v="57"/>
    <n v="3.7"/>
  </r>
  <r>
    <x v="2512"/>
    <x v="179"/>
    <x v="5"/>
    <n v="6"/>
    <n v="29"/>
    <s v="Sunday"/>
    <x v="4"/>
    <x v="6"/>
    <x v="0"/>
    <s v="Chocolate Cake"/>
    <x v="1"/>
    <n v="1"/>
    <n v="761"/>
    <n v="114.15"/>
    <n v="50"/>
    <n v="761"/>
    <n v="696.85"/>
    <x v="2"/>
    <x v="2"/>
    <x v="1"/>
    <n v="39"/>
    <m/>
  </r>
  <r>
    <x v="2513"/>
    <x v="179"/>
    <x v="5"/>
    <n v="6"/>
    <n v="29"/>
    <s v="Sunday"/>
    <x v="1"/>
    <x v="6"/>
    <x v="8"/>
    <s v="Idli Sambar"/>
    <x v="1"/>
    <n v="2"/>
    <n v="467"/>
    <n v="70.05"/>
    <n v="60"/>
    <n v="934"/>
    <n v="923.95"/>
    <x v="2"/>
    <x v="0"/>
    <x v="0"/>
    <n v="57"/>
    <n v="4.2"/>
  </r>
  <r>
    <x v="2514"/>
    <x v="179"/>
    <x v="5"/>
    <n v="6"/>
    <n v="29"/>
    <s v="Sunday"/>
    <x v="5"/>
    <x v="4"/>
    <x v="3"/>
    <s v="Paneer Butter Masala"/>
    <x v="1"/>
    <n v="1"/>
    <n v="624"/>
    <n v="156"/>
    <n v="20"/>
    <n v="624"/>
    <n v="488"/>
    <x v="0"/>
    <x v="0"/>
    <x v="0"/>
    <n v="24"/>
    <n v="3.7"/>
  </r>
  <r>
    <x v="2515"/>
    <x v="180"/>
    <x v="5"/>
    <n v="6"/>
    <n v="30"/>
    <s v="Monday"/>
    <x v="5"/>
    <x v="4"/>
    <x v="1"/>
    <s v="Veg Biryani"/>
    <x v="0"/>
    <n v="2"/>
    <n v="695"/>
    <n v="139"/>
    <n v="40"/>
    <n v="1390"/>
    <n v="1291"/>
    <x v="2"/>
    <x v="0"/>
    <x v="1"/>
    <n v="44"/>
    <n v="3.6"/>
  </r>
  <r>
    <x v="2516"/>
    <x v="180"/>
    <x v="5"/>
    <n v="6"/>
    <n v="30"/>
    <s v="Monday"/>
    <x v="6"/>
    <x v="6"/>
    <x v="4"/>
    <s v="Paneer Butter Masala"/>
    <x v="1"/>
    <n v="2"/>
    <n v="607"/>
    <n v="30.35"/>
    <n v="40"/>
    <n v="1214"/>
    <n v="1223.6500000000001"/>
    <x v="2"/>
    <x v="0"/>
    <x v="1"/>
    <n v="48"/>
    <n v="4.7"/>
  </r>
  <r>
    <x v="2517"/>
    <x v="180"/>
    <x v="5"/>
    <n v="6"/>
    <n v="30"/>
    <s v="Monday"/>
    <x v="8"/>
    <x v="8"/>
    <x v="0"/>
    <s v="Veg Burger"/>
    <x v="1"/>
    <n v="1"/>
    <n v="182"/>
    <n v="9.1"/>
    <n v="40"/>
    <n v="182"/>
    <n v="212.9"/>
    <x v="1"/>
    <x v="0"/>
    <x v="1"/>
    <n v="38"/>
    <n v="3.6"/>
  </r>
  <r>
    <x v="2518"/>
    <x v="180"/>
    <x v="5"/>
    <n v="6"/>
    <n v="30"/>
    <s v="Monday"/>
    <x v="6"/>
    <x v="11"/>
    <x v="6"/>
    <s v="Pasta"/>
    <x v="1"/>
    <n v="2"/>
    <n v="859"/>
    <n v="171.8"/>
    <n v="40"/>
    <n v="1718"/>
    <n v="1586.2"/>
    <x v="1"/>
    <x v="0"/>
    <x v="1"/>
    <n v="43"/>
    <n v="4"/>
  </r>
  <r>
    <x v="2519"/>
    <x v="180"/>
    <x v="5"/>
    <n v="6"/>
    <n v="30"/>
    <s v="Monday"/>
    <x v="6"/>
    <x v="2"/>
    <x v="7"/>
    <s v="Idli Sambar"/>
    <x v="1"/>
    <n v="3"/>
    <n v="200"/>
    <n v="0"/>
    <n v="30"/>
    <n v="600"/>
    <n v="630"/>
    <x v="1"/>
    <x v="0"/>
    <x v="0"/>
    <n v="41"/>
    <n v="4.8"/>
  </r>
  <r>
    <x v="2520"/>
    <x v="180"/>
    <x v="5"/>
    <n v="6"/>
    <n v="30"/>
    <s v="Monday"/>
    <x v="4"/>
    <x v="1"/>
    <x v="7"/>
    <s v="Idli Sambar"/>
    <x v="2"/>
    <n v="1"/>
    <n v="694"/>
    <n v="138.80000000000001"/>
    <n v="20"/>
    <n v="694"/>
    <n v="575.20000000000005"/>
    <x v="0"/>
    <x v="0"/>
    <x v="1"/>
    <n v="63"/>
    <n v="3.9"/>
  </r>
  <r>
    <x v="2521"/>
    <x v="180"/>
    <x v="5"/>
    <n v="6"/>
    <n v="30"/>
    <s v="Monday"/>
    <x v="0"/>
    <x v="3"/>
    <x v="9"/>
    <s v="Veg Pizza"/>
    <x v="1"/>
    <n v="2"/>
    <n v="144"/>
    <n v="28.8"/>
    <n v="30"/>
    <n v="288"/>
    <n v="289.2"/>
    <x v="2"/>
    <x v="1"/>
    <x v="1"/>
    <n v="60"/>
    <m/>
  </r>
  <r>
    <x v="2522"/>
    <x v="180"/>
    <x v="5"/>
    <n v="6"/>
    <n v="30"/>
    <s v="Monday"/>
    <x v="3"/>
    <x v="9"/>
    <x v="7"/>
    <s v="Chicken Burger"/>
    <x v="1"/>
    <n v="2"/>
    <n v="420"/>
    <n v="63"/>
    <n v="50"/>
    <n v="840"/>
    <n v="827"/>
    <x v="0"/>
    <x v="0"/>
    <x v="0"/>
    <n v="27"/>
    <n v="4.5999999999999996"/>
  </r>
  <r>
    <x v="2523"/>
    <x v="180"/>
    <x v="5"/>
    <n v="6"/>
    <n v="30"/>
    <s v="Monday"/>
    <x v="3"/>
    <x v="0"/>
    <x v="6"/>
    <s v="Fried Rice"/>
    <x v="1"/>
    <n v="1"/>
    <n v="740"/>
    <n v="37"/>
    <n v="20"/>
    <n v="740"/>
    <n v="723"/>
    <x v="3"/>
    <x v="0"/>
    <x v="1"/>
    <n v="32"/>
    <n v="3.7"/>
  </r>
  <r>
    <x v="2524"/>
    <x v="180"/>
    <x v="5"/>
    <n v="6"/>
    <n v="30"/>
    <s v="Monday"/>
    <x v="5"/>
    <x v="6"/>
    <x v="2"/>
    <s v="Veg Momos"/>
    <x v="1"/>
    <n v="3"/>
    <n v="391"/>
    <n v="78.2"/>
    <n v="0"/>
    <n v="1173"/>
    <n v="1094.8"/>
    <x v="0"/>
    <x v="1"/>
    <x v="0"/>
    <n v="67"/>
    <m/>
  </r>
  <r>
    <x v="2525"/>
    <x v="180"/>
    <x v="5"/>
    <n v="6"/>
    <n v="30"/>
    <s v="Monday"/>
    <x v="9"/>
    <x v="13"/>
    <x v="9"/>
    <s v="Fried Rice"/>
    <x v="1"/>
    <n v="2"/>
    <n v="535"/>
    <n v="80.25"/>
    <n v="30"/>
    <n v="1070"/>
    <n v="1019.75"/>
    <x v="0"/>
    <x v="2"/>
    <x v="1"/>
    <n v="47"/>
    <m/>
  </r>
  <r>
    <x v="2526"/>
    <x v="180"/>
    <x v="5"/>
    <n v="6"/>
    <n v="30"/>
    <s v="Monday"/>
    <x v="5"/>
    <x v="13"/>
    <x v="0"/>
    <s v="Veg Biryani"/>
    <x v="1"/>
    <n v="2"/>
    <n v="532"/>
    <n v="79.8"/>
    <n v="20"/>
    <n v="1064"/>
    <n v="1004.2"/>
    <x v="0"/>
    <x v="0"/>
    <x v="1"/>
    <n v="40"/>
    <n v="3"/>
  </r>
  <r>
    <x v="2527"/>
    <x v="180"/>
    <x v="5"/>
    <n v="6"/>
    <n v="30"/>
    <s v="Monday"/>
    <x v="1"/>
    <x v="3"/>
    <x v="1"/>
    <s v="Veg Burger"/>
    <x v="0"/>
    <n v="2"/>
    <n v="562"/>
    <n v="28.1"/>
    <n v="40"/>
    <n v="1124"/>
    <n v="1135.9000000000001"/>
    <x v="4"/>
    <x v="0"/>
    <x v="1"/>
    <n v="28"/>
    <n v="3.7"/>
  </r>
  <r>
    <x v="2528"/>
    <x v="180"/>
    <x v="5"/>
    <n v="6"/>
    <n v="30"/>
    <s v="Monday"/>
    <x v="7"/>
    <x v="0"/>
    <x v="1"/>
    <s v="Pasta"/>
    <x v="1"/>
    <n v="1"/>
    <n v="278"/>
    <n v="0"/>
    <n v="30"/>
    <n v="278"/>
    <n v="308"/>
    <x v="1"/>
    <x v="0"/>
    <x v="1"/>
    <n v="42"/>
    <n v="4.4000000000000004"/>
  </r>
  <r>
    <x v="2529"/>
    <x v="180"/>
    <x v="5"/>
    <n v="6"/>
    <n v="30"/>
    <s v="Monday"/>
    <x v="7"/>
    <x v="12"/>
    <x v="2"/>
    <s v="Masala Dosa"/>
    <x v="1"/>
    <n v="3"/>
    <n v="179"/>
    <n v="0"/>
    <n v="30"/>
    <n v="537"/>
    <n v="567"/>
    <x v="1"/>
    <x v="0"/>
    <x v="1"/>
    <n v="34"/>
    <n v="4"/>
  </r>
  <r>
    <x v="2530"/>
    <x v="181"/>
    <x v="6"/>
    <n v="7"/>
    <n v="1"/>
    <s v="Tuesday"/>
    <x v="5"/>
    <x v="11"/>
    <x v="0"/>
    <s v="Masala Dosa"/>
    <x v="1"/>
    <n v="2"/>
    <n v="205"/>
    <n v="20.5"/>
    <n v="60"/>
    <n v="410"/>
    <n v="449.5"/>
    <x v="1"/>
    <x v="2"/>
    <x v="1"/>
    <n v="66"/>
    <m/>
  </r>
  <r>
    <x v="2531"/>
    <x v="181"/>
    <x v="6"/>
    <n v="7"/>
    <n v="1"/>
    <s v="Tuesday"/>
    <x v="6"/>
    <x v="2"/>
    <x v="0"/>
    <s v="Fried Rice"/>
    <x v="1"/>
    <n v="3"/>
    <n v="726"/>
    <n v="145.19999999999999"/>
    <n v="0"/>
    <n v="2178"/>
    <n v="2032.8"/>
    <x v="2"/>
    <x v="2"/>
    <x v="1"/>
    <n v="68"/>
    <m/>
  </r>
  <r>
    <x v="2532"/>
    <x v="181"/>
    <x v="6"/>
    <n v="7"/>
    <n v="1"/>
    <s v="Tuesday"/>
    <x v="3"/>
    <x v="9"/>
    <x v="8"/>
    <s v="Veg Burger"/>
    <x v="1"/>
    <n v="1"/>
    <n v="863"/>
    <n v="172.6"/>
    <n v="40"/>
    <n v="863"/>
    <n v="730.4"/>
    <x v="3"/>
    <x v="0"/>
    <x v="1"/>
    <n v="67"/>
    <n v="4.9000000000000004"/>
  </r>
  <r>
    <x v="2533"/>
    <x v="181"/>
    <x v="6"/>
    <n v="7"/>
    <n v="1"/>
    <s v="Tuesday"/>
    <x v="3"/>
    <x v="4"/>
    <x v="9"/>
    <s v="Veg Pizza"/>
    <x v="1"/>
    <n v="1"/>
    <n v="752"/>
    <n v="75.2"/>
    <n v="30"/>
    <n v="752"/>
    <n v="706.8"/>
    <x v="2"/>
    <x v="0"/>
    <x v="1"/>
    <n v="56"/>
    <n v="4.3"/>
  </r>
  <r>
    <x v="2534"/>
    <x v="181"/>
    <x v="6"/>
    <n v="7"/>
    <n v="1"/>
    <s v="Tuesday"/>
    <x v="7"/>
    <x v="5"/>
    <x v="4"/>
    <s v="Chicken Momos"/>
    <x v="1"/>
    <n v="1"/>
    <n v="715"/>
    <n v="107.25"/>
    <n v="20"/>
    <n v="715"/>
    <n v="627.75"/>
    <x v="1"/>
    <x v="0"/>
    <x v="1"/>
    <n v="69"/>
    <n v="4.7"/>
  </r>
  <r>
    <x v="2535"/>
    <x v="181"/>
    <x v="6"/>
    <n v="7"/>
    <n v="1"/>
    <s v="Tuesday"/>
    <x v="8"/>
    <x v="3"/>
    <x v="6"/>
    <s v="Cold Coffee"/>
    <x v="2"/>
    <n v="1"/>
    <n v="829"/>
    <n v="207.25"/>
    <n v="40"/>
    <n v="829"/>
    <n v="661.75"/>
    <x v="2"/>
    <x v="0"/>
    <x v="0"/>
    <n v="28"/>
    <n v="4.5"/>
  </r>
  <r>
    <x v="2536"/>
    <x v="181"/>
    <x v="6"/>
    <n v="7"/>
    <n v="1"/>
    <s v="Tuesday"/>
    <x v="7"/>
    <x v="12"/>
    <x v="4"/>
    <s v="French Fries"/>
    <x v="1"/>
    <n v="2"/>
    <n v="173"/>
    <n v="17.3"/>
    <n v="20"/>
    <n v="346"/>
    <n v="348.7"/>
    <x v="1"/>
    <x v="0"/>
    <x v="1"/>
    <n v="37"/>
    <n v="4"/>
  </r>
  <r>
    <x v="2537"/>
    <x v="181"/>
    <x v="6"/>
    <n v="7"/>
    <n v="1"/>
    <s v="Tuesday"/>
    <x v="5"/>
    <x v="2"/>
    <x v="4"/>
    <s v="Chocolate Cake"/>
    <x v="1"/>
    <n v="1"/>
    <n v="382"/>
    <n v="0"/>
    <n v="20"/>
    <n v="382"/>
    <n v="402"/>
    <x v="1"/>
    <x v="0"/>
    <x v="1"/>
    <n v="34"/>
    <n v="3.2"/>
  </r>
  <r>
    <x v="2538"/>
    <x v="181"/>
    <x v="6"/>
    <n v="7"/>
    <n v="1"/>
    <s v="Tuesday"/>
    <x v="3"/>
    <x v="13"/>
    <x v="3"/>
    <s v="Fried Rice"/>
    <x v="1"/>
    <n v="3"/>
    <n v="500"/>
    <n v="50"/>
    <n v="60"/>
    <n v="1500"/>
    <n v="1510"/>
    <x v="3"/>
    <x v="0"/>
    <x v="1"/>
    <n v="56"/>
    <n v="4.5"/>
  </r>
  <r>
    <x v="2539"/>
    <x v="181"/>
    <x v="6"/>
    <n v="7"/>
    <n v="1"/>
    <s v="Tuesday"/>
    <x v="4"/>
    <x v="13"/>
    <x v="1"/>
    <s v="Veg Pizza"/>
    <x v="1"/>
    <n v="2"/>
    <n v="185"/>
    <n v="0"/>
    <n v="50"/>
    <n v="370"/>
    <n v="420"/>
    <x v="2"/>
    <x v="0"/>
    <x v="1"/>
    <n v="24"/>
    <n v="3.5"/>
  </r>
  <r>
    <x v="2540"/>
    <x v="181"/>
    <x v="6"/>
    <n v="7"/>
    <n v="1"/>
    <s v="Tuesday"/>
    <x v="2"/>
    <x v="4"/>
    <x v="9"/>
    <s v="French Fries"/>
    <x v="1"/>
    <n v="1"/>
    <n v="429"/>
    <n v="42.9"/>
    <n v="60"/>
    <n v="429"/>
    <n v="446.1"/>
    <x v="2"/>
    <x v="0"/>
    <x v="1"/>
    <n v="54"/>
    <n v="4.9000000000000004"/>
  </r>
  <r>
    <x v="2541"/>
    <x v="181"/>
    <x v="6"/>
    <n v="7"/>
    <n v="1"/>
    <s v="Tuesday"/>
    <x v="1"/>
    <x v="13"/>
    <x v="5"/>
    <s v="Pasta"/>
    <x v="1"/>
    <n v="3"/>
    <n v="699"/>
    <n v="0"/>
    <n v="40"/>
    <n v="2097"/>
    <n v="2137"/>
    <x v="1"/>
    <x v="0"/>
    <x v="0"/>
    <n v="53"/>
    <n v="4.4000000000000004"/>
  </r>
  <r>
    <x v="2542"/>
    <x v="181"/>
    <x v="6"/>
    <n v="7"/>
    <n v="1"/>
    <s v="Tuesday"/>
    <x v="5"/>
    <x v="11"/>
    <x v="2"/>
    <s v="Pasta"/>
    <x v="1"/>
    <n v="1"/>
    <n v="748"/>
    <n v="112.2"/>
    <n v="0"/>
    <n v="748"/>
    <n v="635.79999999999995"/>
    <x v="1"/>
    <x v="0"/>
    <x v="1"/>
    <n v="62"/>
    <n v="4.5"/>
  </r>
  <r>
    <x v="2543"/>
    <x v="182"/>
    <x v="6"/>
    <n v="7"/>
    <n v="2"/>
    <s v="Wednesday"/>
    <x v="1"/>
    <x v="4"/>
    <x v="1"/>
    <s v="Chicken Pizza"/>
    <x v="1"/>
    <n v="1"/>
    <n v="456"/>
    <n v="114"/>
    <n v="30"/>
    <n v="456"/>
    <n v="372"/>
    <x v="0"/>
    <x v="0"/>
    <x v="0"/>
    <n v="58"/>
    <n v="3.8"/>
  </r>
  <r>
    <x v="2544"/>
    <x v="182"/>
    <x v="6"/>
    <n v="7"/>
    <n v="2"/>
    <s v="Wednesday"/>
    <x v="3"/>
    <x v="9"/>
    <x v="2"/>
    <s v="Masala Dosa"/>
    <x v="1"/>
    <n v="2"/>
    <n v="502"/>
    <n v="75.3"/>
    <n v="40"/>
    <n v="1004"/>
    <n v="968.7"/>
    <x v="0"/>
    <x v="2"/>
    <x v="1"/>
    <n v="69"/>
    <m/>
  </r>
  <r>
    <x v="2545"/>
    <x v="182"/>
    <x v="6"/>
    <n v="7"/>
    <n v="2"/>
    <s v="Wednesday"/>
    <x v="4"/>
    <x v="0"/>
    <x v="5"/>
    <s v="Veg Pizza"/>
    <x v="1"/>
    <n v="1"/>
    <n v="727"/>
    <n v="72.7"/>
    <n v="60"/>
    <n v="727"/>
    <n v="714.3"/>
    <x v="1"/>
    <x v="0"/>
    <x v="1"/>
    <n v="36"/>
    <n v="3.1"/>
  </r>
  <r>
    <x v="2546"/>
    <x v="182"/>
    <x v="6"/>
    <n v="7"/>
    <n v="2"/>
    <s v="Wednesday"/>
    <x v="5"/>
    <x v="0"/>
    <x v="4"/>
    <s v="Chicken Burger"/>
    <x v="1"/>
    <n v="3"/>
    <n v="810"/>
    <n v="0"/>
    <n v="40"/>
    <n v="2430"/>
    <n v="2470"/>
    <x v="3"/>
    <x v="0"/>
    <x v="0"/>
    <n v="19"/>
    <n v="4.2"/>
  </r>
  <r>
    <x v="2547"/>
    <x v="182"/>
    <x v="6"/>
    <n v="7"/>
    <n v="2"/>
    <s v="Wednesday"/>
    <x v="1"/>
    <x v="7"/>
    <x v="0"/>
    <s v="French Fries"/>
    <x v="0"/>
    <n v="3"/>
    <n v="135"/>
    <n v="6.75"/>
    <n v="50"/>
    <n v="405"/>
    <n v="448.25"/>
    <x v="4"/>
    <x v="0"/>
    <x v="1"/>
    <n v="69"/>
    <n v="3.9"/>
  </r>
  <r>
    <x v="2548"/>
    <x v="182"/>
    <x v="6"/>
    <n v="7"/>
    <n v="2"/>
    <s v="Wednesday"/>
    <x v="5"/>
    <x v="8"/>
    <x v="5"/>
    <s v="Chicken Burger"/>
    <x v="2"/>
    <n v="1"/>
    <n v="158"/>
    <n v="31.6"/>
    <n v="20"/>
    <n v="158"/>
    <n v="146.4"/>
    <x v="1"/>
    <x v="0"/>
    <x v="0"/>
    <n v="28"/>
    <n v="4.0999999999999996"/>
  </r>
  <r>
    <x v="2549"/>
    <x v="182"/>
    <x v="6"/>
    <n v="7"/>
    <n v="2"/>
    <s v="Wednesday"/>
    <x v="1"/>
    <x v="2"/>
    <x v="5"/>
    <s v="Chicken Burger"/>
    <x v="1"/>
    <n v="1"/>
    <n v="675"/>
    <n v="101.25"/>
    <n v="20"/>
    <n v="675"/>
    <n v="593.75"/>
    <x v="1"/>
    <x v="0"/>
    <x v="1"/>
    <n v="36"/>
    <n v="4.5"/>
  </r>
  <r>
    <x v="2550"/>
    <x v="182"/>
    <x v="6"/>
    <n v="7"/>
    <n v="2"/>
    <s v="Wednesday"/>
    <x v="0"/>
    <x v="6"/>
    <x v="8"/>
    <s v="Veg Momos"/>
    <x v="1"/>
    <n v="1"/>
    <n v="565"/>
    <n v="28.25"/>
    <n v="0"/>
    <n v="565"/>
    <n v="536.75"/>
    <x v="2"/>
    <x v="0"/>
    <x v="1"/>
    <n v="70"/>
    <n v="4.5"/>
  </r>
  <r>
    <x v="2551"/>
    <x v="182"/>
    <x v="6"/>
    <n v="7"/>
    <n v="2"/>
    <s v="Wednesday"/>
    <x v="5"/>
    <x v="1"/>
    <x v="6"/>
    <s v="Veg Pizza"/>
    <x v="1"/>
    <n v="1"/>
    <n v="749"/>
    <n v="37.450000000000003"/>
    <n v="40"/>
    <n v="749"/>
    <n v="751.55"/>
    <x v="3"/>
    <x v="0"/>
    <x v="1"/>
    <n v="18"/>
    <n v="3.4"/>
  </r>
  <r>
    <x v="2552"/>
    <x v="182"/>
    <x v="6"/>
    <n v="7"/>
    <n v="2"/>
    <s v="Wednesday"/>
    <x v="1"/>
    <x v="14"/>
    <x v="8"/>
    <s v="Veg Momos"/>
    <x v="1"/>
    <n v="1"/>
    <n v="636"/>
    <n v="63.6"/>
    <n v="30"/>
    <n v="636"/>
    <n v="602.4"/>
    <x v="1"/>
    <x v="0"/>
    <x v="1"/>
    <n v="53"/>
    <n v="5"/>
  </r>
  <r>
    <x v="2553"/>
    <x v="182"/>
    <x v="6"/>
    <n v="7"/>
    <n v="2"/>
    <s v="Wednesday"/>
    <x v="6"/>
    <x v="6"/>
    <x v="0"/>
    <s v="Fried Rice"/>
    <x v="2"/>
    <n v="1"/>
    <n v="661"/>
    <n v="33.049999999999997"/>
    <n v="30"/>
    <n v="661"/>
    <n v="657.95"/>
    <x v="1"/>
    <x v="2"/>
    <x v="0"/>
    <n v="60"/>
    <m/>
  </r>
  <r>
    <x v="2554"/>
    <x v="182"/>
    <x v="6"/>
    <n v="7"/>
    <n v="2"/>
    <s v="Wednesday"/>
    <x v="3"/>
    <x v="9"/>
    <x v="2"/>
    <s v="Chocolate Cake"/>
    <x v="1"/>
    <n v="1"/>
    <n v="465"/>
    <n v="116.25"/>
    <n v="40"/>
    <n v="465"/>
    <n v="388.75"/>
    <x v="3"/>
    <x v="1"/>
    <x v="0"/>
    <n v="34"/>
    <m/>
  </r>
  <r>
    <x v="2555"/>
    <x v="182"/>
    <x v="6"/>
    <n v="7"/>
    <n v="2"/>
    <s v="Wednesday"/>
    <x v="5"/>
    <x v="12"/>
    <x v="3"/>
    <s v="Fried Rice"/>
    <x v="2"/>
    <n v="2"/>
    <n v="875"/>
    <n v="43.75"/>
    <n v="30"/>
    <n v="1750"/>
    <n v="1736.25"/>
    <x v="0"/>
    <x v="0"/>
    <x v="1"/>
    <n v="21"/>
    <n v="5"/>
  </r>
  <r>
    <x v="2556"/>
    <x v="182"/>
    <x v="6"/>
    <n v="7"/>
    <n v="2"/>
    <s v="Wednesday"/>
    <x v="3"/>
    <x v="7"/>
    <x v="6"/>
    <s v="Chicken Momos"/>
    <x v="1"/>
    <n v="2"/>
    <n v="481"/>
    <n v="0"/>
    <n v="50"/>
    <n v="962"/>
    <n v="1012"/>
    <x v="2"/>
    <x v="0"/>
    <x v="1"/>
    <n v="70"/>
    <n v="3"/>
  </r>
  <r>
    <x v="2557"/>
    <x v="182"/>
    <x v="6"/>
    <n v="7"/>
    <n v="2"/>
    <s v="Wednesday"/>
    <x v="1"/>
    <x v="0"/>
    <x v="2"/>
    <s v="French Fries"/>
    <x v="1"/>
    <n v="2"/>
    <n v="485"/>
    <n v="24.25"/>
    <n v="40"/>
    <n v="970"/>
    <n v="985.75"/>
    <x v="1"/>
    <x v="0"/>
    <x v="0"/>
    <n v="55"/>
    <n v="4.3"/>
  </r>
  <r>
    <x v="2558"/>
    <x v="182"/>
    <x v="6"/>
    <n v="7"/>
    <n v="2"/>
    <s v="Wednesday"/>
    <x v="7"/>
    <x v="5"/>
    <x v="3"/>
    <s v="Veg Pizza"/>
    <x v="2"/>
    <n v="1"/>
    <n v="293"/>
    <n v="0"/>
    <n v="40"/>
    <n v="293"/>
    <n v="333"/>
    <x v="3"/>
    <x v="0"/>
    <x v="1"/>
    <n v="63"/>
    <n v="4.8"/>
  </r>
  <r>
    <x v="2559"/>
    <x v="183"/>
    <x v="6"/>
    <n v="7"/>
    <n v="3"/>
    <s v="Thursday"/>
    <x v="5"/>
    <x v="4"/>
    <x v="7"/>
    <s v="Veg Biryani"/>
    <x v="1"/>
    <n v="3"/>
    <n v="681"/>
    <n v="68.099999999999994"/>
    <n v="0"/>
    <n v="2043"/>
    <n v="1974.9"/>
    <x v="0"/>
    <x v="0"/>
    <x v="1"/>
    <n v="56"/>
    <n v="4.0999999999999996"/>
  </r>
  <r>
    <x v="2560"/>
    <x v="183"/>
    <x v="6"/>
    <n v="7"/>
    <n v="3"/>
    <s v="Thursday"/>
    <x v="0"/>
    <x v="0"/>
    <x v="6"/>
    <s v="Pasta"/>
    <x v="2"/>
    <n v="3"/>
    <n v="501"/>
    <n v="25.05"/>
    <n v="60"/>
    <n v="1503"/>
    <n v="1537.95"/>
    <x v="2"/>
    <x v="0"/>
    <x v="1"/>
    <n v="65"/>
    <n v="4.0999999999999996"/>
  </r>
  <r>
    <x v="2561"/>
    <x v="183"/>
    <x v="6"/>
    <n v="7"/>
    <n v="3"/>
    <s v="Thursday"/>
    <x v="3"/>
    <x v="13"/>
    <x v="3"/>
    <s v="Veg Burger"/>
    <x v="2"/>
    <n v="1"/>
    <n v="759"/>
    <n v="75.900000000000006"/>
    <n v="0"/>
    <n v="759"/>
    <n v="683.1"/>
    <x v="4"/>
    <x v="1"/>
    <x v="1"/>
    <n v="34"/>
    <m/>
  </r>
  <r>
    <x v="2562"/>
    <x v="183"/>
    <x v="6"/>
    <n v="7"/>
    <n v="3"/>
    <s v="Thursday"/>
    <x v="5"/>
    <x v="14"/>
    <x v="3"/>
    <s v="Masala Dosa"/>
    <x v="1"/>
    <n v="1"/>
    <n v="810"/>
    <n v="202.5"/>
    <n v="30"/>
    <n v="810"/>
    <n v="637.5"/>
    <x v="2"/>
    <x v="0"/>
    <x v="0"/>
    <n v="66"/>
    <n v="3.6"/>
  </r>
  <r>
    <x v="2563"/>
    <x v="183"/>
    <x v="6"/>
    <n v="7"/>
    <n v="3"/>
    <s v="Thursday"/>
    <x v="0"/>
    <x v="14"/>
    <x v="7"/>
    <s v="Veg Momos"/>
    <x v="1"/>
    <n v="1"/>
    <n v="627"/>
    <n v="125.4"/>
    <n v="0"/>
    <n v="627"/>
    <n v="501.6"/>
    <x v="1"/>
    <x v="0"/>
    <x v="1"/>
    <n v="55"/>
    <n v="3.6"/>
  </r>
  <r>
    <x v="2564"/>
    <x v="183"/>
    <x v="6"/>
    <n v="7"/>
    <n v="3"/>
    <s v="Thursday"/>
    <x v="1"/>
    <x v="12"/>
    <x v="1"/>
    <s v="Chicken Momos"/>
    <x v="1"/>
    <n v="2"/>
    <n v="268"/>
    <n v="53.6"/>
    <n v="30"/>
    <n v="536"/>
    <n v="512.4"/>
    <x v="1"/>
    <x v="1"/>
    <x v="1"/>
    <n v="49"/>
    <m/>
  </r>
  <r>
    <x v="2565"/>
    <x v="183"/>
    <x v="6"/>
    <n v="7"/>
    <n v="3"/>
    <s v="Thursday"/>
    <x v="9"/>
    <x v="8"/>
    <x v="5"/>
    <s v="Paneer Butter Masala"/>
    <x v="1"/>
    <n v="3"/>
    <n v="415"/>
    <n v="20.75"/>
    <n v="50"/>
    <n v="1245"/>
    <n v="1274.25"/>
    <x v="1"/>
    <x v="0"/>
    <x v="0"/>
    <n v="57"/>
    <n v="3.5"/>
  </r>
  <r>
    <x v="2566"/>
    <x v="183"/>
    <x v="6"/>
    <n v="7"/>
    <n v="3"/>
    <s v="Thursday"/>
    <x v="3"/>
    <x v="14"/>
    <x v="3"/>
    <s v="Chicken Momos"/>
    <x v="1"/>
    <n v="1"/>
    <n v="836"/>
    <n v="83.6"/>
    <n v="40"/>
    <n v="836"/>
    <n v="792.4"/>
    <x v="1"/>
    <x v="0"/>
    <x v="0"/>
    <n v="43"/>
    <n v="3.2"/>
  </r>
  <r>
    <x v="2567"/>
    <x v="183"/>
    <x v="6"/>
    <n v="7"/>
    <n v="3"/>
    <s v="Thursday"/>
    <x v="0"/>
    <x v="10"/>
    <x v="3"/>
    <s v="Chocolate Cake"/>
    <x v="1"/>
    <n v="2"/>
    <n v="372"/>
    <n v="74.400000000000006"/>
    <n v="0"/>
    <n v="744"/>
    <n v="669.6"/>
    <x v="2"/>
    <x v="0"/>
    <x v="1"/>
    <n v="47"/>
    <n v="4.3"/>
  </r>
  <r>
    <x v="2568"/>
    <x v="183"/>
    <x v="6"/>
    <n v="7"/>
    <n v="3"/>
    <s v="Thursday"/>
    <x v="6"/>
    <x v="4"/>
    <x v="1"/>
    <s v="Idli Sambar"/>
    <x v="2"/>
    <n v="1"/>
    <n v="330"/>
    <n v="33"/>
    <n v="30"/>
    <n v="330"/>
    <n v="327"/>
    <x v="1"/>
    <x v="0"/>
    <x v="1"/>
    <n v="49"/>
    <n v="3.1"/>
  </r>
  <r>
    <x v="2569"/>
    <x v="183"/>
    <x v="6"/>
    <n v="7"/>
    <n v="3"/>
    <s v="Thursday"/>
    <x v="2"/>
    <x v="6"/>
    <x v="3"/>
    <s v="Veg Momos"/>
    <x v="1"/>
    <n v="2"/>
    <n v="484"/>
    <n v="96.8"/>
    <n v="20"/>
    <n v="968"/>
    <n v="891.2"/>
    <x v="1"/>
    <x v="0"/>
    <x v="1"/>
    <n v="27"/>
    <n v="4.7"/>
  </r>
  <r>
    <x v="2570"/>
    <x v="183"/>
    <x v="6"/>
    <n v="7"/>
    <n v="3"/>
    <s v="Thursday"/>
    <x v="7"/>
    <x v="5"/>
    <x v="6"/>
    <s v="Masala Dosa"/>
    <x v="2"/>
    <n v="2"/>
    <n v="870"/>
    <n v="87"/>
    <n v="60"/>
    <n v="1740"/>
    <n v="1713"/>
    <x v="1"/>
    <x v="0"/>
    <x v="1"/>
    <n v="65"/>
    <n v="4.0999999999999996"/>
  </r>
  <r>
    <x v="2571"/>
    <x v="184"/>
    <x v="6"/>
    <n v="7"/>
    <n v="4"/>
    <s v="Friday"/>
    <x v="1"/>
    <x v="12"/>
    <x v="8"/>
    <s v="Veg Biryani"/>
    <x v="1"/>
    <n v="2"/>
    <n v="227"/>
    <n v="22.7"/>
    <n v="40"/>
    <n v="454"/>
    <n v="471.3"/>
    <x v="3"/>
    <x v="0"/>
    <x v="1"/>
    <n v="48"/>
    <n v="3.1"/>
  </r>
  <r>
    <x v="2572"/>
    <x v="184"/>
    <x v="6"/>
    <n v="7"/>
    <n v="4"/>
    <s v="Friday"/>
    <x v="1"/>
    <x v="0"/>
    <x v="2"/>
    <s v="Veg Burger"/>
    <x v="1"/>
    <n v="2"/>
    <n v="436"/>
    <n v="0"/>
    <n v="0"/>
    <n v="872"/>
    <n v="872"/>
    <x v="0"/>
    <x v="0"/>
    <x v="1"/>
    <n v="58"/>
    <n v="3.9"/>
  </r>
  <r>
    <x v="2573"/>
    <x v="184"/>
    <x v="6"/>
    <n v="7"/>
    <n v="4"/>
    <s v="Friday"/>
    <x v="4"/>
    <x v="1"/>
    <x v="9"/>
    <s v="Masala Dosa"/>
    <x v="1"/>
    <n v="1"/>
    <n v="882"/>
    <n v="132.30000000000001"/>
    <n v="20"/>
    <n v="882"/>
    <n v="769.7"/>
    <x v="2"/>
    <x v="0"/>
    <x v="1"/>
    <n v="60"/>
    <n v="4.5999999999999996"/>
  </r>
  <r>
    <x v="2574"/>
    <x v="184"/>
    <x v="6"/>
    <n v="7"/>
    <n v="4"/>
    <s v="Friday"/>
    <x v="1"/>
    <x v="12"/>
    <x v="4"/>
    <s v="Cold Coffee"/>
    <x v="1"/>
    <n v="2"/>
    <n v="630"/>
    <n v="0"/>
    <n v="60"/>
    <n v="1260"/>
    <n v="1320"/>
    <x v="1"/>
    <x v="0"/>
    <x v="1"/>
    <n v="49"/>
    <n v="4.0999999999999996"/>
  </r>
  <r>
    <x v="2575"/>
    <x v="184"/>
    <x v="6"/>
    <n v="7"/>
    <n v="4"/>
    <s v="Friday"/>
    <x v="4"/>
    <x v="3"/>
    <x v="7"/>
    <s v="Pasta"/>
    <x v="1"/>
    <n v="2"/>
    <n v="620"/>
    <n v="31"/>
    <n v="50"/>
    <n v="1240"/>
    <n v="1259"/>
    <x v="1"/>
    <x v="0"/>
    <x v="1"/>
    <n v="58"/>
    <n v="4.5999999999999996"/>
  </r>
  <r>
    <x v="2576"/>
    <x v="184"/>
    <x v="6"/>
    <n v="7"/>
    <n v="4"/>
    <s v="Friday"/>
    <x v="3"/>
    <x v="10"/>
    <x v="1"/>
    <s v="Chocolate Cake"/>
    <x v="2"/>
    <n v="1"/>
    <n v="414"/>
    <n v="41.4"/>
    <n v="0"/>
    <n v="414"/>
    <n v="372.6"/>
    <x v="1"/>
    <x v="0"/>
    <x v="1"/>
    <n v="32"/>
    <n v="4.4000000000000004"/>
  </r>
  <r>
    <x v="2577"/>
    <x v="185"/>
    <x v="6"/>
    <n v="7"/>
    <n v="5"/>
    <s v="Saturday"/>
    <x v="7"/>
    <x v="2"/>
    <x v="0"/>
    <s v="Veg Biryani"/>
    <x v="1"/>
    <n v="1"/>
    <n v="826"/>
    <n v="41.3"/>
    <n v="70"/>
    <n v="826"/>
    <n v="854.7"/>
    <x v="1"/>
    <x v="0"/>
    <x v="1"/>
    <n v="51"/>
    <n v="3.7"/>
  </r>
  <r>
    <x v="2578"/>
    <x v="185"/>
    <x v="6"/>
    <n v="7"/>
    <n v="5"/>
    <s v="Saturday"/>
    <x v="7"/>
    <x v="6"/>
    <x v="6"/>
    <s v="Masala Dosa"/>
    <x v="3"/>
    <n v="1"/>
    <n v="862"/>
    <n v="86.2"/>
    <n v="0"/>
    <n v="862"/>
    <n v="775.8"/>
    <x v="1"/>
    <x v="0"/>
    <x v="1"/>
    <n v="32"/>
    <n v="2.8"/>
  </r>
  <r>
    <x v="2579"/>
    <x v="185"/>
    <x v="6"/>
    <n v="7"/>
    <n v="5"/>
    <s v="Saturday"/>
    <x v="1"/>
    <x v="8"/>
    <x v="5"/>
    <s v="Pasta"/>
    <x v="2"/>
    <n v="1"/>
    <n v="806"/>
    <n v="80.599999999999994"/>
    <n v="0"/>
    <n v="806"/>
    <n v="725.4"/>
    <x v="3"/>
    <x v="0"/>
    <x v="0"/>
    <n v="23"/>
    <n v="3.8"/>
  </r>
  <r>
    <x v="2580"/>
    <x v="185"/>
    <x v="6"/>
    <n v="7"/>
    <n v="5"/>
    <s v="Saturday"/>
    <x v="1"/>
    <x v="1"/>
    <x v="8"/>
    <s v="Chocolate Cake"/>
    <x v="1"/>
    <n v="1"/>
    <n v="694"/>
    <n v="0"/>
    <n v="70"/>
    <n v="694"/>
    <n v="764"/>
    <x v="2"/>
    <x v="3"/>
    <x v="1"/>
    <n v="60"/>
    <m/>
  </r>
  <r>
    <x v="2581"/>
    <x v="185"/>
    <x v="6"/>
    <n v="7"/>
    <n v="5"/>
    <s v="Saturday"/>
    <x v="5"/>
    <x v="0"/>
    <x v="7"/>
    <s v="Pasta"/>
    <x v="0"/>
    <n v="1"/>
    <n v="519"/>
    <n v="129.75"/>
    <n v="70"/>
    <n v="519"/>
    <n v="459.25"/>
    <x v="4"/>
    <x v="0"/>
    <x v="0"/>
    <n v="23"/>
    <n v="4.2"/>
  </r>
  <r>
    <x v="2582"/>
    <x v="185"/>
    <x v="6"/>
    <n v="7"/>
    <n v="5"/>
    <s v="Saturday"/>
    <x v="7"/>
    <x v="14"/>
    <x v="4"/>
    <s v="Veg Pizza"/>
    <x v="2"/>
    <n v="1"/>
    <n v="815"/>
    <n v="122.25"/>
    <n v="20"/>
    <n v="815"/>
    <n v="712.75"/>
    <x v="3"/>
    <x v="0"/>
    <x v="1"/>
    <n v="38"/>
    <n v="3.4"/>
  </r>
  <r>
    <x v="2583"/>
    <x v="185"/>
    <x v="6"/>
    <n v="7"/>
    <n v="5"/>
    <s v="Saturday"/>
    <x v="4"/>
    <x v="7"/>
    <x v="5"/>
    <s v="Masala Dosa"/>
    <x v="1"/>
    <n v="2"/>
    <n v="607"/>
    <n v="0"/>
    <n v="30"/>
    <n v="1214"/>
    <n v="1244"/>
    <x v="0"/>
    <x v="0"/>
    <x v="0"/>
    <n v="37"/>
    <n v="3.9"/>
  </r>
  <r>
    <x v="2584"/>
    <x v="185"/>
    <x v="6"/>
    <n v="7"/>
    <n v="5"/>
    <s v="Saturday"/>
    <x v="1"/>
    <x v="2"/>
    <x v="0"/>
    <s v="Veg Momos"/>
    <x v="0"/>
    <n v="1"/>
    <n v="302"/>
    <n v="0"/>
    <n v="60"/>
    <n v="302"/>
    <n v="362"/>
    <x v="1"/>
    <x v="0"/>
    <x v="0"/>
    <n v="53"/>
    <n v="3.6"/>
  </r>
  <r>
    <x v="2585"/>
    <x v="185"/>
    <x v="6"/>
    <n v="7"/>
    <n v="5"/>
    <s v="Saturday"/>
    <x v="1"/>
    <x v="3"/>
    <x v="0"/>
    <s v="Pasta"/>
    <x v="1"/>
    <n v="2"/>
    <n v="247"/>
    <n v="12.35"/>
    <n v="20"/>
    <n v="494"/>
    <n v="501.65"/>
    <x v="1"/>
    <x v="0"/>
    <x v="0"/>
    <n v="58"/>
    <n v="2.9"/>
  </r>
  <r>
    <x v="2586"/>
    <x v="185"/>
    <x v="6"/>
    <n v="7"/>
    <n v="5"/>
    <s v="Saturday"/>
    <x v="8"/>
    <x v="9"/>
    <x v="5"/>
    <s v="Cold Coffee"/>
    <x v="2"/>
    <n v="3"/>
    <n v="245"/>
    <n v="12.25"/>
    <n v="50"/>
    <n v="735"/>
    <n v="772.75"/>
    <x v="1"/>
    <x v="0"/>
    <x v="1"/>
    <n v="55"/>
    <n v="3.5"/>
  </r>
  <r>
    <x v="2587"/>
    <x v="185"/>
    <x v="6"/>
    <n v="7"/>
    <n v="5"/>
    <s v="Saturday"/>
    <x v="1"/>
    <x v="3"/>
    <x v="7"/>
    <s v="Idli Sambar"/>
    <x v="1"/>
    <n v="2"/>
    <n v="225"/>
    <n v="22.5"/>
    <n v="20"/>
    <n v="450"/>
    <n v="447.5"/>
    <x v="0"/>
    <x v="0"/>
    <x v="0"/>
    <n v="70"/>
    <n v="4.3"/>
  </r>
  <r>
    <x v="2588"/>
    <x v="186"/>
    <x v="6"/>
    <n v="7"/>
    <n v="6"/>
    <s v="Sunday"/>
    <x v="4"/>
    <x v="1"/>
    <x v="3"/>
    <s v="Veg Momos"/>
    <x v="1"/>
    <n v="2"/>
    <n v="452"/>
    <n v="90.4"/>
    <n v="20"/>
    <n v="904"/>
    <n v="833.6"/>
    <x v="4"/>
    <x v="0"/>
    <x v="1"/>
    <n v="36"/>
    <n v="3"/>
  </r>
  <r>
    <x v="2589"/>
    <x v="186"/>
    <x v="6"/>
    <n v="7"/>
    <n v="6"/>
    <s v="Sunday"/>
    <x v="9"/>
    <x v="3"/>
    <x v="0"/>
    <s v="Veg Pizza"/>
    <x v="2"/>
    <n v="1"/>
    <n v="627"/>
    <n v="0"/>
    <n v="40"/>
    <n v="627"/>
    <n v="667"/>
    <x v="1"/>
    <x v="0"/>
    <x v="1"/>
    <n v="19"/>
    <n v="3.9"/>
  </r>
  <r>
    <x v="2590"/>
    <x v="186"/>
    <x v="6"/>
    <n v="7"/>
    <n v="6"/>
    <s v="Sunday"/>
    <x v="6"/>
    <x v="12"/>
    <x v="4"/>
    <s v="Idli Sambar"/>
    <x v="1"/>
    <n v="2"/>
    <n v="182"/>
    <n v="0"/>
    <n v="70"/>
    <n v="364"/>
    <n v="434"/>
    <x v="3"/>
    <x v="0"/>
    <x v="1"/>
    <n v="34"/>
    <n v="5"/>
  </r>
  <r>
    <x v="2591"/>
    <x v="186"/>
    <x v="6"/>
    <n v="7"/>
    <n v="6"/>
    <s v="Sunday"/>
    <x v="4"/>
    <x v="6"/>
    <x v="4"/>
    <s v="Veg Momos"/>
    <x v="1"/>
    <n v="3"/>
    <n v="386"/>
    <n v="19.3"/>
    <n v="40"/>
    <n v="1158"/>
    <n v="1178.7"/>
    <x v="0"/>
    <x v="0"/>
    <x v="1"/>
    <n v="26"/>
    <n v="4"/>
  </r>
  <r>
    <x v="2592"/>
    <x v="186"/>
    <x v="6"/>
    <n v="7"/>
    <n v="6"/>
    <s v="Sunday"/>
    <x v="3"/>
    <x v="1"/>
    <x v="1"/>
    <s v="Fried Rice"/>
    <x v="1"/>
    <n v="1"/>
    <n v="138"/>
    <n v="6.9"/>
    <n v="0"/>
    <n v="138"/>
    <n v="131.1"/>
    <x v="0"/>
    <x v="2"/>
    <x v="1"/>
    <n v="34"/>
    <m/>
  </r>
  <r>
    <x v="2593"/>
    <x v="186"/>
    <x v="6"/>
    <n v="7"/>
    <n v="6"/>
    <s v="Sunday"/>
    <x v="5"/>
    <x v="7"/>
    <x v="1"/>
    <s v="Veg Biryani"/>
    <x v="1"/>
    <n v="1"/>
    <n v="784"/>
    <n v="156.80000000000001"/>
    <n v="70"/>
    <n v="784"/>
    <n v="697.2"/>
    <x v="1"/>
    <x v="0"/>
    <x v="1"/>
    <n v="29"/>
    <n v="4.0999999999999996"/>
  </r>
  <r>
    <x v="2594"/>
    <x v="186"/>
    <x v="6"/>
    <n v="7"/>
    <n v="6"/>
    <s v="Sunday"/>
    <x v="9"/>
    <x v="12"/>
    <x v="2"/>
    <s v="French Fries"/>
    <x v="1"/>
    <n v="1"/>
    <n v="296"/>
    <n v="44.4"/>
    <n v="0"/>
    <n v="296"/>
    <n v="251.6"/>
    <x v="0"/>
    <x v="0"/>
    <x v="1"/>
    <n v="48"/>
    <n v="4.9000000000000004"/>
  </r>
  <r>
    <x v="2595"/>
    <x v="186"/>
    <x v="6"/>
    <n v="7"/>
    <n v="6"/>
    <s v="Sunday"/>
    <x v="9"/>
    <x v="5"/>
    <x v="0"/>
    <s v="Veg Biryani"/>
    <x v="3"/>
    <n v="1"/>
    <n v="489"/>
    <n v="0"/>
    <n v="30"/>
    <n v="489"/>
    <n v="519"/>
    <x v="1"/>
    <x v="0"/>
    <x v="0"/>
    <n v="36"/>
    <n v="4.8"/>
  </r>
  <r>
    <x v="2596"/>
    <x v="186"/>
    <x v="6"/>
    <n v="7"/>
    <n v="6"/>
    <s v="Sunday"/>
    <x v="1"/>
    <x v="8"/>
    <x v="0"/>
    <s v="Veg Burger"/>
    <x v="1"/>
    <n v="3"/>
    <n v="752"/>
    <n v="150.4"/>
    <n v="50"/>
    <n v="2256"/>
    <n v="2155.6"/>
    <x v="2"/>
    <x v="0"/>
    <x v="1"/>
    <n v="66"/>
    <n v="4.5"/>
  </r>
  <r>
    <x v="2597"/>
    <x v="186"/>
    <x v="6"/>
    <n v="7"/>
    <n v="6"/>
    <s v="Sunday"/>
    <x v="5"/>
    <x v="3"/>
    <x v="6"/>
    <s v="Paneer Butter Masala"/>
    <x v="1"/>
    <n v="2"/>
    <n v="159"/>
    <n v="7.95"/>
    <n v="50"/>
    <n v="318"/>
    <n v="360.05"/>
    <x v="1"/>
    <x v="0"/>
    <x v="0"/>
    <n v="60"/>
    <n v="4.2"/>
  </r>
  <r>
    <x v="2598"/>
    <x v="186"/>
    <x v="6"/>
    <n v="7"/>
    <n v="6"/>
    <s v="Sunday"/>
    <x v="9"/>
    <x v="1"/>
    <x v="5"/>
    <s v="Chicken Momos"/>
    <x v="2"/>
    <n v="2"/>
    <n v="558"/>
    <n v="55.8"/>
    <n v="30"/>
    <n v="1116"/>
    <n v="1090.2"/>
    <x v="2"/>
    <x v="0"/>
    <x v="1"/>
    <n v="39"/>
    <n v="4.4000000000000004"/>
  </r>
  <r>
    <x v="2599"/>
    <x v="186"/>
    <x v="6"/>
    <n v="7"/>
    <n v="6"/>
    <s v="Sunday"/>
    <x v="9"/>
    <x v="4"/>
    <x v="5"/>
    <s v="Chicken Pizza"/>
    <x v="1"/>
    <n v="1"/>
    <n v="820"/>
    <n v="123"/>
    <n v="50"/>
    <n v="820"/>
    <n v="747"/>
    <x v="0"/>
    <x v="0"/>
    <x v="0"/>
    <n v="39"/>
    <n v="3.4"/>
  </r>
  <r>
    <x v="2600"/>
    <x v="186"/>
    <x v="6"/>
    <n v="7"/>
    <n v="6"/>
    <s v="Sunday"/>
    <x v="9"/>
    <x v="4"/>
    <x v="6"/>
    <s v="Chicken Biryani"/>
    <x v="2"/>
    <n v="1"/>
    <n v="797"/>
    <n v="79.7"/>
    <n v="50"/>
    <n v="797"/>
    <n v="767.3"/>
    <x v="3"/>
    <x v="0"/>
    <x v="1"/>
    <n v="62"/>
    <n v="3.6"/>
  </r>
  <r>
    <x v="2601"/>
    <x v="187"/>
    <x v="6"/>
    <n v="7"/>
    <n v="7"/>
    <s v="Monday"/>
    <x v="1"/>
    <x v="11"/>
    <x v="4"/>
    <s v="Fried Rice"/>
    <x v="3"/>
    <n v="2"/>
    <n v="609"/>
    <n v="152.25"/>
    <n v="50"/>
    <n v="1218"/>
    <n v="1115.75"/>
    <x v="2"/>
    <x v="0"/>
    <x v="1"/>
    <n v="41"/>
    <n v="3.9"/>
  </r>
  <r>
    <x v="2602"/>
    <x v="187"/>
    <x v="6"/>
    <n v="7"/>
    <n v="7"/>
    <s v="Monday"/>
    <x v="0"/>
    <x v="8"/>
    <x v="7"/>
    <s v="French Fries"/>
    <x v="1"/>
    <n v="2"/>
    <n v="392"/>
    <n v="78.400000000000006"/>
    <n v="0"/>
    <n v="784"/>
    <n v="705.6"/>
    <x v="1"/>
    <x v="0"/>
    <x v="1"/>
    <n v="61"/>
    <n v="4"/>
  </r>
  <r>
    <x v="2603"/>
    <x v="187"/>
    <x v="6"/>
    <n v="7"/>
    <n v="7"/>
    <s v="Monday"/>
    <x v="6"/>
    <x v="3"/>
    <x v="5"/>
    <s v="Veg Pizza"/>
    <x v="1"/>
    <n v="3"/>
    <n v="318"/>
    <n v="0"/>
    <n v="40"/>
    <n v="954"/>
    <n v="994"/>
    <x v="2"/>
    <x v="0"/>
    <x v="0"/>
    <n v="20"/>
    <n v="4.0999999999999996"/>
  </r>
  <r>
    <x v="2604"/>
    <x v="187"/>
    <x v="6"/>
    <n v="7"/>
    <n v="7"/>
    <s v="Monday"/>
    <x v="5"/>
    <x v="3"/>
    <x v="4"/>
    <s v="Veg Momos"/>
    <x v="1"/>
    <n v="2"/>
    <n v="444"/>
    <n v="111"/>
    <n v="30"/>
    <n v="888"/>
    <n v="807"/>
    <x v="1"/>
    <x v="2"/>
    <x v="0"/>
    <n v="52"/>
    <m/>
  </r>
  <r>
    <x v="2605"/>
    <x v="187"/>
    <x v="6"/>
    <n v="7"/>
    <n v="7"/>
    <s v="Monday"/>
    <x v="3"/>
    <x v="1"/>
    <x v="1"/>
    <s v="Chicken Biryani"/>
    <x v="1"/>
    <n v="1"/>
    <n v="863"/>
    <n v="86.3"/>
    <n v="20"/>
    <n v="863"/>
    <n v="796.7"/>
    <x v="2"/>
    <x v="1"/>
    <x v="1"/>
    <n v="69"/>
    <m/>
  </r>
  <r>
    <x v="2606"/>
    <x v="187"/>
    <x v="6"/>
    <n v="7"/>
    <n v="7"/>
    <s v="Monday"/>
    <x v="7"/>
    <x v="8"/>
    <x v="5"/>
    <s v="Veg Burger"/>
    <x v="1"/>
    <n v="1"/>
    <n v="381"/>
    <n v="0"/>
    <n v="60"/>
    <n v="381"/>
    <n v="441"/>
    <x v="3"/>
    <x v="0"/>
    <x v="1"/>
    <n v="40"/>
    <n v="3.9"/>
  </r>
  <r>
    <x v="2607"/>
    <x v="187"/>
    <x v="6"/>
    <n v="7"/>
    <n v="7"/>
    <s v="Monday"/>
    <x v="9"/>
    <x v="10"/>
    <x v="3"/>
    <s v="Chicken Biryani"/>
    <x v="1"/>
    <n v="3"/>
    <n v="396"/>
    <n v="0"/>
    <n v="60"/>
    <n v="1188"/>
    <n v="1248"/>
    <x v="2"/>
    <x v="0"/>
    <x v="0"/>
    <n v="20"/>
    <n v="3.9"/>
  </r>
  <r>
    <x v="2608"/>
    <x v="187"/>
    <x v="6"/>
    <n v="7"/>
    <n v="7"/>
    <s v="Monday"/>
    <x v="8"/>
    <x v="5"/>
    <x v="2"/>
    <s v="Veg Biryani"/>
    <x v="3"/>
    <n v="2"/>
    <n v="319"/>
    <n v="63.8"/>
    <n v="30"/>
    <n v="638"/>
    <n v="604.20000000000005"/>
    <x v="1"/>
    <x v="2"/>
    <x v="0"/>
    <n v="55"/>
    <m/>
  </r>
  <r>
    <x v="2609"/>
    <x v="187"/>
    <x v="6"/>
    <n v="7"/>
    <n v="7"/>
    <s v="Monday"/>
    <x v="1"/>
    <x v="2"/>
    <x v="5"/>
    <s v="Veg Biryani"/>
    <x v="1"/>
    <n v="2"/>
    <n v="755"/>
    <n v="75.5"/>
    <n v="40"/>
    <n v="1510"/>
    <n v="1474.5"/>
    <x v="2"/>
    <x v="0"/>
    <x v="1"/>
    <n v="34"/>
    <n v="3.2"/>
  </r>
  <r>
    <x v="2610"/>
    <x v="187"/>
    <x v="6"/>
    <n v="7"/>
    <n v="7"/>
    <s v="Monday"/>
    <x v="3"/>
    <x v="7"/>
    <x v="1"/>
    <s v="Idli Sambar"/>
    <x v="1"/>
    <n v="2"/>
    <n v="333"/>
    <n v="0"/>
    <n v="70"/>
    <n v="666"/>
    <n v="736"/>
    <x v="2"/>
    <x v="0"/>
    <x v="1"/>
    <n v="65"/>
    <n v="4.3"/>
  </r>
  <r>
    <x v="2611"/>
    <x v="187"/>
    <x v="6"/>
    <n v="7"/>
    <n v="7"/>
    <s v="Monday"/>
    <x v="1"/>
    <x v="7"/>
    <x v="7"/>
    <s v="Chicken Burger"/>
    <x v="2"/>
    <n v="2"/>
    <n v="725"/>
    <n v="0"/>
    <n v="20"/>
    <n v="1450"/>
    <n v="1470"/>
    <x v="1"/>
    <x v="1"/>
    <x v="1"/>
    <n v="65"/>
    <m/>
  </r>
  <r>
    <x v="2612"/>
    <x v="187"/>
    <x v="6"/>
    <n v="7"/>
    <n v="7"/>
    <s v="Monday"/>
    <x v="5"/>
    <x v="7"/>
    <x v="4"/>
    <s v="Chicken Burger"/>
    <x v="1"/>
    <n v="3"/>
    <n v="723"/>
    <n v="36.15"/>
    <n v="40"/>
    <n v="2169"/>
    <n v="2172.85"/>
    <x v="0"/>
    <x v="0"/>
    <x v="0"/>
    <n v="35"/>
    <n v="4"/>
  </r>
  <r>
    <x v="2613"/>
    <x v="187"/>
    <x v="6"/>
    <n v="7"/>
    <n v="7"/>
    <s v="Monday"/>
    <x v="3"/>
    <x v="9"/>
    <x v="1"/>
    <s v="Chicken Burger"/>
    <x v="2"/>
    <n v="2"/>
    <n v="816"/>
    <n v="204"/>
    <n v="0"/>
    <n v="1632"/>
    <n v="1428"/>
    <x v="4"/>
    <x v="0"/>
    <x v="0"/>
    <n v="36"/>
    <n v="2.5"/>
  </r>
  <r>
    <x v="2614"/>
    <x v="187"/>
    <x v="6"/>
    <n v="7"/>
    <n v="7"/>
    <s v="Monday"/>
    <x v="7"/>
    <x v="13"/>
    <x v="9"/>
    <s v="Paneer Butter Masala"/>
    <x v="1"/>
    <n v="1"/>
    <n v="376"/>
    <n v="75.2"/>
    <n v="40"/>
    <n v="376"/>
    <n v="340.8"/>
    <x v="0"/>
    <x v="0"/>
    <x v="0"/>
    <n v="64"/>
    <n v="4.4000000000000004"/>
  </r>
  <r>
    <x v="2615"/>
    <x v="187"/>
    <x v="6"/>
    <n v="7"/>
    <n v="7"/>
    <s v="Monday"/>
    <x v="1"/>
    <x v="1"/>
    <x v="8"/>
    <s v="Veg Biryani"/>
    <x v="2"/>
    <n v="1"/>
    <n v="396"/>
    <n v="79.2"/>
    <n v="70"/>
    <n v="396"/>
    <n v="386.8"/>
    <x v="4"/>
    <x v="0"/>
    <x v="0"/>
    <n v="18"/>
    <n v="3.7"/>
  </r>
  <r>
    <x v="2616"/>
    <x v="187"/>
    <x v="6"/>
    <n v="7"/>
    <n v="7"/>
    <s v="Monday"/>
    <x v="1"/>
    <x v="3"/>
    <x v="3"/>
    <s v="Cold Coffee"/>
    <x v="1"/>
    <n v="1"/>
    <n v="167"/>
    <n v="0"/>
    <n v="50"/>
    <n v="167"/>
    <n v="217"/>
    <x v="0"/>
    <x v="0"/>
    <x v="1"/>
    <n v="18"/>
    <n v="4"/>
  </r>
  <r>
    <x v="2617"/>
    <x v="187"/>
    <x v="6"/>
    <n v="7"/>
    <n v="7"/>
    <s v="Monday"/>
    <x v="0"/>
    <x v="1"/>
    <x v="3"/>
    <s v="Fried Rice"/>
    <x v="1"/>
    <n v="1"/>
    <n v="835"/>
    <n v="167"/>
    <n v="50"/>
    <n v="835"/>
    <n v="718"/>
    <x v="2"/>
    <x v="3"/>
    <x v="0"/>
    <n v="60"/>
    <m/>
  </r>
  <r>
    <x v="2618"/>
    <x v="187"/>
    <x v="6"/>
    <n v="7"/>
    <n v="7"/>
    <s v="Monday"/>
    <x v="5"/>
    <x v="3"/>
    <x v="5"/>
    <s v="Chicken Burger"/>
    <x v="3"/>
    <n v="3"/>
    <n v="403"/>
    <n v="40.299999999999997"/>
    <n v="50"/>
    <n v="1209"/>
    <n v="1218.7"/>
    <x v="1"/>
    <x v="3"/>
    <x v="0"/>
    <n v="53"/>
    <m/>
  </r>
  <r>
    <x v="2619"/>
    <x v="187"/>
    <x v="6"/>
    <n v="7"/>
    <n v="7"/>
    <s v="Monday"/>
    <x v="3"/>
    <x v="7"/>
    <x v="9"/>
    <s v="Cold Coffee"/>
    <x v="1"/>
    <n v="1"/>
    <n v="829"/>
    <n v="41.45"/>
    <n v="50"/>
    <n v="829"/>
    <n v="837.55"/>
    <x v="1"/>
    <x v="0"/>
    <x v="0"/>
    <n v="58"/>
    <n v="4.5999999999999996"/>
  </r>
  <r>
    <x v="2620"/>
    <x v="187"/>
    <x v="6"/>
    <n v="7"/>
    <n v="7"/>
    <s v="Monday"/>
    <x v="5"/>
    <x v="3"/>
    <x v="5"/>
    <s v="Chicken Biryani"/>
    <x v="1"/>
    <n v="1"/>
    <n v="867"/>
    <n v="0"/>
    <n v="30"/>
    <n v="867"/>
    <n v="897"/>
    <x v="0"/>
    <x v="0"/>
    <x v="1"/>
    <n v="29"/>
    <n v="3.4"/>
  </r>
  <r>
    <x v="2621"/>
    <x v="187"/>
    <x v="6"/>
    <n v="7"/>
    <n v="7"/>
    <s v="Monday"/>
    <x v="9"/>
    <x v="6"/>
    <x v="6"/>
    <s v="Veg Pizza"/>
    <x v="1"/>
    <n v="1"/>
    <n v="574"/>
    <n v="28.7"/>
    <n v="20"/>
    <n v="574"/>
    <n v="565.29999999999995"/>
    <x v="1"/>
    <x v="1"/>
    <x v="1"/>
    <n v="49"/>
    <m/>
  </r>
  <r>
    <x v="2622"/>
    <x v="187"/>
    <x v="6"/>
    <n v="7"/>
    <n v="7"/>
    <s v="Monday"/>
    <x v="4"/>
    <x v="0"/>
    <x v="0"/>
    <s v="Chicken Pizza"/>
    <x v="1"/>
    <n v="1"/>
    <n v="502"/>
    <n v="50.2"/>
    <n v="40"/>
    <n v="502"/>
    <n v="491.8"/>
    <x v="0"/>
    <x v="0"/>
    <x v="1"/>
    <n v="55"/>
    <n v="3.9"/>
  </r>
  <r>
    <x v="2623"/>
    <x v="188"/>
    <x v="6"/>
    <n v="7"/>
    <n v="8"/>
    <s v="Tuesday"/>
    <x v="4"/>
    <x v="1"/>
    <x v="5"/>
    <s v="Fried Rice"/>
    <x v="1"/>
    <n v="1"/>
    <n v="223"/>
    <n v="0"/>
    <n v="50"/>
    <n v="223"/>
    <n v="273"/>
    <x v="0"/>
    <x v="0"/>
    <x v="1"/>
    <n v="31"/>
    <n v="4.9000000000000004"/>
  </r>
  <r>
    <x v="2624"/>
    <x v="188"/>
    <x v="6"/>
    <n v="7"/>
    <n v="8"/>
    <s v="Tuesday"/>
    <x v="4"/>
    <x v="10"/>
    <x v="8"/>
    <s v="Veg Burger"/>
    <x v="1"/>
    <n v="1"/>
    <n v="138"/>
    <n v="27.6"/>
    <n v="40"/>
    <n v="138"/>
    <n v="150.4"/>
    <x v="4"/>
    <x v="1"/>
    <x v="1"/>
    <n v="33"/>
    <m/>
  </r>
  <r>
    <x v="2625"/>
    <x v="188"/>
    <x v="6"/>
    <n v="7"/>
    <n v="8"/>
    <s v="Tuesday"/>
    <x v="3"/>
    <x v="7"/>
    <x v="0"/>
    <s v="Chicken Biryani"/>
    <x v="1"/>
    <n v="1"/>
    <n v="736"/>
    <n v="110.4"/>
    <n v="40"/>
    <n v="736"/>
    <n v="665.6"/>
    <x v="2"/>
    <x v="0"/>
    <x v="1"/>
    <n v="61"/>
    <n v="4.0999999999999996"/>
  </r>
  <r>
    <x v="2626"/>
    <x v="188"/>
    <x v="6"/>
    <n v="7"/>
    <n v="8"/>
    <s v="Tuesday"/>
    <x v="3"/>
    <x v="14"/>
    <x v="8"/>
    <s v="Fried Rice"/>
    <x v="1"/>
    <n v="2"/>
    <n v="373"/>
    <n v="55.95"/>
    <n v="60"/>
    <n v="746"/>
    <n v="750.05"/>
    <x v="2"/>
    <x v="0"/>
    <x v="1"/>
    <n v="54"/>
    <n v="4.4000000000000004"/>
  </r>
  <r>
    <x v="2627"/>
    <x v="188"/>
    <x v="6"/>
    <n v="7"/>
    <n v="8"/>
    <s v="Tuesday"/>
    <x v="7"/>
    <x v="9"/>
    <x v="9"/>
    <s v="Veg Biryani"/>
    <x v="1"/>
    <n v="1"/>
    <n v="291"/>
    <n v="29.1"/>
    <n v="40"/>
    <n v="291"/>
    <n v="301.89999999999998"/>
    <x v="0"/>
    <x v="0"/>
    <x v="1"/>
    <n v="48"/>
    <n v="3.7"/>
  </r>
  <r>
    <x v="2628"/>
    <x v="188"/>
    <x v="6"/>
    <n v="7"/>
    <n v="8"/>
    <s v="Tuesday"/>
    <x v="1"/>
    <x v="6"/>
    <x v="8"/>
    <s v="Masala Dosa"/>
    <x v="2"/>
    <n v="2"/>
    <n v="527"/>
    <n v="105.4"/>
    <n v="40"/>
    <n v="1054"/>
    <n v="988.6"/>
    <x v="2"/>
    <x v="0"/>
    <x v="1"/>
    <n v="55"/>
    <n v="4.5"/>
  </r>
  <r>
    <x v="2629"/>
    <x v="188"/>
    <x v="6"/>
    <n v="7"/>
    <n v="8"/>
    <s v="Tuesday"/>
    <x v="1"/>
    <x v="7"/>
    <x v="5"/>
    <s v="Chicken Pizza"/>
    <x v="2"/>
    <n v="2"/>
    <n v="710"/>
    <n v="106.5"/>
    <n v="20"/>
    <n v="1420"/>
    <n v="1333.5"/>
    <x v="4"/>
    <x v="0"/>
    <x v="1"/>
    <n v="18"/>
    <n v="3.4"/>
  </r>
  <r>
    <x v="2630"/>
    <x v="188"/>
    <x v="6"/>
    <n v="7"/>
    <n v="8"/>
    <s v="Tuesday"/>
    <x v="1"/>
    <x v="2"/>
    <x v="6"/>
    <s v="Pasta"/>
    <x v="1"/>
    <n v="2"/>
    <n v="682"/>
    <n v="0"/>
    <n v="60"/>
    <n v="1364"/>
    <n v="1424"/>
    <x v="4"/>
    <x v="0"/>
    <x v="1"/>
    <n v="44"/>
    <n v="3.9"/>
  </r>
  <r>
    <x v="2631"/>
    <x v="188"/>
    <x v="6"/>
    <n v="7"/>
    <n v="8"/>
    <s v="Tuesday"/>
    <x v="5"/>
    <x v="0"/>
    <x v="7"/>
    <s v="Chicken Pizza"/>
    <x v="1"/>
    <n v="2"/>
    <n v="255"/>
    <n v="63.75"/>
    <n v="40"/>
    <n v="510"/>
    <n v="486.25"/>
    <x v="2"/>
    <x v="0"/>
    <x v="1"/>
    <n v="43"/>
    <n v="3.4"/>
  </r>
  <r>
    <x v="2632"/>
    <x v="188"/>
    <x v="6"/>
    <n v="7"/>
    <n v="8"/>
    <s v="Tuesday"/>
    <x v="1"/>
    <x v="6"/>
    <x v="9"/>
    <s v="Idli Sambar"/>
    <x v="1"/>
    <n v="3"/>
    <n v="179"/>
    <n v="26.85"/>
    <n v="20"/>
    <n v="537"/>
    <n v="530.15"/>
    <x v="4"/>
    <x v="0"/>
    <x v="1"/>
    <n v="63"/>
    <n v="3.4"/>
  </r>
  <r>
    <x v="2633"/>
    <x v="189"/>
    <x v="6"/>
    <n v="7"/>
    <n v="9"/>
    <s v="Wednesday"/>
    <x v="9"/>
    <x v="1"/>
    <x v="9"/>
    <s v="Chicken Biryani"/>
    <x v="1"/>
    <n v="2"/>
    <n v="200"/>
    <n v="40"/>
    <n v="40"/>
    <n v="400"/>
    <n v="400"/>
    <x v="1"/>
    <x v="0"/>
    <x v="1"/>
    <n v="70"/>
    <n v="4.3"/>
  </r>
  <r>
    <x v="2634"/>
    <x v="189"/>
    <x v="6"/>
    <n v="7"/>
    <n v="9"/>
    <s v="Wednesday"/>
    <x v="9"/>
    <x v="10"/>
    <x v="3"/>
    <s v="Idli Sambar"/>
    <x v="1"/>
    <n v="3"/>
    <n v="629"/>
    <n v="62.9"/>
    <n v="40"/>
    <n v="1887"/>
    <n v="1864.1"/>
    <x v="1"/>
    <x v="0"/>
    <x v="1"/>
    <n v="53"/>
    <n v="4.5"/>
  </r>
  <r>
    <x v="2635"/>
    <x v="189"/>
    <x v="6"/>
    <n v="7"/>
    <n v="9"/>
    <s v="Wednesday"/>
    <x v="5"/>
    <x v="8"/>
    <x v="0"/>
    <s v="Veg Momos"/>
    <x v="1"/>
    <n v="1"/>
    <n v="751"/>
    <n v="75.099999999999994"/>
    <n v="40"/>
    <n v="751"/>
    <n v="715.9"/>
    <x v="2"/>
    <x v="0"/>
    <x v="1"/>
    <n v="19"/>
    <n v="4.5999999999999996"/>
  </r>
  <r>
    <x v="2636"/>
    <x v="189"/>
    <x v="6"/>
    <n v="7"/>
    <n v="9"/>
    <s v="Wednesday"/>
    <x v="1"/>
    <x v="11"/>
    <x v="8"/>
    <s v="Fried Rice"/>
    <x v="3"/>
    <n v="2"/>
    <n v="687"/>
    <n v="68.7"/>
    <n v="0"/>
    <n v="1374"/>
    <n v="1305.3"/>
    <x v="1"/>
    <x v="0"/>
    <x v="1"/>
    <n v="23"/>
    <n v="5"/>
  </r>
  <r>
    <x v="2637"/>
    <x v="189"/>
    <x v="6"/>
    <n v="7"/>
    <n v="9"/>
    <s v="Wednesday"/>
    <x v="9"/>
    <x v="10"/>
    <x v="2"/>
    <s v="Fried Rice"/>
    <x v="2"/>
    <n v="1"/>
    <n v="864"/>
    <n v="0"/>
    <n v="30"/>
    <n v="864"/>
    <n v="894"/>
    <x v="4"/>
    <x v="0"/>
    <x v="1"/>
    <n v="20"/>
    <n v="3.9"/>
  </r>
  <r>
    <x v="2638"/>
    <x v="189"/>
    <x v="6"/>
    <n v="7"/>
    <n v="9"/>
    <s v="Wednesday"/>
    <x v="3"/>
    <x v="11"/>
    <x v="8"/>
    <s v="Masala Dosa"/>
    <x v="1"/>
    <n v="1"/>
    <n v="250"/>
    <n v="50"/>
    <n v="30"/>
    <n v="250"/>
    <n v="230"/>
    <x v="3"/>
    <x v="0"/>
    <x v="0"/>
    <n v="50"/>
    <n v="4.5999999999999996"/>
  </r>
  <r>
    <x v="2639"/>
    <x v="189"/>
    <x v="6"/>
    <n v="7"/>
    <n v="9"/>
    <s v="Wednesday"/>
    <x v="5"/>
    <x v="2"/>
    <x v="0"/>
    <s v="Idli Sambar"/>
    <x v="1"/>
    <n v="2"/>
    <n v="804"/>
    <n v="80.400000000000006"/>
    <n v="30"/>
    <n v="1608"/>
    <n v="1557.6"/>
    <x v="0"/>
    <x v="0"/>
    <x v="1"/>
    <n v="24"/>
    <n v="2.5"/>
  </r>
  <r>
    <x v="2640"/>
    <x v="189"/>
    <x v="6"/>
    <n v="7"/>
    <n v="9"/>
    <s v="Wednesday"/>
    <x v="2"/>
    <x v="2"/>
    <x v="3"/>
    <s v="Veg Pizza"/>
    <x v="2"/>
    <n v="1"/>
    <n v="190"/>
    <n v="0"/>
    <n v="30"/>
    <n v="190"/>
    <n v="220"/>
    <x v="1"/>
    <x v="0"/>
    <x v="1"/>
    <n v="69"/>
    <n v="4.4000000000000004"/>
  </r>
  <r>
    <x v="2641"/>
    <x v="189"/>
    <x v="6"/>
    <n v="7"/>
    <n v="9"/>
    <s v="Wednesday"/>
    <x v="6"/>
    <x v="0"/>
    <x v="4"/>
    <s v="Fried Rice"/>
    <x v="1"/>
    <n v="1"/>
    <n v="377"/>
    <n v="37.700000000000003"/>
    <n v="20"/>
    <n v="377"/>
    <n v="359.3"/>
    <x v="0"/>
    <x v="0"/>
    <x v="1"/>
    <n v="27"/>
    <n v="4.0999999999999996"/>
  </r>
  <r>
    <x v="2642"/>
    <x v="189"/>
    <x v="6"/>
    <n v="7"/>
    <n v="9"/>
    <s v="Wednesday"/>
    <x v="1"/>
    <x v="12"/>
    <x v="8"/>
    <s v="Chicken Momos"/>
    <x v="2"/>
    <n v="1"/>
    <n v="498"/>
    <n v="74.7"/>
    <n v="40"/>
    <n v="498"/>
    <n v="463.3"/>
    <x v="2"/>
    <x v="0"/>
    <x v="1"/>
    <n v="69"/>
    <n v="3.8"/>
  </r>
  <r>
    <x v="2643"/>
    <x v="189"/>
    <x v="6"/>
    <n v="7"/>
    <n v="9"/>
    <s v="Wednesday"/>
    <x v="7"/>
    <x v="7"/>
    <x v="1"/>
    <s v="Fried Rice"/>
    <x v="1"/>
    <n v="1"/>
    <n v="670"/>
    <n v="0"/>
    <n v="30"/>
    <n v="670"/>
    <n v="700"/>
    <x v="0"/>
    <x v="0"/>
    <x v="1"/>
    <n v="41"/>
    <n v="4.4000000000000004"/>
  </r>
  <r>
    <x v="2644"/>
    <x v="189"/>
    <x v="6"/>
    <n v="7"/>
    <n v="9"/>
    <s v="Wednesday"/>
    <x v="9"/>
    <x v="9"/>
    <x v="1"/>
    <s v="Veg Momos"/>
    <x v="2"/>
    <n v="2"/>
    <n v="164"/>
    <n v="0"/>
    <n v="60"/>
    <n v="328"/>
    <n v="388"/>
    <x v="4"/>
    <x v="0"/>
    <x v="1"/>
    <n v="28"/>
    <n v="3.5"/>
  </r>
  <r>
    <x v="2645"/>
    <x v="189"/>
    <x v="6"/>
    <n v="7"/>
    <n v="9"/>
    <s v="Wednesday"/>
    <x v="5"/>
    <x v="7"/>
    <x v="2"/>
    <s v="Chicken Biryani"/>
    <x v="1"/>
    <n v="2"/>
    <n v="785"/>
    <n v="196.25"/>
    <n v="0"/>
    <n v="1570"/>
    <n v="1373.75"/>
    <x v="0"/>
    <x v="0"/>
    <x v="1"/>
    <n v="42"/>
    <n v="4.7"/>
  </r>
  <r>
    <x v="2646"/>
    <x v="189"/>
    <x v="6"/>
    <n v="7"/>
    <n v="9"/>
    <s v="Wednesday"/>
    <x v="8"/>
    <x v="9"/>
    <x v="8"/>
    <s v="Chicken Biryani"/>
    <x v="1"/>
    <n v="2"/>
    <n v="878"/>
    <n v="131.69999999999999"/>
    <n v="20"/>
    <n v="1756"/>
    <n v="1644.3"/>
    <x v="1"/>
    <x v="0"/>
    <x v="1"/>
    <n v="33"/>
    <n v="3.7"/>
  </r>
  <r>
    <x v="2647"/>
    <x v="190"/>
    <x v="6"/>
    <n v="7"/>
    <n v="10"/>
    <s v="Thursday"/>
    <x v="3"/>
    <x v="13"/>
    <x v="5"/>
    <s v="Veg Burger"/>
    <x v="2"/>
    <n v="1"/>
    <n v="619"/>
    <n v="61.9"/>
    <n v="0"/>
    <n v="619"/>
    <n v="557.1"/>
    <x v="3"/>
    <x v="0"/>
    <x v="1"/>
    <n v="68"/>
    <n v="4.5999999999999996"/>
  </r>
  <r>
    <x v="2648"/>
    <x v="190"/>
    <x v="6"/>
    <n v="7"/>
    <n v="10"/>
    <s v="Thursday"/>
    <x v="6"/>
    <x v="0"/>
    <x v="8"/>
    <s v="Paneer Butter Masala"/>
    <x v="1"/>
    <n v="1"/>
    <n v="126"/>
    <n v="31.5"/>
    <n v="50"/>
    <n v="126"/>
    <n v="144.5"/>
    <x v="0"/>
    <x v="2"/>
    <x v="0"/>
    <n v="38"/>
    <m/>
  </r>
  <r>
    <x v="2649"/>
    <x v="190"/>
    <x v="6"/>
    <n v="7"/>
    <n v="10"/>
    <s v="Thursday"/>
    <x v="1"/>
    <x v="12"/>
    <x v="1"/>
    <s v="Chicken Momos"/>
    <x v="1"/>
    <n v="2"/>
    <n v="290"/>
    <n v="58"/>
    <n v="40"/>
    <n v="580"/>
    <n v="562"/>
    <x v="1"/>
    <x v="0"/>
    <x v="0"/>
    <n v="67"/>
    <n v="4.5"/>
  </r>
  <r>
    <x v="2650"/>
    <x v="190"/>
    <x v="6"/>
    <n v="7"/>
    <n v="10"/>
    <s v="Thursday"/>
    <x v="0"/>
    <x v="3"/>
    <x v="0"/>
    <s v="Chocolate Cake"/>
    <x v="1"/>
    <n v="3"/>
    <n v="284"/>
    <n v="28.4"/>
    <n v="20"/>
    <n v="852"/>
    <n v="843.6"/>
    <x v="1"/>
    <x v="2"/>
    <x v="1"/>
    <n v="60"/>
    <m/>
  </r>
  <r>
    <x v="2651"/>
    <x v="190"/>
    <x v="6"/>
    <n v="7"/>
    <n v="10"/>
    <s v="Thursday"/>
    <x v="2"/>
    <x v="8"/>
    <x v="7"/>
    <s v="French Fries"/>
    <x v="1"/>
    <n v="3"/>
    <n v="316"/>
    <n v="31.6"/>
    <n v="0"/>
    <n v="948"/>
    <n v="916.4"/>
    <x v="4"/>
    <x v="3"/>
    <x v="0"/>
    <n v="38"/>
    <m/>
  </r>
  <r>
    <x v="2652"/>
    <x v="190"/>
    <x v="6"/>
    <n v="7"/>
    <n v="10"/>
    <s v="Thursday"/>
    <x v="9"/>
    <x v="4"/>
    <x v="9"/>
    <s v="Idli Sambar"/>
    <x v="1"/>
    <n v="1"/>
    <n v="330"/>
    <n v="0"/>
    <n v="0"/>
    <n v="330"/>
    <n v="330"/>
    <x v="0"/>
    <x v="0"/>
    <x v="0"/>
    <n v="30"/>
    <n v="3.9"/>
  </r>
  <r>
    <x v="2653"/>
    <x v="190"/>
    <x v="6"/>
    <n v="7"/>
    <n v="10"/>
    <s v="Thursday"/>
    <x v="9"/>
    <x v="3"/>
    <x v="1"/>
    <s v="Veg Momos"/>
    <x v="0"/>
    <n v="3"/>
    <n v="421"/>
    <n v="63.15"/>
    <n v="0"/>
    <n v="1263"/>
    <n v="1199.8499999999999"/>
    <x v="3"/>
    <x v="3"/>
    <x v="0"/>
    <n v="31"/>
    <m/>
  </r>
  <r>
    <x v="2654"/>
    <x v="190"/>
    <x v="6"/>
    <n v="7"/>
    <n v="10"/>
    <s v="Thursday"/>
    <x v="5"/>
    <x v="9"/>
    <x v="1"/>
    <s v="Veg Momos"/>
    <x v="1"/>
    <n v="1"/>
    <n v="650"/>
    <n v="32.5"/>
    <n v="30"/>
    <n v="650"/>
    <n v="647.5"/>
    <x v="0"/>
    <x v="3"/>
    <x v="1"/>
    <n v="41"/>
    <m/>
  </r>
  <r>
    <x v="2655"/>
    <x v="190"/>
    <x v="6"/>
    <n v="7"/>
    <n v="10"/>
    <s v="Thursday"/>
    <x v="9"/>
    <x v="6"/>
    <x v="8"/>
    <s v="French Fries"/>
    <x v="3"/>
    <n v="2"/>
    <n v="293"/>
    <n v="58.6"/>
    <n v="50"/>
    <n v="586"/>
    <n v="577.4"/>
    <x v="1"/>
    <x v="0"/>
    <x v="1"/>
    <n v="69"/>
    <n v="4.9000000000000004"/>
  </r>
  <r>
    <x v="2656"/>
    <x v="190"/>
    <x v="6"/>
    <n v="7"/>
    <n v="10"/>
    <s v="Thursday"/>
    <x v="5"/>
    <x v="7"/>
    <x v="6"/>
    <s v="Veg Biryani"/>
    <x v="0"/>
    <n v="1"/>
    <n v="596"/>
    <n v="119.2"/>
    <n v="70"/>
    <n v="596"/>
    <n v="546.79999999999995"/>
    <x v="1"/>
    <x v="1"/>
    <x v="0"/>
    <n v="44"/>
    <m/>
  </r>
  <r>
    <x v="2657"/>
    <x v="190"/>
    <x v="6"/>
    <n v="7"/>
    <n v="10"/>
    <s v="Thursday"/>
    <x v="3"/>
    <x v="1"/>
    <x v="6"/>
    <s v="Veg Pizza"/>
    <x v="2"/>
    <n v="1"/>
    <n v="373"/>
    <n v="55.95"/>
    <n v="50"/>
    <n v="373"/>
    <n v="367.05"/>
    <x v="2"/>
    <x v="0"/>
    <x v="1"/>
    <n v="68"/>
    <n v="3.9"/>
  </r>
  <r>
    <x v="2658"/>
    <x v="190"/>
    <x v="6"/>
    <n v="7"/>
    <n v="10"/>
    <s v="Thursday"/>
    <x v="4"/>
    <x v="13"/>
    <x v="5"/>
    <s v="Pasta"/>
    <x v="1"/>
    <n v="1"/>
    <n v="837"/>
    <n v="167.4"/>
    <n v="50"/>
    <n v="837"/>
    <n v="719.6"/>
    <x v="0"/>
    <x v="0"/>
    <x v="1"/>
    <n v="45"/>
    <n v="5"/>
  </r>
  <r>
    <x v="2659"/>
    <x v="190"/>
    <x v="6"/>
    <n v="7"/>
    <n v="10"/>
    <s v="Thursday"/>
    <x v="2"/>
    <x v="1"/>
    <x v="8"/>
    <s v="French Fries"/>
    <x v="1"/>
    <n v="1"/>
    <n v="620"/>
    <n v="62"/>
    <n v="40"/>
    <n v="620"/>
    <n v="598"/>
    <x v="0"/>
    <x v="2"/>
    <x v="1"/>
    <n v="45"/>
    <m/>
  </r>
  <r>
    <x v="2660"/>
    <x v="191"/>
    <x v="6"/>
    <n v="7"/>
    <n v="11"/>
    <s v="Friday"/>
    <x v="1"/>
    <x v="9"/>
    <x v="2"/>
    <s v="Masala Dosa"/>
    <x v="1"/>
    <n v="1"/>
    <n v="621"/>
    <n v="62.1"/>
    <n v="30"/>
    <n v="621"/>
    <n v="588.9"/>
    <x v="1"/>
    <x v="0"/>
    <x v="0"/>
    <n v="19"/>
    <n v="3.3"/>
  </r>
  <r>
    <x v="2661"/>
    <x v="191"/>
    <x v="6"/>
    <n v="7"/>
    <n v="11"/>
    <s v="Friday"/>
    <x v="1"/>
    <x v="11"/>
    <x v="3"/>
    <s v="Pasta"/>
    <x v="1"/>
    <n v="2"/>
    <n v="310"/>
    <n v="46.5"/>
    <n v="60"/>
    <n v="620"/>
    <n v="633.5"/>
    <x v="0"/>
    <x v="0"/>
    <x v="1"/>
    <n v="69"/>
    <n v="4.0999999999999996"/>
  </r>
  <r>
    <x v="2662"/>
    <x v="191"/>
    <x v="6"/>
    <n v="7"/>
    <n v="11"/>
    <s v="Friday"/>
    <x v="3"/>
    <x v="6"/>
    <x v="3"/>
    <s v="Fried Rice"/>
    <x v="1"/>
    <n v="2"/>
    <n v="366"/>
    <n v="73.2"/>
    <n v="30"/>
    <n v="732"/>
    <n v="688.8"/>
    <x v="2"/>
    <x v="0"/>
    <x v="1"/>
    <n v="37"/>
    <n v="4"/>
  </r>
  <r>
    <x v="2663"/>
    <x v="191"/>
    <x v="6"/>
    <n v="7"/>
    <n v="11"/>
    <s v="Friday"/>
    <x v="1"/>
    <x v="3"/>
    <x v="8"/>
    <s v="Veg Burger"/>
    <x v="1"/>
    <n v="2"/>
    <n v="500"/>
    <n v="125"/>
    <n v="20"/>
    <n v="1000"/>
    <n v="895"/>
    <x v="1"/>
    <x v="0"/>
    <x v="1"/>
    <n v="41"/>
    <n v="4.3"/>
  </r>
  <r>
    <x v="2664"/>
    <x v="191"/>
    <x v="6"/>
    <n v="7"/>
    <n v="11"/>
    <s v="Friday"/>
    <x v="5"/>
    <x v="7"/>
    <x v="7"/>
    <s v="Masala Dosa"/>
    <x v="1"/>
    <n v="1"/>
    <n v="445"/>
    <n v="66.75"/>
    <n v="20"/>
    <n v="445"/>
    <n v="398.25"/>
    <x v="1"/>
    <x v="0"/>
    <x v="1"/>
    <n v="51"/>
    <n v="4.0999999999999996"/>
  </r>
  <r>
    <x v="2665"/>
    <x v="191"/>
    <x v="6"/>
    <n v="7"/>
    <n v="11"/>
    <s v="Friday"/>
    <x v="7"/>
    <x v="6"/>
    <x v="5"/>
    <s v="Veg Burger"/>
    <x v="0"/>
    <n v="3"/>
    <n v="523"/>
    <n v="52.3"/>
    <n v="20"/>
    <n v="1569"/>
    <n v="1536.7"/>
    <x v="1"/>
    <x v="0"/>
    <x v="1"/>
    <n v="26"/>
    <n v="5"/>
  </r>
  <r>
    <x v="2666"/>
    <x v="191"/>
    <x v="6"/>
    <n v="7"/>
    <n v="11"/>
    <s v="Friday"/>
    <x v="8"/>
    <x v="0"/>
    <x v="4"/>
    <s v="Chicken Pizza"/>
    <x v="2"/>
    <n v="1"/>
    <n v="581"/>
    <n v="29.05"/>
    <n v="0"/>
    <n v="581"/>
    <n v="551.95000000000005"/>
    <x v="1"/>
    <x v="0"/>
    <x v="1"/>
    <n v="30"/>
    <n v="3.5"/>
  </r>
  <r>
    <x v="2667"/>
    <x v="191"/>
    <x v="6"/>
    <n v="7"/>
    <n v="11"/>
    <s v="Friday"/>
    <x v="9"/>
    <x v="9"/>
    <x v="0"/>
    <s v="Veg Burger"/>
    <x v="2"/>
    <n v="2"/>
    <n v="816"/>
    <n v="0"/>
    <n v="60"/>
    <n v="1632"/>
    <n v="1692"/>
    <x v="1"/>
    <x v="0"/>
    <x v="0"/>
    <n v="20"/>
    <n v="3.2"/>
  </r>
  <r>
    <x v="2668"/>
    <x v="191"/>
    <x v="6"/>
    <n v="7"/>
    <n v="11"/>
    <s v="Friday"/>
    <x v="2"/>
    <x v="13"/>
    <x v="1"/>
    <s v="Fried Rice"/>
    <x v="3"/>
    <n v="1"/>
    <n v="172"/>
    <n v="8.6"/>
    <n v="20"/>
    <n v="172"/>
    <n v="183.4"/>
    <x v="0"/>
    <x v="0"/>
    <x v="1"/>
    <n v="50"/>
    <n v="3.4"/>
  </r>
  <r>
    <x v="2669"/>
    <x v="191"/>
    <x v="6"/>
    <n v="7"/>
    <n v="11"/>
    <s v="Friday"/>
    <x v="2"/>
    <x v="13"/>
    <x v="8"/>
    <s v="Chicken Momos"/>
    <x v="1"/>
    <n v="1"/>
    <n v="318"/>
    <n v="15.9"/>
    <n v="30"/>
    <n v="318"/>
    <n v="332.1"/>
    <x v="0"/>
    <x v="2"/>
    <x v="1"/>
    <n v="24"/>
    <m/>
  </r>
  <r>
    <x v="2670"/>
    <x v="191"/>
    <x v="6"/>
    <n v="7"/>
    <n v="11"/>
    <s v="Friday"/>
    <x v="7"/>
    <x v="6"/>
    <x v="2"/>
    <s v="Fried Rice"/>
    <x v="3"/>
    <n v="2"/>
    <n v="199"/>
    <n v="39.799999999999997"/>
    <n v="50"/>
    <n v="398"/>
    <n v="408.2"/>
    <x v="3"/>
    <x v="0"/>
    <x v="1"/>
    <n v="24"/>
    <n v="4.5"/>
  </r>
  <r>
    <x v="2671"/>
    <x v="191"/>
    <x v="6"/>
    <n v="7"/>
    <n v="11"/>
    <s v="Friday"/>
    <x v="2"/>
    <x v="3"/>
    <x v="2"/>
    <s v="Chicken Pizza"/>
    <x v="2"/>
    <n v="2"/>
    <n v="488"/>
    <n v="48.8"/>
    <n v="30"/>
    <n v="976"/>
    <n v="957.2"/>
    <x v="4"/>
    <x v="0"/>
    <x v="1"/>
    <n v="65"/>
    <n v="4.5"/>
  </r>
  <r>
    <x v="2672"/>
    <x v="191"/>
    <x v="6"/>
    <n v="7"/>
    <n v="11"/>
    <s v="Friday"/>
    <x v="0"/>
    <x v="14"/>
    <x v="8"/>
    <s v="Veg Burger"/>
    <x v="1"/>
    <n v="1"/>
    <n v="673"/>
    <n v="67.3"/>
    <n v="30"/>
    <n v="673"/>
    <n v="635.70000000000005"/>
    <x v="1"/>
    <x v="0"/>
    <x v="1"/>
    <n v="40"/>
    <n v="4.2"/>
  </r>
  <r>
    <x v="2673"/>
    <x v="191"/>
    <x v="6"/>
    <n v="7"/>
    <n v="11"/>
    <s v="Friday"/>
    <x v="1"/>
    <x v="5"/>
    <x v="0"/>
    <s v="Paneer Butter Masala"/>
    <x v="1"/>
    <n v="1"/>
    <n v="366"/>
    <n v="18.3"/>
    <n v="30"/>
    <n v="366"/>
    <n v="377.7"/>
    <x v="0"/>
    <x v="2"/>
    <x v="0"/>
    <n v="46"/>
    <m/>
  </r>
  <r>
    <x v="2674"/>
    <x v="191"/>
    <x v="6"/>
    <n v="7"/>
    <n v="11"/>
    <s v="Friday"/>
    <x v="5"/>
    <x v="6"/>
    <x v="4"/>
    <s v="Chicken Pizza"/>
    <x v="1"/>
    <n v="1"/>
    <n v="428"/>
    <n v="64.2"/>
    <n v="30"/>
    <n v="428"/>
    <n v="393.8"/>
    <x v="2"/>
    <x v="0"/>
    <x v="1"/>
    <n v="37"/>
    <n v="3.5"/>
  </r>
  <r>
    <x v="2675"/>
    <x v="191"/>
    <x v="6"/>
    <n v="7"/>
    <n v="11"/>
    <s v="Friday"/>
    <x v="3"/>
    <x v="9"/>
    <x v="0"/>
    <s v="Idli Sambar"/>
    <x v="1"/>
    <n v="2"/>
    <n v="645"/>
    <n v="64.5"/>
    <n v="60"/>
    <n v="1290"/>
    <n v="1285.5"/>
    <x v="4"/>
    <x v="0"/>
    <x v="1"/>
    <n v="26"/>
    <n v="4.4000000000000004"/>
  </r>
  <r>
    <x v="2676"/>
    <x v="191"/>
    <x v="6"/>
    <n v="7"/>
    <n v="11"/>
    <s v="Friday"/>
    <x v="0"/>
    <x v="2"/>
    <x v="0"/>
    <s v="Chicken Momos"/>
    <x v="1"/>
    <n v="2"/>
    <n v="590"/>
    <n v="59"/>
    <n v="30"/>
    <n v="1180"/>
    <n v="1151"/>
    <x v="4"/>
    <x v="0"/>
    <x v="0"/>
    <n v="37"/>
    <n v="4.5"/>
  </r>
  <r>
    <x v="2677"/>
    <x v="191"/>
    <x v="6"/>
    <n v="7"/>
    <n v="11"/>
    <s v="Friday"/>
    <x v="9"/>
    <x v="11"/>
    <x v="9"/>
    <s v="Chocolate Cake"/>
    <x v="1"/>
    <n v="3"/>
    <n v="465"/>
    <n v="69.75"/>
    <n v="30"/>
    <n v="1395"/>
    <n v="1355.25"/>
    <x v="0"/>
    <x v="0"/>
    <x v="1"/>
    <n v="52"/>
    <n v="3"/>
  </r>
  <r>
    <x v="2678"/>
    <x v="191"/>
    <x v="6"/>
    <n v="7"/>
    <n v="11"/>
    <s v="Friday"/>
    <x v="3"/>
    <x v="2"/>
    <x v="2"/>
    <s v="Veg Pizza"/>
    <x v="1"/>
    <n v="1"/>
    <n v="230"/>
    <n v="34.5"/>
    <n v="20"/>
    <n v="230"/>
    <n v="215.5"/>
    <x v="2"/>
    <x v="0"/>
    <x v="0"/>
    <n v="40"/>
    <n v="3.5"/>
  </r>
  <r>
    <x v="2679"/>
    <x v="191"/>
    <x v="6"/>
    <n v="7"/>
    <n v="11"/>
    <s v="Friday"/>
    <x v="6"/>
    <x v="6"/>
    <x v="4"/>
    <s v="Chicken Pizza"/>
    <x v="1"/>
    <n v="1"/>
    <n v="846"/>
    <n v="42.3"/>
    <n v="20"/>
    <n v="846"/>
    <n v="823.7"/>
    <x v="2"/>
    <x v="1"/>
    <x v="0"/>
    <n v="48"/>
    <m/>
  </r>
  <r>
    <x v="2680"/>
    <x v="192"/>
    <x v="6"/>
    <n v="7"/>
    <n v="12"/>
    <s v="Saturday"/>
    <x v="7"/>
    <x v="12"/>
    <x v="0"/>
    <s v="Paneer Butter Masala"/>
    <x v="1"/>
    <n v="2"/>
    <n v="213"/>
    <n v="21.3"/>
    <n v="70"/>
    <n v="426"/>
    <n v="474.7"/>
    <x v="1"/>
    <x v="1"/>
    <x v="1"/>
    <n v="41"/>
    <m/>
  </r>
  <r>
    <x v="2681"/>
    <x v="192"/>
    <x v="6"/>
    <n v="7"/>
    <n v="12"/>
    <s v="Saturday"/>
    <x v="5"/>
    <x v="13"/>
    <x v="1"/>
    <s v="Veg Biryani"/>
    <x v="2"/>
    <n v="3"/>
    <n v="663"/>
    <n v="33.15"/>
    <n v="0"/>
    <n v="1989"/>
    <n v="1955.85"/>
    <x v="2"/>
    <x v="3"/>
    <x v="0"/>
    <n v="34"/>
    <m/>
  </r>
  <r>
    <x v="2682"/>
    <x v="192"/>
    <x v="6"/>
    <n v="7"/>
    <n v="12"/>
    <s v="Saturday"/>
    <x v="4"/>
    <x v="10"/>
    <x v="1"/>
    <s v="Veg Momos"/>
    <x v="1"/>
    <n v="1"/>
    <n v="436"/>
    <n v="87.2"/>
    <n v="70"/>
    <n v="436"/>
    <n v="418.8"/>
    <x v="0"/>
    <x v="0"/>
    <x v="1"/>
    <n v="65"/>
    <n v="4.5999999999999996"/>
  </r>
  <r>
    <x v="2683"/>
    <x v="192"/>
    <x v="6"/>
    <n v="7"/>
    <n v="12"/>
    <s v="Saturday"/>
    <x v="1"/>
    <x v="8"/>
    <x v="8"/>
    <s v="Cold Coffee"/>
    <x v="1"/>
    <n v="3"/>
    <n v="443"/>
    <n v="44.3"/>
    <n v="50"/>
    <n v="1329"/>
    <n v="1334.7"/>
    <x v="3"/>
    <x v="0"/>
    <x v="1"/>
    <n v="65"/>
    <n v="4.5"/>
  </r>
  <r>
    <x v="2684"/>
    <x v="192"/>
    <x v="6"/>
    <n v="7"/>
    <n v="12"/>
    <s v="Saturday"/>
    <x v="7"/>
    <x v="1"/>
    <x v="5"/>
    <s v="Pasta"/>
    <x v="1"/>
    <n v="1"/>
    <n v="811"/>
    <n v="81.099999999999994"/>
    <n v="60"/>
    <n v="811"/>
    <n v="789.9"/>
    <x v="4"/>
    <x v="3"/>
    <x v="0"/>
    <n v="42"/>
    <m/>
  </r>
  <r>
    <x v="2685"/>
    <x v="192"/>
    <x v="6"/>
    <n v="7"/>
    <n v="12"/>
    <s v="Saturday"/>
    <x v="0"/>
    <x v="1"/>
    <x v="6"/>
    <s v="Paneer Butter Masala"/>
    <x v="1"/>
    <n v="1"/>
    <n v="183"/>
    <n v="9.15"/>
    <n v="50"/>
    <n v="183"/>
    <n v="223.85"/>
    <x v="1"/>
    <x v="0"/>
    <x v="1"/>
    <n v="29"/>
    <n v="4.5999999999999996"/>
  </r>
  <r>
    <x v="2686"/>
    <x v="192"/>
    <x v="6"/>
    <n v="7"/>
    <n v="12"/>
    <s v="Saturday"/>
    <x v="9"/>
    <x v="2"/>
    <x v="7"/>
    <s v="Veg Burger"/>
    <x v="3"/>
    <n v="1"/>
    <n v="632"/>
    <n v="63.2"/>
    <n v="40"/>
    <n v="632"/>
    <n v="608.79999999999995"/>
    <x v="0"/>
    <x v="0"/>
    <x v="1"/>
    <n v="20"/>
    <n v="3.8"/>
  </r>
  <r>
    <x v="2687"/>
    <x v="192"/>
    <x v="6"/>
    <n v="7"/>
    <n v="12"/>
    <s v="Saturday"/>
    <x v="3"/>
    <x v="12"/>
    <x v="3"/>
    <s v="Chicken Burger"/>
    <x v="1"/>
    <n v="3"/>
    <n v="810"/>
    <n v="81"/>
    <n v="20"/>
    <n v="2430"/>
    <n v="2369"/>
    <x v="4"/>
    <x v="0"/>
    <x v="0"/>
    <n v="62"/>
    <n v="4.2"/>
  </r>
  <r>
    <x v="2688"/>
    <x v="192"/>
    <x v="6"/>
    <n v="7"/>
    <n v="12"/>
    <s v="Saturday"/>
    <x v="8"/>
    <x v="5"/>
    <x v="5"/>
    <s v="Chicken Biryani"/>
    <x v="1"/>
    <n v="1"/>
    <n v="365"/>
    <n v="18.25"/>
    <n v="30"/>
    <n v="365"/>
    <n v="376.75"/>
    <x v="0"/>
    <x v="0"/>
    <x v="1"/>
    <n v="64"/>
    <n v="4.0999999999999996"/>
  </r>
  <r>
    <x v="2689"/>
    <x v="193"/>
    <x v="6"/>
    <n v="7"/>
    <n v="13"/>
    <s v="Sunday"/>
    <x v="2"/>
    <x v="5"/>
    <x v="5"/>
    <s v="Paneer Butter Masala"/>
    <x v="1"/>
    <n v="2"/>
    <n v="407"/>
    <n v="20.350000000000001"/>
    <n v="30"/>
    <n v="814"/>
    <n v="823.65"/>
    <x v="4"/>
    <x v="0"/>
    <x v="1"/>
    <n v="34"/>
    <n v="3.5"/>
  </r>
  <r>
    <x v="2690"/>
    <x v="193"/>
    <x v="6"/>
    <n v="7"/>
    <n v="13"/>
    <s v="Sunday"/>
    <x v="4"/>
    <x v="12"/>
    <x v="8"/>
    <s v="Chicken Pizza"/>
    <x v="3"/>
    <n v="3"/>
    <n v="232"/>
    <n v="0"/>
    <n v="40"/>
    <n v="696"/>
    <n v="736"/>
    <x v="1"/>
    <x v="0"/>
    <x v="1"/>
    <n v="37"/>
    <n v="3.8"/>
  </r>
  <r>
    <x v="2691"/>
    <x v="193"/>
    <x v="6"/>
    <n v="7"/>
    <n v="13"/>
    <s v="Sunday"/>
    <x v="1"/>
    <x v="2"/>
    <x v="5"/>
    <s v="Veg Momos"/>
    <x v="3"/>
    <n v="2"/>
    <n v="449"/>
    <n v="22.45"/>
    <n v="30"/>
    <n v="898"/>
    <n v="905.55"/>
    <x v="2"/>
    <x v="0"/>
    <x v="1"/>
    <n v="18"/>
    <n v="3.9"/>
  </r>
  <r>
    <x v="2692"/>
    <x v="193"/>
    <x v="6"/>
    <n v="7"/>
    <n v="13"/>
    <s v="Sunday"/>
    <x v="8"/>
    <x v="12"/>
    <x v="3"/>
    <s v="Veg Biryani"/>
    <x v="1"/>
    <n v="3"/>
    <n v="496"/>
    <n v="99.2"/>
    <n v="30"/>
    <n v="1488"/>
    <n v="1418.8"/>
    <x v="3"/>
    <x v="2"/>
    <x v="1"/>
    <n v="44"/>
    <m/>
  </r>
  <r>
    <x v="2693"/>
    <x v="193"/>
    <x v="6"/>
    <n v="7"/>
    <n v="13"/>
    <s v="Sunday"/>
    <x v="8"/>
    <x v="2"/>
    <x v="3"/>
    <s v="Veg Burger"/>
    <x v="1"/>
    <n v="2"/>
    <n v="504"/>
    <n v="0"/>
    <n v="30"/>
    <n v="1008"/>
    <n v="1038"/>
    <x v="1"/>
    <x v="0"/>
    <x v="0"/>
    <n v="64"/>
    <n v="5"/>
  </r>
  <r>
    <x v="2694"/>
    <x v="193"/>
    <x v="6"/>
    <n v="7"/>
    <n v="13"/>
    <s v="Sunday"/>
    <x v="0"/>
    <x v="10"/>
    <x v="4"/>
    <s v="Veg Biryani"/>
    <x v="1"/>
    <n v="2"/>
    <n v="501"/>
    <n v="25.05"/>
    <n v="0"/>
    <n v="1002"/>
    <n v="976.95"/>
    <x v="1"/>
    <x v="0"/>
    <x v="1"/>
    <n v="23"/>
    <n v="4.3"/>
  </r>
  <r>
    <x v="2695"/>
    <x v="193"/>
    <x v="6"/>
    <n v="7"/>
    <n v="13"/>
    <s v="Sunday"/>
    <x v="1"/>
    <x v="11"/>
    <x v="4"/>
    <s v="Chicken Momos"/>
    <x v="1"/>
    <n v="2"/>
    <n v="540"/>
    <n v="0"/>
    <n v="70"/>
    <n v="1080"/>
    <n v="1150"/>
    <x v="3"/>
    <x v="0"/>
    <x v="1"/>
    <n v="47"/>
    <n v="4.9000000000000004"/>
  </r>
  <r>
    <x v="2696"/>
    <x v="193"/>
    <x v="6"/>
    <n v="7"/>
    <n v="13"/>
    <s v="Sunday"/>
    <x v="4"/>
    <x v="10"/>
    <x v="4"/>
    <s v="Fried Rice"/>
    <x v="1"/>
    <n v="2"/>
    <n v="682"/>
    <n v="0"/>
    <n v="40"/>
    <n v="1364"/>
    <n v="1404"/>
    <x v="1"/>
    <x v="0"/>
    <x v="1"/>
    <n v="36"/>
    <n v="3.8"/>
  </r>
  <r>
    <x v="2697"/>
    <x v="193"/>
    <x v="6"/>
    <n v="7"/>
    <n v="13"/>
    <s v="Sunday"/>
    <x v="6"/>
    <x v="11"/>
    <x v="2"/>
    <s v="Chicken Burger"/>
    <x v="2"/>
    <n v="2"/>
    <n v="558"/>
    <n v="55.8"/>
    <n v="50"/>
    <n v="1116"/>
    <n v="1110.2"/>
    <x v="2"/>
    <x v="0"/>
    <x v="1"/>
    <n v="36"/>
    <n v="3.9"/>
  </r>
  <r>
    <x v="2698"/>
    <x v="193"/>
    <x v="6"/>
    <n v="7"/>
    <n v="13"/>
    <s v="Sunday"/>
    <x v="3"/>
    <x v="0"/>
    <x v="8"/>
    <s v="Idli Sambar"/>
    <x v="1"/>
    <n v="1"/>
    <n v="190"/>
    <n v="28.5"/>
    <n v="0"/>
    <n v="190"/>
    <n v="161.5"/>
    <x v="0"/>
    <x v="0"/>
    <x v="1"/>
    <n v="38"/>
    <n v="5"/>
  </r>
  <r>
    <x v="2699"/>
    <x v="194"/>
    <x v="6"/>
    <n v="7"/>
    <n v="14"/>
    <s v="Monday"/>
    <x v="4"/>
    <x v="14"/>
    <x v="8"/>
    <s v="Chicken Burger"/>
    <x v="1"/>
    <n v="2"/>
    <n v="239"/>
    <n v="23.9"/>
    <n v="30"/>
    <n v="478"/>
    <n v="484.1"/>
    <x v="1"/>
    <x v="0"/>
    <x v="1"/>
    <n v="46"/>
    <n v="5"/>
  </r>
  <r>
    <x v="2700"/>
    <x v="194"/>
    <x v="6"/>
    <n v="7"/>
    <n v="14"/>
    <s v="Monday"/>
    <x v="4"/>
    <x v="11"/>
    <x v="4"/>
    <s v="Masala Dosa"/>
    <x v="1"/>
    <n v="2"/>
    <n v="686"/>
    <n v="68.599999999999994"/>
    <n v="50"/>
    <n v="1372"/>
    <n v="1353.4"/>
    <x v="4"/>
    <x v="0"/>
    <x v="1"/>
    <n v="67"/>
    <n v="3.8"/>
  </r>
  <r>
    <x v="2701"/>
    <x v="194"/>
    <x v="6"/>
    <n v="7"/>
    <n v="14"/>
    <s v="Monday"/>
    <x v="3"/>
    <x v="3"/>
    <x v="2"/>
    <s v="Chicken Pizza"/>
    <x v="1"/>
    <n v="1"/>
    <n v="865"/>
    <n v="216.25"/>
    <n v="20"/>
    <n v="865"/>
    <n v="668.75"/>
    <x v="2"/>
    <x v="0"/>
    <x v="0"/>
    <n v="22"/>
    <n v="2.7"/>
  </r>
  <r>
    <x v="2702"/>
    <x v="194"/>
    <x v="6"/>
    <n v="7"/>
    <n v="14"/>
    <s v="Monday"/>
    <x v="5"/>
    <x v="14"/>
    <x v="3"/>
    <s v="Chicken Momos"/>
    <x v="1"/>
    <n v="2"/>
    <n v="137"/>
    <n v="0"/>
    <n v="0"/>
    <n v="274"/>
    <n v="274"/>
    <x v="0"/>
    <x v="0"/>
    <x v="0"/>
    <n v="61"/>
    <n v="3.1"/>
  </r>
  <r>
    <x v="2703"/>
    <x v="194"/>
    <x v="6"/>
    <n v="7"/>
    <n v="14"/>
    <s v="Monday"/>
    <x v="3"/>
    <x v="5"/>
    <x v="9"/>
    <s v="Veg Biryani"/>
    <x v="2"/>
    <n v="2"/>
    <n v="444"/>
    <n v="22.2"/>
    <n v="50"/>
    <n v="888"/>
    <n v="915.8"/>
    <x v="3"/>
    <x v="2"/>
    <x v="0"/>
    <n v="47"/>
    <m/>
  </r>
  <r>
    <x v="2704"/>
    <x v="194"/>
    <x v="6"/>
    <n v="7"/>
    <n v="14"/>
    <s v="Monday"/>
    <x v="3"/>
    <x v="10"/>
    <x v="7"/>
    <s v="Veg Biryani"/>
    <x v="1"/>
    <n v="1"/>
    <n v="680"/>
    <n v="34"/>
    <n v="50"/>
    <n v="680"/>
    <n v="696"/>
    <x v="1"/>
    <x v="0"/>
    <x v="1"/>
    <n v="54"/>
    <n v="3.9"/>
  </r>
  <r>
    <x v="2705"/>
    <x v="194"/>
    <x v="6"/>
    <n v="7"/>
    <n v="14"/>
    <s v="Monday"/>
    <x v="5"/>
    <x v="12"/>
    <x v="6"/>
    <s v="Chicken Momos"/>
    <x v="1"/>
    <n v="1"/>
    <n v="779"/>
    <n v="116.85"/>
    <n v="50"/>
    <n v="779"/>
    <n v="712.15"/>
    <x v="0"/>
    <x v="0"/>
    <x v="1"/>
    <n v="53"/>
    <n v="4"/>
  </r>
  <r>
    <x v="2706"/>
    <x v="194"/>
    <x v="6"/>
    <n v="7"/>
    <n v="14"/>
    <s v="Monday"/>
    <x v="0"/>
    <x v="1"/>
    <x v="0"/>
    <s v="Masala Dosa"/>
    <x v="1"/>
    <n v="2"/>
    <n v="338"/>
    <n v="50.7"/>
    <n v="0"/>
    <n v="676"/>
    <n v="625.29999999999995"/>
    <x v="1"/>
    <x v="0"/>
    <x v="1"/>
    <n v="32"/>
    <n v="4"/>
  </r>
  <r>
    <x v="2707"/>
    <x v="194"/>
    <x v="6"/>
    <n v="7"/>
    <n v="14"/>
    <s v="Monday"/>
    <x v="0"/>
    <x v="9"/>
    <x v="6"/>
    <s v="Chicken Pizza"/>
    <x v="2"/>
    <n v="2"/>
    <n v="156"/>
    <n v="15.6"/>
    <n v="70"/>
    <n v="312"/>
    <n v="366.4"/>
    <x v="4"/>
    <x v="0"/>
    <x v="0"/>
    <n v="38"/>
    <n v="3.4"/>
  </r>
  <r>
    <x v="2708"/>
    <x v="194"/>
    <x v="6"/>
    <n v="7"/>
    <n v="14"/>
    <s v="Monday"/>
    <x v="2"/>
    <x v="13"/>
    <x v="6"/>
    <s v="Veg Burger"/>
    <x v="3"/>
    <n v="2"/>
    <n v="819"/>
    <n v="163.80000000000001"/>
    <n v="0"/>
    <n v="1638"/>
    <n v="1474.2"/>
    <x v="4"/>
    <x v="0"/>
    <x v="0"/>
    <n v="53"/>
    <n v="3"/>
  </r>
  <r>
    <x v="2709"/>
    <x v="194"/>
    <x v="6"/>
    <n v="7"/>
    <n v="14"/>
    <s v="Monday"/>
    <x v="7"/>
    <x v="4"/>
    <x v="3"/>
    <s v="Veg Burger"/>
    <x v="1"/>
    <n v="2"/>
    <n v="163"/>
    <n v="0"/>
    <n v="60"/>
    <n v="326"/>
    <n v="386"/>
    <x v="0"/>
    <x v="0"/>
    <x v="0"/>
    <n v="41"/>
    <n v="3.8"/>
  </r>
  <r>
    <x v="2710"/>
    <x v="194"/>
    <x v="6"/>
    <n v="7"/>
    <n v="14"/>
    <s v="Monday"/>
    <x v="9"/>
    <x v="13"/>
    <x v="2"/>
    <s v="Chocolate Cake"/>
    <x v="1"/>
    <n v="2"/>
    <n v="696"/>
    <n v="104.4"/>
    <n v="0"/>
    <n v="1392"/>
    <n v="1287.5999999999999"/>
    <x v="4"/>
    <x v="3"/>
    <x v="0"/>
    <n v="63"/>
    <m/>
  </r>
  <r>
    <x v="2711"/>
    <x v="195"/>
    <x v="6"/>
    <n v="7"/>
    <n v="15"/>
    <s v="Tuesday"/>
    <x v="0"/>
    <x v="14"/>
    <x v="9"/>
    <s v="Veg Burger"/>
    <x v="1"/>
    <n v="2"/>
    <n v="263"/>
    <n v="65.75"/>
    <n v="50"/>
    <n v="526"/>
    <n v="510.25"/>
    <x v="1"/>
    <x v="0"/>
    <x v="1"/>
    <n v="24"/>
    <n v="4.2"/>
  </r>
  <r>
    <x v="2712"/>
    <x v="195"/>
    <x v="6"/>
    <n v="7"/>
    <n v="15"/>
    <s v="Tuesday"/>
    <x v="3"/>
    <x v="9"/>
    <x v="7"/>
    <s v="Chicken Burger"/>
    <x v="1"/>
    <n v="1"/>
    <n v="726"/>
    <n v="108.9"/>
    <n v="0"/>
    <n v="726"/>
    <n v="617.1"/>
    <x v="0"/>
    <x v="0"/>
    <x v="1"/>
    <n v="62"/>
    <n v="4.3"/>
  </r>
  <r>
    <x v="2713"/>
    <x v="195"/>
    <x v="6"/>
    <n v="7"/>
    <n v="15"/>
    <s v="Tuesday"/>
    <x v="9"/>
    <x v="14"/>
    <x v="4"/>
    <s v="French Fries"/>
    <x v="2"/>
    <n v="1"/>
    <n v="689"/>
    <n v="0"/>
    <n v="30"/>
    <n v="689"/>
    <n v="719"/>
    <x v="1"/>
    <x v="0"/>
    <x v="1"/>
    <n v="46"/>
    <n v="3.5"/>
  </r>
  <r>
    <x v="2714"/>
    <x v="195"/>
    <x v="6"/>
    <n v="7"/>
    <n v="15"/>
    <s v="Tuesday"/>
    <x v="0"/>
    <x v="8"/>
    <x v="7"/>
    <s v="Chocolate Cake"/>
    <x v="1"/>
    <n v="2"/>
    <n v="124"/>
    <n v="18.600000000000001"/>
    <n v="40"/>
    <n v="248"/>
    <n v="269.39999999999998"/>
    <x v="3"/>
    <x v="0"/>
    <x v="1"/>
    <n v="50"/>
    <n v="4"/>
  </r>
  <r>
    <x v="2715"/>
    <x v="195"/>
    <x v="6"/>
    <n v="7"/>
    <n v="15"/>
    <s v="Tuesday"/>
    <x v="3"/>
    <x v="10"/>
    <x v="0"/>
    <s v="Veg Pizza"/>
    <x v="1"/>
    <n v="1"/>
    <n v="350"/>
    <n v="35"/>
    <n v="50"/>
    <n v="350"/>
    <n v="365"/>
    <x v="1"/>
    <x v="0"/>
    <x v="1"/>
    <n v="21"/>
    <n v="4.5999999999999996"/>
  </r>
  <r>
    <x v="2716"/>
    <x v="195"/>
    <x v="6"/>
    <n v="7"/>
    <n v="15"/>
    <s v="Tuesday"/>
    <x v="2"/>
    <x v="9"/>
    <x v="8"/>
    <s v="Chocolate Cake"/>
    <x v="1"/>
    <n v="3"/>
    <n v="850"/>
    <n v="85"/>
    <n v="30"/>
    <n v="2550"/>
    <n v="2495"/>
    <x v="4"/>
    <x v="0"/>
    <x v="1"/>
    <n v="61"/>
    <n v="3.7"/>
  </r>
  <r>
    <x v="2717"/>
    <x v="195"/>
    <x v="6"/>
    <n v="7"/>
    <n v="15"/>
    <s v="Tuesday"/>
    <x v="1"/>
    <x v="5"/>
    <x v="9"/>
    <s v="Chocolate Cake"/>
    <x v="1"/>
    <n v="1"/>
    <n v="214"/>
    <n v="0"/>
    <n v="0"/>
    <n v="214"/>
    <n v="214"/>
    <x v="2"/>
    <x v="0"/>
    <x v="0"/>
    <n v="59"/>
    <n v="4.9000000000000004"/>
  </r>
  <r>
    <x v="2718"/>
    <x v="195"/>
    <x v="6"/>
    <n v="7"/>
    <n v="15"/>
    <s v="Tuesday"/>
    <x v="8"/>
    <x v="12"/>
    <x v="4"/>
    <s v="Masala Dosa"/>
    <x v="1"/>
    <n v="1"/>
    <n v="785"/>
    <n v="157"/>
    <n v="30"/>
    <n v="785"/>
    <n v="658"/>
    <x v="1"/>
    <x v="0"/>
    <x v="0"/>
    <n v="43"/>
    <n v="3.7"/>
  </r>
  <r>
    <x v="2719"/>
    <x v="195"/>
    <x v="6"/>
    <n v="7"/>
    <n v="15"/>
    <s v="Tuesday"/>
    <x v="4"/>
    <x v="1"/>
    <x v="1"/>
    <s v="Veg Momos"/>
    <x v="0"/>
    <n v="3"/>
    <n v="578"/>
    <n v="0"/>
    <n v="60"/>
    <n v="1734"/>
    <n v="1794"/>
    <x v="1"/>
    <x v="0"/>
    <x v="1"/>
    <n v="20"/>
    <n v="4.7"/>
  </r>
  <r>
    <x v="2720"/>
    <x v="195"/>
    <x v="6"/>
    <n v="7"/>
    <n v="15"/>
    <s v="Tuesday"/>
    <x v="9"/>
    <x v="4"/>
    <x v="9"/>
    <s v="Idli Sambar"/>
    <x v="2"/>
    <n v="1"/>
    <n v="482"/>
    <n v="48.2"/>
    <n v="20"/>
    <n v="482"/>
    <n v="453.8"/>
    <x v="2"/>
    <x v="0"/>
    <x v="1"/>
    <n v="36"/>
    <n v="3.4"/>
  </r>
  <r>
    <x v="2721"/>
    <x v="195"/>
    <x v="6"/>
    <n v="7"/>
    <n v="15"/>
    <s v="Tuesday"/>
    <x v="5"/>
    <x v="0"/>
    <x v="6"/>
    <s v="Veg Biryani"/>
    <x v="2"/>
    <n v="1"/>
    <n v="692"/>
    <n v="69.2"/>
    <n v="0"/>
    <n v="692"/>
    <n v="622.79999999999995"/>
    <x v="1"/>
    <x v="0"/>
    <x v="1"/>
    <n v="56"/>
    <n v="3.4"/>
  </r>
  <r>
    <x v="2722"/>
    <x v="195"/>
    <x v="6"/>
    <n v="7"/>
    <n v="15"/>
    <s v="Tuesday"/>
    <x v="5"/>
    <x v="1"/>
    <x v="5"/>
    <s v="Chicken Momos"/>
    <x v="1"/>
    <n v="1"/>
    <n v="804"/>
    <n v="0"/>
    <n v="50"/>
    <n v="804"/>
    <n v="854"/>
    <x v="1"/>
    <x v="0"/>
    <x v="1"/>
    <n v="47"/>
    <n v="3.3"/>
  </r>
  <r>
    <x v="2723"/>
    <x v="195"/>
    <x v="6"/>
    <n v="7"/>
    <n v="15"/>
    <s v="Tuesday"/>
    <x v="5"/>
    <x v="0"/>
    <x v="2"/>
    <s v="Veg Burger"/>
    <x v="1"/>
    <n v="2"/>
    <n v="877"/>
    <n v="175.4"/>
    <n v="30"/>
    <n v="1754"/>
    <n v="1608.6"/>
    <x v="2"/>
    <x v="0"/>
    <x v="0"/>
    <n v="70"/>
    <n v="4.2"/>
  </r>
  <r>
    <x v="2724"/>
    <x v="195"/>
    <x v="6"/>
    <n v="7"/>
    <n v="15"/>
    <s v="Tuesday"/>
    <x v="5"/>
    <x v="1"/>
    <x v="7"/>
    <s v="Chicken Biryani"/>
    <x v="2"/>
    <n v="1"/>
    <n v="697"/>
    <n v="69.7"/>
    <n v="20"/>
    <n v="697"/>
    <n v="647.29999999999995"/>
    <x v="2"/>
    <x v="0"/>
    <x v="1"/>
    <n v="42"/>
    <n v="4.5"/>
  </r>
  <r>
    <x v="2725"/>
    <x v="196"/>
    <x v="6"/>
    <n v="7"/>
    <n v="16"/>
    <s v="Wednesday"/>
    <x v="3"/>
    <x v="3"/>
    <x v="4"/>
    <s v="Chicken Biryani"/>
    <x v="1"/>
    <n v="1"/>
    <n v="633"/>
    <n v="126.6"/>
    <n v="70"/>
    <n v="633"/>
    <n v="576.4"/>
    <x v="2"/>
    <x v="0"/>
    <x v="0"/>
    <n v="67"/>
    <n v="2.9"/>
  </r>
  <r>
    <x v="2726"/>
    <x v="196"/>
    <x v="6"/>
    <n v="7"/>
    <n v="16"/>
    <s v="Wednesday"/>
    <x v="5"/>
    <x v="11"/>
    <x v="6"/>
    <s v="Paneer Butter Masala"/>
    <x v="1"/>
    <n v="2"/>
    <n v="861"/>
    <n v="172.2"/>
    <n v="40"/>
    <n v="1722"/>
    <n v="1589.8"/>
    <x v="2"/>
    <x v="0"/>
    <x v="1"/>
    <n v="62"/>
    <n v="4.3"/>
  </r>
  <r>
    <x v="2727"/>
    <x v="196"/>
    <x v="6"/>
    <n v="7"/>
    <n v="16"/>
    <s v="Wednesday"/>
    <x v="3"/>
    <x v="4"/>
    <x v="1"/>
    <s v="Veg Pizza"/>
    <x v="1"/>
    <n v="2"/>
    <n v="824"/>
    <n v="41.2"/>
    <n v="0"/>
    <n v="1648"/>
    <n v="1606.8"/>
    <x v="2"/>
    <x v="3"/>
    <x v="0"/>
    <n v="24"/>
    <m/>
  </r>
  <r>
    <x v="2728"/>
    <x v="196"/>
    <x v="6"/>
    <n v="7"/>
    <n v="16"/>
    <s v="Wednesday"/>
    <x v="3"/>
    <x v="11"/>
    <x v="2"/>
    <s v="Chicken Pizza"/>
    <x v="2"/>
    <n v="2"/>
    <n v="589"/>
    <n v="0"/>
    <n v="0"/>
    <n v="1178"/>
    <n v="1178"/>
    <x v="1"/>
    <x v="0"/>
    <x v="0"/>
    <n v="64"/>
    <n v="4.3"/>
  </r>
  <r>
    <x v="2729"/>
    <x v="196"/>
    <x v="6"/>
    <n v="7"/>
    <n v="16"/>
    <s v="Wednesday"/>
    <x v="5"/>
    <x v="2"/>
    <x v="8"/>
    <s v="Chocolate Cake"/>
    <x v="1"/>
    <n v="2"/>
    <n v="841"/>
    <n v="0"/>
    <n v="30"/>
    <n v="1682"/>
    <n v="1712"/>
    <x v="2"/>
    <x v="3"/>
    <x v="0"/>
    <n v="40"/>
    <m/>
  </r>
  <r>
    <x v="2730"/>
    <x v="196"/>
    <x v="6"/>
    <n v="7"/>
    <n v="16"/>
    <s v="Wednesday"/>
    <x v="6"/>
    <x v="10"/>
    <x v="7"/>
    <s v="Chocolate Cake"/>
    <x v="2"/>
    <n v="2"/>
    <n v="241"/>
    <n v="48.2"/>
    <n v="50"/>
    <n v="482"/>
    <n v="483.8"/>
    <x v="2"/>
    <x v="0"/>
    <x v="1"/>
    <n v="36"/>
    <n v="4.5"/>
  </r>
  <r>
    <x v="2731"/>
    <x v="196"/>
    <x v="6"/>
    <n v="7"/>
    <n v="16"/>
    <s v="Wednesday"/>
    <x v="3"/>
    <x v="8"/>
    <x v="3"/>
    <s v="Cold Coffee"/>
    <x v="2"/>
    <n v="1"/>
    <n v="280"/>
    <n v="0"/>
    <n v="40"/>
    <n v="280"/>
    <n v="320"/>
    <x v="1"/>
    <x v="3"/>
    <x v="1"/>
    <n v="40"/>
    <m/>
  </r>
  <r>
    <x v="2732"/>
    <x v="196"/>
    <x v="6"/>
    <n v="7"/>
    <n v="16"/>
    <s v="Wednesday"/>
    <x v="6"/>
    <x v="0"/>
    <x v="5"/>
    <s v="Chocolate Cake"/>
    <x v="2"/>
    <n v="1"/>
    <n v="527"/>
    <n v="0"/>
    <n v="40"/>
    <n v="527"/>
    <n v="567"/>
    <x v="3"/>
    <x v="0"/>
    <x v="1"/>
    <n v="66"/>
    <n v="4.7"/>
  </r>
  <r>
    <x v="2733"/>
    <x v="197"/>
    <x v="6"/>
    <n v="7"/>
    <n v="17"/>
    <s v="Thursday"/>
    <x v="5"/>
    <x v="5"/>
    <x v="2"/>
    <s v="Chicken Biryani"/>
    <x v="1"/>
    <n v="2"/>
    <n v="370"/>
    <n v="37"/>
    <n v="20"/>
    <n v="740"/>
    <n v="723"/>
    <x v="1"/>
    <x v="0"/>
    <x v="1"/>
    <n v="45"/>
    <n v="4.2"/>
  </r>
  <r>
    <x v="2734"/>
    <x v="197"/>
    <x v="6"/>
    <n v="7"/>
    <n v="17"/>
    <s v="Thursday"/>
    <x v="1"/>
    <x v="13"/>
    <x v="0"/>
    <s v="Veg Pizza"/>
    <x v="1"/>
    <n v="3"/>
    <n v="605"/>
    <n v="90.75"/>
    <n v="50"/>
    <n v="1815"/>
    <n v="1774.25"/>
    <x v="2"/>
    <x v="2"/>
    <x v="0"/>
    <n v="56"/>
    <m/>
  </r>
  <r>
    <x v="2735"/>
    <x v="197"/>
    <x v="6"/>
    <n v="7"/>
    <n v="17"/>
    <s v="Thursday"/>
    <x v="2"/>
    <x v="7"/>
    <x v="9"/>
    <s v="Chicken Biryani"/>
    <x v="1"/>
    <n v="2"/>
    <n v="200"/>
    <n v="50"/>
    <n v="30"/>
    <n v="400"/>
    <n v="380"/>
    <x v="4"/>
    <x v="0"/>
    <x v="0"/>
    <n v="23"/>
    <n v="5"/>
  </r>
  <r>
    <x v="2736"/>
    <x v="197"/>
    <x v="6"/>
    <n v="7"/>
    <n v="17"/>
    <s v="Thursday"/>
    <x v="1"/>
    <x v="13"/>
    <x v="4"/>
    <s v="Idli Sambar"/>
    <x v="1"/>
    <n v="1"/>
    <n v="198"/>
    <n v="19.8"/>
    <n v="50"/>
    <n v="198"/>
    <n v="228.2"/>
    <x v="4"/>
    <x v="0"/>
    <x v="1"/>
    <n v="40"/>
    <n v="3.9"/>
  </r>
  <r>
    <x v="2737"/>
    <x v="197"/>
    <x v="6"/>
    <n v="7"/>
    <n v="17"/>
    <s v="Thursday"/>
    <x v="0"/>
    <x v="11"/>
    <x v="0"/>
    <s v="Pasta"/>
    <x v="1"/>
    <n v="1"/>
    <n v="862"/>
    <n v="215.5"/>
    <n v="0"/>
    <n v="862"/>
    <n v="646.5"/>
    <x v="2"/>
    <x v="0"/>
    <x v="1"/>
    <n v="67"/>
    <n v="4.4000000000000004"/>
  </r>
  <r>
    <x v="2738"/>
    <x v="197"/>
    <x v="6"/>
    <n v="7"/>
    <n v="17"/>
    <s v="Thursday"/>
    <x v="7"/>
    <x v="3"/>
    <x v="9"/>
    <s v="Masala Dosa"/>
    <x v="1"/>
    <n v="2"/>
    <n v="404"/>
    <n v="0"/>
    <n v="50"/>
    <n v="808"/>
    <n v="858"/>
    <x v="2"/>
    <x v="0"/>
    <x v="1"/>
    <n v="69"/>
    <n v="4.4000000000000004"/>
  </r>
  <r>
    <x v="2739"/>
    <x v="197"/>
    <x v="6"/>
    <n v="7"/>
    <n v="17"/>
    <s v="Thursday"/>
    <x v="3"/>
    <x v="14"/>
    <x v="1"/>
    <s v="Veg Burger"/>
    <x v="1"/>
    <n v="2"/>
    <n v="336"/>
    <n v="16.8"/>
    <n v="40"/>
    <n v="672"/>
    <n v="695.2"/>
    <x v="0"/>
    <x v="0"/>
    <x v="1"/>
    <n v="63"/>
    <n v="3.4"/>
  </r>
  <r>
    <x v="2740"/>
    <x v="197"/>
    <x v="6"/>
    <n v="7"/>
    <n v="17"/>
    <s v="Thursday"/>
    <x v="5"/>
    <x v="14"/>
    <x v="2"/>
    <s v="Idli Sambar"/>
    <x v="2"/>
    <n v="2"/>
    <n v="600"/>
    <n v="90"/>
    <n v="30"/>
    <n v="1200"/>
    <n v="1140"/>
    <x v="2"/>
    <x v="1"/>
    <x v="0"/>
    <n v="37"/>
    <m/>
  </r>
  <r>
    <x v="2741"/>
    <x v="197"/>
    <x v="6"/>
    <n v="7"/>
    <n v="17"/>
    <s v="Thursday"/>
    <x v="4"/>
    <x v="1"/>
    <x v="5"/>
    <s v="Chocolate Cake"/>
    <x v="1"/>
    <n v="2"/>
    <n v="618"/>
    <n v="61.8"/>
    <n v="70"/>
    <n v="1236"/>
    <n v="1244.2"/>
    <x v="1"/>
    <x v="0"/>
    <x v="0"/>
    <n v="20"/>
    <n v="5"/>
  </r>
  <r>
    <x v="2742"/>
    <x v="197"/>
    <x v="6"/>
    <n v="7"/>
    <n v="17"/>
    <s v="Thursday"/>
    <x v="6"/>
    <x v="2"/>
    <x v="3"/>
    <s v="Veg Pizza"/>
    <x v="1"/>
    <n v="1"/>
    <n v="348"/>
    <n v="0"/>
    <n v="60"/>
    <n v="348"/>
    <n v="408"/>
    <x v="2"/>
    <x v="0"/>
    <x v="1"/>
    <n v="46"/>
    <n v="4.8"/>
  </r>
  <r>
    <x v="2743"/>
    <x v="197"/>
    <x v="6"/>
    <n v="7"/>
    <n v="17"/>
    <s v="Thursday"/>
    <x v="5"/>
    <x v="14"/>
    <x v="4"/>
    <s v="Veg Momos"/>
    <x v="1"/>
    <n v="1"/>
    <n v="167"/>
    <n v="41.75"/>
    <n v="60"/>
    <n v="167"/>
    <n v="185.25"/>
    <x v="1"/>
    <x v="0"/>
    <x v="1"/>
    <n v="50"/>
    <n v="3.6"/>
  </r>
  <r>
    <x v="2744"/>
    <x v="197"/>
    <x v="6"/>
    <n v="7"/>
    <n v="17"/>
    <s v="Thursday"/>
    <x v="9"/>
    <x v="11"/>
    <x v="1"/>
    <s v="Cold Coffee"/>
    <x v="1"/>
    <n v="2"/>
    <n v="792"/>
    <n v="79.2"/>
    <n v="70"/>
    <n v="1584"/>
    <n v="1574.8"/>
    <x v="1"/>
    <x v="1"/>
    <x v="0"/>
    <n v="21"/>
    <m/>
  </r>
  <r>
    <x v="2745"/>
    <x v="197"/>
    <x v="6"/>
    <n v="7"/>
    <n v="17"/>
    <s v="Thursday"/>
    <x v="3"/>
    <x v="0"/>
    <x v="3"/>
    <s v="Cold Coffee"/>
    <x v="2"/>
    <n v="2"/>
    <n v="356"/>
    <n v="53.4"/>
    <n v="20"/>
    <n v="712"/>
    <n v="678.6"/>
    <x v="2"/>
    <x v="0"/>
    <x v="0"/>
    <n v="51"/>
    <n v="4.5"/>
  </r>
  <r>
    <x v="2746"/>
    <x v="197"/>
    <x v="6"/>
    <n v="7"/>
    <n v="17"/>
    <s v="Thursday"/>
    <x v="4"/>
    <x v="13"/>
    <x v="4"/>
    <s v="Veg Biryani"/>
    <x v="2"/>
    <n v="2"/>
    <n v="235"/>
    <n v="58.75"/>
    <n v="30"/>
    <n v="470"/>
    <n v="441.25"/>
    <x v="1"/>
    <x v="0"/>
    <x v="1"/>
    <n v="54"/>
    <n v="4.0999999999999996"/>
  </r>
  <r>
    <x v="2747"/>
    <x v="197"/>
    <x v="6"/>
    <n v="7"/>
    <n v="17"/>
    <s v="Thursday"/>
    <x v="7"/>
    <x v="12"/>
    <x v="4"/>
    <s v="Pasta"/>
    <x v="1"/>
    <n v="1"/>
    <n v="460"/>
    <n v="69"/>
    <n v="40"/>
    <n v="460"/>
    <n v="431"/>
    <x v="1"/>
    <x v="0"/>
    <x v="0"/>
    <n v="69"/>
    <n v="4.0999999999999996"/>
  </r>
  <r>
    <x v="2748"/>
    <x v="198"/>
    <x v="6"/>
    <n v="7"/>
    <n v="18"/>
    <s v="Friday"/>
    <x v="5"/>
    <x v="4"/>
    <x v="2"/>
    <s v="Veg Momos"/>
    <x v="1"/>
    <n v="1"/>
    <n v="141"/>
    <n v="0"/>
    <n v="70"/>
    <n v="141"/>
    <n v="211"/>
    <x v="2"/>
    <x v="0"/>
    <x v="0"/>
    <n v="40"/>
    <n v="4.0999999999999996"/>
  </r>
  <r>
    <x v="2749"/>
    <x v="198"/>
    <x v="6"/>
    <n v="7"/>
    <n v="18"/>
    <s v="Friday"/>
    <x v="9"/>
    <x v="2"/>
    <x v="8"/>
    <s v="Chicken Pizza"/>
    <x v="1"/>
    <n v="2"/>
    <n v="596"/>
    <n v="59.6"/>
    <n v="20"/>
    <n v="1192"/>
    <n v="1152.4000000000001"/>
    <x v="1"/>
    <x v="1"/>
    <x v="1"/>
    <n v="36"/>
    <m/>
  </r>
  <r>
    <x v="2750"/>
    <x v="198"/>
    <x v="6"/>
    <n v="7"/>
    <n v="18"/>
    <s v="Friday"/>
    <x v="3"/>
    <x v="4"/>
    <x v="1"/>
    <s v="Chicken Momos"/>
    <x v="1"/>
    <n v="1"/>
    <n v="609"/>
    <n v="152.25"/>
    <n v="0"/>
    <n v="609"/>
    <n v="456.75"/>
    <x v="4"/>
    <x v="0"/>
    <x v="0"/>
    <n v="55"/>
    <n v="3.8"/>
  </r>
  <r>
    <x v="2751"/>
    <x v="198"/>
    <x v="6"/>
    <n v="7"/>
    <n v="18"/>
    <s v="Friday"/>
    <x v="0"/>
    <x v="3"/>
    <x v="5"/>
    <s v="Masala Dosa"/>
    <x v="1"/>
    <n v="1"/>
    <n v="861"/>
    <n v="215.25"/>
    <n v="50"/>
    <n v="861"/>
    <n v="695.75"/>
    <x v="0"/>
    <x v="0"/>
    <x v="1"/>
    <n v="63"/>
    <n v="3.9"/>
  </r>
  <r>
    <x v="2752"/>
    <x v="198"/>
    <x v="6"/>
    <n v="7"/>
    <n v="18"/>
    <s v="Friday"/>
    <x v="5"/>
    <x v="0"/>
    <x v="3"/>
    <s v="Chicken Pizza"/>
    <x v="1"/>
    <n v="2"/>
    <n v="125"/>
    <n v="6.25"/>
    <n v="60"/>
    <n v="250"/>
    <n v="303.75"/>
    <x v="1"/>
    <x v="0"/>
    <x v="1"/>
    <n v="24"/>
    <n v="5"/>
  </r>
  <r>
    <x v="2753"/>
    <x v="198"/>
    <x v="6"/>
    <n v="7"/>
    <n v="18"/>
    <s v="Friday"/>
    <x v="4"/>
    <x v="8"/>
    <x v="8"/>
    <s v="Veg Biryani"/>
    <x v="1"/>
    <n v="3"/>
    <n v="364"/>
    <n v="0"/>
    <n v="40"/>
    <n v="1092"/>
    <n v="1132"/>
    <x v="0"/>
    <x v="0"/>
    <x v="1"/>
    <n v="29"/>
    <n v="4.3"/>
  </r>
  <r>
    <x v="2754"/>
    <x v="198"/>
    <x v="6"/>
    <n v="7"/>
    <n v="18"/>
    <s v="Friday"/>
    <x v="5"/>
    <x v="11"/>
    <x v="9"/>
    <s v="Chicken Pizza"/>
    <x v="1"/>
    <n v="3"/>
    <n v="172"/>
    <n v="43"/>
    <n v="40"/>
    <n v="516"/>
    <n v="513"/>
    <x v="0"/>
    <x v="0"/>
    <x v="0"/>
    <n v="26"/>
    <n v="4"/>
  </r>
  <r>
    <x v="2755"/>
    <x v="198"/>
    <x v="6"/>
    <n v="7"/>
    <n v="18"/>
    <s v="Friday"/>
    <x v="3"/>
    <x v="1"/>
    <x v="0"/>
    <s v="Chocolate Cake"/>
    <x v="1"/>
    <n v="3"/>
    <n v="482"/>
    <n v="0"/>
    <n v="60"/>
    <n v="1446"/>
    <n v="1506"/>
    <x v="2"/>
    <x v="0"/>
    <x v="0"/>
    <n v="67"/>
    <n v="3.6"/>
  </r>
  <r>
    <x v="2756"/>
    <x v="198"/>
    <x v="6"/>
    <n v="7"/>
    <n v="18"/>
    <s v="Friday"/>
    <x v="3"/>
    <x v="6"/>
    <x v="7"/>
    <s v="Veg Biryani"/>
    <x v="1"/>
    <n v="2"/>
    <n v="334"/>
    <n v="33.4"/>
    <n v="40"/>
    <n v="668"/>
    <n v="674.6"/>
    <x v="1"/>
    <x v="0"/>
    <x v="1"/>
    <n v="49"/>
    <n v="4.4000000000000004"/>
  </r>
  <r>
    <x v="2757"/>
    <x v="199"/>
    <x v="6"/>
    <n v="7"/>
    <n v="19"/>
    <s v="Saturday"/>
    <x v="2"/>
    <x v="3"/>
    <x v="7"/>
    <s v="Veg Burger"/>
    <x v="1"/>
    <n v="1"/>
    <n v="534"/>
    <n v="26.7"/>
    <n v="40"/>
    <n v="534"/>
    <n v="547.29999999999995"/>
    <x v="1"/>
    <x v="0"/>
    <x v="1"/>
    <n v="48"/>
    <n v="5"/>
  </r>
  <r>
    <x v="2758"/>
    <x v="199"/>
    <x v="6"/>
    <n v="7"/>
    <n v="19"/>
    <s v="Saturday"/>
    <x v="3"/>
    <x v="9"/>
    <x v="4"/>
    <s v="Veg Burger"/>
    <x v="1"/>
    <n v="1"/>
    <n v="608"/>
    <n v="30.4"/>
    <n v="70"/>
    <n v="608"/>
    <n v="647.6"/>
    <x v="1"/>
    <x v="0"/>
    <x v="1"/>
    <n v="25"/>
    <n v="2.6"/>
  </r>
  <r>
    <x v="2759"/>
    <x v="199"/>
    <x v="6"/>
    <n v="7"/>
    <n v="19"/>
    <s v="Saturday"/>
    <x v="2"/>
    <x v="14"/>
    <x v="9"/>
    <s v="Chicken Burger"/>
    <x v="3"/>
    <n v="2"/>
    <n v="171"/>
    <n v="42.75"/>
    <n v="60"/>
    <n v="342"/>
    <n v="359.25"/>
    <x v="1"/>
    <x v="0"/>
    <x v="1"/>
    <n v="20"/>
    <n v="4"/>
  </r>
  <r>
    <x v="2760"/>
    <x v="199"/>
    <x v="6"/>
    <n v="7"/>
    <n v="19"/>
    <s v="Saturday"/>
    <x v="3"/>
    <x v="12"/>
    <x v="9"/>
    <s v="Pasta"/>
    <x v="1"/>
    <n v="2"/>
    <n v="155"/>
    <n v="0"/>
    <n v="30"/>
    <n v="310"/>
    <n v="340"/>
    <x v="3"/>
    <x v="0"/>
    <x v="0"/>
    <n v="35"/>
    <n v="3.8"/>
  </r>
  <r>
    <x v="2761"/>
    <x v="199"/>
    <x v="6"/>
    <n v="7"/>
    <n v="19"/>
    <s v="Saturday"/>
    <x v="5"/>
    <x v="2"/>
    <x v="7"/>
    <s v="Paneer Butter Masala"/>
    <x v="1"/>
    <n v="2"/>
    <n v="523"/>
    <n v="0"/>
    <n v="30"/>
    <n v="1046"/>
    <n v="1076"/>
    <x v="3"/>
    <x v="0"/>
    <x v="1"/>
    <n v="53"/>
    <n v="4.4000000000000004"/>
  </r>
  <r>
    <x v="2762"/>
    <x v="200"/>
    <x v="6"/>
    <n v="7"/>
    <n v="20"/>
    <s v="Sunday"/>
    <x v="3"/>
    <x v="9"/>
    <x v="7"/>
    <s v="Chicken Pizza"/>
    <x v="2"/>
    <n v="3"/>
    <n v="579"/>
    <n v="28.95"/>
    <n v="40"/>
    <n v="1737"/>
    <n v="1748.05"/>
    <x v="1"/>
    <x v="2"/>
    <x v="1"/>
    <n v="64"/>
    <m/>
  </r>
  <r>
    <x v="2763"/>
    <x v="200"/>
    <x v="6"/>
    <n v="7"/>
    <n v="20"/>
    <s v="Sunday"/>
    <x v="3"/>
    <x v="5"/>
    <x v="1"/>
    <s v="Pasta"/>
    <x v="1"/>
    <n v="3"/>
    <n v="338"/>
    <n v="84.5"/>
    <n v="50"/>
    <n v="1014"/>
    <n v="979.5"/>
    <x v="2"/>
    <x v="0"/>
    <x v="1"/>
    <n v="42"/>
    <n v="4"/>
  </r>
  <r>
    <x v="2764"/>
    <x v="200"/>
    <x v="6"/>
    <n v="7"/>
    <n v="20"/>
    <s v="Sunday"/>
    <x v="9"/>
    <x v="12"/>
    <x v="1"/>
    <s v="Cold Coffee"/>
    <x v="3"/>
    <n v="3"/>
    <n v="277"/>
    <n v="13.85"/>
    <n v="40"/>
    <n v="831"/>
    <n v="857.15"/>
    <x v="3"/>
    <x v="0"/>
    <x v="1"/>
    <n v="41"/>
    <n v="3.1"/>
  </r>
  <r>
    <x v="2765"/>
    <x v="200"/>
    <x v="6"/>
    <n v="7"/>
    <n v="20"/>
    <s v="Sunday"/>
    <x v="7"/>
    <x v="13"/>
    <x v="6"/>
    <s v="French Fries"/>
    <x v="2"/>
    <n v="2"/>
    <n v="581"/>
    <n v="29.05"/>
    <n v="20"/>
    <n v="1162"/>
    <n v="1152.95"/>
    <x v="1"/>
    <x v="0"/>
    <x v="0"/>
    <n v="37"/>
    <n v="3.7"/>
  </r>
  <r>
    <x v="2766"/>
    <x v="200"/>
    <x v="6"/>
    <n v="7"/>
    <n v="20"/>
    <s v="Sunday"/>
    <x v="1"/>
    <x v="3"/>
    <x v="6"/>
    <s v="Pasta"/>
    <x v="1"/>
    <n v="2"/>
    <n v="857"/>
    <n v="85.7"/>
    <n v="30"/>
    <n v="1714"/>
    <n v="1658.3"/>
    <x v="1"/>
    <x v="0"/>
    <x v="1"/>
    <n v="39"/>
    <n v="3.9"/>
  </r>
  <r>
    <x v="2767"/>
    <x v="200"/>
    <x v="6"/>
    <n v="7"/>
    <n v="20"/>
    <s v="Sunday"/>
    <x v="5"/>
    <x v="9"/>
    <x v="7"/>
    <s v="Cold Coffee"/>
    <x v="1"/>
    <n v="1"/>
    <n v="531"/>
    <n v="106.2"/>
    <n v="20"/>
    <n v="531"/>
    <n v="444.8"/>
    <x v="1"/>
    <x v="0"/>
    <x v="0"/>
    <n v="41"/>
    <n v="4"/>
  </r>
  <r>
    <x v="2768"/>
    <x v="200"/>
    <x v="6"/>
    <n v="7"/>
    <n v="20"/>
    <s v="Sunday"/>
    <x v="5"/>
    <x v="10"/>
    <x v="9"/>
    <s v="Masala Dosa"/>
    <x v="0"/>
    <n v="1"/>
    <n v="698"/>
    <n v="104.7"/>
    <n v="60"/>
    <n v="698"/>
    <n v="653.29999999999995"/>
    <x v="0"/>
    <x v="2"/>
    <x v="1"/>
    <n v="37"/>
    <m/>
  </r>
  <r>
    <x v="2769"/>
    <x v="200"/>
    <x v="6"/>
    <n v="7"/>
    <n v="20"/>
    <s v="Sunday"/>
    <x v="3"/>
    <x v="8"/>
    <x v="5"/>
    <s v="Veg Biryani"/>
    <x v="2"/>
    <n v="1"/>
    <n v="226"/>
    <n v="22.6"/>
    <n v="60"/>
    <n v="226"/>
    <n v="263.39999999999998"/>
    <x v="0"/>
    <x v="0"/>
    <x v="1"/>
    <n v="36"/>
    <n v="3.4"/>
  </r>
  <r>
    <x v="2770"/>
    <x v="200"/>
    <x v="6"/>
    <n v="7"/>
    <n v="20"/>
    <s v="Sunday"/>
    <x v="4"/>
    <x v="13"/>
    <x v="9"/>
    <s v="Veg Biryani"/>
    <x v="1"/>
    <n v="2"/>
    <n v="715"/>
    <n v="71.5"/>
    <n v="60"/>
    <n v="1430"/>
    <n v="1418.5"/>
    <x v="2"/>
    <x v="2"/>
    <x v="1"/>
    <n v="26"/>
    <m/>
  </r>
  <r>
    <x v="2771"/>
    <x v="200"/>
    <x v="6"/>
    <n v="7"/>
    <n v="20"/>
    <s v="Sunday"/>
    <x v="5"/>
    <x v="8"/>
    <x v="2"/>
    <s v="Chicken Biryani"/>
    <x v="2"/>
    <n v="2"/>
    <n v="522"/>
    <n v="130.5"/>
    <n v="20"/>
    <n v="1044"/>
    <n v="933.5"/>
    <x v="1"/>
    <x v="0"/>
    <x v="0"/>
    <n v="36"/>
    <n v="4.2"/>
  </r>
  <r>
    <x v="2772"/>
    <x v="200"/>
    <x v="6"/>
    <n v="7"/>
    <n v="20"/>
    <s v="Sunday"/>
    <x v="1"/>
    <x v="7"/>
    <x v="8"/>
    <s v="Chicken Momos"/>
    <x v="0"/>
    <n v="2"/>
    <n v="683"/>
    <n v="0"/>
    <n v="60"/>
    <n v="1366"/>
    <n v="1426"/>
    <x v="0"/>
    <x v="0"/>
    <x v="0"/>
    <n v="37"/>
    <n v="4.3"/>
  </r>
  <r>
    <x v="2773"/>
    <x v="200"/>
    <x v="6"/>
    <n v="7"/>
    <n v="20"/>
    <s v="Sunday"/>
    <x v="3"/>
    <x v="8"/>
    <x v="3"/>
    <s v="Chicken Biryani"/>
    <x v="2"/>
    <n v="2"/>
    <n v="402"/>
    <n v="40.200000000000003"/>
    <n v="30"/>
    <n v="804"/>
    <n v="793.8"/>
    <x v="1"/>
    <x v="0"/>
    <x v="0"/>
    <n v="47"/>
    <n v="3.1"/>
  </r>
  <r>
    <x v="2774"/>
    <x v="200"/>
    <x v="6"/>
    <n v="7"/>
    <n v="20"/>
    <s v="Sunday"/>
    <x v="4"/>
    <x v="6"/>
    <x v="7"/>
    <s v="Chicken Burger"/>
    <x v="3"/>
    <n v="1"/>
    <n v="493"/>
    <n v="73.95"/>
    <n v="40"/>
    <n v="493"/>
    <n v="459.05"/>
    <x v="1"/>
    <x v="0"/>
    <x v="0"/>
    <n v="53"/>
    <n v="3.8"/>
  </r>
  <r>
    <x v="2775"/>
    <x v="200"/>
    <x v="6"/>
    <n v="7"/>
    <n v="20"/>
    <s v="Sunday"/>
    <x v="9"/>
    <x v="2"/>
    <x v="1"/>
    <s v="Chicken Pizza"/>
    <x v="3"/>
    <n v="1"/>
    <n v="146"/>
    <n v="29.2"/>
    <n v="0"/>
    <n v="146"/>
    <n v="116.8"/>
    <x v="3"/>
    <x v="3"/>
    <x v="0"/>
    <n v="62"/>
    <m/>
  </r>
  <r>
    <x v="2776"/>
    <x v="200"/>
    <x v="6"/>
    <n v="7"/>
    <n v="20"/>
    <s v="Sunday"/>
    <x v="3"/>
    <x v="0"/>
    <x v="8"/>
    <s v="Chocolate Cake"/>
    <x v="2"/>
    <n v="1"/>
    <n v="893"/>
    <n v="44.65"/>
    <n v="40"/>
    <n v="893"/>
    <n v="888.35"/>
    <x v="1"/>
    <x v="0"/>
    <x v="1"/>
    <n v="18"/>
    <n v="3.8"/>
  </r>
  <r>
    <x v="2777"/>
    <x v="201"/>
    <x v="6"/>
    <n v="7"/>
    <n v="21"/>
    <s v="Monday"/>
    <x v="0"/>
    <x v="9"/>
    <x v="5"/>
    <s v="Veg Burger"/>
    <x v="1"/>
    <n v="1"/>
    <n v="505"/>
    <n v="75.75"/>
    <n v="40"/>
    <n v="505"/>
    <n v="469.25"/>
    <x v="2"/>
    <x v="0"/>
    <x v="0"/>
    <n v="50"/>
    <n v="5"/>
  </r>
  <r>
    <x v="2778"/>
    <x v="201"/>
    <x v="6"/>
    <n v="7"/>
    <n v="21"/>
    <s v="Monday"/>
    <x v="5"/>
    <x v="8"/>
    <x v="3"/>
    <s v="Chocolate Cake"/>
    <x v="2"/>
    <n v="2"/>
    <n v="223"/>
    <n v="22.3"/>
    <n v="0"/>
    <n v="446"/>
    <n v="423.7"/>
    <x v="4"/>
    <x v="0"/>
    <x v="0"/>
    <n v="28"/>
    <n v="5"/>
  </r>
  <r>
    <x v="2779"/>
    <x v="201"/>
    <x v="6"/>
    <n v="7"/>
    <n v="21"/>
    <s v="Monday"/>
    <x v="6"/>
    <x v="1"/>
    <x v="1"/>
    <s v="Veg Burger"/>
    <x v="1"/>
    <n v="3"/>
    <n v="853"/>
    <n v="127.95"/>
    <n v="30"/>
    <n v="2559"/>
    <n v="2461.0500000000002"/>
    <x v="1"/>
    <x v="2"/>
    <x v="0"/>
    <n v="61"/>
    <m/>
  </r>
  <r>
    <x v="2780"/>
    <x v="201"/>
    <x v="6"/>
    <n v="7"/>
    <n v="21"/>
    <s v="Monday"/>
    <x v="0"/>
    <x v="4"/>
    <x v="1"/>
    <s v="Chicken Momos"/>
    <x v="1"/>
    <n v="2"/>
    <n v="495"/>
    <n v="123.75"/>
    <n v="30"/>
    <n v="990"/>
    <n v="896.25"/>
    <x v="1"/>
    <x v="0"/>
    <x v="1"/>
    <n v="26"/>
    <n v="4.9000000000000004"/>
  </r>
  <r>
    <x v="2781"/>
    <x v="201"/>
    <x v="6"/>
    <n v="7"/>
    <n v="21"/>
    <s v="Monday"/>
    <x v="5"/>
    <x v="10"/>
    <x v="4"/>
    <s v="Cold Coffee"/>
    <x v="1"/>
    <n v="2"/>
    <n v="435"/>
    <n v="21.75"/>
    <n v="20"/>
    <n v="870"/>
    <n v="868.25"/>
    <x v="1"/>
    <x v="0"/>
    <x v="1"/>
    <n v="43"/>
    <n v="4.8"/>
  </r>
  <r>
    <x v="2782"/>
    <x v="201"/>
    <x v="6"/>
    <n v="7"/>
    <n v="21"/>
    <s v="Monday"/>
    <x v="5"/>
    <x v="3"/>
    <x v="2"/>
    <s v="French Fries"/>
    <x v="1"/>
    <n v="1"/>
    <n v="637"/>
    <n v="31.85"/>
    <n v="20"/>
    <n v="637"/>
    <n v="625.15"/>
    <x v="4"/>
    <x v="0"/>
    <x v="1"/>
    <n v="38"/>
    <n v="4.2"/>
  </r>
  <r>
    <x v="2783"/>
    <x v="201"/>
    <x v="6"/>
    <n v="7"/>
    <n v="21"/>
    <s v="Monday"/>
    <x v="6"/>
    <x v="9"/>
    <x v="1"/>
    <s v="Pasta"/>
    <x v="1"/>
    <n v="1"/>
    <n v="355"/>
    <n v="71"/>
    <n v="30"/>
    <n v="355"/>
    <n v="314"/>
    <x v="3"/>
    <x v="0"/>
    <x v="1"/>
    <n v="67"/>
    <n v="3.4"/>
  </r>
  <r>
    <x v="2784"/>
    <x v="201"/>
    <x v="6"/>
    <n v="7"/>
    <n v="21"/>
    <s v="Monday"/>
    <x v="1"/>
    <x v="1"/>
    <x v="0"/>
    <s v="Cold Coffee"/>
    <x v="1"/>
    <n v="2"/>
    <n v="416"/>
    <n v="41.6"/>
    <n v="70"/>
    <n v="832"/>
    <n v="860.4"/>
    <x v="1"/>
    <x v="0"/>
    <x v="1"/>
    <n v="60"/>
    <n v="3.9"/>
  </r>
  <r>
    <x v="2785"/>
    <x v="201"/>
    <x v="6"/>
    <n v="7"/>
    <n v="21"/>
    <s v="Monday"/>
    <x v="2"/>
    <x v="13"/>
    <x v="2"/>
    <s v="Cold Coffee"/>
    <x v="1"/>
    <n v="2"/>
    <n v="848"/>
    <n v="84.8"/>
    <n v="0"/>
    <n v="1696"/>
    <n v="1611.2"/>
    <x v="1"/>
    <x v="3"/>
    <x v="1"/>
    <n v="54"/>
    <m/>
  </r>
  <r>
    <x v="2786"/>
    <x v="201"/>
    <x v="6"/>
    <n v="7"/>
    <n v="21"/>
    <s v="Monday"/>
    <x v="4"/>
    <x v="3"/>
    <x v="1"/>
    <s v="Paneer Butter Masala"/>
    <x v="1"/>
    <n v="1"/>
    <n v="680"/>
    <n v="0"/>
    <n v="70"/>
    <n v="680"/>
    <n v="750"/>
    <x v="1"/>
    <x v="0"/>
    <x v="0"/>
    <n v="37"/>
    <n v="4.3"/>
  </r>
  <r>
    <x v="2787"/>
    <x v="201"/>
    <x v="6"/>
    <n v="7"/>
    <n v="21"/>
    <s v="Monday"/>
    <x v="3"/>
    <x v="6"/>
    <x v="1"/>
    <s v="Masala Dosa"/>
    <x v="1"/>
    <n v="1"/>
    <n v="222"/>
    <n v="55.5"/>
    <n v="30"/>
    <n v="222"/>
    <n v="196.5"/>
    <x v="1"/>
    <x v="0"/>
    <x v="1"/>
    <n v="33"/>
    <n v="4.4000000000000004"/>
  </r>
  <r>
    <x v="2788"/>
    <x v="201"/>
    <x v="6"/>
    <n v="7"/>
    <n v="21"/>
    <s v="Monday"/>
    <x v="3"/>
    <x v="5"/>
    <x v="9"/>
    <s v="Idli Sambar"/>
    <x v="1"/>
    <n v="2"/>
    <n v="688"/>
    <n v="68.8"/>
    <n v="30"/>
    <n v="1376"/>
    <n v="1337.2"/>
    <x v="2"/>
    <x v="0"/>
    <x v="0"/>
    <n v="30"/>
    <n v="3.5"/>
  </r>
  <r>
    <x v="2789"/>
    <x v="201"/>
    <x v="6"/>
    <n v="7"/>
    <n v="21"/>
    <s v="Monday"/>
    <x v="2"/>
    <x v="7"/>
    <x v="5"/>
    <s v="Pasta"/>
    <x v="1"/>
    <n v="2"/>
    <n v="448"/>
    <n v="0"/>
    <n v="40"/>
    <n v="896"/>
    <n v="936"/>
    <x v="3"/>
    <x v="0"/>
    <x v="0"/>
    <n v="42"/>
    <n v="4.9000000000000004"/>
  </r>
  <r>
    <x v="2790"/>
    <x v="201"/>
    <x v="6"/>
    <n v="7"/>
    <n v="21"/>
    <s v="Monday"/>
    <x v="1"/>
    <x v="3"/>
    <x v="8"/>
    <s v="Veg Momos"/>
    <x v="1"/>
    <n v="2"/>
    <n v="739"/>
    <n v="147.80000000000001"/>
    <n v="50"/>
    <n v="1478"/>
    <n v="1380.2"/>
    <x v="0"/>
    <x v="2"/>
    <x v="0"/>
    <n v="29"/>
    <m/>
  </r>
  <r>
    <x v="2791"/>
    <x v="201"/>
    <x v="6"/>
    <n v="7"/>
    <n v="21"/>
    <s v="Monday"/>
    <x v="0"/>
    <x v="6"/>
    <x v="6"/>
    <s v="Pasta"/>
    <x v="2"/>
    <n v="1"/>
    <n v="604"/>
    <n v="120.8"/>
    <n v="30"/>
    <n v="604"/>
    <n v="513.20000000000005"/>
    <x v="4"/>
    <x v="0"/>
    <x v="1"/>
    <n v="66"/>
    <n v="2.4"/>
  </r>
  <r>
    <x v="2792"/>
    <x v="201"/>
    <x v="6"/>
    <n v="7"/>
    <n v="21"/>
    <s v="Monday"/>
    <x v="0"/>
    <x v="0"/>
    <x v="8"/>
    <s v="Chicken Biryani"/>
    <x v="1"/>
    <n v="2"/>
    <n v="818"/>
    <n v="0"/>
    <n v="20"/>
    <n v="1636"/>
    <n v="1656"/>
    <x v="1"/>
    <x v="2"/>
    <x v="0"/>
    <n v="24"/>
    <m/>
  </r>
  <r>
    <x v="2793"/>
    <x v="201"/>
    <x v="6"/>
    <n v="7"/>
    <n v="21"/>
    <s v="Monday"/>
    <x v="5"/>
    <x v="4"/>
    <x v="1"/>
    <s v="Veg Burger"/>
    <x v="0"/>
    <n v="2"/>
    <n v="810"/>
    <n v="202.5"/>
    <n v="20"/>
    <n v="1620"/>
    <n v="1437.5"/>
    <x v="1"/>
    <x v="0"/>
    <x v="1"/>
    <n v="23"/>
    <n v="4.4000000000000004"/>
  </r>
  <r>
    <x v="2794"/>
    <x v="202"/>
    <x v="6"/>
    <n v="7"/>
    <n v="22"/>
    <s v="Tuesday"/>
    <x v="3"/>
    <x v="13"/>
    <x v="3"/>
    <s v="Cold Coffee"/>
    <x v="1"/>
    <n v="2"/>
    <n v="454"/>
    <n v="113.5"/>
    <n v="60"/>
    <n v="908"/>
    <n v="854.5"/>
    <x v="1"/>
    <x v="0"/>
    <x v="1"/>
    <n v="58"/>
    <n v="4.0999999999999996"/>
  </r>
  <r>
    <x v="2795"/>
    <x v="202"/>
    <x v="6"/>
    <n v="7"/>
    <n v="22"/>
    <s v="Tuesday"/>
    <x v="1"/>
    <x v="9"/>
    <x v="7"/>
    <s v="Paneer Butter Masala"/>
    <x v="1"/>
    <n v="2"/>
    <n v="741"/>
    <n v="74.099999999999994"/>
    <n v="70"/>
    <n v="1482"/>
    <n v="1477.9"/>
    <x v="2"/>
    <x v="0"/>
    <x v="0"/>
    <n v="20"/>
    <n v="3.3"/>
  </r>
  <r>
    <x v="2796"/>
    <x v="202"/>
    <x v="6"/>
    <n v="7"/>
    <n v="22"/>
    <s v="Tuesday"/>
    <x v="3"/>
    <x v="6"/>
    <x v="2"/>
    <s v="Chicken Pizza"/>
    <x v="3"/>
    <n v="1"/>
    <n v="272"/>
    <n v="13.6"/>
    <n v="20"/>
    <n v="272"/>
    <n v="278.39999999999998"/>
    <x v="4"/>
    <x v="0"/>
    <x v="1"/>
    <n v="58"/>
    <n v="3.1"/>
  </r>
  <r>
    <x v="2797"/>
    <x v="202"/>
    <x v="6"/>
    <n v="7"/>
    <n v="22"/>
    <s v="Tuesday"/>
    <x v="7"/>
    <x v="12"/>
    <x v="0"/>
    <s v="Masala Dosa"/>
    <x v="1"/>
    <n v="2"/>
    <n v="874"/>
    <n v="87.4"/>
    <n v="20"/>
    <n v="1748"/>
    <n v="1680.6"/>
    <x v="1"/>
    <x v="0"/>
    <x v="1"/>
    <n v="53"/>
    <n v="4.4000000000000004"/>
  </r>
  <r>
    <x v="2798"/>
    <x v="202"/>
    <x v="6"/>
    <n v="7"/>
    <n v="22"/>
    <s v="Tuesday"/>
    <x v="3"/>
    <x v="14"/>
    <x v="8"/>
    <s v="Veg Pizza"/>
    <x v="1"/>
    <n v="2"/>
    <n v="474"/>
    <n v="47.4"/>
    <n v="20"/>
    <n v="948"/>
    <n v="920.6"/>
    <x v="1"/>
    <x v="2"/>
    <x v="0"/>
    <n v="54"/>
    <m/>
  </r>
  <r>
    <x v="2799"/>
    <x v="202"/>
    <x v="6"/>
    <n v="7"/>
    <n v="22"/>
    <s v="Tuesday"/>
    <x v="4"/>
    <x v="4"/>
    <x v="0"/>
    <s v="Chocolate Cake"/>
    <x v="1"/>
    <n v="1"/>
    <n v="209"/>
    <n v="41.8"/>
    <n v="40"/>
    <n v="209"/>
    <n v="207.2"/>
    <x v="1"/>
    <x v="0"/>
    <x v="1"/>
    <n v="55"/>
    <n v="3.4"/>
  </r>
  <r>
    <x v="2800"/>
    <x v="202"/>
    <x v="6"/>
    <n v="7"/>
    <n v="22"/>
    <s v="Tuesday"/>
    <x v="0"/>
    <x v="5"/>
    <x v="1"/>
    <s v="Paneer Butter Masala"/>
    <x v="1"/>
    <n v="2"/>
    <n v="625"/>
    <n v="62.5"/>
    <n v="20"/>
    <n v="1250"/>
    <n v="1207.5"/>
    <x v="0"/>
    <x v="3"/>
    <x v="1"/>
    <n v="60"/>
    <m/>
  </r>
  <r>
    <x v="2801"/>
    <x v="202"/>
    <x v="6"/>
    <n v="7"/>
    <n v="22"/>
    <s v="Tuesday"/>
    <x v="3"/>
    <x v="3"/>
    <x v="1"/>
    <s v="Veg Biryani"/>
    <x v="1"/>
    <n v="3"/>
    <n v="570"/>
    <n v="0"/>
    <n v="20"/>
    <n v="1710"/>
    <n v="1730"/>
    <x v="1"/>
    <x v="1"/>
    <x v="1"/>
    <n v="26"/>
    <m/>
  </r>
  <r>
    <x v="2802"/>
    <x v="202"/>
    <x v="6"/>
    <n v="7"/>
    <n v="22"/>
    <s v="Tuesday"/>
    <x v="2"/>
    <x v="5"/>
    <x v="1"/>
    <s v="Chicken Burger"/>
    <x v="1"/>
    <n v="1"/>
    <n v="170"/>
    <n v="17"/>
    <n v="20"/>
    <n v="170"/>
    <n v="173"/>
    <x v="0"/>
    <x v="0"/>
    <x v="1"/>
    <n v="52"/>
    <n v="3.6"/>
  </r>
  <r>
    <x v="2803"/>
    <x v="202"/>
    <x v="6"/>
    <n v="7"/>
    <n v="22"/>
    <s v="Tuesday"/>
    <x v="3"/>
    <x v="6"/>
    <x v="7"/>
    <s v="Chicken Burger"/>
    <x v="1"/>
    <n v="1"/>
    <n v="621"/>
    <n v="62.1"/>
    <n v="70"/>
    <n v="621"/>
    <n v="628.9"/>
    <x v="3"/>
    <x v="0"/>
    <x v="1"/>
    <n v="46"/>
    <n v="3.7"/>
  </r>
  <r>
    <x v="2804"/>
    <x v="202"/>
    <x v="6"/>
    <n v="7"/>
    <n v="22"/>
    <s v="Tuesday"/>
    <x v="4"/>
    <x v="9"/>
    <x v="7"/>
    <s v="Chicken Burger"/>
    <x v="1"/>
    <n v="3"/>
    <n v="218"/>
    <n v="10.9"/>
    <n v="40"/>
    <n v="654"/>
    <n v="683.1"/>
    <x v="2"/>
    <x v="0"/>
    <x v="1"/>
    <n v="35"/>
    <n v="3.6"/>
  </r>
  <r>
    <x v="2805"/>
    <x v="202"/>
    <x v="6"/>
    <n v="7"/>
    <n v="22"/>
    <s v="Tuesday"/>
    <x v="4"/>
    <x v="5"/>
    <x v="1"/>
    <s v="Chicken Momos"/>
    <x v="1"/>
    <n v="1"/>
    <n v="515"/>
    <n v="77.25"/>
    <n v="40"/>
    <n v="515"/>
    <n v="477.75"/>
    <x v="3"/>
    <x v="0"/>
    <x v="1"/>
    <n v="49"/>
    <n v="3.9"/>
  </r>
  <r>
    <x v="2806"/>
    <x v="203"/>
    <x v="6"/>
    <n v="7"/>
    <n v="23"/>
    <s v="Wednesday"/>
    <x v="5"/>
    <x v="11"/>
    <x v="7"/>
    <s v="Veg Burger"/>
    <x v="1"/>
    <n v="1"/>
    <n v="226"/>
    <n v="22.6"/>
    <n v="40"/>
    <n v="226"/>
    <n v="243.4"/>
    <x v="2"/>
    <x v="0"/>
    <x v="0"/>
    <n v="57"/>
    <n v="3.3"/>
  </r>
  <r>
    <x v="2807"/>
    <x v="203"/>
    <x v="6"/>
    <n v="7"/>
    <n v="23"/>
    <s v="Wednesday"/>
    <x v="9"/>
    <x v="2"/>
    <x v="5"/>
    <s v="Idli Sambar"/>
    <x v="1"/>
    <n v="2"/>
    <n v="363"/>
    <n v="90.75"/>
    <n v="30"/>
    <n v="726"/>
    <n v="665.25"/>
    <x v="1"/>
    <x v="0"/>
    <x v="1"/>
    <n v="31"/>
    <n v="4"/>
  </r>
  <r>
    <x v="2808"/>
    <x v="203"/>
    <x v="6"/>
    <n v="7"/>
    <n v="23"/>
    <s v="Wednesday"/>
    <x v="4"/>
    <x v="1"/>
    <x v="2"/>
    <s v="Chicken Momos"/>
    <x v="3"/>
    <n v="1"/>
    <n v="277"/>
    <n v="41.55"/>
    <n v="30"/>
    <n v="277"/>
    <n v="265.45"/>
    <x v="2"/>
    <x v="0"/>
    <x v="1"/>
    <n v="44"/>
    <n v="4.8"/>
  </r>
  <r>
    <x v="2809"/>
    <x v="203"/>
    <x v="6"/>
    <n v="7"/>
    <n v="23"/>
    <s v="Wednesday"/>
    <x v="2"/>
    <x v="9"/>
    <x v="3"/>
    <s v="Veg Momos"/>
    <x v="3"/>
    <n v="3"/>
    <n v="459"/>
    <n v="0"/>
    <n v="70"/>
    <n v="1377"/>
    <n v="1447"/>
    <x v="1"/>
    <x v="0"/>
    <x v="1"/>
    <n v="24"/>
    <n v="4.9000000000000004"/>
  </r>
  <r>
    <x v="2810"/>
    <x v="203"/>
    <x v="6"/>
    <n v="7"/>
    <n v="23"/>
    <s v="Wednesday"/>
    <x v="5"/>
    <x v="4"/>
    <x v="3"/>
    <s v="Chicken Biryani"/>
    <x v="1"/>
    <n v="1"/>
    <n v="772"/>
    <n v="115.8"/>
    <n v="40"/>
    <n v="772"/>
    <n v="696.2"/>
    <x v="1"/>
    <x v="0"/>
    <x v="1"/>
    <n v="21"/>
    <n v="4.3"/>
  </r>
  <r>
    <x v="2811"/>
    <x v="203"/>
    <x v="6"/>
    <n v="7"/>
    <n v="23"/>
    <s v="Wednesday"/>
    <x v="7"/>
    <x v="5"/>
    <x v="0"/>
    <s v="Veg Momos"/>
    <x v="1"/>
    <n v="1"/>
    <n v="162"/>
    <n v="8.1"/>
    <n v="60"/>
    <n v="162"/>
    <n v="213.9"/>
    <x v="1"/>
    <x v="0"/>
    <x v="1"/>
    <n v="27"/>
    <n v="5"/>
  </r>
  <r>
    <x v="2812"/>
    <x v="203"/>
    <x v="6"/>
    <n v="7"/>
    <n v="23"/>
    <s v="Wednesday"/>
    <x v="2"/>
    <x v="10"/>
    <x v="7"/>
    <s v="French Fries"/>
    <x v="3"/>
    <n v="3"/>
    <n v="329"/>
    <n v="32.9"/>
    <n v="40"/>
    <n v="987"/>
    <n v="994.1"/>
    <x v="1"/>
    <x v="0"/>
    <x v="0"/>
    <n v="30"/>
    <n v="3.6"/>
  </r>
  <r>
    <x v="2813"/>
    <x v="203"/>
    <x v="6"/>
    <n v="7"/>
    <n v="23"/>
    <s v="Wednesday"/>
    <x v="5"/>
    <x v="13"/>
    <x v="1"/>
    <s v="Veg Biryani"/>
    <x v="3"/>
    <n v="2"/>
    <n v="236"/>
    <n v="11.8"/>
    <n v="20"/>
    <n v="472"/>
    <n v="480.2"/>
    <x v="1"/>
    <x v="0"/>
    <x v="0"/>
    <n v="30"/>
    <n v="4.0999999999999996"/>
  </r>
  <r>
    <x v="2814"/>
    <x v="203"/>
    <x v="6"/>
    <n v="7"/>
    <n v="23"/>
    <s v="Wednesday"/>
    <x v="5"/>
    <x v="8"/>
    <x v="4"/>
    <s v="Paneer Butter Masala"/>
    <x v="2"/>
    <n v="1"/>
    <n v="435"/>
    <n v="87"/>
    <n v="50"/>
    <n v="435"/>
    <n v="398"/>
    <x v="0"/>
    <x v="1"/>
    <x v="1"/>
    <n v="61"/>
    <m/>
  </r>
  <r>
    <x v="2815"/>
    <x v="203"/>
    <x v="6"/>
    <n v="7"/>
    <n v="23"/>
    <s v="Wednesday"/>
    <x v="1"/>
    <x v="13"/>
    <x v="3"/>
    <s v="Veg Momos"/>
    <x v="1"/>
    <n v="2"/>
    <n v="719"/>
    <n v="0"/>
    <n v="0"/>
    <n v="1438"/>
    <n v="1438"/>
    <x v="4"/>
    <x v="0"/>
    <x v="1"/>
    <n v="21"/>
    <n v="3.9"/>
  </r>
  <r>
    <x v="2816"/>
    <x v="203"/>
    <x v="6"/>
    <n v="7"/>
    <n v="23"/>
    <s v="Wednesday"/>
    <x v="0"/>
    <x v="2"/>
    <x v="4"/>
    <s v="Fried Rice"/>
    <x v="1"/>
    <n v="1"/>
    <n v="485"/>
    <n v="97"/>
    <n v="30"/>
    <n v="485"/>
    <n v="418"/>
    <x v="2"/>
    <x v="0"/>
    <x v="1"/>
    <n v="18"/>
    <n v="4.4000000000000004"/>
  </r>
  <r>
    <x v="2817"/>
    <x v="203"/>
    <x v="6"/>
    <n v="7"/>
    <n v="23"/>
    <s v="Wednesday"/>
    <x v="3"/>
    <x v="3"/>
    <x v="3"/>
    <s v="Masala Dosa"/>
    <x v="1"/>
    <n v="1"/>
    <n v="718"/>
    <n v="179.5"/>
    <n v="30"/>
    <n v="718"/>
    <n v="568.5"/>
    <x v="0"/>
    <x v="3"/>
    <x v="0"/>
    <n v="42"/>
    <m/>
  </r>
  <r>
    <x v="2818"/>
    <x v="204"/>
    <x v="6"/>
    <n v="7"/>
    <n v="24"/>
    <s v="Thursday"/>
    <x v="1"/>
    <x v="8"/>
    <x v="1"/>
    <s v="Chicken Burger"/>
    <x v="1"/>
    <n v="1"/>
    <n v="454"/>
    <n v="45.4"/>
    <n v="20"/>
    <n v="454"/>
    <n v="428.6"/>
    <x v="2"/>
    <x v="0"/>
    <x v="0"/>
    <n v="28"/>
    <n v="2.9"/>
  </r>
  <r>
    <x v="2819"/>
    <x v="204"/>
    <x v="6"/>
    <n v="7"/>
    <n v="24"/>
    <s v="Thursday"/>
    <x v="1"/>
    <x v="0"/>
    <x v="0"/>
    <s v="Cold Coffee"/>
    <x v="2"/>
    <n v="2"/>
    <n v="722"/>
    <n v="36.1"/>
    <n v="20"/>
    <n v="1444"/>
    <n v="1427.9"/>
    <x v="2"/>
    <x v="0"/>
    <x v="1"/>
    <n v="52"/>
    <n v="3.7"/>
  </r>
  <r>
    <x v="2820"/>
    <x v="204"/>
    <x v="6"/>
    <n v="7"/>
    <n v="24"/>
    <s v="Thursday"/>
    <x v="1"/>
    <x v="6"/>
    <x v="0"/>
    <s v="Chocolate Cake"/>
    <x v="2"/>
    <n v="1"/>
    <n v="443"/>
    <n v="0"/>
    <n v="20"/>
    <n v="443"/>
    <n v="463"/>
    <x v="1"/>
    <x v="2"/>
    <x v="0"/>
    <n v="46"/>
    <m/>
  </r>
  <r>
    <x v="2821"/>
    <x v="204"/>
    <x v="6"/>
    <n v="7"/>
    <n v="24"/>
    <s v="Thursday"/>
    <x v="6"/>
    <x v="11"/>
    <x v="2"/>
    <s v="Fried Rice"/>
    <x v="1"/>
    <n v="1"/>
    <n v="498"/>
    <n v="74.7"/>
    <n v="40"/>
    <n v="498"/>
    <n v="463.3"/>
    <x v="0"/>
    <x v="1"/>
    <x v="1"/>
    <n v="59"/>
    <m/>
  </r>
  <r>
    <x v="2822"/>
    <x v="204"/>
    <x v="6"/>
    <n v="7"/>
    <n v="24"/>
    <s v="Thursday"/>
    <x v="7"/>
    <x v="2"/>
    <x v="7"/>
    <s v="Veg Pizza"/>
    <x v="2"/>
    <n v="2"/>
    <n v="125"/>
    <n v="12.5"/>
    <n v="0"/>
    <n v="250"/>
    <n v="237.5"/>
    <x v="1"/>
    <x v="0"/>
    <x v="1"/>
    <n v="39"/>
    <n v="3.6"/>
  </r>
  <r>
    <x v="2823"/>
    <x v="204"/>
    <x v="6"/>
    <n v="7"/>
    <n v="24"/>
    <s v="Thursday"/>
    <x v="3"/>
    <x v="9"/>
    <x v="6"/>
    <s v="Veg Burger"/>
    <x v="1"/>
    <n v="2"/>
    <n v="461"/>
    <n v="92.2"/>
    <n v="0"/>
    <n v="922"/>
    <n v="829.8"/>
    <x v="0"/>
    <x v="0"/>
    <x v="0"/>
    <n v="54"/>
    <n v="3.8"/>
  </r>
  <r>
    <x v="2824"/>
    <x v="204"/>
    <x v="6"/>
    <n v="7"/>
    <n v="24"/>
    <s v="Thursday"/>
    <x v="0"/>
    <x v="14"/>
    <x v="5"/>
    <s v="Veg Momos"/>
    <x v="2"/>
    <n v="2"/>
    <n v="278"/>
    <n v="69.5"/>
    <n v="20"/>
    <n v="556"/>
    <n v="506.5"/>
    <x v="2"/>
    <x v="0"/>
    <x v="0"/>
    <n v="60"/>
    <n v="4.0999999999999996"/>
  </r>
  <r>
    <x v="2825"/>
    <x v="204"/>
    <x v="6"/>
    <n v="7"/>
    <n v="24"/>
    <s v="Thursday"/>
    <x v="4"/>
    <x v="7"/>
    <x v="1"/>
    <s v="Chocolate Cake"/>
    <x v="1"/>
    <n v="2"/>
    <n v="123"/>
    <n v="12.3"/>
    <n v="50"/>
    <n v="246"/>
    <n v="283.7"/>
    <x v="1"/>
    <x v="0"/>
    <x v="1"/>
    <n v="37"/>
    <n v="4.3"/>
  </r>
  <r>
    <x v="2826"/>
    <x v="205"/>
    <x v="6"/>
    <n v="7"/>
    <n v="25"/>
    <s v="Friday"/>
    <x v="1"/>
    <x v="5"/>
    <x v="1"/>
    <s v="Chicken Momos"/>
    <x v="1"/>
    <n v="2"/>
    <n v="723"/>
    <n v="108.45"/>
    <n v="60"/>
    <n v="1446"/>
    <n v="1397.55"/>
    <x v="2"/>
    <x v="0"/>
    <x v="1"/>
    <n v="67"/>
    <n v="4"/>
  </r>
  <r>
    <x v="2827"/>
    <x v="205"/>
    <x v="6"/>
    <n v="7"/>
    <n v="25"/>
    <s v="Friday"/>
    <x v="4"/>
    <x v="8"/>
    <x v="2"/>
    <s v="Masala Dosa"/>
    <x v="1"/>
    <n v="1"/>
    <n v="465"/>
    <n v="23.25"/>
    <n v="40"/>
    <n v="465"/>
    <n v="481.75"/>
    <x v="2"/>
    <x v="0"/>
    <x v="0"/>
    <n v="44"/>
    <n v="4.0999999999999996"/>
  </r>
  <r>
    <x v="2828"/>
    <x v="205"/>
    <x v="6"/>
    <n v="7"/>
    <n v="25"/>
    <s v="Friday"/>
    <x v="5"/>
    <x v="13"/>
    <x v="3"/>
    <s v="Paneer Butter Masala"/>
    <x v="1"/>
    <n v="2"/>
    <n v="454"/>
    <n v="0"/>
    <n v="40"/>
    <n v="908"/>
    <n v="948"/>
    <x v="1"/>
    <x v="1"/>
    <x v="1"/>
    <n v="41"/>
    <m/>
  </r>
  <r>
    <x v="2829"/>
    <x v="205"/>
    <x v="6"/>
    <n v="7"/>
    <n v="25"/>
    <s v="Friday"/>
    <x v="7"/>
    <x v="13"/>
    <x v="2"/>
    <s v="Chocolate Cake"/>
    <x v="2"/>
    <n v="3"/>
    <n v="654"/>
    <n v="130.80000000000001"/>
    <n v="0"/>
    <n v="1962"/>
    <n v="1831.2"/>
    <x v="3"/>
    <x v="0"/>
    <x v="1"/>
    <n v="30"/>
    <n v="3.5"/>
  </r>
  <r>
    <x v="2830"/>
    <x v="205"/>
    <x v="6"/>
    <n v="7"/>
    <n v="25"/>
    <s v="Friday"/>
    <x v="1"/>
    <x v="5"/>
    <x v="0"/>
    <s v="Idli Sambar"/>
    <x v="3"/>
    <n v="1"/>
    <n v="809"/>
    <n v="161.80000000000001"/>
    <n v="0"/>
    <n v="809"/>
    <n v="647.20000000000005"/>
    <x v="4"/>
    <x v="0"/>
    <x v="1"/>
    <n v="40"/>
    <n v="3.8"/>
  </r>
  <r>
    <x v="2831"/>
    <x v="205"/>
    <x v="6"/>
    <n v="7"/>
    <n v="25"/>
    <s v="Friday"/>
    <x v="3"/>
    <x v="12"/>
    <x v="1"/>
    <s v="Chicken Pizza"/>
    <x v="1"/>
    <n v="1"/>
    <n v="270"/>
    <n v="27"/>
    <n v="60"/>
    <n v="270"/>
    <n v="303"/>
    <x v="1"/>
    <x v="0"/>
    <x v="1"/>
    <n v="62"/>
    <n v="2.9"/>
  </r>
  <r>
    <x v="2832"/>
    <x v="205"/>
    <x v="6"/>
    <n v="7"/>
    <n v="25"/>
    <s v="Friday"/>
    <x v="1"/>
    <x v="5"/>
    <x v="8"/>
    <s v="Paneer Butter Masala"/>
    <x v="1"/>
    <n v="2"/>
    <n v="149"/>
    <n v="14.9"/>
    <n v="50"/>
    <n v="298"/>
    <n v="333.1"/>
    <x v="1"/>
    <x v="0"/>
    <x v="0"/>
    <n v="45"/>
    <n v="4.8"/>
  </r>
  <r>
    <x v="2833"/>
    <x v="205"/>
    <x v="6"/>
    <n v="7"/>
    <n v="25"/>
    <s v="Friday"/>
    <x v="6"/>
    <x v="6"/>
    <x v="1"/>
    <s v="Paneer Butter Masala"/>
    <x v="1"/>
    <n v="1"/>
    <n v="284"/>
    <n v="71"/>
    <n v="70"/>
    <n v="284"/>
    <n v="283"/>
    <x v="2"/>
    <x v="0"/>
    <x v="1"/>
    <n v="61"/>
    <n v="3.9"/>
  </r>
  <r>
    <x v="2834"/>
    <x v="205"/>
    <x v="6"/>
    <n v="7"/>
    <n v="25"/>
    <s v="Friday"/>
    <x v="6"/>
    <x v="1"/>
    <x v="5"/>
    <s v="Chicken Burger"/>
    <x v="1"/>
    <n v="1"/>
    <n v="724"/>
    <n v="0"/>
    <n v="30"/>
    <n v="724"/>
    <n v="754"/>
    <x v="1"/>
    <x v="0"/>
    <x v="1"/>
    <n v="39"/>
    <n v="4"/>
  </r>
  <r>
    <x v="2835"/>
    <x v="205"/>
    <x v="6"/>
    <n v="7"/>
    <n v="25"/>
    <s v="Friday"/>
    <x v="4"/>
    <x v="6"/>
    <x v="0"/>
    <s v="Veg Pizza"/>
    <x v="1"/>
    <n v="1"/>
    <n v="387"/>
    <n v="38.700000000000003"/>
    <n v="30"/>
    <n v="387"/>
    <n v="378.3"/>
    <x v="3"/>
    <x v="0"/>
    <x v="0"/>
    <n v="47"/>
    <n v="4.4000000000000004"/>
  </r>
  <r>
    <x v="2836"/>
    <x v="205"/>
    <x v="6"/>
    <n v="7"/>
    <n v="25"/>
    <s v="Friday"/>
    <x v="8"/>
    <x v="7"/>
    <x v="8"/>
    <s v="Masala Dosa"/>
    <x v="2"/>
    <n v="2"/>
    <n v="842"/>
    <n v="84.2"/>
    <n v="20"/>
    <n v="1684"/>
    <n v="1619.8"/>
    <x v="1"/>
    <x v="0"/>
    <x v="0"/>
    <n v="44"/>
    <n v="4.0999999999999996"/>
  </r>
  <r>
    <x v="2837"/>
    <x v="205"/>
    <x v="6"/>
    <n v="7"/>
    <n v="25"/>
    <s v="Friday"/>
    <x v="4"/>
    <x v="8"/>
    <x v="1"/>
    <s v="Pasta"/>
    <x v="1"/>
    <n v="1"/>
    <n v="829"/>
    <n v="124.35"/>
    <n v="0"/>
    <n v="829"/>
    <n v="704.65"/>
    <x v="1"/>
    <x v="1"/>
    <x v="1"/>
    <n v="47"/>
    <m/>
  </r>
  <r>
    <x v="2838"/>
    <x v="205"/>
    <x v="6"/>
    <n v="7"/>
    <n v="25"/>
    <s v="Friday"/>
    <x v="0"/>
    <x v="6"/>
    <x v="5"/>
    <s v="Cold Coffee"/>
    <x v="1"/>
    <n v="3"/>
    <n v="285"/>
    <n v="71.25"/>
    <n v="30"/>
    <n v="855"/>
    <n v="813.75"/>
    <x v="4"/>
    <x v="2"/>
    <x v="1"/>
    <n v="58"/>
    <m/>
  </r>
  <r>
    <x v="2839"/>
    <x v="206"/>
    <x v="6"/>
    <n v="7"/>
    <n v="26"/>
    <s v="Saturday"/>
    <x v="3"/>
    <x v="12"/>
    <x v="8"/>
    <s v="Fried Rice"/>
    <x v="2"/>
    <n v="2"/>
    <n v="743"/>
    <n v="111.45"/>
    <n v="70"/>
    <n v="1486"/>
    <n v="1444.55"/>
    <x v="3"/>
    <x v="0"/>
    <x v="1"/>
    <n v="63"/>
    <n v="4.0999999999999996"/>
  </r>
  <r>
    <x v="2840"/>
    <x v="206"/>
    <x v="6"/>
    <n v="7"/>
    <n v="26"/>
    <s v="Saturday"/>
    <x v="3"/>
    <x v="11"/>
    <x v="7"/>
    <s v="Veg Pizza"/>
    <x v="1"/>
    <n v="2"/>
    <n v="757"/>
    <n v="75.7"/>
    <n v="50"/>
    <n v="1514"/>
    <n v="1488.3"/>
    <x v="1"/>
    <x v="0"/>
    <x v="1"/>
    <n v="28"/>
    <n v="3"/>
  </r>
  <r>
    <x v="2841"/>
    <x v="206"/>
    <x v="6"/>
    <n v="7"/>
    <n v="26"/>
    <s v="Saturday"/>
    <x v="5"/>
    <x v="10"/>
    <x v="2"/>
    <s v="Chicken Momos"/>
    <x v="1"/>
    <n v="2"/>
    <n v="505"/>
    <n v="50.5"/>
    <n v="60"/>
    <n v="1010"/>
    <n v="1019.5"/>
    <x v="1"/>
    <x v="0"/>
    <x v="0"/>
    <n v="62"/>
    <n v="4.5"/>
  </r>
  <r>
    <x v="2842"/>
    <x v="206"/>
    <x v="6"/>
    <n v="7"/>
    <n v="26"/>
    <s v="Saturday"/>
    <x v="3"/>
    <x v="6"/>
    <x v="2"/>
    <s v="Pasta"/>
    <x v="1"/>
    <n v="1"/>
    <n v="550"/>
    <n v="27.5"/>
    <n v="50"/>
    <n v="550"/>
    <n v="572.5"/>
    <x v="0"/>
    <x v="0"/>
    <x v="1"/>
    <n v="38"/>
    <n v="4"/>
  </r>
  <r>
    <x v="2843"/>
    <x v="206"/>
    <x v="6"/>
    <n v="7"/>
    <n v="26"/>
    <s v="Saturday"/>
    <x v="4"/>
    <x v="0"/>
    <x v="5"/>
    <s v="Veg Pizza"/>
    <x v="2"/>
    <n v="1"/>
    <n v="576"/>
    <n v="28.8"/>
    <n v="0"/>
    <n v="576"/>
    <n v="547.20000000000005"/>
    <x v="0"/>
    <x v="0"/>
    <x v="1"/>
    <n v="22"/>
    <n v="4.4000000000000004"/>
  </r>
  <r>
    <x v="2844"/>
    <x v="206"/>
    <x v="6"/>
    <n v="7"/>
    <n v="26"/>
    <s v="Saturday"/>
    <x v="0"/>
    <x v="6"/>
    <x v="6"/>
    <s v="French Fries"/>
    <x v="1"/>
    <n v="1"/>
    <n v="370"/>
    <n v="74"/>
    <n v="60"/>
    <n v="370"/>
    <n v="356"/>
    <x v="0"/>
    <x v="0"/>
    <x v="1"/>
    <n v="64"/>
    <n v="4.0999999999999996"/>
  </r>
  <r>
    <x v="2845"/>
    <x v="206"/>
    <x v="6"/>
    <n v="7"/>
    <n v="26"/>
    <s v="Saturday"/>
    <x v="1"/>
    <x v="0"/>
    <x v="8"/>
    <s v="Fried Rice"/>
    <x v="2"/>
    <n v="2"/>
    <n v="149"/>
    <n v="22.35"/>
    <n v="70"/>
    <n v="298"/>
    <n v="345.65"/>
    <x v="1"/>
    <x v="0"/>
    <x v="1"/>
    <n v="56"/>
    <n v="3.3"/>
  </r>
  <r>
    <x v="2846"/>
    <x v="206"/>
    <x v="6"/>
    <n v="7"/>
    <n v="26"/>
    <s v="Saturday"/>
    <x v="2"/>
    <x v="12"/>
    <x v="6"/>
    <s v="Paneer Butter Masala"/>
    <x v="1"/>
    <n v="1"/>
    <n v="585"/>
    <n v="146.25"/>
    <n v="30"/>
    <n v="585"/>
    <n v="468.75"/>
    <x v="1"/>
    <x v="0"/>
    <x v="0"/>
    <n v="56"/>
    <n v="4.8"/>
  </r>
  <r>
    <x v="2847"/>
    <x v="206"/>
    <x v="6"/>
    <n v="7"/>
    <n v="26"/>
    <s v="Saturday"/>
    <x v="2"/>
    <x v="6"/>
    <x v="9"/>
    <s v="Pasta"/>
    <x v="1"/>
    <n v="1"/>
    <n v="609"/>
    <n v="60.9"/>
    <n v="30"/>
    <n v="609"/>
    <n v="578.1"/>
    <x v="0"/>
    <x v="0"/>
    <x v="0"/>
    <n v="59"/>
    <n v="2.7"/>
  </r>
  <r>
    <x v="2848"/>
    <x v="206"/>
    <x v="6"/>
    <n v="7"/>
    <n v="26"/>
    <s v="Saturday"/>
    <x v="5"/>
    <x v="6"/>
    <x v="2"/>
    <s v="Veg Burger"/>
    <x v="1"/>
    <n v="2"/>
    <n v="280"/>
    <n v="70"/>
    <n v="60"/>
    <n v="560"/>
    <n v="550"/>
    <x v="1"/>
    <x v="0"/>
    <x v="1"/>
    <n v="59"/>
    <n v="4.2"/>
  </r>
  <r>
    <x v="2849"/>
    <x v="206"/>
    <x v="6"/>
    <n v="7"/>
    <n v="26"/>
    <s v="Saturday"/>
    <x v="4"/>
    <x v="11"/>
    <x v="2"/>
    <s v="Chicken Biryani"/>
    <x v="1"/>
    <n v="3"/>
    <n v="333"/>
    <n v="49.95"/>
    <n v="50"/>
    <n v="999"/>
    <n v="999.05"/>
    <x v="3"/>
    <x v="0"/>
    <x v="0"/>
    <n v="60"/>
    <n v="3.8"/>
  </r>
  <r>
    <x v="2850"/>
    <x v="206"/>
    <x v="6"/>
    <n v="7"/>
    <n v="26"/>
    <s v="Saturday"/>
    <x v="5"/>
    <x v="4"/>
    <x v="3"/>
    <s v="Chicken Pizza"/>
    <x v="1"/>
    <n v="1"/>
    <n v="843"/>
    <n v="168.6"/>
    <n v="20"/>
    <n v="843"/>
    <n v="694.4"/>
    <x v="3"/>
    <x v="0"/>
    <x v="1"/>
    <n v="28"/>
    <n v="3.4"/>
  </r>
  <r>
    <x v="2851"/>
    <x v="206"/>
    <x v="6"/>
    <n v="7"/>
    <n v="26"/>
    <s v="Saturday"/>
    <x v="5"/>
    <x v="13"/>
    <x v="0"/>
    <s v="Chicken Pizza"/>
    <x v="3"/>
    <n v="1"/>
    <n v="292"/>
    <n v="29.2"/>
    <n v="20"/>
    <n v="292"/>
    <n v="282.8"/>
    <x v="0"/>
    <x v="0"/>
    <x v="1"/>
    <n v="46"/>
    <n v="4.0999999999999996"/>
  </r>
  <r>
    <x v="2852"/>
    <x v="206"/>
    <x v="6"/>
    <n v="7"/>
    <n v="26"/>
    <s v="Saturday"/>
    <x v="1"/>
    <x v="0"/>
    <x v="9"/>
    <s v="Cold Coffee"/>
    <x v="1"/>
    <n v="1"/>
    <n v="189"/>
    <n v="0"/>
    <n v="50"/>
    <n v="189"/>
    <n v="239"/>
    <x v="1"/>
    <x v="0"/>
    <x v="1"/>
    <n v="27"/>
    <n v="4.8"/>
  </r>
  <r>
    <x v="2853"/>
    <x v="206"/>
    <x v="6"/>
    <n v="7"/>
    <n v="26"/>
    <s v="Saturday"/>
    <x v="6"/>
    <x v="10"/>
    <x v="5"/>
    <s v="Paneer Butter Masala"/>
    <x v="1"/>
    <n v="2"/>
    <n v="727"/>
    <n v="72.7"/>
    <n v="50"/>
    <n v="1454"/>
    <n v="1431.3"/>
    <x v="1"/>
    <x v="0"/>
    <x v="1"/>
    <n v="30"/>
    <n v="3.2"/>
  </r>
  <r>
    <x v="2854"/>
    <x v="207"/>
    <x v="6"/>
    <n v="7"/>
    <n v="27"/>
    <s v="Sunday"/>
    <x v="6"/>
    <x v="8"/>
    <x v="3"/>
    <s v="French Fries"/>
    <x v="1"/>
    <n v="1"/>
    <n v="274"/>
    <n v="13.7"/>
    <n v="40"/>
    <n v="274"/>
    <n v="300.3"/>
    <x v="2"/>
    <x v="0"/>
    <x v="1"/>
    <n v="57"/>
    <n v="4.5999999999999996"/>
  </r>
  <r>
    <x v="2855"/>
    <x v="207"/>
    <x v="6"/>
    <n v="7"/>
    <n v="27"/>
    <s v="Sunday"/>
    <x v="4"/>
    <x v="13"/>
    <x v="9"/>
    <s v="Veg Burger"/>
    <x v="2"/>
    <n v="1"/>
    <n v="526"/>
    <n v="52.6"/>
    <n v="40"/>
    <n v="526"/>
    <n v="513.4"/>
    <x v="4"/>
    <x v="0"/>
    <x v="1"/>
    <n v="38"/>
    <n v="3.9"/>
  </r>
  <r>
    <x v="2856"/>
    <x v="207"/>
    <x v="6"/>
    <n v="7"/>
    <n v="27"/>
    <s v="Sunday"/>
    <x v="3"/>
    <x v="8"/>
    <x v="6"/>
    <s v="Veg Momos"/>
    <x v="1"/>
    <n v="2"/>
    <n v="519"/>
    <n v="77.849999999999994"/>
    <n v="0"/>
    <n v="1038"/>
    <n v="960.15"/>
    <x v="1"/>
    <x v="2"/>
    <x v="1"/>
    <n v="30"/>
    <m/>
  </r>
  <r>
    <x v="2857"/>
    <x v="207"/>
    <x v="6"/>
    <n v="7"/>
    <n v="27"/>
    <s v="Sunday"/>
    <x v="3"/>
    <x v="12"/>
    <x v="3"/>
    <s v="Chicken Momos"/>
    <x v="1"/>
    <n v="3"/>
    <n v="547"/>
    <n v="54.7"/>
    <n v="30"/>
    <n v="1641"/>
    <n v="1616.3"/>
    <x v="4"/>
    <x v="0"/>
    <x v="0"/>
    <n v="55"/>
    <n v="5"/>
  </r>
  <r>
    <x v="2858"/>
    <x v="207"/>
    <x v="6"/>
    <n v="7"/>
    <n v="27"/>
    <s v="Sunday"/>
    <x v="5"/>
    <x v="7"/>
    <x v="1"/>
    <s v="Fried Rice"/>
    <x v="1"/>
    <n v="2"/>
    <n v="187"/>
    <n v="9.35"/>
    <n v="50"/>
    <n v="374"/>
    <n v="414.65"/>
    <x v="0"/>
    <x v="1"/>
    <x v="1"/>
    <n v="51"/>
    <m/>
  </r>
  <r>
    <x v="2859"/>
    <x v="207"/>
    <x v="6"/>
    <n v="7"/>
    <n v="27"/>
    <s v="Sunday"/>
    <x v="1"/>
    <x v="14"/>
    <x v="4"/>
    <s v="Veg Biryani"/>
    <x v="1"/>
    <n v="1"/>
    <n v="330"/>
    <n v="33"/>
    <n v="30"/>
    <n v="330"/>
    <n v="327"/>
    <x v="1"/>
    <x v="0"/>
    <x v="1"/>
    <n v="38"/>
    <n v="4.5"/>
  </r>
  <r>
    <x v="2860"/>
    <x v="207"/>
    <x v="6"/>
    <n v="7"/>
    <n v="27"/>
    <s v="Sunday"/>
    <x v="9"/>
    <x v="4"/>
    <x v="3"/>
    <s v="French Fries"/>
    <x v="1"/>
    <n v="3"/>
    <n v="540"/>
    <n v="54"/>
    <n v="0"/>
    <n v="1620"/>
    <n v="1566"/>
    <x v="3"/>
    <x v="0"/>
    <x v="1"/>
    <n v="53"/>
    <n v="5"/>
  </r>
  <r>
    <x v="2861"/>
    <x v="207"/>
    <x v="6"/>
    <n v="7"/>
    <n v="27"/>
    <s v="Sunday"/>
    <x v="9"/>
    <x v="14"/>
    <x v="0"/>
    <s v="Cold Coffee"/>
    <x v="1"/>
    <n v="2"/>
    <n v="830"/>
    <n v="0"/>
    <n v="30"/>
    <n v="1660"/>
    <n v="1690"/>
    <x v="0"/>
    <x v="0"/>
    <x v="1"/>
    <n v="41"/>
    <n v="5"/>
  </r>
  <r>
    <x v="2862"/>
    <x v="207"/>
    <x v="6"/>
    <n v="7"/>
    <n v="27"/>
    <s v="Sunday"/>
    <x v="6"/>
    <x v="5"/>
    <x v="7"/>
    <s v="Pasta"/>
    <x v="1"/>
    <n v="2"/>
    <n v="253"/>
    <n v="0"/>
    <n v="50"/>
    <n v="506"/>
    <n v="556"/>
    <x v="2"/>
    <x v="0"/>
    <x v="1"/>
    <n v="44"/>
    <n v="3"/>
  </r>
  <r>
    <x v="2863"/>
    <x v="207"/>
    <x v="6"/>
    <n v="7"/>
    <n v="27"/>
    <s v="Sunday"/>
    <x v="5"/>
    <x v="11"/>
    <x v="7"/>
    <s v="Veg Pizza"/>
    <x v="1"/>
    <n v="3"/>
    <n v="321"/>
    <n v="16.05"/>
    <n v="40"/>
    <n v="963"/>
    <n v="986.95"/>
    <x v="2"/>
    <x v="0"/>
    <x v="0"/>
    <n v="42"/>
    <n v="5"/>
  </r>
  <r>
    <x v="2864"/>
    <x v="207"/>
    <x v="6"/>
    <n v="7"/>
    <n v="27"/>
    <s v="Sunday"/>
    <x v="6"/>
    <x v="10"/>
    <x v="6"/>
    <s v="Fried Rice"/>
    <x v="1"/>
    <n v="2"/>
    <n v="211"/>
    <n v="52.75"/>
    <n v="30"/>
    <n v="422"/>
    <n v="399.25"/>
    <x v="1"/>
    <x v="0"/>
    <x v="1"/>
    <n v="58"/>
    <n v="3.2"/>
  </r>
  <r>
    <x v="2865"/>
    <x v="208"/>
    <x v="6"/>
    <n v="7"/>
    <n v="28"/>
    <s v="Monday"/>
    <x v="4"/>
    <x v="14"/>
    <x v="2"/>
    <s v="Chicken Burger"/>
    <x v="2"/>
    <n v="2"/>
    <n v="702"/>
    <n v="140.4"/>
    <n v="30"/>
    <n v="1404"/>
    <n v="1293.5999999999999"/>
    <x v="0"/>
    <x v="0"/>
    <x v="1"/>
    <n v="62"/>
    <n v="5"/>
  </r>
  <r>
    <x v="2866"/>
    <x v="208"/>
    <x v="6"/>
    <n v="7"/>
    <n v="28"/>
    <s v="Monday"/>
    <x v="5"/>
    <x v="13"/>
    <x v="6"/>
    <s v="Fried Rice"/>
    <x v="1"/>
    <n v="1"/>
    <n v="765"/>
    <n v="153"/>
    <n v="0"/>
    <n v="765"/>
    <n v="612"/>
    <x v="4"/>
    <x v="0"/>
    <x v="1"/>
    <n v="18"/>
    <n v="4.3"/>
  </r>
  <r>
    <x v="2867"/>
    <x v="208"/>
    <x v="6"/>
    <n v="7"/>
    <n v="28"/>
    <s v="Monday"/>
    <x v="4"/>
    <x v="14"/>
    <x v="3"/>
    <s v="Pasta"/>
    <x v="3"/>
    <n v="1"/>
    <n v="450"/>
    <n v="67.5"/>
    <n v="20"/>
    <n v="450"/>
    <n v="402.5"/>
    <x v="1"/>
    <x v="0"/>
    <x v="1"/>
    <n v="20"/>
    <n v="4.5"/>
  </r>
  <r>
    <x v="2868"/>
    <x v="208"/>
    <x v="6"/>
    <n v="7"/>
    <n v="28"/>
    <s v="Monday"/>
    <x v="9"/>
    <x v="6"/>
    <x v="2"/>
    <s v="Veg Burger"/>
    <x v="2"/>
    <n v="1"/>
    <n v="262"/>
    <n v="13.1"/>
    <n v="70"/>
    <n v="262"/>
    <n v="318.89999999999998"/>
    <x v="1"/>
    <x v="0"/>
    <x v="1"/>
    <n v="25"/>
    <n v="2.9"/>
  </r>
  <r>
    <x v="2869"/>
    <x v="208"/>
    <x v="6"/>
    <n v="7"/>
    <n v="28"/>
    <s v="Monday"/>
    <x v="1"/>
    <x v="10"/>
    <x v="9"/>
    <s v="Chicken Momos"/>
    <x v="2"/>
    <n v="1"/>
    <n v="190"/>
    <n v="0"/>
    <n v="30"/>
    <n v="190"/>
    <n v="220"/>
    <x v="3"/>
    <x v="0"/>
    <x v="1"/>
    <n v="63"/>
    <n v="4.0999999999999996"/>
  </r>
  <r>
    <x v="2870"/>
    <x v="208"/>
    <x v="6"/>
    <n v="7"/>
    <n v="28"/>
    <s v="Monday"/>
    <x v="7"/>
    <x v="1"/>
    <x v="3"/>
    <s v="French Fries"/>
    <x v="1"/>
    <n v="2"/>
    <n v="674"/>
    <n v="67.400000000000006"/>
    <n v="0"/>
    <n v="1348"/>
    <n v="1280.5999999999999"/>
    <x v="1"/>
    <x v="1"/>
    <x v="1"/>
    <n v="55"/>
    <m/>
  </r>
  <r>
    <x v="2871"/>
    <x v="208"/>
    <x v="6"/>
    <n v="7"/>
    <n v="28"/>
    <s v="Monday"/>
    <x v="4"/>
    <x v="11"/>
    <x v="2"/>
    <s v="Masala Dosa"/>
    <x v="1"/>
    <n v="1"/>
    <n v="128"/>
    <n v="0"/>
    <n v="30"/>
    <n v="128"/>
    <n v="158"/>
    <x v="3"/>
    <x v="2"/>
    <x v="1"/>
    <n v="26"/>
    <m/>
  </r>
  <r>
    <x v="2872"/>
    <x v="208"/>
    <x v="6"/>
    <n v="7"/>
    <n v="28"/>
    <s v="Monday"/>
    <x v="7"/>
    <x v="13"/>
    <x v="0"/>
    <s v="Veg Pizza"/>
    <x v="1"/>
    <n v="2"/>
    <n v="828"/>
    <n v="82.8"/>
    <n v="50"/>
    <n v="1656"/>
    <n v="1623.2"/>
    <x v="3"/>
    <x v="0"/>
    <x v="1"/>
    <n v="20"/>
    <n v="4.5999999999999996"/>
  </r>
  <r>
    <x v="2873"/>
    <x v="208"/>
    <x v="6"/>
    <n v="7"/>
    <n v="28"/>
    <s v="Monday"/>
    <x v="8"/>
    <x v="11"/>
    <x v="1"/>
    <s v="Veg Pizza"/>
    <x v="2"/>
    <n v="1"/>
    <n v="626"/>
    <n v="93.9"/>
    <n v="50"/>
    <n v="626"/>
    <n v="582.1"/>
    <x v="2"/>
    <x v="0"/>
    <x v="0"/>
    <n v="21"/>
    <n v="4.9000000000000004"/>
  </r>
  <r>
    <x v="2874"/>
    <x v="208"/>
    <x v="6"/>
    <n v="7"/>
    <n v="28"/>
    <s v="Monday"/>
    <x v="1"/>
    <x v="10"/>
    <x v="1"/>
    <s v="Fried Rice"/>
    <x v="2"/>
    <n v="1"/>
    <n v="856"/>
    <n v="128.4"/>
    <n v="40"/>
    <n v="856"/>
    <n v="767.6"/>
    <x v="1"/>
    <x v="0"/>
    <x v="0"/>
    <n v="63"/>
    <n v="3.4"/>
  </r>
  <r>
    <x v="2875"/>
    <x v="208"/>
    <x v="6"/>
    <n v="7"/>
    <n v="28"/>
    <s v="Monday"/>
    <x v="5"/>
    <x v="12"/>
    <x v="0"/>
    <s v="Cold Coffee"/>
    <x v="1"/>
    <n v="1"/>
    <n v="291"/>
    <n v="0"/>
    <n v="60"/>
    <n v="291"/>
    <n v="351"/>
    <x v="1"/>
    <x v="0"/>
    <x v="1"/>
    <n v="56"/>
    <n v="3.3"/>
  </r>
  <r>
    <x v="2876"/>
    <x v="208"/>
    <x v="6"/>
    <n v="7"/>
    <n v="28"/>
    <s v="Monday"/>
    <x v="2"/>
    <x v="9"/>
    <x v="7"/>
    <s v="Masala Dosa"/>
    <x v="1"/>
    <n v="3"/>
    <n v="755"/>
    <n v="75.5"/>
    <n v="50"/>
    <n v="2265"/>
    <n v="2239.5"/>
    <x v="1"/>
    <x v="0"/>
    <x v="1"/>
    <n v="24"/>
    <n v="3.9"/>
  </r>
  <r>
    <x v="2877"/>
    <x v="209"/>
    <x v="6"/>
    <n v="7"/>
    <n v="29"/>
    <s v="Tuesday"/>
    <x v="0"/>
    <x v="3"/>
    <x v="7"/>
    <s v="Chicken Pizza"/>
    <x v="1"/>
    <n v="1"/>
    <n v="198"/>
    <n v="9.9"/>
    <n v="60"/>
    <n v="198"/>
    <n v="248.1"/>
    <x v="1"/>
    <x v="0"/>
    <x v="0"/>
    <n v="59"/>
    <n v="4.0999999999999996"/>
  </r>
  <r>
    <x v="2878"/>
    <x v="209"/>
    <x v="6"/>
    <n v="7"/>
    <n v="29"/>
    <s v="Tuesday"/>
    <x v="5"/>
    <x v="0"/>
    <x v="6"/>
    <s v="Veg Burger"/>
    <x v="2"/>
    <n v="2"/>
    <n v="707"/>
    <n v="106.05"/>
    <n v="0"/>
    <n v="1414"/>
    <n v="1307.95"/>
    <x v="0"/>
    <x v="0"/>
    <x v="0"/>
    <n v="44"/>
    <n v="4.2"/>
  </r>
  <r>
    <x v="2879"/>
    <x v="209"/>
    <x v="6"/>
    <n v="7"/>
    <n v="29"/>
    <s v="Tuesday"/>
    <x v="7"/>
    <x v="6"/>
    <x v="0"/>
    <s v="Chicken Momos"/>
    <x v="0"/>
    <n v="3"/>
    <n v="564"/>
    <n v="28.2"/>
    <n v="40"/>
    <n v="1692"/>
    <n v="1703.8"/>
    <x v="2"/>
    <x v="0"/>
    <x v="0"/>
    <n v="26"/>
    <n v="3.8"/>
  </r>
  <r>
    <x v="2880"/>
    <x v="209"/>
    <x v="6"/>
    <n v="7"/>
    <n v="29"/>
    <s v="Tuesday"/>
    <x v="4"/>
    <x v="3"/>
    <x v="8"/>
    <s v="Veg Momos"/>
    <x v="1"/>
    <n v="1"/>
    <n v="865"/>
    <n v="86.5"/>
    <n v="0"/>
    <n v="865"/>
    <n v="778.5"/>
    <x v="2"/>
    <x v="0"/>
    <x v="0"/>
    <n v="58"/>
    <n v="3.6"/>
  </r>
  <r>
    <x v="2881"/>
    <x v="209"/>
    <x v="6"/>
    <n v="7"/>
    <n v="29"/>
    <s v="Tuesday"/>
    <x v="1"/>
    <x v="9"/>
    <x v="7"/>
    <s v="Veg Biryani"/>
    <x v="1"/>
    <n v="1"/>
    <n v="410"/>
    <n v="102.5"/>
    <n v="0"/>
    <n v="410"/>
    <n v="307.5"/>
    <x v="1"/>
    <x v="0"/>
    <x v="0"/>
    <n v="54"/>
    <n v="5"/>
  </r>
  <r>
    <x v="2882"/>
    <x v="209"/>
    <x v="6"/>
    <n v="7"/>
    <n v="29"/>
    <s v="Tuesday"/>
    <x v="1"/>
    <x v="14"/>
    <x v="6"/>
    <s v="Veg Momos"/>
    <x v="1"/>
    <n v="2"/>
    <n v="247"/>
    <n v="24.7"/>
    <n v="30"/>
    <n v="494"/>
    <n v="499.3"/>
    <x v="2"/>
    <x v="3"/>
    <x v="1"/>
    <n v="31"/>
    <m/>
  </r>
  <r>
    <x v="2883"/>
    <x v="209"/>
    <x v="6"/>
    <n v="7"/>
    <n v="29"/>
    <s v="Tuesday"/>
    <x v="4"/>
    <x v="11"/>
    <x v="3"/>
    <s v="French Fries"/>
    <x v="1"/>
    <n v="2"/>
    <n v="500"/>
    <n v="0"/>
    <n v="20"/>
    <n v="1000"/>
    <n v="1020"/>
    <x v="1"/>
    <x v="0"/>
    <x v="1"/>
    <n v="69"/>
    <n v="4.4000000000000004"/>
  </r>
  <r>
    <x v="2884"/>
    <x v="209"/>
    <x v="6"/>
    <n v="7"/>
    <n v="29"/>
    <s v="Tuesday"/>
    <x v="4"/>
    <x v="3"/>
    <x v="1"/>
    <s v="Veg Burger"/>
    <x v="3"/>
    <n v="1"/>
    <n v="683"/>
    <n v="0"/>
    <n v="0"/>
    <n v="683"/>
    <n v="683"/>
    <x v="0"/>
    <x v="0"/>
    <x v="0"/>
    <n v="31"/>
    <n v="3.8"/>
  </r>
  <r>
    <x v="2885"/>
    <x v="209"/>
    <x v="6"/>
    <n v="7"/>
    <n v="29"/>
    <s v="Tuesday"/>
    <x v="1"/>
    <x v="13"/>
    <x v="4"/>
    <s v="Veg Biryani"/>
    <x v="1"/>
    <n v="1"/>
    <n v="305"/>
    <n v="61"/>
    <n v="60"/>
    <n v="305"/>
    <n v="304"/>
    <x v="2"/>
    <x v="0"/>
    <x v="0"/>
    <n v="39"/>
    <n v="4.3"/>
  </r>
  <r>
    <x v="2886"/>
    <x v="209"/>
    <x v="6"/>
    <n v="7"/>
    <n v="29"/>
    <s v="Tuesday"/>
    <x v="3"/>
    <x v="9"/>
    <x v="3"/>
    <s v="Chicken Momos"/>
    <x v="1"/>
    <n v="2"/>
    <n v="210"/>
    <n v="21"/>
    <n v="50"/>
    <n v="420"/>
    <n v="449"/>
    <x v="4"/>
    <x v="0"/>
    <x v="1"/>
    <n v="35"/>
    <n v="3.8"/>
  </r>
  <r>
    <x v="2887"/>
    <x v="209"/>
    <x v="6"/>
    <n v="7"/>
    <n v="29"/>
    <s v="Tuesday"/>
    <x v="1"/>
    <x v="2"/>
    <x v="8"/>
    <s v="Chicken Burger"/>
    <x v="1"/>
    <n v="1"/>
    <n v="593"/>
    <n v="29.65"/>
    <n v="0"/>
    <n v="593"/>
    <n v="563.35"/>
    <x v="1"/>
    <x v="1"/>
    <x v="0"/>
    <n v="42"/>
    <m/>
  </r>
  <r>
    <x v="2888"/>
    <x v="209"/>
    <x v="6"/>
    <n v="7"/>
    <n v="29"/>
    <s v="Tuesday"/>
    <x v="3"/>
    <x v="2"/>
    <x v="0"/>
    <s v="Veg Biryani"/>
    <x v="1"/>
    <n v="1"/>
    <n v="616"/>
    <n v="61.6"/>
    <n v="20"/>
    <n v="616"/>
    <n v="574.4"/>
    <x v="1"/>
    <x v="0"/>
    <x v="1"/>
    <n v="30"/>
    <n v="3.4"/>
  </r>
  <r>
    <x v="2889"/>
    <x v="210"/>
    <x v="6"/>
    <n v="7"/>
    <n v="30"/>
    <s v="Wednesday"/>
    <x v="1"/>
    <x v="3"/>
    <x v="1"/>
    <s v="Chocolate Cake"/>
    <x v="3"/>
    <n v="1"/>
    <n v="143"/>
    <n v="21.45"/>
    <n v="50"/>
    <n v="143"/>
    <n v="171.55"/>
    <x v="1"/>
    <x v="0"/>
    <x v="1"/>
    <n v="54"/>
    <n v="4.8"/>
  </r>
  <r>
    <x v="2890"/>
    <x v="210"/>
    <x v="6"/>
    <n v="7"/>
    <n v="30"/>
    <s v="Wednesday"/>
    <x v="2"/>
    <x v="1"/>
    <x v="8"/>
    <s v="Veg Biryani"/>
    <x v="1"/>
    <n v="1"/>
    <n v="206"/>
    <n v="30.9"/>
    <n v="30"/>
    <n v="206"/>
    <n v="205.1"/>
    <x v="0"/>
    <x v="0"/>
    <x v="1"/>
    <n v="32"/>
    <n v="4.0999999999999996"/>
  </r>
  <r>
    <x v="2891"/>
    <x v="210"/>
    <x v="6"/>
    <n v="7"/>
    <n v="30"/>
    <s v="Wednesday"/>
    <x v="5"/>
    <x v="1"/>
    <x v="0"/>
    <s v="Paneer Butter Masala"/>
    <x v="0"/>
    <n v="2"/>
    <n v="659"/>
    <n v="98.85"/>
    <n v="0"/>
    <n v="1318"/>
    <n v="1219.1500000000001"/>
    <x v="1"/>
    <x v="0"/>
    <x v="0"/>
    <n v="42"/>
    <n v="3.5"/>
  </r>
  <r>
    <x v="2892"/>
    <x v="210"/>
    <x v="6"/>
    <n v="7"/>
    <n v="30"/>
    <s v="Wednesday"/>
    <x v="0"/>
    <x v="1"/>
    <x v="0"/>
    <s v="Veg Pizza"/>
    <x v="1"/>
    <n v="1"/>
    <n v="522"/>
    <n v="78.3"/>
    <n v="40"/>
    <n v="522"/>
    <n v="483.7"/>
    <x v="4"/>
    <x v="0"/>
    <x v="0"/>
    <n v="43"/>
    <n v="3.6"/>
  </r>
  <r>
    <x v="2893"/>
    <x v="210"/>
    <x v="6"/>
    <n v="7"/>
    <n v="30"/>
    <s v="Wednesday"/>
    <x v="1"/>
    <x v="0"/>
    <x v="9"/>
    <s v="Veg Biryani"/>
    <x v="1"/>
    <n v="1"/>
    <n v="214"/>
    <n v="42.8"/>
    <n v="40"/>
    <n v="214"/>
    <n v="211.2"/>
    <x v="0"/>
    <x v="0"/>
    <x v="1"/>
    <n v="34"/>
    <n v="3.8"/>
  </r>
  <r>
    <x v="2894"/>
    <x v="210"/>
    <x v="6"/>
    <n v="7"/>
    <n v="30"/>
    <s v="Wednesday"/>
    <x v="3"/>
    <x v="8"/>
    <x v="7"/>
    <s v="Pasta"/>
    <x v="1"/>
    <n v="3"/>
    <n v="560"/>
    <n v="112"/>
    <n v="40"/>
    <n v="1680"/>
    <n v="1608"/>
    <x v="4"/>
    <x v="0"/>
    <x v="1"/>
    <n v="55"/>
    <n v="4.0999999999999996"/>
  </r>
  <r>
    <x v="2895"/>
    <x v="210"/>
    <x v="6"/>
    <n v="7"/>
    <n v="30"/>
    <s v="Wednesday"/>
    <x v="3"/>
    <x v="13"/>
    <x v="6"/>
    <s v="Pasta"/>
    <x v="1"/>
    <n v="2"/>
    <n v="867"/>
    <n v="86.7"/>
    <n v="20"/>
    <n v="1734"/>
    <n v="1667.3"/>
    <x v="1"/>
    <x v="0"/>
    <x v="0"/>
    <n v="24"/>
    <n v="3.7"/>
  </r>
  <r>
    <x v="2896"/>
    <x v="210"/>
    <x v="6"/>
    <n v="7"/>
    <n v="30"/>
    <s v="Wednesday"/>
    <x v="0"/>
    <x v="6"/>
    <x v="3"/>
    <s v="Idli Sambar"/>
    <x v="3"/>
    <n v="1"/>
    <n v="167"/>
    <n v="8.35"/>
    <n v="0"/>
    <n v="167"/>
    <n v="158.65"/>
    <x v="4"/>
    <x v="0"/>
    <x v="1"/>
    <n v="66"/>
    <n v="4.4000000000000004"/>
  </r>
  <r>
    <x v="2897"/>
    <x v="210"/>
    <x v="6"/>
    <n v="7"/>
    <n v="30"/>
    <s v="Wednesday"/>
    <x v="2"/>
    <x v="12"/>
    <x v="3"/>
    <s v="Pasta"/>
    <x v="2"/>
    <n v="1"/>
    <n v="290"/>
    <n v="0"/>
    <n v="60"/>
    <n v="290"/>
    <n v="350"/>
    <x v="0"/>
    <x v="0"/>
    <x v="1"/>
    <n v="48"/>
    <n v="4.5"/>
  </r>
  <r>
    <x v="2898"/>
    <x v="211"/>
    <x v="6"/>
    <n v="7"/>
    <n v="31"/>
    <s v="Thursday"/>
    <x v="9"/>
    <x v="8"/>
    <x v="3"/>
    <s v="Chocolate Cake"/>
    <x v="1"/>
    <n v="2"/>
    <n v="223"/>
    <n v="0"/>
    <n v="20"/>
    <n v="446"/>
    <n v="466"/>
    <x v="2"/>
    <x v="0"/>
    <x v="1"/>
    <n v="62"/>
    <n v="3.9"/>
  </r>
  <r>
    <x v="2899"/>
    <x v="211"/>
    <x v="6"/>
    <n v="7"/>
    <n v="31"/>
    <s v="Thursday"/>
    <x v="1"/>
    <x v="4"/>
    <x v="0"/>
    <s v="Veg Biryani"/>
    <x v="3"/>
    <n v="1"/>
    <n v="837"/>
    <n v="83.7"/>
    <n v="40"/>
    <n v="837"/>
    <n v="793.3"/>
    <x v="1"/>
    <x v="0"/>
    <x v="0"/>
    <n v="39"/>
    <n v="5"/>
  </r>
  <r>
    <x v="2900"/>
    <x v="211"/>
    <x v="6"/>
    <n v="7"/>
    <n v="31"/>
    <s v="Thursday"/>
    <x v="4"/>
    <x v="2"/>
    <x v="1"/>
    <s v="Masala Dosa"/>
    <x v="2"/>
    <n v="2"/>
    <n v="638"/>
    <n v="63.8"/>
    <n v="30"/>
    <n v="1276"/>
    <n v="1242.2"/>
    <x v="1"/>
    <x v="0"/>
    <x v="1"/>
    <n v="59"/>
    <n v="4.4000000000000004"/>
  </r>
  <r>
    <x v="2901"/>
    <x v="211"/>
    <x v="6"/>
    <n v="7"/>
    <n v="31"/>
    <s v="Thursday"/>
    <x v="4"/>
    <x v="4"/>
    <x v="7"/>
    <s v="Pasta"/>
    <x v="1"/>
    <n v="3"/>
    <n v="153"/>
    <n v="38.25"/>
    <n v="40"/>
    <n v="459"/>
    <n v="460.75"/>
    <x v="2"/>
    <x v="0"/>
    <x v="0"/>
    <n v="59"/>
    <n v="3.9"/>
  </r>
  <r>
    <x v="2902"/>
    <x v="211"/>
    <x v="6"/>
    <n v="7"/>
    <n v="31"/>
    <s v="Thursday"/>
    <x v="5"/>
    <x v="3"/>
    <x v="1"/>
    <s v="Chocolate Cake"/>
    <x v="1"/>
    <n v="2"/>
    <n v="712"/>
    <n v="106.8"/>
    <n v="30"/>
    <n v="1424"/>
    <n v="1347.2"/>
    <x v="2"/>
    <x v="0"/>
    <x v="1"/>
    <n v="19"/>
    <n v="4.5"/>
  </r>
  <r>
    <x v="2903"/>
    <x v="211"/>
    <x v="6"/>
    <n v="7"/>
    <n v="31"/>
    <s v="Thursday"/>
    <x v="5"/>
    <x v="7"/>
    <x v="6"/>
    <s v="Chicken Burger"/>
    <x v="1"/>
    <n v="1"/>
    <n v="290"/>
    <n v="72.5"/>
    <n v="0"/>
    <n v="290"/>
    <n v="217.5"/>
    <x v="2"/>
    <x v="0"/>
    <x v="1"/>
    <n v="53"/>
    <n v="4.4000000000000004"/>
  </r>
  <r>
    <x v="2904"/>
    <x v="211"/>
    <x v="6"/>
    <n v="7"/>
    <n v="31"/>
    <s v="Thursday"/>
    <x v="3"/>
    <x v="1"/>
    <x v="2"/>
    <s v="Chicken Biryani"/>
    <x v="1"/>
    <n v="1"/>
    <n v="708"/>
    <n v="177"/>
    <n v="20"/>
    <n v="708"/>
    <n v="551"/>
    <x v="1"/>
    <x v="0"/>
    <x v="0"/>
    <n v="61"/>
    <n v="4.5999999999999996"/>
  </r>
  <r>
    <x v="2905"/>
    <x v="212"/>
    <x v="7"/>
    <n v="8"/>
    <n v="1"/>
    <s v="Friday"/>
    <x v="4"/>
    <x v="6"/>
    <x v="8"/>
    <s v="Idli Sambar"/>
    <x v="1"/>
    <n v="2"/>
    <n v="846"/>
    <n v="84.6"/>
    <n v="30"/>
    <n v="1692"/>
    <n v="1637.4"/>
    <x v="4"/>
    <x v="0"/>
    <x v="0"/>
    <n v="49"/>
    <n v="3.1"/>
  </r>
  <r>
    <x v="2906"/>
    <x v="212"/>
    <x v="7"/>
    <n v="8"/>
    <n v="1"/>
    <s v="Friday"/>
    <x v="2"/>
    <x v="2"/>
    <x v="2"/>
    <s v="Chocolate Cake"/>
    <x v="1"/>
    <n v="2"/>
    <n v="663"/>
    <n v="33.15"/>
    <n v="20"/>
    <n v="1326"/>
    <n v="1312.85"/>
    <x v="1"/>
    <x v="1"/>
    <x v="1"/>
    <n v="56"/>
    <m/>
  </r>
  <r>
    <x v="2907"/>
    <x v="212"/>
    <x v="7"/>
    <n v="8"/>
    <n v="1"/>
    <s v="Friday"/>
    <x v="5"/>
    <x v="3"/>
    <x v="5"/>
    <s v="Chicken Biryani"/>
    <x v="1"/>
    <n v="1"/>
    <n v="171"/>
    <n v="42.75"/>
    <n v="30"/>
    <n v="171"/>
    <n v="158.25"/>
    <x v="0"/>
    <x v="0"/>
    <x v="0"/>
    <n v="41"/>
    <n v="4.3"/>
  </r>
  <r>
    <x v="2908"/>
    <x v="212"/>
    <x v="7"/>
    <n v="8"/>
    <n v="1"/>
    <s v="Friday"/>
    <x v="3"/>
    <x v="0"/>
    <x v="3"/>
    <s v="Chicken Pizza"/>
    <x v="1"/>
    <n v="1"/>
    <n v="208"/>
    <n v="0"/>
    <n v="30"/>
    <n v="208"/>
    <n v="238"/>
    <x v="3"/>
    <x v="0"/>
    <x v="1"/>
    <n v="58"/>
    <n v="3.8"/>
  </r>
  <r>
    <x v="2909"/>
    <x v="212"/>
    <x v="7"/>
    <n v="8"/>
    <n v="1"/>
    <s v="Friday"/>
    <x v="0"/>
    <x v="12"/>
    <x v="2"/>
    <s v="Chocolate Cake"/>
    <x v="1"/>
    <n v="1"/>
    <n v="159"/>
    <n v="39.75"/>
    <n v="20"/>
    <n v="159"/>
    <n v="139.25"/>
    <x v="1"/>
    <x v="0"/>
    <x v="0"/>
    <n v="28"/>
    <n v="4.3"/>
  </r>
  <r>
    <x v="2910"/>
    <x v="212"/>
    <x v="7"/>
    <n v="8"/>
    <n v="1"/>
    <s v="Friday"/>
    <x v="4"/>
    <x v="5"/>
    <x v="6"/>
    <s v="Chicken Pizza"/>
    <x v="1"/>
    <n v="2"/>
    <n v="190"/>
    <n v="38"/>
    <n v="30"/>
    <n v="380"/>
    <n v="372"/>
    <x v="2"/>
    <x v="0"/>
    <x v="1"/>
    <n v="65"/>
    <n v="3.4"/>
  </r>
  <r>
    <x v="2911"/>
    <x v="212"/>
    <x v="7"/>
    <n v="8"/>
    <n v="1"/>
    <s v="Friday"/>
    <x v="0"/>
    <x v="11"/>
    <x v="9"/>
    <s v="Chocolate Cake"/>
    <x v="1"/>
    <n v="3"/>
    <n v="678"/>
    <n v="67.8"/>
    <n v="50"/>
    <n v="2034"/>
    <n v="2016.2"/>
    <x v="3"/>
    <x v="0"/>
    <x v="1"/>
    <n v="60"/>
    <n v="4.8"/>
  </r>
  <r>
    <x v="2912"/>
    <x v="212"/>
    <x v="7"/>
    <n v="8"/>
    <n v="1"/>
    <s v="Friday"/>
    <x v="3"/>
    <x v="1"/>
    <x v="5"/>
    <s v="Veg Momos"/>
    <x v="1"/>
    <n v="3"/>
    <n v="407"/>
    <n v="40.700000000000003"/>
    <n v="0"/>
    <n v="1221"/>
    <n v="1180.3"/>
    <x v="2"/>
    <x v="0"/>
    <x v="1"/>
    <n v="38"/>
    <n v="5"/>
  </r>
  <r>
    <x v="2913"/>
    <x v="212"/>
    <x v="7"/>
    <n v="8"/>
    <n v="1"/>
    <s v="Friday"/>
    <x v="1"/>
    <x v="5"/>
    <x v="4"/>
    <s v="Chicken Biryani"/>
    <x v="0"/>
    <n v="1"/>
    <n v="355"/>
    <n v="71"/>
    <n v="40"/>
    <n v="355"/>
    <n v="324"/>
    <x v="4"/>
    <x v="3"/>
    <x v="1"/>
    <n v="18"/>
    <m/>
  </r>
  <r>
    <x v="2914"/>
    <x v="212"/>
    <x v="7"/>
    <n v="8"/>
    <n v="1"/>
    <s v="Friday"/>
    <x v="6"/>
    <x v="8"/>
    <x v="1"/>
    <s v="Chicken Momos"/>
    <x v="2"/>
    <n v="2"/>
    <n v="530"/>
    <n v="53"/>
    <n v="60"/>
    <n v="1060"/>
    <n v="1067"/>
    <x v="0"/>
    <x v="0"/>
    <x v="0"/>
    <n v="34"/>
    <n v="4.9000000000000004"/>
  </r>
  <r>
    <x v="2915"/>
    <x v="212"/>
    <x v="7"/>
    <n v="8"/>
    <n v="1"/>
    <s v="Friday"/>
    <x v="8"/>
    <x v="2"/>
    <x v="0"/>
    <s v="Cold Coffee"/>
    <x v="1"/>
    <n v="2"/>
    <n v="392"/>
    <n v="39.200000000000003"/>
    <n v="30"/>
    <n v="784"/>
    <n v="774.8"/>
    <x v="0"/>
    <x v="0"/>
    <x v="1"/>
    <n v="53"/>
    <n v="4.7"/>
  </r>
  <r>
    <x v="2916"/>
    <x v="212"/>
    <x v="7"/>
    <n v="8"/>
    <n v="1"/>
    <s v="Friday"/>
    <x v="1"/>
    <x v="14"/>
    <x v="5"/>
    <s v="Veg Momos"/>
    <x v="1"/>
    <n v="2"/>
    <n v="488"/>
    <n v="97.6"/>
    <n v="20"/>
    <n v="976"/>
    <n v="898.4"/>
    <x v="1"/>
    <x v="0"/>
    <x v="1"/>
    <n v="57"/>
    <n v="4.5999999999999996"/>
  </r>
  <r>
    <x v="2917"/>
    <x v="212"/>
    <x v="7"/>
    <n v="8"/>
    <n v="1"/>
    <s v="Friday"/>
    <x v="3"/>
    <x v="0"/>
    <x v="9"/>
    <s v="Veg Momos"/>
    <x v="1"/>
    <n v="2"/>
    <n v="775"/>
    <n v="193.75"/>
    <n v="30"/>
    <n v="1550"/>
    <n v="1386.25"/>
    <x v="2"/>
    <x v="0"/>
    <x v="1"/>
    <n v="26"/>
    <n v="3.8"/>
  </r>
  <r>
    <x v="2918"/>
    <x v="212"/>
    <x v="7"/>
    <n v="8"/>
    <n v="1"/>
    <s v="Friday"/>
    <x v="7"/>
    <x v="6"/>
    <x v="5"/>
    <s v="Veg Biryani"/>
    <x v="2"/>
    <n v="3"/>
    <n v="350"/>
    <n v="0"/>
    <n v="30"/>
    <n v="1050"/>
    <n v="1080"/>
    <x v="1"/>
    <x v="0"/>
    <x v="0"/>
    <n v="21"/>
    <n v="5"/>
  </r>
  <r>
    <x v="2919"/>
    <x v="212"/>
    <x v="7"/>
    <n v="8"/>
    <n v="1"/>
    <s v="Friday"/>
    <x v="5"/>
    <x v="6"/>
    <x v="7"/>
    <s v="Chicken Biryani"/>
    <x v="1"/>
    <n v="2"/>
    <n v="483"/>
    <n v="24.15"/>
    <n v="50"/>
    <n v="966"/>
    <n v="991.85"/>
    <x v="1"/>
    <x v="0"/>
    <x v="0"/>
    <n v="22"/>
    <n v="4"/>
  </r>
  <r>
    <x v="2920"/>
    <x v="212"/>
    <x v="7"/>
    <n v="8"/>
    <n v="1"/>
    <s v="Friday"/>
    <x v="2"/>
    <x v="1"/>
    <x v="2"/>
    <s v="Masala Dosa"/>
    <x v="1"/>
    <n v="2"/>
    <n v="659"/>
    <n v="164.75"/>
    <n v="70"/>
    <n v="1318"/>
    <n v="1223.25"/>
    <x v="1"/>
    <x v="0"/>
    <x v="1"/>
    <n v="53"/>
    <n v="4.2"/>
  </r>
  <r>
    <x v="2921"/>
    <x v="213"/>
    <x v="7"/>
    <n v="8"/>
    <n v="2"/>
    <s v="Saturday"/>
    <x v="5"/>
    <x v="0"/>
    <x v="2"/>
    <s v="Chocolate Cake"/>
    <x v="3"/>
    <n v="1"/>
    <n v="865"/>
    <n v="0"/>
    <n v="0"/>
    <n v="865"/>
    <n v="865"/>
    <x v="1"/>
    <x v="0"/>
    <x v="1"/>
    <n v="18"/>
    <n v="4.9000000000000004"/>
  </r>
  <r>
    <x v="2922"/>
    <x v="213"/>
    <x v="7"/>
    <n v="8"/>
    <n v="2"/>
    <s v="Saturday"/>
    <x v="4"/>
    <x v="6"/>
    <x v="3"/>
    <s v="French Fries"/>
    <x v="1"/>
    <n v="2"/>
    <n v="564"/>
    <n v="56.4"/>
    <n v="30"/>
    <n v="1128"/>
    <n v="1101.5999999999999"/>
    <x v="0"/>
    <x v="0"/>
    <x v="0"/>
    <n v="46"/>
    <n v="4.8"/>
  </r>
  <r>
    <x v="2923"/>
    <x v="213"/>
    <x v="7"/>
    <n v="8"/>
    <n v="2"/>
    <s v="Saturday"/>
    <x v="5"/>
    <x v="9"/>
    <x v="7"/>
    <s v="Paneer Butter Masala"/>
    <x v="1"/>
    <n v="2"/>
    <n v="325"/>
    <n v="48.75"/>
    <n v="50"/>
    <n v="650"/>
    <n v="651.25"/>
    <x v="2"/>
    <x v="0"/>
    <x v="1"/>
    <n v="48"/>
    <n v="5"/>
  </r>
  <r>
    <x v="2924"/>
    <x v="213"/>
    <x v="7"/>
    <n v="8"/>
    <n v="2"/>
    <s v="Saturday"/>
    <x v="8"/>
    <x v="0"/>
    <x v="0"/>
    <s v="Chocolate Cake"/>
    <x v="1"/>
    <n v="1"/>
    <n v="263"/>
    <n v="52.6"/>
    <n v="30"/>
    <n v="263"/>
    <n v="240.4"/>
    <x v="4"/>
    <x v="0"/>
    <x v="1"/>
    <n v="48"/>
    <n v="4"/>
  </r>
  <r>
    <x v="2925"/>
    <x v="213"/>
    <x v="7"/>
    <n v="8"/>
    <n v="2"/>
    <s v="Saturday"/>
    <x v="5"/>
    <x v="14"/>
    <x v="4"/>
    <s v="Veg Biryani"/>
    <x v="2"/>
    <n v="1"/>
    <n v="353"/>
    <n v="35.299999999999997"/>
    <n v="0"/>
    <n v="353"/>
    <n v="317.7"/>
    <x v="1"/>
    <x v="0"/>
    <x v="1"/>
    <n v="36"/>
    <n v="5"/>
  </r>
  <r>
    <x v="2926"/>
    <x v="213"/>
    <x v="7"/>
    <n v="8"/>
    <n v="2"/>
    <s v="Saturday"/>
    <x v="7"/>
    <x v="4"/>
    <x v="0"/>
    <s v="Cold Coffee"/>
    <x v="2"/>
    <n v="2"/>
    <n v="614"/>
    <n v="122.8"/>
    <n v="70"/>
    <n v="1228"/>
    <n v="1175.2"/>
    <x v="1"/>
    <x v="0"/>
    <x v="1"/>
    <n v="56"/>
    <n v="4.5"/>
  </r>
  <r>
    <x v="2927"/>
    <x v="213"/>
    <x v="7"/>
    <n v="8"/>
    <n v="2"/>
    <s v="Saturday"/>
    <x v="1"/>
    <x v="12"/>
    <x v="9"/>
    <s v="Fried Rice"/>
    <x v="1"/>
    <n v="1"/>
    <n v="346"/>
    <n v="86.5"/>
    <n v="60"/>
    <n v="346"/>
    <n v="319.5"/>
    <x v="2"/>
    <x v="0"/>
    <x v="1"/>
    <n v="69"/>
    <n v="4"/>
  </r>
  <r>
    <x v="2928"/>
    <x v="213"/>
    <x v="7"/>
    <n v="8"/>
    <n v="2"/>
    <s v="Saturday"/>
    <x v="4"/>
    <x v="11"/>
    <x v="5"/>
    <s v="Chicken Momos"/>
    <x v="1"/>
    <n v="3"/>
    <n v="403"/>
    <n v="20.149999999999999"/>
    <n v="40"/>
    <n v="1209"/>
    <n v="1228.8499999999999"/>
    <x v="1"/>
    <x v="0"/>
    <x v="1"/>
    <n v="33"/>
    <n v="4"/>
  </r>
  <r>
    <x v="2929"/>
    <x v="213"/>
    <x v="7"/>
    <n v="8"/>
    <n v="2"/>
    <s v="Saturday"/>
    <x v="1"/>
    <x v="4"/>
    <x v="4"/>
    <s v="Chicken Burger"/>
    <x v="2"/>
    <n v="1"/>
    <n v="712"/>
    <n v="71.2"/>
    <n v="20"/>
    <n v="712"/>
    <n v="660.8"/>
    <x v="2"/>
    <x v="3"/>
    <x v="1"/>
    <n v="33"/>
    <m/>
  </r>
  <r>
    <x v="2930"/>
    <x v="213"/>
    <x v="7"/>
    <n v="8"/>
    <n v="2"/>
    <s v="Saturday"/>
    <x v="7"/>
    <x v="7"/>
    <x v="6"/>
    <s v="Veg Momos"/>
    <x v="1"/>
    <n v="2"/>
    <n v="313"/>
    <n v="0"/>
    <n v="40"/>
    <n v="626"/>
    <n v="666"/>
    <x v="1"/>
    <x v="2"/>
    <x v="1"/>
    <n v="33"/>
    <m/>
  </r>
  <r>
    <x v="2931"/>
    <x v="213"/>
    <x v="7"/>
    <n v="8"/>
    <n v="2"/>
    <s v="Saturday"/>
    <x v="6"/>
    <x v="5"/>
    <x v="6"/>
    <s v="Chicken Momos"/>
    <x v="1"/>
    <n v="1"/>
    <n v="326"/>
    <n v="0"/>
    <n v="20"/>
    <n v="326"/>
    <n v="346"/>
    <x v="1"/>
    <x v="0"/>
    <x v="0"/>
    <n v="37"/>
    <n v="4"/>
  </r>
  <r>
    <x v="2932"/>
    <x v="213"/>
    <x v="7"/>
    <n v="8"/>
    <n v="2"/>
    <s v="Saturday"/>
    <x v="0"/>
    <x v="13"/>
    <x v="8"/>
    <s v="Chicken Pizza"/>
    <x v="1"/>
    <n v="2"/>
    <n v="125"/>
    <n v="12.5"/>
    <n v="30"/>
    <n v="250"/>
    <n v="267.5"/>
    <x v="3"/>
    <x v="0"/>
    <x v="1"/>
    <n v="54"/>
    <n v="3.7"/>
  </r>
  <r>
    <x v="2933"/>
    <x v="213"/>
    <x v="7"/>
    <n v="8"/>
    <n v="2"/>
    <s v="Saturday"/>
    <x v="2"/>
    <x v="1"/>
    <x v="4"/>
    <s v="Veg Pizza"/>
    <x v="1"/>
    <n v="1"/>
    <n v="208"/>
    <n v="0"/>
    <n v="30"/>
    <n v="208"/>
    <n v="238"/>
    <x v="2"/>
    <x v="1"/>
    <x v="0"/>
    <n v="23"/>
    <m/>
  </r>
  <r>
    <x v="2934"/>
    <x v="213"/>
    <x v="7"/>
    <n v="8"/>
    <n v="2"/>
    <s v="Saturday"/>
    <x v="3"/>
    <x v="0"/>
    <x v="5"/>
    <s v="Fried Rice"/>
    <x v="1"/>
    <n v="1"/>
    <n v="527"/>
    <n v="131.75"/>
    <n v="40"/>
    <n v="527"/>
    <n v="435.25"/>
    <x v="0"/>
    <x v="3"/>
    <x v="1"/>
    <n v="55"/>
    <m/>
  </r>
  <r>
    <x v="2935"/>
    <x v="213"/>
    <x v="7"/>
    <n v="8"/>
    <n v="2"/>
    <s v="Saturday"/>
    <x v="7"/>
    <x v="6"/>
    <x v="5"/>
    <s v="Chicken Pizza"/>
    <x v="1"/>
    <n v="1"/>
    <n v="833"/>
    <n v="124.95"/>
    <n v="60"/>
    <n v="833"/>
    <n v="768.05"/>
    <x v="1"/>
    <x v="0"/>
    <x v="1"/>
    <n v="48"/>
    <n v="3.1"/>
  </r>
  <r>
    <x v="2936"/>
    <x v="213"/>
    <x v="7"/>
    <n v="8"/>
    <n v="2"/>
    <s v="Saturday"/>
    <x v="5"/>
    <x v="14"/>
    <x v="2"/>
    <s v="Fried Rice"/>
    <x v="1"/>
    <n v="1"/>
    <n v="286"/>
    <n v="0"/>
    <n v="0"/>
    <n v="286"/>
    <n v="286"/>
    <x v="0"/>
    <x v="3"/>
    <x v="1"/>
    <n v="49"/>
    <m/>
  </r>
  <r>
    <x v="2937"/>
    <x v="213"/>
    <x v="7"/>
    <n v="8"/>
    <n v="2"/>
    <s v="Saturday"/>
    <x v="5"/>
    <x v="6"/>
    <x v="1"/>
    <s v="Masala Dosa"/>
    <x v="1"/>
    <n v="2"/>
    <n v="841"/>
    <n v="84.1"/>
    <n v="20"/>
    <n v="1682"/>
    <n v="1617.9"/>
    <x v="4"/>
    <x v="0"/>
    <x v="1"/>
    <n v="30"/>
    <n v="3.3"/>
  </r>
  <r>
    <x v="2938"/>
    <x v="213"/>
    <x v="7"/>
    <n v="8"/>
    <n v="2"/>
    <s v="Saturday"/>
    <x v="3"/>
    <x v="7"/>
    <x v="0"/>
    <s v="Pasta"/>
    <x v="1"/>
    <n v="2"/>
    <n v="404"/>
    <n v="60.6"/>
    <n v="20"/>
    <n v="808"/>
    <n v="767.4"/>
    <x v="1"/>
    <x v="0"/>
    <x v="0"/>
    <n v="37"/>
    <n v="3.8"/>
  </r>
  <r>
    <x v="2939"/>
    <x v="213"/>
    <x v="7"/>
    <n v="8"/>
    <n v="2"/>
    <s v="Saturday"/>
    <x v="1"/>
    <x v="5"/>
    <x v="2"/>
    <s v="Chicken Momos"/>
    <x v="1"/>
    <n v="2"/>
    <n v="133"/>
    <n v="26.6"/>
    <n v="50"/>
    <n v="266"/>
    <n v="289.39999999999998"/>
    <x v="4"/>
    <x v="0"/>
    <x v="1"/>
    <n v="21"/>
    <n v="3.5"/>
  </r>
  <r>
    <x v="2940"/>
    <x v="213"/>
    <x v="7"/>
    <n v="8"/>
    <n v="2"/>
    <s v="Saturday"/>
    <x v="3"/>
    <x v="4"/>
    <x v="2"/>
    <s v="Chocolate Cake"/>
    <x v="1"/>
    <n v="1"/>
    <n v="251"/>
    <n v="25.1"/>
    <n v="40"/>
    <n v="251"/>
    <n v="265.89999999999998"/>
    <x v="1"/>
    <x v="0"/>
    <x v="1"/>
    <n v="57"/>
    <n v="3.4"/>
  </r>
  <r>
    <x v="2941"/>
    <x v="213"/>
    <x v="7"/>
    <n v="8"/>
    <n v="2"/>
    <s v="Saturday"/>
    <x v="4"/>
    <x v="13"/>
    <x v="9"/>
    <s v="Chicken Momos"/>
    <x v="3"/>
    <n v="1"/>
    <n v="293"/>
    <n v="29.3"/>
    <n v="60"/>
    <n v="293"/>
    <n v="323.7"/>
    <x v="1"/>
    <x v="1"/>
    <x v="1"/>
    <n v="33"/>
    <m/>
  </r>
  <r>
    <x v="2942"/>
    <x v="214"/>
    <x v="7"/>
    <n v="8"/>
    <n v="3"/>
    <s v="Sunday"/>
    <x v="5"/>
    <x v="8"/>
    <x v="0"/>
    <s v="Cold Coffee"/>
    <x v="2"/>
    <n v="1"/>
    <n v="298"/>
    <n v="59.6"/>
    <n v="30"/>
    <n v="298"/>
    <n v="268.39999999999998"/>
    <x v="2"/>
    <x v="2"/>
    <x v="1"/>
    <n v="25"/>
    <m/>
  </r>
  <r>
    <x v="2943"/>
    <x v="214"/>
    <x v="7"/>
    <n v="8"/>
    <n v="3"/>
    <s v="Sunday"/>
    <x v="3"/>
    <x v="8"/>
    <x v="0"/>
    <s v="Fried Rice"/>
    <x v="1"/>
    <n v="2"/>
    <n v="739"/>
    <n v="184.75"/>
    <n v="50"/>
    <n v="1478"/>
    <n v="1343.25"/>
    <x v="1"/>
    <x v="0"/>
    <x v="1"/>
    <n v="49"/>
    <n v="3.4"/>
  </r>
  <r>
    <x v="2944"/>
    <x v="214"/>
    <x v="7"/>
    <n v="8"/>
    <n v="3"/>
    <s v="Sunday"/>
    <x v="1"/>
    <x v="4"/>
    <x v="7"/>
    <s v="French Fries"/>
    <x v="2"/>
    <n v="2"/>
    <n v="186"/>
    <n v="9.3000000000000007"/>
    <n v="70"/>
    <n v="372"/>
    <n v="432.7"/>
    <x v="3"/>
    <x v="0"/>
    <x v="1"/>
    <n v="44"/>
    <n v="5"/>
  </r>
  <r>
    <x v="2945"/>
    <x v="214"/>
    <x v="7"/>
    <n v="8"/>
    <n v="3"/>
    <s v="Sunday"/>
    <x v="0"/>
    <x v="1"/>
    <x v="2"/>
    <s v="Chocolate Cake"/>
    <x v="1"/>
    <n v="2"/>
    <n v="447"/>
    <n v="22.35"/>
    <n v="0"/>
    <n v="894"/>
    <n v="871.65"/>
    <x v="0"/>
    <x v="1"/>
    <x v="1"/>
    <n v="49"/>
    <m/>
  </r>
  <r>
    <x v="2946"/>
    <x v="214"/>
    <x v="7"/>
    <n v="8"/>
    <n v="3"/>
    <s v="Sunday"/>
    <x v="5"/>
    <x v="0"/>
    <x v="7"/>
    <s v="Fried Rice"/>
    <x v="2"/>
    <n v="3"/>
    <n v="633"/>
    <n v="31.65"/>
    <n v="40"/>
    <n v="1899"/>
    <n v="1907.35"/>
    <x v="1"/>
    <x v="0"/>
    <x v="1"/>
    <n v="22"/>
    <n v="5"/>
  </r>
  <r>
    <x v="2947"/>
    <x v="214"/>
    <x v="7"/>
    <n v="8"/>
    <n v="3"/>
    <s v="Sunday"/>
    <x v="2"/>
    <x v="1"/>
    <x v="3"/>
    <s v="Veg Biryani"/>
    <x v="2"/>
    <n v="1"/>
    <n v="765"/>
    <n v="76.5"/>
    <n v="30"/>
    <n v="765"/>
    <n v="718.5"/>
    <x v="1"/>
    <x v="0"/>
    <x v="0"/>
    <n v="38"/>
    <n v="3.3"/>
  </r>
  <r>
    <x v="2948"/>
    <x v="214"/>
    <x v="7"/>
    <n v="8"/>
    <n v="3"/>
    <s v="Sunday"/>
    <x v="7"/>
    <x v="9"/>
    <x v="7"/>
    <s v="Veg Biryani"/>
    <x v="1"/>
    <n v="3"/>
    <n v="363"/>
    <n v="18.149999999999999"/>
    <n v="70"/>
    <n v="1089"/>
    <n v="1140.8499999999999"/>
    <x v="1"/>
    <x v="0"/>
    <x v="1"/>
    <n v="64"/>
    <n v="1.9"/>
  </r>
  <r>
    <x v="2949"/>
    <x v="214"/>
    <x v="7"/>
    <n v="8"/>
    <n v="3"/>
    <s v="Sunday"/>
    <x v="3"/>
    <x v="6"/>
    <x v="2"/>
    <s v="Pasta"/>
    <x v="1"/>
    <n v="1"/>
    <n v="638"/>
    <n v="31.9"/>
    <n v="0"/>
    <n v="638"/>
    <n v="606.1"/>
    <x v="1"/>
    <x v="0"/>
    <x v="1"/>
    <n v="32"/>
    <n v="4.8"/>
  </r>
  <r>
    <x v="2950"/>
    <x v="214"/>
    <x v="7"/>
    <n v="8"/>
    <n v="3"/>
    <s v="Sunday"/>
    <x v="2"/>
    <x v="5"/>
    <x v="2"/>
    <s v="French Fries"/>
    <x v="1"/>
    <n v="2"/>
    <n v="815"/>
    <n v="122.25"/>
    <n v="30"/>
    <n v="1630"/>
    <n v="1537.75"/>
    <x v="1"/>
    <x v="0"/>
    <x v="0"/>
    <n v="21"/>
    <n v="3.5"/>
  </r>
  <r>
    <x v="2951"/>
    <x v="214"/>
    <x v="7"/>
    <n v="8"/>
    <n v="3"/>
    <s v="Sunday"/>
    <x v="2"/>
    <x v="8"/>
    <x v="8"/>
    <s v="Veg Momos"/>
    <x v="1"/>
    <n v="1"/>
    <n v="394"/>
    <n v="39.4"/>
    <n v="30"/>
    <n v="394"/>
    <n v="384.6"/>
    <x v="2"/>
    <x v="0"/>
    <x v="1"/>
    <n v="20"/>
    <n v="3.7"/>
  </r>
  <r>
    <x v="2952"/>
    <x v="214"/>
    <x v="7"/>
    <n v="8"/>
    <n v="3"/>
    <s v="Sunday"/>
    <x v="4"/>
    <x v="14"/>
    <x v="6"/>
    <s v="Chicken Pizza"/>
    <x v="1"/>
    <n v="2"/>
    <n v="612"/>
    <n v="30.6"/>
    <n v="30"/>
    <n v="1224"/>
    <n v="1223.4000000000001"/>
    <x v="0"/>
    <x v="0"/>
    <x v="0"/>
    <n v="40"/>
    <n v="5"/>
  </r>
  <r>
    <x v="2953"/>
    <x v="214"/>
    <x v="7"/>
    <n v="8"/>
    <n v="3"/>
    <s v="Sunday"/>
    <x v="8"/>
    <x v="14"/>
    <x v="8"/>
    <s v="Chocolate Cake"/>
    <x v="2"/>
    <n v="3"/>
    <n v="386"/>
    <n v="19.3"/>
    <n v="0"/>
    <n v="1158"/>
    <n v="1138.7"/>
    <x v="0"/>
    <x v="0"/>
    <x v="1"/>
    <n v="70"/>
    <n v="3.3"/>
  </r>
  <r>
    <x v="2954"/>
    <x v="214"/>
    <x v="7"/>
    <n v="8"/>
    <n v="3"/>
    <s v="Sunday"/>
    <x v="0"/>
    <x v="0"/>
    <x v="5"/>
    <s v="Chocolate Cake"/>
    <x v="1"/>
    <n v="1"/>
    <n v="257"/>
    <n v="25.7"/>
    <n v="20"/>
    <n v="257"/>
    <n v="251.3"/>
    <x v="1"/>
    <x v="3"/>
    <x v="1"/>
    <n v="23"/>
    <m/>
  </r>
  <r>
    <x v="2955"/>
    <x v="214"/>
    <x v="7"/>
    <n v="8"/>
    <n v="3"/>
    <s v="Sunday"/>
    <x v="1"/>
    <x v="3"/>
    <x v="2"/>
    <s v="Idli Sambar"/>
    <x v="1"/>
    <n v="1"/>
    <n v="332"/>
    <n v="33.200000000000003"/>
    <n v="0"/>
    <n v="332"/>
    <n v="298.8"/>
    <x v="2"/>
    <x v="0"/>
    <x v="0"/>
    <n v="46"/>
    <n v="3.4"/>
  </r>
  <r>
    <x v="2956"/>
    <x v="214"/>
    <x v="7"/>
    <n v="8"/>
    <n v="3"/>
    <s v="Sunday"/>
    <x v="9"/>
    <x v="14"/>
    <x v="6"/>
    <s v="Idli Sambar"/>
    <x v="1"/>
    <n v="1"/>
    <n v="719"/>
    <n v="0"/>
    <n v="40"/>
    <n v="719"/>
    <n v="759"/>
    <x v="1"/>
    <x v="0"/>
    <x v="1"/>
    <n v="67"/>
    <n v="3.7"/>
  </r>
  <r>
    <x v="2957"/>
    <x v="214"/>
    <x v="7"/>
    <n v="8"/>
    <n v="3"/>
    <s v="Sunday"/>
    <x v="9"/>
    <x v="6"/>
    <x v="7"/>
    <s v="Masala Dosa"/>
    <x v="1"/>
    <n v="1"/>
    <n v="897"/>
    <n v="134.55000000000001"/>
    <n v="40"/>
    <n v="897"/>
    <n v="802.45"/>
    <x v="1"/>
    <x v="0"/>
    <x v="0"/>
    <n v="32"/>
    <n v="4.5999999999999996"/>
  </r>
  <r>
    <x v="2958"/>
    <x v="214"/>
    <x v="7"/>
    <n v="8"/>
    <n v="3"/>
    <s v="Sunday"/>
    <x v="0"/>
    <x v="8"/>
    <x v="2"/>
    <s v="Paneer Butter Masala"/>
    <x v="1"/>
    <n v="1"/>
    <n v="705"/>
    <n v="105.75"/>
    <n v="60"/>
    <n v="705"/>
    <n v="659.25"/>
    <x v="2"/>
    <x v="0"/>
    <x v="1"/>
    <n v="31"/>
    <n v="5"/>
  </r>
  <r>
    <x v="2959"/>
    <x v="214"/>
    <x v="7"/>
    <n v="8"/>
    <n v="3"/>
    <s v="Sunday"/>
    <x v="0"/>
    <x v="8"/>
    <x v="2"/>
    <s v="Cold Coffee"/>
    <x v="0"/>
    <n v="1"/>
    <n v="873"/>
    <n v="87.3"/>
    <n v="40"/>
    <n v="873"/>
    <n v="825.7"/>
    <x v="4"/>
    <x v="0"/>
    <x v="1"/>
    <n v="60"/>
    <n v="4.4000000000000004"/>
  </r>
  <r>
    <x v="2960"/>
    <x v="214"/>
    <x v="7"/>
    <n v="8"/>
    <n v="3"/>
    <s v="Sunday"/>
    <x v="9"/>
    <x v="10"/>
    <x v="0"/>
    <s v="Idli Sambar"/>
    <x v="1"/>
    <n v="3"/>
    <n v="720"/>
    <n v="36"/>
    <n v="0"/>
    <n v="2160"/>
    <n v="2124"/>
    <x v="2"/>
    <x v="0"/>
    <x v="1"/>
    <n v="55"/>
    <n v="3.6"/>
  </r>
  <r>
    <x v="2961"/>
    <x v="215"/>
    <x v="7"/>
    <n v="8"/>
    <n v="4"/>
    <s v="Monday"/>
    <x v="5"/>
    <x v="14"/>
    <x v="0"/>
    <s v="Veg Pizza"/>
    <x v="1"/>
    <n v="2"/>
    <n v="747"/>
    <n v="186.75"/>
    <n v="30"/>
    <n v="1494"/>
    <n v="1337.25"/>
    <x v="0"/>
    <x v="0"/>
    <x v="0"/>
    <n v="56"/>
    <n v="4.2"/>
  </r>
  <r>
    <x v="2962"/>
    <x v="215"/>
    <x v="7"/>
    <n v="8"/>
    <n v="4"/>
    <s v="Monday"/>
    <x v="1"/>
    <x v="5"/>
    <x v="2"/>
    <s v="Veg Burger"/>
    <x v="1"/>
    <n v="2"/>
    <n v="475"/>
    <n v="0"/>
    <n v="0"/>
    <n v="950"/>
    <n v="950"/>
    <x v="1"/>
    <x v="0"/>
    <x v="0"/>
    <n v="50"/>
    <n v="3.9"/>
  </r>
  <r>
    <x v="2963"/>
    <x v="215"/>
    <x v="7"/>
    <n v="8"/>
    <n v="4"/>
    <s v="Monday"/>
    <x v="7"/>
    <x v="11"/>
    <x v="2"/>
    <s v="Veg Pizza"/>
    <x v="1"/>
    <n v="3"/>
    <n v="267"/>
    <n v="26.7"/>
    <n v="30"/>
    <n v="801"/>
    <n v="804.3"/>
    <x v="4"/>
    <x v="0"/>
    <x v="1"/>
    <n v="68"/>
    <n v="4.3"/>
  </r>
  <r>
    <x v="2964"/>
    <x v="215"/>
    <x v="7"/>
    <n v="8"/>
    <n v="4"/>
    <s v="Monday"/>
    <x v="2"/>
    <x v="12"/>
    <x v="5"/>
    <s v="Chocolate Cake"/>
    <x v="2"/>
    <n v="1"/>
    <n v="224"/>
    <n v="22.4"/>
    <n v="50"/>
    <n v="224"/>
    <n v="251.6"/>
    <x v="2"/>
    <x v="0"/>
    <x v="1"/>
    <n v="67"/>
    <n v="4.9000000000000004"/>
  </r>
  <r>
    <x v="2965"/>
    <x v="215"/>
    <x v="7"/>
    <n v="8"/>
    <n v="4"/>
    <s v="Monday"/>
    <x v="8"/>
    <x v="0"/>
    <x v="3"/>
    <s v="French Fries"/>
    <x v="2"/>
    <n v="1"/>
    <n v="514"/>
    <n v="0"/>
    <n v="0"/>
    <n v="514"/>
    <n v="514"/>
    <x v="1"/>
    <x v="3"/>
    <x v="1"/>
    <n v="30"/>
    <m/>
  </r>
  <r>
    <x v="2966"/>
    <x v="215"/>
    <x v="7"/>
    <n v="8"/>
    <n v="4"/>
    <s v="Monday"/>
    <x v="3"/>
    <x v="7"/>
    <x v="8"/>
    <s v="Paneer Butter Masala"/>
    <x v="1"/>
    <n v="2"/>
    <n v="246"/>
    <n v="24.6"/>
    <n v="30"/>
    <n v="492"/>
    <n v="497.4"/>
    <x v="1"/>
    <x v="0"/>
    <x v="1"/>
    <n v="49"/>
    <n v="4.8"/>
  </r>
  <r>
    <x v="2967"/>
    <x v="215"/>
    <x v="7"/>
    <n v="8"/>
    <n v="4"/>
    <s v="Monday"/>
    <x v="5"/>
    <x v="4"/>
    <x v="1"/>
    <s v="Paneer Butter Masala"/>
    <x v="2"/>
    <n v="1"/>
    <n v="377"/>
    <n v="75.400000000000006"/>
    <n v="40"/>
    <n v="377"/>
    <n v="341.6"/>
    <x v="1"/>
    <x v="0"/>
    <x v="1"/>
    <n v="24"/>
    <n v="4.0999999999999996"/>
  </r>
  <r>
    <x v="2968"/>
    <x v="215"/>
    <x v="7"/>
    <n v="8"/>
    <n v="4"/>
    <s v="Monday"/>
    <x v="5"/>
    <x v="12"/>
    <x v="5"/>
    <s v="Chicken Burger"/>
    <x v="1"/>
    <n v="2"/>
    <n v="380"/>
    <n v="57"/>
    <n v="0"/>
    <n v="760"/>
    <n v="703"/>
    <x v="1"/>
    <x v="0"/>
    <x v="0"/>
    <n v="45"/>
    <n v="4.3"/>
  </r>
  <r>
    <x v="2969"/>
    <x v="215"/>
    <x v="7"/>
    <n v="8"/>
    <n v="4"/>
    <s v="Monday"/>
    <x v="8"/>
    <x v="14"/>
    <x v="0"/>
    <s v="Chicken Momos"/>
    <x v="3"/>
    <n v="1"/>
    <n v="486"/>
    <n v="24.3"/>
    <n v="40"/>
    <n v="486"/>
    <n v="501.7"/>
    <x v="1"/>
    <x v="0"/>
    <x v="1"/>
    <n v="52"/>
    <n v="3.4"/>
  </r>
  <r>
    <x v="2970"/>
    <x v="215"/>
    <x v="7"/>
    <n v="8"/>
    <n v="4"/>
    <s v="Monday"/>
    <x v="1"/>
    <x v="3"/>
    <x v="2"/>
    <s v="Chicken Momos"/>
    <x v="2"/>
    <n v="2"/>
    <n v="293"/>
    <n v="58.6"/>
    <n v="20"/>
    <n v="586"/>
    <n v="547.4"/>
    <x v="2"/>
    <x v="0"/>
    <x v="1"/>
    <n v="48"/>
    <n v="3.5"/>
  </r>
  <r>
    <x v="2971"/>
    <x v="215"/>
    <x v="7"/>
    <n v="8"/>
    <n v="4"/>
    <s v="Monday"/>
    <x v="0"/>
    <x v="2"/>
    <x v="8"/>
    <s v="Pasta"/>
    <x v="1"/>
    <n v="1"/>
    <n v="282"/>
    <n v="70.5"/>
    <n v="40"/>
    <n v="282"/>
    <n v="251.5"/>
    <x v="2"/>
    <x v="0"/>
    <x v="0"/>
    <n v="18"/>
    <n v="5"/>
  </r>
  <r>
    <x v="2972"/>
    <x v="215"/>
    <x v="7"/>
    <n v="8"/>
    <n v="4"/>
    <s v="Monday"/>
    <x v="3"/>
    <x v="12"/>
    <x v="8"/>
    <s v="Veg Biryani"/>
    <x v="1"/>
    <n v="2"/>
    <n v="821"/>
    <n v="0"/>
    <n v="40"/>
    <n v="1642"/>
    <n v="1682"/>
    <x v="3"/>
    <x v="0"/>
    <x v="1"/>
    <n v="29"/>
    <n v="4.2"/>
  </r>
  <r>
    <x v="2973"/>
    <x v="215"/>
    <x v="7"/>
    <n v="8"/>
    <n v="4"/>
    <s v="Monday"/>
    <x v="5"/>
    <x v="7"/>
    <x v="3"/>
    <s v="Paneer Butter Masala"/>
    <x v="1"/>
    <n v="1"/>
    <n v="276"/>
    <n v="13.8"/>
    <n v="70"/>
    <n v="276"/>
    <n v="332.2"/>
    <x v="4"/>
    <x v="0"/>
    <x v="1"/>
    <n v="53"/>
    <n v="4.0999999999999996"/>
  </r>
  <r>
    <x v="2974"/>
    <x v="215"/>
    <x v="7"/>
    <n v="8"/>
    <n v="4"/>
    <s v="Monday"/>
    <x v="3"/>
    <x v="8"/>
    <x v="4"/>
    <s v="Chicken Momos"/>
    <x v="1"/>
    <n v="1"/>
    <n v="380"/>
    <n v="38"/>
    <n v="40"/>
    <n v="380"/>
    <n v="382"/>
    <x v="0"/>
    <x v="3"/>
    <x v="1"/>
    <n v="68"/>
    <m/>
  </r>
  <r>
    <x v="2975"/>
    <x v="215"/>
    <x v="7"/>
    <n v="8"/>
    <n v="4"/>
    <s v="Monday"/>
    <x v="9"/>
    <x v="5"/>
    <x v="0"/>
    <s v="Chicken Pizza"/>
    <x v="2"/>
    <n v="3"/>
    <n v="559"/>
    <n v="55.9"/>
    <n v="40"/>
    <n v="1677"/>
    <n v="1661.1"/>
    <x v="1"/>
    <x v="0"/>
    <x v="1"/>
    <n v="34"/>
    <n v="4.7"/>
  </r>
  <r>
    <x v="2976"/>
    <x v="215"/>
    <x v="7"/>
    <n v="8"/>
    <n v="4"/>
    <s v="Monday"/>
    <x v="1"/>
    <x v="12"/>
    <x v="9"/>
    <s v="Veg Pizza"/>
    <x v="1"/>
    <n v="1"/>
    <n v="799"/>
    <n v="39.950000000000003"/>
    <n v="20"/>
    <n v="799"/>
    <n v="779.05"/>
    <x v="0"/>
    <x v="3"/>
    <x v="0"/>
    <n v="53"/>
    <m/>
  </r>
  <r>
    <x v="2977"/>
    <x v="215"/>
    <x v="7"/>
    <n v="8"/>
    <n v="4"/>
    <s v="Monday"/>
    <x v="0"/>
    <x v="14"/>
    <x v="5"/>
    <s v="French Fries"/>
    <x v="1"/>
    <n v="3"/>
    <n v="718"/>
    <n v="143.6"/>
    <n v="30"/>
    <n v="2154"/>
    <n v="2040.4"/>
    <x v="2"/>
    <x v="0"/>
    <x v="0"/>
    <n v="18"/>
    <n v="4.2"/>
  </r>
  <r>
    <x v="2978"/>
    <x v="216"/>
    <x v="7"/>
    <n v="8"/>
    <n v="5"/>
    <s v="Tuesday"/>
    <x v="3"/>
    <x v="13"/>
    <x v="1"/>
    <s v="Veg Pizza"/>
    <x v="0"/>
    <n v="3"/>
    <n v="705"/>
    <n v="70.5"/>
    <n v="40"/>
    <n v="2115"/>
    <n v="2084.5"/>
    <x v="4"/>
    <x v="0"/>
    <x v="0"/>
    <n v="61"/>
    <n v="3.6"/>
  </r>
  <r>
    <x v="2979"/>
    <x v="216"/>
    <x v="7"/>
    <n v="8"/>
    <n v="5"/>
    <s v="Tuesday"/>
    <x v="5"/>
    <x v="11"/>
    <x v="6"/>
    <s v="Masala Dosa"/>
    <x v="0"/>
    <n v="2"/>
    <n v="821"/>
    <n v="82.1"/>
    <n v="60"/>
    <n v="1642"/>
    <n v="1619.9"/>
    <x v="2"/>
    <x v="0"/>
    <x v="1"/>
    <n v="50"/>
    <n v="4.8"/>
  </r>
  <r>
    <x v="2980"/>
    <x v="216"/>
    <x v="7"/>
    <n v="8"/>
    <n v="5"/>
    <s v="Tuesday"/>
    <x v="9"/>
    <x v="14"/>
    <x v="0"/>
    <s v="Idli Sambar"/>
    <x v="1"/>
    <n v="2"/>
    <n v="253"/>
    <n v="37.950000000000003"/>
    <n v="30"/>
    <n v="506"/>
    <n v="498.05"/>
    <x v="1"/>
    <x v="0"/>
    <x v="0"/>
    <n v="60"/>
    <n v="3.3"/>
  </r>
  <r>
    <x v="2981"/>
    <x v="216"/>
    <x v="7"/>
    <n v="8"/>
    <n v="5"/>
    <s v="Tuesday"/>
    <x v="4"/>
    <x v="5"/>
    <x v="5"/>
    <s v="Chicken Momos"/>
    <x v="1"/>
    <n v="2"/>
    <n v="711"/>
    <n v="106.65"/>
    <n v="40"/>
    <n v="1422"/>
    <n v="1355.35"/>
    <x v="1"/>
    <x v="0"/>
    <x v="1"/>
    <n v="68"/>
    <n v="5"/>
  </r>
  <r>
    <x v="2982"/>
    <x v="216"/>
    <x v="7"/>
    <n v="8"/>
    <n v="5"/>
    <s v="Tuesday"/>
    <x v="0"/>
    <x v="4"/>
    <x v="2"/>
    <s v="Chicken Biryani"/>
    <x v="1"/>
    <n v="1"/>
    <n v="382"/>
    <n v="38.200000000000003"/>
    <n v="20"/>
    <n v="382"/>
    <n v="363.8"/>
    <x v="3"/>
    <x v="0"/>
    <x v="1"/>
    <n v="48"/>
    <n v="3.7"/>
  </r>
  <r>
    <x v="2983"/>
    <x v="216"/>
    <x v="7"/>
    <n v="8"/>
    <n v="5"/>
    <s v="Tuesday"/>
    <x v="1"/>
    <x v="12"/>
    <x v="6"/>
    <s v="Veg Biryani"/>
    <x v="1"/>
    <n v="2"/>
    <n v="237"/>
    <n v="11.85"/>
    <n v="30"/>
    <n v="474"/>
    <n v="492.15"/>
    <x v="1"/>
    <x v="0"/>
    <x v="1"/>
    <n v="18"/>
    <n v="4"/>
  </r>
  <r>
    <x v="2984"/>
    <x v="216"/>
    <x v="7"/>
    <n v="8"/>
    <n v="5"/>
    <s v="Tuesday"/>
    <x v="9"/>
    <x v="1"/>
    <x v="7"/>
    <s v="Idli Sambar"/>
    <x v="2"/>
    <n v="1"/>
    <n v="777"/>
    <n v="116.55"/>
    <n v="40"/>
    <n v="777"/>
    <n v="700.45"/>
    <x v="4"/>
    <x v="0"/>
    <x v="0"/>
    <n v="50"/>
    <n v="4.5"/>
  </r>
  <r>
    <x v="2985"/>
    <x v="216"/>
    <x v="7"/>
    <n v="8"/>
    <n v="5"/>
    <s v="Tuesday"/>
    <x v="1"/>
    <x v="1"/>
    <x v="0"/>
    <s v="Veg Momos"/>
    <x v="2"/>
    <n v="2"/>
    <n v="712"/>
    <n v="0"/>
    <n v="30"/>
    <n v="1424"/>
    <n v="1454"/>
    <x v="1"/>
    <x v="0"/>
    <x v="0"/>
    <n v="34"/>
    <n v="4"/>
  </r>
  <r>
    <x v="2986"/>
    <x v="216"/>
    <x v="7"/>
    <n v="8"/>
    <n v="5"/>
    <s v="Tuesday"/>
    <x v="5"/>
    <x v="4"/>
    <x v="6"/>
    <s v="Masala Dosa"/>
    <x v="1"/>
    <n v="2"/>
    <n v="858"/>
    <n v="214.5"/>
    <n v="30"/>
    <n v="1716"/>
    <n v="1531.5"/>
    <x v="1"/>
    <x v="0"/>
    <x v="1"/>
    <n v="33"/>
    <n v="3.7"/>
  </r>
  <r>
    <x v="2987"/>
    <x v="216"/>
    <x v="7"/>
    <n v="8"/>
    <n v="5"/>
    <s v="Tuesday"/>
    <x v="8"/>
    <x v="11"/>
    <x v="7"/>
    <s v="Fried Rice"/>
    <x v="1"/>
    <n v="1"/>
    <n v="762"/>
    <n v="152.4"/>
    <n v="40"/>
    <n v="762"/>
    <n v="649.6"/>
    <x v="1"/>
    <x v="0"/>
    <x v="0"/>
    <n v="55"/>
    <n v="3.7"/>
  </r>
  <r>
    <x v="2988"/>
    <x v="216"/>
    <x v="7"/>
    <n v="8"/>
    <n v="5"/>
    <s v="Tuesday"/>
    <x v="1"/>
    <x v="2"/>
    <x v="3"/>
    <s v="Veg Momos"/>
    <x v="1"/>
    <n v="2"/>
    <n v="470"/>
    <n v="70.5"/>
    <n v="40"/>
    <n v="940"/>
    <n v="909.5"/>
    <x v="1"/>
    <x v="3"/>
    <x v="1"/>
    <n v="25"/>
    <m/>
  </r>
  <r>
    <x v="2989"/>
    <x v="216"/>
    <x v="7"/>
    <n v="8"/>
    <n v="5"/>
    <s v="Tuesday"/>
    <x v="0"/>
    <x v="14"/>
    <x v="3"/>
    <s v="Masala Dosa"/>
    <x v="2"/>
    <n v="1"/>
    <n v="445"/>
    <n v="44.5"/>
    <n v="50"/>
    <n v="445"/>
    <n v="450.5"/>
    <x v="4"/>
    <x v="0"/>
    <x v="0"/>
    <n v="21"/>
    <n v="3.9"/>
  </r>
  <r>
    <x v="2990"/>
    <x v="216"/>
    <x v="7"/>
    <n v="8"/>
    <n v="5"/>
    <s v="Tuesday"/>
    <x v="4"/>
    <x v="10"/>
    <x v="6"/>
    <s v="French Fries"/>
    <x v="1"/>
    <n v="2"/>
    <n v="129"/>
    <n v="12.9"/>
    <n v="30"/>
    <n v="258"/>
    <n v="275.10000000000002"/>
    <x v="1"/>
    <x v="0"/>
    <x v="0"/>
    <n v="52"/>
    <n v="4.2"/>
  </r>
  <r>
    <x v="2991"/>
    <x v="216"/>
    <x v="7"/>
    <n v="8"/>
    <n v="5"/>
    <s v="Tuesday"/>
    <x v="7"/>
    <x v="4"/>
    <x v="9"/>
    <s v="Veg Momos"/>
    <x v="1"/>
    <n v="1"/>
    <n v="143"/>
    <n v="21.45"/>
    <n v="40"/>
    <n v="143"/>
    <n v="161.55000000000001"/>
    <x v="1"/>
    <x v="0"/>
    <x v="0"/>
    <n v="30"/>
    <n v="3.9"/>
  </r>
  <r>
    <x v="2992"/>
    <x v="216"/>
    <x v="7"/>
    <n v="8"/>
    <n v="5"/>
    <s v="Tuesday"/>
    <x v="2"/>
    <x v="4"/>
    <x v="5"/>
    <s v="Cold Coffee"/>
    <x v="1"/>
    <n v="1"/>
    <n v="849"/>
    <n v="127.35"/>
    <n v="40"/>
    <n v="849"/>
    <n v="761.65"/>
    <x v="2"/>
    <x v="0"/>
    <x v="0"/>
    <n v="25"/>
    <n v="4.5999999999999996"/>
  </r>
  <r>
    <x v="2993"/>
    <x v="217"/>
    <x v="7"/>
    <n v="8"/>
    <n v="6"/>
    <s v="Wednesday"/>
    <x v="5"/>
    <x v="7"/>
    <x v="6"/>
    <s v="Paneer Butter Masala"/>
    <x v="1"/>
    <n v="2"/>
    <n v="404"/>
    <n v="0"/>
    <n v="0"/>
    <n v="808"/>
    <n v="808"/>
    <x v="1"/>
    <x v="0"/>
    <x v="1"/>
    <n v="34"/>
    <n v="3.5"/>
  </r>
  <r>
    <x v="2994"/>
    <x v="217"/>
    <x v="7"/>
    <n v="8"/>
    <n v="6"/>
    <s v="Wednesday"/>
    <x v="4"/>
    <x v="2"/>
    <x v="8"/>
    <s v="Chocolate Cake"/>
    <x v="1"/>
    <n v="2"/>
    <n v="230"/>
    <n v="11.5"/>
    <n v="40"/>
    <n v="460"/>
    <n v="488.5"/>
    <x v="2"/>
    <x v="0"/>
    <x v="1"/>
    <n v="35"/>
    <n v="3.7"/>
  </r>
  <r>
    <x v="2995"/>
    <x v="217"/>
    <x v="7"/>
    <n v="8"/>
    <n v="6"/>
    <s v="Wednesday"/>
    <x v="7"/>
    <x v="13"/>
    <x v="3"/>
    <s v="Masala Dosa"/>
    <x v="1"/>
    <n v="1"/>
    <n v="874"/>
    <n v="43.7"/>
    <n v="60"/>
    <n v="874"/>
    <n v="890.3"/>
    <x v="4"/>
    <x v="3"/>
    <x v="1"/>
    <n v="21"/>
    <m/>
  </r>
  <r>
    <x v="2996"/>
    <x v="217"/>
    <x v="7"/>
    <n v="8"/>
    <n v="6"/>
    <s v="Wednesday"/>
    <x v="1"/>
    <x v="4"/>
    <x v="2"/>
    <s v="French Fries"/>
    <x v="1"/>
    <n v="1"/>
    <n v="754"/>
    <n v="0"/>
    <n v="60"/>
    <n v="754"/>
    <n v="814"/>
    <x v="2"/>
    <x v="0"/>
    <x v="1"/>
    <n v="33"/>
    <n v="3.1"/>
  </r>
  <r>
    <x v="2997"/>
    <x v="217"/>
    <x v="7"/>
    <n v="8"/>
    <n v="6"/>
    <s v="Wednesday"/>
    <x v="3"/>
    <x v="4"/>
    <x v="0"/>
    <s v="Paneer Butter Masala"/>
    <x v="1"/>
    <n v="2"/>
    <n v="339"/>
    <n v="33.9"/>
    <n v="20"/>
    <n v="678"/>
    <n v="664.1"/>
    <x v="1"/>
    <x v="0"/>
    <x v="1"/>
    <n v="64"/>
    <n v="4"/>
  </r>
  <r>
    <x v="2998"/>
    <x v="217"/>
    <x v="7"/>
    <n v="8"/>
    <n v="6"/>
    <s v="Wednesday"/>
    <x v="1"/>
    <x v="12"/>
    <x v="2"/>
    <s v="Chicken Biryani"/>
    <x v="3"/>
    <n v="1"/>
    <n v="864"/>
    <n v="172.8"/>
    <n v="40"/>
    <n v="864"/>
    <n v="731.2"/>
    <x v="1"/>
    <x v="2"/>
    <x v="1"/>
    <n v="50"/>
    <m/>
  </r>
  <r>
    <x v="2999"/>
    <x v="217"/>
    <x v="7"/>
    <n v="8"/>
    <n v="6"/>
    <s v="Wednesday"/>
    <x v="4"/>
    <x v="13"/>
    <x v="7"/>
    <s v="Veg Burger"/>
    <x v="1"/>
    <n v="1"/>
    <n v="445"/>
    <n v="66.75"/>
    <n v="30"/>
    <n v="445"/>
    <n v="408.25"/>
    <x v="1"/>
    <x v="0"/>
    <x v="0"/>
    <n v="19"/>
    <n v="4.2"/>
  </r>
  <r>
    <x v="3000"/>
    <x v="217"/>
    <x v="7"/>
    <n v="8"/>
    <n v="6"/>
    <s v="Wednesday"/>
    <x v="4"/>
    <x v="3"/>
    <x v="3"/>
    <s v="French Fries"/>
    <x v="1"/>
    <n v="1"/>
    <n v="669"/>
    <n v="167.25"/>
    <n v="30"/>
    <n v="669"/>
    <n v="531.75"/>
    <x v="1"/>
    <x v="0"/>
    <x v="1"/>
    <n v="51"/>
    <n v="4.3"/>
  </r>
  <r>
    <x v="3001"/>
    <x v="217"/>
    <x v="7"/>
    <n v="8"/>
    <n v="6"/>
    <s v="Wednesday"/>
    <x v="9"/>
    <x v="2"/>
    <x v="3"/>
    <s v="Veg Burger"/>
    <x v="1"/>
    <n v="2"/>
    <n v="336"/>
    <n v="67.2"/>
    <n v="20"/>
    <n v="672"/>
    <n v="624.79999999999995"/>
    <x v="0"/>
    <x v="0"/>
    <x v="1"/>
    <n v="24"/>
    <n v="4.5999999999999996"/>
  </r>
  <r>
    <x v="3002"/>
    <x v="217"/>
    <x v="7"/>
    <n v="8"/>
    <n v="6"/>
    <s v="Wednesday"/>
    <x v="2"/>
    <x v="3"/>
    <x v="9"/>
    <s v="Chicken Biryani"/>
    <x v="2"/>
    <n v="2"/>
    <n v="785"/>
    <n v="0"/>
    <n v="40"/>
    <n v="1570"/>
    <n v="1610"/>
    <x v="1"/>
    <x v="1"/>
    <x v="0"/>
    <n v="47"/>
    <m/>
  </r>
  <r>
    <x v="3003"/>
    <x v="217"/>
    <x v="7"/>
    <n v="8"/>
    <n v="6"/>
    <s v="Wednesday"/>
    <x v="9"/>
    <x v="10"/>
    <x v="8"/>
    <s v="Veg Burger"/>
    <x v="1"/>
    <n v="1"/>
    <n v="794"/>
    <n v="79.400000000000006"/>
    <n v="50"/>
    <n v="794"/>
    <n v="764.6"/>
    <x v="2"/>
    <x v="0"/>
    <x v="0"/>
    <n v="32"/>
    <n v="3.4"/>
  </r>
  <r>
    <x v="3004"/>
    <x v="217"/>
    <x v="7"/>
    <n v="8"/>
    <n v="6"/>
    <s v="Wednesday"/>
    <x v="1"/>
    <x v="9"/>
    <x v="2"/>
    <s v="Chicken Biryani"/>
    <x v="1"/>
    <n v="3"/>
    <n v="142"/>
    <n v="7.1"/>
    <n v="60"/>
    <n v="426"/>
    <n v="478.9"/>
    <x v="1"/>
    <x v="0"/>
    <x v="0"/>
    <n v="28"/>
    <n v="4.4000000000000004"/>
  </r>
  <r>
    <x v="3005"/>
    <x v="217"/>
    <x v="7"/>
    <n v="8"/>
    <n v="6"/>
    <s v="Wednesday"/>
    <x v="0"/>
    <x v="2"/>
    <x v="5"/>
    <s v="Pasta"/>
    <x v="2"/>
    <n v="1"/>
    <n v="608"/>
    <n v="0"/>
    <n v="30"/>
    <n v="608"/>
    <n v="638"/>
    <x v="2"/>
    <x v="0"/>
    <x v="1"/>
    <n v="61"/>
    <n v="4.9000000000000004"/>
  </r>
  <r>
    <x v="3006"/>
    <x v="217"/>
    <x v="7"/>
    <n v="8"/>
    <n v="6"/>
    <s v="Wednesday"/>
    <x v="3"/>
    <x v="12"/>
    <x v="4"/>
    <s v="Fried Rice"/>
    <x v="0"/>
    <n v="1"/>
    <n v="658"/>
    <n v="98.7"/>
    <n v="60"/>
    <n v="658"/>
    <n v="619.29999999999995"/>
    <x v="2"/>
    <x v="0"/>
    <x v="1"/>
    <n v="47"/>
    <n v="5"/>
  </r>
  <r>
    <x v="3007"/>
    <x v="217"/>
    <x v="7"/>
    <n v="8"/>
    <n v="6"/>
    <s v="Wednesday"/>
    <x v="1"/>
    <x v="3"/>
    <x v="7"/>
    <s v="Fried Rice"/>
    <x v="1"/>
    <n v="2"/>
    <n v="746"/>
    <n v="74.599999999999994"/>
    <n v="20"/>
    <n v="1492"/>
    <n v="1437.4"/>
    <x v="0"/>
    <x v="0"/>
    <x v="1"/>
    <n v="35"/>
    <n v="4.0999999999999996"/>
  </r>
  <r>
    <x v="3008"/>
    <x v="217"/>
    <x v="7"/>
    <n v="8"/>
    <n v="6"/>
    <s v="Wednesday"/>
    <x v="1"/>
    <x v="3"/>
    <x v="5"/>
    <s v="Paneer Butter Masala"/>
    <x v="1"/>
    <n v="3"/>
    <n v="157"/>
    <n v="23.55"/>
    <n v="60"/>
    <n v="471"/>
    <n v="507.45"/>
    <x v="4"/>
    <x v="0"/>
    <x v="1"/>
    <n v="34"/>
    <n v="5"/>
  </r>
  <r>
    <x v="3009"/>
    <x v="218"/>
    <x v="7"/>
    <n v="8"/>
    <n v="7"/>
    <s v="Thursday"/>
    <x v="5"/>
    <x v="9"/>
    <x v="8"/>
    <s v="Chicken Pizza"/>
    <x v="2"/>
    <n v="2"/>
    <n v="716"/>
    <n v="0"/>
    <n v="20"/>
    <n v="1432"/>
    <n v="1452"/>
    <x v="0"/>
    <x v="0"/>
    <x v="0"/>
    <n v="33"/>
    <n v="4.5"/>
  </r>
  <r>
    <x v="3010"/>
    <x v="218"/>
    <x v="7"/>
    <n v="8"/>
    <n v="7"/>
    <s v="Thursday"/>
    <x v="5"/>
    <x v="7"/>
    <x v="3"/>
    <s v="Masala Dosa"/>
    <x v="1"/>
    <n v="2"/>
    <n v="214"/>
    <n v="21.4"/>
    <n v="40"/>
    <n v="428"/>
    <n v="446.6"/>
    <x v="2"/>
    <x v="0"/>
    <x v="0"/>
    <n v="43"/>
    <n v="4.3"/>
  </r>
  <r>
    <x v="3011"/>
    <x v="218"/>
    <x v="7"/>
    <n v="8"/>
    <n v="7"/>
    <s v="Thursday"/>
    <x v="0"/>
    <x v="9"/>
    <x v="6"/>
    <s v="French Fries"/>
    <x v="1"/>
    <n v="2"/>
    <n v="779"/>
    <n v="0"/>
    <n v="30"/>
    <n v="1558"/>
    <n v="1588"/>
    <x v="2"/>
    <x v="0"/>
    <x v="1"/>
    <n v="55"/>
    <n v="3.7"/>
  </r>
  <r>
    <x v="3012"/>
    <x v="218"/>
    <x v="7"/>
    <n v="8"/>
    <n v="7"/>
    <s v="Thursday"/>
    <x v="9"/>
    <x v="10"/>
    <x v="6"/>
    <s v="Chocolate Cake"/>
    <x v="1"/>
    <n v="1"/>
    <n v="795"/>
    <n v="79.5"/>
    <n v="0"/>
    <n v="795"/>
    <n v="715.5"/>
    <x v="1"/>
    <x v="0"/>
    <x v="1"/>
    <n v="19"/>
    <n v="3.8"/>
  </r>
  <r>
    <x v="3013"/>
    <x v="218"/>
    <x v="7"/>
    <n v="8"/>
    <n v="7"/>
    <s v="Thursday"/>
    <x v="1"/>
    <x v="4"/>
    <x v="0"/>
    <s v="Masala Dosa"/>
    <x v="1"/>
    <n v="2"/>
    <n v="697"/>
    <n v="34.85"/>
    <n v="50"/>
    <n v="1394"/>
    <n v="1409.15"/>
    <x v="1"/>
    <x v="0"/>
    <x v="0"/>
    <n v="60"/>
    <n v="3.1"/>
  </r>
  <r>
    <x v="3014"/>
    <x v="218"/>
    <x v="7"/>
    <n v="8"/>
    <n v="7"/>
    <s v="Thursday"/>
    <x v="2"/>
    <x v="4"/>
    <x v="0"/>
    <s v="Veg Biryani"/>
    <x v="1"/>
    <n v="1"/>
    <n v="809"/>
    <n v="0"/>
    <n v="30"/>
    <n v="809"/>
    <n v="839"/>
    <x v="1"/>
    <x v="0"/>
    <x v="1"/>
    <n v="56"/>
    <n v="3.3"/>
  </r>
  <r>
    <x v="3015"/>
    <x v="218"/>
    <x v="7"/>
    <n v="8"/>
    <n v="7"/>
    <s v="Thursday"/>
    <x v="4"/>
    <x v="5"/>
    <x v="0"/>
    <s v="Fried Rice"/>
    <x v="2"/>
    <n v="3"/>
    <n v="325"/>
    <n v="48.75"/>
    <n v="30"/>
    <n v="975"/>
    <n v="956.25"/>
    <x v="0"/>
    <x v="0"/>
    <x v="1"/>
    <n v="56"/>
    <n v="5"/>
  </r>
  <r>
    <x v="3016"/>
    <x v="218"/>
    <x v="7"/>
    <n v="8"/>
    <n v="7"/>
    <s v="Thursday"/>
    <x v="8"/>
    <x v="6"/>
    <x v="0"/>
    <s v="Veg Pizza"/>
    <x v="1"/>
    <n v="2"/>
    <n v="172"/>
    <n v="25.8"/>
    <n v="50"/>
    <n v="344"/>
    <n v="368.2"/>
    <x v="3"/>
    <x v="0"/>
    <x v="1"/>
    <n v="63"/>
    <n v="4.2"/>
  </r>
  <r>
    <x v="3017"/>
    <x v="219"/>
    <x v="7"/>
    <n v="8"/>
    <n v="8"/>
    <s v="Friday"/>
    <x v="9"/>
    <x v="11"/>
    <x v="3"/>
    <s v="Veg Momos"/>
    <x v="1"/>
    <n v="1"/>
    <n v="856"/>
    <n v="214"/>
    <n v="20"/>
    <n v="856"/>
    <n v="662"/>
    <x v="1"/>
    <x v="0"/>
    <x v="1"/>
    <n v="57"/>
    <n v="4.4000000000000004"/>
  </r>
  <r>
    <x v="3018"/>
    <x v="219"/>
    <x v="7"/>
    <n v="8"/>
    <n v="8"/>
    <s v="Friday"/>
    <x v="5"/>
    <x v="1"/>
    <x v="5"/>
    <s v="Chicken Burger"/>
    <x v="0"/>
    <n v="1"/>
    <n v="463"/>
    <n v="0"/>
    <n v="20"/>
    <n v="463"/>
    <n v="483"/>
    <x v="1"/>
    <x v="0"/>
    <x v="0"/>
    <n v="51"/>
    <n v="3.3"/>
  </r>
  <r>
    <x v="3019"/>
    <x v="219"/>
    <x v="7"/>
    <n v="8"/>
    <n v="8"/>
    <s v="Friday"/>
    <x v="9"/>
    <x v="9"/>
    <x v="3"/>
    <s v="Pasta"/>
    <x v="1"/>
    <n v="3"/>
    <n v="752"/>
    <n v="112.8"/>
    <n v="50"/>
    <n v="2256"/>
    <n v="2193.1999999999998"/>
    <x v="2"/>
    <x v="0"/>
    <x v="1"/>
    <n v="30"/>
    <n v="5"/>
  </r>
  <r>
    <x v="3020"/>
    <x v="219"/>
    <x v="7"/>
    <n v="8"/>
    <n v="8"/>
    <s v="Friday"/>
    <x v="1"/>
    <x v="2"/>
    <x v="2"/>
    <s v="Idli Sambar"/>
    <x v="1"/>
    <n v="2"/>
    <n v="471"/>
    <n v="0"/>
    <n v="0"/>
    <n v="942"/>
    <n v="942"/>
    <x v="1"/>
    <x v="0"/>
    <x v="0"/>
    <n v="46"/>
    <n v="3.5"/>
  </r>
  <r>
    <x v="3021"/>
    <x v="219"/>
    <x v="7"/>
    <n v="8"/>
    <n v="8"/>
    <s v="Friday"/>
    <x v="6"/>
    <x v="1"/>
    <x v="1"/>
    <s v="Paneer Butter Masala"/>
    <x v="1"/>
    <n v="1"/>
    <n v="138"/>
    <n v="20.7"/>
    <n v="50"/>
    <n v="138"/>
    <n v="167.3"/>
    <x v="0"/>
    <x v="0"/>
    <x v="0"/>
    <n v="65"/>
    <n v="4.5"/>
  </r>
  <r>
    <x v="3022"/>
    <x v="219"/>
    <x v="7"/>
    <n v="8"/>
    <n v="8"/>
    <s v="Friday"/>
    <x v="5"/>
    <x v="8"/>
    <x v="1"/>
    <s v="Veg Biryani"/>
    <x v="2"/>
    <n v="2"/>
    <n v="717"/>
    <n v="71.7"/>
    <n v="20"/>
    <n v="1434"/>
    <n v="1382.3"/>
    <x v="1"/>
    <x v="0"/>
    <x v="1"/>
    <n v="20"/>
    <n v="5"/>
  </r>
  <r>
    <x v="3023"/>
    <x v="219"/>
    <x v="7"/>
    <n v="8"/>
    <n v="8"/>
    <s v="Friday"/>
    <x v="1"/>
    <x v="12"/>
    <x v="7"/>
    <s v="Idli Sambar"/>
    <x v="2"/>
    <n v="2"/>
    <n v="161"/>
    <n v="24.15"/>
    <n v="70"/>
    <n v="322"/>
    <n v="367.85"/>
    <x v="2"/>
    <x v="0"/>
    <x v="0"/>
    <n v="48"/>
    <n v="4.7"/>
  </r>
  <r>
    <x v="3024"/>
    <x v="219"/>
    <x v="7"/>
    <n v="8"/>
    <n v="8"/>
    <s v="Friday"/>
    <x v="5"/>
    <x v="1"/>
    <x v="5"/>
    <s v="Chicken Pizza"/>
    <x v="2"/>
    <n v="2"/>
    <n v="393"/>
    <n v="78.599999999999994"/>
    <n v="20"/>
    <n v="786"/>
    <n v="727.4"/>
    <x v="2"/>
    <x v="0"/>
    <x v="1"/>
    <n v="35"/>
    <n v="3.5"/>
  </r>
  <r>
    <x v="3025"/>
    <x v="219"/>
    <x v="7"/>
    <n v="8"/>
    <n v="8"/>
    <s v="Friday"/>
    <x v="3"/>
    <x v="3"/>
    <x v="1"/>
    <s v="Fried Rice"/>
    <x v="2"/>
    <n v="2"/>
    <n v="318"/>
    <n v="47.7"/>
    <n v="30"/>
    <n v="636"/>
    <n v="618.29999999999995"/>
    <x v="1"/>
    <x v="0"/>
    <x v="0"/>
    <n v="34"/>
    <n v="3.8"/>
  </r>
  <r>
    <x v="3026"/>
    <x v="219"/>
    <x v="7"/>
    <n v="8"/>
    <n v="8"/>
    <s v="Friday"/>
    <x v="1"/>
    <x v="11"/>
    <x v="1"/>
    <s v="Idli Sambar"/>
    <x v="1"/>
    <n v="1"/>
    <n v="460"/>
    <n v="69"/>
    <n v="30"/>
    <n v="460"/>
    <n v="421"/>
    <x v="1"/>
    <x v="0"/>
    <x v="1"/>
    <n v="61"/>
    <n v="2.5"/>
  </r>
  <r>
    <x v="3027"/>
    <x v="219"/>
    <x v="7"/>
    <n v="8"/>
    <n v="8"/>
    <s v="Friday"/>
    <x v="3"/>
    <x v="1"/>
    <x v="4"/>
    <s v="Chicken Momos"/>
    <x v="2"/>
    <n v="1"/>
    <n v="767"/>
    <n v="153.4"/>
    <n v="40"/>
    <n v="767"/>
    <n v="653.6"/>
    <x v="1"/>
    <x v="2"/>
    <x v="0"/>
    <n v="58"/>
    <m/>
  </r>
  <r>
    <x v="3028"/>
    <x v="219"/>
    <x v="7"/>
    <n v="8"/>
    <n v="8"/>
    <s v="Friday"/>
    <x v="7"/>
    <x v="7"/>
    <x v="1"/>
    <s v="Idli Sambar"/>
    <x v="1"/>
    <n v="1"/>
    <n v="171"/>
    <n v="34.200000000000003"/>
    <n v="50"/>
    <n v="171"/>
    <n v="186.8"/>
    <x v="2"/>
    <x v="0"/>
    <x v="0"/>
    <n v="29"/>
    <n v="4.3"/>
  </r>
  <r>
    <x v="3029"/>
    <x v="219"/>
    <x v="7"/>
    <n v="8"/>
    <n v="8"/>
    <s v="Friday"/>
    <x v="3"/>
    <x v="13"/>
    <x v="6"/>
    <s v="Cold Coffee"/>
    <x v="1"/>
    <n v="2"/>
    <n v="283"/>
    <n v="28.3"/>
    <n v="20"/>
    <n v="566"/>
    <n v="557.70000000000005"/>
    <x v="0"/>
    <x v="0"/>
    <x v="0"/>
    <n v="43"/>
    <n v="4.5999999999999996"/>
  </r>
  <r>
    <x v="3030"/>
    <x v="219"/>
    <x v="7"/>
    <n v="8"/>
    <n v="8"/>
    <s v="Friday"/>
    <x v="3"/>
    <x v="3"/>
    <x v="6"/>
    <s v="Cold Coffee"/>
    <x v="1"/>
    <n v="2"/>
    <n v="302"/>
    <n v="0"/>
    <n v="30"/>
    <n v="604"/>
    <n v="634"/>
    <x v="0"/>
    <x v="3"/>
    <x v="1"/>
    <n v="64"/>
    <m/>
  </r>
  <r>
    <x v="3031"/>
    <x v="219"/>
    <x v="7"/>
    <n v="8"/>
    <n v="8"/>
    <s v="Friday"/>
    <x v="1"/>
    <x v="10"/>
    <x v="6"/>
    <s v="Masala Dosa"/>
    <x v="1"/>
    <n v="2"/>
    <n v="842"/>
    <n v="84.2"/>
    <n v="30"/>
    <n v="1684"/>
    <n v="1629.8"/>
    <x v="1"/>
    <x v="0"/>
    <x v="1"/>
    <n v="64"/>
    <n v="3.9"/>
  </r>
  <r>
    <x v="3032"/>
    <x v="219"/>
    <x v="7"/>
    <n v="8"/>
    <n v="8"/>
    <s v="Friday"/>
    <x v="4"/>
    <x v="10"/>
    <x v="4"/>
    <s v="Chicken Biryani"/>
    <x v="1"/>
    <n v="1"/>
    <n v="121"/>
    <n v="24.2"/>
    <n v="20"/>
    <n v="121"/>
    <n v="116.8"/>
    <x v="2"/>
    <x v="0"/>
    <x v="1"/>
    <n v="21"/>
    <n v="3.8"/>
  </r>
  <r>
    <x v="3033"/>
    <x v="220"/>
    <x v="7"/>
    <n v="8"/>
    <n v="9"/>
    <s v="Saturday"/>
    <x v="4"/>
    <x v="7"/>
    <x v="0"/>
    <s v="Chicken Momos"/>
    <x v="1"/>
    <n v="1"/>
    <n v="514"/>
    <n v="51.4"/>
    <n v="50"/>
    <n v="514"/>
    <n v="512.6"/>
    <x v="2"/>
    <x v="0"/>
    <x v="0"/>
    <n v="69"/>
    <n v="3.9"/>
  </r>
  <r>
    <x v="3034"/>
    <x v="220"/>
    <x v="7"/>
    <n v="8"/>
    <n v="9"/>
    <s v="Saturday"/>
    <x v="5"/>
    <x v="3"/>
    <x v="0"/>
    <s v="Chocolate Cake"/>
    <x v="1"/>
    <n v="1"/>
    <n v="420"/>
    <n v="0"/>
    <n v="30"/>
    <n v="420"/>
    <n v="450"/>
    <x v="3"/>
    <x v="0"/>
    <x v="1"/>
    <n v="53"/>
    <n v="4"/>
  </r>
  <r>
    <x v="3035"/>
    <x v="220"/>
    <x v="7"/>
    <n v="8"/>
    <n v="9"/>
    <s v="Saturday"/>
    <x v="1"/>
    <x v="1"/>
    <x v="0"/>
    <s v="Veg Burger"/>
    <x v="2"/>
    <n v="1"/>
    <n v="409"/>
    <n v="61.35"/>
    <n v="0"/>
    <n v="409"/>
    <n v="347.65"/>
    <x v="1"/>
    <x v="0"/>
    <x v="1"/>
    <n v="19"/>
    <n v="4.0999999999999996"/>
  </r>
  <r>
    <x v="3036"/>
    <x v="220"/>
    <x v="7"/>
    <n v="8"/>
    <n v="9"/>
    <s v="Saturday"/>
    <x v="6"/>
    <x v="5"/>
    <x v="9"/>
    <s v="Chocolate Cake"/>
    <x v="3"/>
    <n v="2"/>
    <n v="768"/>
    <n v="192"/>
    <n v="30"/>
    <n v="1536"/>
    <n v="1374"/>
    <x v="3"/>
    <x v="0"/>
    <x v="0"/>
    <n v="28"/>
    <n v="3.8"/>
  </r>
  <r>
    <x v="3037"/>
    <x v="220"/>
    <x v="7"/>
    <n v="8"/>
    <n v="9"/>
    <s v="Saturday"/>
    <x v="3"/>
    <x v="0"/>
    <x v="1"/>
    <s v="Chicken Pizza"/>
    <x v="1"/>
    <n v="2"/>
    <n v="439"/>
    <n v="65.849999999999994"/>
    <n v="20"/>
    <n v="878"/>
    <n v="832.15"/>
    <x v="2"/>
    <x v="0"/>
    <x v="0"/>
    <n v="43"/>
    <n v="3.6"/>
  </r>
  <r>
    <x v="3038"/>
    <x v="220"/>
    <x v="7"/>
    <n v="8"/>
    <n v="9"/>
    <s v="Saturday"/>
    <x v="8"/>
    <x v="8"/>
    <x v="3"/>
    <s v="Paneer Butter Masala"/>
    <x v="2"/>
    <n v="1"/>
    <n v="478"/>
    <n v="71.7"/>
    <n v="50"/>
    <n v="478"/>
    <n v="456.3"/>
    <x v="2"/>
    <x v="0"/>
    <x v="1"/>
    <n v="22"/>
    <n v="4.0999999999999996"/>
  </r>
  <r>
    <x v="3039"/>
    <x v="220"/>
    <x v="7"/>
    <n v="8"/>
    <n v="9"/>
    <s v="Saturday"/>
    <x v="4"/>
    <x v="4"/>
    <x v="4"/>
    <s v="Paneer Butter Masala"/>
    <x v="3"/>
    <n v="1"/>
    <n v="248"/>
    <n v="24.8"/>
    <n v="30"/>
    <n v="248"/>
    <n v="253.2"/>
    <x v="0"/>
    <x v="2"/>
    <x v="1"/>
    <n v="65"/>
    <m/>
  </r>
  <r>
    <x v="3040"/>
    <x v="220"/>
    <x v="7"/>
    <n v="8"/>
    <n v="9"/>
    <s v="Saturday"/>
    <x v="4"/>
    <x v="3"/>
    <x v="8"/>
    <s v="Veg Momos"/>
    <x v="0"/>
    <n v="2"/>
    <n v="449"/>
    <n v="67.349999999999994"/>
    <n v="40"/>
    <n v="898"/>
    <n v="870.65"/>
    <x v="2"/>
    <x v="1"/>
    <x v="1"/>
    <n v="39"/>
    <m/>
  </r>
  <r>
    <x v="3041"/>
    <x v="220"/>
    <x v="7"/>
    <n v="8"/>
    <n v="9"/>
    <s v="Saturday"/>
    <x v="3"/>
    <x v="11"/>
    <x v="1"/>
    <s v="Idli Sambar"/>
    <x v="1"/>
    <n v="2"/>
    <n v="300"/>
    <n v="0"/>
    <n v="40"/>
    <n v="600"/>
    <n v="640"/>
    <x v="1"/>
    <x v="2"/>
    <x v="0"/>
    <n v="42"/>
    <m/>
  </r>
  <r>
    <x v="3042"/>
    <x v="220"/>
    <x v="7"/>
    <n v="8"/>
    <n v="9"/>
    <s v="Saturday"/>
    <x v="6"/>
    <x v="11"/>
    <x v="4"/>
    <s v="Veg Burger"/>
    <x v="0"/>
    <n v="1"/>
    <n v="820"/>
    <n v="82"/>
    <n v="30"/>
    <n v="820"/>
    <n v="768"/>
    <x v="1"/>
    <x v="0"/>
    <x v="1"/>
    <n v="65"/>
    <n v="4.3"/>
  </r>
  <r>
    <x v="3043"/>
    <x v="220"/>
    <x v="7"/>
    <n v="8"/>
    <n v="9"/>
    <s v="Saturday"/>
    <x v="5"/>
    <x v="8"/>
    <x v="1"/>
    <s v="Paneer Butter Masala"/>
    <x v="0"/>
    <n v="2"/>
    <n v="740"/>
    <n v="37"/>
    <n v="30"/>
    <n v="1480"/>
    <n v="1473"/>
    <x v="1"/>
    <x v="0"/>
    <x v="0"/>
    <n v="50"/>
    <n v="3.8"/>
  </r>
  <r>
    <x v="3044"/>
    <x v="221"/>
    <x v="7"/>
    <n v="8"/>
    <n v="10"/>
    <s v="Sunday"/>
    <x v="0"/>
    <x v="9"/>
    <x v="2"/>
    <s v="Veg Momos"/>
    <x v="1"/>
    <n v="2"/>
    <n v="353"/>
    <n v="70.599999999999994"/>
    <n v="50"/>
    <n v="706"/>
    <n v="685.4"/>
    <x v="1"/>
    <x v="1"/>
    <x v="0"/>
    <n v="35"/>
    <m/>
  </r>
  <r>
    <x v="3045"/>
    <x v="221"/>
    <x v="7"/>
    <n v="8"/>
    <n v="10"/>
    <s v="Sunday"/>
    <x v="1"/>
    <x v="4"/>
    <x v="2"/>
    <s v="Cold Coffee"/>
    <x v="0"/>
    <n v="1"/>
    <n v="273"/>
    <n v="54.6"/>
    <n v="40"/>
    <n v="273"/>
    <n v="258.39999999999998"/>
    <x v="1"/>
    <x v="0"/>
    <x v="0"/>
    <n v="52"/>
    <n v="4"/>
  </r>
  <r>
    <x v="3046"/>
    <x v="221"/>
    <x v="7"/>
    <n v="8"/>
    <n v="10"/>
    <s v="Sunday"/>
    <x v="9"/>
    <x v="11"/>
    <x v="6"/>
    <s v="Masala Dosa"/>
    <x v="1"/>
    <n v="3"/>
    <n v="297"/>
    <n v="44.55"/>
    <n v="50"/>
    <n v="891"/>
    <n v="896.45"/>
    <x v="1"/>
    <x v="0"/>
    <x v="1"/>
    <n v="39"/>
    <n v="4.5999999999999996"/>
  </r>
  <r>
    <x v="3047"/>
    <x v="221"/>
    <x v="7"/>
    <n v="8"/>
    <n v="10"/>
    <s v="Sunday"/>
    <x v="9"/>
    <x v="1"/>
    <x v="1"/>
    <s v="Cold Coffee"/>
    <x v="1"/>
    <n v="1"/>
    <n v="722"/>
    <n v="144.4"/>
    <n v="50"/>
    <n v="722"/>
    <n v="627.6"/>
    <x v="1"/>
    <x v="0"/>
    <x v="1"/>
    <n v="21"/>
    <n v="3.4"/>
  </r>
  <r>
    <x v="3048"/>
    <x v="221"/>
    <x v="7"/>
    <n v="8"/>
    <n v="10"/>
    <s v="Sunday"/>
    <x v="6"/>
    <x v="12"/>
    <x v="0"/>
    <s v="Paneer Butter Masala"/>
    <x v="2"/>
    <n v="1"/>
    <n v="744"/>
    <n v="37.200000000000003"/>
    <n v="0"/>
    <n v="744"/>
    <n v="706.8"/>
    <x v="4"/>
    <x v="0"/>
    <x v="1"/>
    <n v="69"/>
    <n v="3.4"/>
  </r>
  <r>
    <x v="3049"/>
    <x v="221"/>
    <x v="7"/>
    <n v="8"/>
    <n v="10"/>
    <s v="Sunday"/>
    <x v="5"/>
    <x v="13"/>
    <x v="7"/>
    <s v="Paneer Butter Masala"/>
    <x v="1"/>
    <n v="2"/>
    <n v="461"/>
    <n v="0"/>
    <n v="0"/>
    <n v="922"/>
    <n v="922"/>
    <x v="1"/>
    <x v="0"/>
    <x v="1"/>
    <n v="68"/>
    <n v="3.8"/>
  </r>
  <r>
    <x v="3050"/>
    <x v="221"/>
    <x v="7"/>
    <n v="8"/>
    <n v="10"/>
    <s v="Sunday"/>
    <x v="1"/>
    <x v="10"/>
    <x v="9"/>
    <s v="Cold Coffee"/>
    <x v="1"/>
    <n v="2"/>
    <n v="486"/>
    <n v="24.3"/>
    <n v="0"/>
    <n v="972"/>
    <n v="947.7"/>
    <x v="1"/>
    <x v="0"/>
    <x v="0"/>
    <n v="60"/>
    <n v="4.4000000000000004"/>
  </r>
  <r>
    <x v="3051"/>
    <x v="221"/>
    <x v="7"/>
    <n v="8"/>
    <n v="10"/>
    <s v="Sunday"/>
    <x v="4"/>
    <x v="11"/>
    <x v="4"/>
    <s v="Fried Rice"/>
    <x v="1"/>
    <n v="2"/>
    <n v="842"/>
    <n v="168.4"/>
    <n v="30"/>
    <n v="1684"/>
    <n v="1545.6"/>
    <x v="1"/>
    <x v="0"/>
    <x v="0"/>
    <n v="68"/>
    <n v="2.8"/>
  </r>
  <r>
    <x v="3052"/>
    <x v="221"/>
    <x v="7"/>
    <n v="8"/>
    <n v="10"/>
    <s v="Sunday"/>
    <x v="3"/>
    <x v="8"/>
    <x v="7"/>
    <s v="Veg Biryani"/>
    <x v="0"/>
    <n v="3"/>
    <n v="722"/>
    <n v="144.4"/>
    <n v="30"/>
    <n v="2166"/>
    <n v="2051.6"/>
    <x v="2"/>
    <x v="0"/>
    <x v="1"/>
    <n v="61"/>
    <n v="4.7"/>
  </r>
  <r>
    <x v="3053"/>
    <x v="221"/>
    <x v="7"/>
    <n v="8"/>
    <n v="10"/>
    <s v="Sunday"/>
    <x v="0"/>
    <x v="3"/>
    <x v="2"/>
    <s v="Paneer Butter Masala"/>
    <x v="0"/>
    <n v="3"/>
    <n v="412"/>
    <n v="41.2"/>
    <n v="50"/>
    <n v="1236"/>
    <n v="1244.8"/>
    <x v="1"/>
    <x v="0"/>
    <x v="1"/>
    <n v="19"/>
    <n v="4.0999999999999996"/>
  </r>
  <r>
    <x v="3054"/>
    <x v="221"/>
    <x v="7"/>
    <n v="8"/>
    <n v="10"/>
    <s v="Sunday"/>
    <x v="6"/>
    <x v="7"/>
    <x v="6"/>
    <s v="Idli Sambar"/>
    <x v="1"/>
    <n v="2"/>
    <n v="707"/>
    <n v="70.7"/>
    <n v="50"/>
    <n v="1414"/>
    <n v="1393.3"/>
    <x v="1"/>
    <x v="0"/>
    <x v="0"/>
    <n v="35"/>
    <n v="3.9"/>
  </r>
  <r>
    <x v="3055"/>
    <x v="221"/>
    <x v="7"/>
    <n v="8"/>
    <n v="10"/>
    <s v="Sunday"/>
    <x v="5"/>
    <x v="14"/>
    <x v="7"/>
    <s v="Idli Sambar"/>
    <x v="2"/>
    <n v="1"/>
    <n v="692"/>
    <n v="103.8"/>
    <n v="60"/>
    <n v="692"/>
    <n v="648.20000000000005"/>
    <x v="3"/>
    <x v="0"/>
    <x v="1"/>
    <n v="22"/>
    <n v="3.7"/>
  </r>
  <r>
    <x v="3056"/>
    <x v="221"/>
    <x v="7"/>
    <n v="8"/>
    <n v="10"/>
    <s v="Sunday"/>
    <x v="1"/>
    <x v="14"/>
    <x v="9"/>
    <s v="Chicken Burger"/>
    <x v="2"/>
    <n v="2"/>
    <n v="581"/>
    <n v="58.1"/>
    <n v="60"/>
    <n v="1162"/>
    <n v="1163.9000000000001"/>
    <x v="3"/>
    <x v="1"/>
    <x v="0"/>
    <n v="61"/>
    <m/>
  </r>
  <r>
    <x v="3057"/>
    <x v="221"/>
    <x v="7"/>
    <n v="8"/>
    <n v="10"/>
    <s v="Sunday"/>
    <x v="4"/>
    <x v="3"/>
    <x v="7"/>
    <s v="Idli Sambar"/>
    <x v="1"/>
    <n v="1"/>
    <n v="200"/>
    <n v="40"/>
    <n v="50"/>
    <n v="200"/>
    <n v="210"/>
    <x v="2"/>
    <x v="0"/>
    <x v="1"/>
    <n v="26"/>
    <n v="3.8"/>
  </r>
  <r>
    <x v="3058"/>
    <x v="221"/>
    <x v="7"/>
    <n v="8"/>
    <n v="10"/>
    <s v="Sunday"/>
    <x v="1"/>
    <x v="2"/>
    <x v="8"/>
    <s v="Chicken Biryani"/>
    <x v="2"/>
    <n v="3"/>
    <n v="532"/>
    <n v="53.2"/>
    <n v="60"/>
    <n v="1596"/>
    <n v="1602.8"/>
    <x v="1"/>
    <x v="0"/>
    <x v="1"/>
    <n v="38"/>
    <n v="4.5999999999999996"/>
  </r>
  <r>
    <x v="3059"/>
    <x v="221"/>
    <x v="7"/>
    <n v="8"/>
    <n v="10"/>
    <s v="Sunday"/>
    <x v="5"/>
    <x v="9"/>
    <x v="3"/>
    <s v="Chicken Pizza"/>
    <x v="3"/>
    <n v="1"/>
    <n v="410"/>
    <n v="61.5"/>
    <n v="40"/>
    <n v="410"/>
    <n v="388.5"/>
    <x v="1"/>
    <x v="0"/>
    <x v="1"/>
    <n v="34"/>
    <n v="2.7"/>
  </r>
  <r>
    <x v="3060"/>
    <x v="222"/>
    <x v="7"/>
    <n v="8"/>
    <n v="11"/>
    <s v="Monday"/>
    <x v="1"/>
    <x v="3"/>
    <x v="9"/>
    <s v="Pasta"/>
    <x v="1"/>
    <n v="1"/>
    <n v="373"/>
    <n v="55.95"/>
    <n v="40"/>
    <n v="373"/>
    <n v="357.05"/>
    <x v="4"/>
    <x v="0"/>
    <x v="1"/>
    <n v="37"/>
    <n v="3.8"/>
  </r>
  <r>
    <x v="3061"/>
    <x v="222"/>
    <x v="7"/>
    <n v="8"/>
    <n v="11"/>
    <s v="Monday"/>
    <x v="1"/>
    <x v="9"/>
    <x v="5"/>
    <s v="Pasta"/>
    <x v="1"/>
    <n v="2"/>
    <n v="355"/>
    <n v="0"/>
    <n v="50"/>
    <n v="710"/>
    <n v="760"/>
    <x v="2"/>
    <x v="2"/>
    <x v="0"/>
    <n v="42"/>
    <m/>
  </r>
  <r>
    <x v="3062"/>
    <x v="222"/>
    <x v="7"/>
    <n v="8"/>
    <n v="11"/>
    <s v="Monday"/>
    <x v="0"/>
    <x v="9"/>
    <x v="5"/>
    <s v="Veg Burger"/>
    <x v="2"/>
    <n v="1"/>
    <n v="216"/>
    <n v="43.2"/>
    <n v="40"/>
    <n v="216"/>
    <n v="212.8"/>
    <x v="2"/>
    <x v="3"/>
    <x v="1"/>
    <n v="21"/>
    <m/>
  </r>
  <r>
    <x v="3063"/>
    <x v="222"/>
    <x v="7"/>
    <n v="8"/>
    <n v="11"/>
    <s v="Monday"/>
    <x v="9"/>
    <x v="0"/>
    <x v="0"/>
    <s v="French Fries"/>
    <x v="1"/>
    <n v="1"/>
    <n v="208"/>
    <n v="31.2"/>
    <n v="20"/>
    <n v="208"/>
    <n v="196.8"/>
    <x v="0"/>
    <x v="0"/>
    <x v="0"/>
    <n v="57"/>
    <n v="4.9000000000000004"/>
  </r>
  <r>
    <x v="3064"/>
    <x v="222"/>
    <x v="7"/>
    <n v="8"/>
    <n v="11"/>
    <s v="Monday"/>
    <x v="3"/>
    <x v="12"/>
    <x v="6"/>
    <s v="Masala Dosa"/>
    <x v="0"/>
    <n v="1"/>
    <n v="597"/>
    <n v="0"/>
    <n v="30"/>
    <n v="597"/>
    <n v="627"/>
    <x v="1"/>
    <x v="1"/>
    <x v="0"/>
    <n v="50"/>
    <m/>
  </r>
  <r>
    <x v="3065"/>
    <x v="222"/>
    <x v="7"/>
    <n v="8"/>
    <n v="11"/>
    <s v="Monday"/>
    <x v="0"/>
    <x v="4"/>
    <x v="4"/>
    <s v="Chicken Burger"/>
    <x v="1"/>
    <n v="2"/>
    <n v="651"/>
    <n v="97.65"/>
    <n v="0"/>
    <n v="1302"/>
    <n v="1204.3499999999999"/>
    <x v="1"/>
    <x v="0"/>
    <x v="0"/>
    <n v="55"/>
    <n v="4.3"/>
  </r>
  <r>
    <x v="3066"/>
    <x v="222"/>
    <x v="7"/>
    <n v="8"/>
    <n v="11"/>
    <s v="Monday"/>
    <x v="5"/>
    <x v="14"/>
    <x v="2"/>
    <s v="Cold Coffee"/>
    <x v="1"/>
    <n v="1"/>
    <n v="658"/>
    <n v="131.6"/>
    <n v="60"/>
    <n v="658"/>
    <n v="586.4"/>
    <x v="1"/>
    <x v="1"/>
    <x v="0"/>
    <n v="58"/>
    <m/>
  </r>
  <r>
    <x v="3067"/>
    <x v="222"/>
    <x v="7"/>
    <n v="8"/>
    <n v="11"/>
    <s v="Monday"/>
    <x v="3"/>
    <x v="13"/>
    <x v="1"/>
    <s v="Chicken Momos"/>
    <x v="1"/>
    <n v="1"/>
    <n v="601"/>
    <n v="0"/>
    <n v="0"/>
    <n v="601"/>
    <n v="601"/>
    <x v="2"/>
    <x v="0"/>
    <x v="0"/>
    <n v="37"/>
    <n v="3.4"/>
  </r>
  <r>
    <x v="3068"/>
    <x v="222"/>
    <x v="7"/>
    <n v="8"/>
    <n v="11"/>
    <s v="Monday"/>
    <x v="6"/>
    <x v="5"/>
    <x v="0"/>
    <s v="Cold Coffee"/>
    <x v="0"/>
    <n v="3"/>
    <n v="166"/>
    <n v="24.9"/>
    <n v="20"/>
    <n v="498"/>
    <n v="493.1"/>
    <x v="2"/>
    <x v="0"/>
    <x v="0"/>
    <n v="65"/>
    <n v="3.5"/>
  </r>
  <r>
    <x v="3069"/>
    <x v="222"/>
    <x v="7"/>
    <n v="8"/>
    <n v="11"/>
    <s v="Monday"/>
    <x v="9"/>
    <x v="0"/>
    <x v="1"/>
    <s v="Chicken Burger"/>
    <x v="2"/>
    <n v="1"/>
    <n v="824"/>
    <n v="82.4"/>
    <n v="40"/>
    <n v="824"/>
    <n v="781.6"/>
    <x v="4"/>
    <x v="0"/>
    <x v="1"/>
    <n v="42"/>
    <n v="2.5"/>
  </r>
  <r>
    <x v="3070"/>
    <x v="222"/>
    <x v="7"/>
    <n v="8"/>
    <n v="11"/>
    <s v="Monday"/>
    <x v="2"/>
    <x v="13"/>
    <x v="2"/>
    <s v="Chicken Pizza"/>
    <x v="0"/>
    <n v="1"/>
    <n v="385"/>
    <n v="57.75"/>
    <n v="20"/>
    <n v="385"/>
    <n v="347.25"/>
    <x v="1"/>
    <x v="0"/>
    <x v="1"/>
    <n v="67"/>
    <n v="4"/>
  </r>
  <r>
    <x v="3071"/>
    <x v="222"/>
    <x v="7"/>
    <n v="8"/>
    <n v="11"/>
    <s v="Monday"/>
    <x v="1"/>
    <x v="2"/>
    <x v="4"/>
    <s v="Idli Sambar"/>
    <x v="2"/>
    <n v="2"/>
    <n v="816"/>
    <n v="40.799999999999997"/>
    <n v="70"/>
    <n v="1632"/>
    <n v="1661.2"/>
    <x v="0"/>
    <x v="0"/>
    <x v="1"/>
    <n v="34"/>
    <n v="4.3"/>
  </r>
  <r>
    <x v="3072"/>
    <x v="222"/>
    <x v="7"/>
    <n v="8"/>
    <n v="11"/>
    <s v="Monday"/>
    <x v="4"/>
    <x v="6"/>
    <x v="4"/>
    <s v="Fried Rice"/>
    <x v="1"/>
    <n v="1"/>
    <n v="167"/>
    <n v="41.75"/>
    <n v="50"/>
    <n v="167"/>
    <n v="175.25"/>
    <x v="1"/>
    <x v="1"/>
    <x v="1"/>
    <n v="20"/>
    <m/>
  </r>
  <r>
    <x v="3073"/>
    <x v="222"/>
    <x v="7"/>
    <n v="8"/>
    <n v="11"/>
    <s v="Monday"/>
    <x v="3"/>
    <x v="6"/>
    <x v="2"/>
    <s v="Paneer Butter Masala"/>
    <x v="1"/>
    <n v="2"/>
    <n v="554"/>
    <n v="27.7"/>
    <n v="0"/>
    <n v="1108"/>
    <n v="1080.3"/>
    <x v="0"/>
    <x v="0"/>
    <x v="1"/>
    <n v="32"/>
    <n v="4.9000000000000004"/>
  </r>
  <r>
    <x v="3074"/>
    <x v="222"/>
    <x v="7"/>
    <n v="8"/>
    <n v="11"/>
    <s v="Monday"/>
    <x v="7"/>
    <x v="10"/>
    <x v="7"/>
    <s v="Chicken Biryani"/>
    <x v="0"/>
    <n v="2"/>
    <n v="807"/>
    <n v="121.05"/>
    <n v="30"/>
    <n v="1614"/>
    <n v="1522.95"/>
    <x v="2"/>
    <x v="0"/>
    <x v="1"/>
    <n v="43"/>
    <n v="3.1"/>
  </r>
  <r>
    <x v="3075"/>
    <x v="222"/>
    <x v="7"/>
    <n v="8"/>
    <n v="11"/>
    <s v="Monday"/>
    <x v="7"/>
    <x v="6"/>
    <x v="7"/>
    <s v="Chicken Momos"/>
    <x v="1"/>
    <n v="2"/>
    <n v="878"/>
    <n v="175.6"/>
    <n v="40"/>
    <n v="1756"/>
    <n v="1620.4"/>
    <x v="4"/>
    <x v="0"/>
    <x v="0"/>
    <n v="34"/>
    <n v="4.3"/>
  </r>
  <r>
    <x v="3076"/>
    <x v="223"/>
    <x v="7"/>
    <n v="8"/>
    <n v="12"/>
    <s v="Tuesday"/>
    <x v="3"/>
    <x v="0"/>
    <x v="8"/>
    <s v="Cold Coffee"/>
    <x v="1"/>
    <n v="1"/>
    <n v="284"/>
    <n v="14.2"/>
    <n v="0"/>
    <n v="284"/>
    <n v="269.8"/>
    <x v="1"/>
    <x v="0"/>
    <x v="1"/>
    <n v="68"/>
    <n v="4.5999999999999996"/>
  </r>
  <r>
    <x v="3077"/>
    <x v="223"/>
    <x v="7"/>
    <n v="8"/>
    <n v="12"/>
    <s v="Tuesday"/>
    <x v="3"/>
    <x v="3"/>
    <x v="0"/>
    <s v="Veg Pizza"/>
    <x v="1"/>
    <n v="1"/>
    <n v="165"/>
    <n v="16.5"/>
    <n v="30"/>
    <n v="165"/>
    <n v="178.5"/>
    <x v="1"/>
    <x v="0"/>
    <x v="0"/>
    <n v="59"/>
    <n v="4.2"/>
  </r>
  <r>
    <x v="3078"/>
    <x v="223"/>
    <x v="7"/>
    <n v="8"/>
    <n v="12"/>
    <s v="Tuesday"/>
    <x v="2"/>
    <x v="6"/>
    <x v="9"/>
    <s v="Cold Coffee"/>
    <x v="1"/>
    <n v="1"/>
    <n v="440"/>
    <n v="22"/>
    <n v="0"/>
    <n v="440"/>
    <n v="418"/>
    <x v="0"/>
    <x v="0"/>
    <x v="1"/>
    <n v="39"/>
    <n v="5"/>
  </r>
  <r>
    <x v="3079"/>
    <x v="223"/>
    <x v="7"/>
    <n v="8"/>
    <n v="12"/>
    <s v="Tuesday"/>
    <x v="5"/>
    <x v="14"/>
    <x v="0"/>
    <s v="Veg Burger"/>
    <x v="2"/>
    <n v="2"/>
    <n v="435"/>
    <n v="87"/>
    <n v="40"/>
    <n v="870"/>
    <n v="823"/>
    <x v="1"/>
    <x v="0"/>
    <x v="0"/>
    <n v="56"/>
    <n v="4.5"/>
  </r>
  <r>
    <x v="3080"/>
    <x v="223"/>
    <x v="7"/>
    <n v="8"/>
    <n v="12"/>
    <s v="Tuesday"/>
    <x v="0"/>
    <x v="8"/>
    <x v="2"/>
    <s v="Pasta"/>
    <x v="1"/>
    <n v="2"/>
    <n v="397"/>
    <n v="0"/>
    <n v="0"/>
    <n v="794"/>
    <n v="794"/>
    <x v="2"/>
    <x v="0"/>
    <x v="1"/>
    <n v="68"/>
    <n v="3.9"/>
  </r>
  <r>
    <x v="3081"/>
    <x v="223"/>
    <x v="7"/>
    <n v="8"/>
    <n v="12"/>
    <s v="Tuesday"/>
    <x v="9"/>
    <x v="13"/>
    <x v="5"/>
    <s v="Masala Dosa"/>
    <x v="1"/>
    <n v="1"/>
    <n v="276"/>
    <n v="0"/>
    <n v="40"/>
    <n v="276"/>
    <n v="316"/>
    <x v="2"/>
    <x v="0"/>
    <x v="1"/>
    <n v="52"/>
    <n v="2.9"/>
  </r>
  <r>
    <x v="3082"/>
    <x v="223"/>
    <x v="7"/>
    <n v="8"/>
    <n v="12"/>
    <s v="Tuesday"/>
    <x v="5"/>
    <x v="12"/>
    <x v="3"/>
    <s v="Veg Pizza"/>
    <x v="1"/>
    <n v="3"/>
    <n v="653"/>
    <n v="65.3"/>
    <n v="60"/>
    <n v="1959"/>
    <n v="1953.7"/>
    <x v="0"/>
    <x v="3"/>
    <x v="0"/>
    <n v="28"/>
    <m/>
  </r>
  <r>
    <x v="3083"/>
    <x v="223"/>
    <x v="7"/>
    <n v="8"/>
    <n v="12"/>
    <s v="Tuesday"/>
    <x v="9"/>
    <x v="7"/>
    <x v="6"/>
    <s v="Chicken Pizza"/>
    <x v="1"/>
    <n v="1"/>
    <n v="173"/>
    <n v="8.65"/>
    <n v="0"/>
    <n v="173"/>
    <n v="164.35"/>
    <x v="2"/>
    <x v="0"/>
    <x v="1"/>
    <n v="60"/>
    <n v="4.7"/>
  </r>
  <r>
    <x v="3084"/>
    <x v="223"/>
    <x v="7"/>
    <n v="8"/>
    <n v="12"/>
    <s v="Tuesday"/>
    <x v="5"/>
    <x v="1"/>
    <x v="0"/>
    <s v="Veg Biryani"/>
    <x v="1"/>
    <n v="2"/>
    <n v="369"/>
    <n v="55.35"/>
    <n v="50"/>
    <n v="738"/>
    <n v="732.65"/>
    <x v="4"/>
    <x v="0"/>
    <x v="1"/>
    <n v="48"/>
    <n v="3.9"/>
  </r>
  <r>
    <x v="3085"/>
    <x v="223"/>
    <x v="7"/>
    <n v="8"/>
    <n v="12"/>
    <s v="Tuesday"/>
    <x v="9"/>
    <x v="4"/>
    <x v="7"/>
    <s v="Veg Biryani"/>
    <x v="1"/>
    <n v="1"/>
    <n v="265"/>
    <n v="66.25"/>
    <n v="40"/>
    <n v="265"/>
    <n v="238.75"/>
    <x v="1"/>
    <x v="0"/>
    <x v="0"/>
    <n v="62"/>
    <n v="4"/>
  </r>
  <r>
    <x v="3086"/>
    <x v="223"/>
    <x v="7"/>
    <n v="8"/>
    <n v="12"/>
    <s v="Tuesday"/>
    <x v="8"/>
    <x v="12"/>
    <x v="6"/>
    <s v="Veg Biryani"/>
    <x v="1"/>
    <n v="3"/>
    <n v="449"/>
    <n v="22.45"/>
    <n v="60"/>
    <n v="1347"/>
    <n v="1384.55"/>
    <x v="1"/>
    <x v="0"/>
    <x v="0"/>
    <n v="21"/>
    <n v="3.1"/>
  </r>
  <r>
    <x v="3087"/>
    <x v="223"/>
    <x v="7"/>
    <n v="8"/>
    <n v="12"/>
    <s v="Tuesday"/>
    <x v="5"/>
    <x v="6"/>
    <x v="5"/>
    <s v="Idli Sambar"/>
    <x v="1"/>
    <n v="1"/>
    <n v="700"/>
    <n v="0"/>
    <n v="0"/>
    <n v="700"/>
    <n v="700"/>
    <x v="1"/>
    <x v="0"/>
    <x v="1"/>
    <n v="33"/>
    <n v="3.6"/>
  </r>
  <r>
    <x v="3088"/>
    <x v="223"/>
    <x v="7"/>
    <n v="8"/>
    <n v="12"/>
    <s v="Tuesday"/>
    <x v="2"/>
    <x v="2"/>
    <x v="2"/>
    <s v="Veg Momos"/>
    <x v="2"/>
    <n v="1"/>
    <n v="569"/>
    <n v="85.35"/>
    <n v="70"/>
    <n v="569"/>
    <n v="553.65"/>
    <x v="1"/>
    <x v="0"/>
    <x v="1"/>
    <n v="63"/>
    <n v="4.9000000000000004"/>
  </r>
  <r>
    <x v="3089"/>
    <x v="223"/>
    <x v="7"/>
    <n v="8"/>
    <n v="12"/>
    <s v="Tuesday"/>
    <x v="2"/>
    <x v="11"/>
    <x v="5"/>
    <s v="Chicken Burger"/>
    <x v="1"/>
    <n v="2"/>
    <n v="710"/>
    <n v="106.5"/>
    <n v="30"/>
    <n v="1420"/>
    <n v="1343.5"/>
    <x v="4"/>
    <x v="0"/>
    <x v="1"/>
    <n v="41"/>
    <n v="4.2"/>
  </r>
  <r>
    <x v="3090"/>
    <x v="223"/>
    <x v="7"/>
    <n v="8"/>
    <n v="12"/>
    <s v="Tuesday"/>
    <x v="6"/>
    <x v="8"/>
    <x v="3"/>
    <s v="Chicken Burger"/>
    <x v="2"/>
    <n v="2"/>
    <n v="789"/>
    <n v="39.450000000000003"/>
    <n v="20"/>
    <n v="1578"/>
    <n v="1558.55"/>
    <x v="1"/>
    <x v="1"/>
    <x v="1"/>
    <n v="48"/>
    <m/>
  </r>
  <r>
    <x v="3091"/>
    <x v="223"/>
    <x v="7"/>
    <n v="8"/>
    <n v="12"/>
    <s v="Tuesday"/>
    <x v="5"/>
    <x v="5"/>
    <x v="9"/>
    <s v="Chocolate Cake"/>
    <x v="1"/>
    <n v="3"/>
    <n v="623"/>
    <n v="155.75"/>
    <n v="30"/>
    <n v="1869"/>
    <n v="1743.25"/>
    <x v="3"/>
    <x v="0"/>
    <x v="1"/>
    <n v="43"/>
    <n v="3.2"/>
  </r>
  <r>
    <x v="3092"/>
    <x v="223"/>
    <x v="7"/>
    <n v="8"/>
    <n v="12"/>
    <s v="Tuesday"/>
    <x v="4"/>
    <x v="3"/>
    <x v="7"/>
    <s v="Veg Biryani"/>
    <x v="1"/>
    <n v="1"/>
    <n v="590"/>
    <n v="59"/>
    <n v="30"/>
    <n v="590"/>
    <n v="561"/>
    <x v="1"/>
    <x v="0"/>
    <x v="0"/>
    <n v="27"/>
    <n v="4.5"/>
  </r>
  <r>
    <x v="3093"/>
    <x v="224"/>
    <x v="7"/>
    <n v="8"/>
    <n v="13"/>
    <s v="Wednesday"/>
    <x v="5"/>
    <x v="9"/>
    <x v="8"/>
    <s v="Veg Momos"/>
    <x v="1"/>
    <n v="1"/>
    <n v="381"/>
    <n v="0"/>
    <n v="40"/>
    <n v="381"/>
    <n v="421"/>
    <x v="1"/>
    <x v="0"/>
    <x v="1"/>
    <n v="67"/>
    <n v="4.8"/>
  </r>
  <r>
    <x v="3094"/>
    <x v="224"/>
    <x v="7"/>
    <n v="8"/>
    <n v="13"/>
    <s v="Wednesday"/>
    <x v="5"/>
    <x v="2"/>
    <x v="7"/>
    <s v="Veg Burger"/>
    <x v="1"/>
    <n v="1"/>
    <n v="175"/>
    <n v="26.25"/>
    <n v="50"/>
    <n v="175"/>
    <n v="198.75"/>
    <x v="2"/>
    <x v="3"/>
    <x v="1"/>
    <n v="50"/>
    <m/>
  </r>
  <r>
    <x v="3095"/>
    <x v="224"/>
    <x v="7"/>
    <n v="8"/>
    <n v="13"/>
    <s v="Wednesday"/>
    <x v="1"/>
    <x v="8"/>
    <x v="5"/>
    <s v="Fried Rice"/>
    <x v="1"/>
    <n v="1"/>
    <n v="680"/>
    <n v="0"/>
    <n v="30"/>
    <n v="680"/>
    <n v="710"/>
    <x v="1"/>
    <x v="0"/>
    <x v="1"/>
    <n v="18"/>
    <n v="2.8"/>
  </r>
  <r>
    <x v="3096"/>
    <x v="224"/>
    <x v="7"/>
    <n v="8"/>
    <n v="13"/>
    <s v="Wednesday"/>
    <x v="0"/>
    <x v="6"/>
    <x v="5"/>
    <s v="Chicken Burger"/>
    <x v="2"/>
    <n v="1"/>
    <n v="836"/>
    <n v="209"/>
    <n v="50"/>
    <n v="836"/>
    <n v="677"/>
    <x v="0"/>
    <x v="0"/>
    <x v="1"/>
    <n v="26"/>
    <n v="4.7"/>
  </r>
  <r>
    <x v="3097"/>
    <x v="224"/>
    <x v="7"/>
    <n v="8"/>
    <n v="13"/>
    <s v="Wednesday"/>
    <x v="9"/>
    <x v="11"/>
    <x v="8"/>
    <s v="Chicken Burger"/>
    <x v="1"/>
    <n v="2"/>
    <n v="817"/>
    <n v="163.4"/>
    <n v="60"/>
    <n v="1634"/>
    <n v="1530.6"/>
    <x v="1"/>
    <x v="0"/>
    <x v="1"/>
    <n v="32"/>
    <n v="4.3"/>
  </r>
  <r>
    <x v="3098"/>
    <x v="224"/>
    <x v="7"/>
    <n v="8"/>
    <n v="13"/>
    <s v="Wednesday"/>
    <x v="0"/>
    <x v="0"/>
    <x v="7"/>
    <s v="Idli Sambar"/>
    <x v="1"/>
    <n v="3"/>
    <n v="508"/>
    <n v="0"/>
    <n v="20"/>
    <n v="1524"/>
    <n v="1544"/>
    <x v="2"/>
    <x v="2"/>
    <x v="0"/>
    <n v="37"/>
    <m/>
  </r>
  <r>
    <x v="3099"/>
    <x v="224"/>
    <x v="7"/>
    <n v="8"/>
    <n v="13"/>
    <s v="Wednesday"/>
    <x v="4"/>
    <x v="1"/>
    <x v="2"/>
    <s v="Veg Momos"/>
    <x v="1"/>
    <n v="3"/>
    <n v="805"/>
    <n v="201.25"/>
    <n v="40"/>
    <n v="2415"/>
    <n v="2253.75"/>
    <x v="3"/>
    <x v="0"/>
    <x v="0"/>
    <n v="34"/>
    <n v="5"/>
  </r>
  <r>
    <x v="3100"/>
    <x v="224"/>
    <x v="7"/>
    <n v="8"/>
    <n v="13"/>
    <s v="Wednesday"/>
    <x v="1"/>
    <x v="5"/>
    <x v="9"/>
    <s v="Chocolate Cake"/>
    <x v="1"/>
    <n v="1"/>
    <n v="307"/>
    <n v="61.4"/>
    <n v="20"/>
    <n v="307"/>
    <n v="265.60000000000002"/>
    <x v="0"/>
    <x v="0"/>
    <x v="1"/>
    <n v="22"/>
    <n v="3.4"/>
  </r>
  <r>
    <x v="3101"/>
    <x v="224"/>
    <x v="7"/>
    <n v="8"/>
    <n v="13"/>
    <s v="Wednesday"/>
    <x v="3"/>
    <x v="2"/>
    <x v="6"/>
    <s v="Chicken Biryani"/>
    <x v="1"/>
    <n v="3"/>
    <n v="473"/>
    <n v="94.6"/>
    <n v="50"/>
    <n v="1419"/>
    <n v="1374.4"/>
    <x v="2"/>
    <x v="0"/>
    <x v="0"/>
    <n v="42"/>
    <n v="4.0999999999999996"/>
  </r>
  <r>
    <x v="3102"/>
    <x v="224"/>
    <x v="7"/>
    <n v="8"/>
    <n v="13"/>
    <s v="Wednesday"/>
    <x v="3"/>
    <x v="14"/>
    <x v="0"/>
    <s v="Paneer Butter Masala"/>
    <x v="1"/>
    <n v="3"/>
    <n v="237"/>
    <n v="0"/>
    <n v="60"/>
    <n v="711"/>
    <n v="771"/>
    <x v="1"/>
    <x v="0"/>
    <x v="1"/>
    <n v="44"/>
    <n v="3.5"/>
  </r>
  <r>
    <x v="3103"/>
    <x v="224"/>
    <x v="7"/>
    <n v="8"/>
    <n v="13"/>
    <s v="Wednesday"/>
    <x v="5"/>
    <x v="7"/>
    <x v="6"/>
    <s v="French Fries"/>
    <x v="1"/>
    <n v="1"/>
    <n v="242"/>
    <n v="48.4"/>
    <n v="0"/>
    <n v="242"/>
    <n v="193.6"/>
    <x v="4"/>
    <x v="0"/>
    <x v="0"/>
    <n v="18"/>
    <n v="4.0999999999999996"/>
  </r>
  <r>
    <x v="3104"/>
    <x v="224"/>
    <x v="7"/>
    <n v="8"/>
    <n v="13"/>
    <s v="Wednesday"/>
    <x v="1"/>
    <x v="3"/>
    <x v="8"/>
    <s v="Veg Biryani"/>
    <x v="2"/>
    <n v="1"/>
    <n v="311"/>
    <n v="77.75"/>
    <n v="50"/>
    <n v="311"/>
    <n v="283.25"/>
    <x v="1"/>
    <x v="0"/>
    <x v="0"/>
    <n v="39"/>
    <n v="4.4000000000000004"/>
  </r>
  <r>
    <x v="3105"/>
    <x v="225"/>
    <x v="7"/>
    <n v="8"/>
    <n v="14"/>
    <s v="Thursday"/>
    <x v="4"/>
    <x v="13"/>
    <x v="3"/>
    <s v="Cold Coffee"/>
    <x v="1"/>
    <n v="1"/>
    <n v="633"/>
    <n v="31.65"/>
    <n v="50"/>
    <n v="633"/>
    <n v="651.35"/>
    <x v="1"/>
    <x v="0"/>
    <x v="0"/>
    <n v="18"/>
    <n v="3.5"/>
  </r>
  <r>
    <x v="3106"/>
    <x v="225"/>
    <x v="7"/>
    <n v="8"/>
    <n v="14"/>
    <s v="Thursday"/>
    <x v="2"/>
    <x v="9"/>
    <x v="5"/>
    <s v="Veg Momos"/>
    <x v="0"/>
    <n v="1"/>
    <n v="396"/>
    <n v="39.6"/>
    <n v="50"/>
    <n v="396"/>
    <n v="406.4"/>
    <x v="1"/>
    <x v="0"/>
    <x v="0"/>
    <n v="39"/>
    <n v="5"/>
  </r>
  <r>
    <x v="3107"/>
    <x v="225"/>
    <x v="7"/>
    <n v="8"/>
    <n v="14"/>
    <s v="Thursday"/>
    <x v="3"/>
    <x v="12"/>
    <x v="2"/>
    <s v="Fried Rice"/>
    <x v="1"/>
    <n v="2"/>
    <n v="744"/>
    <n v="0"/>
    <n v="20"/>
    <n v="1488"/>
    <n v="1508"/>
    <x v="0"/>
    <x v="0"/>
    <x v="1"/>
    <n v="51"/>
    <n v="3.8"/>
  </r>
  <r>
    <x v="3108"/>
    <x v="225"/>
    <x v="7"/>
    <n v="8"/>
    <n v="14"/>
    <s v="Thursday"/>
    <x v="4"/>
    <x v="4"/>
    <x v="6"/>
    <s v="Pasta"/>
    <x v="1"/>
    <n v="2"/>
    <n v="279"/>
    <n v="0"/>
    <n v="30"/>
    <n v="558"/>
    <n v="588"/>
    <x v="2"/>
    <x v="0"/>
    <x v="1"/>
    <n v="21"/>
    <n v="3.9"/>
  </r>
  <r>
    <x v="3109"/>
    <x v="225"/>
    <x v="7"/>
    <n v="8"/>
    <n v="14"/>
    <s v="Thursday"/>
    <x v="6"/>
    <x v="13"/>
    <x v="2"/>
    <s v="Veg Burger"/>
    <x v="1"/>
    <n v="1"/>
    <n v="195"/>
    <n v="0"/>
    <n v="50"/>
    <n v="195"/>
    <n v="245"/>
    <x v="3"/>
    <x v="0"/>
    <x v="1"/>
    <n v="44"/>
    <n v="3.5"/>
  </r>
  <r>
    <x v="3110"/>
    <x v="225"/>
    <x v="7"/>
    <n v="8"/>
    <n v="14"/>
    <s v="Thursday"/>
    <x v="4"/>
    <x v="3"/>
    <x v="4"/>
    <s v="French Fries"/>
    <x v="0"/>
    <n v="1"/>
    <n v="789"/>
    <n v="157.80000000000001"/>
    <n v="30"/>
    <n v="789"/>
    <n v="661.2"/>
    <x v="1"/>
    <x v="0"/>
    <x v="1"/>
    <n v="26"/>
    <n v="5"/>
  </r>
  <r>
    <x v="3111"/>
    <x v="225"/>
    <x v="7"/>
    <n v="8"/>
    <n v="14"/>
    <s v="Thursday"/>
    <x v="5"/>
    <x v="7"/>
    <x v="2"/>
    <s v="Pasta"/>
    <x v="1"/>
    <n v="1"/>
    <n v="187"/>
    <n v="28.05"/>
    <n v="60"/>
    <n v="187"/>
    <n v="218.95"/>
    <x v="2"/>
    <x v="0"/>
    <x v="1"/>
    <n v="40"/>
    <n v="4.0999999999999996"/>
  </r>
  <r>
    <x v="3112"/>
    <x v="225"/>
    <x v="7"/>
    <n v="8"/>
    <n v="14"/>
    <s v="Thursday"/>
    <x v="5"/>
    <x v="14"/>
    <x v="8"/>
    <s v="Paneer Butter Masala"/>
    <x v="1"/>
    <n v="2"/>
    <n v="807"/>
    <n v="0"/>
    <n v="40"/>
    <n v="1614"/>
    <n v="1654"/>
    <x v="1"/>
    <x v="0"/>
    <x v="0"/>
    <n v="30"/>
    <n v="3.7"/>
  </r>
  <r>
    <x v="3113"/>
    <x v="225"/>
    <x v="7"/>
    <n v="8"/>
    <n v="14"/>
    <s v="Thursday"/>
    <x v="2"/>
    <x v="0"/>
    <x v="5"/>
    <s v="French Fries"/>
    <x v="1"/>
    <n v="1"/>
    <n v="320"/>
    <n v="48"/>
    <n v="30"/>
    <n v="320"/>
    <n v="302"/>
    <x v="4"/>
    <x v="0"/>
    <x v="1"/>
    <n v="51"/>
    <n v="3.9"/>
  </r>
  <r>
    <x v="3114"/>
    <x v="225"/>
    <x v="7"/>
    <n v="8"/>
    <n v="14"/>
    <s v="Thursday"/>
    <x v="3"/>
    <x v="14"/>
    <x v="3"/>
    <s v="Cold Coffee"/>
    <x v="1"/>
    <n v="1"/>
    <n v="626"/>
    <n v="125.2"/>
    <n v="50"/>
    <n v="626"/>
    <n v="550.79999999999995"/>
    <x v="1"/>
    <x v="0"/>
    <x v="0"/>
    <n v="42"/>
    <n v="5"/>
  </r>
  <r>
    <x v="3115"/>
    <x v="225"/>
    <x v="7"/>
    <n v="8"/>
    <n v="14"/>
    <s v="Thursday"/>
    <x v="2"/>
    <x v="7"/>
    <x v="4"/>
    <s v="Cold Coffee"/>
    <x v="2"/>
    <n v="2"/>
    <n v="540"/>
    <n v="54"/>
    <n v="0"/>
    <n v="1080"/>
    <n v="1026"/>
    <x v="2"/>
    <x v="0"/>
    <x v="0"/>
    <n v="22"/>
    <n v="4.7"/>
  </r>
  <r>
    <x v="3116"/>
    <x v="225"/>
    <x v="7"/>
    <n v="8"/>
    <n v="14"/>
    <s v="Thursday"/>
    <x v="4"/>
    <x v="8"/>
    <x v="4"/>
    <s v="French Fries"/>
    <x v="1"/>
    <n v="1"/>
    <n v="868"/>
    <n v="86.8"/>
    <n v="60"/>
    <n v="868"/>
    <n v="841.2"/>
    <x v="4"/>
    <x v="0"/>
    <x v="1"/>
    <n v="53"/>
    <n v="5"/>
  </r>
  <r>
    <x v="3117"/>
    <x v="225"/>
    <x v="7"/>
    <n v="8"/>
    <n v="14"/>
    <s v="Thursday"/>
    <x v="5"/>
    <x v="2"/>
    <x v="1"/>
    <s v="Veg Biryani"/>
    <x v="3"/>
    <n v="2"/>
    <n v="460"/>
    <n v="115"/>
    <n v="30"/>
    <n v="920"/>
    <n v="835"/>
    <x v="0"/>
    <x v="3"/>
    <x v="1"/>
    <n v="31"/>
    <m/>
  </r>
  <r>
    <x v="3118"/>
    <x v="225"/>
    <x v="7"/>
    <n v="8"/>
    <n v="14"/>
    <s v="Thursday"/>
    <x v="4"/>
    <x v="12"/>
    <x v="3"/>
    <s v="Chicken Momos"/>
    <x v="1"/>
    <n v="3"/>
    <n v="563"/>
    <n v="112.6"/>
    <n v="60"/>
    <n v="1689"/>
    <n v="1636.4"/>
    <x v="4"/>
    <x v="0"/>
    <x v="1"/>
    <n v="53"/>
    <n v="3.6"/>
  </r>
  <r>
    <x v="3119"/>
    <x v="225"/>
    <x v="7"/>
    <n v="8"/>
    <n v="14"/>
    <s v="Thursday"/>
    <x v="1"/>
    <x v="10"/>
    <x v="3"/>
    <s v="Paneer Butter Masala"/>
    <x v="1"/>
    <n v="2"/>
    <n v="800"/>
    <n v="160"/>
    <n v="70"/>
    <n v="1600"/>
    <n v="1510"/>
    <x v="4"/>
    <x v="0"/>
    <x v="0"/>
    <n v="24"/>
    <n v="4.5999999999999996"/>
  </r>
  <r>
    <x v="3120"/>
    <x v="226"/>
    <x v="7"/>
    <n v="8"/>
    <n v="15"/>
    <s v="Friday"/>
    <x v="1"/>
    <x v="0"/>
    <x v="1"/>
    <s v="Veg Biryani"/>
    <x v="2"/>
    <n v="1"/>
    <n v="685"/>
    <n v="68.5"/>
    <n v="30"/>
    <n v="685"/>
    <n v="646.5"/>
    <x v="4"/>
    <x v="1"/>
    <x v="1"/>
    <n v="28"/>
    <m/>
  </r>
  <r>
    <x v="3121"/>
    <x v="226"/>
    <x v="7"/>
    <n v="8"/>
    <n v="15"/>
    <s v="Friday"/>
    <x v="5"/>
    <x v="8"/>
    <x v="7"/>
    <s v="French Fries"/>
    <x v="0"/>
    <n v="2"/>
    <n v="143"/>
    <n v="14.3"/>
    <n v="20"/>
    <n v="286"/>
    <n v="291.7"/>
    <x v="3"/>
    <x v="0"/>
    <x v="1"/>
    <n v="22"/>
    <n v="4.4000000000000004"/>
  </r>
  <r>
    <x v="3122"/>
    <x v="226"/>
    <x v="7"/>
    <n v="8"/>
    <n v="15"/>
    <s v="Friday"/>
    <x v="2"/>
    <x v="5"/>
    <x v="4"/>
    <s v="Chocolate Cake"/>
    <x v="1"/>
    <n v="1"/>
    <n v="239"/>
    <n v="35.85"/>
    <n v="50"/>
    <n v="239"/>
    <n v="253.15"/>
    <x v="1"/>
    <x v="0"/>
    <x v="1"/>
    <n v="54"/>
    <n v="3.2"/>
  </r>
  <r>
    <x v="3123"/>
    <x v="226"/>
    <x v="7"/>
    <n v="8"/>
    <n v="15"/>
    <s v="Friday"/>
    <x v="8"/>
    <x v="8"/>
    <x v="8"/>
    <s v="Chocolate Cake"/>
    <x v="2"/>
    <n v="1"/>
    <n v="740"/>
    <n v="111"/>
    <n v="50"/>
    <n v="740"/>
    <n v="679"/>
    <x v="4"/>
    <x v="0"/>
    <x v="1"/>
    <n v="57"/>
    <n v="4.3"/>
  </r>
  <r>
    <x v="3124"/>
    <x v="226"/>
    <x v="7"/>
    <n v="8"/>
    <n v="15"/>
    <s v="Friday"/>
    <x v="5"/>
    <x v="14"/>
    <x v="3"/>
    <s v="Masala Dosa"/>
    <x v="1"/>
    <n v="1"/>
    <n v="434"/>
    <n v="108.5"/>
    <n v="20"/>
    <n v="434"/>
    <n v="345.5"/>
    <x v="0"/>
    <x v="0"/>
    <x v="1"/>
    <n v="66"/>
    <n v="4.3"/>
  </r>
  <r>
    <x v="3125"/>
    <x v="226"/>
    <x v="7"/>
    <n v="8"/>
    <n v="15"/>
    <s v="Friday"/>
    <x v="5"/>
    <x v="3"/>
    <x v="8"/>
    <s v="Pasta"/>
    <x v="1"/>
    <n v="1"/>
    <n v="235"/>
    <n v="35.25"/>
    <n v="30"/>
    <n v="235"/>
    <n v="229.75"/>
    <x v="0"/>
    <x v="0"/>
    <x v="1"/>
    <n v="35"/>
    <n v="4.0999999999999996"/>
  </r>
  <r>
    <x v="3126"/>
    <x v="226"/>
    <x v="7"/>
    <n v="8"/>
    <n v="15"/>
    <s v="Friday"/>
    <x v="2"/>
    <x v="11"/>
    <x v="5"/>
    <s v="Chicken Burger"/>
    <x v="1"/>
    <n v="2"/>
    <n v="731"/>
    <n v="73.099999999999994"/>
    <n v="50"/>
    <n v="1462"/>
    <n v="1438.9"/>
    <x v="2"/>
    <x v="0"/>
    <x v="1"/>
    <n v="52"/>
    <n v="3.9"/>
  </r>
  <r>
    <x v="3127"/>
    <x v="226"/>
    <x v="7"/>
    <n v="8"/>
    <n v="15"/>
    <s v="Friday"/>
    <x v="4"/>
    <x v="8"/>
    <x v="7"/>
    <s v="French Fries"/>
    <x v="1"/>
    <n v="1"/>
    <n v="514"/>
    <n v="102.8"/>
    <n v="60"/>
    <n v="514"/>
    <n v="471.2"/>
    <x v="1"/>
    <x v="0"/>
    <x v="1"/>
    <n v="48"/>
    <n v="4.8"/>
  </r>
  <r>
    <x v="3128"/>
    <x v="226"/>
    <x v="7"/>
    <n v="8"/>
    <n v="15"/>
    <s v="Friday"/>
    <x v="1"/>
    <x v="7"/>
    <x v="5"/>
    <s v="Chicken Pizza"/>
    <x v="1"/>
    <n v="2"/>
    <n v="749"/>
    <n v="37.450000000000003"/>
    <n v="0"/>
    <n v="1498"/>
    <n v="1460.55"/>
    <x v="3"/>
    <x v="0"/>
    <x v="1"/>
    <n v="42"/>
    <n v="5"/>
  </r>
  <r>
    <x v="3129"/>
    <x v="226"/>
    <x v="7"/>
    <n v="8"/>
    <n v="15"/>
    <s v="Friday"/>
    <x v="9"/>
    <x v="5"/>
    <x v="8"/>
    <s v="Chocolate Cake"/>
    <x v="1"/>
    <n v="1"/>
    <n v="188"/>
    <n v="18.8"/>
    <n v="0"/>
    <n v="188"/>
    <n v="169.2"/>
    <x v="3"/>
    <x v="0"/>
    <x v="0"/>
    <n v="42"/>
    <n v="4"/>
  </r>
  <r>
    <x v="3130"/>
    <x v="226"/>
    <x v="7"/>
    <n v="8"/>
    <n v="15"/>
    <s v="Friday"/>
    <x v="0"/>
    <x v="0"/>
    <x v="9"/>
    <s v="Cold Coffee"/>
    <x v="1"/>
    <n v="2"/>
    <n v="399"/>
    <n v="19.95"/>
    <n v="30"/>
    <n v="798"/>
    <n v="808.05"/>
    <x v="1"/>
    <x v="0"/>
    <x v="1"/>
    <n v="45"/>
    <n v="4.3"/>
  </r>
  <r>
    <x v="3131"/>
    <x v="226"/>
    <x v="7"/>
    <n v="8"/>
    <n v="15"/>
    <s v="Friday"/>
    <x v="3"/>
    <x v="8"/>
    <x v="5"/>
    <s v="Cold Coffee"/>
    <x v="1"/>
    <n v="3"/>
    <n v="506"/>
    <n v="50.6"/>
    <n v="20"/>
    <n v="1518"/>
    <n v="1487.4"/>
    <x v="2"/>
    <x v="0"/>
    <x v="1"/>
    <n v="67"/>
    <n v="3.8"/>
  </r>
  <r>
    <x v="3132"/>
    <x v="226"/>
    <x v="7"/>
    <n v="8"/>
    <n v="15"/>
    <s v="Friday"/>
    <x v="9"/>
    <x v="11"/>
    <x v="8"/>
    <s v="Masala Dosa"/>
    <x v="2"/>
    <n v="2"/>
    <n v="446"/>
    <n v="89.2"/>
    <n v="20"/>
    <n v="892"/>
    <n v="822.8"/>
    <x v="1"/>
    <x v="2"/>
    <x v="0"/>
    <n v="59"/>
    <m/>
  </r>
  <r>
    <x v="3133"/>
    <x v="226"/>
    <x v="7"/>
    <n v="8"/>
    <n v="15"/>
    <s v="Friday"/>
    <x v="9"/>
    <x v="5"/>
    <x v="2"/>
    <s v="Chocolate Cake"/>
    <x v="2"/>
    <n v="1"/>
    <n v="713"/>
    <n v="71.3"/>
    <n v="30"/>
    <n v="713"/>
    <n v="671.7"/>
    <x v="1"/>
    <x v="3"/>
    <x v="0"/>
    <n v="59"/>
    <m/>
  </r>
  <r>
    <x v="3134"/>
    <x v="226"/>
    <x v="7"/>
    <n v="8"/>
    <n v="15"/>
    <s v="Friday"/>
    <x v="9"/>
    <x v="4"/>
    <x v="5"/>
    <s v="Idli Sambar"/>
    <x v="1"/>
    <n v="2"/>
    <n v="252"/>
    <n v="25.2"/>
    <n v="30"/>
    <n v="504"/>
    <n v="508.8"/>
    <x v="1"/>
    <x v="0"/>
    <x v="0"/>
    <n v="37"/>
    <n v="4.0999999999999996"/>
  </r>
  <r>
    <x v="3135"/>
    <x v="226"/>
    <x v="7"/>
    <n v="8"/>
    <n v="15"/>
    <s v="Friday"/>
    <x v="5"/>
    <x v="9"/>
    <x v="7"/>
    <s v="French Fries"/>
    <x v="2"/>
    <n v="2"/>
    <n v="651"/>
    <n v="32.549999999999997"/>
    <n v="30"/>
    <n v="1302"/>
    <n v="1299.45"/>
    <x v="1"/>
    <x v="0"/>
    <x v="1"/>
    <n v="23"/>
    <n v="3.8"/>
  </r>
  <r>
    <x v="3136"/>
    <x v="226"/>
    <x v="7"/>
    <n v="8"/>
    <n v="15"/>
    <s v="Friday"/>
    <x v="6"/>
    <x v="6"/>
    <x v="9"/>
    <s v="Chicken Biryani"/>
    <x v="2"/>
    <n v="1"/>
    <n v="520"/>
    <n v="52"/>
    <n v="30"/>
    <n v="520"/>
    <n v="498"/>
    <x v="4"/>
    <x v="0"/>
    <x v="0"/>
    <n v="55"/>
    <n v="3.4"/>
  </r>
  <r>
    <x v="3137"/>
    <x v="226"/>
    <x v="7"/>
    <n v="8"/>
    <n v="15"/>
    <s v="Friday"/>
    <x v="1"/>
    <x v="8"/>
    <x v="3"/>
    <s v="Pasta"/>
    <x v="1"/>
    <n v="2"/>
    <n v="805"/>
    <n v="120.75"/>
    <n v="50"/>
    <n v="1610"/>
    <n v="1539.25"/>
    <x v="2"/>
    <x v="0"/>
    <x v="1"/>
    <n v="24"/>
    <n v="4.2"/>
  </r>
  <r>
    <x v="3138"/>
    <x v="226"/>
    <x v="7"/>
    <n v="8"/>
    <n v="15"/>
    <s v="Friday"/>
    <x v="4"/>
    <x v="5"/>
    <x v="8"/>
    <s v="Cold Coffee"/>
    <x v="3"/>
    <n v="3"/>
    <n v="179"/>
    <n v="26.85"/>
    <n v="60"/>
    <n v="537"/>
    <n v="570.15"/>
    <x v="1"/>
    <x v="0"/>
    <x v="1"/>
    <n v="54"/>
    <n v="4.4000000000000004"/>
  </r>
  <r>
    <x v="3139"/>
    <x v="227"/>
    <x v="7"/>
    <n v="8"/>
    <n v="16"/>
    <s v="Saturday"/>
    <x v="4"/>
    <x v="13"/>
    <x v="5"/>
    <s v="Masala Dosa"/>
    <x v="2"/>
    <n v="2"/>
    <n v="134"/>
    <n v="0"/>
    <n v="20"/>
    <n v="268"/>
    <n v="288"/>
    <x v="1"/>
    <x v="0"/>
    <x v="1"/>
    <n v="65"/>
    <n v="4.0999999999999996"/>
  </r>
  <r>
    <x v="3140"/>
    <x v="227"/>
    <x v="7"/>
    <n v="8"/>
    <n v="16"/>
    <s v="Saturday"/>
    <x v="6"/>
    <x v="1"/>
    <x v="1"/>
    <s v="French Fries"/>
    <x v="1"/>
    <n v="2"/>
    <n v="852"/>
    <n v="213"/>
    <n v="0"/>
    <n v="1704"/>
    <n v="1491"/>
    <x v="4"/>
    <x v="0"/>
    <x v="0"/>
    <n v="61"/>
    <n v="4.2"/>
  </r>
  <r>
    <x v="3141"/>
    <x v="227"/>
    <x v="7"/>
    <n v="8"/>
    <n v="16"/>
    <s v="Saturday"/>
    <x v="0"/>
    <x v="0"/>
    <x v="4"/>
    <s v="French Fries"/>
    <x v="1"/>
    <n v="1"/>
    <n v="738"/>
    <n v="110.7"/>
    <n v="70"/>
    <n v="738"/>
    <n v="697.3"/>
    <x v="1"/>
    <x v="0"/>
    <x v="1"/>
    <n v="55"/>
    <n v="3.7"/>
  </r>
  <r>
    <x v="3142"/>
    <x v="227"/>
    <x v="7"/>
    <n v="8"/>
    <n v="16"/>
    <s v="Saturday"/>
    <x v="5"/>
    <x v="0"/>
    <x v="7"/>
    <s v="Veg Biryani"/>
    <x v="1"/>
    <n v="2"/>
    <n v="371"/>
    <n v="37.1"/>
    <n v="60"/>
    <n v="742"/>
    <n v="764.9"/>
    <x v="0"/>
    <x v="0"/>
    <x v="0"/>
    <n v="53"/>
    <n v="4.3"/>
  </r>
  <r>
    <x v="3143"/>
    <x v="227"/>
    <x v="7"/>
    <n v="8"/>
    <n v="16"/>
    <s v="Saturday"/>
    <x v="5"/>
    <x v="2"/>
    <x v="8"/>
    <s v="Chicken Pizza"/>
    <x v="2"/>
    <n v="2"/>
    <n v="665"/>
    <n v="66.5"/>
    <n v="30"/>
    <n v="1330"/>
    <n v="1293.5"/>
    <x v="3"/>
    <x v="3"/>
    <x v="1"/>
    <n v="41"/>
    <m/>
  </r>
  <r>
    <x v="3144"/>
    <x v="227"/>
    <x v="7"/>
    <n v="8"/>
    <n v="16"/>
    <s v="Saturday"/>
    <x v="1"/>
    <x v="0"/>
    <x v="5"/>
    <s v="Idli Sambar"/>
    <x v="1"/>
    <n v="1"/>
    <n v="650"/>
    <n v="162.5"/>
    <n v="30"/>
    <n v="650"/>
    <n v="517.5"/>
    <x v="3"/>
    <x v="0"/>
    <x v="1"/>
    <n v="26"/>
    <n v="4.4000000000000004"/>
  </r>
  <r>
    <x v="3145"/>
    <x v="227"/>
    <x v="7"/>
    <n v="8"/>
    <n v="16"/>
    <s v="Saturday"/>
    <x v="5"/>
    <x v="10"/>
    <x v="1"/>
    <s v="Chicken Pizza"/>
    <x v="1"/>
    <n v="2"/>
    <n v="633"/>
    <n v="0"/>
    <n v="30"/>
    <n v="1266"/>
    <n v="1296"/>
    <x v="1"/>
    <x v="0"/>
    <x v="1"/>
    <n v="60"/>
    <n v="3.7"/>
  </r>
  <r>
    <x v="3146"/>
    <x v="227"/>
    <x v="7"/>
    <n v="8"/>
    <n v="16"/>
    <s v="Saturday"/>
    <x v="7"/>
    <x v="10"/>
    <x v="1"/>
    <s v="Masala Dosa"/>
    <x v="2"/>
    <n v="1"/>
    <n v="345"/>
    <n v="0"/>
    <n v="60"/>
    <n v="345"/>
    <n v="405"/>
    <x v="0"/>
    <x v="0"/>
    <x v="0"/>
    <n v="26"/>
    <n v="5"/>
  </r>
  <r>
    <x v="3147"/>
    <x v="227"/>
    <x v="7"/>
    <n v="8"/>
    <n v="16"/>
    <s v="Saturday"/>
    <x v="6"/>
    <x v="9"/>
    <x v="1"/>
    <s v="Veg Burger"/>
    <x v="1"/>
    <n v="1"/>
    <n v="503"/>
    <n v="0"/>
    <n v="30"/>
    <n v="503"/>
    <n v="533"/>
    <x v="2"/>
    <x v="0"/>
    <x v="1"/>
    <n v="49"/>
    <n v="5"/>
  </r>
  <r>
    <x v="3148"/>
    <x v="227"/>
    <x v="7"/>
    <n v="8"/>
    <n v="16"/>
    <s v="Saturday"/>
    <x v="5"/>
    <x v="11"/>
    <x v="6"/>
    <s v="Veg Burger"/>
    <x v="1"/>
    <n v="3"/>
    <n v="245"/>
    <n v="24.5"/>
    <n v="0"/>
    <n v="735"/>
    <n v="710.5"/>
    <x v="4"/>
    <x v="0"/>
    <x v="1"/>
    <n v="64"/>
    <n v="4.4000000000000004"/>
  </r>
  <r>
    <x v="3149"/>
    <x v="227"/>
    <x v="7"/>
    <n v="8"/>
    <n v="16"/>
    <s v="Saturday"/>
    <x v="6"/>
    <x v="8"/>
    <x v="4"/>
    <s v="Masala Dosa"/>
    <x v="1"/>
    <n v="1"/>
    <n v="164"/>
    <n v="16.399999999999999"/>
    <n v="70"/>
    <n v="164"/>
    <n v="217.6"/>
    <x v="3"/>
    <x v="0"/>
    <x v="1"/>
    <n v="26"/>
    <n v="5"/>
  </r>
  <r>
    <x v="3150"/>
    <x v="227"/>
    <x v="7"/>
    <n v="8"/>
    <n v="16"/>
    <s v="Saturday"/>
    <x v="4"/>
    <x v="9"/>
    <x v="7"/>
    <s v="Chocolate Cake"/>
    <x v="1"/>
    <n v="1"/>
    <n v="221"/>
    <n v="44.2"/>
    <n v="40"/>
    <n v="221"/>
    <n v="216.8"/>
    <x v="2"/>
    <x v="0"/>
    <x v="0"/>
    <n v="37"/>
    <n v="3.7"/>
  </r>
  <r>
    <x v="3151"/>
    <x v="227"/>
    <x v="7"/>
    <n v="8"/>
    <n v="16"/>
    <s v="Saturday"/>
    <x v="7"/>
    <x v="3"/>
    <x v="4"/>
    <s v="Chicken Momos"/>
    <x v="1"/>
    <n v="1"/>
    <n v="570"/>
    <n v="142.5"/>
    <n v="20"/>
    <n v="570"/>
    <n v="447.5"/>
    <x v="1"/>
    <x v="0"/>
    <x v="1"/>
    <n v="39"/>
    <n v="4.5999999999999996"/>
  </r>
  <r>
    <x v="3152"/>
    <x v="227"/>
    <x v="7"/>
    <n v="8"/>
    <n v="16"/>
    <s v="Saturday"/>
    <x v="4"/>
    <x v="11"/>
    <x v="7"/>
    <s v="Chicken Burger"/>
    <x v="1"/>
    <n v="1"/>
    <n v="475"/>
    <n v="47.5"/>
    <n v="40"/>
    <n v="475"/>
    <n v="467.5"/>
    <x v="0"/>
    <x v="0"/>
    <x v="1"/>
    <n v="46"/>
    <n v="3.6"/>
  </r>
  <r>
    <x v="3153"/>
    <x v="228"/>
    <x v="7"/>
    <n v="8"/>
    <n v="17"/>
    <s v="Sunday"/>
    <x v="5"/>
    <x v="10"/>
    <x v="9"/>
    <s v="Chicken Burger"/>
    <x v="1"/>
    <n v="3"/>
    <n v="257"/>
    <n v="38.549999999999997"/>
    <n v="60"/>
    <n v="771"/>
    <n v="792.45"/>
    <x v="3"/>
    <x v="0"/>
    <x v="0"/>
    <n v="43"/>
    <n v="2.9"/>
  </r>
  <r>
    <x v="3154"/>
    <x v="228"/>
    <x v="7"/>
    <n v="8"/>
    <n v="17"/>
    <s v="Sunday"/>
    <x v="3"/>
    <x v="9"/>
    <x v="1"/>
    <s v="Chicken Pizza"/>
    <x v="2"/>
    <n v="1"/>
    <n v="269"/>
    <n v="26.9"/>
    <n v="0"/>
    <n v="269"/>
    <n v="242.1"/>
    <x v="4"/>
    <x v="0"/>
    <x v="0"/>
    <n v="26"/>
    <n v="3.3"/>
  </r>
  <r>
    <x v="3155"/>
    <x v="228"/>
    <x v="7"/>
    <n v="8"/>
    <n v="17"/>
    <s v="Sunday"/>
    <x v="9"/>
    <x v="5"/>
    <x v="0"/>
    <s v="Veg Biryani"/>
    <x v="1"/>
    <n v="2"/>
    <n v="385"/>
    <n v="0"/>
    <n v="50"/>
    <n v="770"/>
    <n v="820"/>
    <x v="0"/>
    <x v="0"/>
    <x v="1"/>
    <n v="67"/>
    <n v="4.8"/>
  </r>
  <r>
    <x v="3156"/>
    <x v="228"/>
    <x v="7"/>
    <n v="8"/>
    <n v="17"/>
    <s v="Sunday"/>
    <x v="2"/>
    <x v="10"/>
    <x v="4"/>
    <s v="Pasta"/>
    <x v="1"/>
    <n v="3"/>
    <n v="615"/>
    <n v="123"/>
    <n v="0"/>
    <n v="1845"/>
    <n v="1722"/>
    <x v="2"/>
    <x v="0"/>
    <x v="1"/>
    <n v="51"/>
    <n v="3.5"/>
  </r>
  <r>
    <x v="3157"/>
    <x v="228"/>
    <x v="7"/>
    <n v="8"/>
    <n v="17"/>
    <s v="Sunday"/>
    <x v="1"/>
    <x v="13"/>
    <x v="8"/>
    <s v="Veg Momos"/>
    <x v="1"/>
    <n v="1"/>
    <n v="126"/>
    <n v="25.2"/>
    <n v="20"/>
    <n v="126"/>
    <n v="120.8"/>
    <x v="2"/>
    <x v="0"/>
    <x v="0"/>
    <n v="25"/>
    <n v="5"/>
  </r>
  <r>
    <x v="3158"/>
    <x v="228"/>
    <x v="7"/>
    <n v="8"/>
    <n v="17"/>
    <s v="Sunday"/>
    <x v="1"/>
    <x v="13"/>
    <x v="9"/>
    <s v="Chicken Burger"/>
    <x v="1"/>
    <n v="2"/>
    <n v="542"/>
    <n v="54.2"/>
    <n v="40"/>
    <n v="1084"/>
    <n v="1069.8"/>
    <x v="1"/>
    <x v="0"/>
    <x v="0"/>
    <n v="32"/>
    <n v="4.3"/>
  </r>
  <r>
    <x v="3159"/>
    <x v="228"/>
    <x v="7"/>
    <n v="8"/>
    <n v="17"/>
    <s v="Sunday"/>
    <x v="5"/>
    <x v="4"/>
    <x v="2"/>
    <s v="Fried Rice"/>
    <x v="3"/>
    <n v="1"/>
    <n v="862"/>
    <n v="215.5"/>
    <n v="70"/>
    <n v="862"/>
    <n v="716.5"/>
    <x v="0"/>
    <x v="0"/>
    <x v="0"/>
    <n v="30"/>
    <n v="5"/>
  </r>
  <r>
    <x v="3160"/>
    <x v="228"/>
    <x v="7"/>
    <n v="8"/>
    <n v="17"/>
    <s v="Sunday"/>
    <x v="5"/>
    <x v="6"/>
    <x v="6"/>
    <s v="French Fries"/>
    <x v="1"/>
    <n v="1"/>
    <n v="582"/>
    <n v="29.1"/>
    <n v="40"/>
    <n v="582"/>
    <n v="592.9"/>
    <x v="0"/>
    <x v="0"/>
    <x v="1"/>
    <n v="26"/>
    <n v="4.8"/>
  </r>
  <r>
    <x v="3161"/>
    <x v="228"/>
    <x v="7"/>
    <n v="8"/>
    <n v="17"/>
    <s v="Sunday"/>
    <x v="6"/>
    <x v="8"/>
    <x v="1"/>
    <s v="Chicken Biryani"/>
    <x v="1"/>
    <n v="1"/>
    <n v="560"/>
    <n v="0"/>
    <n v="50"/>
    <n v="560"/>
    <n v="610"/>
    <x v="1"/>
    <x v="2"/>
    <x v="0"/>
    <n v="41"/>
    <m/>
  </r>
  <r>
    <x v="3162"/>
    <x v="228"/>
    <x v="7"/>
    <n v="8"/>
    <n v="17"/>
    <s v="Sunday"/>
    <x v="0"/>
    <x v="9"/>
    <x v="0"/>
    <s v="Veg Biryani"/>
    <x v="1"/>
    <n v="1"/>
    <n v="280"/>
    <n v="70"/>
    <n v="40"/>
    <n v="280"/>
    <n v="250"/>
    <x v="2"/>
    <x v="0"/>
    <x v="0"/>
    <n v="61"/>
    <n v="4.4000000000000004"/>
  </r>
  <r>
    <x v="3163"/>
    <x v="228"/>
    <x v="7"/>
    <n v="8"/>
    <n v="17"/>
    <s v="Sunday"/>
    <x v="8"/>
    <x v="6"/>
    <x v="0"/>
    <s v="Chocolate Cake"/>
    <x v="1"/>
    <n v="2"/>
    <n v="334"/>
    <n v="33.4"/>
    <n v="60"/>
    <n v="668"/>
    <n v="694.6"/>
    <x v="3"/>
    <x v="0"/>
    <x v="0"/>
    <n v="61"/>
    <n v="5"/>
  </r>
  <r>
    <x v="3164"/>
    <x v="228"/>
    <x v="7"/>
    <n v="8"/>
    <n v="17"/>
    <s v="Sunday"/>
    <x v="5"/>
    <x v="11"/>
    <x v="4"/>
    <s v="Veg Momos"/>
    <x v="1"/>
    <n v="1"/>
    <n v="181"/>
    <n v="27.15"/>
    <n v="40"/>
    <n v="181"/>
    <n v="193.85"/>
    <x v="3"/>
    <x v="2"/>
    <x v="1"/>
    <n v="33"/>
    <m/>
  </r>
  <r>
    <x v="3165"/>
    <x v="228"/>
    <x v="7"/>
    <n v="8"/>
    <n v="17"/>
    <s v="Sunday"/>
    <x v="4"/>
    <x v="14"/>
    <x v="7"/>
    <s v="Cold Coffee"/>
    <x v="1"/>
    <n v="2"/>
    <n v="424"/>
    <n v="84.8"/>
    <n v="40"/>
    <n v="848"/>
    <n v="803.2"/>
    <x v="1"/>
    <x v="2"/>
    <x v="1"/>
    <n v="69"/>
    <m/>
  </r>
  <r>
    <x v="3166"/>
    <x v="228"/>
    <x v="7"/>
    <n v="8"/>
    <n v="17"/>
    <s v="Sunday"/>
    <x v="3"/>
    <x v="10"/>
    <x v="0"/>
    <s v="Veg Momos"/>
    <x v="1"/>
    <n v="2"/>
    <n v="580"/>
    <n v="29"/>
    <n v="30"/>
    <n v="1160"/>
    <n v="1161"/>
    <x v="1"/>
    <x v="2"/>
    <x v="1"/>
    <n v="66"/>
    <m/>
  </r>
  <r>
    <x v="3167"/>
    <x v="229"/>
    <x v="7"/>
    <n v="8"/>
    <n v="18"/>
    <s v="Monday"/>
    <x v="1"/>
    <x v="13"/>
    <x v="1"/>
    <s v="Chicken Pizza"/>
    <x v="1"/>
    <n v="2"/>
    <n v="540"/>
    <n v="0"/>
    <n v="0"/>
    <n v="1080"/>
    <n v="1080"/>
    <x v="2"/>
    <x v="0"/>
    <x v="1"/>
    <n v="32"/>
    <n v="4.5999999999999996"/>
  </r>
  <r>
    <x v="3168"/>
    <x v="229"/>
    <x v="7"/>
    <n v="8"/>
    <n v="18"/>
    <s v="Monday"/>
    <x v="1"/>
    <x v="2"/>
    <x v="5"/>
    <s v="French Fries"/>
    <x v="2"/>
    <n v="1"/>
    <n v="123"/>
    <n v="12.3"/>
    <n v="60"/>
    <n v="123"/>
    <n v="170.7"/>
    <x v="1"/>
    <x v="0"/>
    <x v="0"/>
    <n v="46"/>
    <n v="3.8"/>
  </r>
  <r>
    <x v="3169"/>
    <x v="229"/>
    <x v="7"/>
    <n v="8"/>
    <n v="18"/>
    <s v="Monday"/>
    <x v="0"/>
    <x v="7"/>
    <x v="6"/>
    <s v="Cold Coffee"/>
    <x v="1"/>
    <n v="1"/>
    <n v="696"/>
    <n v="104.4"/>
    <n v="70"/>
    <n v="696"/>
    <n v="661.6"/>
    <x v="1"/>
    <x v="0"/>
    <x v="1"/>
    <n v="66"/>
    <n v="3.8"/>
  </r>
  <r>
    <x v="3170"/>
    <x v="229"/>
    <x v="7"/>
    <n v="8"/>
    <n v="18"/>
    <s v="Monday"/>
    <x v="8"/>
    <x v="1"/>
    <x v="7"/>
    <s v="French Fries"/>
    <x v="1"/>
    <n v="2"/>
    <n v="352"/>
    <n v="35.200000000000003"/>
    <n v="30"/>
    <n v="704"/>
    <n v="698.8"/>
    <x v="1"/>
    <x v="3"/>
    <x v="1"/>
    <n v="50"/>
    <m/>
  </r>
  <r>
    <x v="3171"/>
    <x v="229"/>
    <x v="7"/>
    <n v="8"/>
    <n v="18"/>
    <s v="Monday"/>
    <x v="2"/>
    <x v="0"/>
    <x v="2"/>
    <s v="Veg Burger"/>
    <x v="1"/>
    <n v="1"/>
    <n v="479"/>
    <n v="71.849999999999994"/>
    <n v="0"/>
    <n v="479"/>
    <n v="407.15"/>
    <x v="0"/>
    <x v="0"/>
    <x v="1"/>
    <n v="34"/>
    <n v="4.2"/>
  </r>
  <r>
    <x v="3172"/>
    <x v="229"/>
    <x v="7"/>
    <n v="8"/>
    <n v="18"/>
    <s v="Monday"/>
    <x v="2"/>
    <x v="6"/>
    <x v="3"/>
    <s v="Chocolate Cake"/>
    <x v="2"/>
    <n v="2"/>
    <n v="161"/>
    <n v="32.200000000000003"/>
    <n v="30"/>
    <n v="322"/>
    <n v="319.8"/>
    <x v="1"/>
    <x v="1"/>
    <x v="0"/>
    <n v="40"/>
    <m/>
  </r>
  <r>
    <x v="3173"/>
    <x v="229"/>
    <x v="7"/>
    <n v="8"/>
    <n v="18"/>
    <s v="Monday"/>
    <x v="5"/>
    <x v="10"/>
    <x v="3"/>
    <s v="Pasta"/>
    <x v="1"/>
    <n v="1"/>
    <n v="450"/>
    <n v="0"/>
    <n v="20"/>
    <n v="450"/>
    <n v="470"/>
    <x v="0"/>
    <x v="0"/>
    <x v="1"/>
    <n v="61"/>
    <n v="3.7"/>
  </r>
  <r>
    <x v="3174"/>
    <x v="229"/>
    <x v="7"/>
    <n v="8"/>
    <n v="18"/>
    <s v="Monday"/>
    <x v="5"/>
    <x v="8"/>
    <x v="6"/>
    <s v="Pasta"/>
    <x v="1"/>
    <n v="3"/>
    <n v="584"/>
    <n v="58.4"/>
    <n v="40"/>
    <n v="1752"/>
    <n v="1733.6"/>
    <x v="4"/>
    <x v="0"/>
    <x v="1"/>
    <n v="21"/>
    <n v="4.5999999999999996"/>
  </r>
  <r>
    <x v="3175"/>
    <x v="229"/>
    <x v="7"/>
    <n v="8"/>
    <n v="18"/>
    <s v="Monday"/>
    <x v="8"/>
    <x v="14"/>
    <x v="2"/>
    <s v="Paneer Butter Masala"/>
    <x v="1"/>
    <n v="1"/>
    <n v="189"/>
    <n v="47.25"/>
    <n v="60"/>
    <n v="189"/>
    <n v="201.75"/>
    <x v="2"/>
    <x v="0"/>
    <x v="0"/>
    <n v="29"/>
    <n v="4"/>
  </r>
  <r>
    <x v="3176"/>
    <x v="229"/>
    <x v="7"/>
    <n v="8"/>
    <n v="18"/>
    <s v="Monday"/>
    <x v="8"/>
    <x v="9"/>
    <x v="8"/>
    <s v="Pasta"/>
    <x v="1"/>
    <n v="2"/>
    <n v="566"/>
    <n v="56.6"/>
    <n v="0"/>
    <n v="1132"/>
    <n v="1075.4000000000001"/>
    <x v="1"/>
    <x v="2"/>
    <x v="0"/>
    <n v="38"/>
    <m/>
  </r>
  <r>
    <x v="3177"/>
    <x v="230"/>
    <x v="7"/>
    <n v="8"/>
    <n v="19"/>
    <s v="Tuesday"/>
    <x v="7"/>
    <x v="4"/>
    <x v="3"/>
    <s v="Chocolate Cake"/>
    <x v="0"/>
    <n v="3"/>
    <n v="700"/>
    <n v="0"/>
    <n v="70"/>
    <n v="2100"/>
    <n v="2170"/>
    <x v="4"/>
    <x v="0"/>
    <x v="1"/>
    <n v="64"/>
    <n v="4.3"/>
  </r>
  <r>
    <x v="3178"/>
    <x v="230"/>
    <x v="7"/>
    <n v="8"/>
    <n v="19"/>
    <s v="Tuesday"/>
    <x v="1"/>
    <x v="7"/>
    <x v="5"/>
    <s v="Masala Dosa"/>
    <x v="1"/>
    <n v="1"/>
    <n v="294"/>
    <n v="29.4"/>
    <n v="30"/>
    <n v="294"/>
    <n v="294.60000000000002"/>
    <x v="0"/>
    <x v="0"/>
    <x v="1"/>
    <n v="40"/>
    <n v="4"/>
  </r>
  <r>
    <x v="3179"/>
    <x v="230"/>
    <x v="7"/>
    <n v="8"/>
    <n v="19"/>
    <s v="Tuesday"/>
    <x v="5"/>
    <x v="7"/>
    <x v="8"/>
    <s v="Chicken Momos"/>
    <x v="3"/>
    <n v="3"/>
    <n v="260"/>
    <n v="52"/>
    <n v="0"/>
    <n v="780"/>
    <n v="728"/>
    <x v="0"/>
    <x v="2"/>
    <x v="1"/>
    <n v="50"/>
    <m/>
  </r>
  <r>
    <x v="3180"/>
    <x v="230"/>
    <x v="7"/>
    <n v="8"/>
    <n v="19"/>
    <s v="Tuesday"/>
    <x v="9"/>
    <x v="4"/>
    <x v="6"/>
    <s v="French Fries"/>
    <x v="1"/>
    <n v="1"/>
    <n v="364"/>
    <n v="36.4"/>
    <n v="60"/>
    <n v="364"/>
    <n v="387.6"/>
    <x v="0"/>
    <x v="0"/>
    <x v="1"/>
    <n v="56"/>
    <n v="4.5999999999999996"/>
  </r>
  <r>
    <x v="3181"/>
    <x v="230"/>
    <x v="7"/>
    <n v="8"/>
    <n v="19"/>
    <s v="Tuesday"/>
    <x v="5"/>
    <x v="4"/>
    <x v="5"/>
    <s v="Chicken Biryani"/>
    <x v="1"/>
    <n v="2"/>
    <n v="784"/>
    <n v="39.200000000000003"/>
    <n v="60"/>
    <n v="1568"/>
    <n v="1588.8"/>
    <x v="0"/>
    <x v="0"/>
    <x v="1"/>
    <n v="50"/>
    <n v="5"/>
  </r>
  <r>
    <x v="3182"/>
    <x v="230"/>
    <x v="7"/>
    <n v="8"/>
    <n v="19"/>
    <s v="Tuesday"/>
    <x v="5"/>
    <x v="0"/>
    <x v="5"/>
    <s v="Chicken Pizza"/>
    <x v="0"/>
    <n v="3"/>
    <n v="886"/>
    <n v="177.2"/>
    <n v="30"/>
    <n v="2658"/>
    <n v="2510.8000000000002"/>
    <x v="4"/>
    <x v="0"/>
    <x v="0"/>
    <n v="22"/>
    <n v="3.6"/>
  </r>
  <r>
    <x v="3183"/>
    <x v="230"/>
    <x v="7"/>
    <n v="8"/>
    <n v="19"/>
    <s v="Tuesday"/>
    <x v="3"/>
    <x v="10"/>
    <x v="1"/>
    <s v="French Fries"/>
    <x v="1"/>
    <n v="1"/>
    <n v="120"/>
    <n v="18"/>
    <n v="40"/>
    <n v="120"/>
    <n v="142"/>
    <x v="1"/>
    <x v="0"/>
    <x v="1"/>
    <n v="31"/>
    <n v="3.4"/>
  </r>
  <r>
    <x v="3184"/>
    <x v="230"/>
    <x v="7"/>
    <n v="8"/>
    <n v="19"/>
    <s v="Tuesday"/>
    <x v="5"/>
    <x v="3"/>
    <x v="7"/>
    <s v="Chicken Pizza"/>
    <x v="1"/>
    <n v="1"/>
    <n v="838"/>
    <n v="41.9"/>
    <n v="30"/>
    <n v="838"/>
    <n v="826.1"/>
    <x v="1"/>
    <x v="0"/>
    <x v="0"/>
    <n v="53"/>
    <n v="4.5"/>
  </r>
  <r>
    <x v="3185"/>
    <x v="230"/>
    <x v="7"/>
    <n v="8"/>
    <n v="19"/>
    <s v="Tuesday"/>
    <x v="0"/>
    <x v="14"/>
    <x v="4"/>
    <s v="Veg Biryani"/>
    <x v="1"/>
    <n v="1"/>
    <n v="326"/>
    <n v="81.5"/>
    <n v="0"/>
    <n v="326"/>
    <n v="244.5"/>
    <x v="1"/>
    <x v="0"/>
    <x v="0"/>
    <n v="57"/>
    <n v="4.3"/>
  </r>
  <r>
    <x v="3186"/>
    <x v="230"/>
    <x v="7"/>
    <n v="8"/>
    <n v="19"/>
    <s v="Tuesday"/>
    <x v="4"/>
    <x v="2"/>
    <x v="3"/>
    <s v="Pasta"/>
    <x v="2"/>
    <n v="1"/>
    <n v="232"/>
    <n v="46.4"/>
    <n v="50"/>
    <n v="232"/>
    <n v="235.6"/>
    <x v="1"/>
    <x v="0"/>
    <x v="1"/>
    <n v="63"/>
    <n v="4.2"/>
  </r>
  <r>
    <x v="3187"/>
    <x v="230"/>
    <x v="7"/>
    <n v="8"/>
    <n v="19"/>
    <s v="Tuesday"/>
    <x v="3"/>
    <x v="6"/>
    <x v="7"/>
    <s v="Paneer Butter Masala"/>
    <x v="2"/>
    <n v="2"/>
    <n v="513"/>
    <n v="51.3"/>
    <n v="50"/>
    <n v="1026"/>
    <n v="1024.7"/>
    <x v="0"/>
    <x v="0"/>
    <x v="0"/>
    <n v="48"/>
    <n v="3.9"/>
  </r>
  <r>
    <x v="3188"/>
    <x v="230"/>
    <x v="7"/>
    <n v="8"/>
    <n v="19"/>
    <s v="Tuesday"/>
    <x v="4"/>
    <x v="13"/>
    <x v="7"/>
    <s v="Paneer Butter Masala"/>
    <x v="1"/>
    <n v="1"/>
    <n v="335"/>
    <n v="50.25"/>
    <n v="20"/>
    <n v="335"/>
    <n v="304.75"/>
    <x v="3"/>
    <x v="0"/>
    <x v="1"/>
    <n v="21"/>
    <n v="4.0999999999999996"/>
  </r>
  <r>
    <x v="3189"/>
    <x v="230"/>
    <x v="7"/>
    <n v="8"/>
    <n v="19"/>
    <s v="Tuesday"/>
    <x v="0"/>
    <x v="14"/>
    <x v="8"/>
    <s v="Masala Dosa"/>
    <x v="1"/>
    <n v="2"/>
    <n v="682"/>
    <n v="34.1"/>
    <n v="0"/>
    <n v="1364"/>
    <n v="1329.9"/>
    <x v="1"/>
    <x v="1"/>
    <x v="1"/>
    <n v="43"/>
    <m/>
  </r>
  <r>
    <x v="3190"/>
    <x v="230"/>
    <x v="7"/>
    <n v="8"/>
    <n v="19"/>
    <s v="Tuesday"/>
    <x v="5"/>
    <x v="14"/>
    <x v="8"/>
    <s v="French Fries"/>
    <x v="2"/>
    <n v="3"/>
    <n v="890"/>
    <n v="89"/>
    <n v="30"/>
    <n v="2670"/>
    <n v="2611"/>
    <x v="1"/>
    <x v="0"/>
    <x v="0"/>
    <n v="57"/>
    <n v="4.5"/>
  </r>
  <r>
    <x v="3191"/>
    <x v="231"/>
    <x v="7"/>
    <n v="8"/>
    <n v="20"/>
    <s v="Wednesday"/>
    <x v="9"/>
    <x v="9"/>
    <x v="9"/>
    <s v="Chocolate Cake"/>
    <x v="1"/>
    <n v="2"/>
    <n v="569"/>
    <n v="142.25"/>
    <n v="0"/>
    <n v="1138"/>
    <n v="995.75"/>
    <x v="1"/>
    <x v="0"/>
    <x v="0"/>
    <n v="23"/>
    <n v="4.7"/>
  </r>
  <r>
    <x v="3192"/>
    <x v="231"/>
    <x v="7"/>
    <n v="8"/>
    <n v="20"/>
    <s v="Wednesday"/>
    <x v="1"/>
    <x v="5"/>
    <x v="5"/>
    <s v="Idli Sambar"/>
    <x v="1"/>
    <n v="3"/>
    <n v="603"/>
    <n v="120.6"/>
    <n v="70"/>
    <n v="1809"/>
    <n v="1758.4"/>
    <x v="3"/>
    <x v="0"/>
    <x v="1"/>
    <n v="45"/>
    <n v="4.7"/>
  </r>
  <r>
    <x v="3193"/>
    <x v="231"/>
    <x v="7"/>
    <n v="8"/>
    <n v="20"/>
    <s v="Wednesday"/>
    <x v="5"/>
    <x v="8"/>
    <x v="3"/>
    <s v="Masala Dosa"/>
    <x v="1"/>
    <n v="2"/>
    <n v="798"/>
    <n v="79.8"/>
    <n v="30"/>
    <n v="1596"/>
    <n v="1546.2"/>
    <x v="0"/>
    <x v="0"/>
    <x v="1"/>
    <n v="70"/>
    <n v="4.2"/>
  </r>
  <r>
    <x v="3194"/>
    <x v="231"/>
    <x v="7"/>
    <n v="8"/>
    <n v="20"/>
    <s v="Wednesday"/>
    <x v="1"/>
    <x v="3"/>
    <x v="2"/>
    <s v="Paneer Butter Masala"/>
    <x v="1"/>
    <n v="1"/>
    <n v="185"/>
    <n v="18.5"/>
    <n v="40"/>
    <n v="185"/>
    <n v="206.5"/>
    <x v="3"/>
    <x v="0"/>
    <x v="1"/>
    <n v="56"/>
    <n v="4.0999999999999996"/>
  </r>
  <r>
    <x v="3195"/>
    <x v="231"/>
    <x v="7"/>
    <n v="8"/>
    <n v="20"/>
    <s v="Wednesday"/>
    <x v="5"/>
    <x v="1"/>
    <x v="4"/>
    <s v="Paneer Butter Masala"/>
    <x v="3"/>
    <n v="2"/>
    <n v="245"/>
    <n v="0"/>
    <n v="30"/>
    <n v="490"/>
    <n v="520"/>
    <x v="2"/>
    <x v="0"/>
    <x v="1"/>
    <n v="48"/>
    <n v="4.2"/>
  </r>
  <r>
    <x v="3196"/>
    <x v="231"/>
    <x v="7"/>
    <n v="8"/>
    <n v="20"/>
    <s v="Wednesday"/>
    <x v="9"/>
    <x v="12"/>
    <x v="3"/>
    <s v="Veg Biryani"/>
    <x v="1"/>
    <n v="1"/>
    <n v="122"/>
    <n v="0"/>
    <n v="0"/>
    <n v="122"/>
    <n v="122"/>
    <x v="0"/>
    <x v="0"/>
    <x v="0"/>
    <n v="68"/>
    <n v="4.2"/>
  </r>
  <r>
    <x v="3197"/>
    <x v="231"/>
    <x v="7"/>
    <n v="8"/>
    <n v="20"/>
    <s v="Wednesday"/>
    <x v="1"/>
    <x v="5"/>
    <x v="4"/>
    <s v="Chicken Burger"/>
    <x v="1"/>
    <n v="2"/>
    <n v="291"/>
    <n v="58.2"/>
    <n v="0"/>
    <n v="582"/>
    <n v="523.79999999999995"/>
    <x v="1"/>
    <x v="0"/>
    <x v="1"/>
    <n v="32"/>
    <n v="5"/>
  </r>
  <r>
    <x v="3198"/>
    <x v="231"/>
    <x v="7"/>
    <n v="8"/>
    <n v="20"/>
    <s v="Wednesday"/>
    <x v="8"/>
    <x v="8"/>
    <x v="9"/>
    <s v="Chicken Burger"/>
    <x v="3"/>
    <n v="2"/>
    <n v="727"/>
    <n v="72.7"/>
    <n v="20"/>
    <n v="1454"/>
    <n v="1401.3"/>
    <x v="3"/>
    <x v="0"/>
    <x v="0"/>
    <n v="59"/>
    <n v="4.3"/>
  </r>
  <r>
    <x v="3199"/>
    <x v="231"/>
    <x v="7"/>
    <n v="8"/>
    <n v="20"/>
    <s v="Wednesday"/>
    <x v="4"/>
    <x v="7"/>
    <x v="9"/>
    <s v="Veg Burger"/>
    <x v="2"/>
    <n v="1"/>
    <n v="135"/>
    <n v="27"/>
    <n v="40"/>
    <n v="135"/>
    <n v="148"/>
    <x v="0"/>
    <x v="0"/>
    <x v="0"/>
    <n v="19"/>
    <n v="3.9"/>
  </r>
  <r>
    <x v="3200"/>
    <x v="231"/>
    <x v="7"/>
    <n v="8"/>
    <n v="20"/>
    <s v="Wednesday"/>
    <x v="0"/>
    <x v="4"/>
    <x v="9"/>
    <s v="Veg Burger"/>
    <x v="3"/>
    <n v="1"/>
    <n v="505"/>
    <n v="75.75"/>
    <n v="50"/>
    <n v="505"/>
    <n v="479.25"/>
    <x v="1"/>
    <x v="0"/>
    <x v="0"/>
    <n v="38"/>
    <n v="4.5"/>
  </r>
  <r>
    <x v="3201"/>
    <x v="231"/>
    <x v="7"/>
    <n v="8"/>
    <n v="20"/>
    <s v="Wednesday"/>
    <x v="0"/>
    <x v="13"/>
    <x v="1"/>
    <s v="Fried Rice"/>
    <x v="1"/>
    <n v="3"/>
    <n v="733"/>
    <n v="73.3"/>
    <n v="0"/>
    <n v="2199"/>
    <n v="2125.6999999999998"/>
    <x v="4"/>
    <x v="0"/>
    <x v="1"/>
    <n v="21"/>
    <n v="4.5999999999999996"/>
  </r>
  <r>
    <x v="3202"/>
    <x v="232"/>
    <x v="7"/>
    <n v="8"/>
    <n v="21"/>
    <s v="Thursday"/>
    <x v="9"/>
    <x v="7"/>
    <x v="5"/>
    <s v="Pasta"/>
    <x v="1"/>
    <n v="3"/>
    <n v="608"/>
    <n v="60.8"/>
    <n v="40"/>
    <n v="1824"/>
    <n v="1803.2"/>
    <x v="1"/>
    <x v="0"/>
    <x v="1"/>
    <n v="37"/>
    <n v="3.9"/>
  </r>
  <r>
    <x v="3203"/>
    <x v="232"/>
    <x v="7"/>
    <n v="8"/>
    <n v="21"/>
    <s v="Thursday"/>
    <x v="4"/>
    <x v="4"/>
    <x v="2"/>
    <s v="Fried Rice"/>
    <x v="1"/>
    <n v="1"/>
    <n v="252"/>
    <n v="12.6"/>
    <n v="30"/>
    <n v="252"/>
    <n v="269.39999999999998"/>
    <x v="2"/>
    <x v="0"/>
    <x v="1"/>
    <n v="22"/>
    <n v="4.4000000000000004"/>
  </r>
  <r>
    <x v="3204"/>
    <x v="232"/>
    <x v="7"/>
    <n v="8"/>
    <n v="21"/>
    <s v="Thursday"/>
    <x v="3"/>
    <x v="12"/>
    <x v="8"/>
    <s v="Masala Dosa"/>
    <x v="1"/>
    <n v="2"/>
    <n v="177"/>
    <n v="0"/>
    <n v="40"/>
    <n v="354"/>
    <n v="394"/>
    <x v="4"/>
    <x v="0"/>
    <x v="1"/>
    <n v="53"/>
    <n v="3.2"/>
  </r>
  <r>
    <x v="3205"/>
    <x v="232"/>
    <x v="7"/>
    <n v="8"/>
    <n v="21"/>
    <s v="Thursday"/>
    <x v="5"/>
    <x v="13"/>
    <x v="0"/>
    <s v="Chicken Biryani"/>
    <x v="2"/>
    <n v="3"/>
    <n v="492"/>
    <n v="0"/>
    <n v="50"/>
    <n v="1476"/>
    <n v="1526"/>
    <x v="1"/>
    <x v="2"/>
    <x v="1"/>
    <n v="32"/>
    <m/>
  </r>
  <r>
    <x v="3206"/>
    <x v="232"/>
    <x v="7"/>
    <n v="8"/>
    <n v="21"/>
    <s v="Thursday"/>
    <x v="3"/>
    <x v="0"/>
    <x v="8"/>
    <s v="Veg Biryani"/>
    <x v="1"/>
    <n v="1"/>
    <n v="275"/>
    <n v="27.5"/>
    <n v="20"/>
    <n v="275"/>
    <n v="267.5"/>
    <x v="4"/>
    <x v="0"/>
    <x v="1"/>
    <n v="44"/>
    <n v="4.3"/>
  </r>
  <r>
    <x v="3207"/>
    <x v="232"/>
    <x v="7"/>
    <n v="8"/>
    <n v="21"/>
    <s v="Thursday"/>
    <x v="6"/>
    <x v="13"/>
    <x v="3"/>
    <s v="Masala Dosa"/>
    <x v="1"/>
    <n v="1"/>
    <n v="492"/>
    <n v="0"/>
    <n v="40"/>
    <n v="492"/>
    <n v="532"/>
    <x v="3"/>
    <x v="0"/>
    <x v="1"/>
    <n v="19"/>
    <n v="4"/>
  </r>
  <r>
    <x v="3208"/>
    <x v="232"/>
    <x v="7"/>
    <n v="8"/>
    <n v="21"/>
    <s v="Thursday"/>
    <x v="0"/>
    <x v="8"/>
    <x v="5"/>
    <s v="Chicken Momos"/>
    <x v="1"/>
    <n v="1"/>
    <n v="296"/>
    <n v="29.6"/>
    <n v="40"/>
    <n v="296"/>
    <n v="306.39999999999998"/>
    <x v="0"/>
    <x v="0"/>
    <x v="1"/>
    <n v="67"/>
    <n v="4.5"/>
  </r>
  <r>
    <x v="3209"/>
    <x v="232"/>
    <x v="7"/>
    <n v="8"/>
    <n v="21"/>
    <s v="Thursday"/>
    <x v="4"/>
    <x v="8"/>
    <x v="1"/>
    <s v="Veg Pizza"/>
    <x v="0"/>
    <n v="3"/>
    <n v="208"/>
    <n v="20.8"/>
    <n v="40"/>
    <n v="624"/>
    <n v="643.20000000000005"/>
    <x v="3"/>
    <x v="0"/>
    <x v="0"/>
    <n v="66"/>
    <n v="4.2"/>
  </r>
  <r>
    <x v="3210"/>
    <x v="232"/>
    <x v="7"/>
    <n v="8"/>
    <n v="21"/>
    <s v="Thursday"/>
    <x v="0"/>
    <x v="10"/>
    <x v="0"/>
    <s v="Cold Coffee"/>
    <x v="3"/>
    <n v="2"/>
    <n v="141"/>
    <n v="35.25"/>
    <n v="50"/>
    <n v="282"/>
    <n v="296.75"/>
    <x v="1"/>
    <x v="0"/>
    <x v="1"/>
    <n v="53"/>
    <n v="5"/>
  </r>
  <r>
    <x v="3211"/>
    <x v="232"/>
    <x v="7"/>
    <n v="8"/>
    <n v="21"/>
    <s v="Thursday"/>
    <x v="4"/>
    <x v="5"/>
    <x v="9"/>
    <s v="Chicken Pizza"/>
    <x v="1"/>
    <n v="3"/>
    <n v="383"/>
    <n v="76.599999999999994"/>
    <n v="60"/>
    <n v="1149"/>
    <n v="1132.4000000000001"/>
    <x v="2"/>
    <x v="0"/>
    <x v="0"/>
    <n v="60"/>
    <n v="3.2"/>
  </r>
  <r>
    <x v="3212"/>
    <x v="232"/>
    <x v="7"/>
    <n v="8"/>
    <n v="21"/>
    <s v="Thursday"/>
    <x v="1"/>
    <x v="1"/>
    <x v="4"/>
    <s v="Paneer Butter Masala"/>
    <x v="1"/>
    <n v="2"/>
    <n v="769"/>
    <n v="115.35"/>
    <n v="70"/>
    <n v="1538"/>
    <n v="1492.65"/>
    <x v="1"/>
    <x v="0"/>
    <x v="1"/>
    <n v="32"/>
    <n v="3.8"/>
  </r>
  <r>
    <x v="3213"/>
    <x v="232"/>
    <x v="7"/>
    <n v="8"/>
    <n v="21"/>
    <s v="Thursday"/>
    <x v="2"/>
    <x v="1"/>
    <x v="5"/>
    <s v="Veg Momos"/>
    <x v="1"/>
    <n v="1"/>
    <n v="312"/>
    <n v="46.8"/>
    <n v="50"/>
    <n v="312"/>
    <n v="315.2"/>
    <x v="0"/>
    <x v="2"/>
    <x v="1"/>
    <n v="27"/>
    <m/>
  </r>
  <r>
    <x v="3214"/>
    <x v="232"/>
    <x v="7"/>
    <n v="8"/>
    <n v="21"/>
    <s v="Thursday"/>
    <x v="9"/>
    <x v="3"/>
    <x v="3"/>
    <s v="Veg Momos"/>
    <x v="1"/>
    <n v="1"/>
    <n v="735"/>
    <n v="183.75"/>
    <n v="0"/>
    <n v="735"/>
    <n v="551.25"/>
    <x v="1"/>
    <x v="0"/>
    <x v="0"/>
    <n v="59"/>
    <n v="2.8"/>
  </r>
  <r>
    <x v="3215"/>
    <x v="232"/>
    <x v="7"/>
    <n v="8"/>
    <n v="21"/>
    <s v="Thursday"/>
    <x v="0"/>
    <x v="12"/>
    <x v="8"/>
    <s v="Chicken Burger"/>
    <x v="1"/>
    <n v="2"/>
    <n v="345"/>
    <n v="34.5"/>
    <n v="40"/>
    <n v="690"/>
    <n v="695.5"/>
    <x v="1"/>
    <x v="0"/>
    <x v="0"/>
    <n v="45"/>
    <n v="3.7"/>
  </r>
  <r>
    <x v="3216"/>
    <x v="232"/>
    <x v="7"/>
    <n v="8"/>
    <n v="21"/>
    <s v="Thursday"/>
    <x v="2"/>
    <x v="0"/>
    <x v="5"/>
    <s v="Veg Burger"/>
    <x v="1"/>
    <n v="1"/>
    <n v="726"/>
    <n v="108.9"/>
    <n v="20"/>
    <n v="726"/>
    <n v="637.1"/>
    <x v="1"/>
    <x v="0"/>
    <x v="0"/>
    <n v="29"/>
    <n v="4.2"/>
  </r>
  <r>
    <x v="3217"/>
    <x v="232"/>
    <x v="7"/>
    <n v="8"/>
    <n v="21"/>
    <s v="Thursday"/>
    <x v="0"/>
    <x v="8"/>
    <x v="0"/>
    <s v="Fried Rice"/>
    <x v="1"/>
    <n v="2"/>
    <n v="126"/>
    <n v="12.6"/>
    <n v="40"/>
    <n v="252"/>
    <n v="279.39999999999998"/>
    <x v="1"/>
    <x v="0"/>
    <x v="1"/>
    <n v="27"/>
    <n v="5"/>
  </r>
  <r>
    <x v="3218"/>
    <x v="232"/>
    <x v="7"/>
    <n v="8"/>
    <n v="21"/>
    <s v="Thursday"/>
    <x v="3"/>
    <x v="10"/>
    <x v="6"/>
    <s v="Veg Pizza"/>
    <x v="1"/>
    <n v="2"/>
    <n v="201"/>
    <n v="0"/>
    <n v="40"/>
    <n v="402"/>
    <n v="442"/>
    <x v="1"/>
    <x v="2"/>
    <x v="1"/>
    <n v="21"/>
    <m/>
  </r>
  <r>
    <x v="3219"/>
    <x v="232"/>
    <x v="7"/>
    <n v="8"/>
    <n v="21"/>
    <s v="Thursday"/>
    <x v="0"/>
    <x v="8"/>
    <x v="0"/>
    <s v="Chicken Biryani"/>
    <x v="3"/>
    <n v="1"/>
    <n v="142"/>
    <n v="14.2"/>
    <n v="30"/>
    <n v="142"/>
    <n v="157.80000000000001"/>
    <x v="2"/>
    <x v="2"/>
    <x v="0"/>
    <n v="62"/>
    <m/>
  </r>
  <r>
    <x v="3220"/>
    <x v="232"/>
    <x v="7"/>
    <n v="8"/>
    <n v="21"/>
    <s v="Thursday"/>
    <x v="4"/>
    <x v="6"/>
    <x v="9"/>
    <s v="Masala Dosa"/>
    <x v="1"/>
    <n v="3"/>
    <n v="310"/>
    <n v="31"/>
    <n v="40"/>
    <n v="930"/>
    <n v="939"/>
    <x v="0"/>
    <x v="0"/>
    <x v="1"/>
    <n v="62"/>
    <n v="3"/>
  </r>
  <r>
    <x v="3221"/>
    <x v="233"/>
    <x v="7"/>
    <n v="8"/>
    <n v="22"/>
    <s v="Friday"/>
    <x v="0"/>
    <x v="10"/>
    <x v="9"/>
    <s v="Masala Dosa"/>
    <x v="2"/>
    <n v="1"/>
    <n v="640"/>
    <n v="160"/>
    <n v="20"/>
    <n v="640"/>
    <n v="500"/>
    <x v="3"/>
    <x v="0"/>
    <x v="1"/>
    <n v="22"/>
    <n v="4.2"/>
  </r>
  <r>
    <x v="3222"/>
    <x v="233"/>
    <x v="7"/>
    <n v="8"/>
    <n v="22"/>
    <s v="Friday"/>
    <x v="3"/>
    <x v="13"/>
    <x v="4"/>
    <s v="Chocolate Cake"/>
    <x v="3"/>
    <n v="2"/>
    <n v="819"/>
    <n v="122.85"/>
    <n v="0"/>
    <n v="1638"/>
    <n v="1515.15"/>
    <x v="1"/>
    <x v="3"/>
    <x v="0"/>
    <n v="63"/>
    <m/>
  </r>
  <r>
    <x v="3223"/>
    <x v="233"/>
    <x v="7"/>
    <n v="8"/>
    <n v="22"/>
    <s v="Friday"/>
    <x v="8"/>
    <x v="14"/>
    <x v="1"/>
    <s v="Fried Rice"/>
    <x v="1"/>
    <n v="2"/>
    <n v="514"/>
    <n v="128.5"/>
    <n v="0"/>
    <n v="1028"/>
    <n v="899.5"/>
    <x v="2"/>
    <x v="0"/>
    <x v="1"/>
    <n v="28"/>
    <n v="4.0999999999999996"/>
  </r>
  <r>
    <x v="3224"/>
    <x v="233"/>
    <x v="7"/>
    <n v="8"/>
    <n v="22"/>
    <s v="Friday"/>
    <x v="1"/>
    <x v="9"/>
    <x v="2"/>
    <s v="Veg Burger"/>
    <x v="1"/>
    <n v="1"/>
    <n v="351"/>
    <n v="87.75"/>
    <n v="30"/>
    <n v="351"/>
    <n v="293.25"/>
    <x v="1"/>
    <x v="0"/>
    <x v="1"/>
    <n v="28"/>
    <n v="3.2"/>
  </r>
  <r>
    <x v="3225"/>
    <x v="233"/>
    <x v="7"/>
    <n v="8"/>
    <n v="22"/>
    <s v="Friday"/>
    <x v="1"/>
    <x v="5"/>
    <x v="0"/>
    <s v="French Fries"/>
    <x v="2"/>
    <n v="1"/>
    <n v="834"/>
    <n v="125.1"/>
    <n v="30"/>
    <n v="834"/>
    <n v="738.9"/>
    <x v="4"/>
    <x v="0"/>
    <x v="0"/>
    <n v="51"/>
    <n v="3.8"/>
  </r>
  <r>
    <x v="3226"/>
    <x v="233"/>
    <x v="7"/>
    <n v="8"/>
    <n v="22"/>
    <s v="Friday"/>
    <x v="9"/>
    <x v="8"/>
    <x v="0"/>
    <s v="Veg Burger"/>
    <x v="1"/>
    <n v="2"/>
    <n v="290"/>
    <n v="29"/>
    <n v="60"/>
    <n v="580"/>
    <n v="611"/>
    <x v="1"/>
    <x v="0"/>
    <x v="1"/>
    <n v="22"/>
    <n v="4.2"/>
  </r>
  <r>
    <x v="3227"/>
    <x v="233"/>
    <x v="7"/>
    <n v="8"/>
    <n v="22"/>
    <s v="Friday"/>
    <x v="4"/>
    <x v="13"/>
    <x v="6"/>
    <s v="French Fries"/>
    <x v="1"/>
    <n v="2"/>
    <n v="644"/>
    <n v="64.400000000000006"/>
    <n v="40"/>
    <n v="1288"/>
    <n v="1263.5999999999999"/>
    <x v="4"/>
    <x v="0"/>
    <x v="1"/>
    <n v="55"/>
    <n v="4.0999999999999996"/>
  </r>
  <r>
    <x v="3228"/>
    <x v="233"/>
    <x v="7"/>
    <n v="8"/>
    <n v="22"/>
    <s v="Friday"/>
    <x v="9"/>
    <x v="14"/>
    <x v="0"/>
    <s v="Veg Biryani"/>
    <x v="1"/>
    <n v="2"/>
    <n v="792"/>
    <n v="39.6"/>
    <n v="20"/>
    <n v="1584"/>
    <n v="1564.4"/>
    <x v="1"/>
    <x v="0"/>
    <x v="1"/>
    <n v="19"/>
    <n v="3.9"/>
  </r>
  <r>
    <x v="3229"/>
    <x v="233"/>
    <x v="7"/>
    <n v="8"/>
    <n v="22"/>
    <s v="Friday"/>
    <x v="5"/>
    <x v="7"/>
    <x v="6"/>
    <s v="Chicken Biryani"/>
    <x v="1"/>
    <n v="1"/>
    <n v="429"/>
    <n v="85.8"/>
    <n v="60"/>
    <n v="429"/>
    <n v="403.2"/>
    <x v="1"/>
    <x v="0"/>
    <x v="1"/>
    <n v="34"/>
    <n v="4.3"/>
  </r>
  <r>
    <x v="3230"/>
    <x v="233"/>
    <x v="7"/>
    <n v="8"/>
    <n v="22"/>
    <s v="Friday"/>
    <x v="3"/>
    <x v="2"/>
    <x v="1"/>
    <s v="Cold Coffee"/>
    <x v="1"/>
    <n v="2"/>
    <n v="597"/>
    <n v="119.4"/>
    <n v="40"/>
    <n v="1194"/>
    <n v="1114.5999999999999"/>
    <x v="1"/>
    <x v="0"/>
    <x v="1"/>
    <n v="61"/>
    <n v="3.6"/>
  </r>
  <r>
    <x v="3231"/>
    <x v="234"/>
    <x v="7"/>
    <n v="8"/>
    <n v="23"/>
    <s v="Saturday"/>
    <x v="5"/>
    <x v="3"/>
    <x v="3"/>
    <s v="Pasta"/>
    <x v="1"/>
    <n v="1"/>
    <n v="853"/>
    <n v="127.95"/>
    <n v="20"/>
    <n v="853"/>
    <n v="745.05"/>
    <x v="1"/>
    <x v="0"/>
    <x v="1"/>
    <n v="21"/>
    <n v="3.7"/>
  </r>
  <r>
    <x v="3232"/>
    <x v="234"/>
    <x v="7"/>
    <n v="8"/>
    <n v="23"/>
    <s v="Saturday"/>
    <x v="7"/>
    <x v="11"/>
    <x v="4"/>
    <s v="Chicken Burger"/>
    <x v="1"/>
    <n v="2"/>
    <n v="259"/>
    <n v="12.95"/>
    <n v="60"/>
    <n v="518"/>
    <n v="565.04999999999995"/>
    <x v="0"/>
    <x v="0"/>
    <x v="1"/>
    <n v="61"/>
    <n v="4.2"/>
  </r>
  <r>
    <x v="3233"/>
    <x v="234"/>
    <x v="7"/>
    <n v="8"/>
    <n v="23"/>
    <s v="Saturday"/>
    <x v="0"/>
    <x v="8"/>
    <x v="1"/>
    <s v="Paneer Butter Masala"/>
    <x v="2"/>
    <n v="2"/>
    <n v="347"/>
    <n v="86.75"/>
    <n v="50"/>
    <n v="694"/>
    <n v="657.25"/>
    <x v="1"/>
    <x v="0"/>
    <x v="1"/>
    <n v="32"/>
    <n v="4.5999999999999996"/>
  </r>
  <r>
    <x v="3234"/>
    <x v="234"/>
    <x v="7"/>
    <n v="8"/>
    <n v="23"/>
    <s v="Saturday"/>
    <x v="1"/>
    <x v="11"/>
    <x v="1"/>
    <s v="Cold Coffee"/>
    <x v="1"/>
    <n v="1"/>
    <n v="294"/>
    <n v="29.4"/>
    <n v="40"/>
    <n v="294"/>
    <n v="304.60000000000002"/>
    <x v="3"/>
    <x v="0"/>
    <x v="0"/>
    <n v="58"/>
    <n v="3.3"/>
  </r>
  <r>
    <x v="3235"/>
    <x v="234"/>
    <x v="7"/>
    <n v="8"/>
    <n v="23"/>
    <s v="Saturday"/>
    <x v="4"/>
    <x v="12"/>
    <x v="2"/>
    <s v="Veg Burger"/>
    <x v="1"/>
    <n v="3"/>
    <n v="211"/>
    <n v="10.55"/>
    <n v="40"/>
    <n v="633"/>
    <n v="662.45"/>
    <x v="1"/>
    <x v="0"/>
    <x v="1"/>
    <n v="48"/>
    <n v="4.8"/>
  </r>
  <r>
    <x v="3236"/>
    <x v="234"/>
    <x v="7"/>
    <n v="8"/>
    <n v="23"/>
    <s v="Saturday"/>
    <x v="1"/>
    <x v="12"/>
    <x v="0"/>
    <s v="Chocolate Cake"/>
    <x v="1"/>
    <n v="2"/>
    <n v="283"/>
    <n v="56.6"/>
    <n v="40"/>
    <n v="566"/>
    <n v="549.4"/>
    <x v="0"/>
    <x v="0"/>
    <x v="1"/>
    <n v="65"/>
    <n v="3.5"/>
  </r>
  <r>
    <x v="3237"/>
    <x v="234"/>
    <x v="7"/>
    <n v="8"/>
    <n v="23"/>
    <s v="Saturday"/>
    <x v="5"/>
    <x v="1"/>
    <x v="2"/>
    <s v="French Fries"/>
    <x v="2"/>
    <n v="1"/>
    <n v="746"/>
    <n v="186.5"/>
    <n v="60"/>
    <n v="746"/>
    <n v="619.5"/>
    <x v="3"/>
    <x v="0"/>
    <x v="1"/>
    <n v="31"/>
    <n v="3.8"/>
  </r>
  <r>
    <x v="3238"/>
    <x v="234"/>
    <x v="7"/>
    <n v="8"/>
    <n v="23"/>
    <s v="Saturday"/>
    <x v="5"/>
    <x v="13"/>
    <x v="6"/>
    <s v="French Fries"/>
    <x v="2"/>
    <n v="1"/>
    <n v="895"/>
    <n v="0"/>
    <n v="50"/>
    <n v="895"/>
    <n v="945"/>
    <x v="2"/>
    <x v="0"/>
    <x v="1"/>
    <n v="39"/>
    <n v="3.9"/>
  </r>
  <r>
    <x v="3239"/>
    <x v="234"/>
    <x v="7"/>
    <n v="8"/>
    <n v="23"/>
    <s v="Saturday"/>
    <x v="1"/>
    <x v="14"/>
    <x v="1"/>
    <s v="Veg Biryani"/>
    <x v="1"/>
    <n v="1"/>
    <n v="122"/>
    <n v="12.2"/>
    <n v="0"/>
    <n v="122"/>
    <n v="109.8"/>
    <x v="3"/>
    <x v="0"/>
    <x v="0"/>
    <n v="44"/>
    <n v="3.5"/>
  </r>
  <r>
    <x v="3240"/>
    <x v="234"/>
    <x v="7"/>
    <n v="8"/>
    <n v="23"/>
    <s v="Saturday"/>
    <x v="4"/>
    <x v="1"/>
    <x v="4"/>
    <s v="Chocolate Cake"/>
    <x v="1"/>
    <n v="1"/>
    <n v="448"/>
    <n v="67.2"/>
    <n v="40"/>
    <n v="448"/>
    <n v="420.8"/>
    <x v="2"/>
    <x v="3"/>
    <x v="1"/>
    <n v="69"/>
    <m/>
  </r>
  <r>
    <x v="3241"/>
    <x v="234"/>
    <x v="7"/>
    <n v="8"/>
    <n v="23"/>
    <s v="Saturday"/>
    <x v="6"/>
    <x v="2"/>
    <x v="5"/>
    <s v="Chicken Biryani"/>
    <x v="1"/>
    <n v="1"/>
    <n v="735"/>
    <n v="73.5"/>
    <n v="60"/>
    <n v="735"/>
    <n v="721.5"/>
    <x v="4"/>
    <x v="0"/>
    <x v="1"/>
    <n v="47"/>
    <n v="5"/>
  </r>
  <r>
    <x v="3242"/>
    <x v="234"/>
    <x v="7"/>
    <n v="8"/>
    <n v="23"/>
    <s v="Saturday"/>
    <x v="3"/>
    <x v="1"/>
    <x v="2"/>
    <s v="Pasta"/>
    <x v="1"/>
    <n v="1"/>
    <n v="271"/>
    <n v="54.2"/>
    <n v="30"/>
    <n v="271"/>
    <n v="246.8"/>
    <x v="3"/>
    <x v="2"/>
    <x v="0"/>
    <n v="32"/>
    <m/>
  </r>
  <r>
    <x v="3243"/>
    <x v="234"/>
    <x v="7"/>
    <n v="8"/>
    <n v="23"/>
    <s v="Saturday"/>
    <x v="1"/>
    <x v="3"/>
    <x v="0"/>
    <s v="Veg Momos"/>
    <x v="1"/>
    <n v="1"/>
    <n v="547"/>
    <n v="54.7"/>
    <n v="60"/>
    <n v="547"/>
    <n v="552.29999999999995"/>
    <x v="3"/>
    <x v="3"/>
    <x v="1"/>
    <n v="33"/>
    <m/>
  </r>
  <r>
    <x v="3244"/>
    <x v="235"/>
    <x v="7"/>
    <n v="8"/>
    <n v="24"/>
    <s v="Sunday"/>
    <x v="0"/>
    <x v="13"/>
    <x v="8"/>
    <s v="Masala Dosa"/>
    <x v="1"/>
    <n v="2"/>
    <n v="568"/>
    <n v="142"/>
    <n v="30"/>
    <n v="1136"/>
    <n v="1024"/>
    <x v="3"/>
    <x v="0"/>
    <x v="1"/>
    <n v="18"/>
    <n v="4.9000000000000004"/>
  </r>
  <r>
    <x v="3245"/>
    <x v="235"/>
    <x v="7"/>
    <n v="8"/>
    <n v="24"/>
    <s v="Sunday"/>
    <x v="0"/>
    <x v="2"/>
    <x v="6"/>
    <s v="Idli Sambar"/>
    <x v="1"/>
    <n v="2"/>
    <n v="130"/>
    <n v="19.5"/>
    <n v="20"/>
    <n v="260"/>
    <n v="260.5"/>
    <x v="0"/>
    <x v="0"/>
    <x v="0"/>
    <n v="47"/>
    <n v="4.7"/>
  </r>
  <r>
    <x v="3246"/>
    <x v="235"/>
    <x v="7"/>
    <n v="8"/>
    <n v="24"/>
    <s v="Sunday"/>
    <x v="1"/>
    <x v="9"/>
    <x v="0"/>
    <s v="Chicken Biryani"/>
    <x v="1"/>
    <n v="2"/>
    <n v="788"/>
    <n v="78.8"/>
    <n v="40"/>
    <n v="1576"/>
    <n v="1537.2"/>
    <x v="3"/>
    <x v="0"/>
    <x v="1"/>
    <n v="31"/>
    <n v="4.8"/>
  </r>
  <r>
    <x v="3247"/>
    <x v="235"/>
    <x v="7"/>
    <n v="8"/>
    <n v="24"/>
    <s v="Sunday"/>
    <x v="1"/>
    <x v="4"/>
    <x v="4"/>
    <s v="Paneer Butter Masala"/>
    <x v="2"/>
    <n v="2"/>
    <n v="663"/>
    <n v="66.3"/>
    <n v="20"/>
    <n v="1326"/>
    <n v="1279.7"/>
    <x v="2"/>
    <x v="1"/>
    <x v="1"/>
    <n v="66"/>
    <m/>
  </r>
  <r>
    <x v="3248"/>
    <x v="235"/>
    <x v="7"/>
    <n v="8"/>
    <n v="24"/>
    <s v="Sunday"/>
    <x v="3"/>
    <x v="9"/>
    <x v="7"/>
    <s v="Veg Pizza"/>
    <x v="1"/>
    <n v="1"/>
    <n v="591"/>
    <n v="0"/>
    <n v="20"/>
    <n v="591"/>
    <n v="611"/>
    <x v="1"/>
    <x v="0"/>
    <x v="1"/>
    <n v="35"/>
    <n v="4.2"/>
  </r>
  <r>
    <x v="3249"/>
    <x v="235"/>
    <x v="7"/>
    <n v="8"/>
    <n v="24"/>
    <s v="Sunday"/>
    <x v="1"/>
    <x v="6"/>
    <x v="8"/>
    <s v="Chocolate Cake"/>
    <x v="2"/>
    <n v="1"/>
    <n v="367"/>
    <n v="55.05"/>
    <n v="50"/>
    <n v="367"/>
    <n v="361.95"/>
    <x v="2"/>
    <x v="0"/>
    <x v="0"/>
    <n v="43"/>
    <n v="3.1"/>
  </r>
  <r>
    <x v="3250"/>
    <x v="235"/>
    <x v="7"/>
    <n v="8"/>
    <n v="24"/>
    <s v="Sunday"/>
    <x v="5"/>
    <x v="3"/>
    <x v="7"/>
    <s v="Masala Dosa"/>
    <x v="0"/>
    <n v="2"/>
    <n v="213"/>
    <n v="42.6"/>
    <n v="50"/>
    <n v="426"/>
    <n v="433.4"/>
    <x v="4"/>
    <x v="0"/>
    <x v="1"/>
    <n v="20"/>
    <n v="5"/>
  </r>
  <r>
    <x v="3251"/>
    <x v="235"/>
    <x v="7"/>
    <n v="8"/>
    <n v="24"/>
    <s v="Sunday"/>
    <x v="6"/>
    <x v="1"/>
    <x v="1"/>
    <s v="Veg Pizza"/>
    <x v="1"/>
    <n v="1"/>
    <n v="693"/>
    <n v="0"/>
    <n v="20"/>
    <n v="693"/>
    <n v="713"/>
    <x v="1"/>
    <x v="0"/>
    <x v="0"/>
    <n v="34"/>
    <n v="3.5"/>
  </r>
  <r>
    <x v="3252"/>
    <x v="235"/>
    <x v="7"/>
    <n v="8"/>
    <n v="24"/>
    <s v="Sunday"/>
    <x v="5"/>
    <x v="1"/>
    <x v="5"/>
    <s v="Fried Rice"/>
    <x v="1"/>
    <n v="3"/>
    <n v="319"/>
    <n v="15.95"/>
    <n v="50"/>
    <n v="957"/>
    <n v="991.05"/>
    <x v="1"/>
    <x v="0"/>
    <x v="0"/>
    <n v="50"/>
    <n v="4.0999999999999996"/>
  </r>
  <r>
    <x v="3253"/>
    <x v="235"/>
    <x v="7"/>
    <n v="8"/>
    <n v="24"/>
    <s v="Sunday"/>
    <x v="1"/>
    <x v="0"/>
    <x v="8"/>
    <s v="Masala Dosa"/>
    <x v="2"/>
    <n v="1"/>
    <n v="335"/>
    <n v="33.5"/>
    <n v="30"/>
    <n v="335"/>
    <n v="331.5"/>
    <x v="2"/>
    <x v="0"/>
    <x v="1"/>
    <n v="66"/>
    <n v="4.2"/>
  </r>
  <r>
    <x v="3254"/>
    <x v="235"/>
    <x v="7"/>
    <n v="8"/>
    <n v="24"/>
    <s v="Sunday"/>
    <x v="1"/>
    <x v="7"/>
    <x v="3"/>
    <s v="Chicken Pizza"/>
    <x v="1"/>
    <n v="2"/>
    <n v="666"/>
    <n v="66.599999999999994"/>
    <n v="0"/>
    <n v="1332"/>
    <n v="1265.4000000000001"/>
    <x v="1"/>
    <x v="0"/>
    <x v="0"/>
    <n v="24"/>
    <n v="4"/>
  </r>
  <r>
    <x v="3255"/>
    <x v="235"/>
    <x v="7"/>
    <n v="8"/>
    <n v="24"/>
    <s v="Sunday"/>
    <x v="1"/>
    <x v="9"/>
    <x v="2"/>
    <s v="Pasta"/>
    <x v="3"/>
    <n v="1"/>
    <n v="788"/>
    <n v="157.6"/>
    <n v="30"/>
    <n v="788"/>
    <n v="660.4"/>
    <x v="4"/>
    <x v="0"/>
    <x v="1"/>
    <n v="57"/>
    <n v="3.6"/>
  </r>
  <r>
    <x v="3256"/>
    <x v="236"/>
    <x v="7"/>
    <n v="8"/>
    <n v="25"/>
    <s v="Monday"/>
    <x v="0"/>
    <x v="13"/>
    <x v="9"/>
    <s v="Masala Dosa"/>
    <x v="1"/>
    <n v="2"/>
    <n v="206"/>
    <n v="20.6"/>
    <n v="70"/>
    <n v="412"/>
    <n v="461.4"/>
    <x v="1"/>
    <x v="0"/>
    <x v="1"/>
    <n v="53"/>
    <n v="4.9000000000000004"/>
  </r>
  <r>
    <x v="3257"/>
    <x v="236"/>
    <x v="7"/>
    <n v="8"/>
    <n v="25"/>
    <s v="Monday"/>
    <x v="9"/>
    <x v="2"/>
    <x v="0"/>
    <s v="Pasta"/>
    <x v="1"/>
    <n v="1"/>
    <n v="600"/>
    <n v="120"/>
    <n v="50"/>
    <n v="600"/>
    <n v="530"/>
    <x v="1"/>
    <x v="0"/>
    <x v="1"/>
    <n v="42"/>
    <n v="4.5"/>
  </r>
  <r>
    <x v="3258"/>
    <x v="236"/>
    <x v="7"/>
    <n v="8"/>
    <n v="25"/>
    <s v="Monday"/>
    <x v="5"/>
    <x v="13"/>
    <x v="0"/>
    <s v="Pasta"/>
    <x v="1"/>
    <n v="1"/>
    <n v="799"/>
    <n v="79.900000000000006"/>
    <n v="50"/>
    <n v="799"/>
    <n v="769.1"/>
    <x v="2"/>
    <x v="0"/>
    <x v="1"/>
    <n v="70"/>
    <n v="3.2"/>
  </r>
  <r>
    <x v="3259"/>
    <x v="236"/>
    <x v="7"/>
    <n v="8"/>
    <n v="25"/>
    <s v="Monday"/>
    <x v="1"/>
    <x v="14"/>
    <x v="5"/>
    <s v="Pasta"/>
    <x v="1"/>
    <n v="2"/>
    <n v="221"/>
    <n v="11.05"/>
    <n v="40"/>
    <n v="442"/>
    <n v="470.95"/>
    <x v="4"/>
    <x v="2"/>
    <x v="1"/>
    <n v="42"/>
    <m/>
  </r>
  <r>
    <x v="3260"/>
    <x v="236"/>
    <x v="7"/>
    <n v="8"/>
    <n v="25"/>
    <s v="Monday"/>
    <x v="3"/>
    <x v="4"/>
    <x v="9"/>
    <s v="Veg Pizza"/>
    <x v="1"/>
    <n v="1"/>
    <n v="442"/>
    <n v="0"/>
    <n v="60"/>
    <n v="442"/>
    <n v="502"/>
    <x v="0"/>
    <x v="0"/>
    <x v="1"/>
    <n v="34"/>
    <n v="3.4"/>
  </r>
  <r>
    <x v="3261"/>
    <x v="236"/>
    <x v="7"/>
    <n v="8"/>
    <n v="25"/>
    <s v="Monday"/>
    <x v="5"/>
    <x v="14"/>
    <x v="9"/>
    <s v="Idli Sambar"/>
    <x v="2"/>
    <n v="2"/>
    <n v="244"/>
    <n v="0"/>
    <n v="0"/>
    <n v="488"/>
    <n v="488"/>
    <x v="1"/>
    <x v="0"/>
    <x v="1"/>
    <n v="67"/>
    <n v="5"/>
  </r>
  <r>
    <x v="3262"/>
    <x v="236"/>
    <x v="7"/>
    <n v="8"/>
    <n v="25"/>
    <s v="Monday"/>
    <x v="4"/>
    <x v="13"/>
    <x v="7"/>
    <s v="Fried Rice"/>
    <x v="2"/>
    <n v="3"/>
    <n v="348"/>
    <n v="17.399999999999999"/>
    <n v="20"/>
    <n v="1044"/>
    <n v="1046.5999999999999"/>
    <x v="0"/>
    <x v="0"/>
    <x v="0"/>
    <n v="23"/>
    <n v="4.3"/>
  </r>
  <r>
    <x v="3263"/>
    <x v="236"/>
    <x v="7"/>
    <n v="8"/>
    <n v="25"/>
    <s v="Monday"/>
    <x v="0"/>
    <x v="12"/>
    <x v="6"/>
    <s v="Chicken Momos"/>
    <x v="1"/>
    <n v="2"/>
    <n v="229"/>
    <n v="0"/>
    <n v="20"/>
    <n v="458"/>
    <n v="478"/>
    <x v="2"/>
    <x v="0"/>
    <x v="0"/>
    <n v="23"/>
    <n v="4.5"/>
  </r>
  <r>
    <x v="3264"/>
    <x v="236"/>
    <x v="7"/>
    <n v="8"/>
    <n v="25"/>
    <s v="Monday"/>
    <x v="4"/>
    <x v="9"/>
    <x v="4"/>
    <s v="Idli Sambar"/>
    <x v="1"/>
    <n v="3"/>
    <n v="490"/>
    <n v="49"/>
    <n v="40"/>
    <n v="1470"/>
    <n v="1461"/>
    <x v="1"/>
    <x v="0"/>
    <x v="0"/>
    <n v="47"/>
    <n v="3.9"/>
  </r>
  <r>
    <x v="3265"/>
    <x v="236"/>
    <x v="7"/>
    <n v="8"/>
    <n v="25"/>
    <s v="Monday"/>
    <x v="8"/>
    <x v="7"/>
    <x v="7"/>
    <s v="Veg Pizza"/>
    <x v="1"/>
    <n v="1"/>
    <n v="520"/>
    <n v="130"/>
    <n v="40"/>
    <n v="520"/>
    <n v="430"/>
    <x v="1"/>
    <x v="0"/>
    <x v="1"/>
    <n v="29"/>
    <n v="5"/>
  </r>
  <r>
    <x v="3266"/>
    <x v="236"/>
    <x v="7"/>
    <n v="8"/>
    <n v="25"/>
    <s v="Monday"/>
    <x v="3"/>
    <x v="1"/>
    <x v="9"/>
    <s v="Chicken Pizza"/>
    <x v="2"/>
    <n v="3"/>
    <n v="535"/>
    <n v="53.5"/>
    <n v="60"/>
    <n v="1605"/>
    <n v="1611.5"/>
    <x v="1"/>
    <x v="0"/>
    <x v="1"/>
    <n v="64"/>
    <n v="4"/>
  </r>
  <r>
    <x v="3267"/>
    <x v="236"/>
    <x v="7"/>
    <n v="8"/>
    <n v="25"/>
    <s v="Monday"/>
    <x v="3"/>
    <x v="6"/>
    <x v="0"/>
    <s v="Chicken Momos"/>
    <x v="0"/>
    <n v="3"/>
    <n v="774"/>
    <n v="77.400000000000006"/>
    <n v="50"/>
    <n v="2322"/>
    <n v="2294.6"/>
    <x v="1"/>
    <x v="0"/>
    <x v="1"/>
    <n v="32"/>
    <n v="4.8"/>
  </r>
  <r>
    <x v="3268"/>
    <x v="236"/>
    <x v="7"/>
    <n v="8"/>
    <n v="25"/>
    <s v="Monday"/>
    <x v="3"/>
    <x v="0"/>
    <x v="4"/>
    <s v="Pasta"/>
    <x v="2"/>
    <n v="2"/>
    <n v="514"/>
    <n v="25.7"/>
    <n v="60"/>
    <n v="1028"/>
    <n v="1062.3"/>
    <x v="4"/>
    <x v="0"/>
    <x v="1"/>
    <n v="61"/>
    <n v="4.4000000000000004"/>
  </r>
  <r>
    <x v="3269"/>
    <x v="236"/>
    <x v="7"/>
    <n v="8"/>
    <n v="25"/>
    <s v="Monday"/>
    <x v="4"/>
    <x v="9"/>
    <x v="2"/>
    <s v="Chicken Biryani"/>
    <x v="3"/>
    <n v="2"/>
    <n v="137"/>
    <n v="20.55"/>
    <n v="40"/>
    <n v="274"/>
    <n v="293.45"/>
    <x v="1"/>
    <x v="0"/>
    <x v="1"/>
    <n v="41"/>
    <n v="3.7"/>
  </r>
  <r>
    <x v="3270"/>
    <x v="236"/>
    <x v="7"/>
    <n v="8"/>
    <n v="25"/>
    <s v="Monday"/>
    <x v="0"/>
    <x v="12"/>
    <x v="1"/>
    <s v="Chicken Biryani"/>
    <x v="1"/>
    <n v="1"/>
    <n v="602"/>
    <n v="60.2"/>
    <n v="20"/>
    <n v="602"/>
    <n v="561.79999999999995"/>
    <x v="0"/>
    <x v="0"/>
    <x v="1"/>
    <n v="60"/>
    <n v="4.5999999999999996"/>
  </r>
  <r>
    <x v="3271"/>
    <x v="236"/>
    <x v="7"/>
    <n v="8"/>
    <n v="25"/>
    <s v="Monday"/>
    <x v="0"/>
    <x v="1"/>
    <x v="5"/>
    <s v="Fried Rice"/>
    <x v="2"/>
    <n v="2"/>
    <n v="804"/>
    <n v="80.400000000000006"/>
    <n v="30"/>
    <n v="1608"/>
    <n v="1557.6"/>
    <x v="1"/>
    <x v="3"/>
    <x v="1"/>
    <n v="21"/>
    <m/>
  </r>
  <r>
    <x v="3272"/>
    <x v="237"/>
    <x v="7"/>
    <n v="8"/>
    <n v="26"/>
    <s v="Tuesday"/>
    <x v="2"/>
    <x v="12"/>
    <x v="4"/>
    <s v="Chocolate Cake"/>
    <x v="0"/>
    <n v="1"/>
    <n v="211"/>
    <n v="0"/>
    <n v="0"/>
    <n v="211"/>
    <n v="211"/>
    <x v="1"/>
    <x v="0"/>
    <x v="1"/>
    <n v="33"/>
    <n v="3.7"/>
  </r>
  <r>
    <x v="3273"/>
    <x v="237"/>
    <x v="7"/>
    <n v="8"/>
    <n v="26"/>
    <s v="Tuesday"/>
    <x v="5"/>
    <x v="11"/>
    <x v="9"/>
    <s v="Chicken Pizza"/>
    <x v="2"/>
    <n v="2"/>
    <n v="892"/>
    <n v="133.80000000000001"/>
    <n v="0"/>
    <n v="1784"/>
    <n v="1650.2"/>
    <x v="1"/>
    <x v="0"/>
    <x v="0"/>
    <n v="29"/>
    <n v="3.5"/>
  </r>
  <r>
    <x v="3274"/>
    <x v="237"/>
    <x v="7"/>
    <n v="8"/>
    <n v="26"/>
    <s v="Tuesday"/>
    <x v="6"/>
    <x v="0"/>
    <x v="0"/>
    <s v="French Fries"/>
    <x v="1"/>
    <n v="1"/>
    <n v="712"/>
    <n v="71.2"/>
    <n v="0"/>
    <n v="712"/>
    <n v="640.79999999999995"/>
    <x v="0"/>
    <x v="0"/>
    <x v="1"/>
    <n v="27"/>
    <n v="4"/>
  </r>
  <r>
    <x v="3275"/>
    <x v="237"/>
    <x v="7"/>
    <n v="8"/>
    <n v="26"/>
    <s v="Tuesday"/>
    <x v="4"/>
    <x v="12"/>
    <x v="4"/>
    <s v="Chocolate Cake"/>
    <x v="2"/>
    <n v="1"/>
    <n v="863"/>
    <n v="86.3"/>
    <n v="40"/>
    <n v="863"/>
    <n v="816.7"/>
    <x v="2"/>
    <x v="2"/>
    <x v="1"/>
    <n v="48"/>
    <m/>
  </r>
  <r>
    <x v="3276"/>
    <x v="237"/>
    <x v="7"/>
    <n v="8"/>
    <n v="26"/>
    <s v="Tuesday"/>
    <x v="3"/>
    <x v="10"/>
    <x v="4"/>
    <s v="Cold Coffee"/>
    <x v="2"/>
    <n v="2"/>
    <n v="187"/>
    <n v="0"/>
    <n v="40"/>
    <n v="374"/>
    <n v="414"/>
    <x v="2"/>
    <x v="0"/>
    <x v="0"/>
    <n v="61"/>
    <n v="4"/>
  </r>
  <r>
    <x v="3277"/>
    <x v="237"/>
    <x v="7"/>
    <n v="8"/>
    <n v="26"/>
    <s v="Tuesday"/>
    <x v="5"/>
    <x v="8"/>
    <x v="8"/>
    <s v="Chicken Biryani"/>
    <x v="1"/>
    <n v="2"/>
    <n v="380"/>
    <n v="38"/>
    <n v="0"/>
    <n v="760"/>
    <n v="722"/>
    <x v="0"/>
    <x v="0"/>
    <x v="1"/>
    <n v="37"/>
    <n v="3.6"/>
  </r>
  <r>
    <x v="3278"/>
    <x v="237"/>
    <x v="7"/>
    <n v="8"/>
    <n v="26"/>
    <s v="Tuesday"/>
    <x v="7"/>
    <x v="7"/>
    <x v="1"/>
    <s v="Fried Rice"/>
    <x v="1"/>
    <n v="1"/>
    <n v="758"/>
    <n v="113.7"/>
    <n v="70"/>
    <n v="758"/>
    <n v="714.3"/>
    <x v="1"/>
    <x v="0"/>
    <x v="1"/>
    <n v="34"/>
    <n v="3"/>
  </r>
  <r>
    <x v="3279"/>
    <x v="237"/>
    <x v="7"/>
    <n v="8"/>
    <n v="26"/>
    <s v="Tuesday"/>
    <x v="7"/>
    <x v="1"/>
    <x v="7"/>
    <s v="Chicken Pizza"/>
    <x v="1"/>
    <n v="1"/>
    <n v="237"/>
    <n v="59.25"/>
    <n v="40"/>
    <n v="237"/>
    <n v="217.75"/>
    <x v="2"/>
    <x v="0"/>
    <x v="0"/>
    <n v="33"/>
    <n v="4"/>
  </r>
  <r>
    <x v="3280"/>
    <x v="238"/>
    <x v="7"/>
    <n v="8"/>
    <n v="27"/>
    <s v="Wednesday"/>
    <x v="0"/>
    <x v="2"/>
    <x v="6"/>
    <s v="Veg Biryani"/>
    <x v="2"/>
    <n v="1"/>
    <n v="449"/>
    <n v="112.25"/>
    <n v="40"/>
    <n v="449"/>
    <n v="376.75"/>
    <x v="2"/>
    <x v="0"/>
    <x v="1"/>
    <n v="62"/>
    <n v="4.3"/>
  </r>
  <r>
    <x v="3281"/>
    <x v="238"/>
    <x v="7"/>
    <n v="8"/>
    <n v="27"/>
    <s v="Wednesday"/>
    <x v="1"/>
    <x v="1"/>
    <x v="6"/>
    <s v="Chicken Burger"/>
    <x v="1"/>
    <n v="1"/>
    <n v="751"/>
    <n v="75.099999999999994"/>
    <n v="40"/>
    <n v="751"/>
    <n v="715.9"/>
    <x v="2"/>
    <x v="0"/>
    <x v="1"/>
    <n v="21"/>
    <n v="5"/>
  </r>
  <r>
    <x v="3282"/>
    <x v="238"/>
    <x v="7"/>
    <n v="8"/>
    <n v="27"/>
    <s v="Wednesday"/>
    <x v="4"/>
    <x v="6"/>
    <x v="8"/>
    <s v="Veg Burger"/>
    <x v="1"/>
    <n v="2"/>
    <n v="785"/>
    <n v="0"/>
    <n v="30"/>
    <n v="1570"/>
    <n v="1600"/>
    <x v="2"/>
    <x v="0"/>
    <x v="0"/>
    <n v="41"/>
    <n v="4.3"/>
  </r>
  <r>
    <x v="3283"/>
    <x v="238"/>
    <x v="7"/>
    <n v="8"/>
    <n v="27"/>
    <s v="Wednesday"/>
    <x v="3"/>
    <x v="6"/>
    <x v="9"/>
    <s v="Paneer Butter Masala"/>
    <x v="2"/>
    <n v="1"/>
    <n v="352"/>
    <n v="0"/>
    <n v="70"/>
    <n v="352"/>
    <n v="422"/>
    <x v="3"/>
    <x v="2"/>
    <x v="0"/>
    <n v="39"/>
    <m/>
  </r>
  <r>
    <x v="3284"/>
    <x v="238"/>
    <x v="7"/>
    <n v="8"/>
    <n v="27"/>
    <s v="Wednesday"/>
    <x v="7"/>
    <x v="1"/>
    <x v="2"/>
    <s v="Chocolate Cake"/>
    <x v="2"/>
    <n v="3"/>
    <n v="137"/>
    <n v="13.7"/>
    <n v="60"/>
    <n v="411"/>
    <n v="457.3"/>
    <x v="1"/>
    <x v="1"/>
    <x v="1"/>
    <n v="64"/>
    <m/>
  </r>
  <r>
    <x v="3285"/>
    <x v="238"/>
    <x v="7"/>
    <n v="8"/>
    <n v="27"/>
    <s v="Wednesday"/>
    <x v="5"/>
    <x v="10"/>
    <x v="3"/>
    <s v="Veg Momos"/>
    <x v="2"/>
    <n v="1"/>
    <n v="452"/>
    <n v="22.6"/>
    <n v="20"/>
    <n v="452"/>
    <n v="449.4"/>
    <x v="0"/>
    <x v="0"/>
    <x v="1"/>
    <n v="40"/>
    <n v="4.9000000000000004"/>
  </r>
  <r>
    <x v="3286"/>
    <x v="238"/>
    <x v="7"/>
    <n v="8"/>
    <n v="27"/>
    <s v="Wednesday"/>
    <x v="5"/>
    <x v="7"/>
    <x v="1"/>
    <s v="French Fries"/>
    <x v="2"/>
    <n v="3"/>
    <n v="667"/>
    <n v="66.7"/>
    <n v="20"/>
    <n v="2001"/>
    <n v="1954.3"/>
    <x v="2"/>
    <x v="0"/>
    <x v="1"/>
    <n v="57"/>
    <n v="2.1"/>
  </r>
  <r>
    <x v="3287"/>
    <x v="238"/>
    <x v="7"/>
    <n v="8"/>
    <n v="27"/>
    <s v="Wednesday"/>
    <x v="2"/>
    <x v="10"/>
    <x v="2"/>
    <s v="Chicken Momos"/>
    <x v="1"/>
    <n v="3"/>
    <n v="599"/>
    <n v="89.85"/>
    <n v="50"/>
    <n v="1797"/>
    <n v="1757.15"/>
    <x v="1"/>
    <x v="0"/>
    <x v="0"/>
    <n v="34"/>
    <n v="3.9"/>
  </r>
  <r>
    <x v="3288"/>
    <x v="238"/>
    <x v="7"/>
    <n v="8"/>
    <n v="27"/>
    <s v="Wednesday"/>
    <x v="5"/>
    <x v="4"/>
    <x v="9"/>
    <s v="Chicken Burger"/>
    <x v="3"/>
    <n v="2"/>
    <n v="550"/>
    <n v="55"/>
    <n v="40"/>
    <n v="1100"/>
    <n v="1085"/>
    <x v="2"/>
    <x v="0"/>
    <x v="1"/>
    <n v="58"/>
    <n v="3.6"/>
  </r>
  <r>
    <x v="3289"/>
    <x v="238"/>
    <x v="7"/>
    <n v="8"/>
    <n v="27"/>
    <s v="Wednesday"/>
    <x v="5"/>
    <x v="7"/>
    <x v="5"/>
    <s v="Veg Biryani"/>
    <x v="0"/>
    <n v="2"/>
    <n v="183"/>
    <n v="36.6"/>
    <n v="50"/>
    <n v="366"/>
    <n v="379.4"/>
    <x v="2"/>
    <x v="1"/>
    <x v="1"/>
    <n v="67"/>
    <m/>
  </r>
  <r>
    <x v="3290"/>
    <x v="238"/>
    <x v="7"/>
    <n v="8"/>
    <n v="27"/>
    <s v="Wednesday"/>
    <x v="8"/>
    <x v="4"/>
    <x v="8"/>
    <s v="Pasta"/>
    <x v="1"/>
    <n v="1"/>
    <n v="686"/>
    <n v="34.299999999999997"/>
    <n v="20"/>
    <n v="686"/>
    <n v="671.7"/>
    <x v="1"/>
    <x v="0"/>
    <x v="0"/>
    <n v="25"/>
    <n v="2.4"/>
  </r>
  <r>
    <x v="3291"/>
    <x v="238"/>
    <x v="7"/>
    <n v="8"/>
    <n v="27"/>
    <s v="Wednesday"/>
    <x v="0"/>
    <x v="9"/>
    <x v="7"/>
    <s v="Chicken Pizza"/>
    <x v="2"/>
    <n v="1"/>
    <n v="425"/>
    <n v="106.25"/>
    <n v="50"/>
    <n v="425"/>
    <n v="368.75"/>
    <x v="1"/>
    <x v="0"/>
    <x v="1"/>
    <n v="59"/>
    <n v="4.8"/>
  </r>
  <r>
    <x v="3292"/>
    <x v="238"/>
    <x v="7"/>
    <n v="8"/>
    <n v="27"/>
    <s v="Wednesday"/>
    <x v="1"/>
    <x v="6"/>
    <x v="1"/>
    <s v="Veg Burger"/>
    <x v="1"/>
    <n v="1"/>
    <n v="667"/>
    <n v="166.75"/>
    <n v="20"/>
    <n v="667"/>
    <n v="520.25"/>
    <x v="1"/>
    <x v="0"/>
    <x v="0"/>
    <n v="69"/>
    <n v="3.5"/>
  </r>
  <r>
    <x v="3293"/>
    <x v="238"/>
    <x v="7"/>
    <n v="8"/>
    <n v="27"/>
    <s v="Wednesday"/>
    <x v="4"/>
    <x v="3"/>
    <x v="6"/>
    <s v="French Fries"/>
    <x v="1"/>
    <n v="1"/>
    <n v="384"/>
    <n v="0"/>
    <n v="50"/>
    <n v="384"/>
    <n v="434"/>
    <x v="1"/>
    <x v="3"/>
    <x v="1"/>
    <n v="69"/>
    <m/>
  </r>
  <r>
    <x v="3294"/>
    <x v="238"/>
    <x v="7"/>
    <n v="8"/>
    <n v="27"/>
    <s v="Wednesday"/>
    <x v="1"/>
    <x v="4"/>
    <x v="4"/>
    <s v="Chocolate Cake"/>
    <x v="1"/>
    <n v="2"/>
    <n v="773"/>
    <n v="77.3"/>
    <n v="30"/>
    <n v="1546"/>
    <n v="1498.7"/>
    <x v="4"/>
    <x v="0"/>
    <x v="1"/>
    <n v="24"/>
    <n v="4.2"/>
  </r>
  <r>
    <x v="3295"/>
    <x v="238"/>
    <x v="7"/>
    <n v="8"/>
    <n v="27"/>
    <s v="Wednesday"/>
    <x v="4"/>
    <x v="13"/>
    <x v="1"/>
    <s v="Veg Pizza"/>
    <x v="1"/>
    <n v="1"/>
    <n v="784"/>
    <n v="78.400000000000006"/>
    <n v="0"/>
    <n v="784"/>
    <n v="705.6"/>
    <x v="1"/>
    <x v="0"/>
    <x v="1"/>
    <n v="56"/>
    <n v="2.7"/>
  </r>
  <r>
    <x v="3296"/>
    <x v="238"/>
    <x v="7"/>
    <n v="8"/>
    <n v="27"/>
    <s v="Wednesday"/>
    <x v="3"/>
    <x v="4"/>
    <x v="6"/>
    <s v="Pasta"/>
    <x v="2"/>
    <n v="2"/>
    <n v="677"/>
    <n v="33.85"/>
    <n v="20"/>
    <n v="1354"/>
    <n v="1340.15"/>
    <x v="1"/>
    <x v="0"/>
    <x v="1"/>
    <n v="27"/>
    <n v="5"/>
  </r>
  <r>
    <x v="3297"/>
    <x v="238"/>
    <x v="7"/>
    <n v="8"/>
    <n v="27"/>
    <s v="Wednesday"/>
    <x v="3"/>
    <x v="2"/>
    <x v="4"/>
    <s v="Fried Rice"/>
    <x v="3"/>
    <n v="1"/>
    <n v="150"/>
    <n v="0"/>
    <n v="0"/>
    <n v="150"/>
    <n v="150"/>
    <x v="2"/>
    <x v="0"/>
    <x v="1"/>
    <n v="19"/>
    <n v="4.7"/>
  </r>
  <r>
    <x v="3298"/>
    <x v="238"/>
    <x v="7"/>
    <n v="8"/>
    <n v="27"/>
    <s v="Wednesday"/>
    <x v="2"/>
    <x v="9"/>
    <x v="9"/>
    <s v="Cold Coffee"/>
    <x v="2"/>
    <n v="2"/>
    <n v="177"/>
    <n v="26.55"/>
    <n v="70"/>
    <n v="354"/>
    <n v="397.45"/>
    <x v="1"/>
    <x v="0"/>
    <x v="1"/>
    <n v="39"/>
    <n v="3.2"/>
  </r>
  <r>
    <x v="3299"/>
    <x v="239"/>
    <x v="7"/>
    <n v="8"/>
    <n v="28"/>
    <s v="Thursday"/>
    <x v="5"/>
    <x v="11"/>
    <x v="3"/>
    <s v="Cold Coffee"/>
    <x v="0"/>
    <n v="1"/>
    <n v="394"/>
    <n v="59.1"/>
    <n v="60"/>
    <n v="394"/>
    <n v="394.9"/>
    <x v="1"/>
    <x v="2"/>
    <x v="1"/>
    <n v="45"/>
    <m/>
  </r>
  <r>
    <x v="3300"/>
    <x v="239"/>
    <x v="7"/>
    <n v="8"/>
    <n v="28"/>
    <s v="Thursday"/>
    <x v="1"/>
    <x v="5"/>
    <x v="0"/>
    <s v="Cold Coffee"/>
    <x v="1"/>
    <n v="1"/>
    <n v="725"/>
    <n v="0"/>
    <n v="40"/>
    <n v="725"/>
    <n v="765"/>
    <x v="2"/>
    <x v="0"/>
    <x v="0"/>
    <n v="45"/>
    <n v="3.5"/>
  </r>
  <r>
    <x v="3301"/>
    <x v="239"/>
    <x v="7"/>
    <n v="8"/>
    <n v="28"/>
    <s v="Thursday"/>
    <x v="1"/>
    <x v="0"/>
    <x v="2"/>
    <s v="Chicken Burger"/>
    <x v="1"/>
    <n v="1"/>
    <n v="519"/>
    <n v="77.849999999999994"/>
    <n v="0"/>
    <n v="519"/>
    <n v="441.15"/>
    <x v="3"/>
    <x v="0"/>
    <x v="0"/>
    <n v="37"/>
    <n v="3.8"/>
  </r>
  <r>
    <x v="3302"/>
    <x v="239"/>
    <x v="7"/>
    <n v="8"/>
    <n v="28"/>
    <s v="Thursday"/>
    <x v="1"/>
    <x v="6"/>
    <x v="6"/>
    <s v="Veg Momos"/>
    <x v="1"/>
    <n v="1"/>
    <n v="671"/>
    <n v="134.19999999999999"/>
    <n v="20"/>
    <n v="671"/>
    <n v="556.79999999999995"/>
    <x v="2"/>
    <x v="2"/>
    <x v="1"/>
    <n v="65"/>
    <m/>
  </r>
  <r>
    <x v="3303"/>
    <x v="239"/>
    <x v="7"/>
    <n v="8"/>
    <n v="28"/>
    <s v="Thursday"/>
    <x v="6"/>
    <x v="5"/>
    <x v="2"/>
    <s v="Chicken Biryani"/>
    <x v="1"/>
    <n v="1"/>
    <n v="544"/>
    <n v="54.4"/>
    <n v="50"/>
    <n v="544"/>
    <n v="539.6"/>
    <x v="1"/>
    <x v="0"/>
    <x v="0"/>
    <n v="19"/>
    <n v="3.3"/>
  </r>
  <r>
    <x v="3304"/>
    <x v="239"/>
    <x v="7"/>
    <n v="8"/>
    <n v="28"/>
    <s v="Thursday"/>
    <x v="7"/>
    <x v="4"/>
    <x v="1"/>
    <s v="Veg Pizza"/>
    <x v="1"/>
    <n v="1"/>
    <n v="206"/>
    <n v="51.5"/>
    <n v="50"/>
    <n v="206"/>
    <n v="204.5"/>
    <x v="2"/>
    <x v="0"/>
    <x v="1"/>
    <n v="30"/>
    <n v="2.5"/>
  </r>
  <r>
    <x v="3305"/>
    <x v="239"/>
    <x v="7"/>
    <n v="8"/>
    <n v="28"/>
    <s v="Thursday"/>
    <x v="0"/>
    <x v="0"/>
    <x v="5"/>
    <s v="Chicken Burger"/>
    <x v="1"/>
    <n v="1"/>
    <n v="485"/>
    <n v="97"/>
    <n v="70"/>
    <n v="485"/>
    <n v="458"/>
    <x v="2"/>
    <x v="0"/>
    <x v="1"/>
    <n v="64"/>
    <n v="3.4"/>
  </r>
  <r>
    <x v="3306"/>
    <x v="239"/>
    <x v="7"/>
    <n v="8"/>
    <n v="28"/>
    <s v="Thursday"/>
    <x v="5"/>
    <x v="2"/>
    <x v="9"/>
    <s v="Pasta"/>
    <x v="1"/>
    <n v="1"/>
    <n v="537"/>
    <n v="107.4"/>
    <n v="20"/>
    <n v="537"/>
    <n v="449.6"/>
    <x v="1"/>
    <x v="0"/>
    <x v="1"/>
    <n v="40"/>
    <n v="3.7"/>
  </r>
  <r>
    <x v="3307"/>
    <x v="240"/>
    <x v="7"/>
    <n v="8"/>
    <n v="29"/>
    <s v="Friday"/>
    <x v="5"/>
    <x v="3"/>
    <x v="2"/>
    <s v="Pasta"/>
    <x v="1"/>
    <n v="1"/>
    <n v="277"/>
    <n v="55.4"/>
    <n v="40"/>
    <n v="277"/>
    <n v="261.60000000000002"/>
    <x v="1"/>
    <x v="0"/>
    <x v="1"/>
    <n v="49"/>
    <n v="4.3"/>
  </r>
  <r>
    <x v="3308"/>
    <x v="240"/>
    <x v="7"/>
    <n v="8"/>
    <n v="29"/>
    <s v="Friday"/>
    <x v="0"/>
    <x v="3"/>
    <x v="7"/>
    <s v="Idli Sambar"/>
    <x v="1"/>
    <n v="1"/>
    <n v="665"/>
    <n v="33.25"/>
    <n v="30"/>
    <n v="665"/>
    <n v="661.75"/>
    <x v="4"/>
    <x v="0"/>
    <x v="1"/>
    <n v="18"/>
    <n v="3.5"/>
  </r>
  <r>
    <x v="3309"/>
    <x v="240"/>
    <x v="7"/>
    <n v="8"/>
    <n v="29"/>
    <s v="Friday"/>
    <x v="5"/>
    <x v="0"/>
    <x v="1"/>
    <s v="Chicken Biryani"/>
    <x v="1"/>
    <n v="3"/>
    <n v="738"/>
    <n v="0"/>
    <n v="70"/>
    <n v="2214"/>
    <n v="2284"/>
    <x v="3"/>
    <x v="2"/>
    <x v="1"/>
    <n v="39"/>
    <m/>
  </r>
  <r>
    <x v="3310"/>
    <x v="240"/>
    <x v="7"/>
    <n v="8"/>
    <n v="29"/>
    <s v="Friday"/>
    <x v="2"/>
    <x v="13"/>
    <x v="7"/>
    <s v="Masala Dosa"/>
    <x v="0"/>
    <n v="1"/>
    <n v="489"/>
    <n v="73.349999999999994"/>
    <n v="20"/>
    <n v="489"/>
    <n v="435.65"/>
    <x v="0"/>
    <x v="0"/>
    <x v="1"/>
    <n v="19"/>
    <n v="4.5999999999999996"/>
  </r>
  <r>
    <x v="3311"/>
    <x v="240"/>
    <x v="7"/>
    <n v="8"/>
    <n v="29"/>
    <s v="Friday"/>
    <x v="3"/>
    <x v="7"/>
    <x v="2"/>
    <s v="Masala Dosa"/>
    <x v="1"/>
    <n v="1"/>
    <n v="890"/>
    <n v="89"/>
    <n v="60"/>
    <n v="890"/>
    <n v="861"/>
    <x v="0"/>
    <x v="0"/>
    <x v="0"/>
    <n v="68"/>
    <n v="3.6"/>
  </r>
  <r>
    <x v="3312"/>
    <x v="240"/>
    <x v="7"/>
    <n v="8"/>
    <n v="29"/>
    <s v="Friday"/>
    <x v="5"/>
    <x v="12"/>
    <x v="2"/>
    <s v="Veg Momos"/>
    <x v="1"/>
    <n v="1"/>
    <n v="670"/>
    <n v="0"/>
    <n v="0"/>
    <n v="670"/>
    <n v="670"/>
    <x v="2"/>
    <x v="0"/>
    <x v="1"/>
    <n v="51"/>
    <n v="3.8"/>
  </r>
  <r>
    <x v="3313"/>
    <x v="240"/>
    <x v="7"/>
    <n v="8"/>
    <n v="29"/>
    <s v="Friday"/>
    <x v="6"/>
    <x v="5"/>
    <x v="9"/>
    <s v="Chicken Pizza"/>
    <x v="1"/>
    <n v="1"/>
    <n v="496"/>
    <n v="24.8"/>
    <n v="0"/>
    <n v="496"/>
    <n v="471.2"/>
    <x v="2"/>
    <x v="0"/>
    <x v="0"/>
    <n v="70"/>
    <n v="4.8"/>
  </r>
  <r>
    <x v="3314"/>
    <x v="240"/>
    <x v="7"/>
    <n v="8"/>
    <n v="29"/>
    <s v="Friday"/>
    <x v="1"/>
    <x v="3"/>
    <x v="6"/>
    <s v="Pasta"/>
    <x v="1"/>
    <n v="1"/>
    <n v="342"/>
    <n v="17.100000000000001"/>
    <n v="60"/>
    <n v="342"/>
    <n v="384.9"/>
    <x v="0"/>
    <x v="0"/>
    <x v="0"/>
    <n v="25"/>
    <n v="4.7"/>
  </r>
  <r>
    <x v="3315"/>
    <x v="240"/>
    <x v="7"/>
    <n v="8"/>
    <n v="29"/>
    <s v="Friday"/>
    <x v="1"/>
    <x v="3"/>
    <x v="9"/>
    <s v="Idli Sambar"/>
    <x v="0"/>
    <n v="1"/>
    <n v="506"/>
    <n v="75.900000000000006"/>
    <n v="40"/>
    <n v="506"/>
    <n v="470.1"/>
    <x v="1"/>
    <x v="1"/>
    <x v="1"/>
    <n v="69"/>
    <m/>
  </r>
  <r>
    <x v="3316"/>
    <x v="240"/>
    <x v="7"/>
    <n v="8"/>
    <n v="29"/>
    <s v="Friday"/>
    <x v="0"/>
    <x v="3"/>
    <x v="4"/>
    <s v="Veg Burger"/>
    <x v="1"/>
    <n v="1"/>
    <n v="624"/>
    <n v="31.2"/>
    <n v="50"/>
    <n v="624"/>
    <n v="642.79999999999995"/>
    <x v="0"/>
    <x v="1"/>
    <x v="1"/>
    <n v="70"/>
    <m/>
  </r>
  <r>
    <x v="3317"/>
    <x v="240"/>
    <x v="7"/>
    <n v="8"/>
    <n v="29"/>
    <s v="Friday"/>
    <x v="3"/>
    <x v="6"/>
    <x v="9"/>
    <s v="Fried Rice"/>
    <x v="1"/>
    <n v="1"/>
    <n v="599"/>
    <n v="119.8"/>
    <n v="20"/>
    <n v="599"/>
    <n v="499.2"/>
    <x v="0"/>
    <x v="2"/>
    <x v="0"/>
    <n v="28"/>
    <m/>
  </r>
  <r>
    <x v="3318"/>
    <x v="240"/>
    <x v="7"/>
    <n v="8"/>
    <n v="29"/>
    <s v="Friday"/>
    <x v="9"/>
    <x v="11"/>
    <x v="2"/>
    <s v="Chocolate Cake"/>
    <x v="1"/>
    <n v="1"/>
    <n v="159"/>
    <n v="39.75"/>
    <n v="50"/>
    <n v="159"/>
    <n v="169.25"/>
    <x v="3"/>
    <x v="1"/>
    <x v="0"/>
    <n v="65"/>
    <m/>
  </r>
  <r>
    <x v="3319"/>
    <x v="241"/>
    <x v="7"/>
    <n v="8"/>
    <n v="30"/>
    <s v="Saturday"/>
    <x v="5"/>
    <x v="2"/>
    <x v="1"/>
    <s v="Pasta"/>
    <x v="1"/>
    <n v="2"/>
    <n v="518"/>
    <n v="51.8"/>
    <n v="40"/>
    <n v="1036"/>
    <n v="1024.2"/>
    <x v="4"/>
    <x v="2"/>
    <x v="0"/>
    <n v="43"/>
    <m/>
  </r>
  <r>
    <x v="3320"/>
    <x v="241"/>
    <x v="7"/>
    <n v="8"/>
    <n v="30"/>
    <s v="Saturday"/>
    <x v="0"/>
    <x v="14"/>
    <x v="7"/>
    <s v="Chicken Burger"/>
    <x v="1"/>
    <n v="1"/>
    <n v="625"/>
    <n v="31.25"/>
    <n v="0"/>
    <n v="625"/>
    <n v="593.75"/>
    <x v="1"/>
    <x v="0"/>
    <x v="1"/>
    <n v="19"/>
    <n v="3.9"/>
  </r>
  <r>
    <x v="3321"/>
    <x v="241"/>
    <x v="7"/>
    <n v="8"/>
    <n v="30"/>
    <s v="Saturday"/>
    <x v="8"/>
    <x v="14"/>
    <x v="0"/>
    <s v="Chicken Burger"/>
    <x v="1"/>
    <n v="1"/>
    <n v="780"/>
    <n v="39"/>
    <n v="60"/>
    <n v="780"/>
    <n v="801"/>
    <x v="1"/>
    <x v="0"/>
    <x v="0"/>
    <n v="35"/>
    <n v="3.4"/>
  </r>
  <r>
    <x v="3322"/>
    <x v="241"/>
    <x v="7"/>
    <n v="8"/>
    <n v="30"/>
    <s v="Saturday"/>
    <x v="4"/>
    <x v="11"/>
    <x v="4"/>
    <s v="Chicken Biryani"/>
    <x v="3"/>
    <n v="1"/>
    <n v="532"/>
    <n v="0"/>
    <n v="50"/>
    <n v="532"/>
    <n v="582"/>
    <x v="1"/>
    <x v="0"/>
    <x v="1"/>
    <n v="60"/>
    <n v="4.0999999999999996"/>
  </r>
  <r>
    <x v="3323"/>
    <x v="241"/>
    <x v="7"/>
    <n v="8"/>
    <n v="30"/>
    <s v="Saturday"/>
    <x v="1"/>
    <x v="1"/>
    <x v="1"/>
    <s v="Pasta"/>
    <x v="2"/>
    <n v="2"/>
    <n v="384"/>
    <n v="0"/>
    <n v="60"/>
    <n v="768"/>
    <n v="828"/>
    <x v="1"/>
    <x v="0"/>
    <x v="1"/>
    <n v="27"/>
    <n v="4.7"/>
  </r>
  <r>
    <x v="3324"/>
    <x v="241"/>
    <x v="7"/>
    <n v="8"/>
    <n v="30"/>
    <s v="Saturday"/>
    <x v="5"/>
    <x v="12"/>
    <x v="7"/>
    <s v="Chicken Burger"/>
    <x v="1"/>
    <n v="1"/>
    <n v="139"/>
    <n v="13.9"/>
    <n v="30"/>
    <n v="139"/>
    <n v="155.1"/>
    <x v="4"/>
    <x v="0"/>
    <x v="1"/>
    <n v="41"/>
    <n v="4.0999999999999996"/>
  </r>
  <r>
    <x v="3325"/>
    <x v="241"/>
    <x v="7"/>
    <n v="8"/>
    <n v="30"/>
    <s v="Saturday"/>
    <x v="9"/>
    <x v="2"/>
    <x v="2"/>
    <s v="Paneer Butter Masala"/>
    <x v="1"/>
    <n v="2"/>
    <n v="531"/>
    <n v="53.1"/>
    <n v="30"/>
    <n v="1062"/>
    <n v="1038.9000000000001"/>
    <x v="1"/>
    <x v="0"/>
    <x v="1"/>
    <n v="64"/>
    <n v="2.9"/>
  </r>
  <r>
    <x v="3326"/>
    <x v="241"/>
    <x v="7"/>
    <n v="8"/>
    <n v="30"/>
    <s v="Saturday"/>
    <x v="7"/>
    <x v="12"/>
    <x v="9"/>
    <s v="Veg Pizza"/>
    <x v="1"/>
    <n v="3"/>
    <n v="485"/>
    <n v="48.5"/>
    <n v="30"/>
    <n v="1455"/>
    <n v="1436.5"/>
    <x v="4"/>
    <x v="0"/>
    <x v="0"/>
    <n v="50"/>
    <n v="4.7"/>
  </r>
  <r>
    <x v="3327"/>
    <x v="241"/>
    <x v="7"/>
    <n v="8"/>
    <n v="30"/>
    <s v="Saturday"/>
    <x v="5"/>
    <x v="11"/>
    <x v="1"/>
    <s v="Chocolate Cake"/>
    <x v="1"/>
    <n v="2"/>
    <n v="831"/>
    <n v="83.1"/>
    <n v="70"/>
    <n v="1662"/>
    <n v="1648.9"/>
    <x v="2"/>
    <x v="0"/>
    <x v="0"/>
    <n v="36"/>
    <n v="3.1"/>
  </r>
  <r>
    <x v="3328"/>
    <x v="241"/>
    <x v="7"/>
    <n v="8"/>
    <n v="30"/>
    <s v="Saturday"/>
    <x v="0"/>
    <x v="11"/>
    <x v="4"/>
    <s v="Fried Rice"/>
    <x v="1"/>
    <n v="2"/>
    <n v="343"/>
    <n v="0"/>
    <n v="60"/>
    <n v="686"/>
    <n v="746"/>
    <x v="1"/>
    <x v="0"/>
    <x v="1"/>
    <n v="25"/>
    <n v="3.5"/>
  </r>
  <r>
    <x v="3329"/>
    <x v="241"/>
    <x v="7"/>
    <n v="8"/>
    <n v="30"/>
    <s v="Saturday"/>
    <x v="7"/>
    <x v="14"/>
    <x v="9"/>
    <s v="Chocolate Cake"/>
    <x v="3"/>
    <n v="2"/>
    <n v="484"/>
    <n v="96.8"/>
    <n v="40"/>
    <n v="968"/>
    <n v="911.2"/>
    <x v="1"/>
    <x v="0"/>
    <x v="0"/>
    <n v="39"/>
    <n v="3"/>
  </r>
  <r>
    <x v="3330"/>
    <x v="241"/>
    <x v="7"/>
    <n v="8"/>
    <n v="30"/>
    <s v="Saturday"/>
    <x v="5"/>
    <x v="12"/>
    <x v="9"/>
    <s v="Veg Pizza"/>
    <x v="1"/>
    <n v="1"/>
    <n v="437"/>
    <n v="21.85"/>
    <n v="30"/>
    <n v="437"/>
    <n v="445.15"/>
    <x v="0"/>
    <x v="0"/>
    <x v="0"/>
    <n v="31"/>
    <n v="3.9"/>
  </r>
  <r>
    <x v="3331"/>
    <x v="241"/>
    <x v="7"/>
    <n v="8"/>
    <n v="30"/>
    <s v="Saturday"/>
    <x v="9"/>
    <x v="10"/>
    <x v="8"/>
    <s v="Chicken Burger"/>
    <x v="2"/>
    <n v="1"/>
    <n v="491"/>
    <n v="0"/>
    <n v="70"/>
    <n v="491"/>
    <n v="561"/>
    <x v="2"/>
    <x v="0"/>
    <x v="0"/>
    <n v="65"/>
    <n v="4"/>
  </r>
  <r>
    <x v="3332"/>
    <x v="241"/>
    <x v="7"/>
    <n v="8"/>
    <n v="30"/>
    <s v="Saturday"/>
    <x v="2"/>
    <x v="12"/>
    <x v="1"/>
    <s v="Veg Momos"/>
    <x v="1"/>
    <n v="2"/>
    <n v="290"/>
    <n v="29"/>
    <n v="40"/>
    <n v="580"/>
    <n v="591"/>
    <x v="3"/>
    <x v="0"/>
    <x v="0"/>
    <n v="18"/>
    <n v="3.6"/>
  </r>
  <r>
    <x v="3333"/>
    <x v="241"/>
    <x v="7"/>
    <n v="8"/>
    <n v="30"/>
    <s v="Saturday"/>
    <x v="3"/>
    <x v="14"/>
    <x v="4"/>
    <s v="Chicken Biryani"/>
    <x v="2"/>
    <n v="1"/>
    <n v="865"/>
    <n v="43.25"/>
    <n v="40"/>
    <n v="865"/>
    <n v="861.75"/>
    <x v="1"/>
    <x v="0"/>
    <x v="1"/>
    <n v="31"/>
    <n v="4.4000000000000004"/>
  </r>
  <r>
    <x v="3334"/>
    <x v="241"/>
    <x v="7"/>
    <n v="8"/>
    <n v="30"/>
    <s v="Saturday"/>
    <x v="4"/>
    <x v="14"/>
    <x v="2"/>
    <s v="Veg Biryani"/>
    <x v="1"/>
    <n v="1"/>
    <n v="463"/>
    <n v="46.3"/>
    <n v="40"/>
    <n v="463"/>
    <n v="456.7"/>
    <x v="4"/>
    <x v="0"/>
    <x v="1"/>
    <n v="58"/>
    <n v="3.7"/>
  </r>
  <r>
    <x v="3335"/>
    <x v="241"/>
    <x v="7"/>
    <n v="8"/>
    <n v="30"/>
    <s v="Saturday"/>
    <x v="1"/>
    <x v="4"/>
    <x v="1"/>
    <s v="Veg Momos"/>
    <x v="1"/>
    <n v="1"/>
    <n v="712"/>
    <n v="178"/>
    <n v="20"/>
    <n v="712"/>
    <n v="554"/>
    <x v="2"/>
    <x v="0"/>
    <x v="1"/>
    <n v="59"/>
    <n v="3.1"/>
  </r>
  <r>
    <x v="3336"/>
    <x v="242"/>
    <x v="7"/>
    <n v="8"/>
    <n v="31"/>
    <s v="Sunday"/>
    <x v="4"/>
    <x v="1"/>
    <x v="5"/>
    <s v="Chicken Pizza"/>
    <x v="3"/>
    <n v="3"/>
    <n v="268"/>
    <n v="53.6"/>
    <n v="0"/>
    <n v="804"/>
    <n v="750.4"/>
    <x v="1"/>
    <x v="0"/>
    <x v="0"/>
    <n v="20"/>
    <n v="4.3"/>
  </r>
  <r>
    <x v="3337"/>
    <x v="242"/>
    <x v="7"/>
    <n v="8"/>
    <n v="31"/>
    <s v="Sunday"/>
    <x v="1"/>
    <x v="12"/>
    <x v="3"/>
    <s v="Veg Pizza"/>
    <x v="2"/>
    <n v="2"/>
    <n v="749"/>
    <n v="74.900000000000006"/>
    <n v="70"/>
    <n v="1498"/>
    <n v="1493.1"/>
    <x v="0"/>
    <x v="0"/>
    <x v="1"/>
    <n v="52"/>
    <n v="5"/>
  </r>
  <r>
    <x v="3338"/>
    <x v="242"/>
    <x v="7"/>
    <n v="8"/>
    <n v="31"/>
    <s v="Sunday"/>
    <x v="3"/>
    <x v="1"/>
    <x v="1"/>
    <s v="Paneer Butter Masala"/>
    <x v="2"/>
    <n v="1"/>
    <n v="141"/>
    <n v="21.15"/>
    <n v="50"/>
    <n v="141"/>
    <n v="169.85"/>
    <x v="3"/>
    <x v="0"/>
    <x v="1"/>
    <n v="64"/>
    <n v="4"/>
  </r>
  <r>
    <x v="3339"/>
    <x v="242"/>
    <x v="7"/>
    <n v="8"/>
    <n v="31"/>
    <s v="Sunday"/>
    <x v="9"/>
    <x v="3"/>
    <x v="3"/>
    <s v="Idli Sambar"/>
    <x v="2"/>
    <n v="1"/>
    <n v="762"/>
    <n v="76.2"/>
    <n v="70"/>
    <n v="762"/>
    <n v="755.8"/>
    <x v="2"/>
    <x v="0"/>
    <x v="0"/>
    <n v="51"/>
    <n v="4.3"/>
  </r>
  <r>
    <x v="3340"/>
    <x v="242"/>
    <x v="7"/>
    <n v="8"/>
    <n v="31"/>
    <s v="Sunday"/>
    <x v="6"/>
    <x v="6"/>
    <x v="4"/>
    <s v="French Fries"/>
    <x v="1"/>
    <n v="1"/>
    <n v="139"/>
    <n v="13.9"/>
    <n v="50"/>
    <n v="139"/>
    <n v="175.1"/>
    <x v="3"/>
    <x v="2"/>
    <x v="1"/>
    <n v="42"/>
    <m/>
  </r>
  <r>
    <x v="3341"/>
    <x v="242"/>
    <x v="7"/>
    <n v="8"/>
    <n v="31"/>
    <s v="Sunday"/>
    <x v="4"/>
    <x v="12"/>
    <x v="9"/>
    <s v="Chicken Pizza"/>
    <x v="2"/>
    <n v="2"/>
    <n v="336"/>
    <n v="67.2"/>
    <n v="70"/>
    <n v="672"/>
    <n v="674.8"/>
    <x v="4"/>
    <x v="0"/>
    <x v="1"/>
    <n v="39"/>
    <n v="3.2"/>
  </r>
  <r>
    <x v="3342"/>
    <x v="242"/>
    <x v="7"/>
    <n v="8"/>
    <n v="31"/>
    <s v="Sunday"/>
    <x v="4"/>
    <x v="8"/>
    <x v="8"/>
    <s v="Masala Dosa"/>
    <x v="1"/>
    <n v="1"/>
    <n v="694"/>
    <n v="34.700000000000003"/>
    <n v="20"/>
    <n v="694"/>
    <n v="679.3"/>
    <x v="1"/>
    <x v="2"/>
    <x v="1"/>
    <n v="19"/>
    <m/>
  </r>
  <r>
    <x v="3343"/>
    <x v="242"/>
    <x v="7"/>
    <n v="8"/>
    <n v="31"/>
    <s v="Sunday"/>
    <x v="0"/>
    <x v="4"/>
    <x v="7"/>
    <s v="French Fries"/>
    <x v="1"/>
    <n v="3"/>
    <n v="338"/>
    <n v="50.7"/>
    <n v="0"/>
    <n v="1014"/>
    <n v="963.3"/>
    <x v="1"/>
    <x v="0"/>
    <x v="0"/>
    <n v="50"/>
    <n v="4.4000000000000004"/>
  </r>
  <r>
    <x v="3344"/>
    <x v="242"/>
    <x v="7"/>
    <n v="8"/>
    <n v="31"/>
    <s v="Sunday"/>
    <x v="7"/>
    <x v="7"/>
    <x v="4"/>
    <s v="Chocolate Cake"/>
    <x v="1"/>
    <n v="1"/>
    <n v="489"/>
    <n v="73.349999999999994"/>
    <n v="40"/>
    <n v="489"/>
    <n v="455.65"/>
    <x v="3"/>
    <x v="0"/>
    <x v="0"/>
    <n v="41"/>
    <n v="4.0999999999999996"/>
  </r>
  <r>
    <x v="3345"/>
    <x v="242"/>
    <x v="7"/>
    <n v="8"/>
    <n v="31"/>
    <s v="Sunday"/>
    <x v="7"/>
    <x v="12"/>
    <x v="0"/>
    <s v="Chicken Biryani"/>
    <x v="2"/>
    <n v="2"/>
    <n v="875"/>
    <n v="175"/>
    <n v="20"/>
    <n v="1750"/>
    <n v="1595"/>
    <x v="1"/>
    <x v="0"/>
    <x v="1"/>
    <n v="45"/>
    <n v="4.4000000000000004"/>
  </r>
  <r>
    <x v="3346"/>
    <x v="243"/>
    <x v="8"/>
    <n v="9"/>
    <n v="1"/>
    <s v="Monday"/>
    <x v="8"/>
    <x v="12"/>
    <x v="2"/>
    <s v="Cold Coffee"/>
    <x v="1"/>
    <n v="3"/>
    <n v="209"/>
    <n v="31.35"/>
    <n v="30"/>
    <n v="627"/>
    <n v="625.65"/>
    <x v="1"/>
    <x v="2"/>
    <x v="1"/>
    <n v="47"/>
    <m/>
  </r>
  <r>
    <x v="3347"/>
    <x v="243"/>
    <x v="8"/>
    <n v="9"/>
    <n v="1"/>
    <s v="Monday"/>
    <x v="5"/>
    <x v="0"/>
    <x v="9"/>
    <s v="Veg Momos"/>
    <x v="1"/>
    <n v="2"/>
    <n v="742"/>
    <n v="74.2"/>
    <n v="60"/>
    <n v="1484"/>
    <n v="1469.8"/>
    <x v="0"/>
    <x v="0"/>
    <x v="1"/>
    <n v="32"/>
    <n v="5"/>
  </r>
  <r>
    <x v="3348"/>
    <x v="243"/>
    <x v="8"/>
    <n v="9"/>
    <n v="1"/>
    <s v="Monday"/>
    <x v="2"/>
    <x v="1"/>
    <x v="6"/>
    <s v="Veg Biryani"/>
    <x v="0"/>
    <n v="1"/>
    <n v="198"/>
    <n v="19.8"/>
    <n v="70"/>
    <n v="198"/>
    <n v="248.2"/>
    <x v="2"/>
    <x v="3"/>
    <x v="1"/>
    <n v="41"/>
    <m/>
  </r>
  <r>
    <x v="3349"/>
    <x v="243"/>
    <x v="8"/>
    <n v="9"/>
    <n v="1"/>
    <s v="Monday"/>
    <x v="6"/>
    <x v="8"/>
    <x v="5"/>
    <s v="French Fries"/>
    <x v="1"/>
    <n v="3"/>
    <n v="740"/>
    <n v="148"/>
    <n v="60"/>
    <n v="2220"/>
    <n v="2132"/>
    <x v="4"/>
    <x v="0"/>
    <x v="1"/>
    <n v="37"/>
    <n v="4.5"/>
  </r>
  <r>
    <x v="3350"/>
    <x v="243"/>
    <x v="8"/>
    <n v="9"/>
    <n v="1"/>
    <s v="Monday"/>
    <x v="1"/>
    <x v="6"/>
    <x v="7"/>
    <s v="Masala Dosa"/>
    <x v="1"/>
    <n v="2"/>
    <n v="217"/>
    <n v="10.85"/>
    <n v="20"/>
    <n v="434"/>
    <n v="443.15"/>
    <x v="1"/>
    <x v="3"/>
    <x v="1"/>
    <n v="28"/>
    <m/>
  </r>
  <r>
    <x v="3351"/>
    <x v="243"/>
    <x v="8"/>
    <n v="9"/>
    <n v="1"/>
    <s v="Monday"/>
    <x v="5"/>
    <x v="11"/>
    <x v="2"/>
    <s v="Pasta"/>
    <x v="1"/>
    <n v="1"/>
    <n v="502"/>
    <n v="75.3"/>
    <n v="30"/>
    <n v="502"/>
    <n v="456.7"/>
    <x v="1"/>
    <x v="0"/>
    <x v="1"/>
    <n v="56"/>
    <n v="3.9"/>
  </r>
  <r>
    <x v="3352"/>
    <x v="244"/>
    <x v="8"/>
    <n v="9"/>
    <n v="2"/>
    <s v="Tuesday"/>
    <x v="1"/>
    <x v="14"/>
    <x v="6"/>
    <s v="Pasta"/>
    <x v="2"/>
    <n v="1"/>
    <n v="813"/>
    <n v="203.25"/>
    <n v="30"/>
    <n v="813"/>
    <n v="639.75"/>
    <x v="4"/>
    <x v="0"/>
    <x v="0"/>
    <n v="24"/>
    <n v="3.4"/>
  </r>
  <r>
    <x v="3353"/>
    <x v="244"/>
    <x v="8"/>
    <n v="9"/>
    <n v="2"/>
    <s v="Tuesday"/>
    <x v="3"/>
    <x v="1"/>
    <x v="9"/>
    <s v="Chicken Burger"/>
    <x v="2"/>
    <n v="2"/>
    <n v="637"/>
    <n v="127.4"/>
    <n v="40"/>
    <n v="1274"/>
    <n v="1186.5999999999999"/>
    <x v="4"/>
    <x v="0"/>
    <x v="0"/>
    <n v="50"/>
    <n v="4.4000000000000004"/>
  </r>
  <r>
    <x v="3354"/>
    <x v="244"/>
    <x v="8"/>
    <n v="9"/>
    <n v="2"/>
    <s v="Tuesday"/>
    <x v="9"/>
    <x v="6"/>
    <x v="6"/>
    <s v="Idli Sambar"/>
    <x v="1"/>
    <n v="2"/>
    <n v="203"/>
    <n v="30.45"/>
    <n v="60"/>
    <n v="406"/>
    <n v="435.55"/>
    <x v="3"/>
    <x v="0"/>
    <x v="0"/>
    <n v="65"/>
    <n v="2.9"/>
  </r>
  <r>
    <x v="3355"/>
    <x v="244"/>
    <x v="8"/>
    <n v="9"/>
    <n v="2"/>
    <s v="Tuesday"/>
    <x v="9"/>
    <x v="0"/>
    <x v="5"/>
    <s v="Paneer Butter Masala"/>
    <x v="1"/>
    <n v="2"/>
    <n v="137"/>
    <n v="27.4"/>
    <n v="40"/>
    <n v="274"/>
    <n v="286.60000000000002"/>
    <x v="1"/>
    <x v="0"/>
    <x v="1"/>
    <n v="34"/>
    <n v="4"/>
  </r>
  <r>
    <x v="3356"/>
    <x v="244"/>
    <x v="8"/>
    <n v="9"/>
    <n v="2"/>
    <s v="Tuesday"/>
    <x v="6"/>
    <x v="12"/>
    <x v="0"/>
    <s v="Chicken Biryani"/>
    <x v="0"/>
    <n v="2"/>
    <n v="519"/>
    <n v="77.849999999999994"/>
    <n v="20"/>
    <n v="1038"/>
    <n v="980.15"/>
    <x v="1"/>
    <x v="0"/>
    <x v="0"/>
    <n v="32"/>
    <n v="5"/>
  </r>
  <r>
    <x v="3357"/>
    <x v="244"/>
    <x v="8"/>
    <n v="9"/>
    <n v="2"/>
    <s v="Tuesday"/>
    <x v="9"/>
    <x v="10"/>
    <x v="4"/>
    <s v="Veg Biryani"/>
    <x v="1"/>
    <n v="1"/>
    <n v="525"/>
    <n v="52.5"/>
    <n v="60"/>
    <n v="525"/>
    <n v="532.5"/>
    <x v="1"/>
    <x v="0"/>
    <x v="0"/>
    <n v="46"/>
    <n v="4.8"/>
  </r>
  <r>
    <x v="3358"/>
    <x v="244"/>
    <x v="8"/>
    <n v="9"/>
    <n v="2"/>
    <s v="Tuesday"/>
    <x v="1"/>
    <x v="12"/>
    <x v="2"/>
    <s v="Veg Burger"/>
    <x v="0"/>
    <n v="1"/>
    <n v="585"/>
    <n v="58.5"/>
    <n v="60"/>
    <n v="585"/>
    <n v="586.5"/>
    <x v="1"/>
    <x v="2"/>
    <x v="1"/>
    <n v="33"/>
    <m/>
  </r>
  <r>
    <x v="3359"/>
    <x v="244"/>
    <x v="8"/>
    <n v="9"/>
    <n v="2"/>
    <s v="Tuesday"/>
    <x v="1"/>
    <x v="7"/>
    <x v="3"/>
    <s v="Idli Sambar"/>
    <x v="1"/>
    <n v="3"/>
    <n v="768"/>
    <n v="76.8"/>
    <n v="40"/>
    <n v="2304"/>
    <n v="2267.1999999999998"/>
    <x v="0"/>
    <x v="0"/>
    <x v="1"/>
    <n v="43"/>
    <n v="4.2"/>
  </r>
  <r>
    <x v="3360"/>
    <x v="244"/>
    <x v="8"/>
    <n v="9"/>
    <n v="2"/>
    <s v="Tuesday"/>
    <x v="1"/>
    <x v="8"/>
    <x v="8"/>
    <s v="Chicken Pizza"/>
    <x v="2"/>
    <n v="2"/>
    <n v="463"/>
    <n v="46.3"/>
    <n v="40"/>
    <n v="926"/>
    <n v="919.7"/>
    <x v="2"/>
    <x v="0"/>
    <x v="1"/>
    <n v="48"/>
    <n v="2.8"/>
  </r>
  <r>
    <x v="3361"/>
    <x v="244"/>
    <x v="8"/>
    <n v="9"/>
    <n v="2"/>
    <s v="Tuesday"/>
    <x v="8"/>
    <x v="0"/>
    <x v="3"/>
    <s v="Veg Biryani"/>
    <x v="2"/>
    <n v="2"/>
    <n v="822"/>
    <n v="41.1"/>
    <n v="60"/>
    <n v="1644"/>
    <n v="1662.9"/>
    <x v="2"/>
    <x v="0"/>
    <x v="1"/>
    <n v="36"/>
    <n v="4.4000000000000004"/>
  </r>
  <r>
    <x v="3362"/>
    <x v="244"/>
    <x v="8"/>
    <n v="9"/>
    <n v="2"/>
    <s v="Tuesday"/>
    <x v="1"/>
    <x v="13"/>
    <x v="9"/>
    <s v="Chicken Burger"/>
    <x v="1"/>
    <n v="1"/>
    <n v="707"/>
    <n v="35.35"/>
    <n v="50"/>
    <n v="707"/>
    <n v="721.65"/>
    <x v="4"/>
    <x v="0"/>
    <x v="0"/>
    <n v="18"/>
    <n v="3.8"/>
  </r>
  <r>
    <x v="3363"/>
    <x v="245"/>
    <x v="8"/>
    <n v="9"/>
    <n v="3"/>
    <s v="Wednesday"/>
    <x v="0"/>
    <x v="12"/>
    <x v="6"/>
    <s v="Chicken Biryani"/>
    <x v="1"/>
    <n v="1"/>
    <n v="456"/>
    <n v="0"/>
    <n v="40"/>
    <n v="456"/>
    <n v="496"/>
    <x v="1"/>
    <x v="0"/>
    <x v="1"/>
    <n v="26"/>
    <n v="3.8"/>
  </r>
  <r>
    <x v="3364"/>
    <x v="245"/>
    <x v="8"/>
    <n v="9"/>
    <n v="3"/>
    <s v="Wednesday"/>
    <x v="3"/>
    <x v="6"/>
    <x v="4"/>
    <s v="Chicken Burger"/>
    <x v="1"/>
    <n v="2"/>
    <n v="648"/>
    <n v="162"/>
    <n v="30"/>
    <n v="1296"/>
    <n v="1164"/>
    <x v="1"/>
    <x v="2"/>
    <x v="1"/>
    <n v="24"/>
    <m/>
  </r>
  <r>
    <x v="3365"/>
    <x v="245"/>
    <x v="8"/>
    <n v="9"/>
    <n v="3"/>
    <s v="Wednesday"/>
    <x v="0"/>
    <x v="6"/>
    <x v="4"/>
    <s v="Chicken Momos"/>
    <x v="1"/>
    <n v="2"/>
    <n v="517"/>
    <n v="25.85"/>
    <n v="40"/>
    <n v="1034"/>
    <n v="1048.1500000000001"/>
    <x v="1"/>
    <x v="0"/>
    <x v="1"/>
    <n v="21"/>
    <n v="2.9"/>
  </r>
  <r>
    <x v="3366"/>
    <x v="245"/>
    <x v="8"/>
    <n v="9"/>
    <n v="3"/>
    <s v="Wednesday"/>
    <x v="3"/>
    <x v="9"/>
    <x v="0"/>
    <s v="Pasta"/>
    <x v="1"/>
    <n v="2"/>
    <n v="711"/>
    <n v="35.549999999999997"/>
    <n v="60"/>
    <n v="1422"/>
    <n v="1446.45"/>
    <x v="2"/>
    <x v="0"/>
    <x v="1"/>
    <n v="37"/>
    <n v="4.5"/>
  </r>
  <r>
    <x v="3367"/>
    <x v="245"/>
    <x v="8"/>
    <n v="9"/>
    <n v="3"/>
    <s v="Wednesday"/>
    <x v="5"/>
    <x v="2"/>
    <x v="1"/>
    <s v="Fried Rice"/>
    <x v="1"/>
    <n v="2"/>
    <n v="711"/>
    <n v="177.75"/>
    <n v="0"/>
    <n v="1422"/>
    <n v="1244.25"/>
    <x v="3"/>
    <x v="2"/>
    <x v="1"/>
    <n v="48"/>
    <m/>
  </r>
  <r>
    <x v="3368"/>
    <x v="245"/>
    <x v="8"/>
    <n v="9"/>
    <n v="3"/>
    <s v="Wednesday"/>
    <x v="0"/>
    <x v="12"/>
    <x v="5"/>
    <s v="Chicken Burger"/>
    <x v="2"/>
    <n v="2"/>
    <n v="518"/>
    <n v="51.8"/>
    <n v="60"/>
    <n v="1036"/>
    <n v="1044.2"/>
    <x v="0"/>
    <x v="0"/>
    <x v="0"/>
    <n v="39"/>
    <n v="4.4000000000000004"/>
  </r>
  <r>
    <x v="3369"/>
    <x v="245"/>
    <x v="8"/>
    <n v="9"/>
    <n v="3"/>
    <s v="Wednesday"/>
    <x v="0"/>
    <x v="13"/>
    <x v="6"/>
    <s v="Cold Coffee"/>
    <x v="2"/>
    <n v="1"/>
    <n v="425"/>
    <n v="21.25"/>
    <n v="50"/>
    <n v="425"/>
    <n v="453.75"/>
    <x v="3"/>
    <x v="0"/>
    <x v="1"/>
    <n v="43"/>
    <n v="3.1"/>
  </r>
  <r>
    <x v="3370"/>
    <x v="245"/>
    <x v="8"/>
    <n v="9"/>
    <n v="3"/>
    <s v="Wednesday"/>
    <x v="2"/>
    <x v="8"/>
    <x v="5"/>
    <s v="Fried Rice"/>
    <x v="1"/>
    <n v="1"/>
    <n v="251"/>
    <n v="37.65"/>
    <n v="50"/>
    <n v="251"/>
    <n v="263.35000000000002"/>
    <x v="1"/>
    <x v="0"/>
    <x v="1"/>
    <n v="52"/>
    <n v="5"/>
  </r>
  <r>
    <x v="3371"/>
    <x v="245"/>
    <x v="8"/>
    <n v="9"/>
    <n v="3"/>
    <s v="Wednesday"/>
    <x v="8"/>
    <x v="13"/>
    <x v="1"/>
    <s v="Veg Biryani"/>
    <x v="1"/>
    <n v="1"/>
    <n v="701"/>
    <n v="0"/>
    <n v="20"/>
    <n v="701"/>
    <n v="721"/>
    <x v="1"/>
    <x v="0"/>
    <x v="1"/>
    <n v="46"/>
    <n v="4.7"/>
  </r>
  <r>
    <x v="3372"/>
    <x v="245"/>
    <x v="8"/>
    <n v="9"/>
    <n v="3"/>
    <s v="Wednesday"/>
    <x v="1"/>
    <x v="6"/>
    <x v="1"/>
    <s v="Fried Rice"/>
    <x v="2"/>
    <n v="1"/>
    <n v="224"/>
    <n v="33.6"/>
    <n v="50"/>
    <n v="224"/>
    <n v="240.4"/>
    <x v="0"/>
    <x v="0"/>
    <x v="1"/>
    <n v="43"/>
    <n v="4.2"/>
  </r>
  <r>
    <x v="3373"/>
    <x v="245"/>
    <x v="8"/>
    <n v="9"/>
    <n v="3"/>
    <s v="Wednesday"/>
    <x v="9"/>
    <x v="4"/>
    <x v="6"/>
    <s v="Cold Coffee"/>
    <x v="1"/>
    <n v="1"/>
    <n v="513"/>
    <n v="0"/>
    <n v="0"/>
    <n v="513"/>
    <n v="513"/>
    <x v="1"/>
    <x v="2"/>
    <x v="1"/>
    <n v="37"/>
    <m/>
  </r>
  <r>
    <x v="3374"/>
    <x v="245"/>
    <x v="8"/>
    <n v="9"/>
    <n v="3"/>
    <s v="Wednesday"/>
    <x v="8"/>
    <x v="10"/>
    <x v="7"/>
    <s v="Chocolate Cake"/>
    <x v="1"/>
    <n v="2"/>
    <n v="493"/>
    <n v="49.3"/>
    <n v="40"/>
    <n v="986"/>
    <n v="976.7"/>
    <x v="1"/>
    <x v="2"/>
    <x v="1"/>
    <n v="42"/>
    <m/>
  </r>
  <r>
    <x v="3375"/>
    <x v="245"/>
    <x v="8"/>
    <n v="9"/>
    <n v="3"/>
    <s v="Wednesday"/>
    <x v="2"/>
    <x v="7"/>
    <x v="9"/>
    <s v="Veg Pizza"/>
    <x v="1"/>
    <n v="3"/>
    <n v="832"/>
    <n v="166.4"/>
    <n v="0"/>
    <n v="2496"/>
    <n v="2329.6"/>
    <x v="1"/>
    <x v="0"/>
    <x v="0"/>
    <n v="18"/>
    <n v="4"/>
  </r>
  <r>
    <x v="3376"/>
    <x v="246"/>
    <x v="8"/>
    <n v="9"/>
    <n v="4"/>
    <s v="Thursday"/>
    <x v="5"/>
    <x v="6"/>
    <x v="5"/>
    <s v="Fried Rice"/>
    <x v="1"/>
    <n v="1"/>
    <n v="302"/>
    <n v="0"/>
    <n v="30"/>
    <n v="302"/>
    <n v="332"/>
    <x v="2"/>
    <x v="0"/>
    <x v="0"/>
    <n v="37"/>
    <n v="3.8"/>
  </r>
  <r>
    <x v="3377"/>
    <x v="246"/>
    <x v="8"/>
    <n v="9"/>
    <n v="4"/>
    <s v="Thursday"/>
    <x v="1"/>
    <x v="14"/>
    <x v="1"/>
    <s v="Chocolate Cake"/>
    <x v="3"/>
    <n v="1"/>
    <n v="848"/>
    <n v="127.2"/>
    <n v="50"/>
    <n v="848"/>
    <n v="770.8"/>
    <x v="1"/>
    <x v="0"/>
    <x v="1"/>
    <n v="64"/>
    <n v="3.6"/>
  </r>
  <r>
    <x v="3378"/>
    <x v="246"/>
    <x v="8"/>
    <n v="9"/>
    <n v="4"/>
    <s v="Thursday"/>
    <x v="2"/>
    <x v="1"/>
    <x v="0"/>
    <s v="Chicken Momos"/>
    <x v="1"/>
    <n v="3"/>
    <n v="461"/>
    <n v="69.150000000000006"/>
    <n v="50"/>
    <n v="1383"/>
    <n v="1363.85"/>
    <x v="4"/>
    <x v="0"/>
    <x v="0"/>
    <n v="22"/>
    <n v="4"/>
  </r>
  <r>
    <x v="3379"/>
    <x v="246"/>
    <x v="8"/>
    <n v="9"/>
    <n v="4"/>
    <s v="Thursday"/>
    <x v="3"/>
    <x v="4"/>
    <x v="9"/>
    <s v="Veg Biryani"/>
    <x v="1"/>
    <n v="2"/>
    <n v="438"/>
    <n v="109.5"/>
    <n v="0"/>
    <n v="876"/>
    <n v="766.5"/>
    <x v="0"/>
    <x v="0"/>
    <x v="1"/>
    <n v="54"/>
    <n v="5"/>
  </r>
  <r>
    <x v="3380"/>
    <x v="246"/>
    <x v="8"/>
    <n v="9"/>
    <n v="4"/>
    <s v="Thursday"/>
    <x v="1"/>
    <x v="7"/>
    <x v="4"/>
    <s v="Masala Dosa"/>
    <x v="1"/>
    <n v="1"/>
    <n v="518"/>
    <n v="103.6"/>
    <n v="30"/>
    <n v="518"/>
    <n v="444.4"/>
    <x v="4"/>
    <x v="0"/>
    <x v="1"/>
    <n v="53"/>
    <n v="4.9000000000000004"/>
  </r>
  <r>
    <x v="3381"/>
    <x v="246"/>
    <x v="8"/>
    <n v="9"/>
    <n v="4"/>
    <s v="Thursday"/>
    <x v="1"/>
    <x v="10"/>
    <x v="6"/>
    <s v="Masala Dosa"/>
    <x v="1"/>
    <n v="3"/>
    <n v="222"/>
    <n v="44.4"/>
    <n v="60"/>
    <n v="666"/>
    <n v="681.6"/>
    <x v="2"/>
    <x v="0"/>
    <x v="1"/>
    <n v="37"/>
    <n v="3.9"/>
  </r>
  <r>
    <x v="3382"/>
    <x v="246"/>
    <x v="8"/>
    <n v="9"/>
    <n v="4"/>
    <s v="Thursday"/>
    <x v="7"/>
    <x v="0"/>
    <x v="2"/>
    <s v="Chicken Pizza"/>
    <x v="2"/>
    <n v="2"/>
    <n v="766"/>
    <n v="114.9"/>
    <n v="20"/>
    <n v="1532"/>
    <n v="1437.1"/>
    <x v="1"/>
    <x v="0"/>
    <x v="1"/>
    <n v="26"/>
    <n v="4.4000000000000004"/>
  </r>
  <r>
    <x v="3383"/>
    <x v="246"/>
    <x v="8"/>
    <n v="9"/>
    <n v="4"/>
    <s v="Thursday"/>
    <x v="6"/>
    <x v="9"/>
    <x v="3"/>
    <s v="Cold Coffee"/>
    <x v="1"/>
    <n v="1"/>
    <n v="173"/>
    <n v="17.3"/>
    <n v="40"/>
    <n v="173"/>
    <n v="195.7"/>
    <x v="1"/>
    <x v="0"/>
    <x v="1"/>
    <n v="51"/>
    <n v="4.8"/>
  </r>
  <r>
    <x v="3384"/>
    <x v="246"/>
    <x v="8"/>
    <n v="9"/>
    <n v="4"/>
    <s v="Thursday"/>
    <x v="9"/>
    <x v="13"/>
    <x v="8"/>
    <s v="Paneer Butter Masala"/>
    <x v="2"/>
    <n v="2"/>
    <n v="564"/>
    <n v="56.4"/>
    <n v="40"/>
    <n v="1128"/>
    <n v="1111.5999999999999"/>
    <x v="0"/>
    <x v="3"/>
    <x v="1"/>
    <n v="41"/>
    <m/>
  </r>
  <r>
    <x v="3385"/>
    <x v="246"/>
    <x v="8"/>
    <n v="9"/>
    <n v="4"/>
    <s v="Thursday"/>
    <x v="6"/>
    <x v="9"/>
    <x v="9"/>
    <s v="Masala Dosa"/>
    <x v="1"/>
    <n v="3"/>
    <n v="353"/>
    <n v="0"/>
    <n v="40"/>
    <n v="1059"/>
    <n v="1099"/>
    <x v="0"/>
    <x v="0"/>
    <x v="1"/>
    <n v="30"/>
    <n v="4.8"/>
  </r>
  <r>
    <x v="3386"/>
    <x v="246"/>
    <x v="8"/>
    <n v="9"/>
    <n v="4"/>
    <s v="Thursday"/>
    <x v="3"/>
    <x v="4"/>
    <x v="3"/>
    <s v="Chicken Momos"/>
    <x v="2"/>
    <n v="2"/>
    <n v="796"/>
    <n v="79.599999999999994"/>
    <n v="20"/>
    <n v="1592"/>
    <n v="1532.4"/>
    <x v="0"/>
    <x v="0"/>
    <x v="1"/>
    <n v="65"/>
    <n v="4.8"/>
  </r>
  <r>
    <x v="3387"/>
    <x v="246"/>
    <x v="8"/>
    <n v="9"/>
    <n v="4"/>
    <s v="Thursday"/>
    <x v="0"/>
    <x v="12"/>
    <x v="0"/>
    <s v="Chocolate Cake"/>
    <x v="0"/>
    <n v="3"/>
    <n v="359"/>
    <n v="89.75"/>
    <n v="50"/>
    <n v="1077"/>
    <n v="1037.25"/>
    <x v="1"/>
    <x v="1"/>
    <x v="1"/>
    <n v="63"/>
    <m/>
  </r>
  <r>
    <x v="3388"/>
    <x v="246"/>
    <x v="8"/>
    <n v="9"/>
    <n v="4"/>
    <s v="Thursday"/>
    <x v="2"/>
    <x v="0"/>
    <x v="7"/>
    <s v="Veg Burger"/>
    <x v="1"/>
    <n v="2"/>
    <n v="557"/>
    <n v="55.7"/>
    <n v="30"/>
    <n v="1114"/>
    <n v="1088.3"/>
    <x v="0"/>
    <x v="0"/>
    <x v="1"/>
    <n v="20"/>
    <n v="5"/>
  </r>
  <r>
    <x v="3389"/>
    <x v="246"/>
    <x v="8"/>
    <n v="9"/>
    <n v="4"/>
    <s v="Thursday"/>
    <x v="9"/>
    <x v="10"/>
    <x v="4"/>
    <s v="Cold Coffee"/>
    <x v="1"/>
    <n v="1"/>
    <n v="547"/>
    <n v="136.75"/>
    <n v="0"/>
    <n v="547"/>
    <n v="410.25"/>
    <x v="1"/>
    <x v="0"/>
    <x v="0"/>
    <n v="40"/>
    <n v="4"/>
  </r>
  <r>
    <x v="3390"/>
    <x v="246"/>
    <x v="8"/>
    <n v="9"/>
    <n v="4"/>
    <s v="Thursday"/>
    <x v="2"/>
    <x v="9"/>
    <x v="5"/>
    <s v="Masala Dosa"/>
    <x v="2"/>
    <n v="3"/>
    <n v="439"/>
    <n v="87.8"/>
    <n v="40"/>
    <n v="1317"/>
    <n v="1269.2"/>
    <x v="3"/>
    <x v="1"/>
    <x v="0"/>
    <n v="54"/>
    <m/>
  </r>
  <r>
    <x v="3391"/>
    <x v="246"/>
    <x v="8"/>
    <n v="9"/>
    <n v="4"/>
    <s v="Thursday"/>
    <x v="5"/>
    <x v="10"/>
    <x v="6"/>
    <s v="Veg Biryani"/>
    <x v="1"/>
    <n v="1"/>
    <n v="664"/>
    <n v="66.400000000000006"/>
    <n v="0"/>
    <n v="664"/>
    <n v="597.6"/>
    <x v="2"/>
    <x v="0"/>
    <x v="1"/>
    <n v="65"/>
    <n v="4"/>
  </r>
  <r>
    <x v="3392"/>
    <x v="247"/>
    <x v="8"/>
    <n v="9"/>
    <n v="5"/>
    <s v="Friday"/>
    <x v="9"/>
    <x v="7"/>
    <x v="9"/>
    <s v="Pasta"/>
    <x v="1"/>
    <n v="1"/>
    <n v="166"/>
    <n v="41.5"/>
    <n v="50"/>
    <n v="166"/>
    <n v="174.5"/>
    <x v="0"/>
    <x v="0"/>
    <x v="0"/>
    <n v="64"/>
    <n v="4.9000000000000004"/>
  </r>
  <r>
    <x v="3393"/>
    <x v="247"/>
    <x v="8"/>
    <n v="9"/>
    <n v="5"/>
    <s v="Friday"/>
    <x v="1"/>
    <x v="4"/>
    <x v="2"/>
    <s v="Fried Rice"/>
    <x v="1"/>
    <n v="3"/>
    <n v="226"/>
    <n v="11.3"/>
    <n v="50"/>
    <n v="678"/>
    <n v="716.7"/>
    <x v="1"/>
    <x v="0"/>
    <x v="1"/>
    <n v="56"/>
    <n v="2.9"/>
  </r>
  <r>
    <x v="3394"/>
    <x v="247"/>
    <x v="8"/>
    <n v="9"/>
    <n v="5"/>
    <s v="Friday"/>
    <x v="3"/>
    <x v="3"/>
    <x v="4"/>
    <s v="Veg Momos"/>
    <x v="1"/>
    <n v="1"/>
    <n v="776"/>
    <n v="0"/>
    <n v="50"/>
    <n v="776"/>
    <n v="826"/>
    <x v="2"/>
    <x v="0"/>
    <x v="1"/>
    <n v="43"/>
    <n v="3.6"/>
  </r>
  <r>
    <x v="3395"/>
    <x v="247"/>
    <x v="8"/>
    <n v="9"/>
    <n v="5"/>
    <s v="Friday"/>
    <x v="4"/>
    <x v="3"/>
    <x v="5"/>
    <s v="Paneer Butter Masala"/>
    <x v="1"/>
    <n v="1"/>
    <n v="232"/>
    <n v="46.4"/>
    <n v="50"/>
    <n v="232"/>
    <n v="235.6"/>
    <x v="1"/>
    <x v="0"/>
    <x v="1"/>
    <n v="23"/>
    <n v="3.1"/>
  </r>
  <r>
    <x v="3396"/>
    <x v="247"/>
    <x v="8"/>
    <n v="9"/>
    <n v="5"/>
    <s v="Friday"/>
    <x v="1"/>
    <x v="13"/>
    <x v="9"/>
    <s v="Veg Biryani"/>
    <x v="1"/>
    <n v="2"/>
    <n v="499"/>
    <n v="74.849999999999994"/>
    <n v="20"/>
    <n v="998"/>
    <n v="943.15"/>
    <x v="2"/>
    <x v="0"/>
    <x v="1"/>
    <n v="22"/>
    <n v="4"/>
  </r>
  <r>
    <x v="3397"/>
    <x v="247"/>
    <x v="8"/>
    <n v="9"/>
    <n v="5"/>
    <s v="Friday"/>
    <x v="3"/>
    <x v="14"/>
    <x v="9"/>
    <s v="Chicken Momos"/>
    <x v="0"/>
    <n v="1"/>
    <n v="323"/>
    <n v="32.299999999999997"/>
    <n v="40"/>
    <n v="323"/>
    <n v="330.7"/>
    <x v="0"/>
    <x v="0"/>
    <x v="0"/>
    <n v="22"/>
    <n v="4.5999999999999996"/>
  </r>
  <r>
    <x v="3398"/>
    <x v="247"/>
    <x v="8"/>
    <n v="9"/>
    <n v="5"/>
    <s v="Friday"/>
    <x v="9"/>
    <x v="0"/>
    <x v="8"/>
    <s v="Chocolate Cake"/>
    <x v="3"/>
    <n v="1"/>
    <n v="737"/>
    <n v="0"/>
    <n v="50"/>
    <n v="737"/>
    <n v="787"/>
    <x v="2"/>
    <x v="0"/>
    <x v="1"/>
    <n v="59"/>
    <n v="4"/>
  </r>
  <r>
    <x v="3399"/>
    <x v="247"/>
    <x v="8"/>
    <n v="9"/>
    <n v="5"/>
    <s v="Friday"/>
    <x v="1"/>
    <x v="0"/>
    <x v="7"/>
    <s v="Chicken Pizza"/>
    <x v="1"/>
    <n v="2"/>
    <n v="887"/>
    <n v="44.35"/>
    <n v="20"/>
    <n v="1774"/>
    <n v="1749.65"/>
    <x v="1"/>
    <x v="1"/>
    <x v="0"/>
    <n v="58"/>
    <m/>
  </r>
  <r>
    <x v="3400"/>
    <x v="247"/>
    <x v="8"/>
    <n v="9"/>
    <n v="5"/>
    <s v="Friday"/>
    <x v="2"/>
    <x v="5"/>
    <x v="9"/>
    <s v="Veg Burger"/>
    <x v="2"/>
    <n v="1"/>
    <n v="705"/>
    <n v="105.75"/>
    <n v="40"/>
    <n v="705"/>
    <n v="639.25"/>
    <x v="2"/>
    <x v="0"/>
    <x v="1"/>
    <n v="33"/>
    <n v="4.5999999999999996"/>
  </r>
  <r>
    <x v="3401"/>
    <x v="247"/>
    <x v="8"/>
    <n v="9"/>
    <n v="5"/>
    <s v="Friday"/>
    <x v="1"/>
    <x v="7"/>
    <x v="6"/>
    <s v="Chocolate Cake"/>
    <x v="1"/>
    <n v="2"/>
    <n v="585"/>
    <n v="87.75"/>
    <n v="60"/>
    <n v="1170"/>
    <n v="1142.25"/>
    <x v="4"/>
    <x v="0"/>
    <x v="0"/>
    <n v="35"/>
    <n v="2.9"/>
  </r>
  <r>
    <x v="3402"/>
    <x v="247"/>
    <x v="8"/>
    <n v="9"/>
    <n v="5"/>
    <s v="Friday"/>
    <x v="3"/>
    <x v="6"/>
    <x v="5"/>
    <s v="French Fries"/>
    <x v="1"/>
    <n v="1"/>
    <n v="168"/>
    <n v="16.8"/>
    <n v="60"/>
    <n v="168"/>
    <n v="211.2"/>
    <x v="3"/>
    <x v="0"/>
    <x v="1"/>
    <n v="59"/>
    <n v="3.4"/>
  </r>
  <r>
    <x v="3403"/>
    <x v="247"/>
    <x v="8"/>
    <n v="9"/>
    <n v="5"/>
    <s v="Friday"/>
    <x v="1"/>
    <x v="1"/>
    <x v="4"/>
    <s v="Cold Coffee"/>
    <x v="2"/>
    <n v="1"/>
    <n v="180"/>
    <n v="9"/>
    <n v="40"/>
    <n v="180"/>
    <n v="211"/>
    <x v="1"/>
    <x v="0"/>
    <x v="0"/>
    <n v="36"/>
    <n v="5"/>
  </r>
  <r>
    <x v="3404"/>
    <x v="248"/>
    <x v="8"/>
    <n v="9"/>
    <n v="6"/>
    <s v="Saturday"/>
    <x v="1"/>
    <x v="10"/>
    <x v="0"/>
    <s v="French Fries"/>
    <x v="1"/>
    <n v="1"/>
    <n v="137"/>
    <n v="6.85"/>
    <n v="20"/>
    <n v="137"/>
    <n v="150.15"/>
    <x v="4"/>
    <x v="0"/>
    <x v="0"/>
    <n v="41"/>
    <n v="4.4000000000000004"/>
  </r>
  <r>
    <x v="3405"/>
    <x v="248"/>
    <x v="8"/>
    <n v="9"/>
    <n v="6"/>
    <s v="Saturday"/>
    <x v="2"/>
    <x v="13"/>
    <x v="9"/>
    <s v="Paneer Butter Masala"/>
    <x v="1"/>
    <n v="1"/>
    <n v="347"/>
    <n v="0"/>
    <n v="50"/>
    <n v="347"/>
    <n v="397"/>
    <x v="2"/>
    <x v="0"/>
    <x v="0"/>
    <n v="49"/>
    <n v="4"/>
  </r>
  <r>
    <x v="3406"/>
    <x v="248"/>
    <x v="8"/>
    <n v="9"/>
    <n v="6"/>
    <s v="Saturday"/>
    <x v="1"/>
    <x v="1"/>
    <x v="2"/>
    <s v="Chocolate Cake"/>
    <x v="1"/>
    <n v="1"/>
    <n v="239"/>
    <n v="11.95"/>
    <n v="40"/>
    <n v="239"/>
    <n v="267.05"/>
    <x v="3"/>
    <x v="0"/>
    <x v="1"/>
    <n v="48"/>
    <n v="3.9"/>
  </r>
  <r>
    <x v="3407"/>
    <x v="248"/>
    <x v="8"/>
    <n v="9"/>
    <n v="6"/>
    <s v="Saturday"/>
    <x v="7"/>
    <x v="13"/>
    <x v="5"/>
    <s v="French Fries"/>
    <x v="1"/>
    <n v="1"/>
    <n v="589"/>
    <n v="0"/>
    <n v="40"/>
    <n v="589"/>
    <n v="629"/>
    <x v="4"/>
    <x v="0"/>
    <x v="1"/>
    <n v="62"/>
    <n v="4.5999999999999996"/>
  </r>
  <r>
    <x v="3408"/>
    <x v="248"/>
    <x v="8"/>
    <n v="9"/>
    <n v="6"/>
    <s v="Saturday"/>
    <x v="4"/>
    <x v="1"/>
    <x v="5"/>
    <s v="Chicken Momos"/>
    <x v="1"/>
    <n v="1"/>
    <n v="461"/>
    <n v="46.1"/>
    <n v="30"/>
    <n v="461"/>
    <n v="444.9"/>
    <x v="1"/>
    <x v="0"/>
    <x v="1"/>
    <n v="38"/>
    <n v="3.7"/>
  </r>
  <r>
    <x v="3409"/>
    <x v="248"/>
    <x v="8"/>
    <n v="9"/>
    <n v="6"/>
    <s v="Saturday"/>
    <x v="5"/>
    <x v="6"/>
    <x v="1"/>
    <s v="Chicken Burger"/>
    <x v="1"/>
    <n v="2"/>
    <n v="489"/>
    <n v="48.9"/>
    <n v="40"/>
    <n v="978"/>
    <n v="969.1"/>
    <x v="1"/>
    <x v="0"/>
    <x v="0"/>
    <n v="69"/>
    <n v="4"/>
  </r>
  <r>
    <x v="3410"/>
    <x v="248"/>
    <x v="8"/>
    <n v="9"/>
    <n v="6"/>
    <s v="Saturday"/>
    <x v="0"/>
    <x v="0"/>
    <x v="2"/>
    <s v="Chicken Biryani"/>
    <x v="1"/>
    <n v="1"/>
    <n v="491"/>
    <n v="73.650000000000006"/>
    <n v="0"/>
    <n v="491"/>
    <n v="417.35"/>
    <x v="3"/>
    <x v="2"/>
    <x v="1"/>
    <n v="45"/>
    <m/>
  </r>
  <r>
    <x v="3411"/>
    <x v="248"/>
    <x v="8"/>
    <n v="9"/>
    <n v="6"/>
    <s v="Saturday"/>
    <x v="9"/>
    <x v="9"/>
    <x v="4"/>
    <s v="Veg Biryani"/>
    <x v="1"/>
    <n v="1"/>
    <n v="678"/>
    <n v="67.8"/>
    <n v="50"/>
    <n v="678"/>
    <n v="660.2"/>
    <x v="2"/>
    <x v="0"/>
    <x v="1"/>
    <n v="27"/>
    <n v="4.9000000000000004"/>
  </r>
  <r>
    <x v="3412"/>
    <x v="248"/>
    <x v="8"/>
    <n v="9"/>
    <n v="6"/>
    <s v="Saturday"/>
    <x v="6"/>
    <x v="9"/>
    <x v="2"/>
    <s v="Chocolate Cake"/>
    <x v="1"/>
    <n v="3"/>
    <n v="495"/>
    <n v="74.25"/>
    <n v="0"/>
    <n v="1485"/>
    <n v="1410.75"/>
    <x v="1"/>
    <x v="3"/>
    <x v="0"/>
    <n v="34"/>
    <m/>
  </r>
  <r>
    <x v="3413"/>
    <x v="248"/>
    <x v="8"/>
    <n v="9"/>
    <n v="6"/>
    <s v="Saturday"/>
    <x v="0"/>
    <x v="0"/>
    <x v="3"/>
    <s v="Veg Momos"/>
    <x v="1"/>
    <n v="1"/>
    <n v="673"/>
    <n v="67.3"/>
    <n v="20"/>
    <n v="673"/>
    <n v="625.70000000000005"/>
    <x v="3"/>
    <x v="0"/>
    <x v="1"/>
    <n v="40"/>
    <n v="3.9"/>
  </r>
  <r>
    <x v="3414"/>
    <x v="249"/>
    <x v="8"/>
    <n v="9"/>
    <n v="7"/>
    <s v="Sunday"/>
    <x v="0"/>
    <x v="4"/>
    <x v="1"/>
    <s v="Chicken Momos"/>
    <x v="3"/>
    <n v="1"/>
    <n v="885"/>
    <n v="88.5"/>
    <n v="50"/>
    <n v="885"/>
    <n v="846.5"/>
    <x v="0"/>
    <x v="1"/>
    <x v="0"/>
    <n v="20"/>
    <m/>
  </r>
  <r>
    <x v="3415"/>
    <x v="249"/>
    <x v="8"/>
    <n v="9"/>
    <n v="7"/>
    <s v="Sunday"/>
    <x v="0"/>
    <x v="3"/>
    <x v="9"/>
    <s v="Pasta"/>
    <x v="2"/>
    <n v="1"/>
    <n v="330"/>
    <n v="49.5"/>
    <n v="30"/>
    <n v="330"/>
    <n v="310.5"/>
    <x v="3"/>
    <x v="0"/>
    <x v="0"/>
    <n v="20"/>
    <n v="4.5"/>
  </r>
  <r>
    <x v="3416"/>
    <x v="249"/>
    <x v="8"/>
    <n v="9"/>
    <n v="7"/>
    <s v="Sunday"/>
    <x v="7"/>
    <x v="5"/>
    <x v="0"/>
    <s v="Veg Momos"/>
    <x v="1"/>
    <n v="1"/>
    <n v="549"/>
    <n v="0"/>
    <n v="0"/>
    <n v="549"/>
    <n v="549"/>
    <x v="1"/>
    <x v="2"/>
    <x v="1"/>
    <n v="63"/>
    <m/>
  </r>
  <r>
    <x v="3417"/>
    <x v="249"/>
    <x v="8"/>
    <n v="9"/>
    <n v="7"/>
    <s v="Sunday"/>
    <x v="7"/>
    <x v="7"/>
    <x v="6"/>
    <s v="Veg Pizza"/>
    <x v="0"/>
    <n v="1"/>
    <n v="506"/>
    <n v="50.6"/>
    <n v="60"/>
    <n v="506"/>
    <n v="515.4"/>
    <x v="4"/>
    <x v="0"/>
    <x v="1"/>
    <n v="27"/>
    <n v="4.5"/>
  </r>
  <r>
    <x v="3418"/>
    <x v="249"/>
    <x v="8"/>
    <n v="9"/>
    <n v="7"/>
    <s v="Sunday"/>
    <x v="5"/>
    <x v="14"/>
    <x v="0"/>
    <s v="French Fries"/>
    <x v="0"/>
    <n v="3"/>
    <n v="345"/>
    <n v="51.75"/>
    <n v="40"/>
    <n v="1035"/>
    <n v="1023.25"/>
    <x v="4"/>
    <x v="0"/>
    <x v="0"/>
    <n v="54"/>
    <n v="4.5999999999999996"/>
  </r>
  <r>
    <x v="3419"/>
    <x v="249"/>
    <x v="8"/>
    <n v="9"/>
    <n v="7"/>
    <s v="Sunday"/>
    <x v="9"/>
    <x v="3"/>
    <x v="5"/>
    <s v="Veg Momos"/>
    <x v="1"/>
    <n v="1"/>
    <n v="133"/>
    <n v="33.25"/>
    <n v="30"/>
    <n v="133"/>
    <n v="129.75"/>
    <x v="0"/>
    <x v="0"/>
    <x v="1"/>
    <n v="50"/>
    <n v="4"/>
  </r>
  <r>
    <x v="3420"/>
    <x v="249"/>
    <x v="8"/>
    <n v="9"/>
    <n v="7"/>
    <s v="Sunday"/>
    <x v="5"/>
    <x v="4"/>
    <x v="8"/>
    <s v="Chicken Burger"/>
    <x v="1"/>
    <n v="1"/>
    <n v="750"/>
    <n v="75"/>
    <n v="0"/>
    <n v="750"/>
    <n v="675"/>
    <x v="1"/>
    <x v="0"/>
    <x v="1"/>
    <n v="42"/>
    <n v="3.5"/>
  </r>
  <r>
    <x v="3421"/>
    <x v="249"/>
    <x v="8"/>
    <n v="9"/>
    <n v="7"/>
    <s v="Sunday"/>
    <x v="6"/>
    <x v="13"/>
    <x v="9"/>
    <s v="Veg Biryani"/>
    <x v="1"/>
    <n v="2"/>
    <n v="348"/>
    <n v="52.2"/>
    <n v="70"/>
    <n v="696"/>
    <n v="713.8"/>
    <x v="4"/>
    <x v="0"/>
    <x v="1"/>
    <n v="59"/>
    <n v="3.8"/>
  </r>
  <r>
    <x v="3422"/>
    <x v="249"/>
    <x v="8"/>
    <n v="9"/>
    <n v="7"/>
    <s v="Sunday"/>
    <x v="0"/>
    <x v="14"/>
    <x v="2"/>
    <s v="Veg Momos"/>
    <x v="2"/>
    <n v="1"/>
    <n v="274"/>
    <n v="41.1"/>
    <n v="60"/>
    <n v="274"/>
    <n v="292.89999999999998"/>
    <x v="4"/>
    <x v="0"/>
    <x v="0"/>
    <n v="38"/>
    <n v="2.8"/>
  </r>
  <r>
    <x v="3423"/>
    <x v="249"/>
    <x v="8"/>
    <n v="9"/>
    <n v="7"/>
    <s v="Sunday"/>
    <x v="5"/>
    <x v="12"/>
    <x v="0"/>
    <s v="Chicken Biryani"/>
    <x v="2"/>
    <n v="1"/>
    <n v="698"/>
    <n v="69.8"/>
    <n v="40"/>
    <n v="698"/>
    <n v="668.2"/>
    <x v="2"/>
    <x v="0"/>
    <x v="0"/>
    <n v="55"/>
    <n v="5"/>
  </r>
  <r>
    <x v="3424"/>
    <x v="249"/>
    <x v="8"/>
    <n v="9"/>
    <n v="7"/>
    <s v="Sunday"/>
    <x v="7"/>
    <x v="9"/>
    <x v="9"/>
    <s v="Idli Sambar"/>
    <x v="1"/>
    <n v="2"/>
    <n v="405"/>
    <n v="0"/>
    <n v="20"/>
    <n v="810"/>
    <n v="830"/>
    <x v="3"/>
    <x v="0"/>
    <x v="0"/>
    <n v="47"/>
    <n v="5"/>
  </r>
  <r>
    <x v="3425"/>
    <x v="249"/>
    <x v="8"/>
    <n v="9"/>
    <n v="7"/>
    <s v="Sunday"/>
    <x v="1"/>
    <x v="2"/>
    <x v="0"/>
    <s v="Chicken Pizza"/>
    <x v="1"/>
    <n v="1"/>
    <n v="676"/>
    <n v="101.4"/>
    <n v="50"/>
    <n v="676"/>
    <n v="624.6"/>
    <x v="1"/>
    <x v="0"/>
    <x v="0"/>
    <n v="30"/>
    <n v="3.4"/>
  </r>
  <r>
    <x v="3426"/>
    <x v="250"/>
    <x v="8"/>
    <n v="9"/>
    <n v="8"/>
    <s v="Monday"/>
    <x v="5"/>
    <x v="13"/>
    <x v="2"/>
    <s v="Chicken Momos"/>
    <x v="1"/>
    <n v="1"/>
    <n v="183"/>
    <n v="18.3"/>
    <n v="20"/>
    <n v="183"/>
    <n v="184.7"/>
    <x v="1"/>
    <x v="0"/>
    <x v="1"/>
    <n v="22"/>
    <n v="3.7"/>
  </r>
  <r>
    <x v="3427"/>
    <x v="250"/>
    <x v="8"/>
    <n v="9"/>
    <n v="8"/>
    <s v="Monday"/>
    <x v="5"/>
    <x v="13"/>
    <x v="1"/>
    <s v="French Fries"/>
    <x v="2"/>
    <n v="2"/>
    <n v="512"/>
    <n v="0"/>
    <n v="30"/>
    <n v="1024"/>
    <n v="1054"/>
    <x v="1"/>
    <x v="0"/>
    <x v="1"/>
    <n v="70"/>
    <n v="4"/>
  </r>
  <r>
    <x v="3428"/>
    <x v="250"/>
    <x v="8"/>
    <n v="9"/>
    <n v="8"/>
    <s v="Monday"/>
    <x v="5"/>
    <x v="11"/>
    <x v="8"/>
    <s v="Paneer Butter Masala"/>
    <x v="2"/>
    <n v="1"/>
    <n v="371"/>
    <n v="92.75"/>
    <n v="50"/>
    <n v="371"/>
    <n v="328.25"/>
    <x v="3"/>
    <x v="0"/>
    <x v="1"/>
    <n v="47"/>
    <n v="3.9"/>
  </r>
  <r>
    <x v="3429"/>
    <x v="250"/>
    <x v="8"/>
    <n v="9"/>
    <n v="8"/>
    <s v="Monday"/>
    <x v="5"/>
    <x v="14"/>
    <x v="2"/>
    <s v="Chicken Pizza"/>
    <x v="0"/>
    <n v="2"/>
    <n v="194"/>
    <n v="19.399999999999999"/>
    <n v="60"/>
    <n v="388"/>
    <n v="428.6"/>
    <x v="1"/>
    <x v="0"/>
    <x v="1"/>
    <n v="32"/>
    <n v="5"/>
  </r>
  <r>
    <x v="3430"/>
    <x v="250"/>
    <x v="8"/>
    <n v="9"/>
    <n v="8"/>
    <s v="Monday"/>
    <x v="7"/>
    <x v="3"/>
    <x v="3"/>
    <s v="Veg Pizza"/>
    <x v="1"/>
    <n v="1"/>
    <n v="345"/>
    <n v="0"/>
    <n v="0"/>
    <n v="345"/>
    <n v="345"/>
    <x v="1"/>
    <x v="0"/>
    <x v="0"/>
    <n v="46"/>
    <n v="4.7"/>
  </r>
  <r>
    <x v="3431"/>
    <x v="250"/>
    <x v="8"/>
    <n v="9"/>
    <n v="8"/>
    <s v="Monday"/>
    <x v="9"/>
    <x v="14"/>
    <x v="0"/>
    <s v="Masala Dosa"/>
    <x v="1"/>
    <n v="2"/>
    <n v="671"/>
    <n v="67.099999999999994"/>
    <n v="50"/>
    <n v="1342"/>
    <n v="1324.9"/>
    <x v="1"/>
    <x v="0"/>
    <x v="1"/>
    <n v="53"/>
    <n v="3.7"/>
  </r>
  <r>
    <x v="3432"/>
    <x v="250"/>
    <x v="8"/>
    <n v="9"/>
    <n v="8"/>
    <s v="Monday"/>
    <x v="0"/>
    <x v="7"/>
    <x v="9"/>
    <s v="Chocolate Cake"/>
    <x v="2"/>
    <n v="1"/>
    <n v="224"/>
    <n v="22.4"/>
    <n v="60"/>
    <n v="224"/>
    <n v="261.60000000000002"/>
    <x v="1"/>
    <x v="0"/>
    <x v="0"/>
    <n v="29"/>
    <n v="4.2"/>
  </r>
  <r>
    <x v="3433"/>
    <x v="250"/>
    <x v="8"/>
    <n v="9"/>
    <n v="8"/>
    <s v="Monday"/>
    <x v="0"/>
    <x v="3"/>
    <x v="8"/>
    <s v="Chicken Momos"/>
    <x v="2"/>
    <n v="3"/>
    <n v="650"/>
    <n v="97.5"/>
    <n v="50"/>
    <n v="1950"/>
    <n v="1902.5"/>
    <x v="2"/>
    <x v="0"/>
    <x v="1"/>
    <n v="53"/>
    <n v="4.0999999999999996"/>
  </r>
  <r>
    <x v="3434"/>
    <x v="250"/>
    <x v="8"/>
    <n v="9"/>
    <n v="8"/>
    <s v="Monday"/>
    <x v="1"/>
    <x v="7"/>
    <x v="0"/>
    <s v="Fried Rice"/>
    <x v="1"/>
    <n v="1"/>
    <n v="696"/>
    <n v="104.4"/>
    <n v="30"/>
    <n v="696"/>
    <n v="621.6"/>
    <x v="2"/>
    <x v="2"/>
    <x v="1"/>
    <n v="53"/>
    <m/>
  </r>
  <r>
    <x v="3435"/>
    <x v="250"/>
    <x v="8"/>
    <n v="9"/>
    <n v="8"/>
    <s v="Monday"/>
    <x v="2"/>
    <x v="5"/>
    <x v="0"/>
    <s v="Veg Momos"/>
    <x v="3"/>
    <n v="2"/>
    <n v="298"/>
    <n v="59.6"/>
    <n v="40"/>
    <n v="596"/>
    <n v="576.4"/>
    <x v="2"/>
    <x v="0"/>
    <x v="0"/>
    <n v="39"/>
    <n v="3.6"/>
  </r>
  <r>
    <x v="3436"/>
    <x v="250"/>
    <x v="8"/>
    <n v="9"/>
    <n v="8"/>
    <s v="Monday"/>
    <x v="2"/>
    <x v="3"/>
    <x v="2"/>
    <s v="Cold Coffee"/>
    <x v="1"/>
    <n v="1"/>
    <n v="827"/>
    <n v="82.7"/>
    <n v="40"/>
    <n v="827"/>
    <n v="784.3"/>
    <x v="1"/>
    <x v="0"/>
    <x v="0"/>
    <n v="18"/>
    <n v="4.8"/>
  </r>
  <r>
    <x v="3437"/>
    <x v="250"/>
    <x v="8"/>
    <n v="9"/>
    <n v="8"/>
    <s v="Monday"/>
    <x v="3"/>
    <x v="8"/>
    <x v="0"/>
    <s v="Veg Burger"/>
    <x v="1"/>
    <n v="2"/>
    <n v="702"/>
    <n v="70.2"/>
    <n v="40"/>
    <n v="1404"/>
    <n v="1373.8"/>
    <x v="1"/>
    <x v="0"/>
    <x v="1"/>
    <n v="25"/>
    <n v="4.4000000000000004"/>
  </r>
  <r>
    <x v="3438"/>
    <x v="250"/>
    <x v="8"/>
    <n v="9"/>
    <n v="8"/>
    <s v="Monday"/>
    <x v="9"/>
    <x v="11"/>
    <x v="7"/>
    <s v="Cold Coffee"/>
    <x v="1"/>
    <n v="3"/>
    <n v="888"/>
    <n v="133.19999999999999"/>
    <n v="30"/>
    <n v="2664"/>
    <n v="2560.8000000000002"/>
    <x v="0"/>
    <x v="0"/>
    <x v="1"/>
    <n v="29"/>
    <n v="4"/>
  </r>
  <r>
    <x v="3439"/>
    <x v="250"/>
    <x v="8"/>
    <n v="9"/>
    <n v="8"/>
    <s v="Monday"/>
    <x v="6"/>
    <x v="7"/>
    <x v="8"/>
    <s v="Fried Rice"/>
    <x v="1"/>
    <n v="2"/>
    <n v="675"/>
    <n v="0"/>
    <n v="20"/>
    <n v="1350"/>
    <n v="1370"/>
    <x v="3"/>
    <x v="0"/>
    <x v="1"/>
    <n v="39"/>
    <n v="4.2"/>
  </r>
  <r>
    <x v="3440"/>
    <x v="250"/>
    <x v="8"/>
    <n v="9"/>
    <n v="8"/>
    <s v="Monday"/>
    <x v="3"/>
    <x v="5"/>
    <x v="2"/>
    <s v="Masala Dosa"/>
    <x v="2"/>
    <n v="1"/>
    <n v="291"/>
    <n v="29.1"/>
    <n v="30"/>
    <n v="291"/>
    <n v="291.89999999999998"/>
    <x v="2"/>
    <x v="0"/>
    <x v="1"/>
    <n v="46"/>
    <n v="4.2"/>
  </r>
  <r>
    <x v="3441"/>
    <x v="250"/>
    <x v="8"/>
    <n v="9"/>
    <n v="8"/>
    <s v="Monday"/>
    <x v="3"/>
    <x v="1"/>
    <x v="6"/>
    <s v="Cold Coffee"/>
    <x v="1"/>
    <n v="2"/>
    <n v="215"/>
    <n v="21.5"/>
    <n v="40"/>
    <n v="430"/>
    <n v="448.5"/>
    <x v="4"/>
    <x v="0"/>
    <x v="1"/>
    <n v="20"/>
    <n v="3.9"/>
  </r>
  <r>
    <x v="3442"/>
    <x v="251"/>
    <x v="8"/>
    <n v="9"/>
    <n v="9"/>
    <s v="Tuesday"/>
    <x v="5"/>
    <x v="6"/>
    <x v="6"/>
    <s v="Chicken Burger"/>
    <x v="2"/>
    <n v="2"/>
    <n v="831"/>
    <n v="41.55"/>
    <n v="20"/>
    <n v="1662"/>
    <n v="1640.45"/>
    <x v="1"/>
    <x v="3"/>
    <x v="0"/>
    <n v="55"/>
    <m/>
  </r>
  <r>
    <x v="3443"/>
    <x v="251"/>
    <x v="8"/>
    <n v="9"/>
    <n v="9"/>
    <s v="Tuesday"/>
    <x v="3"/>
    <x v="12"/>
    <x v="8"/>
    <s v="Veg Pizza"/>
    <x v="1"/>
    <n v="1"/>
    <n v="377"/>
    <n v="56.55"/>
    <n v="70"/>
    <n v="377"/>
    <n v="390.45"/>
    <x v="3"/>
    <x v="0"/>
    <x v="0"/>
    <n v="50"/>
    <n v="4.4000000000000004"/>
  </r>
  <r>
    <x v="3444"/>
    <x v="251"/>
    <x v="8"/>
    <n v="9"/>
    <n v="9"/>
    <s v="Tuesday"/>
    <x v="7"/>
    <x v="10"/>
    <x v="0"/>
    <s v="Paneer Butter Masala"/>
    <x v="1"/>
    <n v="1"/>
    <n v="783"/>
    <n v="78.3"/>
    <n v="60"/>
    <n v="783"/>
    <n v="764.7"/>
    <x v="0"/>
    <x v="0"/>
    <x v="1"/>
    <n v="67"/>
    <n v="4.5999999999999996"/>
  </r>
  <r>
    <x v="3445"/>
    <x v="251"/>
    <x v="8"/>
    <n v="9"/>
    <n v="9"/>
    <s v="Tuesday"/>
    <x v="1"/>
    <x v="4"/>
    <x v="3"/>
    <s v="Chicken Biryani"/>
    <x v="1"/>
    <n v="1"/>
    <n v="802"/>
    <n v="0"/>
    <n v="40"/>
    <n v="802"/>
    <n v="842"/>
    <x v="1"/>
    <x v="0"/>
    <x v="0"/>
    <n v="70"/>
    <n v="3.4"/>
  </r>
  <r>
    <x v="3446"/>
    <x v="251"/>
    <x v="8"/>
    <n v="9"/>
    <n v="9"/>
    <s v="Tuesday"/>
    <x v="6"/>
    <x v="8"/>
    <x v="1"/>
    <s v="Chicken Pizza"/>
    <x v="1"/>
    <n v="1"/>
    <n v="853"/>
    <n v="127.95"/>
    <n v="40"/>
    <n v="853"/>
    <n v="765.05"/>
    <x v="2"/>
    <x v="0"/>
    <x v="1"/>
    <n v="48"/>
    <n v="4.9000000000000004"/>
  </r>
  <r>
    <x v="3447"/>
    <x v="251"/>
    <x v="8"/>
    <n v="9"/>
    <n v="9"/>
    <s v="Tuesday"/>
    <x v="0"/>
    <x v="3"/>
    <x v="2"/>
    <s v="Chicken Momos"/>
    <x v="2"/>
    <n v="3"/>
    <n v="732"/>
    <n v="0"/>
    <n v="40"/>
    <n v="2196"/>
    <n v="2236"/>
    <x v="3"/>
    <x v="0"/>
    <x v="1"/>
    <n v="34"/>
    <n v="4"/>
  </r>
  <r>
    <x v="3448"/>
    <x v="251"/>
    <x v="8"/>
    <n v="9"/>
    <n v="9"/>
    <s v="Tuesday"/>
    <x v="1"/>
    <x v="11"/>
    <x v="3"/>
    <s v="Chicken Momos"/>
    <x v="1"/>
    <n v="1"/>
    <n v="403"/>
    <n v="60.45"/>
    <n v="60"/>
    <n v="403"/>
    <n v="402.55"/>
    <x v="2"/>
    <x v="0"/>
    <x v="0"/>
    <n v="60"/>
    <n v="3.6"/>
  </r>
  <r>
    <x v="3449"/>
    <x v="251"/>
    <x v="8"/>
    <n v="9"/>
    <n v="9"/>
    <s v="Tuesday"/>
    <x v="4"/>
    <x v="4"/>
    <x v="7"/>
    <s v="Masala Dosa"/>
    <x v="1"/>
    <n v="2"/>
    <n v="265"/>
    <n v="53"/>
    <n v="0"/>
    <n v="530"/>
    <n v="477"/>
    <x v="2"/>
    <x v="3"/>
    <x v="1"/>
    <n v="38"/>
    <m/>
  </r>
  <r>
    <x v="3450"/>
    <x v="251"/>
    <x v="8"/>
    <n v="9"/>
    <n v="9"/>
    <s v="Tuesday"/>
    <x v="3"/>
    <x v="14"/>
    <x v="3"/>
    <s v="Fried Rice"/>
    <x v="2"/>
    <n v="1"/>
    <n v="613"/>
    <n v="30.65"/>
    <n v="30"/>
    <n v="613"/>
    <n v="612.35"/>
    <x v="4"/>
    <x v="0"/>
    <x v="1"/>
    <n v="67"/>
    <n v="5"/>
  </r>
  <r>
    <x v="3451"/>
    <x v="251"/>
    <x v="8"/>
    <n v="9"/>
    <n v="9"/>
    <s v="Tuesday"/>
    <x v="0"/>
    <x v="6"/>
    <x v="7"/>
    <s v="Veg Burger"/>
    <x v="1"/>
    <n v="1"/>
    <n v="185"/>
    <n v="0"/>
    <n v="40"/>
    <n v="185"/>
    <n v="225"/>
    <x v="1"/>
    <x v="1"/>
    <x v="1"/>
    <n v="44"/>
    <m/>
  </r>
  <r>
    <x v="3452"/>
    <x v="251"/>
    <x v="8"/>
    <n v="9"/>
    <n v="9"/>
    <s v="Tuesday"/>
    <x v="1"/>
    <x v="8"/>
    <x v="9"/>
    <s v="Fried Rice"/>
    <x v="1"/>
    <n v="1"/>
    <n v="381"/>
    <n v="57.15"/>
    <n v="20"/>
    <n v="381"/>
    <n v="343.85"/>
    <x v="0"/>
    <x v="2"/>
    <x v="1"/>
    <n v="35"/>
    <m/>
  </r>
  <r>
    <x v="3453"/>
    <x v="251"/>
    <x v="8"/>
    <n v="9"/>
    <n v="9"/>
    <s v="Tuesday"/>
    <x v="5"/>
    <x v="9"/>
    <x v="4"/>
    <s v="Fried Rice"/>
    <x v="1"/>
    <n v="2"/>
    <n v="665"/>
    <n v="66.5"/>
    <n v="0"/>
    <n v="1330"/>
    <n v="1263.5"/>
    <x v="1"/>
    <x v="0"/>
    <x v="0"/>
    <n v="41"/>
    <n v="3.7"/>
  </r>
  <r>
    <x v="3454"/>
    <x v="251"/>
    <x v="8"/>
    <n v="9"/>
    <n v="9"/>
    <s v="Tuesday"/>
    <x v="5"/>
    <x v="8"/>
    <x v="7"/>
    <s v="Idli Sambar"/>
    <x v="1"/>
    <n v="1"/>
    <n v="235"/>
    <n v="0"/>
    <n v="70"/>
    <n v="235"/>
    <n v="305"/>
    <x v="0"/>
    <x v="0"/>
    <x v="1"/>
    <n v="28"/>
    <n v="4.9000000000000004"/>
  </r>
  <r>
    <x v="3455"/>
    <x v="251"/>
    <x v="8"/>
    <n v="9"/>
    <n v="9"/>
    <s v="Tuesday"/>
    <x v="5"/>
    <x v="4"/>
    <x v="4"/>
    <s v="Idli Sambar"/>
    <x v="2"/>
    <n v="1"/>
    <n v="324"/>
    <n v="0"/>
    <n v="50"/>
    <n v="324"/>
    <n v="374"/>
    <x v="2"/>
    <x v="0"/>
    <x v="1"/>
    <n v="19"/>
    <n v="4.5999999999999996"/>
  </r>
  <r>
    <x v="3456"/>
    <x v="251"/>
    <x v="8"/>
    <n v="9"/>
    <n v="9"/>
    <s v="Tuesday"/>
    <x v="7"/>
    <x v="12"/>
    <x v="8"/>
    <s v="French Fries"/>
    <x v="0"/>
    <n v="1"/>
    <n v="270"/>
    <n v="27"/>
    <n v="40"/>
    <n v="270"/>
    <n v="283"/>
    <x v="3"/>
    <x v="0"/>
    <x v="1"/>
    <n v="18"/>
    <n v="3.1"/>
  </r>
  <r>
    <x v="3457"/>
    <x v="252"/>
    <x v="8"/>
    <n v="9"/>
    <n v="10"/>
    <s v="Wednesday"/>
    <x v="5"/>
    <x v="5"/>
    <x v="9"/>
    <s v="Masala Dosa"/>
    <x v="2"/>
    <n v="1"/>
    <n v="144"/>
    <n v="28.8"/>
    <n v="40"/>
    <n v="144"/>
    <n v="155.19999999999999"/>
    <x v="1"/>
    <x v="0"/>
    <x v="1"/>
    <n v="48"/>
    <n v="4.2"/>
  </r>
  <r>
    <x v="3458"/>
    <x v="252"/>
    <x v="8"/>
    <n v="9"/>
    <n v="10"/>
    <s v="Wednesday"/>
    <x v="9"/>
    <x v="13"/>
    <x v="9"/>
    <s v="Masala Dosa"/>
    <x v="1"/>
    <n v="1"/>
    <n v="382"/>
    <n v="0"/>
    <n v="30"/>
    <n v="382"/>
    <n v="412"/>
    <x v="4"/>
    <x v="0"/>
    <x v="1"/>
    <n v="60"/>
    <n v="3.6"/>
  </r>
  <r>
    <x v="3459"/>
    <x v="252"/>
    <x v="8"/>
    <n v="9"/>
    <n v="10"/>
    <s v="Wednesday"/>
    <x v="4"/>
    <x v="5"/>
    <x v="6"/>
    <s v="Masala Dosa"/>
    <x v="1"/>
    <n v="2"/>
    <n v="495"/>
    <n v="24.75"/>
    <n v="60"/>
    <n v="990"/>
    <n v="1025.25"/>
    <x v="1"/>
    <x v="0"/>
    <x v="0"/>
    <n v="68"/>
    <n v="3.8"/>
  </r>
  <r>
    <x v="3460"/>
    <x v="252"/>
    <x v="8"/>
    <n v="9"/>
    <n v="10"/>
    <s v="Wednesday"/>
    <x v="5"/>
    <x v="4"/>
    <x v="1"/>
    <s v="Chocolate Cake"/>
    <x v="1"/>
    <n v="2"/>
    <n v="826"/>
    <n v="82.6"/>
    <n v="30"/>
    <n v="1652"/>
    <n v="1599.4"/>
    <x v="3"/>
    <x v="0"/>
    <x v="1"/>
    <n v="45"/>
    <n v="3.4"/>
  </r>
  <r>
    <x v="3461"/>
    <x v="252"/>
    <x v="8"/>
    <n v="9"/>
    <n v="10"/>
    <s v="Wednesday"/>
    <x v="2"/>
    <x v="1"/>
    <x v="4"/>
    <s v="Chicken Pizza"/>
    <x v="2"/>
    <n v="3"/>
    <n v="893"/>
    <n v="0"/>
    <n v="0"/>
    <n v="2679"/>
    <n v="2679"/>
    <x v="1"/>
    <x v="0"/>
    <x v="0"/>
    <n v="38"/>
    <n v="4.5999999999999996"/>
  </r>
  <r>
    <x v="3462"/>
    <x v="252"/>
    <x v="8"/>
    <n v="9"/>
    <n v="10"/>
    <s v="Wednesday"/>
    <x v="1"/>
    <x v="2"/>
    <x v="3"/>
    <s v="Chocolate Cake"/>
    <x v="1"/>
    <n v="1"/>
    <n v="272"/>
    <n v="27.2"/>
    <n v="30"/>
    <n v="272"/>
    <n v="274.8"/>
    <x v="4"/>
    <x v="0"/>
    <x v="1"/>
    <n v="56"/>
    <n v="4.5999999999999996"/>
  </r>
  <r>
    <x v="3463"/>
    <x v="252"/>
    <x v="8"/>
    <n v="9"/>
    <n v="10"/>
    <s v="Wednesday"/>
    <x v="1"/>
    <x v="4"/>
    <x v="5"/>
    <s v="Chicken Pizza"/>
    <x v="1"/>
    <n v="1"/>
    <n v="565"/>
    <n v="141.25"/>
    <n v="20"/>
    <n v="565"/>
    <n v="443.75"/>
    <x v="4"/>
    <x v="0"/>
    <x v="1"/>
    <n v="70"/>
    <n v="4.2"/>
  </r>
  <r>
    <x v="3464"/>
    <x v="252"/>
    <x v="8"/>
    <n v="9"/>
    <n v="10"/>
    <s v="Wednesday"/>
    <x v="3"/>
    <x v="12"/>
    <x v="6"/>
    <s v="Chicken Biryani"/>
    <x v="1"/>
    <n v="1"/>
    <n v="532"/>
    <n v="79.8"/>
    <n v="30"/>
    <n v="532"/>
    <n v="482.2"/>
    <x v="2"/>
    <x v="0"/>
    <x v="0"/>
    <n v="41"/>
    <n v="4.8"/>
  </r>
  <r>
    <x v="3465"/>
    <x v="252"/>
    <x v="8"/>
    <n v="9"/>
    <n v="10"/>
    <s v="Wednesday"/>
    <x v="2"/>
    <x v="12"/>
    <x v="3"/>
    <s v="Veg Biryani"/>
    <x v="1"/>
    <n v="2"/>
    <n v="421"/>
    <n v="0"/>
    <n v="60"/>
    <n v="842"/>
    <n v="902"/>
    <x v="2"/>
    <x v="0"/>
    <x v="0"/>
    <n v="25"/>
    <n v="4.9000000000000004"/>
  </r>
  <r>
    <x v="3466"/>
    <x v="252"/>
    <x v="8"/>
    <n v="9"/>
    <n v="10"/>
    <s v="Wednesday"/>
    <x v="6"/>
    <x v="4"/>
    <x v="2"/>
    <s v="Masala Dosa"/>
    <x v="2"/>
    <n v="1"/>
    <n v="344"/>
    <n v="68.8"/>
    <n v="30"/>
    <n v="344"/>
    <n v="305.2"/>
    <x v="2"/>
    <x v="0"/>
    <x v="0"/>
    <n v="43"/>
    <n v="4.3"/>
  </r>
  <r>
    <x v="3467"/>
    <x v="253"/>
    <x v="8"/>
    <n v="9"/>
    <n v="11"/>
    <s v="Thursday"/>
    <x v="1"/>
    <x v="8"/>
    <x v="3"/>
    <s v="Masala Dosa"/>
    <x v="1"/>
    <n v="1"/>
    <n v="699"/>
    <n v="0"/>
    <n v="20"/>
    <n v="699"/>
    <n v="719"/>
    <x v="1"/>
    <x v="0"/>
    <x v="1"/>
    <n v="70"/>
    <n v="3.5"/>
  </r>
  <r>
    <x v="3468"/>
    <x v="253"/>
    <x v="8"/>
    <n v="9"/>
    <n v="11"/>
    <s v="Thursday"/>
    <x v="2"/>
    <x v="10"/>
    <x v="2"/>
    <s v="Chocolate Cake"/>
    <x v="3"/>
    <n v="3"/>
    <n v="552"/>
    <n v="82.8"/>
    <n v="0"/>
    <n v="1656"/>
    <n v="1573.2"/>
    <x v="3"/>
    <x v="0"/>
    <x v="1"/>
    <n v="52"/>
    <n v="3.8"/>
  </r>
  <r>
    <x v="3469"/>
    <x v="253"/>
    <x v="8"/>
    <n v="9"/>
    <n v="11"/>
    <s v="Thursday"/>
    <x v="3"/>
    <x v="12"/>
    <x v="0"/>
    <s v="Chicken Biryani"/>
    <x v="1"/>
    <n v="3"/>
    <n v="432"/>
    <n v="43.2"/>
    <n v="0"/>
    <n v="1296"/>
    <n v="1252.8"/>
    <x v="2"/>
    <x v="1"/>
    <x v="1"/>
    <n v="23"/>
    <m/>
  </r>
  <r>
    <x v="3470"/>
    <x v="253"/>
    <x v="8"/>
    <n v="9"/>
    <n v="11"/>
    <s v="Thursday"/>
    <x v="0"/>
    <x v="4"/>
    <x v="1"/>
    <s v="Veg Biryani"/>
    <x v="1"/>
    <n v="2"/>
    <n v="843"/>
    <n v="126.45"/>
    <n v="20"/>
    <n v="1686"/>
    <n v="1579.55"/>
    <x v="1"/>
    <x v="0"/>
    <x v="1"/>
    <n v="55"/>
    <n v="3.7"/>
  </r>
  <r>
    <x v="3471"/>
    <x v="253"/>
    <x v="8"/>
    <n v="9"/>
    <n v="11"/>
    <s v="Thursday"/>
    <x v="6"/>
    <x v="5"/>
    <x v="9"/>
    <s v="Fried Rice"/>
    <x v="2"/>
    <n v="1"/>
    <n v="184"/>
    <n v="18.399999999999999"/>
    <n v="50"/>
    <n v="184"/>
    <n v="215.6"/>
    <x v="4"/>
    <x v="0"/>
    <x v="1"/>
    <n v="54"/>
    <n v="3.7"/>
  </r>
  <r>
    <x v="3472"/>
    <x v="253"/>
    <x v="8"/>
    <n v="9"/>
    <n v="11"/>
    <s v="Thursday"/>
    <x v="0"/>
    <x v="7"/>
    <x v="3"/>
    <s v="Masala Dosa"/>
    <x v="2"/>
    <n v="2"/>
    <n v="535"/>
    <n v="80.25"/>
    <n v="70"/>
    <n v="1070"/>
    <n v="1059.75"/>
    <x v="3"/>
    <x v="0"/>
    <x v="0"/>
    <n v="19"/>
    <n v="3.8"/>
  </r>
  <r>
    <x v="3473"/>
    <x v="253"/>
    <x v="8"/>
    <n v="9"/>
    <n v="11"/>
    <s v="Thursday"/>
    <x v="5"/>
    <x v="1"/>
    <x v="7"/>
    <s v="Chicken Biryani"/>
    <x v="1"/>
    <n v="1"/>
    <n v="467"/>
    <n v="0"/>
    <n v="0"/>
    <n v="467"/>
    <n v="467"/>
    <x v="4"/>
    <x v="0"/>
    <x v="1"/>
    <n v="49"/>
    <n v="3.8"/>
  </r>
  <r>
    <x v="3474"/>
    <x v="253"/>
    <x v="8"/>
    <n v="9"/>
    <n v="11"/>
    <s v="Thursday"/>
    <x v="7"/>
    <x v="7"/>
    <x v="8"/>
    <s v="Chicken Pizza"/>
    <x v="1"/>
    <n v="1"/>
    <n v="323"/>
    <n v="48.45"/>
    <n v="0"/>
    <n v="323"/>
    <n v="274.55"/>
    <x v="1"/>
    <x v="0"/>
    <x v="1"/>
    <n v="66"/>
    <n v="4.5"/>
  </r>
  <r>
    <x v="3475"/>
    <x v="253"/>
    <x v="8"/>
    <n v="9"/>
    <n v="11"/>
    <s v="Thursday"/>
    <x v="4"/>
    <x v="9"/>
    <x v="8"/>
    <s v="Masala Dosa"/>
    <x v="1"/>
    <n v="1"/>
    <n v="568"/>
    <n v="85.2"/>
    <n v="0"/>
    <n v="568"/>
    <n v="482.8"/>
    <x v="0"/>
    <x v="0"/>
    <x v="1"/>
    <n v="18"/>
    <n v="4.5999999999999996"/>
  </r>
  <r>
    <x v="3476"/>
    <x v="253"/>
    <x v="8"/>
    <n v="9"/>
    <n v="11"/>
    <s v="Thursday"/>
    <x v="2"/>
    <x v="13"/>
    <x v="9"/>
    <s v="Chicken Biryani"/>
    <x v="1"/>
    <n v="2"/>
    <n v="627"/>
    <n v="31.35"/>
    <n v="0"/>
    <n v="1254"/>
    <n v="1222.6500000000001"/>
    <x v="3"/>
    <x v="0"/>
    <x v="0"/>
    <n v="52"/>
    <n v="4.4000000000000004"/>
  </r>
  <r>
    <x v="3477"/>
    <x v="253"/>
    <x v="8"/>
    <n v="9"/>
    <n v="11"/>
    <s v="Thursday"/>
    <x v="5"/>
    <x v="11"/>
    <x v="1"/>
    <s v="Cold Coffee"/>
    <x v="1"/>
    <n v="2"/>
    <n v="134"/>
    <n v="26.8"/>
    <n v="30"/>
    <n v="268"/>
    <n v="271.2"/>
    <x v="1"/>
    <x v="0"/>
    <x v="0"/>
    <n v="69"/>
    <n v="4.8"/>
  </r>
  <r>
    <x v="3478"/>
    <x v="253"/>
    <x v="8"/>
    <n v="9"/>
    <n v="11"/>
    <s v="Thursday"/>
    <x v="5"/>
    <x v="13"/>
    <x v="8"/>
    <s v="French Fries"/>
    <x v="2"/>
    <n v="3"/>
    <n v="439"/>
    <n v="109.75"/>
    <n v="0"/>
    <n v="1317"/>
    <n v="1207.25"/>
    <x v="1"/>
    <x v="0"/>
    <x v="0"/>
    <n v="34"/>
    <n v="3.7"/>
  </r>
  <r>
    <x v="3479"/>
    <x v="254"/>
    <x v="8"/>
    <n v="9"/>
    <n v="12"/>
    <s v="Friday"/>
    <x v="6"/>
    <x v="12"/>
    <x v="1"/>
    <s v="Veg Pizza"/>
    <x v="2"/>
    <n v="1"/>
    <n v="534"/>
    <n v="80.099999999999994"/>
    <n v="60"/>
    <n v="534"/>
    <n v="513.9"/>
    <x v="4"/>
    <x v="0"/>
    <x v="1"/>
    <n v="40"/>
    <n v="3.9"/>
  </r>
  <r>
    <x v="3480"/>
    <x v="254"/>
    <x v="8"/>
    <n v="9"/>
    <n v="12"/>
    <s v="Friday"/>
    <x v="0"/>
    <x v="13"/>
    <x v="6"/>
    <s v="Cold Coffee"/>
    <x v="1"/>
    <n v="3"/>
    <n v="756"/>
    <n v="37.799999999999997"/>
    <n v="0"/>
    <n v="2268"/>
    <n v="2230.1999999999998"/>
    <x v="3"/>
    <x v="0"/>
    <x v="0"/>
    <n v="34"/>
    <n v="4.7"/>
  </r>
  <r>
    <x v="3481"/>
    <x v="254"/>
    <x v="8"/>
    <n v="9"/>
    <n v="12"/>
    <s v="Friday"/>
    <x v="0"/>
    <x v="0"/>
    <x v="4"/>
    <s v="Fried Rice"/>
    <x v="1"/>
    <n v="3"/>
    <n v="508"/>
    <n v="0"/>
    <n v="20"/>
    <n v="1524"/>
    <n v="1544"/>
    <x v="0"/>
    <x v="1"/>
    <x v="1"/>
    <n v="63"/>
    <m/>
  </r>
  <r>
    <x v="3482"/>
    <x v="254"/>
    <x v="8"/>
    <n v="9"/>
    <n v="12"/>
    <s v="Friday"/>
    <x v="5"/>
    <x v="1"/>
    <x v="6"/>
    <s v="Chicken Pizza"/>
    <x v="2"/>
    <n v="1"/>
    <n v="407"/>
    <n v="61.05"/>
    <n v="40"/>
    <n v="407"/>
    <n v="385.95"/>
    <x v="0"/>
    <x v="0"/>
    <x v="1"/>
    <n v="30"/>
    <n v="2.8"/>
  </r>
  <r>
    <x v="3483"/>
    <x v="254"/>
    <x v="8"/>
    <n v="9"/>
    <n v="12"/>
    <s v="Friday"/>
    <x v="4"/>
    <x v="14"/>
    <x v="9"/>
    <s v="Fried Rice"/>
    <x v="1"/>
    <n v="1"/>
    <n v="830"/>
    <n v="83"/>
    <n v="20"/>
    <n v="830"/>
    <n v="767"/>
    <x v="1"/>
    <x v="0"/>
    <x v="0"/>
    <n v="65"/>
    <n v="2.8"/>
  </r>
  <r>
    <x v="3484"/>
    <x v="254"/>
    <x v="8"/>
    <n v="9"/>
    <n v="12"/>
    <s v="Friday"/>
    <x v="0"/>
    <x v="3"/>
    <x v="8"/>
    <s v="Chocolate Cake"/>
    <x v="1"/>
    <n v="1"/>
    <n v="767"/>
    <n v="115.05"/>
    <n v="40"/>
    <n v="767"/>
    <n v="691.95"/>
    <x v="1"/>
    <x v="0"/>
    <x v="1"/>
    <n v="46"/>
    <n v="4.5"/>
  </r>
  <r>
    <x v="3485"/>
    <x v="254"/>
    <x v="8"/>
    <n v="9"/>
    <n v="12"/>
    <s v="Friday"/>
    <x v="5"/>
    <x v="11"/>
    <x v="4"/>
    <s v="Veg Momos"/>
    <x v="2"/>
    <n v="2"/>
    <n v="231"/>
    <n v="46.2"/>
    <n v="40"/>
    <n v="462"/>
    <n v="455.8"/>
    <x v="1"/>
    <x v="0"/>
    <x v="1"/>
    <n v="62"/>
    <n v="3.7"/>
  </r>
  <r>
    <x v="3486"/>
    <x v="254"/>
    <x v="8"/>
    <n v="9"/>
    <n v="12"/>
    <s v="Friday"/>
    <x v="6"/>
    <x v="14"/>
    <x v="6"/>
    <s v="French Fries"/>
    <x v="3"/>
    <n v="2"/>
    <n v="240"/>
    <n v="36"/>
    <n v="20"/>
    <n v="480"/>
    <n v="464"/>
    <x v="4"/>
    <x v="0"/>
    <x v="1"/>
    <n v="27"/>
    <n v="4"/>
  </r>
  <r>
    <x v="3487"/>
    <x v="254"/>
    <x v="8"/>
    <n v="9"/>
    <n v="12"/>
    <s v="Friday"/>
    <x v="5"/>
    <x v="4"/>
    <x v="3"/>
    <s v="Veg Burger"/>
    <x v="2"/>
    <n v="2"/>
    <n v="173"/>
    <n v="43.25"/>
    <n v="30"/>
    <n v="346"/>
    <n v="332.75"/>
    <x v="0"/>
    <x v="0"/>
    <x v="1"/>
    <n v="32"/>
    <n v="3.3"/>
  </r>
  <r>
    <x v="3488"/>
    <x v="254"/>
    <x v="8"/>
    <n v="9"/>
    <n v="12"/>
    <s v="Friday"/>
    <x v="6"/>
    <x v="12"/>
    <x v="4"/>
    <s v="Chicken Pizza"/>
    <x v="2"/>
    <n v="3"/>
    <n v="556"/>
    <n v="139"/>
    <n v="40"/>
    <n v="1668"/>
    <n v="1569"/>
    <x v="3"/>
    <x v="3"/>
    <x v="1"/>
    <n v="46"/>
    <m/>
  </r>
  <r>
    <x v="3489"/>
    <x v="255"/>
    <x v="8"/>
    <n v="9"/>
    <n v="13"/>
    <s v="Saturday"/>
    <x v="3"/>
    <x v="13"/>
    <x v="2"/>
    <s v="French Fries"/>
    <x v="2"/>
    <n v="1"/>
    <n v="795"/>
    <n v="119.25"/>
    <n v="20"/>
    <n v="795"/>
    <n v="695.75"/>
    <x v="1"/>
    <x v="0"/>
    <x v="0"/>
    <n v="42"/>
    <n v="3.6"/>
  </r>
  <r>
    <x v="3490"/>
    <x v="255"/>
    <x v="8"/>
    <n v="9"/>
    <n v="13"/>
    <s v="Saturday"/>
    <x v="7"/>
    <x v="12"/>
    <x v="3"/>
    <s v="French Fries"/>
    <x v="1"/>
    <n v="2"/>
    <n v="266"/>
    <n v="13.3"/>
    <n v="20"/>
    <n v="532"/>
    <n v="538.70000000000005"/>
    <x v="4"/>
    <x v="0"/>
    <x v="1"/>
    <n v="44"/>
    <n v="4.2"/>
  </r>
  <r>
    <x v="3491"/>
    <x v="255"/>
    <x v="8"/>
    <n v="9"/>
    <n v="13"/>
    <s v="Saturday"/>
    <x v="3"/>
    <x v="7"/>
    <x v="3"/>
    <s v="Veg Momos"/>
    <x v="1"/>
    <n v="2"/>
    <n v="581"/>
    <n v="87.15"/>
    <n v="20"/>
    <n v="1162"/>
    <n v="1094.8499999999999"/>
    <x v="2"/>
    <x v="0"/>
    <x v="1"/>
    <n v="23"/>
    <n v="4.5"/>
  </r>
  <r>
    <x v="3492"/>
    <x v="255"/>
    <x v="8"/>
    <n v="9"/>
    <n v="13"/>
    <s v="Saturday"/>
    <x v="3"/>
    <x v="5"/>
    <x v="0"/>
    <s v="Idli Sambar"/>
    <x v="1"/>
    <n v="1"/>
    <n v="136"/>
    <n v="6.8"/>
    <n v="70"/>
    <n v="136"/>
    <n v="199.2"/>
    <x v="1"/>
    <x v="0"/>
    <x v="1"/>
    <n v="64"/>
    <n v="4.7"/>
  </r>
  <r>
    <x v="3493"/>
    <x v="255"/>
    <x v="8"/>
    <n v="9"/>
    <n v="13"/>
    <s v="Saturday"/>
    <x v="1"/>
    <x v="2"/>
    <x v="6"/>
    <s v="Chicken Biryani"/>
    <x v="1"/>
    <n v="1"/>
    <n v="768"/>
    <n v="0"/>
    <n v="40"/>
    <n v="768"/>
    <n v="808"/>
    <x v="1"/>
    <x v="0"/>
    <x v="1"/>
    <n v="70"/>
    <n v="4.7"/>
  </r>
  <r>
    <x v="3494"/>
    <x v="255"/>
    <x v="8"/>
    <n v="9"/>
    <n v="13"/>
    <s v="Saturday"/>
    <x v="1"/>
    <x v="10"/>
    <x v="2"/>
    <s v="Veg Pizza"/>
    <x v="1"/>
    <n v="2"/>
    <n v="890"/>
    <n v="89"/>
    <n v="20"/>
    <n v="1780"/>
    <n v="1711"/>
    <x v="1"/>
    <x v="0"/>
    <x v="0"/>
    <n v="44"/>
    <n v="3.8"/>
  </r>
  <r>
    <x v="3495"/>
    <x v="255"/>
    <x v="8"/>
    <n v="9"/>
    <n v="13"/>
    <s v="Saturday"/>
    <x v="3"/>
    <x v="13"/>
    <x v="7"/>
    <s v="Fried Rice"/>
    <x v="1"/>
    <n v="1"/>
    <n v="850"/>
    <n v="212.5"/>
    <n v="40"/>
    <n v="850"/>
    <n v="677.5"/>
    <x v="0"/>
    <x v="0"/>
    <x v="1"/>
    <n v="62"/>
    <n v="3.8"/>
  </r>
  <r>
    <x v="3496"/>
    <x v="255"/>
    <x v="8"/>
    <n v="9"/>
    <n v="13"/>
    <s v="Saturday"/>
    <x v="3"/>
    <x v="2"/>
    <x v="0"/>
    <s v="Chocolate Cake"/>
    <x v="1"/>
    <n v="1"/>
    <n v="710"/>
    <n v="71"/>
    <n v="30"/>
    <n v="710"/>
    <n v="669"/>
    <x v="2"/>
    <x v="1"/>
    <x v="0"/>
    <n v="39"/>
    <m/>
  </r>
  <r>
    <x v="3497"/>
    <x v="255"/>
    <x v="8"/>
    <n v="9"/>
    <n v="13"/>
    <s v="Saturday"/>
    <x v="9"/>
    <x v="4"/>
    <x v="6"/>
    <s v="Cold Coffee"/>
    <x v="1"/>
    <n v="1"/>
    <n v="245"/>
    <n v="49"/>
    <n v="50"/>
    <n v="245"/>
    <n v="246"/>
    <x v="2"/>
    <x v="0"/>
    <x v="1"/>
    <n v="37"/>
    <n v="3.7"/>
  </r>
  <r>
    <x v="3498"/>
    <x v="255"/>
    <x v="8"/>
    <n v="9"/>
    <n v="13"/>
    <s v="Saturday"/>
    <x v="1"/>
    <x v="5"/>
    <x v="4"/>
    <s v="Veg Biryani"/>
    <x v="1"/>
    <n v="3"/>
    <n v="211"/>
    <n v="0"/>
    <n v="30"/>
    <n v="633"/>
    <n v="663"/>
    <x v="1"/>
    <x v="1"/>
    <x v="1"/>
    <n v="62"/>
    <m/>
  </r>
  <r>
    <x v="3499"/>
    <x v="255"/>
    <x v="8"/>
    <n v="9"/>
    <n v="13"/>
    <s v="Saturday"/>
    <x v="3"/>
    <x v="8"/>
    <x v="9"/>
    <s v="Fried Rice"/>
    <x v="2"/>
    <n v="1"/>
    <n v="124"/>
    <n v="12.4"/>
    <n v="30"/>
    <n v="124"/>
    <n v="141.6"/>
    <x v="0"/>
    <x v="0"/>
    <x v="1"/>
    <n v="30"/>
    <n v="4.3"/>
  </r>
  <r>
    <x v="3500"/>
    <x v="255"/>
    <x v="8"/>
    <n v="9"/>
    <n v="13"/>
    <s v="Saturday"/>
    <x v="9"/>
    <x v="12"/>
    <x v="2"/>
    <s v="French Fries"/>
    <x v="1"/>
    <n v="2"/>
    <n v="301"/>
    <n v="30.1"/>
    <n v="30"/>
    <n v="602"/>
    <n v="601.9"/>
    <x v="1"/>
    <x v="0"/>
    <x v="1"/>
    <n v="38"/>
    <n v="3.8"/>
  </r>
  <r>
    <x v="3501"/>
    <x v="255"/>
    <x v="8"/>
    <n v="9"/>
    <n v="13"/>
    <s v="Saturday"/>
    <x v="1"/>
    <x v="6"/>
    <x v="6"/>
    <s v="Veg Biryani"/>
    <x v="1"/>
    <n v="1"/>
    <n v="382"/>
    <n v="76.400000000000006"/>
    <n v="30"/>
    <n v="382"/>
    <n v="335.6"/>
    <x v="4"/>
    <x v="0"/>
    <x v="1"/>
    <n v="21"/>
    <n v="3.6"/>
  </r>
  <r>
    <x v="3502"/>
    <x v="255"/>
    <x v="8"/>
    <n v="9"/>
    <n v="13"/>
    <s v="Saturday"/>
    <x v="3"/>
    <x v="12"/>
    <x v="4"/>
    <s v="Chicken Pizza"/>
    <x v="1"/>
    <n v="2"/>
    <n v="423"/>
    <n v="63.45"/>
    <n v="60"/>
    <n v="846"/>
    <n v="842.55"/>
    <x v="1"/>
    <x v="0"/>
    <x v="1"/>
    <n v="59"/>
    <n v="4.2"/>
  </r>
  <r>
    <x v="3503"/>
    <x v="255"/>
    <x v="8"/>
    <n v="9"/>
    <n v="13"/>
    <s v="Saturday"/>
    <x v="4"/>
    <x v="7"/>
    <x v="4"/>
    <s v="Chicken Biryani"/>
    <x v="2"/>
    <n v="1"/>
    <n v="220"/>
    <n v="22"/>
    <n v="70"/>
    <n v="220"/>
    <n v="268"/>
    <x v="1"/>
    <x v="2"/>
    <x v="1"/>
    <n v="39"/>
    <m/>
  </r>
  <r>
    <x v="3504"/>
    <x v="256"/>
    <x v="8"/>
    <n v="9"/>
    <n v="14"/>
    <s v="Sunday"/>
    <x v="6"/>
    <x v="12"/>
    <x v="8"/>
    <s v="Paneer Butter Masala"/>
    <x v="0"/>
    <n v="2"/>
    <n v="661"/>
    <n v="99.15"/>
    <n v="30"/>
    <n v="1322"/>
    <n v="1252.8499999999999"/>
    <x v="4"/>
    <x v="0"/>
    <x v="1"/>
    <n v="35"/>
    <n v="4.3"/>
  </r>
  <r>
    <x v="3505"/>
    <x v="256"/>
    <x v="8"/>
    <n v="9"/>
    <n v="14"/>
    <s v="Sunday"/>
    <x v="9"/>
    <x v="2"/>
    <x v="5"/>
    <s v="Chicken Pizza"/>
    <x v="2"/>
    <n v="2"/>
    <n v="838"/>
    <n v="167.6"/>
    <n v="30"/>
    <n v="1676"/>
    <n v="1538.4"/>
    <x v="2"/>
    <x v="0"/>
    <x v="1"/>
    <n v="68"/>
    <n v="3.8"/>
  </r>
  <r>
    <x v="3506"/>
    <x v="256"/>
    <x v="8"/>
    <n v="9"/>
    <n v="14"/>
    <s v="Sunday"/>
    <x v="5"/>
    <x v="13"/>
    <x v="9"/>
    <s v="Paneer Butter Masala"/>
    <x v="1"/>
    <n v="3"/>
    <n v="472"/>
    <n v="94.4"/>
    <n v="20"/>
    <n v="1416"/>
    <n v="1341.6"/>
    <x v="1"/>
    <x v="0"/>
    <x v="1"/>
    <n v="37"/>
    <n v="3.9"/>
  </r>
  <r>
    <x v="3507"/>
    <x v="256"/>
    <x v="8"/>
    <n v="9"/>
    <n v="14"/>
    <s v="Sunday"/>
    <x v="5"/>
    <x v="11"/>
    <x v="8"/>
    <s v="Chicken Burger"/>
    <x v="2"/>
    <n v="2"/>
    <n v="760"/>
    <n v="114"/>
    <n v="50"/>
    <n v="1520"/>
    <n v="1456"/>
    <x v="3"/>
    <x v="0"/>
    <x v="1"/>
    <n v="25"/>
    <n v="4"/>
  </r>
  <r>
    <x v="3508"/>
    <x v="256"/>
    <x v="8"/>
    <n v="9"/>
    <n v="14"/>
    <s v="Sunday"/>
    <x v="5"/>
    <x v="3"/>
    <x v="6"/>
    <s v="Chicken Pizza"/>
    <x v="2"/>
    <n v="2"/>
    <n v="374"/>
    <n v="74.8"/>
    <n v="50"/>
    <n v="748"/>
    <n v="723.2"/>
    <x v="1"/>
    <x v="0"/>
    <x v="0"/>
    <n v="25"/>
    <n v="4.5999999999999996"/>
  </r>
  <r>
    <x v="3509"/>
    <x v="256"/>
    <x v="8"/>
    <n v="9"/>
    <n v="14"/>
    <s v="Sunday"/>
    <x v="9"/>
    <x v="9"/>
    <x v="6"/>
    <s v="Chicken Burger"/>
    <x v="1"/>
    <n v="2"/>
    <n v="442"/>
    <n v="110.5"/>
    <n v="60"/>
    <n v="884"/>
    <n v="833.5"/>
    <x v="1"/>
    <x v="0"/>
    <x v="1"/>
    <n v="69"/>
    <n v="4.8"/>
  </r>
  <r>
    <x v="3510"/>
    <x v="256"/>
    <x v="8"/>
    <n v="9"/>
    <n v="14"/>
    <s v="Sunday"/>
    <x v="8"/>
    <x v="5"/>
    <x v="4"/>
    <s v="Chicken Momos"/>
    <x v="1"/>
    <n v="3"/>
    <n v="783"/>
    <n v="156.6"/>
    <n v="30"/>
    <n v="2349"/>
    <n v="2222.4"/>
    <x v="1"/>
    <x v="2"/>
    <x v="1"/>
    <n v="57"/>
    <m/>
  </r>
  <r>
    <x v="3511"/>
    <x v="256"/>
    <x v="8"/>
    <n v="9"/>
    <n v="14"/>
    <s v="Sunday"/>
    <x v="0"/>
    <x v="9"/>
    <x v="8"/>
    <s v="Veg Biryani"/>
    <x v="1"/>
    <n v="2"/>
    <n v="525"/>
    <n v="78.75"/>
    <n v="60"/>
    <n v="1050"/>
    <n v="1031.25"/>
    <x v="1"/>
    <x v="0"/>
    <x v="1"/>
    <n v="40"/>
    <n v="4.4000000000000004"/>
  </r>
  <r>
    <x v="3512"/>
    <x v="256"/>
    <x v="8"/>
    <n v="9"/>
    <n v="14"/>
    <s v="Sunday"/>
    <x v="4"/>
    <x v="14"/>
    <x v="1"/>
    <s v="Chicken Biryani"/>
    <x v="1"/>
    <n v="1"/>
    <n v="460"/>
    <n v="23"/>
    <n v="50"/>
    <n v="460"/>
    <n v="487"/>
    <x v="2"/>
    <x v="0"/>
    <x v="1"/>
    <n v="45"/>
    <n v="3.3"/>
  </r>
  <r>
    <x v="3513"/>
    <x v="256"/>
    <x v="8"/>
    <n v="9"/>
    <n v="14"/>
    <s v="Sunday"/>
    <x v="0"/>
    <x v="11"/>
    <x v="7"/>
    <s v="Veg Burger"/>
    <x v="3"/>
    <n v="2"/>
    <n v="205"/>
    <n v="10.25"/>
    <n v="0"/>
    <n v="410"/>
    <n v="399.75"/>
    <x v="3"/>
    <x v="0"/>
    <x v="0"/>
    <n v="37"/>
    <n v="4.5999999999999996"/>
  </r>
  <r>
    <x v="3514"/>
    <x v="256"/>
    <x v="8"/>
    <n v="9"/>
    <n v="14"/>
    <s v="Sunday"/>
    <x v="4"/>
    <x v="9"/>
    <x v="4"/>
    <s v="Veg Burger"/>
    <x v="1"/>
    <n v="3"/>
    <n v="718"/>
    <n v="107.7"/>
    <n v="30"/>
    <n v="2154"/>
    <n v="2076.3000000000002"/>
    <x v="1"/>
    <x v="0"/>
    <x v="1"/>
    <n v="24"/>
    <n v="4.5999999999999996"/>
  </r>
  <r>
    <x v="3515"/>
    <x v="256"/>
    <x v="8"/>
    <n v="9"/>
    <n v="14"/>
    <s v="Sunday"/>
    <x v="2"/>
    <x v="4"/>
    <x v="2"/>
    <s v="French Fries"/>
    <x v="1"/>
    <n v="1"/>
    <n v="385"/>
    <n v="77"/>
    <n v="70"/>
    <n v="385"/>
    <n v="378"/>
    <x v="1"/>
    <x v="0"/>
    <x v="1"/>
    <n v="63"/>
    <n v="4.8"/>
  </r>
  <r>
    <x v="3516"/>
    <x v="257"/>
    <x v="8"/>
    <n v="9"/>
    <n v="15"/>
    <s v="Monday"/>
    <x v="1"/>
    <x v="14"/>
    <x v="6"/>
    <s v="Fried Rice"/>
    <x v="2"/>
    <n v="2"/>
    <n v="886"/>
    <n v="132.9"/>
    <n v="0"/>
    <n v="1772"/>
    <n v="1639.1"/>
    <x v="1"/>
    <x v="0"/>
    <x v="1"/>
    <n v="22"/>
    <n v="3.8"/>
  </r>
  <r>
    <x v="3517"/>
    <x v="257"/>
    <x v="8"/>
    <n v="9"/>
    <n v="15"/>
    <s v="Monday"/>
    <x v="8"/>
    <x v="13"/>
    <x v="7"/>
    <s v="Chicken Pizza"/>
    <x v="1"/>
    <n v="1"/>
    <n v="461"/>
    <n v="46.1"/>
    <n v="50"/>
    <n v="461"/>
    <n v="464.9"/>
    <x v="1"/>
    <x v="1"/>
    <x v="1"/>
    <n v="21"/>
    <m/>
  </r>
  <r>
    <x v="3518"/>
    <x v="257"/>
    <x v="8"/>
    <n v="9"/>
    <n v="15"/>
    <s v="Monday"/>
    <x v="5"/>
    <x v="8"/>
    <x v="1"/>
    <s v="Veg Momos"/>
    <x v="1"/>
    <n v="3"/>
    <n v="777"/>
    <n v="77.7"/>
    <n v="50"/>
    <n v="2331"/>
    <n v="2303.3000000000002"/>
    <x v="1"/>
    <x v="0"/>
    <x v="1"/>
    <n v="62"/>
    <n v="3.9"/>
  </r>
  <r>
    <x v="3519"/>
    <x v="257"/>
    <x v="8"/>
    <n v="9"/>
    <n v="15"/>
    <s v="Monday"/>
    <x v="3"/>
    <x v="2"/>
    <x v="8"/>
    <s v="Veg Biryani"/>
    <x v="2"/>
    <n v="1"/>
    <n v="289"/>
    <n v="72.25"/>
    <n v="20"/>
    <n v="289"/>
    <n v="236.75"/>
    <x v="4"/>
    <x v="0"/>
    <x v="1"/>
    <n v="60"/>
    <n v="3.6"/>
  </r>
  <r>
    <x v="3520"/>
    <x v="257"/>
    <x v="8"/>
    <n v="9"/>
    <n v="15"/>
    <s v="Monday"/>
    <x v="0"/>
    <x v="5"/>
    <x v="8"/>
    <s v="Veg Biryani"/>
    <x v="1"/>
    <n v="1"/>
    <n v="125"/>
    <n v="0"/>
    <n v="20"/>
    <n v="125"/>
    <n v="145"/>
    <x v="0"/>
    <x v="0"/>
    <x v="1"/>
    <n v="66"/>
    <n v="5"/>
  </r>
  <r>
    <x v="3521"/>
    <x v="257"/>
    <x v="8"/>
    <n v="9"/>
    <n v="15"/>
    <s v="Monday"/>
    <x v="7"/>
    <x v="13"/>
    <x v="4"/>
    <s v="Idli Sambar"/>
    <x v="1"/>
    <n v="3"/>
    <n v="591"/>
    <n v="118.2"/>
    <n v="0"/>
    <n v="1773"/>
    <n v="1654.8"/>
    <x v="1"/>
    <x v="0"/>
    <x v="1"/>
    <n v="62"/>
    <n v="3.7"/>
  </r>
  <r>
    <x v="3522"/>
    <x v="257"/>
    <x v="8"/>
    <n v="9"/>
    <n v="15"/>
    <s v="Monday"/>
    <x v="6"/>
    <x v="7"/>
    <x v="3"/>
    <s v="Idli Sambar"/>
    <x v="3"/>
    <n v="2"/>
    <n v="639"/>
    <n v="95.85"/>
    <n v="60"/>
    <n v="1278"/>
    <n v="1242.1500000000001"/>
    <x v="2"/>
    <x v="0"/>
    <x v="1"/>
    <n v="55"/>
    <n v="4.2"/>
  </r>
  <r>
    <x v="3523"/>
    <x v="257"/>
    <x v="8"/>
    <n v="9"/>
    <n v="15"/>
    <s v="Monday"/>
    <x v="3"/>
    <x v="12"/>
    <x v="0"/>
    <s v="Chicken Burger"/>
    <x v="2"/>
    <n v="1"/>
    <n v="236"/>
    <n v="47.2"/>
    <n v="60"/>
    <n v="236"/>
    <n v="248.8"/>
    <x v="0"/>
    <x v="0"/>
    <x v="0"/>
    <n v="41"/>
    <n v="5"/>
  </r>
  <r>
    <x v="3524"/>
    <x v="257"/>
    <x v="8"/>
    <n v="9"/>
    <n v="15"/>
    <s v="Monday"/>
    <x v="2"/>
    <x v="8"/>
    <x v="5"/>
    <s v="Chicken Burger"/>
    <x v="2"/>
    <n v="1"/>
    <n v="186"/>
    <n v="27.9"/>
    <n v="30"/>
    <n v="186"/>
    <n v="188.1"/>
    <x v="3"/>
    <x v="2"/>
    <x v="1"/>
    <n v="37"/>
    <m/>
  </r>
  <r>
    <x v="3525"/>
    <x v="257"/>
    <x v="8"/>
    <n v="9"/>
    <n v="15"/>
    <s v="Monday"/>
    <x v="7"/>
    <x v="1"/>
    <x v="6"/>
    <s v="Veg Biryani"/>
    <x v="1"/>
    <n v="1"/>
    <n v="488"/>
    <n v="73.2"/>
    <n v="60"/>
    <n v="488"/>
    <n v="474.8"/>
    <x v="1"/>
    <x v="0"/>
    <x v="1"/>
    <n v="27"/>
    <n v="4.9000000000000004"/>
  </r>
  <r>
    <x v="3526"/>
    <x v="257"/>
    <x v="8"/>
    <n v="9"/>
    <n v="15"/>
    <s v="Monday"/>
    <x v="0"/>
    <x v="7"/>
    <x v="5"/>
    <s v="Veg Biryani"/>
    <x v="3"/>
    <n v="2"/>
    <n v="807"/>
    <n v="121.05"/>
    <n v="40"/>
    <n v="1614"/>
    <n v="1532.95"/>
    <x v="4"/>
    <x v="0"/>
    <x v="1"/>
    <n v="30"/>
    <n v="3.4"/>
  </r>
  <r>
    <x v="3527"/>
    <x v="257"/>
    <x v="8"/>
    <n v="9"/>
    <n v="15"/>
    <s v="Monday"/>
    <x v="5"/>
    <x v="3"/>
    <x v="7"/>
    <s v="Fried Rice"/>
    <x v="0"/>
    <n v="1"/>
    <n v="206"/>
    <n v="51.5"/>
    <n v="40"/>
    <n v="206"/>
    <n v="194.5"/>
    <x v="1"/>
    <x v="0"/>
    <x v="0"/>
    <n v="30"/>
    <n v="3.1"/>
  </r>
  <r>
    <x v="3528"/>
    <x v="257"/>
    <x v="8"/>
    <n v="9"/>
    <n v="15"/>
    <s v="Monday"/>
    <x v="1"/>
    <x v="2"/>
    <x v="3"/>
    <s v="Chicken Burger"/>
    <x v="1"/>
    <n v="2"/>
    <n v="708"/>
    <n v="35.4"/>
    <n v="50"/>
    <n v="1416"/>
    <n v="1430.6"/>
    <x v="2"/>
    <x v="0"/>
    <x v="1"/>
    <n v="21"/>
    <n v="5"/>
  </r>
  <r>
    <x v="3529"/>
    <x v="257"/>
    <x v="8"/>
    <n v="9"/>
    <n v="15"/>
    <s v="Monday"/>
    <x v="9"/>
    <x v="12"/>
    <x v="6"/>
    <s v="Masala Dosa"/>
    <x v="1"/>
    <n v="2"/>
    <n v="696"/>
    <n v="69.599999999999994"/>
    <n v="0"/>
    <n v="1392"/>
    <n v="1322.4"/>
    <x v="0"/>
    <x v="0"/>
    <x v="1"/>
    <n v="22"/>
    <n v="3.2"/>
  </r>
  <r>
    <x v="3530"/>
    <x v="258"/>
    <x v="8"/>
    <n v="9"/>
    <n v="16"/>
    <s v="Tuesday"/>
    <x v="1"/>
    <x v="13"/>
    <x v="9"/>
    <s v="French Fries"/>
    <x v="1"/>
    <n v="1"/>
    <n v="261"/>
    <n v="39.15"/>
    <n v="40"/>
    <n v="261"/>
    <n v="261.85000000000002"/>
    <x v="0"/>
    <x v="0"/>
    <x v="0"/>
    <n v="35"/>
    <n v="4.5999999999999996"/>
  </r>
  <r>
    <x v="3531"/>
    <x v="258"/>
    <x v="8"/>
    <n v="9"/>
    <n v="16"/>
    <s v="Tuesday"/>
    <x v="9"/>
    <x v="4"/>
    <x v="3"/>
    <s v="Chicken Biryani"/>
    <x v="0"/>
    <n v="2"/>
    <n v="827"/>
    <n v="165.4"/>
    <n v="50"/>
    <n v="1654"/>
    <n v="1538.6"/>
    <x v="1"/>
    <x v="0"/>
    <x v="0"/>
    <n v="69"/>
    <n v="4.3"/>
  </r>
  <r>
    <x v="3532"/>
    <x v="258"/>
    <x v="8"/>
    <n v="9"/>
    <n v="16"/>
    <s v="Tuesday"/>
    <x v="3"/>
    <x v="3"/>
    <x v="4"/>
    <s v="Chicken Pizza"/>
    <x v="1"/>
    <n v="1"/>
    <n v="139"/>
    <n v="13.9"/>
    <n v="60"/>
    <n v="139"/>
    <n v="185.1"/>
    <x v="0"/>
    <x v="1"/>
    <x v="1"/>
    <n v="64"/>
    <m/>
  </r>
  <r>
    <x v="3533"/>
    <x v="258"/>
    <x v="8"/>
    <n v="9"/>
    <n v="16"/>
    <s v="Tuesday"/>
    <x v="3"/>
    <x v="10"/>
    <x v="6"/>
    <s v="Pasta"/>
    <x v="1"/>
    <n v="2"/>
    <n v="819"/>
    <n v="81.900000000000006"/>
    <n v="40"/>
    <n v="1638"/>
    <n v="1596.1"/>
    <x v="2"/>
    <x v="0"/>
    <x v="0"/>
    <n v="29"/>
    <n v="4.0999999999999996"/>
  </r>
  <r>
    <x v="3534"/>
    <x v="258"/>
    <x v="8"/>
    <n v="9"/>
    <n v="16"/>
    <s v="Tuesday"/>
    <x v="0"/>
    <x v="5"/>
    <x v="8"/>
    <s v="Masala Dosa"/>
    <x v="1"/>
    <n v="1"/>
    <n v="580"/>
    <n v="29"/>
    <n v="40"/>
    <n v="580"/>
    <n v="591"/>
    <x v="2"/>
    <x v="0"/>
    <x v="1"/>
    <n v="52"/>
    <n v="4.3"/>
  </r>
  <r>
    <x v="3535"/>
    <x v="258"/>
    <x v="8"/>
    <n v="9"/>
    <n v="16"/>
    <s v="Tuesday"/>
    <x v="6"/>
    <x v="2"/>
    <x v="1"/>
    <s v="Cold Coffee"/>
    <x v="2"/>
    <n v="2"/>
    <n v="377"/>
    <n v="0"/>
    <n v="60"/>
    <n v="754"/>
    <n v="814"/>
    <x v="3"/>
    <x v="0"/>
    <x v="1"/>
    <n v="19"/>
    <n v="4.7"/>
  </r>
  <r>
    <x v="3536"/>
    <x v="258"/>
    <x v="8"/>
    <n v="9"/>
    <n v="16"/>
    <s v="Tuesday"/>
    <x v="4"/>
    <x v="2"/>
    <x v="8"/>
    <s v="Veg Pizza"/>
    <x v="3"/>
    <n v="1"/>
    <n v="494"/>
    <n v="123.5"/>
    <n v="40"/>
    <n v="494"/>
    <n v="410.5"/>
    <x v="4"/>
    <x v="0"/>
    <x v="0"/>
    <n v="26"/>
    <n v="3.7"/>
  </r>
  <r>
    <x v="3537"/>
    <x v="258"/>
    <x v="8"/>
    <n v="9"/>
    <n v="16"/>
    <s v="Tuesday"/>
    <x v="1"/>
    <x v="7"/>
    <x v="6"/>
    <s v="Chocolate Cake"/>
    <x v="1"/>
    <n v="2"/>
    <n v="793"/>
    <n v="118.95"/>
    <n v="30"/>
    <n v="1586"/>
    <n v="1497.05"/>
    <x v="0"/>
    <x v="0"/>
    <x v="1"/>
    <n v="27"/>
    <n v="4.2"/>
  </r>
  <r>
    <x v="3538"/>
    <x v="258"/>
    <x v="8"/>
    <n v="9"/>
    <n v="16"/>
    <s v="Tuesday"/>
    <x v="3"/>
    <x v="4"/>
    <x v="2"/>
    <s v="French Fries"/>
    <x v="1"/>
    <n v="2"/>
    <n v="773"/>
    <n v="193.25"/>
    <n v="20"/>
    <n v="1546"/>
    <n v="1372.75"/>
    <x v="3"/>
    <x v="0"/>
    <x v="1"/>
    <n v="35"/>
    <n v="4.5999999999999996"/>
  </r>
  <r>
    <x v="3539"/>
    <x v="258"/>
    <x v="8"/>
    <n v="9"/>
    <n v="16"/>
    <s v="Tuesday"/>
    <x v="0"/>
    <x v="3"/>
    <x v="0"/>
    <s v="Veg Momos"/>
    <x v="1"/>
    <n v="1"/>
    <n v="642"/>
    <n v="32.1"/>
    <n v="40"/>
    <n v="642"/>
    <n v="649.9"/>
    <x v="4"/>
    <x v="2"/>
    <x v="1"/>
    <n v="42"/>
    <m/>
  </r>
  <r>
    <x v="3540"/>
    <x v="258"/>
    <x v="8"/>
    <n v="9"/>
    <n v="16"/>
    <s v="Tuesday"/>
    <x v="4"/>
    <x v="6"/>
    <x v="7"/>
    <s v="Chocolate Cake"/>
    <x v="2"/>
    <n v="3"/>
    <n v="460"/>
    <n v="0"/>
    <n v="20"/>
    <n v="1380"/>
    <n v="1400"/>
    <x v="1"/>
    <x v="0"/>
    <x v="0"/>
    <n v="35"/>
    <n v="3.6"/>
  </r>
  <r>
    <x v="3541"/>
    <x v="258"/>
    <x v="8"/>
    <n v="9"/>
    <n v="16"/>
    <s v="Tuesday"/>
    <x v="1"/>
    <x v="5"/>
    <x v="3"/>
    <s v="Veg Burger"/>
    <x v="1"/>
    <n v="3"/>
    <n v="858"/>
    <n v="85.8"/>
    <n v="40"/>
    <n v="2574"/>
    <n v="2528.1999999999998"/>
    <x v="0"/>
    <x v="0"/>
    <x v="0"/>
    <n v="44"/>
    <n v="3.9"/>
  </r>
  <r>
    <x v="3542"/>
    <x v="259"/>
    <x v="8"/>
    <n v="9"/>
    <n v="17"/>
    <s v="Wednesday"/>
    <x v="3"/>
    <x v="2"/>
    <x v="6"/>
    <s v="Cold Coffee"/>
    <x v="2"/>
    <n v="1"/>
    <n v="220"/>
    <n v="0"/>
    <n v="20"/>
    <n v="220"/>
    <n v="240"/>
    <x v="2"/>
    <x v="0"/>
    <x v="0"/>
    <n v="65"/>
    <n v="5"/>
  </r>
  <r>
    <x v="3543"/>
    <x v="259"/>
    <x v="8"/>
    <n v="9"/>
    <n v="17"/>
    <s v="Wednesday"/>
    <x v="7"/>
    <x v="13"/>
    <x v="1"/>
    <s v="Chicken Biryani"/>
    <x v="1"/>
    <n v="1"/>
    <n v="465"/>
    <n v="23.25"/>
    <n v="40"/>
    <n v="465"/>
    <n v="481.75"/>
    <x v="1"/>
    <x v="0"/>
    <x v="0"/>
    <n v="45"/>
    <n v="5"/>
  </r>
  <r>
    <x v="3544"/>
    <x v="259"/>
    <x v="8"/>
    <n v="9"/>
    <n v="17"/>
    <s v="Wednesday"/>
    <x v="2"/>
    <x v="2"/>
    <x v="6"/>
    <s v="Veg Momos"/>
    <x v="1"/>
    <n v="1"/>
    <n v="235"/>
    <n v="23.5"/>
    <n v="40"/>
    <n v="235"/>
    <n v="251.5"/>
    <x v="2"/>
    <x v="3"/>
    <x v="0"/>
    <n v="26"/>
    <m/>
  </r>
  <r>
    <x v="3545"/>
    <x v="259"/>
    <x v="8"/>
    <n v="9"/>
    <n v="17"/>
    <s v="Wednesday"/>
    <x v="4"/>
    <x v="8"/>
    <x v="3"/>
    <s v="Chocolate Cake"/>
    <x v="1"/>
    <n v="1"/>
    <n v="560"/>
    <n v="84"/>
    <n v="20"/>
    <n v="560"/>
    <n v="496"/>
    <x v="0"/>
    <x v="0"/>
    <x v="1"/>
    <n v="59"/>
    <n v="3.6"/>
  </r>
  <r>
    <x v="3546"/>
    <x v="259"/>
    <x v="8"/>
    <n v="9"/>
    <n v="17"/>
    <s v="Wednesday"/>
    <x v="3"/>
    <x v="13"/>
    <x v="1"/>
    <s v="Chocolate Cake"/>
    <x v="1"/>
    <n v="2"/>
    <n v="574"/>
    <n v="57.4"/>
    <n v="30"/>
    <n v="1148"/>
    <n v="1120.5999999999999"/>
    <x v="0"/>
    <x v="0"/>
    <x v="1"/>
    <n v="58"/>
    <n v="4.3"/>
  </r>
  <r>
    <x v="3547"/>
    <x v="259"/>
    <x v="8"/>
    <n v="9"/>
    <n v="17"/>
    <s v="Wednesday"/>
    <x v="6"/>
    <x v="8"/>
    <x v="8"/>
    <s v="Chicken Burger"/>
    <x v="1"/>
    <n v="1"/>
    <n v="638"/>
    <n v="63.8"/>
    <n v="0"/>
    <n v="638"/>
    <n v="574.20000000000005"/>
    <x v="2"/>
    <x v="0"/>
    <x v="1"/>
    <n v="58"/>
    <n v="3.6"/>
  </r>
  <r>
    <x v="3548"/>
    <x v="259"/>
    <x v="8"/>
    <n v="9"/>
    <n v="17"/>
    <s v="Wednesday"/>
    <x v="0"/>
    <x v="7"/>
    <x v="3"/>
    <s v="Chicken Pizza"/>
    <x v="1"/>
    <n v="2"/>
    <n v="650"/>
    <n v="97.5"/>
    <n v="60"/>
    <n v="1300"/>
    <n v="1262.5"/>
    <x v="1"/>
    <x v="0"/>
    <x v="0"/>
    <n v="57"/>
    <n v="3.8"/>
  </r>
  <r>
    <x v="3549"/>
    <x v="259"/>
    <x v="8"/>
    <n v="9"/>
    <n v="17"/>
    <s v="Wednesday"/>
    <x v="1"/>
    <x v="4"/>
    <x v="7"/>
    <s v="Chicken Pizza"/>
    <x v="1"/>
    <n v="1"/>
    <n v="260"/>
    <n v="26"/>
    <n v="40"/>
    <n v="260"/>
    <n v="274"/>
    <x v="0"/>
    <x v="3"/>
    <x v="1"/>
    <n v="18"/>
    <m/>
  </r>
  <r>
    <x v="3550"/>
    <x v="259"/>
    <x v="8"/>
    <n v="9"/>
    <n v="17"/>
    <s v="Wednesday"/>
    <x v="5"/>
    <x v="6"/>
    <x v="5"/>
    <s v="Chicken Momos"/>
    <x v="3"/>
    <n v="2"/>
    <n v="144"/>
    <n v="21.6"/>
    <n v="30"/>
    <n v="288"/>
    <n v="296.39999999999998"/>
    <x v="0"/>
    <x v="0"/>
    <x v="1"/>
    <n v="60"/>
    <n v="4.3"/>
  </r>
  <r>
    <x v="3551"/>
    <x v="259"/>
    <x v="8"/>
    <n v="9"/>
    <n v="17"/>
    <s v="Wednesday"/>
    <x v="5"/>
    <x v="5"/>
    <x v="8"/>
    <s v="Pasta"/>
    <x v="3"/>
    <n v="1"/>
    <n v="316"/>
    <n v="47.4"/>
    <n v="20"/>
    <n v="316"/>
    <n v="288.60000000000002"/>
    <x v="2"/>
    <x v="0"/>
    <x v="1"/>
    <n v="61"/>
    <n v="3.9"/>
  </r>
  <r>
    <x v="3552"/>
    <x v="259"/>
    <x v="8"/>
    <n v="9"/>
    <n v="17"/>
    <s v="Wednesday"/>
    <x v="7"/>
    <x v="8"/>
    <x v="1"/>
    <s v="Chicken Momos"/>
    <x v="1"/>
    <n v="1"/>
    <n v="797"/>
    <n v="159.4"/>
    <n v="40"/>
    <n v="797"/>
    <n v="677.6"/>
    <x v="1"/>
    <x v="1"/>
    <x v="1"/>
    <n v="56"/>
    <m/>
  </r>
  <r>
    <x v="3553"/>
    <x v="259"/>
    <x v="8"/>
    <n v="9"/>
    <n v="17"/>
    <s v="Wednesday"/>
    <x v="0"/>
    <x v="1"/>
    <x v="9"/>
    <s v="Veg Pizza"/>
    <x v="2"/>
    <n v="3"/>
    <n v="319"/>
    <n v="31.9"/>
    <n v="20"/>
    <n v="957"/>
    <n v="945.1"/>
    <x v="2"/>
    <x v="0"/>
    <x v="1"/>
    <n v="41"/>
    <n v="4.4000000000000004"/>
  </r>
  <r>
    <x v="3554"/>
    <x v="259"/>
    <x v="8"/>
    <n v="9"/>
    <n v="17"/>
    <s v="Wednesday"/>
    <x v="7"/>
    <x v="12"/>
    <x v="0"/>
    <s v="Pasta"/>
    <x v="2"/>
    <n v="1"/>
    <n v="557"/>
    <n v="27.85"/>
    <n v="30"/>
    <n v="557"/>
    <n v="559.15"/>
    <x v="1"/>
    <x v="0"/>
    <x v="0"/>
    <n v="25"/>
    <n v="3.2"/>
  </r>
  <r>
    <x v="3555"/>
    <x v="259"/>
    <x v="8"/>
    <n v="9"/>
    <n v="17"/>
    <s v="Wednesday"/>
    <x v="1"/>
    <x v="6"/>
    <x v="8"/>
    <s v="Cold Coffee"/>
    <x v="1"/>
    <n v="2"/>
    <n v="255"/>
    <n v="38.25"/>
    <n v="20"/>
    <n v="510"/>
    <n v="491.75"/>
    <x v="1"/>
    <x v="0"/>
    <x v="1"/>
    <n v="19"/>
    <n v="3.4"/>
  </r>
  <r>
    <x v="3556"/>
    <x v="259"/>
    <x v="8"/>
    <n v="9"/>
    <n v="17"/>
    <s v="Wednesday"/>
    <x v="9"/>
    <x v="14"/>
    <x v="3"/>
    <s v="Fried Rice"/>
    <x v="3"/>
    <n v="2"/>
    <n v="176"/>
    <n v="8.8000000000000007"/>
    <n v="20"/>
    <n v="352"/>
    <n v="363.2"/>
    <x v="1"/>
    <x v="0"/>
    <x v="1"/>
    <n v="42"/>
    <n v="3.9"/>
  </r>
  <r>
    <x v="3557"/>
    <x v="259"/>
    <x v="8"/>
    <n v="9"/>
    <n v="17"/>
    <s v="Wednesday"/>
    <x v="1"/>
    <x v="13"/>
    <x v="7"/>
    <s v="Veg Biryani"/>
    <x v="0"/>
    <n v="1"/>
    <n v="674"/>
    <n v="134.80000000000001"/>
    <n v="30"/>
    <n v="674"/>
    <n v="569.20000000000005"/>
    <x v="1"/>
    <x v="0"/>
    <x v="0"/>
    <n v="44"/>
    <n v="3"/>
  </r>
  <r>
    <x v="3558"/>
    <x v="259"/>
    <x v="8"/>
    <n v="9"/>
    <n v="17"/>
    <s v="Wednesday"/>
    <x v="2"/>
    <x v="11"/>
    <x v="8"/>
    <s v="Veg Momos"/>
    <x v="1"/>
    <n v="2"/>
    <n v="269"/>
    <n v="26.9"/>
    <n v="40"/>
    <n v="538"/>
    <n v="551.1"/>
    <x v="0"/>
    <x v="2"/>
    <x v="0"/>
    <n v="49"/>
    <m/>
  </r>
  <r>
    <x v="3559"/>
    <x v="259"/>
    <x v="8"/>
    <n v="9"/>
    <n v="17"/>
    <s v="Wednesday"/>
    <x v="0"/>
    <x v="9"/>
    <x v="2"/>
    <s v="Chicken Momos"/>
    <x v="0"/>
    <n v="1"/>
    <n v="269"/>
    <n v="53.8"/>
    <n v="40"/>
    <n v="269"/>
    <n v="255.2"/>
    <x v="4"/>
    <x v="2"/>
    <x v="1"/>
    <n v="68"/>
    <m/>
  </r>
  <r>
    <x v="3560"/>
    <x v="260"/>
    <x v="8"/>
    <n v="9"/>
    <n v="18"/>
    <s v="Thursday"/>
    <x v="3"/>
    <x v="4"/>
    <x v="5"/>
    <s v="Veg Momos"/>
    <x v="2"/>
    <n v="2"/>
    <n v="594"/>
    <n v="29.7"/>
    <n v="30"/>
    <n v="1188"/>
    <n v="1188.3"/>
    <x v="1"/>
    <x v="3"/>
    <x v="1"/>
    <n v="64"/>
    <m/>
  </r>
  <r>
    <x v="3561"/>
    <x v="260"/>
    <x v="8"/>
    <n v="9"/>
    <n v="18"/>
    <s v="Thursday"/>
    <x v="4"/>
    <x v="11"/>
    <x v="9"/>
    <s v="Chicken Pizza"/>
    <x v="1"/>
    <n v="1"/>
    <n v="407"/>
    <n v="20.350000000000001"/>
    <n v="40"/>
    <n v="407"/>
    <n v="426.65"/>
    <x v="0"/>
    <x v="0"/>
    <x v="0"/>
    <n v="48"/>
    <n v="3.8"/>
  </r>
  <r>
    <x v="3562"/>
    <x v="260"/>
    <x v="8"/>
    <n v="9"/>
    <n v="18"/>
    <s v="Thursday"/>
    <x v="7"/>
    <x v="3"/>
    <x v="8"/>
    <s v="Chocolate Cake"/>
    <x v="2"/>
    <n v="2"/>
    <n v="512"/>
    <n v="76.8"/>
    <n v="30"/>
    <n v="1024"/>
    <n v="977.2"/>
    <x v="1"/>
    <x v="0"/>
    <x v="1"/>
    <n v="28"/>
    <n v="4.2"/>
  </r>
  <r>
    <x v="3563"/>
    <x v="260"/>
    <x v="8"/>
    <n v="9"/>
    <n v="18"/>
    <s v="Thursday"/>
    <x v="9"/>
    <x v="14"/>
    <x v="8"/>
    <s v="Veg Burger"/>
    <x v="2"/>
    <n v="1"/>
    <n v="131"/>
    <n v="0"/>
    <n v="30"/>
    <n v="131"/>
    <n v="161"/>
    <x v="1"/>
    <x v="0"/>
    <x v="0"/>
    <n v="53"/>
    <n v="3.8"/>
  </r>
  <r>
    <x v="3564"/>
    <x v="260"/>
    <x v="8"/>
    <n v="9"/>
    <n v="18"/>
    <s v="Thursday"/>
    <x v="0"/>
    <x v="14"/>
    <x v="8"/>
    <s v="Veg Pizza"/>
    <x v="2"/>
    <n v="3"/>
    <n v="415"/>
    <n v="41.5"/>
    <n v="30"/>
    <n v="1245"/>
    <n v="1233.5"/>
    <x v="1"/>
    <x v="0"/>
    <x v="1"/>
    <n v="19"/>
    <n v="5"/>
  </r>
  <r>
    <x v="3565"/>
    <x v="260"/>
    <x v="8"/>
    <n v="9"/>
    <n v="18"/>
    <s v="Thursday"/>
    <x v="8"/>
    <x v="1"/>
    <x v="4"/>
    <s v="Veg Burger"/>
    <x v="1"/>
    <n v="2"/>
    <n v="148"/>
    <n v="29.6"/>
    <n v="0"/>
    <n v="296"/>
    <n v="266.39999999999998"/>
    <x v="3"/>
    <x v="0"/>
    <x v="1"/>
    <n v="20"/>
    <n v="2.9"/>
  </r>
  <r>
    <x v="3566"/>
    <x v="260"/>
    <x v="8"/>
    <n v="9"/>
    <n v="18"/>
    <s v="Thursday"/>
    <x v="4"/>
    <x v="0"/>
    <x v="1"/>
    <s v="Masala Dosa"/>
    <x v="2"/>
    <n v="1"/>
    <n v="855"/>
    <n v="42.75"/>
    <n v="20"/>
    <n v="855"/>
    <n v="832.25"/>
    <x v="2"/>
    <x v="0"/>
    <x v="1"/>
    <n v="47"/>
    <n v="4.3"/>
  </r>
  <r>
    <x v="3567"/>
    <x v="260"/>
    <x v="8"/>
    <n v="9"/>
    <n v="18"/>
    <s v="Thursday"/>
    <x v="9"/>
    <x v="5"/>
    <x v="0"/>
    <s v="Paneer Butter Masala"/>
    <x v="1"/>
    <n v="1"/>
    <n v="434"/>
    <n v="86.8"/>
    <n v="20"/>
    <n v="434"/>
    <n v="367.2"/>
    <x v="3"/>
    <x v="0"/>
    <x v="1"/>
    <n v="57"/>
    <n v="5"/>
  </r>
  <r>
    <x v="3568"/>
    <x v="260"/>
    <x v="8"/>
    <n v="9"/>
    <n v="18"/>
    <s v="Thursday"/>
    <x v="4"/>
    <x v="0"/>
    <x v="8"/>
    <s v="Chicken Biryani"/>
    <x v="1"/>
    <n v="2"/>
    <n v="385"/>
    <n v="38.5"/>
    <n v="70"/>
    <n v="770"/>
    <n v="801.5"/>
    <x v="1"/>
    <x v="0"/>
    <x v="1"/>
    <n v="18"/>
    <n v="5"/>
  </r>
  <r>
    <x v="3569"/>
    <x v="260"/>
    <x v="8"/>
    <n v="9"/>
    <n v="18"/>
    <s v="Thursday"/>
    <x v="2"/>
    <x v="2"/>
    <x v="0"/>
    <s v="Idli Sambar"/>
    <x v="3"/>
    <n v="3"/>
    <n v="351"/>
    <n v="17.55"/>
    <n v="40"/>
    <n v="1053"/>
    <n v="1075.45"/>
    <x v="0"/>
    <x v="0"/>
    <x v="1"/>
    <n v="38"/>
    <n v="3.9"/>
  </r>
  <r>
    <x v="3570"/>
    <x v="260"/>
    <x v="8"/>
    <n v="9"/>
    <n v="18"/>
    <s v="Thursday"/>
    <x v="5"/>
    <x v="14"/>
    <x v="0"/>
    <s v="Veg Burger"/>
    <x v="1"/>
    <n v="1"/>
    <n v="122"/>
    <n v="0"/>
    <n v="0"/>
    <n v="122"/>
    <n v="122"/>
    <x v="4"/>
    <x v="0"/>
    <x v="1"/>
    <n v="43"/>
    <n v="4.9000000000000004"/>
  </r>
  <r>
    <x v="3571"/>
    <x v="260"/>
    <x v="8"/>
    <n v="9"/>
    <n v="18"/>
    <s v="Thursday"/>
    <x v="1"/>
    <x v="5"/>
    <x v="5"/>
    <s v="Chicken Pizza"/>
    <x v="1"/>
    <n v="2"/>
    <n v="681"/>
    <n v="68.099999999999994"/>
    <n v="50"/>
    <n v="1362"/>
    <n v="1343.9"/>
    <x v="1"/>
    <x v="0"/>
    <x v="0"/>
    <n v="40"/>
    <n v="4.3"/>
  </r>
  <r>
    <x v="3572"/>
    <x v="261"/>
    <x v="8"/>
    <n v="9"/>
    <n v="19"/>
    <s v="Friday"/>
    <x v="8"/>
    <x v="10"/>
    <x v="0"/>
    <s v="Chicken Momos"/>
    <x v="1"/>
    <n v="1"/>
    <n v="783"/>
    <n v="0"/>
    <n v="30"/>
    <n v="783"/>
    <n v="813"/>
    <x v="1"/>
    <x v="1"/>
    <x v="1"/>
    <n v="20"/>
    <m/>
  </r>
  <r>
    <x v="3573"/>
    <x v="261"/>
    <x v="8"/>
    <n v="9"/>
    <n v="19"/>
    <s v="Friday"/>
    <x v="1"/>
    <x v="14"/>
    <x v="2"/>
    <s v="French Fries"/>
    <x v="3"/>
    <n v="3"/>
    <n v="154"/>
    <n v="23.1"/>
    <n v="40"/>
    <n v="462"/>
    <n v="478.9"/>
    <x v="1"/>
    <x v="0"/>
    <x v="1"/>
    <n v="29"/>
    <n v="4.2"/>
  </r>
  <r>
    <x v="3574"/>
    <x v="261"/>
    <x v="8"/>
    <n v="9"/>
    <n v="19"/>
    <s v="Friday"/>
    <x v="4"/>
    <x v="12"/>
    <x v="9"/>
    <s v="Chicken Burger"/>
    <x v="1"/>
    <n v="2"/>
    <n v="417"/>
    <n v="20.85"/>
    <n v="40"/>
    <n v="834"/>
    <n v="853.15"/>
    <x v="1"/>
    <x v="0"/>
    <x v="1"/>
    <n v="37"/>
    <n v="4.9000000000000004"/>
  </r>
  <r>
    <x v="3575"/>
    <x v="261"/>
    <x v="8"/>
    <n v="9"/>
    <n v="19"/>
    <s v="Friday"/>
    <x v="2"/>
    <x v="10"/>
    <x v="8"/>
    <s v="Chicken Biryani"/>
    <x v="2"/>
    <n v="1"/>
    <n v="501"/>
    <n v="75.150000000000006"/>
    <n v="0"/>
    <n v="501"/>
    <n v="425.85"/>
    <x v="1"/>
    <x v="0"/>
    <x v="0"/>
    <n v="19"/>
    <n v="3.2"/>
  </r>
  <r>
    <x v="3576"/>
    <x v="261"/>
    <x v="8"/>
    <n v="9"/>
    <n v="19"/>
    <s v="Friday"/>
    <x v="7"/>
    <x v="14"/>
    <x v="0"/>
    <s v="Chocolate Cake"/>
    <x v="2"/>
    <n v="3"/>
    <n v="192"/>
    <n v="19.2"/>
    <n v="40"/>
    <n v="576"/>
    <n v="596.79999999999995"/>
    <x v="0"/>
    <x v="3"/>
    <x v="1"/>
    <n v="67"/>
    <m/>
  </r>
  <r>
    <x v="3577"/>
    <x v="261"/>
    <x v="8"/>
    <n v="9"/>
    <n v="19"/>
    <s v="Friday"/>
    <x v="0"/>
    <x v="7"/>
    <x v="3"/>
    <s v="Chicken Biryani"/>
    <x v="1"/>
    <n v="3"/>
    <n v="704"/>
    <n v="176"/>
    <n v="30"/>
    <n v="2112"/>
    <n v="1966"/>
    <x v="0"/>
    <x v="0"/>
    <x v="1"/>
    <n v="64"/>
    <n v="3.6"/>
  </r>
  <r>
    <x v="3578"/>
    <x v="261"/>
    <x v="8"/>
    <n v="9"/>
    <n v="19"/>
    <s v="Friday"/>
    <x v="0"/>
    <x v="14"/>
    <x v="8"/>
    <s v="Idli Sambar"/>
    <x v="1"/>
    <n v="3"/>
    <n v="871"/>
    <n v="0"/>
    <n v="50"/>
    <n v="2613"/>
    <n v="2663"/>
    <x v="1"/>
    <x v="0"/>
    <x v="1"/>
    <n v="66"/>
    <n v="4.0999999999999996"/>
  </r>
  <r>
    <x v="3579"/>
    <x v="261"/>
    <x v="8"/>
    <n v="9"/>
    <n v="19"/>
    <s v="Friday"/>
    <x v="7"/>
    <x v="1"/>
    <x v="5"/>
    <s v="Veg Momos"/>
    <x v="1"/>
    <n v="3"/>
    <n v="222"/>
    <n v="0"/>
    <n v="40"/>
    <n v="666"/>
    <n v="706"/>
    <x v="1"/>
    <x v="0"/>
    <x v="0"/>
    <n v="67"/>
    <n v="3.9"/>
  </r>
  <r>
    <x v="3580"/>
    <x v="261"/>
    <x v="8"/>
    <n v="9"/>
    <n v="19"/>
    <s v="Friday"/>
    <x v="1"/>
    <x v="10"/>
    <x v="4"/>
    <s v="Chicken Momos"/>
    <x v="1"/>
    <n v="1"/>
    <n v="165"/>
    <n v="24.75"/>
    <n v="30"/>
    <n v="165"/>
    <n v="170.25"/>
    <x v="1"/>
    <x v="0"/>
    <x v="0"/>
    <n v="48"/>
    <n v="3.2"/>
  </r>
  <r>
    <x v="3581"/>
    <x v="261"/>
    <x v="8"/>
    <n v="9"/>
    <n v="19"/>
    <s v="Friday"/>
    <x v="5"/>
    <x v="11"/>
    <x v="1"/>
    <s v="Pasta"/>
    <x v="1"/>
    <n v="1"/>
    <n v="469"/>
    <n v="70.349999999999994"/>
    <n v="20"/>
    <n v="469"/>
    <n v="418.65"/>
    <x v="3"/>
    <x v="1"/>
    <x v="1"/>
    <n v="25"/>
    <m/>
  </r>
  <r>
    <x v="3582"/>
    <x v="261"/>
    <x v="8"/>
    <n v="9"/>
    <n v="19"/>
    <s v="Friday"/>
    <x v="0"/>
    <x v="10"/>
    <x v="5"/>
    <s v="Cold Coffee"/>
    <x v="1"/>
    <n v="2"/>
    <n v="729"/>
    <n v="0"/>
    <n v="40"/>
    <n v="1458"/>
    <n v="1498"/>
    <x v="0"/>
    <x v="0"/>
    <x v="1"/>
    <n v="70"/>
    <n v="4.3"/>
  </r>
  <r>
    <x v="3583"/>
    <x v="261"/>
    <x v="8"/>
    <n v="9"/>
    <n v="19"/>
    <s v="Friday"/>
    <x v="3"/>
    <x v="0"/>
    <x v="6"/>
    <s v="Chocolate Cake"/>
    <x v="2"/>
    <n v="1"/>
    <n v="447"/>
    <n v="22.35"/>
    <n v="40"/>
    <n v="447"/>
    <n v="464.65"/>
    <x v="1"/>
    <x v="0"/>
    <x v="0"/>
    <n v="25"/>
    <n v="5"/>
  </r>
  <r>
    <x v="3584"/>
    <x v="261"/>
    <x v="8"/>
    <n v="9"/>
    <n v="19"/>
    <s v="Friday"/>
    <x v="1"/>
    <x v="12"/>
    <x v="7"/>
    <s v="Fried Rice"/>
    <x v="1"/>
    <n v="2"/>
    <n v="285"/>
    <n v="42.75"/>
    <n v="30"/>
    <n v="570"/>
    <n v="557.25"/>
    <x v="0"/>
    <x v="0"/>
    <x v="1"/>
    <n v="26"/>
    <n v="3.8"/>
  </r>
  <r>
    <x v="3585"/>
    <x v="261"/>
    <x v="8"/>
    <n v="9"/>
    <n v="19"/>
    <s v="Friday"/>
    <x v="3"/>
    <x v="4"/>
    <x v="2"/>
    <s v="Veg Biryani"/>
    <x v="3"/>
    <n v="2"/>
    <n v="365"/>
    <n v="73"/>
    <n v="30"/>
    <n v="730"/>
    <n v="687"/>
    <x v="4"/>
    <x v="0"/>
    <x v="1"/>
    <n v="47"/>
    <n v="4.4000000000000004"/>
  </r>
  <r>
    <x v="3586"/>
    <x v="262"/>
    <x v="8"/>
    <n v="9"/>
    <n v="20"/>
    <s v="Saturday"/>
    <x v="4"/>
    <x v="1"/>
    <x v="2"/>
    <s v="Veg Biryani"/>
    <x v="1"/>
    <n v="2"/>
    <n v="543"/>
    <n v="81.45"/>
    <n v="70"/>
    <n v="1086"/>
    <n v="1074.55"/>
    <x v="0"/>
    <x v="2"/>
    <x v="1"/>
    <n v="66"/>
    <m/>
  </r>
  <r>
    <x v="3587"/>
    <x v="262"/>
    <x v="8"/>
    <n v="9"/>
    <n v="20"/>
    <s v="Saturday"/>
    <x v="6"/>
    <x v="11"/>
    <x v="7"/>
    <s v="Chocolate Cake"/>
    <x v="3"/>
    <n v="3"/>
    <n v="512"/>
    <n v="0"/>
    <n v="0"/>
    <n v="1536"/>
    <n v="1536"/>
    <x v="2"/>
    <x v="0"/>
    <x v="0"/>
    <n v="57"/>
    <n v="5"/>
  </r>
  <r>
    <x v="3588"/>
    <x v="262"/>
    <x v="8"/>
    <n v="9"/>
    <n v="20"/>
    <s v="Saturday"/>
    <x v="7"/>
    <x v="9"/>
    <x v="4"/>
    <s v="Veg Pizza"/>
    <x v="0"/>
    <n v="2"/>
    <n v="420"/>
    <n v="63"/>
    <n v="0"/>
    <n v="840"/>
    <n v="777"/>
    <x v="3"/>
    <x v="3"/>
    <x v="1"/>
    <n v="47"/>
    <m/>
  </r>
  <r>
    <x v="3589"/>
    <x v="262"/>
    <x v="8"/>
    <n v="9"/>
    <n v="20"/>
    <s v="Saturday"/>
    <x v="1"/>
    <x v="3"/>
    <x v="4"/>
    <s v="Idli Sambar"/>
    <x v="2"/>
    <n v="1"/>
    <n v="569"/>
    <n v="113.8"/>
    <n v="40"/>
    <n v="569"/>
    <n v="495.2"/>
    <x v="1"/>
    <x v="2"/>
    <x v="0"/>
    <n v="37"/>
    <m/>
  </r>
  <r>
    <x v="3590"/>
    <x v="262"/>
    <x v="8"/>
    <n v="9"/>
    <n v="20"/>
    <s v="Saturday"/>
    <x v="1"/>
    <x v="2"/>
    <x v="3"/>
    <s v="Chicken Momos"/>
    <x v="2"/>
    <n v="1"/>
    <n v="739"/>
    <n v="0"/>
    <n v="60"/>
    <n v="739"/>
    <n v="799"/>
    <x v="2"/>
    <x v="0"/>
    <x v="0"/>
    <n v="31"/>
    <n v="4.0999999999999996"/>
  </r>
  <r>
    <x v="3591"/>
    <x v="262"/>
    <x v="8"/>
    <n v="9"/>
    <n v="20"/>
    <s v="Saturday"/>
    <x v="1"/>
    <x v="7"/>
    <x v="6"/>
    <s v="Cold Coffee"/>
    <x v="1"/>
    <n v="3"/>
    <n v="882"/>
    <n v="176.4"/>
    <n v="30"/>
    <n v="2646"/>
    <n v="2499.6"/>
    <x v="1"/>
    <x v="0"/>
    <x v="1"/>
    <n v="32"/>
    <n v="4.3"/>
  </r>
  <r>
    <x v="3592"/>
    <x v="262"/>
    <x v="8"/>
    <n v="9"/>
    <n v="20"/>
    <s v="Saturday"/>
    <x v="9"/>
    <x v="9"/>
    <x v="1"/>
    <s v="Chocolate Cake"/>
    <x v="1"/>
    <n v="1"/>
    <n v="420"/>
    <n v="105"/>
    <n v="30"/>
    <n v="420"/>
    <n v="345"/>
    <x v="2"/>
    <x v="1"/>
    <x v="1"/>
    <n v="35"/>
    <m/>
  </r>
  <r>
    <x v="3593"/>
    <x v="262"/>
    <x v="8"/>
    <n v="9"/>
    <n v="20"/>
    <s v="Saturday"/>
    <x v="3"/>
    <x v="4"/>
    <x v="5"/>
    <s v="Veg Pizza"/>
    <x v="1"/>
    <n v="3"/>
    <n v="300"/>
    <n v="60"/>
    <n v="70"/>
    <n v="900"/>
    <n v="910"/>
    <x v="2"/>
    <x v="0"/>
    <x v="0"/>
    <n v="38"/>
    <n v="4.0999999999999996"/>
  </r>
  <r>
    <x v="3594"/>
    <x v="263"/>
    <x v="8"/>
    <n v="9"/>
    <n v="21"/>
    <s v="Sunday"/>
    <x v="3"/>
    <x v="14"/>
    <x v="3"/>
    <s v="Chicken Burger"/>
    <x v="3"/>
    <n v="1"/>
    <n v="463"/>
    <n v="0"/>
    <n v="50"/>
    <n v="463"/>
    <n v="513"/>
    <x v="3"/>
    <x v="0"/>
    <x v="0"/>
    <n v="52"/>
    <n v="3.7"/>
  </r>
  <r>
    <x v="3595"/>
    <x v="263"/>
    <x v="8"/>
    <n v="9"/>
    <n v="21"/>
    <s v="Sunday"/>
    <x v="9"/>
    <x v="13"/>
    <x v="0"/>
    <s v="Idli Sambar"/>
    <x v="1"/>
    <n v="2"/>
    <n v="173"/>
    <n v="34.6"/>
    <n v="0"/>
    <n v="346"/>
    <n v="311.39999999999998"/>
    <x v="1"/>
    <x v="0"/>
    <x v="1"/>
    <n v="38"/>
    <n v="4.4000000000000004"/>
  </r>
  <r>
    <x v="3596"/>
    <x v="263"/>
    <x v="8"/>
    <n v="9"/>
    <n v="21"/>
    <s v="Sunday"/>
    <x v="0"/>
    <x v="7"/>
    <x v="7"/>
    <s v="Chicken Burger"/>
    <x v="1"/>
    <n v="1"/>
    <n v="179"/>
    <n v="0"/>
    <n v="50"/>
    <n v="179"/>
    <n v="229"/>
    <x v="3"/>
    <x v="3"/>
    <x v="1"/>
    <n v="70"/>
    <m/>
  </r>
  <r>
    <x v="3597"/>
    <x v="263"/>
    <x v="8"/>
    <n v="9"/>
    <n v="21"/>
    <s v="Sunday"/>
    <x v="4"/>
    <x v="13"/>
    <x v="3"/>
    <s v="Chicken Biryani"/>
    <x v="2"/>
    <n v="1"/>
    <n v="774"/>
    <n v="77.400000000000006"/>
    <n v="40"/>
    <n v="774"/>
    <n v="736.6"/>
    <x v="2"/>
    <x v="0"/>
    <x v="1"/>
    <n v="28"/>
    <n v="4.0999999999999996"/>
  </r>
  <r>
    <x v="3598"/>
    <x v="263"/>
    <x v="8"/>
    <n v="9"/>
    <n v="21"/>
    <s v="Sunday"/>
    <x v="3"/>
    <x v="0"/>
    <x v="0"/>
    <s v="Fried Rice"/>
    <x v="1"/>
    <n v="1"/>
    <n v="426"/>
    <n v="85.2"/>
    <n v="30"/>
    <n v="426"/>
    <n v="370.8"/>
    <x v="4"/>
    <x v="2"/>
    <x v="1"/>
    <n v="24"/>
    <m/>
  </r>
  <r>
    <x v="3599"/>
    <x v="263"/>
    <x v="8"/>
    <n v="9"/>
    <n v="21"/>
    <s v="Sunday"/>
    <x v="3"/>
    <x v="8"/>
    <x v="1"/>
    <s v="French Fries"/>
    <x v="1"/>
    <n v="2"/>
    <n v="207"/>
    <n v="31.05"/>
    <n v="0"/>
    <n v="414"/>
    <n v="382.95"/>
    <x v="3"/>
    <x v="0"/>
    <x v="0"/>
    <n v="34"/>
    <n v="3.1"/>
  </r>
  <r>
    <x v="3600"/>
    <x v="263"/>
    <x v="8"/>
    <n v="9"/>
    <n v="21"/>
    <s v="Sunday"/>
    <x v="3"/>
    <x v="13"/>
    <x v="9"/>
    <s v="Chicken Biryani"/>
    <x v="2"/>
    <n v="1"/>
    <n v="242"/>
    <n v="60.5"/>
    <n v="20"/>
    <n v="242"/>
    <n v="201.5"/>
    <x v="1"/>
    <x v="1"/>
    <x v="1"/>
    <n v="21"/>
    <m/>
  </r>
  <r>
    <x v="3601"/>
    <x v="263"/>
    <x v="8"/>
    <n v="9"/>
    <n v="21"/>
    <s v="Sunday"/>
    <x v="1"/>
    <x v="12"/>
    <x v="5"/>
    <s v="Veg Burger"/>
    <x v="1"/>
    <n v="3"/>
    <n v="889"/>
    <n v="44.45"/>
    <n v="40"/>
    <n v="2667"/>
    <n v="2662.55"/>
    <x v="1"/>
    <x v="0"/>
    <x v="1"/>
    <n v="57"/>
    <n v="3.6"/>
  </r>
  <r>
    <x v="3602"/>
    <x v="263"/>
    <x v="8"/>
    <n v="9"/>
    <n v="21"/>
    <s v="Sunday"/>
    <x v="6"/>
    <x v="13"/>
    <x v="2"/>
    <s v="Chicken Momos"/>
    <x v="1"/>
    <n v="2"/>
    <n v="501"/>
    <n v="25.05"/>
    <n v="0"/>
    <n v="1002"/>
    <n v="976.95"/>
    <x v="4"/>
    <x v="2"/>
    <x v="0"/>
    <n v="36"/>
    <m/>
  </r>
  <r>
    <x v="3603"/>
    <x v="263"/>
    <x v="8"/>
    <n v="9"/>
    <n v="21"/>
    <s v="Sunday"/>
    <x v="1"/>
    <x v="9"/>
    <x v="1"/>
    <s v="Masala Dosa"/>
    <x v="1"/>
    <n v="3"/>
    <n v="166"/>
    <n v="24.9"/>
    <n v="0"/>
    <n v="498"/>
    <n v="473.1"/>
    <x v="1"/>
    <x v="0"/>
    <x v="1"/>
    <n v="34"/>
    <n v="4"/>
  </r>
  <r>
    <x v="3604"/>
    <x v="263"/>
    <x v="8"/>
    <n v="9"/>
    <n v="21"/>
    <s v="Sunday"/>
    <x v="1"/>
    <x v="11"/>
    <x v="0"/>
    <s v="Chocolate Cake"/>
    <x v="1"/>
    <n v="1"/>
    <n v="386"/>
    <n v="38.6"/>
    <n v="30"/>
    <n v="386"/>
    <n v="377.4"/>
    <x v="1"/>
    <x v="1"/>
    <x v="0"/>
    <n v="50"/>
    <m/>
  </r>
  <r>
    <x v="3605"/>
    <x v="263"/>
    <x v="8"/>
    <n v="9"/>
    <n v="21"/>
    <s v="Sunday"/>
    <x v="5"/>
    <x v="4"/>
    <x v="0"/>
    <s v="Veg Burger"/>
    <x v="1"/>
    <n v="1"/>
    <n v="594"/>
    <n v="118.8"/>
    <n v="30"/>
    <n v="594"/>
    <n v="505.2"/>
    <x v="4"/>
    <x v="0"/>
    <x v="1"/>
    <n v="39"/>
    <n v="3.9"/>
  </r>
  <r>
    <x v="3606"/>
    <x v="263"/>
    <x v="8"/>
    <n v="9"/>
    <n v="21"/>
    <s v="Sunday"/>
    <x v="2"/>
    <x v="6"/>
    <x v="5"/>
    <s v="Veg Pizza"/>
    <x v="1"/>
    <n v="2"/>
    <n v="716"/>
    <n v="107.4"/>
    <n v="30"/>
    <n v="1432"/>
    <n v="1354.6"/>
    <x v="0"/>
    <x v="2"/>
    <x v="1"/>
    <n v="31"/>
    <m/>
  </r>
  <r>
    <x v="3607"/>
    <x v="263"/>
    <x v="8"/>
    <n v="9"/>
    <n v="21"/>
    <s v="Sunday"/>
    <x v="1"/>
    <x v="8"/>
    <x v="9"/>
    <s v="French Fries"/>
    <x v="1"/>
    <n v="1"/>
    <n v="379"/>
    <n v="37.9"/>
    <n v="60"/>
    <n v="379"/>
    <n v="401.1"/>
    <x v="3"/>
    <x v="1"/>
    <x v="1"/>
    <n v="57"/>
    <m/>
  </r>
  <r>
    <x v="3608"/>
    <x v="263"/>
    <x v="8"/>
    <n v="9"/>
    <n v="21"/>
    <s v="Sunday"/>
    <x v="5"/>
    <x v="9"/>
    <x v="4"/>
    <s v="Veg Pizza"/>
    <x v="3"/>
    <n v="1"/>
    <n v="655"/>
    <n v="0"/>
    <n v="50"/>
    <n v="655"/>
    <n v="705"/>
    <x v="4"/>
    <x v="0"/>
    <x v="1"/>
    <n v="21"/>
    <n v="3.6"/>
  </r>
  <r>
    <x v="3609"/>
    <x v="263"/>
    <x v="8"/>
    <n v="9"/>
    <n v="21"/>
    <s v="Sunday"/>
    <x v="4"/>
    <x v="8"/>
    <x v="4"/>
    <s v="Fried Rice"/>
    <x v="2"/>
    <n v="1"/>
    <n v="846"/>
    <n v="0"/>
    <n v="0"/>
    <n v="846"/>
    <n v="846"/>
    <x v="0"/>
    <x v="3"/>
    <x v="1"/>
    <n v="68"/>
    <m/>
  </r>
  <r>
    <x v="3610"/>
    <x v="263"/>
    <x v="8"/>
    <n v="9"/>
    <n v="21"/>
    <s v="Sunday"/>
    <x v="1"/>
    <x v="14"/>
    <x v="4"/>
    <s v="Idli Sambar"/>
    <x v="3"/>
    <n v="1"/>
    <n v="759"/>
    <n v="0"/>
    <n v="50"/>
    <n v="759"/>
    <n v="809"/>
    <x v="1"/>
    <x v="0"/>
    <x v="0"/>
    <n v="30"/>
    <n v="4.9000000000000004"/>
  </r>
  <r>
    <x v="3611"/>
    <x v="263"/>
    <x v="8"/>
    <n v="9"/>
    <n v="21"/>
    <s v="Sunday"/>
    <x v="5"/>
    <x v="8"/>
    <x v="0"/>
    <s v="Chocolate Cake"/>
    <x v="1"/>
    <n v="2"/>
    <n v="852"/>
    <n v="127.8"/>
    <n v="30"/>
    <n v="1704"/>
    <n v="1606.2"/>
    <x v="1"/>
    <x v="0"/>
    <x v="0"/>
    <n v="39"/>
    <n v="4.7"/>
  </r>
  <r>
    <x v="3612"/>
    <x v="263"/>
    <x v="8"/>
    <n v="9"/>
    <n v="21"/>
    <s v="Sunday"/>
    <x v="0"/>
    <x v="3"/>
    <x v="1"/>
    <s v="Veg Pizza"/>
    <x v="2"/>
    <n v="2"/>
    <n v="475"/>
    <n v="0"/>
    <n v="70"/>
    <n v="950"/>
    <n v="1020"/>
    <x v="1"/>
    <x v="0"/>
    <x v="1"/>
    <n v="18"/>
    <n v="3.4"/>
  </r>
  <r>
    <x v="3613"/>
    <x v="263"/>
    <x v="8"/>
    <n v="9"/>
    <n v="21"/>
    <s v="Sunday"/>
    <x v="1"/>
    <x v="10"/>
    <x v="5"/>
    <s v="Fried Rice"/>
    <x v="0"/>
    <n v="1"/>
    <n v="374"/>
    <n v="0"/>
    <n v="30"/>
    <n v="374"/>
    <n v="404"/>
    <x v="4"/>
    <x v="0"/>
    <x v="0"/>
    <n v="50"/>
    <n v="3.8"/>
  </r>
  <r>
    <x v="3614"/>
    <x v="263"/>
    <x v="8"/>
    <n v="9"/>
    <n v="21"/>
    <s v="Sunday"/>
    <x v="1"/>
    <x v="7"/>
    <x v="5"/>
    <s v="Chicken Burger"/>
    <x v="1"/>
    <n v="1"/>
    <n v="880"/>
    <n v="132"/>
    <n v="30"/>
    <n v="880"/>
    <n v="778"/>
    <x v="1"/>
    <x v="1"/>
    <x v="1"/>
    <n v="65"/>
    <m/>
  </r>
  <r>
    <x v="3615"/>
    <x v="263"/>
    <x v="8"/>
    <n v="9"/>
    <n v="21"/>
    <s v="Sunday"/>
    <x v="6"/>
    <x v="8"/>
    <x v="3"/>
    <s v="Paneer Butter Masala"/>
    <x v="2"/>
    <n v="2"/>
    <n v="761"/>
    <n v="38.049999999999997"/>
    <n v="40"/>
    <n v="1522"/>
    <n v="1523.95"/>
    <x v="1"/>
    <x v="2"/>
    <x v="1"/>
    <n v="24"/>
    <m/>
  </r>
  <r>
    <x v="3616"/>
    <x v="263"/>
    <x v="8"/>
    <n v="9"/>
    <n v="21"/>
    <s v="Sunday"/>
    <x v="0"/>
    <x v="0"/>
    <x v="3"/>
    <s v="Chicken Burger"/>
    <x v="1"/>
    <n v="1"/>
    <n v="829"/>
    <n v="41.45"/>
    <n v="0"/>
    <n v="829"/>
    <n v="787.55"/>
    <x v="2"/>
    <x v="0"/>
    <x v="0"/>
    <n v="47"/>
    <n v="4"/>
  </r>
  <r>
    <x v="3617"/>
    <x v="263"/>
    <x v="8"/>
    <n v="9"/>
    <n v="21"/>
    <s v="Sunday"/>
    <x v="8"/>
    <x v="13"/>
    <x v="5"/>
    <s v="Veg Momos"/>
    <x v="1"/>
    <n v="3"/>
    <n v="580"/>
    <n v="116"/>
    <n v="60"/>
    <n v="1740"/>
    <n v="1684"/>
    <x v="4"/>
    <x v="0"/>
    <x v="0"/>
    <n v="45"/>
    <n v="3.6"/>
  </r>
  <r>
    <x v="3618"/>
    <x v="264"/>
    <x v="8"/>
    <n v="9"/>
    <n v="22"/>
    <s v="Monday"/>
    <x v="2"/>
    <x v="7"/>
    <x v="5"/>
    <s v="Masala Dosa"/>
    <x v="2"/>
    <n v="1"/>
    <n v="248"/>
    <n v="24.8"/>
    <n v="30"/>
    <n v="248"/>
    <n v="253.2"/>
    <x v="2"/>
    <x v="0"/>
    <x v="1"/>
    <n v="59"/>
    <n v="4.2"/>
  </r>
  <r>
    <x v="3619"/>
    <x v="264"/>
    <x v="8"/>
    <n v="9"/>
    <n v="22"/>
    <s v="Monday"/>
    <x v="1"/>
    <x v="9"/>
    <x v="9"/>
    <s v="Masala Dosa"/>
    <x v="1"/>
    <n v="1"/>
    <n v="447"/>
    <n v="44.7"/>
    <n v="60"/>
    <n v="447"/>
    <n v="462.3"/>
    <x v="4"/>
    <x v="0"/>
    <x v="1"/>
    <n v="67"/>
    <n v="4.8"/>
  </r>
  <r>
    <x v="3620"/>
    <x v="264"/>
    <x v="8"/>
    <n v="9"/>
    <n v="22"/>
    <s v="Monday"/>
    <x v="7"/>
    <x v="0"/>
    <x v="8"/>
    <s v="Cold Coffee"/>
    <x v="2"/>
    <n v="1"/>
    <n v="652"/>
    <n v="32.6"/>
    <n v="40"/>
    <n v="652"/>
    <n v="659.4"/>
    <x v="2"/>
    <x v="0"/>
    <x v="1"/>
    <n v="60"/>
    <n v="4.0999999999999996"/>
  </r>
  <r>
    <x v="3621"/>
    <x v="264"/>
    <x v="8"/>
    <n v="9"/>
    <n v="22"/>
    <s v="Monday"/>
    <x v="0"/>
    <x v="10"/>
    <x v="0"/>
    <s v="Chicken Burger"/>
    <x v="3"/>
    <n v="2"/>
    <n v="589"/>
    <n v="147.25"/>
    <n v="50"/>
    <n v="1178"/>
    <n v="1080.75"/>
    <x v="1"/>
    <x v="0"/>
    <x v="1"/>
    <n v="44"/>
    <n v="3.5"/>
  </r>
  <r>
    <x v="3622"/>
    <x v="264"/>
    <x v="8"/>
    <n v="9"/>
    <n v="22"/>
    <s v="Monday"/>
    <x v="3"/>
    <x v="11"/>
    <x v="2"/>
    <s v="Cold Coffee"/>
    <x v="2"/>
    <n v="2"/>
    <n v="649"/>
    <n v="32.450000000000003"/>
    <n v="60"/>
    <n v="1298"/>
    <n v="1325.55"/>
    <x v="4"/>
    <x v="0"/>
    <x v="1"/>
    <n v="30"/>
    <n v="4.2"/>
  </r>
  <r>
    <x v="3623"/>
    <x v="264"/>
    <x v="8"/>
    <n v="9"/>
    <n v="22"/>
    <s v="Monday"/>
    <x v="0"/>
    <x v="12"/>
    <x v="8"/>
    <s v="Veg Burger"/>
    <x v="1"/>
    <n v="1"/>
    <n v="551"/>
    <n v="137.75"/>
    <n v="20"/>
    <n v="551"/>
    <n v="433.25"/>
    <x v="1"/>
    <x v="0"/>
    <x v="0"/>
    <n v="54"/>
    <n v="4.2"/>
  </r>
  <r>
    <x v="3624"/>
    <x v="264"/>
    <x v="8"/>
    <n v="9"/>
    <n v="22"/>
    <s v="Monday"/>
    <x v="6"/>
    <x v="2"/>
    <x v="3"/>
    <s v="Pasta"/>
    <x v="1"/>
    <n v="1"/>
    <n v="458"/>
    <n v="91.6"/>
    <n v="50"/>
    <n v="458"/>
    <n v="416.4"/>
    <x v="3"/>
    <x v="0"/>
    <x v="0"/>
    <n v="26"/>
    <n v="4.4000000000000004"/>
  </r>
  <r>
    <x v="3625"/>
    <x v="264"/>
    <x v="8"/>
    <n v="9"/>
    <n v="22"/>
    <s v="Monday"/>
    <x v="5"/>
    <x v="2"/>
    <x v="7"/>
    <s v="Chicken Biryani"/>
    <x v="2"/>
    <n v="2"/>
    <n v="250"/>
    <n v="37.5"/>
    <n v="50"/>
    <n v="500"/>
    <n v="512.5"/>
    <x v="0"/>
    <x v="1"/>
    <x v="1"/>
    <n v="34"/>
    <m/>
  </r>
  <r>
    <x v="3626"/>
    <x v="264"/>
    <x v="8"/>
    <n v="9"/>
    <n v="22"/>
    <s v="Monday"/>
    <x v="5"/>
    <x v="10"/>
    <x v="5"/>
    <s v="Paneer Butter Masala"/>
    <x v="1"/>
    <n v="1"/>
    <n v="629"/>
    <n v="31.45"/>
    <n v="60"/>
    <n v="629"/>
    <n v="657.55"/>
    <x v="1"/>
    <x v="3"/>
    <x v="0"/>
    <n v="33"/>
    <m/>
  </r>
  <r>
    <x v="3627"/>
    <x v="264"/>
    <x v="8"/>
    <n v="9"/>
    <n v="22"/>
    <s v="Monday"/>
    <x v="9"/>
    <x v="5"/>
    <x v="2"/>
    <s v="Fried Rice"/>
    <x v="3"/>
    <n v="2"/>
    <n v="436"/>
    <n v="21.8"/>
    <n v="0"/>
    <n v="872"/>
    <n v="850.2"/>
    <x v="1"/>
    <x v="0"/>
    <x v="0"/>
    <n v="18"/>
    <n v="5"/>
  </r>
  <r>
    <x v="3628"/>
    <x v="265"/>
    <x v="8"/>
    <n v="9"/>
    <n v="23"/>
    <s v="Tuesday"/>
    <x v="5"/>
    <x v="0"/>
    <x v="7"/>
    <s v="Cold Coffee"/>
    <x v="1"/>
    <n v="1"/>
    <n v="638"/>
    <n v="63.8"/>
    <n v="40"/>
    <n v="638"/>
    <n v="614.20000000000005"/>
    <x v="1"/>
    <x v="0"/>
    <x v="1"/>
    <n v="32"/>
    <n v="4.9000000000000004"/>
  </r>
  <r>
    <x v="3629"/>
    <x v="265"/>
    <x v="8"/>
    <n v="9"/>
    <n v="23"/>
    <s v="Tuesday"/>
    <x v="1"/>
    <x v="14"/>
    <x v="6"/>
    <s v="Fried Rice"/>
    <x v="1"/>
    <n v="1"/>
    <n v="821"/>
    <n v="82.1"/>
    <n v="0"/>
    <n v="821"/>
    <n v="738.9"/>
    <x v="1"/>
    <x v="0"/>
    <x v="1"/>
    <n v="60"/>
    <n v="4.4000000000000004"/>
  </r>
  <r>
    <x v="3630"/>
    <x v="265"/>
    <x v="8"/>
    <n v="9"/>
    <n v="23"/>
    <s v="Tuesday"/>
    <x v="6"/>
    <x v="4"/>
    <x v="5"/>
    <s v="Veg Pizza"/>
    <x v="1"/>
    <n v="2"/>
    <n v="744"/>
    <n v="111.6"/>
    <n v="60"/>
    <n v="1488"/>
    <n v="1436.4"/>
    <x v="1"/>
    <x v="0"/>
    <x v="1"/>
    <n v="59"/>
    <n v="5"/>
  </r>
  <r>
    <x v="3631"/>
    <x v="265"/>
    <x v="8"/>
    <n v="9"/>
    <n v="23"/>
    <s v="Tuesday"/>
    <x v="0"/>
    <x v="14"/>
    <x v="5"/>
    <s v="Fried Rice"/>
    <x v="1"/>
    <n v="2"/>
    <n v="403"/>
    <n v="80.599999999999994"/>
    <n v="40"/>
    <n v="806"/>
    <n v="765.4"/>
    <x v="0"/>
    <x v="2"/>
    <x v="1"/>
    <n v="18"/>
    <m/>
  </r>
  <r>
    <x v="3632"/>
    <x v="265"/>
    <x v="8"/>
    <n v="9"/>
    <n v="23"/>
    <s v="Tuesday"/>
    <x v="9"/>
    <x v="5"/>
    <x v="2"/>
    <s v="Chocolate Cake"/>
    <x v="3"/>
    <n v="3"/>
    <n v="423"/>
    <n v="105.75"/>
    <n v="60"/>
    <n v="1269"/>
    <n v="1223.25"/>
    <x v="1"/>
    <x v="0"/>
    <x v="1"/>
    <n v="34"/>
    <n v="2.9"/>
  </r>
  <r>
    <x v="3633"/>
    <x v="265"/>
    <x v="8"/>
    <n v="9"/>
    <n v="23"/>
    <s v="Tuesday"/>
    <x v="7"/>
    <x v="4"/>
    <x v="3"/>
    <s v="Idli Sambar"/>
    <x v="1"/>
    <n v="1"/>
    <n v="538"/>
    <n v="53.8"/>
    <n v="50"/>
    <n v="538"/>
    <n v="534.20000000000005"/>
    <x v="1"/>
    <x v="0"/>
    <x v="1"/>
    <n v="70"/>
    <n v="4.0999999999999996"/>
  </r>
  <r>
    <x v="3634"/>
    <x v="265"/>
    <x v="8"/>
    <n v="9"/>
    <n v="23"/>
    <s v="Tuesday"/>
    <x v="4"/>
    <x v="4"/>
    <x v="9"/>
    <s v="Veg Momos"/>
    <x v="0"/>
    <n v="2"/>
    <n v="209"/>
    <n v="10.45"/>
    <n v="20"/>
    <n v="418"/>
    <n v="427.55"/>
    <x v="2"/>
    <x v="0"/>
    <x v="0"/>
    <n v="54"/>
    <n v="4.7"/>
  </r>
  <r>
    <x v="3635"/>
    <x v="265"/>
    <x v="8"/>
    <n v="9"/>
    <n v="23"/>
    <s v="Tuesday"/>
    <x v="9"/>
    <x v="3"/>
    <x v="4"/>
    <s v="Pasta"/>
    <x v="2"/>
    <n v="1"/>
    <n v="684"/>
    <n v="171"/>
    <n v="30"/>
    <n v="684"/>
    <n v="543"/>
    <x v="3"/>
    <x v="0"/>
    <x v="1"/>
    <n v="18"/>
    <n v="4.4000000000000004"/>
  </r>
  <r>
    <x v="3636"/>
    <x v="265"/>
    <x v="8"/>
    <n v="9"/>
    <n v="23"/>
    <s v="Tuesday"/>
    <x v="6"/>
    <x v="1"/>
    <x v="9"/>
    <s v="Pasta"/>
    <x v="0"/>
    <n v="1"/>
    <n v="885"/>
    <n v="221.25"/>
    <n v="40"/>
    <n v="885"/>
    <n v="703.75"/>
    <x v="1"/>
    <x v="1"/>
    <x v="0"/>
    <n v="22"/>
    <m/>
  </r>
  <r>
    <x v="3637"/>
    <x v="265"/>
    <x v="8"/>
    <n v="9"/>
    <n v="23"/>
    <s v="Tuesday"/>
    <x v="9"/>
    <x v="2"/>
    <x v="6"/>
    <s v="French Fries"/>
    <x v="1"/>
    <n v="3"/>
    <n v="194"/>
    <n v="19.399999999999999"/>
    <n v="60"/>
    <n v="582"/>
    <n v="622.6"/>
    <x v="2"/>
    <x v="0"/>
    <x v="1"/>
    <n v="22"/>
    <n v="3.4"/>
  </r>
  <r>
    <x v="3638"/>
    <x v="265"/>
    <x v="8"/>
    <n v="9"/>
    <n v="23"/>
    <s v="Tuesday"/>
    <x v="4"/>
    <x v="13"/>
    <x v="3"/>
    <s v="Veg Pizza"/>
    <x v="2"/>
    <n v="1"/>
    <n v="715"/>
    <n v="178.75"/>
    <n v="30"/>
    <n v="715"/>
    <n v="566.25"/>
    <x v="1"/>
    <x v="0"/>
    <x v="0"/>
    <n v="32"/>
    <n v="3.6"/>
  </r>
  <r>
    <x v="3639"/>
    <x v="265"/>
    <x v="8"/>
    <n v="9"/>
    <n v="23"/>
    <s v="Tuesday"/>
    <x v="0"/>
    <x v="2"/>
    <x v="9"/>
    <s v="Veg Biryani"/>
    <x v="3"/>
    <n v="1"/>
    <n v="548"/>
    <n v="54.8"/>
    <n v="60"/>
    <n v="548"/>
    <n v="553.20000000000005"/>
    <x v="1"/>
    <x v="0"/>
    <x v="0"/>
    <n v="54"/>
    <n v="3.4"/>
  </r>
  <r>
    <x v="3640"/>
    <x v="266"/>
    <x v="8"/>
    <n v="9"/>
    <n v="24"/>
    <s v="Wednesday"/>
    <x v="2"/>
    <x v="2"/>
    <x v="1"/>
    <s v="Chicken Biryani"/>
    <x v="0"/>
    <n v="1"/>
    <n v="719"/>
    <n v="0"/>
    <n v="30"/>
    <n v="719"/>
    <n v="749"/>
    <x v="1"/>
    <x v="3"/>
    <x v="0"/>
    <n v="49"/>
    <m/>
  </r>
  <r>
    <x v="3641"/>
    <x v="266"/>
    <x v="8"/>
    <n v="9"/>
    <n v="24"/>
    <s v="Wednesday"/>
    <x v="5"/>
    <x v="7"/>
    <x v="3"/>
    <s v="French Fries"/>
    <x v="1"/>
    <n v="1"/>
    <n v="251"/>
    <n v="25.1"/>
    <n v="0"/>
    <n v="251"/>
    <n v="225.9"/>
    <x v="0"/>
    <x v="0"/>
    <x v="1"/>
    <n v="64"/>
    <n v="4.2"/>
  </r>
  <r>
    <x v="3642"/>
    <x v="266"/>
    <x v="8"/>
    <n v="9"/>
    <n v="24"/>
    <s v="Wednesday"/>
    <x v="0"/>
    <x v="6"/>
    <x v="3"/>
    <s v="Pasta"/>
    <x v="1"/>
    <n v="3"/>
    <n v="584"/>
    <n v="29.2"/>
    <n v="20"/>
    <n v="1752"/>
    <n v="1742.8"/>
    <x v="1"/>
    <x v="0"/>
    <x v="1"/>
    <n v="46"/>
    <n v="4.5999999999999996"/>
  </r>
  <r>
    <x v="3643"/>
    <x v="266"/>
    <x v="8"/>
    <n v="9"/>
    <n v="24"/>
    <s v="Wednesday"/>
    <x v="5"/>
    <x v="9"/>
    <x v="2"/>
    <s v="Pasta"/>
    <x v="1"/>
    <n v="2"/>
    <n v="604"/>
    <n v="60.4"/>
    <n v="60"/>
    <n v="1208"/>
    <n v="1207.5999999999999"/>
    <x v="2"/>
    <x v="2"/>
    <x v="1"/>
    <n v="47"/>
    <m/>
  </r>
  <r>
    <x v="3644"/>
    <x v="266"/>
    <x v="8"/>
    <n v="9"/>
    <n v="24"/>
    <s v="Wednesday"/>
    <x v="6"/>
    <x v="2"/>
    <x v="2"/>
    <s v="French Fries"/>
    <x v="1"/>
    <n v="1"/>
    <n v="328"/>
    <n v="65.599999999999994"/>
    <n v="60"/>
    <n v="328"/>
    <n v="322.39999999999998"/>
    <x v="2"/>
    <x v="2"/>
    <x v="1"/>
    <n v="61"/>
    <m/>
  </r>
  <r>
    <x v="3645"/>
    <x v="266"/>
    <x v="8"/>
    <n v="9"/>
    <n v="24"/>
    <s v="Wednesday"/>
    <x v="7"/>
    <x v="5"/>
    <x v="9"/>
    <s v="Pasta"/>
    <x v="1"/>
    <n v="2"/>
    <n v="697"/>
    <n v="174.25"/>
    <n v="60"/>
    <n v="1394"/>
    <n v="1279.75"/>
    <x v="0"/>
    <x v="0"/>
    <x v="1"/>
    <n v="19"/>
    <n v="4.9000000000000004"/>
  </r>
  <r>
    <x v="3646"/>
    <x v="266"/>
    <x v="8"/>
    <n v="9"/>
    <n v="24"/>
    <s v="Wednesday"/>
    <x v="0"/>
    <x v="10"/>
    <x v="1"/>
    <s v="Paneer Butter Masala"/>
    <x v="2"/>
    <n v="1"/>
    <n v="733"/>
    <n v="73.3"/>
    <n v="40"/>
    <n v="733"/>
    <n v="699.7"/>
    <x v="4"/>
    <x v="2"/>
    <x v="1"/>
    <n v="27"/>
    <m/>
  </r>
  <r>
    <x v="3647"/>
    <x v="266"/>
    <x v="8"/>
    <n v="9"/>
    <n v="24"/>
    <s v="Wednesday"/>
    <x v="5"/>
    <x v="4"/>
    <x v="4"/>
    <s v="Chicken Pizza"/>
    <x v="1"/>
    <n v="2"/>
    <n v="792"/>
    <n v="198"/>
    <n v="60"/>
    <n v="1584"/>
    <n v="1446"/>
    <x v="1"/>
    <x v="0"/>
    <x v="1"/>
    <n v="63"/>
    <n v="3.4"/>
  </r>
  <r>
    <x v="3648"/>
    <x v="266"/>
    <x v="8"/>
    <n v="9"/>
    <n v="24"/>
    <s v="Wednesday"/>
    <x v="0"/>
    <x v="1"/>
    <x v="5"/>
    <s v="Veg Momos"/>
    <x v="1"/>
    <n v="2"/>
    <n v="199"/>
    <n v="0"/>
    <n v="50"/>
    <n v="398"/>
    <n v="448"/>
    <x v="1"/>
    <x v="0"/>
    <x v="1"/>
    <n v="47"/>
    <n v="4.2"/>
  </r>
  <r>
    <x v="3649"/>
    <x v="266"/>
    <x v="8"/>
    <n v="9"/>
    <n v="24"/>
    <s v="Wednesday"/>
    <x v="4"/>
    <x v="3"/>
    <x v="5"/>
    <s v="Veg Biryani"/>
    <x v="2"/>
    <n v="1"/>
    <n v="896"/>
    <n v="89.6"/>
    <n v="0"/>
    <n v="896"/>
    <n v="806.4"/>
    <x v="1"/>
    <x v="0"/>
    <x v="0"/>
    <n v="35"/>
    <n v="4.5"/>
  </r>
  <r>
    <x v="3650"/>
    <x v="266"/>
    <x v="8"/>
    <n v="9"/>
    <n v="24"/>
    <s v="Wednesday"/>
    <x v="1"/>
    <x v="11"/>
    <x v="3"/>
    <s v="Pasta"/>
    <x v="1"/>
    <n v="1"/>
    <n v="209"/>
    <n v="52.25"/>
    <n v="20"/>
    <n v="209"/>
    <n v="176.75"/>
    <x v="0"/>
    <x v="2"/>
    <x v="0"/>
    <n v="52"/>
    <m/>
  </r>
  <r>
    <x v="3651"/>
    <x v="266"/>
    <x v="8"/>
    <n v="9"/>
    <n v="24"/>
    <s v="Wednesday"/>
    <x v="2"/>
    <x v="1"/>
    <x v="7"/>
    <s v="Chocolate Cake"/>
    <x v="1"/>
    <n v="1"/>
    <n v="411"/>
    <n v="0"/>
    <n v="30"/>
    <n v="411"/>
    <n v="441"/>
    <x v="2"/>
    <x v="0"/>
    <x v="1"/>
    <n v="59"/>
    <n v="4.9000000000000004"/>
  </r>
  <r>
    <x v="3652"/>
    <x v="266"/>
    <x v="8"/>
    <n v="9"/>
    <n v="24"/>
    <s v="Wednesday"/>
    <x v="6"/>
    <x v="14"/>
    <x v="7"/>
    <s v="Veg Biryani"/>
    <x v="2"/>
    <n v="1"/>
    <n v="371"/>
    <n v="18.55"/>
    <n v="40"/>
    <n v="371"/>
    <n v="392.45"/>
    <x v="1"/>
    <x v="0"/>
    <x v="1"/>
    <n v="54"/>
    <n v="3"/>
  </r>
  <r>
    <x v="3653"/>
    <x v="266"/>
    <x v="8"/>
    <n v="9"/>
    <n v="24"/>
    <s v="Wednesday"/>
    <x v="5"/>
    <x v="6"/>
    <x v="0"/>
    <s v="Chicken Pizza"/>
    <x v="1"/>
    <n v="1"/>
    <n v="302"/>
    <n v="15.1"/>
    <n v="40"/>
    <n v="302"/>
    <n v="326.89999999999998"/>
    <x v="4"/>
    <x v="0"/>
    <x v="1"/>
    <n v="35"/>
    <n v="5"/>
  </r>
  <r>
    <x v="3654"/>
    <x v="266"/>
    <x v="8"/>
    <n v="9"/>
    <n v="24"/>
    <s v="Wednesday"/>
    <x v="6"/>
    <x v="1"/>
    <x v="0"/>
    <s v="Chicken Burger"/>
    <x v="0"/>
    <n v="2"/>
    <n v="595"/>
    <n v="29.75"/>
    <n v="50"/>
    <n v="1190"/>
    <n v="1210.25"/>
    <x v="2"/>
    <x v="0"/>
    <x v="0"/>
    <n v="60"/>
    <n v="3.3"/>
  </r>
  <r>
    <x v="3655"/>
    <x v="267"/>
    <x v="8"/>
    <n v="9"/>
    <n v="25"/>
    <s v="Thursday"/>
    <x v="2"/>
    <x v="2"/>
    <x v="6"/>
    <s v="Veg Burger"/>
    <x v="1"/>
    <n v="2"/>
    <n v="448"/>
    <n v="89.6"/>
    <n v="30"/>
    <n v="896"/>
    <n v="836.4"/>
    <x v="2"/>
    <x v="2"/>
    <x v="1"/>
    <n v="18"/>
    <m/>
  </r>
  <r>
    <x v="3656"/>
    <x v="267"/>
    <x v="8"/>
    <n v="9"/>
    <n v="25"/>
    <s v="Thursday"/>
    <x v="2"/>
    <x v="14"/>
    <x v="8"/>
    <s v="Chocolate Cake"/>
    <x v="1"/>
    <n v="1"/>
    <n v="171"/>
    <n v="17.100000000000001"/>
    <n v="0"/>
    <n v="171"/>
    <n v="153.9"/>
    <x v="3"/>
    <x v="0"/>
    <x v="1"/>
    <n v="40"/>
    <n v="4"/>
  </r>
  <r>
    <x v="3657"/>
    <x v="267"/>
    <x v="8"/>
    <n v="9"/>
    <n v="25"/>
    <s v="Thursday"/>
    <x v="5"/>
    <x v="3"/>
    <x v="7"/>
    <s v="Chicken Burger"/>
    <x v="2"/>
    <n v="1"/>
    <n v="305"/>
    <n v="30.5"/>
    <n v="30"/>
    <n v="305"/>
    <n v="304.5"/>
    <x v="0"/>
    <x v="0"/>
    <x v="1"/>
    <n v="25"/>
    <n v="4.2"/>
  </r>
  <r>
    <x v="3658"/>
    <x v="267"/>
    <x v="8"/>
    <n v="9"/>
    <n v="25"/>
    <s v="Thursday"/>
    <x v="3"/>
    <x v="6"/>
    <x v="4"/>
    <s v="Idli Sambar"/>
    <x v="3"/>
    <n v="3"/>
    <n v="680"/>
    <n v="102"/>
    <n v="20"/>
    <n v="2040"/>
    <n v="1958"/>
    <x v="2"/>
    <x v="0"/>
    <x v="1"/>
    <n v="33"/>
    <n v="3.2"/>
  </r>
  <r>
    <x v="3659"/>
    <x v="267"/>
    <x v="8"/>
    <n v="9"/>
    <n v="25"/>
    <s v="Thursday"/>
    <x v="2"/>
    <x v="10"/>
    <x v="6"/>
    <s v="Chicken Biryani"/>
    <x v="3"/>
    <n v="2"/>
    <n v="740"/>
    <n v="74"/>
    <n v="30"/>
    <n v="1480"/>
    <n v="1436"/>
    <x v="1"/>
    <x v="0"/>
    <x v="1"/>
    <n v="49"/>
    <n v="4.9000000000000004"/>
  </r>
  <r>
    <x v="3660"/>
    <x v="267"/>
    <x v="8"/>
    <n v="9"/>
    <n v="25"/>
    <s v="Thursday"/>
    <x v="3"/>
    <x v="2"/>
    <x v="3"/>
    <s v="Chicken Burger"/>
    <x v="3"/>
    <n v="1"/>
    <n v="691"/>
    <n v="138.19999999999999"/>
    <n v="20"/>
    <n v="691"/>
    <n v="572.79999999999995"/>
    <x v="1"/>
    <x v="0"/>
    <x v="1"/>
    <n v="26"/>
    <n v="3.2"/>
  </r>
  <r>
    <x v="3661"/>
    <x v="267"/>
    <x v="8"/>
    <n v="9"/>
    <n v="25"/>
    <s v="Thursday"/>
    <x v="8"/>
    <x v="14"/>
    <x v="6"/>
    <s v="Fried Rice"/>
    <x v="0"/>
    <n v="1"/>
    <n v="889"/>
    <n v="222.25"/>
    <n v="40"/>
    <n v="889"/>
    <n v="706.75"/>
    <x v="2"/>
    <x v="0"/>
    <x v="0"/>
    <n v="30"/>
    <n v="3"/>
  </r>
  <r>
    <x v="3662"/>
    <x v="267"/>
    <x v="8"/>
    <n v="9"/>
    <n v="25"/>
    <s v="Thursday"/>
    <x v="9"/>
    <x v="10"/>
    <x v="1"/>
    <s v="Veg Burger"/>
    <x v="1"/>
    <n v="1"/>
    <n v="398"/>
    <n v="59.7"/>
    <n v="20"/>
    <n v="398"/>
    <n v="358.3"/>
    <x v="1"/>
    <x v="1"/>
    <x v="1"/>
    <n v="33"/>
    <m/>
  </r>
  <r>
    <x v="3663"/>
    <x v="267"/>
    <x v="8"/>
    <n v="9"/>
    <n v="25"/>
    <s v="Thursday"/>
    <x v="4"/>
    <x v="2"/>
    <x v="1"/>
    <s v="Fried Rice"/>
    <x v="0"/>
    <n v="2"/>
    <n v="236"/>
    <n v="59"/>
    <n v="50"/>
    <n v="472"/>
    <n v="463"/>
    <x v="1"/>
    <x v="0"/>
    <x v="1"/>
    <n v="41"/>
    <n v="5"/>
  </r>
  <r>
    <x v="3664"/>
    <x v="267"/>
    <x v="8"/>
    <n v="9"/>
    <n v="25"/>
    <s v="Thursday"/>
    <x v="3"/>
    <x v="8"/>
    <x v="8"/>
    <s v="Cold Coffee"/>
    <x v="2"/>
    <n v="1"/>
    <n v="535"/>
    <n v="80.25"/>
    <n v="50"/>
    <n v="535"/>
    <n v="504.75"/>
    <x v="0"/>
    <x v="2"/>
    <x v="1"/>
    <n v="59"/>
    <m/>
  </r>
  <r>
    <x v="3665"/>
    <x v="267"/>
    <x v="8"/>
    <n v="9"/>
    <n v="25"/>
    <s v="Thursday"/>
    <x v="0"/>
    <x v="13"/>
    <x v="4"/>
    <s v="French Fries"/>
    <x v="1"/>
    <n v="1"/>
    <n v="622"/>
    <n v="31.1"/>
    <n v="40"/>
    <n v="622"/>
    <n v="630.9"/>
    <x v="2"/>
    <x v="0"/>
    <x v="0"/>
    <n v="37"/>
    <n v="3.9"/>
  </r>
  <r>
    <x v="3666"/>
    <x v="267"/>
    <x v="8"/>
    <n v="9"/>
    <n v="25"/>
    <s v="Thursday"/>
    <x v="0"/>
    <x v="10"/>
    <x v="9"/>
    <s v="Chicken Burger"/>
    <x v="1"/>
    <n v="1"/>
    <n v="752"/>
    <n v="150.4"/>
    <n v="0"/>
    <n v="752"/>
    <n v="601.6"/>
    <x v="2"/>
    <x v="2"/>
    <x v="1"/>
    <n v="31"/>
    <m/>
  </r>
  <r>
    <x v="3667"/>
    <x v="267"/>
    <x v="8"/>
    <n v="9"/>
    <n v="25"/>
    <s v="Thursday"/>
    <x v="2"/>
    <x v="14"/>
    <x v="0"/>
    <s v="Chicken Momos"/>
    <x v="1"/>
    <n v="1"/>
    <n v="718"/>
    <n v="143.6"/>
    <n v="40"/>
    <n v="718"/>
    <n v="614.4"/>
    <x v="1"/>
    <x v="0"/>
    <x v="1"/>
    <n v="64"/>
    <n v="3.3"/>
  </r>
  <r>
    <x v="3668"/>
    <x v="267"/>
    <x v="8"/>
    <n v="9"/>
    <n v="25"/>
    <s v="Thursday"/>
    <x v="3"/>
    <x v="6"/>
    <x v="3"/>
    <s v="Chicken Momos"/>
    <x v="1"/>
    <n v="2"/>
    <n v="467"/>
    <n v="23.35"/>
    <n v="40"/>
    <n v="934"/>
    <n v="950.65"/>
    <x v="1"/>
    <x v="2"/>
    <x v="0"/>
    <n v="62"/>
    <m/>
  </r>
  <r>
    <x v="3669"/>
    <x v="267"/>
    <x v="8"/>
    <n v="9"/>
    <n v="25"/>
    <s v="Thursday"/>
    <x v="4"/>
    <x v="10"/>
    <x v="1"/>
    <s v="Chicken Burger"/>
    <x v="1"/>
    <n v="2"/>
    <n v="201"/>
    <n v="20.100000000000001"/>
    <n v="30"/>
    <n v="402"/>
    <n v="411.9"/>
    <x v="1"/>
    <x v="0"/>
    <x v="1"/>
    <n v="20"/>
    <n v="4.3"/>
  </r>
  <r>
    <x v="3670"/>
    <x v="267"/>
    <x v="8"/>
    <n v="9"/>
    <n v="25"/>
    <s v="Thursday"/>
    <x v="6"/>
    <x v="8"/>
    <x v="1"/>
    <s v="Idli Sambar"/>
    <x v="1"/>
    <n v="1"/>
    <n v="156"/>
    <n v="39"/>
    <n v="30"/>
    <n v="156"/>
    <n v="147"/>
    <x v="2"/>
    <x v="0"/>
    <x v="1"/>
    <n v="33"/>
    <n v="4.0999999999999996"/>
  </r>
  <r>
    <x v="3671"/>
    <x v="267"/>
    <x v="8"/>
    <n v="9"/>
    <n v="25"/>
    <s v="Thursday"/>
    <x v="6"/>
    <x v="0"/>
    <x v="6"/>
    <s v="Masala Dosa"/>
    <x v="1"/>
    <n v="3"/>
    <n v="366"/>
    <n v="73.2"/>
    <n v="20"/>
    <n v="1098"/>
    <n v="1044.8"/>
    <x v="1"/>
    <x v="0"/>
    <x v="0"/>
    <n v="55"/>
    <n v="4.4000000000000004"/>
  </r>
  <r>
    <x v="3672"/>
    <x v="267"/>
    <x v="8"/>
    <n v="9"/>
    <n v="25"/>
    <s v="Thursday"/>
    <x v="1"/>
    <x v="6"/>
    <x v="3"/>
    <s v="Masala Dosa"/>
    <x v="1"/>
    <n v="3"/>
    <n v="217"/>
    <n v="21.7"/>
    <n v="30"/>
    <n v="651"/>
    <n v="659.3"/>
    <x v="1"/>
    <x v="0"/>
    <x v="0"/>
    <n v="53"/>
    <n v="4.4000000000000004"/>
  </r>
  <r>
    <x v="3673"/>
    <x v="267"/>
    <x v="8"/>
    <n v="9"/>
    <n v="25"/>
    <s v="Thursday"/>
    <x v="3"/>
    <x v="3"/>
    <x v="5"/>
    <s v="Chicken Biryani"/>
    <x v="1"/>
    <n v="2"/>
    <n v="532"/>
    <n v="133"/>
    <n v="50"/>
    <n v="1064"/>
    <n v="981"/>
    <x v="3"/>
    <x v="0"/>
    <x v="1"/>
    <n v="59"/>
    <n v="4.7"/>
  </r>
  <r>
    <x v="3674"/>
    <x v="268"/>
    <x v="8"/>
    <n v="9"/>
    <n v="26"/>
    <s v="Friday"/>
    <x v="1"/>
    <x v="10"/>
    <x v="6"/>
    <s v="Chicken Pizza"/>
    <x v="1"/>
    <n v="2"/>
    <n v="848"/>
    <n v="0"/>
    <n v="0"/>
    <n v="1696"/>
    <n v="1696"/>
    <x v="1"/>
    <x v="0"/>
    <x v="1"/>
    <n v="60"/>
    <n v="4.2"/>
  </r>
  <r>
    <x v="3675"/>
    <x v="268"/>
    <x v="8"/>
    <n v="9"/>
    <n v="26"/>
    <s v="Friday"/>
    <x v="1"/>
    <x v="3"/>
    <x v="3"/>
    <s v="Veg Biryani"/>
    <x v="1"/>
    <n v="1"/>
    <n v="440"/>
    <n v="66"/>
    <n v="70"/>
    <n v="440"/>
    <n v="444"/>
    <x v="1"/>
    <x v="0"/>
    <x v="0"/>
    <n v="67"/>
    <n v="3.6"/>
  </r>
  <r>
    <x v="3676"/>
    <x v="268"/>
    <x v="8"/>
    <n v="9"/>
    <n v="26"/>
    <s v="Friday"/>
    <x v="5"/>
    <x v="9"/>
    <x v="3"/>
    <s v="Chicken Pizza"/>
    <x v="2"/>
    <n v="1"/>
    <n v="343"/>
    <n v="0"/>
    <n v="30"/>
    <n v="343"/>
    <n v="373"/>
    <x v="3"/>
    <x v="0"/>
    <x v="1"/>
    <n v="64"/>
    <n v="4.5"/>
  </r>
  <r>
    <x v="3677"/>
    <x v="268"/>
    <x v="8"/>
    <n v="9"/>
    <n v="26"/>
    <s v="Friday"/>
    <x v="2"/>
    <x v="8"/>
    <x v="6"/>
    <s v="Masala Dosa"/>
    <x v="1"/>
    <n v="2"/>
    <n v="708"/>
    <n v="106.2"/>
    <n v="20"/>
    <n v="1416"/>
    <n v="1329.8"/>
    <x v="2"/>
    <x v="0"/>
    <x v="1"/>
    <n v="62"/>
    <n v="3.5"/>
  </r>
  <r>
    <x v="3678"/>
    <x v="268"/>
    <x v="8"/>
    <n v="9"/>
    <n v="26"/>
    <s v="Friday"/>
    <x v="7"/>
    <x v="2"/>
    <x v="6"/>
    <s v="Veg Pizza"/>
    <x v="1"/>
    <n v="2"/>
    <n v="142"/>
    <n v="0"/>
    <n v="0"/>
    <n v="284"/>
    <n v="284"/>
    <x v="1"/>
    <x v="0"/>
    <x v="0"/>
    <n v="31"/>
    <n v="5"/>
  </r>
  <r>
    <x v="3679"/>
    <x v="268"/>
    <x v="8"/>
    <n v="9"/>
    <n v="26"/>
    <s v="Friday"/>
    <x v="8"/>
    <x v="13"/>
    <x v="7"/>
    <s v="Masala Dosa"/>
    <x v="2"/>
    <n v="2"/>
    <n v="587"/>
    <n v="58.7"/>
    <n v="40"/>
    <n v="1174"/>
    <n v="1155.3"/>
    <x v="3"/>
    <x v="1"/>
    <x v="1"/>
    <n v="21"/>
    <m/>
  </r>
  <r>
    <x v="3680"/>
    <x v="268"/>
    <x v="8"/>
    <n v="9"/>
    <n v="26"/>
    <s v="Friday"/>
    <x v="5"/>
    <x v="2"/>
    <x v="4"/>
    <s v="Masala Dosa"/>
    <x v="3"/>
    <n v="3"/>
    <n v="511"/>
    <n v="76.650000000000006"/>
    <n v="30"/>
    <n v="1533"/>
    <n v="1486.35"/>
    <x v="0"/>
    <x v="0"/>
    <x v="0"/>
    <n v="19"/>
    <n v="4.2"/>
  </r>
  <r>
    <x v="3681"/>
    <x v="268"/>
    <x v="8"/>
    <n v="9"/>
    <n v="26"/>
    <s v="Friday"/>
    <x v="3"/>
    <x v="12"/>
    <x v="1"/>
    <s v="Chicken Burger"/>
    <x v="1"/>
    <n v="1"/>
    <n v="180"/>
    <n v="36"/>
    <n v="20"/>
    <n v="180"/>
    <n v="164"/>
    <x v="4"/>
    <x v="2"/>
    <x v="1"/>
    <n v="52"/>
    <m/>
  </r>
  <r>
    <x v="3682"/>
    <x v="268"/>
    <x v="8"/>
    <n v="9"/>
    <n v="26"/>
    <s v="Friday"/>
    <x v="0"/>
    <x v="6"/>
    <x v="2"/>
    <s v="Chicken Biryani"/>
    <x v="1"/>
    <n v="1"/>
    <n v="536"/>
    <n v="80.400000000000006"/>
    <n v="40"/>
    <n v="536"/>
    <n v="495.6"/>
    <x v="1"/>
    <x v="0"/>
    <x v="1"/>
    <n v="25"/>
    <n v="4.2"/>
  </r>
  <r>
    <x v="3683"/>
    <x v="268"/>
    <x v="8"/>
    <n v="9"/>
    <n v="26"/>
    <s v="Friday"/>
    <x v="5"/>
    <x v="5"/>
    <x v="9"/>
    <s v="Pasta"/>
    <x v="1"/>
    <n v="1"/>
    <n v="475"/>
    <n v="47.5"/>
    <n v="0"/>
    <n v="475"/>
    <n v="427.5"/>
    <x v="1"/>
    <x v="0"/>
    <x v="1"/>
    <n v="62"/>
    <n v="4.7"/>
  </r>
  <r>
    <x v="3684"/>
    <x v="268"/>
    <x v="8"/>
    <n v="9"/>
    <n v="26"/>
    <s v="Friday"/>
    <x v="5"/>
    <x v="14"/>
    <x v="7"/>
    <s v="Idli Sambar"/>
    <x v="2"/>
    <n v="1"/>
    <n v="591"/>
    <n v="59.1"/>
    <n v="60"/>
    <n v="591"/>
    <n v="591.9"/>
    <x v="1"/>
    <x v="3"/>
    <x v="1"/>
    <n v="23"/>
    <m/>
  </r>
  <r>
    <x v="3685"/>
    <x v="268"/>
    <x v="8"/>
    <n v="9"/>
    <n v="26"/>
    <s v="Friday"/>
    <x v="1"/>
    <x v="8"/>
    <x v="0"/>
    <s v="Cold Coffee"/>
    <x v="1"/>
    <n v="2"/>
    <n v="846"/>
    <n v="84.6"/>
    <n v="60"/>
    <n v="1692"/>
    <n v="1667.4"/>
    <x v="1"/>
    <x v="0"/>
    <x v="1"/>
    <n v="36"/>
    <n v="4.2"/>
  </r>
  <r>
    <x v="3686"/>
    <x v="268"/>
    <x v="8"/>
    <n v="9"/>
    <n v="26"/>
    <s v="Friday"/>
    <x v="2"/>
    <x v="11"/>
    <x v="3"/>
    <s v="Chocolate Cake"/>
    <x v="1"/>
    <n v="1"/>
    <n v="254"/>
    <n v="0"/>
    <n v="0"/>
    <n v="254"/>
    <n v="254"/>
    <x v="3"/>
    <x v="0"/>
    <x v="1"/>
    <n v="62"/>
    <n v="4.5"/>
  </r>
  <r>
    <x v="3687"/>
    <x v="268"/>
    <x v="8"/>
    <n v="9"/>
    <n v="26"/>
    <s v="Friday"/>
    <x v="9"/>
    <x v="6"/>
    <x v="9"/>
    <s v="Chicken Burger"/>
    <x v="1"/>
    <n v="2"/>
    <n v="398"/>
    <n v="0"/>
    <n v="0"/>
    <n v="796"/>
    <n v="796"/>
    <x v="0"/>
    <x v="0"/>
    <x v="1"/>
    <n v="63"/>
    <n v="4.7"/>
  </r>
  <r>
    <x v="3688"/>
    <x v="269"/>
    <x v="8"/>
    <n v="9"/>
    <n v="27"/>
    <s v="Saturday"/>
    <x v="5"/>
    <x v="2"/>
    <x v="3"/>
    <s v="Veg Pizza"/>
    <x v="1"/>
    <n v="3"/>
    <n v="571"/>
    <n v="0"/>
    <n v="40"/>
    <n v="1713"/>
    <n v="1753"/>
    <x v="0"/>
    <x v="0"/>
    <x v="1"/>
    <n v="36"/>
    <n v="3.3"/>
  </r>
  <r>
    <x v="3689"/>
    <x v="269"/>
    <x v="8"/>
    <n v="9"/>
    <n v="27"/>
    <s v="Saturday"/>
    <x v="3"/>
    <x v="8"/>
    <x v="9"/>
    <s v="Chicken Burger"/>
    <x v="1"/>
    <n v="3"/>
    <n v="317"/>
    <n v="0"/>
    <n v="70"/>
    <n v="951"/>
    <n v="1021"/>
    <x v="1"/>
    <x v="0"/>
    <x v="1"/>
    <n v="58"/>
    <n v="4.9000000000000004"/>
  </r>
  <r>
    <x v="3690"/>
    <x v="269"/>
    <x v="8"/>
    <n v="9"/>
    <n v="27"/>
    <s v="Saturday"/>
    <x v="1"/>
    <x v="11"/>
    <x v="4"/>
    <s v="Veg Pizza"/>
    <x v="3"/>
    <n v="2"/>
    <n v="725"/>
    <n v="181.25"/>
    <n v="30"/>
    <n v="1450"/>
    <n v="1298.75"/>
    <x v="2"/>
    <x v="0"/>
    <x v="1"/>
    <n v="18"/>
    <n v="4.8"/>
  </r>
  <r>
    <x v="3691"/>
    <x v="269"/>
    <x v="8"/>
    <n v="9"/>
    <n v="27"/>
    <s v="Saturday"/>
    <x v="8"/>
    <x v="11"/>
    <x v="6"/>
    <s v="Veg Burger"/>
    <x v="1"/>
    <n v="3"/>
    <n v="893"/>
    <n v="89.3"/>
    <n v="50"/>
    <n v="2679"/>
    <n v="2639.7"/>
    <x v="1"/>
    <x v="0"/>
    <x v="1"/>
    <n v="44"/>
    <n v="4"/>
  </r>
  <r>
    <x v="3692"/>
    <x v="269"/>
    <x v="8"/>
    <n v="9"/>
    <n v="27"/>
    <s v="Saturday"/>
    <x v="2"/>
    <x v="1"/>
    <x v="8"/>
    <s v="Chicken Pizza"/>
    <x v="3"/>
    <n v="1"/>
    <n v="366"/>
    <n v="0"/>
    <n v="0"/>
    <n v="366"/>
    <n v="366"/>
    <x v="1"/>
    <x v="0"/>
    <x v="1"/>
    <n v="41"/>
    <n v="3.6"/>
  </r>
  <r>
    <x v="3693"/>
    <x v="269"/>
    <x v="8"/>
    <n v="9"/>
    <n v="27"/>
    <s v="Saturday"/>
    <x v="8"/>
    <x v="2"/>
    <x v="5"/>
    <s v="Chicken Pizza"/>
    <x v="1"/>
    <n v="2"/>
    <n v="216"/>
    <n v="0"/>
    <n v="50"/>
    <n v="432"/>
    <n v="482"/>
    <x v="0"/>
    <x v="0"/>
    <x v="1"/>
    <n v="22"/>
    <n v="4.0999999999999996"/>
  </r>
  <r>
    <x v="3694"/>
    <x v="269"/>
    <x v="8"/>
    <n v="9"/>
    <n v="27"/>
    <s v="Saturday"/>
    <x v="4"/>
    <x v="5"/>
    <x v="8"/>
    <s v="French Fries"/>
    <x v="1"/>
    <n v="1"/>
    <n v="422"/>
    <n v="21.1"/>
    <n v="20"/>
    <n v="422"/>
    <n v="420.9"/>
    <x v="1"/>
    <x v="0"/>
    <x v="1"/>
    <n v="44"/>
    <n v="4.5999999999999996"/>
  </r>
  <r>
    <x v="3695"/>
    <x v="269"/>
    <x v="8"/>
    <n v="9"/>
    <n v="27"/>
    <s v="Saturday"/>
    <x v="6"/>
    <x v="5"/>
    <x v="8"/>
    <s v="Idli Sambar"/>
    <x v="1"/>
    <n v="2"/>
    <n v="434"/>
    <n v="65.099999999999994"/>
    <n v="30"/>
    <n v="868"/>
    <n v="832.9"/>
    <x v="0"/>
    <x v="0"/>
    <x v="0"/>
    <n v="61"/>
    <n v="3.8"/>
  </r>
  <r>
    <x v="3696"/>
    <x v="269"/>
    <x v="8"/>
    <n v="9"/>
    <n v="27"/>
    <s v="Saturday"/>
    <x v="1"/>
    <x v="6"/>
    <x v="0"/>
    <s v="Veg Momos"/>
    <x v="2"/>
    <n v="1"/>
    <n v="346"/>
    <n v="86.5"/>
    <n v="30"/>
    <n v="346"/>
    <n v="289.5"/>
    <x v="1"/>
    <x v="0"/>
    <x v="1"/>
    <n v="33"/>
    <n v="4.5999999999999996"/>
  </r>
  <r>
    <x v="3697"/>
    <x v="269"/>
    <x v="8"/>
    <n v="9"/>
    <n v="27"/>
    <s v="Saturday"/>
    <x v="1"/>
    <x v="1"/>
    <x v="6"/>
    <s v="Chicken Pizza"/>
    <x v="1"/>
    <n v="1"/>
    <n v="441"/>
    <n v="88.2"/>
    <n v="20"/>
    <n v="441"/>
    <n v="372.8"/>
    <x v="2"/>
    <x v="0"/>
    <x v="0"/>
    <n v="51"/>
    <n v="3.3"/>
  </r>
  <r>
    <x v="3698"/>
    <x v="270"/>
    <x v="8"/>
    <n v="9"/>
    <n v="28"/>
    <s v="Sunday"/>
    <x v="3"/>
    <x v="2"/>
    <x v="1"/>
    <s v="Chicken Burger"/>
    <x v="1"/>
    <n v="1"/>
    <n v="844"/>
    <n v="84.4"/>
    <n v="0"/>
    <n v="844"/>
    <n v="759.6"/>
    <x v="1"/>
    <x v="0"/>
    <x v="1"/>
    <n v="43"/>
    <n v="4.8"/>
  </r>
  <r>
    <x v="3699"/>
    <x v="270"/>
    <x v="8"/>
    <n v="9"/>
    <n v="28"/>
    <s v="Sunday"/>
    <x v="1"/>
    <x v="14"/>
    <x v="5"/>
    <s v="Veg Momos"/>
    <x v="1"/>
    <n v="1"/>
    <n v="399"/>
    <n v="0"/>
    <n v="0"/>
    <n v="399"/>
    <n v="399"/>
    <x v="0"/>
    <x v="0"/>
    <x v="0"/>
    <n v="48"/>
    <n v="3.9"/>
  </r>
  <r>
    <x v="3700"/>
    <x v="270"/>
    <x v="8"/>
    <n v="9"/>
    <n v="28"/>
    <s v="Sunday"/>
    <x v="1"/>
    <x v="4"/>
    <x v="0"/>
    <s v="Chicken Burger"/>
    <x v="1"/>
    <n v="1"/>
    <n v="222"/>
    <n v="44.4"/>
    <n v="70"/>
    <n v="222"/>
    <n v="247.6"/>
    <x v="2"/>
    <x v="1"/>
    <x v="0"/>
    <n v="66"/>
    <m/>
  </r>
  <r>
    <x v="3701"/>
    <x v="270"/>
    <x v="8"/>
    <n v="9"/>
    <n v="28"/>
    <s v="Sunday"/>
    <x v="4"/>
    <x v="2"/>
    <x v="0"/>
    <s v="Veg Momos"/>
    <x v="1"/>
    <n v="1"/>
    <n v="443"/>
    <n v="0"/>
    <n v="30"/>
    <n v="443"/>
    <n v="473"/>
    <x v="1"/>
    <x v="1"/>
    <x v="1"/>
    <n v="56"/>
    <m/>
  </r>
  <r>
    <x v="3702"/>
    <x v="270"/>
    <x v="8"/>
    <n v="9"/>
    <n v="28"/>
    <s v="Sunday"/>
    <x v="3"/>
    <x v="0"/>
    <x v="1"/>
    <s v="Veg Biryani"/>
    <x v="2"/>
    <n v="2"/>
    <n v="716"/>
    <n v="35.799999999999997"/>
    <n v="0"/>
    <n v="1432"/>
    <n v="1396.2"/>
    <x v="4"/>
    <x v="0"/>
    <x v="1"/>
    <n v="44"/>
    <n v="5"/>
  </r>
  <r>
    <x v="3703"/>
    <x v="270"/>
    <x v="8"/>
    <n v="9"/>
    <n v="28"/>
    <s v="Sunday"/>
    <x v="5"/>
    <x v="13"/>
    <x v="3"/>
    <s v="Veg Momos"/>
    <x v="3"/>
    <n v="1"/>
    <n v="585"/>
    <n v="58.5"/>
    <n v="30"/>
    <n v="585"/>
    <n v="556.5"/>
    <x v="3"/>
    <x v="0"/>
    <x v="1"/>
    <n v="34"/>
    <n v="2.9"/>
  </r>
  <r>
    <x v="3704"/>
    <x v="270"/>
    <x v="8"/>
    <n v="9"/>
    <n v="28"/>
    <s v="Sunday"/>
    <x v="5"/>
    <x v="9"/>
    <x v="3"/>
    <s v="Chicken Pizza"/>
    <x v="1"/>
    <n v="2"/>
    <n v="603"/>
    <n v="150.75"/>
    <n v="70"/>
    <n v="1206"/>
    <n v="1125.25"/>
    <x v="2"/>
    <x v="0"/>
    <x v="0"/>
    <n v="49"/>
    <n v="3.1"/>
  </r>
  <r>
    <x v="3705"/>
    <x v="270"/>
    <x v="8"/>
    <n v="9"/>
    <n v="28"/>
    <s v="Sunday"/>
    <x v="1"/>
    <x v="0"/>
    <x v="9"/>
    <s v="French Fries"/>
    <x v="1"/>
    <n v="2"/>
    <n v="384"/>
    <n v="38.4"/>
    <n v="20"/>
    <n v="768"/>
    <n v="749.6"/>
    <x v="2"/>
    <x v="0"/>
    <x v="1"/>
    <n v="40"/>
    <n v="4"/>
  </r>
  <r>
    <x v="3706"/>
    <x v="270"/>
    <x v="8"/>
    <n v="9"/>
    <n v="28"/>
    <s v="Sunday"/>
    <x v="4"/>
    <x v="10"/>
    <x v="0"/>
    <s v="Cold Coffee"/>
    <x v="2"/>
    <n v="1"/>
    <n v="243"/>
    <n v="36.450000000000003"/>
    <n v="30"/>
    <n v="243"/>
    <n v="236.55"/>
    <x v="4"/>
    <x v="0"/>
    <x v="1"/>
    <n v="55"/>
    <n v="3.8"/>
  </r>
  <r>
    <x v="3707"/>
    <x v="270"/>
    <x v="8"/>
    <n v="9"/>
    <n v="28"/>
    <s v="Sunday"/>
    <x v="5"/>
    <x v="2"/>
    <x v="5"/>
    <s v="Veg Pizza"/>
    <x v="3"/>
    <n v="3"/>
    <n v="628"/>
    <n v="31.4"/>
    <n v="70"/>
    <n v="1884"/>
    <n v="1922.6"/>
    <x v="0"/>
    <x v="0"/>
    <x v="1"/>
    <n v="52"/>
    <n v="5"/>
  </r>
  <r>
    <x v="3708"/>
    <x v="270"/>
    <x v="8"/>
    <n v="9"/>
    <n v="28"/>
    <s v="Sunday"/>
    <x v="0"/>
    <x v="10"/>
    <x v="7"/>
    <s v="Veg Pizza"/>
    <x v="1"/>
    <n v="2"/>
    <n v="567"/>
    <n v="113.4"/>
    <n v="40"/>
    <n v="1134"/>
    <n v="1060.5999999999999"/>
    <x v="4"/>
    <x v="0"/>
    <x v="0"/>
    <n v="62"/>
    <n v="4.5"/>
  </r>
  <r>
    <x v="3709"/>
    <x v="270"/>
    <x v="8"/>
    <n v="9"/>
    <n v="28"/>
    <s v="Sunday"/>
    <x v="9"/>
    <x v="11"/>
    <x v="4"/>
    <s v="Pasta"/>
    <x v="1"/>
    <n v="2"/>
    <n v="438"/>
    <n v="65.7"/>
    <n v="30"/>
    <n v="876"/>
    <n v="840.3"/>
    <x v="4"/>
    <x v="0"/>
    <x v="1"/>
    <n v="42"/>
    <n v="3.6"/>
  </r>
  <r>
    <x v="3710"/>
    <x v="270"/>
    <x v="8"/>
    <n v="9"/>
    <n v="28"/>
    <s v="Sunday"/>
    <x v="4"/>
    <x v="11"/>
    <x v="2"/>
    <s v="Chicken Burger"/>
    <x v="3"/>
    <n v="2"/>
    <n v="241"/>
    <n v="36.15"/>
    <n v="40"/>
    <n v="482"/>
    <n v="485.85"/>
    <x v="1"/>
    <x v="0"/>
    <x v="0"/>
    <n v="29"/>
    <n v="3.2"/>
  </r>
  <r>
    <x v="3711"/>
    <x v="270"/>
    <x v="8"/>
    <n v="9"/>
    <n v="28"/>
    <s v="Sunday"/>
    <x v="3"/>
    <x v="14"/>
    <x v="7"/>
    <s v="Chicken Momos"/>
    <x v="1"/>
    <n v="2"/>
    <n v="186"/>
    <n v="46.5"/>
    <n v="50"/>
    <n v="372"/>
    <n v="375.5"/>
    <x v="2"/>
    <x v="2"/>
    <x v="0"/>
    <n v="35"/>
    <m/>
  </r>
  <r>
    <x v="3712"/>
    <x v="270"/>
    <x v="8"/>
    <n v="9"/>
    <n v="28"/>
    <s v="Sunday"/>
    <x v="9"/>
    <x v="11"/>
    <x v="6"/>
    <s v="Fried Rice"/>
    <x v="1"/>
    <n v="2"/>
    <n v="664"/>
    <n v="0"/>
    <n v="0"/>
    <n v="1328"/>
    <n v="1328"/>
    <x v="1"/>
    <x v="0"/>
    <x v="1"/>
    <n v="53"/>
    <n v="3.4"/>
  </r>
  <r>
    <x v="3713"/>
    <x v="270"/>
    <x v="8"/>
    <n v="9"/>
    <n v="28"/>
    <s v="Sunday"/>
    <x v="3"/>
    <x v="2"/>
    <x v="6"/>
    <s v="Idli Sambar"/>
    <x v="1"/>
    <n v="2"/>
    <n v="301"/>
    <n v="45.15"/>
    <n v="30"/>
    <n v="602"/>
    <n v="586.85"/>
    <x v="1"/>
    <x v="2"/>
    <x v="1"/>
    <n v="36"/>
    <m/>
  </r>
  <r>
    <x v="3714"/>
    <x v="270"/>
    <x v="8"/>
    <n v="9"/>
    <n v="28"/>
    <s v="Sunday"/>
    <x v="2"/>
    <x v="7"/>
    <x v="0"/>
    <s v="Chicken Momos"/>
    <x v="2"/>
    <n v="1"/>
    <n v="387"/>
    <n v="19.350000000000001"/>
    <n v="60"/>
    <n v="387"/>
    <n v="427.65"/>
    <x v="0"/>
    <x v="0"/>
    <x v="1"/>
    <n v="18"/>
    <n v="3.6"/>
  </r>
  <r>
    <x v="3715"/>
    <x v="271"/>
    <x v="8"/>
    <n v="9"/>
    <n v="29"/>
    <s v="Monday"/>
    <x v="0"/>
    <x v="5"/>
    <x v="4"/>
    <s v="French Fries"/>
    <x v="1"/>
    <n v="1"/>
    <n v="239"/>
    <n v="23.9"/>
    <n v="50"/>
    <n v="239"/>
    <n v="265.10000000000002"/>
    <x v="1"/>
    <x v="0"/>
    <x v="1"/>
    <n v="25"/>
    <n v="4"/>
  </r>
  <r>
    <x v="3716"/>
    <x v="271"/>
    <x v="8"/>
    <n v="9"/>
    <n v="29"/>
    <s v="Monday"/>
    <x v="1"/>
    <x v="5"/>
    <x v="8"/>
    <s v="Veg Burger"/>
    <x v="1"/>
    <n v="3"/>
    <n v="171"/>
    <n v="42.75"/>
    <n v="40"/>
    <n v="513"/>
    <n v="510.25"/>
    <x v="0"/>
    <x v="2"/>
    <x v="0"/>
    <n v="45"/>
    <m/>
  </r>
  <r>
    <x v="3717"/>
    <x v="271"/>
    <x v="8"/>
    <n v="9"/>
    <n v="29"/>
    <s v="Monday"/>
    <x v="1"/>
    <x v="7"/>
    <x v="1"/>
    <s v="French Fries"/>
    <x v="1"/>
    <n v="1"/>
    <n v="220"/>
    <n v="0"/>
    <n v="30"/>
    <n v="220"/>
    <n v="250"/>
    <x v="3"/>
    <x v="0"/>
    <x v="1"/>
    <n v="61"/>
    <n v="3.9"/>
  </r>
  <r>
    <x v="3718"/>
    <x v="271"/>
    <x v="8"/>
    <n v="9"/>
    <n v="29"/>
    <s v="Monday"/>
    <x v="0"/>
    <x v="0"/>
    <x v="3"/>
    <s v="Veg Momos"/>
    <x v="1"/>
    <n v="1"/>
    <n v="505"/>
    <n v="101"/>
    <n v="0"/>
    <n v="505"/>
    <n v="404"/>
    <x v="1"/>
    <x v="0"/>
    <x v="0"/>
    <n v="58"/>
    <n v="4.3"/>
  </r>
  <r>
    <x v="3719"/>
    <x v="271"/>
    <x v="8"/>
    <n v="9"/>
    <n v="29"/>
    <s v="Monday"/>
    <x v="3"/>
    <x v="5"/>
    <x v="7"/>
    <s v="Masala Dosa"/>
    <x v="1"/>
    <n v="3"/>
    <n v="616"/>
    <n v="61.6"/>
    <n v="50"/>
    <n v="1848"/>
    <n v="1836.4"/>
    <x v="2"/>
    <x v="0"/>
    <x v="1"/>
    <n v="61"/>
    <n v="4.0999999999999996"/>
  </r>
  <r>
    <x v="3720"/>
    <x v="271"/>
    <x v="8"/>
    <n v="9"/>
    <n v="29"/>
    <s v="Monday"/>
    <x v="2"/>
    <x v="13"/>
    <x v="6"/>
    <s v="Veg Burger"/>
    <x v="1"/>
    <n v="1"/>
    <n v="871"/>
    <n v="43.55"/>
    <n v="20"/>
    <n v="871"/>
    <n v="847.45"/>
    <x v="2"/>
    <x v="0"/>
    <x v="1"/>
    <n v="39"/>
    <n v="2.7"/>
  </r>
  <r>
    <x v="3721"/>
    <x v="271"/>
    <x v="8"/>
    <n v="9"/>
    <n v="29"/>
    <s v="Monday"/>
    <x v="3"/>
    <x v="13"/>
    <x v="3"/>
    <s v="Veg Burger"/>
    <x v="1"/>
    <n v="1"/>
    <n v="600"/>
    <n v="90"/>
    <n v="30"/>
    <n v="600"/>
    <n v="540"/>
    <x v="2"/>
    <x v="0"/>
    <x v="1"/>
    <n v="51"/>
    <n v="4"/>
  </r>
  <r>
    <x v="3722"/>
    <x v="271"/>
    <x v="8"/>
    <n v="9"/>
    <n v="29"/>
    <s v="Monday"/>
    <x v="3"/>
    <x v="6"/>
    <x v="2"/>
    <s v="Chocolate Cake"/>
    <x v="3"/>
    <n v="2"/>
    <n v="407"/>
    <n v="20.350000000000001"/>
    <n v="60"/>
    <n v="814"/>
    <n v="853.65"/>
    <x v="1"/>
    <x v="0"/>
    <x v="0"/>
    <n v="55"/>
    <n v="4.3"/>
  </r>
  <r>
    <x v="3723"/>
    <x v="271"/>
    <x v="8"/>
    <n v="9"/>
    <n v="29"/>
    <s v="Monday"/>
    <x v="6"/>
    <x v="5"/>
    <x v="5"/>
    <s v="Veg Biryani"/>
    <x v="1"/>
    <n v="1"/>
    <n v="188"/>
    <n v="18.8"/>
    <n v="20"/>
    <n v="188"/>
    <n v="189.2"/>
    <x v="2"/>
    <x v="0"/>
    <x v="0"/>
    <n v="36"/>
    <n v="4.5"/>
  </r>
  <r>
    <x v="3724"/>
    <x v="272"/>
    <x v="8"/>
    <n v="9"/>
    <n v="30"/>
    <s v="Tuesday"/>
    <x v="5"/>
    <x v="9"/>
    <x v="5"/>
    <s v="Fried Rice"/>
    <x v="1"/>
    <n v="1"/>
    <n v="339"/>
    <n v="50.85"/>
    <n v="20"/>
    <n v="339"/>
    <n v="308.14999999999998"/>
    <x v="1"/>
    <x v="0"/>
    <x v="1"/>
    <n v="60"/>
    <n v="3.3"/>
  </r>
  <r>
    <x v="3725"/>
    <x v="272"/>
    <x v="8"/>
    <n v="9"/>
    <n v="30"/>
    <s v="Tuesday"/>
    <x v="5"/>
    <x v="2"/>
    <x v="3"/>
    <s v="Paneer Butter Masala"/>
    <x v="1"/>
    <n v="3"/>
    <n v="771"/>
    <n v="0"/>
    <n v="70"/>
    <n v="2313"/>
    <n v="2383"/>
    <x v="0"/>
    <x v="0"/>
    <x v="1"/>
    <n v="62"/>
    <n v="3.7"/>
  </r>
  <r>
    <x v="3726"/>
    <x v="272"/>
    <x v="8"/>
    <n v="9"/>
    <n v="30"/>
    <s v="Tuesday"/>
    <x v="5"/>
    <x v="7"/>
    <x v="1"/>
    <s v="Idli Sambar"/>
    <x v="1"/>
    <n v="2"/>
    <n v="327"/>
    <n v="0"/>
    <n v="30"/>
    <n v="654"/>
    <n v="684"/>
    <x v="1"/>
    <x v="0"/>
    <x v="1"/>
    <n v="42"/>
    <n v="4.8"/>
  </r>
  <r>
    <x v="3727"/>
    <x v="272"/>
    <x v="8"/>
    <n v="9"/>
    <n v="30"/>
    <s v="Tuesday"/>
    <x v="5"/>
    <x v="12"/>
    <x v="8"/>
    <s v="Paneer Butter Masala"/>
    <x v="0"/>
    <n v="1"/>
    <n v="804"/>
    <n v="0"/>
    <n v="40"/>
    <n v="804"/>
    <n v="844"/>
    <x v="1"/>
    <x v="0"/>
    <x v="1"/>
    <n v="61"/>
    <n v="4.5999999999999996"/>
  </r>
  <r>
    <x v="3728"/>
    <x v="272"/>
    <x v="8"/>
    <n v="9"/>
    <n v="30"/>
    <s v="Tuesday"/>
    <x v="9"/>
    <x v="2"/>
    <x v="6"/>
    <s v="Chocolate Cake"/>
    <x v="1"/>
    <n v="1"/>
    <n v="132"/>
    <n v="19.8"/>
    <n v="0"/>
    <n v="132"/>
    <n v="112.2"/>
    <x v="1"/>
    <x v="0"/>
    <x v="1"/>
    <n v="40"/>
    <n v="2.2999999999999998"/>
  </r>
  <r>
    <x v="3729"/>
    <x v="272"/>
    <x v="8"/>
    <n v="9"/>
    <n v="30"/>
    <s v="Tuesday"/>
    <x v="4"/>
    <x v="0"/>
    <x v="4"/>
    <s v="Chicken Momos"/>
    <x v="1"/>
    <n v="1"/>
    <n v="137"/>
    <n v="0"/>
    <n v="50"/>
    <n v="137"/>
    <n v="187"/>
    <x v="2"/>
    <x v="0"/>
    <x v="1"/>
    <n v="60"/>
    <n v="5"/>
  </r>
  <r>
    <x v="3730"/>
    <x v="272"/>
    <x v="8"/>
    <n v="9"/>
    <n v="30"/>
    <s v="Tuesday"/>
    <x v="8"/>
    <x v="14"/>
    <x v="3"/>
    <s v="Veg Pizza"/>
    <x v="1"/>
    <n v="2"/>
    <n v="534"/>
    <n v="26.7"/>
    <n v="20"/>
    <n v="1068"/>
    <n v="1061.3"/>
    <x v="4"/>
    <x v="0"/>
    <x v="1"/>
    <n v="55"/>
    <n v="4.9000000000000004"/>
  </r>
  <r>
    <x v="3731"/>
    <x v="272"/>
    <x v="8"/>
    <n v="9"/>
    <n v="30"/>
    <s v="Tuesday"/>
    <x v="7"/>
    <x v="10"/>
    <x v="0"/>
    <s v="Chicken Biryani"/>
    <x v="2"/>
    <n v="2"/>
    <n v="552"/>
    <n v="0"/>
    <n v="0"/>
    <n v="1104"/>
    <n v="1104"/>
    <x v="3"/>
    <x v="0"/>
    <x v="0"/>
    <n v="22"/>
    <n v="3.8"/>
  </r>
  <r>
    <x v="3732"/>
    <x v="272"/>
    <x v="8"/>
    <n v="9"/>
    <n v="30"/>
    <s v="Tuesday"/>
    <x v="7"/>
    <x v="5"/>
    <x v="5"/>
    <s v="Masala Dosa"/>
    <x v="2"/>
    <n v="1"/>
    <n v="175"/>
    <n v="17.5"/>
    <n v="20"/>
    <n v="175"/>
    <n v="177.5"/>
    <x v="3"/>
    <x v="0"/>
    <x v="0"/>
    <n v="30"/>
    <n v="3.9"/>
  </r>
  <r>
    <x v="3733"/>
    <x v="272"/>
    <x v="8"/>
    <n v="9"/>
    <n v="30"/>
    <s v="Tuesday"/>
    <x v="3"/>
    <x v="3"/>
    <x v="1"/>
    <s v="Pasta"/>
    <x v="1"/>
    <n v="2"/>
    <n v="557"/>
    <n v="0"/>
    <n v="40"/>
    <n v="1114"/>
    <n v="1154"/>
    <x v="1"/>
    <x v="0"/>
    <x v="1"/>
    <n v="26"/>
    <n v="4.4000000000000004"/>
  </r>
  <r>
    <x v="3734"/>
    <x v="272"/>
    <x v="8"/>
    <n v="9"/>
    <n v="30"/>
    <s v="Tuesday"/>
    <x v="3"/>
    <x v="8"/>
    <x v="3"/>
    <s v="Idli Sambar"/>
    <x v="1"/>
    <n v="2"/>
    <n v="567"/>
    <n v="56.7"/>
    <n v="40"/>
    <n v="1134"/>
    <n v="1117.3"/>
    <x v="1"/>
    <x v="0"/>
    <x v="1"/>
    <n v="29"/>
    <n v="4.0999999999999996"/>
  </r>
  <r>
    <x v="3735"/>
    <x v="272"/>
    <x v="8"/>
    <n v="9"/>
    <n v="30"/>
    <s v="Tuesday"/>
    <x v="7"/>
    <x v="7"/>
    <x v="8"/>
    <s v="Paneer Butter Masala"/>
    <x v="1"/>
    <n v="3"/>
    <n v="407"/>
    <n v="61.05"/>
    <n v="40"/>
    <n v="1221"/>
    <n v="1199.95"/>
    <x v="1"/>
    <x v="1"/>
    <x v="0"/>
    <n v="35"/>
    <m/>
  </r>
  <r>
    <x v="3736"/>
    <x v="272"/>
    <x v="8"/>
    <n v="9"/>
    <n v="30"/>
    <s v="Tuesday"/>
    <x v="3"/>
    <x v="14"/>
    <x v="4"/>
    <s v="Veg Burger"/>
    <x v="1"/>
    <n v="1"/>
    <n v="543"/>
    <n v="108.6"/>
    <n v="50"/>
    <n v="543"/>
    <n v="484.4"/>
    <x v="0"/>
    <x v="0"/>
    <x v="1"/>
    <n v="46"/>
    <n v="3.7"/>
  </r>
  <r>
    <x v="3737"/>
    <x v="272"/>
    <x v="8"/>
    <n v="9"/>
    <n v="30"/>
    <s v="Tuesday"/>
    <x v="7"/>
    <x v="11"/>
    <x v="0"/>
    <s v="Idli Sambar"/>
    <x v="1"/>
    <n v="1"/>
    <n v="323"/>
    <n v="48.45"/>
    <n v="30"/>
    <n v="323"/>
    <n v="304.55"/>
    <x v="1"/>
    <x v="0"/>
    <x v="1"/>
    <n v="21"/>
    <n v="3.9"/>
  </r>
  <r>
    <x v="3738"/>
    <x v="272"/>
    <x v="8"/>
    <n v="9"/>
    <n v="30"/>
    <s v="Tuesday"/>
    <x v="4"/>
    <x v="7"/>
    <x v="3"/>
    <s v="Chicken Pizza"/>
    <x v="1"/>
    <n v="1"/>
    <n v="340"/>
    <n v="85"/>
    <n v="20"/>
    <n v="340"/>
    <n v="275"/>
    <x v="1"/>
    <x v="0"/>
    <x v="1"/>
    <n v="47"/>
    <n v="4.5999999999999996"/>
  </r>
  <r>
    <x v="3739"/>
    <x v="272"/>
    <x v="8"/>
    <n v="9"/>
    <n v="30"/>
    <s v="Tuesday"/>
    <x v="5"/>
    <x v="10"/>
    <x v="7"/>
    <s v="Chicken Biryani"/>
    <x v="1"/>
    <n v="3"/>
    <n v="880"/>
    <n v="220"/>
    <n v="30"/>
    <n v="2640"/>
    <n v="2450"/>
    <x v="0"/>
    <x v="0"/>
    <x v="0"/>
    <n v="70"/>
    <n v="3.7"/>
  </r>
  <r>
    <x v="3740"/>
    <x v="272"/>
    <x v="8"/>
    <n v="9"/>
    <n v="30"/>
    <s v="Tuesday"/>
    <x v="9"/>
    <x v="2"/>
    <x v="4"/>
    <s v="Veg Momos"/>
    <x v="2"/>
    <n v="1"/>
    <n v="247"/>
    <n v="37.049999999999997"/>
    <n v="70"/>
    <n v="247"/>
    <n v="279.95"/>
    <x v="1"/>
    <x v="0"/>
    <x v="1"/>
    <n v="38"/>
    <n v="4.0999999999999996"/>
  </r>
  <r>
    <x v="3741"/>
    <x v="273"/>
    <x v="9"/>
    <n v="10"/>
    <n v="1"/>
    <s v="Wednesday"/>
    <x v="0"/>
    <x v="11"/>
    <x v="2"/>
    <s v="Idli Sambar"/>
    <x v="1"/>
    <n v="1"/>
    <n v="595"/>
    <n v="29.75"/>
    <n v="0"/>
    <n v="595"/>
    <n v="565.25"/>
    <x v="1"/>
    <x v="0"/>
    <x v="0"/>
    <n v="30"/>
    <n v="4.4000000000000004"/>
  </r>
  <r>
    <x v="3742"/>
    <x v="273"/>
    <x v="9"/>
    <n v="10"/>
    <n v="1"/>
    <s v="Wednesday"/>
    <x v="4"/>
    <x v="14"/>
    <x v="1"/>
    <s v="Paneer Butter Masala"/>
    <x v="1"/>
    <n v="1"/>
    <n v="274"/>
    <n v="13.7"/>
    <n v="50"/>
    <n v="274"/>
    <n v="310.3"/>
    <x v="0"/>
    <x v="0"/>
    <x v="0"/>
    <n v="24"/>
    <n v="3.5"/>
  </r>
  <r>
    <x v="3743"/>
    <x v="273"/>
    <x v="9"/>
    <n v="10"/>
    <n v="1"/>
    <s v="Wednesday"/>
    <x v="3"/>
    <x v="14"/>
    <x v="2"/>
    <s v="Chicken Pizza"/>
    <x v="3"/>
    <n v="2"/>
    <n v="879"/>
    <n v="175.8"/>
    <n v="0"/>
    <n v="1758"/>
    <n v="1582.2"/>
    <x v="2"/>
    <x v="0"/>
    <x v="1"/>
    <n v="38"/>
    <n v="4.2"/>
  </r>
  <r>
    <x v="3744"/>
    <x v="273"/>
    <x v="9"/>
    <n v="10"/>
    <n v="1"/>
    <s v="Wednesday"/>
    <x v="9"/>
    <x v="3"/>
    <x v="9"/>
    <s v="Veg Biryani"/>
    <x v="2"/>
    <n v="2"/>
    <n v="718"/>
    <n v="107.7"/>
    <n v="0"/>
    <n v="1436"/>
    <n v="1328.3"/>
    <x v="3"/>
    <x v="2"/>
    <x v="1"/>
    <n v="69"/>
    <m/>
  </r>
  <r>
    <x v="3745"/>
    <x v="273"/>
    <x v="9"/>
    <n v="10"/>
    <n v="1"/>
    <s v="Wednesday"/>
    <x v="6"/>
    <x v="1"/>
    <x v="9"/>
    <s v="Veg Momos"/>
    <x v="1"/>
    <n v="2"/>
    <n v="538"/>
    <n v="107.6"/>
    <n v="30"/>
    <n v="1076"/>
    <n v="998.4"/>
    <x v="1"/>
    <x v="0"/>
    <x v="0"/>
    <n v="48"/>
    <n v="3.6"/>
  </r>
  <r>
    <x v="3746"/>
    <x v="273"/>
    <x v="9"/>
    <n v="10"/>
    <n v="1"/>
    <s v="Wednesday"/>
    <x v="7"/>
    <x v="10"/>
    <x v="1"/>
    <s v="French Fries"/>
    <x v="1"/>
    <n v="2"/>
    <n v="219"/>
    <n v="54.75"/>
    <n v="30"/>
    <n v="438"/>
    <n v="413.25"/>
    <x v="0"/>
    <x v="0"/>
    <x v="1"/>
    <n v="35"/>
    <n v="3.2"/>
  </r>
  <r>
    <x v="3747"/>
    <x v="273"/>
    <x v="9"/>
    <n v="10"/>
    <n v="1"/>
    <s v="Wednesday"/>
    <x v="1"/>
    <x v="7"/>
    <x v="7"/>
    <s v="Veg Momos"/>
    <x v="1"/>
    <n v="1"/>
    <n v="572"/>
    <n v="85.8"/>
    <n v="60"/>
    <n v="572"/>
    <n v="546.20000000000005"/>
    <x v="2"/>
    <x v="0"/>
    <x v="0"/>
    <n v="44"/>
    <n v="3.5"/>
  </r>
  <r>
    <x v="3748"/>
    <x v="273"/>
    <x v="9"/>
    <n v="10"/>
    <n v="1"/>
    <s v="Wednesday"/>
    <x v="5"/>
    <x v="5"/>
    <x v="3"/>
    <s v="Chicken Biryani"/>
    <x v="1"/>
    <n v="1"/>
    <n v="850"/>
    <n v="42.5"/>
    <n v="50"/>
    <n v="850"/>
    <n v="857.5"/>
    <x v="3"/>
    <x v="0"/>
    <x v="1"/>
    <n v="59"/>
    <n v="4.8"/>
  </r>
  <r>
    <x v="3749"/>
    <x v="273"/>
    <x v="9"/>
    <n v="10"/>
    <n v="1"/>
    <s v="Wednesday"/>
    <x v="0"/>
    <x v="5"/>
    <x v="8"/>
    <s v="Veg Biryani"/>
    <x v="1"/>
    <n v="1"/>
    <n v="734"/>
    <n v="0"/>
    <n v="30"/>
    <n v="734"/>
    <n v="764"/>
    <x v="3"/>
    <x v="1"/>
    <x v="0"/>
    <n v="45"/>
    <m/>
  </r>
  <r>
    <x v="3750"/>
    <x v="273"/>
    <x v="9"/>
    <n v="10"/>
    <n v="1"/>
    <s v="Wednesday"/>
    <x v="9"/>
    <x v="3"/>
    <x v="5"/>
    <s v="Paneer Butter Masala"/>
    <x v="2"/>
    <n v="3"/>
    <n v="776"/>
    <n v="116.4"/>
    <n v="60"/>
    <n v="2328"/>
    <n v="2271.6"/>
    <x v="2"/>
    <x v="3"/>
    <x v="1"/>
    <n v="51"/>
    <m/>
  </r>
  <r>
    <x v="3751"/>
    <x v="274"/>
    <x v="9"/>
    <n v="10"/>
    <n v="2"/>
    <s v="Thursday"/>
    <x v="1"/>
    <x v="7"/>
    <x v="4"/>
    <s v="Chocolate Cake"/>
    <x v="1"/>
    <n v="2"/>
    <n v="553"/>
    <n v="0"/>
    <n v="30"/>
    <n v="1106"/>
    <n v="1136"/>
    <x v="1"/>
    <x v="0"/>
    <x v="0"/>
    <n v="67"/>
    <n v="4.0999999999999996"/>
  </r>
  <r>
    <x v="3752"/>
    <x v="274"/>
    <x v="9"/>
    <n v="10"/>
    <n v="2"/>
    <s v="Thursday"/>
    <x v="5"/>
    <x v="4"/>
    <x v="1"/>
    <s v="Chicken Burger"/>
    <x v="1"/>
    <n v="1"/>
    <n v="528"/>
    <n v="105.6"/>
    <n v="40"/>
    <n v="528"/>
    <n v="462.4"/>
    <x v="4"/>
    <x v="2"/>
    <x v="1"/>
    <n v="25"/>
    <m/>
  </r>
  <r>
    <x v="3753"/>
    <x v="274"/>
    <x v="9"/>
    <n v="10"/>
    <n v="2"/>
    <s v="Thursday"/>
    <x v="3"/>
    <x v="5"/>
    <x v="3"/>
    <s v="Chicken Burger"/>
    <x v="2"/>
    <n v="1"/>
    <n v="380"/>
    <n v="95"/>
    <n v="30"/>
    <n v="380"/>
    <n v="315"/>
    <x v="1"/>
    <x v="1"/>
    <x v="0"/>
    <n v="32"/>
    <m/>
  </r>
  <r>
    <x v="3754"/>
    <x v="274"/>
    <x v="9"/>
    <n v="10"/>
    <n v="2"/>
    <s v="Thursday"/>
    <x v="3"/>
    <x v="9"/>
    <x v="6"/>
    <s v="Veg Burger"/>
    <x v="2"/>
    <n v="2"/>
    <n v="298"/>
    <n v="0"/>
    <n v="30"/>
    <n v="596"/>
    <n v="626"/>
    <x v="2"/>
    <x v="0"/>
    <x v="1"/>
    <n v="21"/>
    <n v="4"/>
  </r>
  <r>
    <x v="3755"/>
    <x v="274"/>
    <x v="9"/>
    <n v="10"/>
    <n v="2"/>
    <s v="Thursday"/>
    <x v="1"/>
    <x v="11"/>
    <x v="0"/>
    <s v="Veg Biryani"/>
    <x v="2"/>
    <n v="2"/>
    <n v="579"/>
    <n v="28.95"/>
    <n v="50"/>
    <n v="1158"/>
    <n v="1179.05"/>
    <x v="4"/>
    <x v="3"/>
    <x v="1"/>
    <n v="52"/>
    <m/>
  </r>
  <r>
    <x v="3756"/>
    <x v="274"/>
    <x v="9"/>
    <n v="10"/>
    <n v="2"/>
    <s v="Thursday"/>
    <x v="6"/>
    <x v="11"/>
    <x v="7"/>
    <s v="Paneer Butter Masala"/>
    <x v="3"/>
    <n v="2"/>
    <n v="703"/>
    <n v="140.6"/>
    <n v="30"/>
    <n v="1406"/>
    <n v="1295.4000000000001"/>
    <x v="0"/>
    <x v="0"/>
    <x v="0"/>
    <n v="43"/>
    <n v="4"/>
  </r>
  <r>
    <x v="3757"/>
    <x v="274"/>
    <x v="9"/>
    <n v="10"/>
    <n v="2"/>
    <s v="Thursday"/>
    <x v="5"/>
    <x v="5"/>
    <x v="8"/>
    <s v="Veg Pizza"/>
    <x v="1"/>
    <n v="2"/>
    <n v="347"/>
    <n v="52.05"/>
    <n v="0"/>
    <n v="694"/>
    <n v="641.95000000000005"/>
    <x v="1"/>
    <x v="0"/>
    <x v="1"/>
    <n v="66"/>
    <n v="4.3"/>
  </r>
  <r>
    <x v="3758"/>
    <x v="274"/>
    <x v="9"/>
    <n v="10"/>
    <n v="2"/>
    <s v="Thursday"/>
    <x v="5"/>
    <x v="0"/>
    <x v="0"/>
    <s v="Chicken Burger"/>
    <x v="2"/>
    <n v="2"/>
    <n v="287"/>
    <n v="0"/>
    <n v="50"/>
    <n v="574"/>
    <n v="624"/>
    <x v="4"/>
    <x v="0"/>
    <x v="0"/>
    <n v="57"/>
    <n v="5"/>
  </r>
  <r>
    <x v="3759"/>
    <x v="274"/>
    <x v="9"/>
    <n v="10"/>
    <n v="2"/>
    <s v="Thursday"/>
    <x v="7"/>
    <x v="9"/>
    <x v="5"/>
    <s v="Veg Burger"/>
    <x v="1"/>
    <n v="1"/>
    <n v="440"/>
    <n v="0"/>
    <n v="30"/>
    <n v="440"/>
    <n v="470"/>
    <x v="0"/>
    <x v="0"/>
    <x v="0"/>
    <n v="50"/>
    <n v="4.0999999999999996"/>
  </r>
  <r>
    <x v="3760"/>
    <x v="274"/>
    <x v="9"/>
    <n v="10"/>
    <n v="2"/>
    <s v="Thursday"/>
    <x v="6"/>
    <x v="4"/>
    <x v="0"/>
    <s v="Masala Dosa"/>
    <x v="1"/>
    <n v="2"/>
    <n v="814"/>
    <n v="81.400000000000006"/>
    <n v="30"/>
    <n v="1628"/>
    <n v="1576.6"/>
    <x v="4"/>
    <x v="0"/>
    <x v="1"/>
    <n v="58"/>
    <n v="4.8"/>
  </r>
  <r>
    <x v="3761"/>
    <x v="274"/>
    <x v="9"/>
    <n v="10"/>
    <n v="2"/>
    <s v="Thursday"/>
    <x v="2"/>
    <x v="14"/>
    <x v="8"/>
    <s v="Cold Coffee"/>
    <x v="1"/>
    <n v="1"/>
    <n v="577"/>
    <n v="0"/>
    <n v="20"/>
    <n v="577"/>
    <n v="597"/>
    <x v="1"/>
    <x v="0"/>
    <x v="0"/>
    <n v="21"/>
    <n v="4.4000000000000004"/>
  </r>
  <r>
    <x v="3762"/>
    <x v="274"/>
    <x v="9"/>
    <n v="10"/>
    <n v="2"/>
    <s v="Thursday"/>
    <x v="4"/>
    <x v="5"/>
    <x v="6"/>
    <s v="Veg Pizza"/>
    <x v="2"/>
    <n v="3"/>
    <n v="625"/>
    <n v="125"/>
    <n v="0"/>
    <n v="1875"/>
    <n v="1750"/>
    <x v="3"/>
    <x v="2"/>
    <x v="1"/>
    <n v="44"/>
    <m/>
  </r>
  <r>
    <x v="3763"/>
    <x v="275"/>
    <x v="9"/>
    <n v="10"/>
    <n v="3"/>
    <s v="Friday"/>
    <x v="4"/>
    <x v="3"/>
    <x v="9"/>
    <s v="Idli Sambar"/>
    <x v="1"/>
    <n v="1"/>
    <n v="278"/>
    <n v="0"/>
    <n v="20"/>
    <n v="278"/>
    <n v="298"/>
    <x v="1"/>
    <x v="0"/>
    <x v="1"/>
    <n v="27"/>
    <n v="4.8"/>
  </r>
  <r>
    <x v="3764"/>
    <x v="275"/>
    <x v="9"/>
    <n v="10"/>
    <n v="3"/>
    <s v="Friday"/>
    <x v="9"/>
    <x v="6"/>
    <x v="2"/>
    <s v="French Fries"/>
    <x v="1"/>
    <n v="1"/>
    <n v="510"/>
    <n v="127.5"/>
    <n v="60"/>
    <n v="510"/>
    <n v="442.5"/>
    <x v="1"/>
    <x v="0"/>
    <x v="1"/>
    <n v="29"/>
    <n v="4.5999999999999996"/>
  </r>
  <r>
    <x v="3765"/>
    <x v="275"/>
    <x v="9"/>
    <n v="10"/>
    <n v="3"/>
    <s v="Friday"/>
    <x v="1"/>
    <x v="6"/>
    <x v="2"/>
    <s v="Chocolate Cake"/>
    <x v="1"/>
    <n v="2"/>
    <n v="366"/>
    <n v="54.9"/>
    <n v="40"/>
    <n v="732"/>
    <n v="717.1"/>
    <x v="2"/>
    <x v="0"/>
    <x v="0"/>
    <n v="45"/>
    <n v="3.8"/>
  </r>
  <r>
    <x v="3766"/>
    <x v="275"/>
    <x v="9"/>
    <n v="10"/>
    <n v="3"/>
    <s v="Friday"/>
    <x v="6"/>
    <x v="7"/>
    <x v="5"/>
    <s v="Veg Burger"/>
    <x v="1"/>
    <n v="1"/>
    <n v="262"/>
    <n v="0"/>
    <n v="30"/>
    <n v="262"/>
    <n v="292"/>
    <x v="3"/>
    <x v="0"/>
    <x v="0"/>
    <n v="27"/>
    <n v="4.0999999999999996"/>
  </r>
  <r>
    <x v="3767"/>
    <x v="275"/>
    <x v="9"/>
    <n v="10"/>
    <n v="3"/>
    <s v="Friday"/>
    <x v="7"/>
    <x v="3"/>
    <x v="8"/>
    <s v="Pasta"/>
    <x v="2"/>
    <n v="1"/>
    <n v="181"/>
    <n v="18.100000000000001"/>
    <n v="30"/>
    <n v="181"/>
    <n v="192.9"/>
    <x v="4"/>
    <x v="0"/>
    <x v="0"/>
    <n v="21"/>
    <n v="4.9000000000000004"/>
  </r>
  <r>
    <x v="3768"/>
    <x v="275"/>
    <x v="9"/>
    <n v="10"/>
    <n v="3"/>
    <s v="Friday"/>
    <x v="6"/>
    <x v="11"/>
    <x v="5"/>
    <s v="Chicken Momos"/>
    <x v="1"/>
    <n v="2"/>
    <n v="639"/>
    <n v="63.9"/>
    <n v="0"/>
    <n v="1278"/>
    <n v="1214.0999999999999"/>
    <x v="1"/>
    <x v="0"/>
    <x v="1"/>
    <n v="70"/>
    <n v="4.0999999999999996"/>
  </r>
  <r>
    <x v="3769"/>
    <x v="275"/>
    <x v="9"/>
    <n v="10"/>
    <n v="3"/>
    <s v="Friday"/>
    <x v="9"/>
    <x v="12"/>
    <x v="7"/>
    <s v="Chicken Momos"/>
    <x v="2"/>
    <n v="1"/>
    <n v="287"/>
    <n v="57.4"/>
    <n v="20"/>
    <n v="287"/>
    <n v="249.6"/>
    <x v="1"/>
    <x v="0"/>
    <x v="0"/>
    <n v="54"/>
    <n v="3.8"/>
  </r>
  <r>
    <x v="3770"/>
    <x v="275"/>
    <x v="9"/>
    <n v="10"/>
    <n v="3"/>
    <s v="Friday"/>
    <x v="2"/>
    <x v="6"/>
    <x v="5"/>
    <s v="Veg Momos"/>
    <x v="1"/>
    <n v="1"/>
    <n v="377"/>
    <n v="94.25"/>
    <n v="30"/>
    <n v="377"/>
    <n v="312.75"/>
    <x v="4"/>
    <x v="0"/>
    <x v="1"/>
    <n v="26"/>
    <n v="4.8"/>
  </r>
  <r>
    <x v="3771"/>
    <x v="275"/>
    <x v="9"/>
    <n v="10"/>
    <n v="3"/>
    <s v="Friday"/>
    <x v="7"/>
    <x v="6"/>
    <x v="3"/>
    <s v="Fried Rice"/>
    <x v="1"/>
    <n v="3"/>
    <n v="544"/>
    <n v="27.2"/>
    <n v="40"/>
    <n v="1632"/>
    <n v="1644.8"/>
    <x v="0"/>
    <x v="3"/>
    <x v="1"/>
    <n v="53"/>
    <m/>
  </r>
  <r>
    <x v="3772"/>
    <x v="276"/>
    <x v="9"/>
    <n v="10"/>
    <n v="4"/>
    <s v="Saturday"/>
    <x v="5"/>
    <x v="10"/>
    <x v="6"/>
    <s v="Veg Burger"/>
    <x v="3"/>
    <n v="2"/>
    <n v="382"/>
    <n v="57.3"/>
    <n v="40"/>
    <n v="764"/>
    <n v="746.7"/>
    <x v="0"/>
    <x v="0"/>
    <x v="0"/>
    <n v="24"/>
    <n v="3.6"/>
  </r>
  <r>
    <x v="3773"/>
    <x v="276"/>
    <x v="9"/>
    <n v="10"/>
    <n v="4"/>
    <s v="Saturday"/>
    <x v="2"/>
    <x v="0"/>
    <x v="7"/>
    <s v="Chocolate Cake"/>
    <x v="2"/>
    <n v="1"/>
    <n v="519"/>
    <n v="51.9"/>
    <n v="60"/>
    <n v="519"/>
    <n v="527.1"/>
    <x v="2"/>
    <x v="3"/>
    <x v="0"/>
    <n v="45"/>
    <m/>
  </r>
  <r>
    <x v="3774"/>
    <x v="276"/>
    <x v="9"/>
    <n v="10"/>
    <n v="4"/>
    <s v="Saturday"/>
    <x v="1"/>
    <x v="7"/>
    <x v="5"/>
    <s v="Pasta"/>
    <x v="1"/>
    <n v="1"/>
    <n v="216"/>
    <n v="0"/>
    <n v="40"/>
    <n v="216"/>
    <n v="256"/>
    <x v="4"/>
    <x v="0"/>
    <x v="1"/>
    <n v="46"/>
    <n v="4.9000000000000004"/>
  </r>
  <r>
    <x v="3775"/>
    <x v="276"/>
    <x v="9"/>
    <n v="10"/>
    <n v="4"/>
    <s v="Saturday"/>
    <x v="1"/>
    <x v="3"/>
    <x v="6"/>
    <s v="Chocolate Cake"/>
    <x v="1"/>
    <n v="1"/>
    <n v="413"/>
    <n v="61.95"/>
    <n v="40"/>
    <n v="413"/>
    <n v="391.05"/>
    <x v="0"/>
    <x v="0"/>
    <x v="1"/>
    <n v="51"/>
    <n v="3.9"/>
  </r>
  <r>
    <x v="3776"/>
    <x v="276"/>
    <x v="9"/>
    <n v="10"/>
    <n v="4"/>
    <s v="Saturday"/>
    <x v="2"/>
    <x v="12"/>
    <x v="8"/>
    <s v="Paneer Butter Masala"/>
    <x v="1"/>
    <n v="2"/>
    <n v="749"/>
    <n v="112.35"/>
    <n v="40"/>
    <n v="1498"/>
    <n v="1425.65"/>
    <x v="1"/>
    <x v="0"/>
    <x v="1"/>
    <n v="43"/>
    <n v="3.9"/>
  </r>
  <r>
    <x v="3777"/>
    <x v="276"/>
    <x v="9"/>
    <n v="10"/>
    <n v="4"/>
    <s v="Saturday"/>
    <x v="1"/>
    <x v="11"/>
    <x v="1"/>
    <s v="Chicken Biryani"/>
    <x v="2"/>
    <n v="1"/>
    <n v="734"/>
    <n v="146.80000000000001"/>
    <n v="0"/>
    <n v="734"/>
    <n v="587.20000000000005"/>
    <x v="1"/>
    <x v="0"/>
    <x v="0"/>
    <n v="29"/>
    <n v="5"/>
  </r>
  <r>
    <x v="3778"/>
    <x v="276"/>
    <x v="9"/>
    <n v="10"/>
    <n v="4"/>
    <s v="Saturday"/>
    <x v="2"/>
    <x v="10"/>
    <x v="4"/>
    <s v="Chicken Pizza"/>
    <x v="2"/>
    <n v="2"/>
    <n v="254"/>
    <n v="12.7"/>
    <n v="40"/>
    <n v="508"/>
    <n v="535.29999999999995"/>
    <x v="0"/>
    <x v="0"/>
    <x v="0"/>
    <n v="51"/>
    <n v="3.3"/>
  </r>
  <r>
    <x v="3779"/>
    <x v="276"/>
    <x v="9"/>
    <n v="10"/>
    <n v="4"/>
    <s v="Saturday"/>
    <x v="3"/>
    <x v="1"/>
    <x v="4"/>
    <s v="Chicken Pizza"/>
    <x v="1"/>
    <n v="3"/>
    <n v="600"/>
    <n v="90"/>
    <n v="0"/>
    <n v="1800"/>
    <n v="1710"/>
    <x v="4"/>
    <x v="0"/>
    <x v="0"/>
    <n v="32"/>
    <n v="3.8"/>
  </r>
  <r>
    <x v="3780"/>
    <x v="276"/>
    <x v="9"/>
    <n v="10"/>
    <n v="4"/>
    <s v="Saturday"/>
    <x v="6"/>
    <x v="3"/>
    <x v="9"/>
    <s v="Chicken Biryani"/>
    <x v="1"/>
    <n v="3"/>
    <n v="346"/>
    <n v="17.3"/>
    <n v="60"/>
    <n v="1038"/>
    <n v="1080.7"/>
    <x v="4"/>
    <x v="0"/>
    <x v="0"/>
    <n v="48"/>
    <n v="3.8"/>
  </r>
  <r>
    <x v="3781"/>
    <x v="276"/>
    <x v="9"/>
    <n v="10"/>
    <n v="4"/>
    <s v="Saturday"/>
    <x v="2"/>
    <x v="3"/>
    <x v="0"/>
    <s v="Paneer Butter Masala"/>
    <x v="1"/>
    <n v="1"/>
    <n v="265"/>
    <n v="0"/>
    <n v="20"/>
    <n v="265"/>
    <n v="285"/>
    <x v="3"/>
    <x v="2"/>
    <x v="1"/>
    <n v="30"/>
    <m/>
  </r>
  <r>
    <x v="3782"/>
    <x v="276"/>
    <x v="9"/>
    <n v="10"/>
    <n v="4"/>
    <s v="Saturday"/>
    <x v="3"/>
    <x v="4"/>
    <x v="6"/>
    <s v="Pasta"/>
    <x v="3"/>
    <n v="2"/>
    <n v="525"/>
    <n v="52.5"/>
    <n v="0"/>
    <n v="1050"/>
    <n v="997.5"/>
    <x v="1"/>
    <x v="0"/>
    <x v="0"/>
    <n v="23"/>
    <n v="3.1"/>
  </r>
  <r>
    <x v="3783"/>
    <x v="276"/>
    <x v="9"/>
    <n v="10"/>
    <n v="4"/>
    <s v="Saturday"/>
    <x v="6"/>
    <x v="0"/>
    <x v="0"/>
    <s v="Veg Biryani"/>
    <x v="2"/>
    <n v="1"/>
    <n v="353"/>
    <n v="17.649999999999999"/>
    <n v="0"/>
    <n v="353"/>
    <n v="335.35"/>
    <x v="0"/>
    <x v="0"/>
    <x v="0"/>
    <n v="22"/>
    <n v="2.2999999999999998"/>
  </r>
  <r>
    <x v="3784"/>
    <x v="276"/>
    <x v="9"/>
    <n v="10"/>
    <n v="4"/>
    <s v="Saturday"/>
    <x v="4"/>
    <x v="0"/>
    <x v="4"/>
    <s v="Masala Dosa"/>
    <x v="1"/>
    <n v="1"/>
    <n v="872"/>
    <n v="87.2"/>
    <n v="20"/>
    <n v="872"/>
    <n v="804.8"/>
    <x v="1"/>
    <x v="2"/>
    <x v="1"/>
    <n v="53"/>
    <m/>
  </r>
  <r>
    <x v="3785"/>
    <x v="276"/>
    <x v="9"/>
    <n v="10"/>
    <n v="4"/>
    <s v="Saturday"/>
    <x v="8"/>
    <x v="0"/>
    <x v="4"/>
    <s v="Chicken Momos"/>
    <x v="1"/>
    <n v="1"/>
    <n v="598"/>
    <n v="89.7"/>
    <n v="60"/>
    <n v="598"/>
    <n v="568.29999999999995"/>
    <x v="2"/>
    <x v="0"/>
    <x v="1"/>
    <n v="52"/>
    <n v="3.1"/>
  </r>
  <r>
    <x v="3786"/>
    <x v="276"/>
    <x v="9"/>
    <n v="10"/>
    <n v="4"/>
    <s v="Saturday"/>
    <x v="7"/>
    <x v="12"/>
    <x v="5"/>
    <s v="Cold Coffee"/>
    <x v="2"/>
    <n v="2"/>
    <n v="495"/>
    <n v="74.25"/>
    <n v="20"/>
    <n v="990"/>
    <n v="935.75"/>
    <x v="1"/>
    <x v="0"/>
    <x v="1"/>
    <n v="31"/>
    <n v="4.9000000000000004"/>
  </r>
  <r>
    <x v="3787"/>
    <x v="276"/>
    <x v="9"/>
    <n v="10"/>
    <n v="4"/>
    <s v="Saturday"/>
    <x v="4"/>
    <x v="9"/>
    <x v="0"/>
    <s v="French Fries"/>
    <x v="3"/>
    <n v="1"/>
    <n v="245"/>
    <n v="12.25"/>
    <n v="60"/>
    <n v="245"/>
    <n v="292.75"/>
    <x v="0"/>
    <x v="0"/>
    <x v="0"/>
    <n v="24"/>
    <n v="4.5999999999999996"/>
  </r>
  <r>
    <x v="3788"/>
    <x v="276"/>
    <x v="9"/>
    <n v="10"/>
    <n v="4"/>
    <s v="Saturday"/>
    <x v="1"/>
    <x v="2"/>
    <x v="0"/>
    <s v="Chicken Burger"/>
    <x v="1"/>
    <n v="1"/>
    <n v="754"/>
    <n v="188.5"/>
    <n v="30"/>
    <n v="754"/>
    <n v="595.5"/>
    <x v="4"/>
    <x v="0"/>
    <x v="0"/>
    <n v="22"/>
    <n v="4.8"/>
  </r>
  <r>
    <x v="3789"/>
    <x v="276"/>
    <x v="9"/>
    <n v="10"/>
    <n v="4"/>
    <s v="Saturday"/>
    <x v="0"/>
    <x v="4"/>
    <x v="6"/>
    <s v="Chocolate Cake"/>
    <x v="1"/>
    <n v="1"/>
    <n v="724"/>
    <n v="72.400000000000006"/>
    <n v="30"/>
    <n v="724"/>
    <n v="681.6"/>
    <x v="0"/>
    <x v="0"/>
    <x v="1"/>
    <n v="69"/>
    <n v="3.9"/>
  </r>
  <r>
    <x v="3790"/>
    <x v="276"/>
    <x v="9"/>
    <n v="10"/>
    <n v="4"/>
    <s v="Saturday"/>
    <x v="4"/>
    <x v="14"/>
    <x v="5"/>
    <s v="Masala Dosa"/>
    <x v="1"/>
    <n v="2"/>
    <n v="491"/>
    <n v="49.1"/>
    <n v="60"/>
    <n v="982"/>
    <n v="992.9"/>
    <x v="1"/>
    <x v="0"/>
    <x v="1"/>
    <n v="58"/>
    <n v="4.5999999999999996"/>
  </r>
  <r>
    <x v="3791"/>
    <x v="276"/>
    <x v="9"/>
    <n v="10"/>
    <n v="4"/>
    <s v="Saturday"/>
    <x v="4"/>
    <x v="4"/>
    <x v="0"/>
    <s v="Chicken Pizza"/>
    <x v="1"/>
    <n v="1"/>
    <n v="846"/>
    <n v="126.9"/>
    <n v="30"/>
    <n v="846"/>
    <n v="749.1"/>
    <x v="3"/>
    <x v="0"/>
    <x v="0"/>
    <n v="42"/>
    <n v="3.8"/>
  </r>
  <r>
    <x v="3792"/>
    <x v="277"/>
    <x v="9"/>
    <n v="10"/>
    <n v="5"/>
    <s v="Sunday"/>
    <x v="4"/>
    <x v="6"/>
    <x v="5"/>
    <s v="Veg Biryani"/>
    <x v="3"/>
    <n v="2"/>
    <n v="539"/>
    <n v="53.9"/>
    <n v="40"/>
    <n v="1078"/>
    <n v="1064.0999999999999"/>
    <x v="4"/>
    <x v="0"/>
    <x v="0"/>
    <n v="52"/>
    <n v="4"/>
  </r>
  <r>
    <x v="3793"/>
    <x v="277"/>
    <x v="9"/>
    <n v="10"/>
    <n v="5"/>
    <s v="Sunday"/>
    <x v="1"/>
    <x v="1"/>
    <x v="2"/>
    <s v="Pasta"/>
    <x v="1"/>
    <n v="2"/>
    <n v="512"/>
    <n v="25.6"/>
    <n v="70"/>
    <n v="1024"/>
    <n v="1068.4000000000001"/>
    <x v="1"/>
    <x v="0"/>
    <x v="1"/>
    <n v="28"/>
    <n v="4.4000000000000004"/>
  </r>
  <r>
    <x v="3794"/>
    <x v="277"/>
    <x v="9"/>
    <n v="10"/>
    <n v="5"/>
    <s v="Sunday"/>
    <x v="1"/>
    <x v="12"/>
    <x v="6"/>
    <s v="French Fries"/>
    <x v="1"/>
    <n v="2"/>
    <n v="177"/>
    <n v="17.7"/>
    <n v="30"/>
    <n v="354"/>
    <n v="366.3"/>
    <x v="1"/>
    <x v="0"/>
    <x v="0"/>
    <n v="18"/>
    <n v="4.8"/>
  </r>
  <r>
    <x v="3795"/>
    <x v="277"/>
    <x v="9"/>
    <n v="10"/>
    <n v="5"/>
    <s v="Sunday"/>
    <x v="9"/>
    <x v="11"/>
    <x v="0"/>
    <s v="Chocolate Cake"/>
    <x v="1"/>
    <n v="1"/>
    <n v="199"/>
    <n v="0"/>
    <n v="30"/>
    <n v="199"/>
    <n v="229"/>
    <x v="1"/>
    <x v="0"/>
    <x v="0"/>
    <n v="29"/>
    <n v="3.6"/>
  </r>
  <r>
    <x v="3796"/>
    <x v="277"/>
    <x v="9"/>
    <n v="10"/>
    <n v="5"/>
    <s v="Sunday"/>
    <x v="9"/>
    <x v="8"/>
    <x v="3"/>
    <s v="French Fries"/>
    <x v="1"/>
    <n v="1"/>
    <n v="832"/>
    <n v="208"/>
    <n v="30"/>
    <n v="832"/>
    <n v="654"/>
    <x v="1"/>
    <x v="0"/>
    <x v="0"/>
    <n v="46"/>
    <n v="3.7"/>
  </r>
  <r>
    <x v="3797"/>
    <x v="277"/>
    <x v="9"/>
    <n v="10"/>
    <n v="5"/>
    <s v="Sunday"/>
    <x v="3"/>
    <x v="4"/>
    <x v="5"/>
    <s v="Cold Coffee"/>
    <x v="2"/>
    <n v="1"/>
    <n v="840"/>
    <n v="210"/>
    <n v="40"/>
    <n v="840"/>
    <n v="670"/>
    <x v="1"/>
    <x v="1"/>
    <x v="1"/>
    <n v="23"/>
    <m/>
  </r>
  <r>
    <x v="3798"/>
    <x v="277"/>
    <x v="9"/>
    <n v="10"/>
    <n v="5"/>
    <s v="Sunday"/>
    <x v="2"/>
    <x v="1"/>
    <x v="2"/>
    <s v="Chocolate Cake"/>
    <x v="1"/>
    <n v="1"/>
    <n v="431"/>
    <n v="64.650000000000006"/>
    <n v="70"/>
    <n v="431"/>
    <n v="436.35"/>
    <x v="1"/>
    <x v="0"/>
    <x v="1"/>
    <n v="54"/>
    <n v="4.8"/>
  </r>
  <r>
    <x v="3799"/>
    <x v="277"/>
    <x v="9"/>
    <n v="10"/>
    <n v="5"/>
    <s v="Sunday"/>
    <x v="1"/>
    <x v="3"/>
    <x v="5"/>
    <s v="Veg Biryani"/>
    <x v="1"/>
    <n v="2"/>
    <n v="497"/>
    <n v="49.7"/>
    <n v="30"/>
    <n v="994"/>
    <n v="974.3"/>
    <x v="1"/>
    <x v="0"/>
    <x v="1"/>
    <n v="60"/>
    <n v="4.4000000000000004"/>
  </r>
  <r>
    <x v="3800"/>
    <x v="277"/>
    <x v="9"/>
    <n v="10"/>
    <n v="5"/>
    <s v="Sunday"/>
    <x v="4"/>
    <x v="8"/>
    <x v="6"/>
    <s v="Idli Sambar"/>
    <x v="1"/>
    <n v="3"/>
    <n v="273"/>
    <n v="0"/>
    <n v="20"/>
    <n v="819"/>
    <n v="839"/>
    <x v="2"/>
    <x v="0"/>
    <x v="1"/>
    <n v="54"/>
    <n v="4.2"/>
  </r>
  <r>
    <x v="3801"/>
    <x v="277"/>
    <x v="9"/>
    <n v="10"/>
    <n v="5"/>
    <s v="Sunday"/>
    <x v="0"/>
    <x v="6"/>
    <x v="6"/>
    <s v="Chicken Pizza"/>
    <x v="1"/>
    <n v="2"/>
    <n v="287"/>
    <n v="28.7"/>
    <n v="30"/>
    <n v="574"/>
    <n v="575.29999999999995"/>
    <x v="3"/>
    <x v="0"/>
    <x v="0"/>
    <n v="50"/>
    <n v="5"/>
  </r>
  <r>
    <x v="3802"/>
    <x v="277"/>
    <x v="9"/>
    <n v="10"/>
    <n v="5"/>
    <s v="Sunday"/>
    <x v="4"/>
    <x v="1"/>
    <x v="2"/>
    <s v="Veg Pizza"/>
    <x v="3"/>
    <n v="3"/>
    <n v="424"/>
    <n v="42.4"/>
    <n v="0"/>
    <n v="1272"/>
    <n v="1229.5999999999999"/>
    <x v="2"/>
    <x v="0"/>
    <x v="0"/>
    <n v="21"/>
    <n v="3.8"/>
  </r>
  <r>
    <x v="3803"/>
    <x v="278"/>
    <x v="9"/>
    <n v="10"/>
    <n v="6"/>
    <s v="Monday"/>
    <x v="7"/>
    <x v="6"/>
    <x v="0"/>
    <s v="Veg Burger"/>
    <x v="1"/>
    <n v="2"/>
    <n v="287"/>
    <n v="57.4"/>
    <n v="0"/>
    <n v="574"/>
    <n v="516.6"/>
    <x v="2"/>
    <x v="0"/>
    <x v="0"/>
    <n v="23"/>
    <n v="3.9"/>
  </r>
  <r>
    <x v="3804"/>
    <x v="278"/>
    <x v="9"/>
    <n v="10"/>
    <n v="6"/>
    <s v="Monday"/>
    <x v="4"/>
    <x v="3"/>
    <x v="4"/>
    <s v="Chocolate Cake"/>
    <x v="1"/>
    <n v="2"/>
    <n v="404"/>
    <n v="80.8"/>
    <n v="30"/>
    <n v="808"/>
    <n v="757.2"/>
    <x v="1"/>
    <x v="0"/>
    <x v="1"/>
    <n v="18"/>
    <n v="4.3"/>
  </r>
  <r>
    <x v="3805"/>
    <x v="278"/>
    <x v="9"/>
    <n v="10"/>
    <n v="6"/>
    <s v="Monday"/>
    <x v="3"/>
    <x v="9"/>
    <x v="7"/>
    <s v="Chicken Pizza"/>
    <x v="1"/>
    <n v="3"/>
    <n v="592"/>
    <n v="0"/>
    <n v="30"/>
    <n v="1776"/>
    <n v="1806"/>
    <x v="1"/>
    <x v="0"/>
    <x v="0"/>
    <n v="29"/>
    <n v="3.8"/>
  </r>
  <r>
    <x v="3806"/>
    <x v="278"/>
    <x v="9"/>
    <n v="10"/>
    <n v="6"/>
    <s v="Monday"/>
    <x v="1"/>
    <x v="0"/>
    <x v="8"/>
    <s v="Veg Biryani"/>
    <x v="1"/>
    <n v="1"/>
    <n v="222"/>
    <n v="33.299999999999997"/>
    <n v="40"/>
    <n v="222"/>
    <n v="228.7"/>
    <x v="1"/>
    <x v="0"/>
    <x v="0"/>
    <n v="70"/>
    <n v="3.7"/>
  </r>
  <r>
    <x v="3807"/>
    <x v="278"/>
    <x v="9"/>
    <n v="10"/>
    <n v="6"/>
    <s v="Monday"/>
    <x v="5"/>
    <x v="14"/>
    <x v="3"/>
    <s v="Cold Coffee"/>
    <x v="2"/>
    <n v="2"/>
    <n v="321"/>
    <n v="0"/>
    <n v="30"/>
    <n v="642"/>
    <n v="672"/>
    <x v="1"/>
    <x v="0"/>
    <x v="1"/>
    <n v="60"/>
    <n v="4.5999999999999996"/>
  </r>
  <r>
    <x v="3808"/>
    <x v="278"/>
    <x v="9"/>
    <n v="10"/>
    <n v="6"/>
    <s v="Monday"/>
    <x v="5"/>
    <x v="4"/>
    <x v="4"/>
    <s v="Veg Biryani"/>
    <x v="1"/>
    <n v="1"/>
    <n v="500"/>
    <n v="50"/>
    <n v="50"/>
    <n v="500"/>
    <n v="500"/>
    <x v="1"/>
    <x v="0"/>
    <x v="1"/>
    <n v="60"/>
    <n v="4"/>
  </r>
  <r>
    <x v="3809"/>
    <x v="278"/>
    <x v="9"/>
    <n v="10"/>
    <n v="6"/>
    <s v="Monday"/>
    <x v="5"/>
    <x v="8"/>
    <x v="0"/>
    <s v="Veg Burger"/>
    <x v="2"/>
    <n v="1"/>
    <n v="801"/>
    <n v="120.15"/>
    <n v="0"/>
    <n v="801"/>
    <n v="680.85"/>
    <x v="2"/>
    <x v="0"/>
    <x v="0"/>
    <n v="59"/>
    <n v="4.4000000000000004"/>
  </r>
  <r>
    <x v="3810"/>
    <x v="278"/>
    <x v="9"/>
    <n v="10"/>
    <n v="6"/>
    <s v="Monday"/>
    <x v="5"/>
    <x v="2"/>
    <x v="2"/>
    <s v="Chicken Pizza"/>
    <x v="1"/>
    <n v="3"/>
    <n v="541"/>
    <n v="108.2"/>
    <n v="40"/>
    <n v="1623"/>
    <n v="1554.8"/>
    <x v="4"/>
    <x v="0"/>
    <x v="0"/>
    <n v="64"/>
    <n v="4.2"/>
  </r>
  <r>
    <x v="3811"/>
    <x v="278"/>
    <x v="9"/>
    <n v="10"/>
    <n v="6"/>
    <s v="Monday"/>
    <x v="3"/>
    <x v="8"/>
    <x v="5"/>
    <s v="Idli Sambar"/>
    <x v="1"/>
    <n v="1"/>
    <n v="663"/>
    <n v="33.15"/>
    <n v="30"/>
    <n v="663"/>
    <n v="659.85"/>
    <x v="1"/>
    <x v="0"/>
    <x v="1"/>
    <n v="51"/>
    <n v="2.8"/>
  </r>
  <r>
    <x v="3812"/>
    <x v="278"/>
    <x v="9"/>
    <n v="10"/>
    <n v="6"/>
    <s v="Monday"/>
    <x v="0"/>
    <x v="10"/>
    <x v="3"/>
    <s v="Pasta"/>
    <x v="1"/>
    <n v="1"/>
    <n v="667"/>
    <n v="66.7"/>
    <n v="40"/>
    <n v="667"/>
    <n v="640.29999999999995"/>
    <x v="0"/>
    <x v="0"/>
    <x v="1"/>
    <n v="65"/>
    <n v="4.9000000000000004"/>
  </r>
  <r>
    <x v="3813"/>
    <x v="278"/>
    <x v="9"/>
    <n v="10"/>
    <n v="6"/>
    <s v="Monday"/>
    <x v="5"/>
    <x v="2"/>
    <x v="0"/>
    <s v="Fried Rice"/>
    <x v="1"/>
    <n v="1"/>
    <n v="399"/>
    <n v="0"/>
    <n v="60"/>
    <n v="399"/>
    <n v="459"/>
    <x v="2"/>
    <x v="0"/>
    <x v="0"/>
    <n v="18"/>
    <n v="5"/>
  </r>
  <r>
    <x v="3814"/>
    <x v="279"/>
    <x v="9"/>
    <n v="10"/>
    <n v="7"/>
    <s v="Tuesday"/>
    <x v="1"/>
    <x v="9"/>
    <x v="1"/>
    <s v="Cold Coffee"/>
    <x v="1"/>
    <n v="2"/>
    <n v="297"/>
    <n v="29.7"/>
    <n v="40"/>
    <n v="594"/>
    <n v="604.29999999999995"/>
    <x v="1"/>
    <x v="0"/>
    <x v="0"/>
    <n v="27"/>
    <n v="3.5"/>
  </r>
  <r>
    <x v="3815"/>
    <x v="279"/>
    <x v="9"/>
    <n v="10"/>
    <n v="7"/>
    <s v="Tuesday"/>
    <x v="9"/>
    <x v="1"/>
    <x v="7"/>
    <s v="Veg Biryani"/>
    <x v="1"/>
    <n v="3"/>
    <n v="430"/>
    <n v="64.5"/>
    <n v="0"/>
    <n v="1290"/>
    <n v="1225.5"/>
    <x v="1"/>
    <x v="0"/>
    <x v="1"/>
    <n v="58"/>
    <n v="3.7"/>
  </r>
  <r>
    <x v="3816"/>
    <x v="279"/>
    <x v="9"/>
    <n v="10"/>
    <n v="7"/>
    <s v="Tuesday"/>
    <x v="3"/>
    <x v="8"/>
    <x v="6"/>
    <s v="Paneer Butter Masala"/>
    <x v="1"/>
    <n v="2"/>
    <n v="197"/>
    <n v="0"/>
    <n v="20"/>
    <n v="394"/>
    <n v="414"/>
    <x v="1"/>
    <x v="0"/>
    <x v="1"/>
    <n v="33"/>
    <n v="3.6"/>
  </r>
  <r>
    <x v="3817"/>
    <x v="279"/>
    <x v="9"/>
    <n v="10"/>
    <n v="7"/>
    <s v="Tuesday"/>
    <x v="9"/>
    <x v="1"/>
    <x v="6"/>
    <s v="Chicken Biryani"/>
    <x v="1"/>
    <n v="1"/>
    <n v="846"/>
    <n v="42.3"/>
    <n v="50"/>
    <n v="846"/>
    <n v="853.7"/>
    <x v="1"/>
    <x v="0"/>
    <x v="1"/>
    <n v="27"/>
    <n v="2"/>
  </r>
  <r>
    <x v="3818"/>
    <x v="279"/>
    <x v="9"/>
    <n v="10"/>
    <n v="7"/>
    <s v="Tuesday"/>
    <x v="4"/>
    <x v="11"/>
    <x v="4"/>
    <s v="Chocolate Cake"/>
    <x v="1"/>
    <n v="1"/>
    <n v="464"/>
    <n v="46.4"/>
    <n v="30"/>
    <n v="464"/>
    <n v="447.6"/>
    <x v="4"/>
    <x v="3"/>
    <x v="1"/>
    <n v="58"/>
    <m/>
  </r>
  <r>
    <x v="3819"/>
    <x v="279"/>
    <x v="9"/>
    <n v="10"/>
    <n v="7"/>
    <s v="Tuesday"/>
    <x v="7"/>
    <x v="4"/>
    <x v="7"/>
    <s v="Chicken Momos"/>
    <x v="1"/>
    <n v="1"/>
    <n v="666"/>
    <n v="133.19999999999999"/>
    <n v="40"/>
    <n v="666"/>
    <n v="572.79999999999995"/>
    <x v="0"/>
    <x v="1"/>
    <x v="1"/>
    <n v="50"/>
    <m/>
  </r>
  <r>
    <x v="3820"/>
    <x v="279"/>
    <x v="9"/>
    <n v="10"/>
    <n v="7"/>
    <s v="Tuesday"/>
    <x v="4"/>
    <x v="2"/>
    <x v="5"/>
    <s v="Veg Biryani"/>
    <x v="2"/>
    <n v="1"/>
    <n v="135"/>
    <n v="27"/>
    <n v="0"/>
    <n v="135"/>
    <n v="108"/>
    <x v="1"/>
    <x v="0"/>
    <x v="1"/>
    <n v="34"/>
    <n v="3.3"/>
  </r>
  <r>
    <x v="3821"/>
    <x v="279"/>
    <x v="9"/>
    <n v="10"/>
    <n v="7"/>
    <s v="Tuesday"/>
    <x v="5"/>
    <x v="6"/>
    <x v="8"/>
    <s v="Chicken Burger"/>
    <x v="1"/>
    <n v="1"/>
    <n v="521"/>
    <n v="26.05"/>
    <n v="30"/>
    <n v="521"/>
    <n v="524.95000000000005"/>
    <x v="1"/>
    <x v="0"/>
    <x v="1"/>
    <n v="46"/>
    <n v="3.4"/>
  </r>
  <r>
    <x v="3822"/>
    <x v="279"/>
    <x v="9"/>
    <n v="10"/>
    <n v="7"/>
    <s v="Tuesday"/>
    <x v="1"/>
    <x v="7"/>
    <x v="9"/>
    <s v="Veg Momos"/>
    <x v="1"/>
    <n v="3"/>
    <n v="822"/>
    <n v="164.4"/>
    <n v="20"/>
    <n v="2466"/>
    <n v="2321.6"/>
    <x v="1"/>
    <x v="0"/>
    <x v="1"/>
    <n v="57"/>
    <n v="3.7"/>
  </r>
  <r>
    <x v="3823"/>
    <x v="279"/>
    <x v="9"/>
    <n v="10"/>
    <n v="7"/>
    <s v="Tuesday"/>
    <x v="3"/>
    <x v="13"/>
    <x v="3"/>
    <s v="Veg Biryani"/>
    <x v="0"/>
    <n v="1"/>
    <n v="551"/>
    <n v="110.2"/>
    <n v="70"/>
    <n v="551"/>
    <n v="510.8"/>
    <x v="1"/>
    <x v="0"/>
    <x v="1"/>
    <n v="64"/>
    <n v="3.6"/>
  </r>
  <r>
    <x v="3824"/>
    <x v="279"/>
    <x v="9"/>
    <n v="10"/>
    <n v="7"/>
    <s v="Tuesday"/>
    <x v="3"/>
    <x v="11"/>
    <x v="5"/>
    <s v="Veg Biryani"/>
    <x v="2"/>
    <n v="2"/>
    <n v="527"/>
    <n v="131.75"/>
    <n v="0"/>
    <n v="1054"/>
    <n v="922.25"/>
    <x v="1"/>
    <x v="0"/>
    <x v="0"/>
    <n v="43"/>
    <n v="2.9"/>
  </r>
  <r>
    <x v="3825"/>
    <x v="279"/>
    <x v="9"/>
    <n v="10"/>
    <n v="7"/>
    <s v="Tuesday"/>
    <x v="1"/>
    <x v="14"/>
    <x v="8"/>
    <s v="Idli Sambar"/>
    <x v="1"/>
    <n v="2"/>
    <n v="650"/>
    <n v="32.5"/>
    <n v="20"/>
    <n v="1300"/>
    <n v="1287.5"/>
    <x v="0"/>
    <x v="0"/>
    <x v="1"/>
    <n v="66"/>
    <n v="4.8"/>
  </r>
  <r>
    <x v="3826"/>
    <x v="279"/>
    <x v="9"/>
    <n v="10"/>
    <n v="7"/>
    <s v="Tuesday"/>
    <x v="3"/>
    <x v="5"/>
    <x v="1"/>
    <s v="Veg Biryani"/>
    <x v="1"/>
    <n v="2"/>
    <n v="520"/>
    <n v="130"/>
    <n v="60"/>
    <n v="1040"/>
    <n v="970"/>
    <x v="1"/>
    <x v="0"/>
    <x v="1"/>
    <n v="42"/>
    <n v="4"/>
  </r>
  <r>
    <x v="3827"/>
    <x v="279"/>
    <x v="9"/>
    <n v="10"/>
    <n v="7"/>
    <s v="Tuesday"/>
    <x v="3"/>
    <x v="6"/>
    <x v="2"/>
    <s v="Cold Coffee"/>
    <x v="1"/>
    <n v="1"/>
    <n v="836"/>
    <n v="83.6"/>
    <n v="40"/>
    <n v="836"/>
    <n v="792.4"/>
    <x v="2"/>
    <x v="0"/>
    <x v="1"/>
    <n v="52"/>
    <n v="4.7"/>
  </r>
  <r>
    <x v="3828"/>
    <x v="280"/>
    <x v="9"/>
    <n v="10"/>
    <n v="8"/>
    <s v="Wednesday"/>
    <x v="1"/>
    <x v="0"/>
    <x v="9"/>
    <s v="Cold Coffee"/>
    <x v="1"/>
    <n v="1"/>
    <n v="832"/>
    <n v="166.4"/>
    <n v="0"/>
    <n v="832"/>
    <n v="665.6"/>
    <x v="2"/>
    <x v="1"/>
    <x v="0"/>
    <n v="56"/>
    <m/>
  </r>
  <r>
    <x v="3829"/>
    <x v="280"/>
    <x v="9"/>
    <n v="10"/>
    <n v="8"/>
    <s v="Wednesday"/>
    <x v="1"/>
    <x v="10"/>
    <x v="6"/>
    <s v="Chicken Burger"/>
    <x v="3"/>
    <n v="1"/>
    <n v="141"/>
    <n v="0"/>
    <n v="30"/>
    <n v="141"/>
    <n v="171"/>
    <x v="1"/>
    <x v="0"/>
    <x v="1"/>
    <n v="62"/>
    <n v="3.2"/>
  </r>
  <r>
    <x v="3830"/>
    <x v="280"/>
    <x v="9"/>
    <n v="10"/>
    <n v="8"/>
    <s v="Wednesday"/>
    <x v="3"/>
    <x v="2"/>
    <x v="3"/>
    <s v="Masala Dosa"/>
    <x v="2"/>
    <n v="2"/>
    <n v="675"/>
    <n v="168.75"/>
    <n v="50"/>
    <n v="1350"/>
    <n v="1231.25"/>
    <x v="1"/>
    <x v="2"/>
    <x v="1"/>
    <n v="58"/>
    <m/>
  </r>
  <r>
    <x v="3831"/>
    <x v="280"/>
    <x v="9"/>
    <n v="10"/>
    <n v="8"/>
    <s v="Wednesday"/>
    <x v="8"/>
    <x v="12"/>
    <x v="7"/>
    <s v="Chicken Momos"/>
    <x v="1"/>
    <n v="1"/>
    <n v="710"/>
    <n v="142"/>
    <n v="20"/>
    <n v="710"/>
    <n v="588"/>
    <x v="1"/>
    <x v="0"/>
    <x v="0"/>
    <n v="42"/>
    <n v="3.3"/>
  </r>
  <r>
    <x v="3832"/>
    <x v="280"/>
    <x v="9"/>
    <n v="10"/>
    <n v="8"/>
    <s v="Wednesday"/>
    <x v="9"/>
    <x v="4"/>
    <x v="0"/>
    <s v="Chicken Burger"/>
    <x v="1"/>
    <n v="1"/>
    <n v="743"/>
    <n v="0"/>
    <n v="30"/>
    <n v="743"/>
    <n v="773"/>
    <x v="3"/>
    <x v="0"/>
    <x v="1"/>
    <n v="25"/>
    <n v="4.4000000000000004"/>
  </r>
  <r>
    <x v="3833"/>
    <x v="280"/>
    <x v="9"/>
    <n v="10"/>
    <n v="8"/>
    <s v="Wednesday"/>
    <x v="1"/>
    <x v="7"/>
    <x v="5"/>
    <s v="Veg Pizza"/>
    <x v="1"/>
    <n v="1"/>
    <n v="316"/>
    <n v="0"/>
    <n v="0"/>
    <n v="316"/>
    <n v="316"/>
    <x v="1"/>
    <x v="0"/>
    <x v="1"/>
    <n v="25"/>
    <n v="3.9"/>
  </r>
  <r>
    <x v="3834"/>
    <x v="280"/>
    <x v="9"/>
    <n v="10"/>
    <n v="8"/>
    <s v="Wednesday"/>
    <x v="4"/>
    <x v="5"/>
    <x v="4"/>
    <s v="Paneer Butter Masala"/>
    <x v="1"/>
    <n v="1"/>
    <n v="538"/>
    <n v="53.8"/>
    <n v="50"/>
    <n v="538"/>
    <n v="534.20000000000005"/>
    <x v="1"/>
    <x v="0"/>
    <x v="1"/>
    <n v="47"/>
    <n v="4.5999999999999996"/>
  </r>
  <r>
    <x v="3835"/>
    <x v="280"/>
    <x v="9"/>
    <n v="10"/>
    <n v="8"/>
    <s v="Wednesday"/>
    <x v="9"/>
    <x v="0"/>
    <x v="5"/>
    <s v="Chicken Pizza"/>
    <x v="1"/>
    <n v="1"/>
    <n v="296"/>
    <n v="74"/>
    <n v="40"/>
    <n v="296"/>
    <n v="262"/>
    <x v="2"/>
    <x v="2"/>
    <x v="0"/>
    <n v="55"/>
    <m/>
  </r>
  <r>
    <x v="3836"/>
    <x v="280"/>
    <x v="9"/>
    <n v="10"/>
    <n v="8"/>
    <s v="Wednesday"/>
    <x v="0"/>
    <x v="3"/>
    <x v="8"/>
    <s v="Paneer Butter Masala"/>
    <x v="1"/>
    <n v="1"/>
    <n v="752"/>
    <n v="75.2"/>
    <n v="20"/>
    <n v="752"/>
    <n v="696.8"/>
    <x v="2"/>
    <x v="0"/>
    <x v="0"/>
    <n v="48"/>
    <n v="3.5"/>
  </r>
  <r>
    <x v="3837"/>
    <x v="280"/>
    <x v="9"/>
    <n v="10"/>
    <n v="8"/>
    <s v="Wednesday"/>
    <x v="9"/>
    <x v="1"/>
    <x v="0"/>
    <s v="Fried Rice"/>
    <x v="2"/>
    <n v="1"/>
    <n v="347"/>
    <n v="69.400000000000006"/>
    <n v="40"/>
    <n v="347"/>
    <n v="317.60000000000002"/>
    <x v="1"/>
    <x v="0"/>
    <x v="1"/>
    <n v="54"/>
    <n v="3.8"/>
  </r>
  <r>
    <x v="3838"/>
    <x v="280"/>
    <x v="9"/>
    <n v="10"/>
    <n v="8"/>
    <s v="Wednesday"/>
    <x v="3"/>
    <x v="6"/>
    <x v="0"/>
    <s v="Pasta"/>
    <x v="3"/>
    <n v="1"/>
    <n v="735"/>
    <n v="110.25"/>
    <n v="0"/>
    <n v="735"/>
    <n v="624.75"/>
    <x v="4"/>
    <x v="0"/>
    <x v="1"/>
    <n v="39"/>
    <n v="4.2"/>
  </r>
  <r>
    <x v="3839"/>
    <x v="281"/>
    <x v="9"/>
    <n v="10"/>
    <n v="9"/>
    <s v="Thursday"/>
    <x v="1"/>
    <x v="14"/>
    <x v="2"/>
    <s v="Chicken Momos"/>
    <x v="1"/>
    <n v="2"/>
    <n v="723"/>
    <n v="36.15"/>
    <n v="50"/>
    <n v="1446"/>
    <n v="1459.85"/>
    <x v="3"/>
    <x v="3"/>
    <x v="1"/>
    <n v="42"/>
    <m/>
  </r>
  <r>
    <x v="3840"/>
    <x v="281"/>
    <x v="9"/>
    <n v="10"/>
    <n v="9"/>
    <s v="Thursday"/>
    <x v="4"/>
    <x v="5"/>
    <x v="6"/>
    <s v="Fried Rice"/>
    <x v="2"/>
    <n v="2"/>
    <n v="235"/>
    <n v="35.25"/>
    <n v="30"/>
    <n v="470"/>
    <n v="464.75"/>
    <x v="2"/>
    <x v="0"/>
    <x v="0"/>
    <n v="70"/>
    <n v="3.8"/>
  </r>
  <r>
    <x v="3841"/>
    <x v="281"/>
    <x v="9"/>
    <n v="10"/>
    <n v="9"/>
    <s v="Thursday"/>
    <x v="7"/>
    <x v="11"/>
    <x v="3"/>
    <s v="Masala Dosa"/>
    <x v="1"/>
    <n v="3"/>
    <n v="219"/>
    <n v="32.85"/>
    <n v="0"/>
    <n v="657"/>
    <n v="624.15"/>
    <x v="2"/>
    <x v="0"/>
    <x v="0"/>
    <n v="49"/>
    <n v="5"/>
  </r>
  <r>
    <x v="3842"/>
    <x v="281"/>
    <x v="9"/>
    <n v="10"/>
    <n v="9"/>
    <s v="Thursday"/>
    <x v="9"/>
    <x v="12"/>
    <x v="2"/>
    <s v="Pasta"/>
    <x v="1"/>
    <n v="3"/>
    <n v="658"/>
    <n v="65.8"/>
    <n v="0"/>
    <n v="1974"/>
    <n v="1908.2"/>
    <x v="1"/>
    <x v="0"/>
    <x v="0"/>
    <n v="38"/>
    <n v="4.4000000000000004"/>
  </r>
  <r>
    <x v="3843"/>
    <x v="281"/>
    <x v="9"/>
    <n v="10"/>
    <n v="9"/>
    <s v="Thursday"/>
    <x v="9"/>
    <x v="3"/>
    <x v="5"/>
    <s v="Chicken Biryani"/>
    <x v="1"/>
    <n v="2"/>
    <n v="639"/>
    <n v="63.9"/>
    <n v="70"/>
    <n v="1278"/>
    <n v="1284.0999999999999"/>
    <x v="2"/>
    <x v="0"/>
    <x v="0"/>
    <n v="39"/>
    <n v="4.8"/>
  </r>
  <r>
    <x v="3844"/>
    <x v="281"/>
    <x v="9"/>
    <n v="10"/>
    <n v="9"/>
    <s v="Thursday"/>
    <x v="8"/>
    <x v="0"/>
    <x v="5"/>
    <s v="French Fries"/>
    <x v="2"/>
    <n v="2"/>
    <n v="707"/>
    <n v="35.35"/>
    <n v="0"/>
    <n v="1414"/>
    <n v="1378.65"/>
    <x v="1"/>
    <x v="0"/>
    <x v="1"/>
    <n v="54"/>
    <n v="4.3"/>
  </r>
  <r>
    <x v="3845"/>
    <x v="281"/>
    <x v="9"/>
    <n v="10"/>
    <n v="9"/>
    <s v="Thursday"/>
    <x v="4"/>
    <x v="4"/>
    <x v="0"/>
    <s v="Veg Momos"/>
    <x v="1"/>
    <n v="2"/>
    <n v="397"/>
    <n v="59.55"/>
    <n v="70"/>
    <n v="794"/>
    <n v="804.45"/>
    <x v="1"/>
    <x v="0"/>
    <x v="1"/>
    <n v="43"/>
    <n v="4.3"/>
  </r>
  <r>
    <x v="3846"/>
    <x v="281"/>
    <x v="9"/>
    <n v="10"/>
    <n v="9"/>
    <s v="Thursday"/>
    <x v="0"/>
    <x v="14"/>
    <x v="1"/>
    <s v="Veg Momos"/>
    <x v="1"/>
    <n v="2"/>
    <n v="645"/>
    <n v="32.25"/>
    <n v="60"/>
    <n v="1290"/>
    <n v="1317.75"/>
    <x v="1"/>
    <x v="0"/>
    <x v="0"/>
    <n v="30"/>
    <n v="4.5999999999999996"/>
  </r>
  <r>
    <x v="3847"/>
    <x v="281"/>
    <x v="9"/>
    <n v="10"/>
    <n v="9"/>
    <s v="Thursday"/>
    <x v="3"/>
    <x v="3"/>
    <x v="7"/>
    <s v="Masala Dosa"/>
    <x v="1"/>
    <n v="2"/>
    <n v="704"/>
    <n v="176"/>
    <n v="40"/>
    <n v="1408"/>
    <n v="1272"/>
    <x v="1"/>
    <x v="0"/>
    <x v="1"/>
    <n v="19"/>
    <n v="4.5"/>
  </r>
  <r>
    <x v="3848"/>
    <x v="281"/>
    <x v="9"/>
    <n v="10"/>
    <n v="9"/>
    <s v="Thursday"/>
    <x v="3"/>
    <x v="11"/>
    <x v="4"/>
    <s v="French Fries"/>
    <x v="1"/>
    <n v="2"/>
    <n v="796"/>
    <n v="0"/>
    <n v="30"/>
    <n v="1592"/>
    <n v="1622"/>
    <x v="1"/>
    <x v="0"/>
    <x v="0"/>
    <n v="25"/>
    <n v="4"/>
  </r>
  <r>
    <x v="3849"/>
    <x v="281"/>
    <x v="9"/>
    <n v="10"/>
    <n v="9"/>
    <s v="Thursday"/>
    <x v="5"/>
    <x v="7"/>
    <x v="1"/>
    <s v="Fried Rice"/>
    <x v="1"/>
    <n v="1"/>
    <n v="504"/>
    <n v="75.599999999999994"/>
    <n v="40"/>
    <n v="504"/>
    <n v="468.4"/>
    <x v="4"/>
    <x v="0"/>
    <x v="1"/>
    <n v="35"/>
    <n v="3.7"/>
  </r>
  <r>
    <x v="3850"/>
    <x v="281"/>
    <x v="9"/>
    <n v="10"/>
    <n v="9"/>
    <s v="Thursday"/>
    <x v="3"/>
    <x v="3"/>
    <x v="0"/>
    <s v="Chicken Pizza"/>
    <x v="1"/>
    <n v="2"/>
    <n v="668"/>
    <n v="167"/>
    <n v="0"/>
    <n v="1336"/>
    <n v="1169"/>
    <x v="1"/>
    <x v="0"/>
    <x v="1"/>
    <n v="63"/>
    <n v="3.8"/>
  </r>
  <r>
    <x v="3851"/>
    <x v="281"/>
    <x v="9"/>
    <n v="10"/>
    <n v="9"/>
    <s v="Thursday"/>
    <x v="3"/>
    <x v="7"/>
    <x v="9"/>
    <s v="French Fries"/>
    <x v="1"/>
    <n v="2"/>
    <n v="889"/>
    <n v="222.25"/>
    <n v="40"/>
    <n v="1778"/>
    <n v="1595.75"/>
    <x v="3"/>
    <x v="0"/>
    <x v="0"/>
    <n v="69"/>
    <n v="3.9"/>
  </r>
  <r>
    <x v="3852"/>
    <x v="281"/>
    <x v="9"/>
    <n v="10"/>
    <n v="9"/>
    <s v="Thursday"/>
    <x v="5"/>
    <x v="14"/>
    <x v="5"/>
    <s v="Cold Coffee"/>
    <x v="1"/>
    <n v="2"/>
    <n v="752"/>
    <n v="0"/>
    <n v="60"/>
    <n v="1504"/>
    <n v="1564"/>
    <x v="2"/>
    <x v="0"/>
    <x v="0"/>
    <n v="30"/>
    <n v="3.9"/>
  </r>
  <r>
    <x v="3853"/>
    <x v="281"/>
    <x v="9"/>
    <n v="10"/>
    <n v="9"/>
    <s v="Thursday"/>
    <x v="5"/>
    <x v="4"/>
    <x v="5"/>
    <s v="Cold Coffee"/>
    <x v="1"/>
    <n v="1"/>
    <n v="432"/>
    <n v="86.4"/>
    <n v="50"/>
    <n v="432"/>
    <n v="395.6"/>
    <x v="1"/>
    <x v="0"/>
    <x v="0"/>
    <n v="39"/>
    <n v="4"/>
  </r>
  <r>
    <x v="3854"/>
    <x v="281"/>
    <x v="9"/>
    <n v="10"/>
    <n v="9"/>
    <s v="Thursday"/>
    <x v="4"/>
    <x v="9"/>
    <x v="3"/>
    <s v="French Fries"/>
    <x v="0"/>
    <n v="1"/>
    <n v="674"/>
    <n v="0"/>
    <n v="70"/>
    <n v="674"/>
    <n v="744"/>
    <x v="3"/>
    <x v="0"/>
    <x v="1"/>
    <n v="30"/>
    <n v="4.5999999999999996"/>
  </r>
  <r>
    <x v="3855"/>
    <x v="282"/>
    <x v="9"/>
    <n v="10"/>
    <n v="10"/>
    <s v="Friday"/>
    <x v="0"/>
    <x v="1"/>
    <x v="4"/>
    <s v="Fried Rice"/>
    <x v="1"/>
    <n v="1"/>
    <n v="530"/>
    <n v="53"/>
    <n v="20"/>
    <n v="530"/>
    <n v="497"/>
    <x v="0"/>
    <x v="0"/>
    <x v="0"/>
    <n v="24"/>
    <n v="4.5"/>
  </r>
  <r>
    <x v="3856"/>
    <x v="282"/>
    <x v="9"/>
    <n v="10"/>
    <n v="10"/>
    <s v="Friday"/>
    <x v="8"/>
    <x v="13"/>
    <x v="3"/>
    <s v="Veg Momos"/>
    <x v="1"/>
    <n v="3"/>
    <n v="369"/>
    <n v="55.35"/>
    <n v="50"/>
    <n v="1107"/>
    <n v="1101.6500000000001"/>
    <x v="1"/>
    <x v="0"/>
    <x v="1"/>
    <n v="45"/>
    <n v="4.8"/>
  </r>
  <r>
    <x v="3857"/>
    <x v="282"/>
    <x v="9"/>
    <n v="10"/>
    <n v="10"/>
    <s v="Friday"/>
    <x v="4"/>
    <x v="4"/>
    <x v="9"/>
    <s v="Chicken Momos"/>
    <x v="1"/>
    <n v="2"/>
    <n v="720"/>
    <n v="144"/>
    <n v="20"/>
    <n v="1440"/>
    <n v="1316"/>
    <x v="1"/>
    <x v="0"/>
    <x v="1"/>
    <n v="67"/>
    <n v="4.4000000000000004"/>
  </r>
  <r>
    <x v="3858"/>
    <x v="282"/>
    <x v="9"/>
    <n v="10"/>
    <n v="10"/>
    <s v="Friday"/>
    <x v="7"/>
    <x v="14"/>
    <x v="8"/>
    <s v="Chocolate Cake"/>
    <x v="1"/>
    <n v="3"/>
    <n v="597"/>
    <n v="89.55"/>
    <n v="30"/>
    <n v="1791"/>
    <n v="1731.45"/>
    <x v="2"/>
    <x v="0"/>
    <x v="0"/>
    <n v="51"/>
    <n v="4.0999999999999996"/>
  </r>
  <r>
    <x v="3859"/>
    <x v="282"/>
    <x v="9"/>
    <n v="10"/>
    <n v="10"/>
    <s v="Friday"/>
    <x v="7"/>
    <x v="10"/>
    <x v="9"/>
    <s v="Pasta"/>
    <x v="1"/>
    <n v="3"/>
    <n v="458"/>
    <n v="45.8"/>
    <n v="40"/>
    <n v="1374"/>
    <n v="1368.2"/>
    <x v="1"/>
    <x v="0"/>
    <x v="1"/>
    <n v="48"/>
    <n v="4"/>
  </r>
  <r>
    <x v="3860"/>
    <x v="282"/>
    <x v="9"/>
    <n v="10"/>
    <n v="10"/>
    <s v="Friday"/>
    <x v="0"/>
    <x v="13"/>
    <x v="9"/>
    <s v="Paneer Butter Masala"/>
    <x v="1"/>
    <n v="3"/>
    <n v="398"/>
    <n v="19.899999999999999"/>
    <n v="0"/>
    <n v="1194"/>
    <n v="1174.0999999999999"/>
    <x v="1"/>
    <x v="0"/>
    <x v="0"/>
    <n v="54"/>
    <n v="4.5999999999999996"/>
  </r>
  <r>
    <x v="3861"/>
    <x v="282"/>
    <x v="9"/>
    <n v="10"/>
    <n v="10"/>
    <s v="Friday"/>
    <x v="3"/>
    <x v="6"/>
    <x v="7"/>
    <s v="Idli Sambar"/>
    <x v="1"/>
    <n v="3"/>
    <n v="152"/>
    <n v="22.8"/>
    <n v="70"/>
    <n v="456"/>
    <n v="503.2"/>
    <x v="1"/>
    <x v="1"/>
    <x v="1"/>
    <n v="56"/>
    <m/>
  </r>
  <r>
    <x v="3862"/>
    <x v="282"/>
    <x v="9"/>
    <n v="10"/>
    <n v="10"/>
    <s v="Friday"/>
    <x v="9"/>
    <x v="9"/>
    <x v="6"/>
    <s v="Fried Rice"/>
    <x v="3"/>
    <n v="2"/>
    <n v="221"/>
    <n v="11.05"/>
    <n v="30"/>
    <n v="442"/>
    <n v="460.95"/>
    <x v="2"/>
    <x v="0"/>
    <x v="1"/>
    <n v="66"/>
    <n v="4.4000000000000004"/>
  </r>
  <r>
    <x v="3863"/>
    <x v="282"/>
    <x v="9"/>
    <n v="10"/>
    <n v="10"/>
    <s v="Friday"/>
    <x v="2"/>
    <x v="3"/>
    <x v="6"/>
    <s v="Veg Pizza"/>
    <x v="3"/>
    <n v="1"/>
    <n v="819"/>
    <n v="0"/>
    <n v="60"/>
    <n v="819"/>
    <n v="879"/>
    <x v="4"/>
    <x v="0"/>
    <x v="1"/>
    <n v="35"/>
    <n v="3.5"/>
  </r>
  <r>
    <x v="3864"/>
    <x v="282"/>
    <x v="9"/>
    <n v="10"/>
    <n v="10"/>
    <s v="Friday"/>
    <x v="8"/>
    <x v="4"/>
    <x v="8"/>
    <s v="Paneer Butter Masala"/>
    <x v="2"/>
    <n v="2"/>
    <n v="881"/>
    <n v="88.1"/>
    <n v="60"/>
    <n v="1762"/>
    <n v="1733.9"/>
    <x v="3"/>
    <x v="1"/>
    <x v="1"/>
    <n v="64"/>
    <m/>
  </r>
  <r>
    <x v="3865"/>
    <x v="282"/>
    <x v="9"/>
    <n v="10"/>
    <n v="10"/>
    <s v="Friday"/>
    <x v="7"/>
    <x v="2"/>
    <x v="7"/>
    <s v="Paneer Butter Masala"/>
    <x v="2"/>
    <n v="1"/>
    <n v="591"/>
    <n v="59.1"/>
    <n v="50"/>
    <n v="591"/>
    <n v="581.9"/>
    <x v="4"/>
    <x v="0"/>
    <x v="1"/>
    <n v="69"/>
    <n v="3.6"/>
  </r>
  <r>
    <x v="3866"/>
    <x v="282"/>
    <x v="9"/>
    <n v="10"/>
    <n v="10"/>
    <s v="Friday"/>
    <x v="5"/>
    <x v="3"/>
    <x v="1"/>
    <s v="Paneer Butter Masala"/>
    <x v="1"/>
    <n v="1"/>
    <n v="875"/>
    <n v="131.25"/>
    <n v="60"/>
    <n v="875"/>
    <n v="803.75"/>
    <x v="2"/>
    <x v="0"/>
    <x v="1"/>
    <n v="35"/>
    <n v="3.4"/>
  </r>
  <r>
    <x v="3867"/>
    <x v="282"/>
    <x v="9"/>
    <n v="10"/>
    <n v="10"/>
    <s v="Friday"/>
    <x v="6"/>
    <x v="5"/>
    <x v="2"/>
    <s v="Veg Biryani"/>
    <x v="1"/>
    <n v="1"/>
    <n v="290"/>
    <n v="0"/>
    <n v="40"/>
    <n v="290"/>
    <n v="330"/>
    <x v="2"/>
    <x v="0"/>
    <x v="1"/>
    <n v="24"/>
    <n v="5"/>
  </r>
  <r>
    <x v="3868"/>
    <x v="282"/>
    <x v="9"/>
    <n v="10"/>
    <n v="10"/>
    <s v="Friday"/>
    <x v="3"/>
    <x v="8"/>
    <x v="4"/>
    <s v="Veg Biryani"/>
    <x v="2"/>
    <n v="2"/>
    <n v="644"/>
    <n v="0"/>
    <n v="0"/>
    <n v="1288"/>
    <n v="1288"/>
    <x v="0"/>
    <x v="0"/>
    <x v="0"/>
    <n v="63"/>
    <n v="4.5999999999999996"/>
  </r>
  <r>
    <x v="3869"/>
    <x v="282"/>
    <x v="9"/>
    <n v="10"/>
    <n v="10"/>
    <s v="Friday"/>
    <x v="4"/>
    <x v="12"/>
    <x v="3"/>
    <s v="Veg Biryani"/>
    <x v="1"/>
    <n v="3"/>
    <n v="211"/>
    <n v="21.1"/>
    <n v="30"/>
    <n v="633"/>
    <n v="641.9"/>
    <x v="4"/>
    <x v="0"/>
    <x v="1"/>
    <n v="22"/>
    <n v="3.9"/>
  </r>
  <r>
    <x v="3870"/>
    <x v="282"/>
    <x v="9"/>
    <n v="10"/>
    <n v="10"/>
    <s v="Friday"/>
    <x v="3"/>
    <x v="9"/>
    <x v="0"/>
    <s v="Chicken Momos"/>
    <x v="1"/>
    <n v="3"/>
    <n v="797"/>
    <n v="119.55"/>
    <n v="0"/>
    <n v="2391"/>
    <n v="2271.4499999999998"/>
    <x v="1"/>
    <x v="0"/>
    <x v="1"/>
    <n v="70"/>
    <n v="4.0999999999999996"/>
  </r>
  <r>
    <x v="3871"/>
    <x v="282"/>
    <x v="9"/>
    <n v="10"/>
    <n v="10"/>
    <s v="Friday"/>
    <x v="9"/>
    <x v="7"/>
    <x v="9"/>
    <s v="French Fries"/>
    <x v="0"/>
    <n v="1"/>
    <n v="516"/>
    <n v="77.400000000000006"/>
    <n v="20"/>
    <n v="516"/>
    <n v="458.6"/>
    <x v="3"/>
    <x v="0"/>
    <x v="0"/>
    <n v="43"/>
    <n v="4"/>
  </r>
  <r>
    <x v="3872"/>
    <x v="283"/>
    <x v="9"/>
    <n v="10"/>
    <n v="11"/>
    <s v="Saturday"/>
    <x v="6"/>
    <x v="10"/>
    <x v="5"/>
    <s v="Masala Dosa"/>
    <x v="1"/>
    <n v="2"/>
    <n v="723"/>
    <n v="72.3"/>
    <n v="40"/>
    <n v="1446"/>
    <n v="1413.7"/>
    <x v="1"/>
    <x v="0"/>
    <x v="0"/>
    <n v="44"/>
    <n v="3.8"/>
  </r>
  <r>
    <x v="3873"/>
    <x v="283"/>
    <x v="9"/>
    <n v="10"/>
    <n v="11"/>
    <s v="Saturday"/>
    <x v="1"/>
    <x v="1"/>
    <x v="0"/>
    <s v="Chocolate Cake"/>
    <x v="1"/>
    <n v="1"/>
    <n v="544"/>
    <n v="54.4"/>
    <n v="0"/>
    <n v="544"/>
    <n v="489.6"/>
    <x v="0"/>
    <x v="0"/>
    <x v="0"/>
    <n v="61"/>
    <n v="4.0999999999999996"/>
  </r>
  <r>
    <x v="3874"/>
    <x v="283"/>
    <x v="9"/>
    <n v="10"/>
    <n v="11"/>
    <s v="Saturday"/>
    <x v="4"/>
    <x v="10"/>
    <x v="3"/>
    <s v="Chicken Biryani"/>
    <x v="1"/>
    <n v="3"/>
    <n v="304"/>
    <n v="45.6"/>
    <n v="30"/>
    <n v="912"/>
    <n v="896.4"/>
    <x v="1"/>
    <x v="1"/>
    <x v="1"/>
    <n v="26"/>
    <m/>
  </r>
  <r>
    <x v="3875"/>
    <x v="283"/>
    <x v="9"/>
    <n v="10"/>
    <n v="11"/>
    <s v="Saturday"/>
    <x v="8"/>
    <x v="11"/>
    <x v="6"/>
    <s v="Veg Biryani"/>
    <x v="1"/>
    <n v="1"/>
    <n v="735"/>
    <n v="183.75"/>
    <n v="0"/>
    <n v="735"/>
    <n v="551.25"/>
    <x v="1"/>
    <x v="2"/>
    <x v="1"/>
    <n v="43"/>
    <m/>
  </r>
  <r>
    <x v="3876"/>
    <x v="283"/>
    <x v="9"/>
    <n v="10"/>
    <n v="11"/>
    <s v="Saturday"/>
    <x v="0"/>
    <x v="4"/>
    <x v="6"/>
    <s v="Veg Burger"/>
    <x v="1"/>
    <n v="2"/>
    <n v="411"/>
    <n v="82.2"/>
    <n v="40"/>
    <n v="822"/>
    <n v="779.8"/>
    <x v="4"/>
    <x v="0"/>
    <x v="1"/>
    <n v="54"/>
    <n v="4.8"/>
  </r>
  <r>
    <x v="3877"/>
    <x v="283"/>
    <x v="9"/>
    <n v="10"/>
    <n v="11"/>
    <s v="Saturday"/>
    <x v="6"/>
    <x v="7"/>
    <x v="7"/>
    <s v="French Fries"/>
    <x v="1"/>
    <n v="2"/>
    <n v="270"/>
    <n v="27"/>
    <n v="20"/>
    <n v="540"/>
    <n v="533"/>
    <x v="1"/>
    <x v="0"/>
    <x v="0"/>
    <n v="61"/>
    <n v="4.5"/>
  </r>
  <r>
    <x v="3878"/>
    <x v="283"/>
    <x v="9"/>
    <n v="10"/>
    <n v="11"/>
    <s v="Saturday"/>
    <x v="1"/>
    <x v="8"/>
    <x v="9"/>
    <s v="Chicken Momos"/>
    <x v="2"/>
    <n v="3"/>
    <n v="160"/>
    <n v="32"/>
    <n v="30"/>
    <n v="480"/>
    <n v="478"/>
    <x v="1"/>
    <x v="0"/>
    <x v="1"/>
    <n v="25"/>
    <n v="5"/>
  </r>
  <r>
    <x v="3879"/>
    <x v="283"/>
    <x v="9"/>
    <n v="10"/>
    <n v="11"/>
    <s v="Saturday"/>
    <x v="2"/>
    <x v="10"/>
    <x v="6"/>
    <s v="Chicken Pizza"/>
    <x v="1"/>
    <n v="3"/>
    <n v="737"/>
    <n v="110.55"/>
    <n v="40"/>
    <n v="2211"/>
    <n v="2140.4499999999998"/>
    <x v="1"/>
    <x v="0"/>
    <x v="1"/>
    <n v="54"/>
    <n v="4.2"/>
  </r>
  <r>
    <x v="3880"/>
    <x v="283"/>
    <x v="9"/>
    <n v="10"/>
    <n v="11"/>
    <s v="Saturday"/>
    <x v="5"/>
    <x v="1"/>
    <x v="6"/>
    <s v="Cold Coffee"/>
    <x v="1"/>
    <n v="2"/>
    <n v="278"/>
    <n v="55.6"/>
    <n v="0"/>
    <n v="556"/>
    <n v="500.4"/>
    <x v="4"/>
    <x v="0"/>
    <x v="0"/>
    <n v="47"/>
    <n v="4.3"/>
  </r>
  <r>
    <x v="3881"/>
    <x v="283"/>
    <x v="9"/>
    <n v="10"/>
    <n v="11"/>
    <s v="Saturday"/>
    <x v="7"/>
    <x v="13"/>
    <x v="9"/>
    <s v="Veg Burger"/>
    <x v="1"/>
    <n v="3"/>
    <n v="346"/>
    <n v="69.2"/>
    <n v="40"/>
    <n v="1038"/>
    <n v="1008.8"/>
    <x v="1"/>
    <x v="0"/>
    <x v="1"/>
    <n v="29"/>
    <n v="3.4"/>
  </r>
  <r>
    <x v="3882"/>
    <x v="283"/>
    <x v="9"/>
    <n v="10"/>
    <n v="11"/>
    <s v="Saturday"/>
    <x v="3"/>
    <x v="3"/>
    <x v="5"/>
    <s v="Veg Burger"/>
    <x v="3"/>
    <n v="1"/>
    <n v="894"/>
    <n v="89.4"/>
    <n v="50"/>
    <n v="894"/>
    <n v="854.6"/>
    <x v="1"/>
    <x v="0"/>
    <x v="1"/>
    <n v="37"/>
    <n v="4.4000000000000004"/>
  </r>
  <r>
    <x v="3883"/>
    <x v="283"/>
    <x v="9"/>
    <n v="10"/>
    <n v="11"/>
    <s v="Saturday"/>
    <x v="0"/>
    <x v="13"/>
    <x v="3"/>
    <s v="Chicken Momos"/>
    <x v="1"/>
    <n v="1"/>
    <n v="694"/>
    <n v="69.400000000000006"/>
    <n v="50"/>
    <n v="694"/>
    <n v="674.6"/>
    <x v="1"/>
    <x v="1"/>
    <x v="0"/>
    <n v="64"/>
    <m/>
  </r>
  <r>
    <x v="3884"/>
    <x v="283"/>
    <x v="9"/>
    <n v="10"/>
    <n v="11"/>
    <s v="Saturday"/>
    <x v="3"/>
    <x v="13"/>
    <x v="4"/>
    <s v="Pasta"/>
    <x v="1"/>
    <n v="2"/>
    <n v="547"/>
    <n v="54.7"/>
    <n v="30"/>
    <n v="1094"/>
    <n v="1069.3"/>
    <x v="0"/>
    <x v="2"/>
    <x v="0"/>
    <n v="56"/>
    <m/>
  </r>
  <r>
    <x v="3885"/>
    <x v="284"/>
    <x v="9"/>
    <n v="10"/>
    <n v="12"/>
    <s v="Sunday"/>
    <x v="0"/>
    <x v="1"/>
    <x v="3"/>
    <s v="Cold Coffee"/>
    <x v="2"/>
    <n v="1"/>
    <n v="796"/>
    <n v="199"/>
    <n v="40"/>
    <n v="796"/>
    <n v="637"/>
    <x v="4"/>
    <x v="0"/>
    <x v="0"/>
    <n v="37"/>
    <n v="4.2"/>
  </r>
  <r>
    <x v="3886"/>
    <x v="284"/>
    <x v="9"/>
    <n v="10"/>
    <n v="12"/>
    <s v="Sunday"/>
    <x v="1"/>
    <x v="8"/>
    <x v="3"/>
    <s v="Chicken Pizza"/>
    <x v="1"/>
    <n v="3"/>
    <n v="266"/>
    <n v="0"/>
    <n v="40"/>
    <n v="798"/>
    <n v="838"/>
    <x v="1"/>
    <x v="2"/>
    <x v="0"/>
    <n v="34"/>
    <m/>
  </r>
  <r>
    <x v="3887"/>
    <x v="284"/>
    <x v="9"/>
    <n v="10"/>
    <n v="12"/>
    <s v="Sunday"/>
    <x v="4"/>
    <x v="7"/>
    <x v="3"/>
    <s v="Veg Biryani"/>
    <x v="1"/>
    <n v="2"/>
    <n v="175"/>
    <n v="17.5"/>
    <n v="0"/>
    <n v="350"/>
    <n v="332.5"/>
    <x v="0"/>
    <x v="0"/>
    <x v="0"/>
    <n v="34"/>
    <n v="3.7"/>
  </r>
  <r>
    <x v="3888"/>
    <x v="284"/>
    <x v="9"/>
    <n v="10"/>
    <n v="12"/>
    <s v="Sunday"/>
    <x v="3"/>
    <x v="0"/>
    <x v="5"/>
    <s v="Masala Dosa"/>
    <x v="1"/>
    <n v="1"/>
    <n v="859"/>
    <n v="42.95"/>
    <n v="50"/>
    <n v="859"/>
    <n v="866.05"/>
    <x v="4"/>
    <x v="0"/>
    <x v="1"/>
    <n v="33"/>
    <n v="4.4000000000000004"/>
  </r>
  <r>
    <x v="3889"/>
    <x v="284"/>
    <x v="9"/>
    <n v="10"/>
    <n v="12"/>
    <s v="Sunday"/>
    <x v="4"/>
    <x v="7"/>
    <x v="0"/>
    <s v="Chicken Momos"/>
    <x v="1"/>
    <n v="2"/>
    <n v="597"/>
    <n v="119.4"/>
    <n v="20"/>
    <n v="1194"/>
    <n v="1094.5999999999999"/>
    <x v="1"/>
    <x v="2"/>
    <x v="0"/>
    <n v="58"/>
    <m/>
  </r>
  <r>
    <x v="3890"/>
    <x v="284"/>
    <x v="9"/>
    <n v="10"/>
    <n v="12"/>
    <s v="Sunday"/>
    <x v="5"/>
    <x v="11"/>
    <x v="4"/>
    <s v="Chocolate Cake"/>
    <x v="1"/>
    <n v="2"/>
    <n v="306"/>
    <n v="15.3"/>
    <n v="0"/>
    <n v="612"/>
    <n v="596.70000000000005"/>
    <x v="4"/>
    <x v="1"/>
    <x v="1"/>
    <n v="51"/>
    <m/>
  </r>
  <r>
    <x v="3891"/>
    <x v="284"/>
    <x v="9"/>
    <n v="10"/>
    <n v="12"/>
    <s v="Sunday"/>
    <x v="7"/>
    <x v="7"/>
    <x v="5"/>
    <s v="Pasta"/>
    <x v="1"/>
    <n v="3"/>
    <n v="792"/>
    <n v="79.2"/>
    <n v="0"/>
    <n v="2376"/>
    <n v="2296.8000000000002"/>
    <x v="0"/>
    <x v="0"/>
    <x v="1"/>
    <n v="43"/>
    <n v="3.3"/>
  </r>
  <r>
    <x v="3892"/>
    <x v="284"/>
    <x v="9"/>
    <n v="10"/>
    <n v="12"/>
    <s v="Sunday"/>
    <x v="4"/>
    <x v="9"/>
    <x v="4"/>
    <s v="Chicken Momos"/>
    <x v="1"/>
    <n v="2"/>
    <n v="426"/>
    <n v="42.6"/>
    <n v="20"/>
    <n v="852"/>
    <n v="829.4"/>
    <x v="0"/>
    <x v="0"/>
    <x v="1"/>
    <n v="18"/>
    <n v="3.6"/>
  </r>
  <r>
    <x v="3893"/>
    <x v="284"/>
    <x v="9"/>
    <n v="10"/>
    <n v="12"/>
    <s v="Sunday"/>
    <x v="0"/>
    <x v="7"/>
    <x v="5"/>
    <s v="Chicken Momos"/>
    <x v="1"/>
    <n v="1"/>
    <n v="791"/>
    <n v="79.099999999999994"/>
    <n v="0"/>
    <n v="791"/>
    <n v="711.9"/>
    <x v="4"/>
    <x v="0"/>
    <x v="0"/>
    <n v="40"/>
    <n v="4.8"/>
  </r>
  <r>
    <x v="3894"/>
    <x v="284"/>
    <x v="9"/>
    <n v="10"/>
    <n v="12"/>
    <s v="Sunday"/>
    <x v="0"/>
    <x v="0"/>
    <x v="9"/>
    <s v="French Fries"/>
    <x v="1"/>
    <n v="2"/>
    <n v="183"/>
    <n v="27.45"/>
    <n v="30"/>
    <n v="366"/>
    <n v="368.55"/>
    <x v="1"/>
    <x v="3"/>
    <x v="1"/>
    <n v="36"/>
    <m/>
  </r>
  <r>
    <x v="3895"/>
    <x v="284"/>
    <x v="9"/>
    <n v="10"/>
    <n v="12"/>
    <s v="Sunday"/>
    <x v="7"/>
    <x v="4"/>
    <x v="9"/>
    <s v="Chicken Momos"/>
    <x v="1"/>
    <n v="1"/>
    <n v="413"/>
    <n v="103.25"/>
    <n v="0"/>
    <n v="413"/>
    <n v="309.75"/>
    <x v="1"/>
    <x v="0"/>
    <x v="1"/>
    <n v="38"/>
    <n v="3.7"/>
  </r>
  <r>
    <x v="3896"/>
    <x v="284"/>
    <x v="9"/>
    <n v="10"/>
    <n v="12"/>
    <s v="Sunday"/>
    <x v="1"/>
    <x v="14"/>
    <x v="0"/>
    <s v="Chicken Pizza"/>
    <x v="2"/>
    <n v="1"/>
    <n v="298"/>
    <n v="44.7"/>
    <n v="30"/>
    <n v="298"/>
    <n v="283.3"/>
    <x v="2"/>
    <x v="0"/>
    <x v="0"/>
    <n v="35"/>
    <n v="5"/>
  </r>
  <r>
    <x v="3897"/>
    <x v="284"/>
    <x v="9"/>
    <n v="10"/>
    <n v="12"/>
    <s v="Sunday"/>
    <x v="1"/>
    <x v="7"/>
    <x v="4"/>
    <s v="Cold Coffee"/>
    <x v="1"/>
    <n v="3"/>
    <n v="159"/>
    <n v="0"/>
    <n v="40"/>
    <n v="477"/>
    <n v="517"/>
    <x v="1"/>
    <x v="0"/>
    <x v="0"/>
    <n v="23"/>
    <n v="4.0999999999999996"/>
  </r>
  <r>
    <x v="3898"/>
    <x v="284"/>
    <x v="9"/>
    <n v="10"/>
    <n v="12"/>
    <s v="Sunday"/>
    <x v="5"/>
    <x v="2"/>
    <x v="6"/>
    <s v="Fried Rice"/>
    <x v="2"/>
    <n v="1"/>
    <n v="490"/>
    <n v="122.5"/>
    <n v="20"/>
    <n v="490"/>
    <n v="387.5"/>
    <x v="1"/>
    <x v="0"/>
    <x v="0"/>
    <n v="63"/>
    <n v="4.3"/>
  </r>
  <r>
    <x v="3899"/>
    <x v="284"/>
    <x v="9"/>
    <n v="10"/>
    <n v="12"/>
    <s v="Sunday"/>
    <x v="0"/>
    <x v="2"/>
    <x v="5"/>
    <s v="Cold Coffee"/>
    <x v="1"/>
    <n v="1"/>
    <n v="749"/>
    <n v="74.900000000000006"/>
    <n v="50"/>
    <n v="749"/>
    <n v="724.1"/>
    <x v="1"/>
    <x v="0"/>
    <x v="0"/>
    <n v="69"/>
    <n v="3.8"/>
  </r>
  <r>
    <x v="3900"/>
    <x v="284"/>
    <x v="9"/>
    <n v="10"/>
    <n v="12"/>
    <s v="Sunday"/>
    <x v="3"/>
    <x v="0"/>
    <x v="3"/>
    <s v="Chicken Pizza"/>
    <x v="1"/>
    <n v="2"/>
    <n v="789"/>
    <n v="118.35"/>
    <n v="40"/>
    <n v="1578"/>
    <n v="1499.65"/>
    <x v="2"/>
    <x v="0"/>
    <x v="1"/>
    <n v="49"/>
    <n v="4.5"/>
  </r>
  <r>
    <x v="3901"/>
    <x v="285"/>
    <x v="9"/>
    <n v="10"/>
    <n v="13"/>
    <s v="Monday"/>
    <x v="5"/>
    <x v="14"/>
    <x v="6"/>
    <s v="Veg Pizza"/>
    <x v="1"/>
    <n v="1"/>
    <n v="674"/>
    <n v="0"/>
    <n v="0"/>
    <n v="674"/>
    <n v="674"/>
    <x v="4"/>
    <x v="0"/>
    <x v="1"/>
    <n v="37"/>
    <n v="4.5"/>
  </r>
  <r>
    <x v="3902"/>
    <x v="285"/>
    <x v="9"/>
    <n v="10"/>
    <n v="13"/>
    <s v="Monday"/>
    <x v="7"/>
    <x v="12"/>
    <x v="4"/>
    <s v="Chicken Pizza"/>
    <x v="0"/>
    <n v="3"/>
    <n v="687"/>
    <n v="34.35"/>
    <n v="70"/>
    <n v="2061"/>
    <n v="2096.65"/>
    <x v="2"/>
    <x v="0"/>
    <x v="1"/>
    <n v="18"/>
    <n v="4.0999999999999996"/>
  </r>
  <r>
    <x v="3903"/>
    <x v="285"/>
    <x v="9"/>
    <n v="10"/>
    <n v="13"/>
    <s v="Monday"/>
    <x v="7"/>
    <x v="8"/>
    <x v="3"/>
    <s v="Veg Biryani"/>
    <x v="1"/>
    <n v="1"/>
    <n v="658"/>
    <n v="32.9"/>
    <n v="0"/>
    <n v="658"/>
    <n v="625.1"/>
    <x v="4"/>
    <x v="1"/>
    <x v="0"/>
    <n v="48"/>
    <m/>
  </r>
  <r>
    <x v="3904"/>
    <x v="285"/>
    <x v="9"/>
    <n v="10"/>
    <n v="13"/>
    <s v="Monday"/>
    <x v="5"/>
    <x v="7"/>
    <x v="3"/>
    <s v="Idli Sambar"/>
    <x v="1"/>
    <n v="1"/>
    <n v="678"/>
    <n v="33.9"/>
    <n v="20"/>
    <n v="678"/>
    <n v="664.1"/>
    <x v="2"/>
    <x v="0"/>
    <x v="1"/>
    <n v="40"/>
    <n v="4.9000000000000004"/>
  </r>
  <r>
    <x v="3905"/>
    <x v="285"/>
    <x v="9"/>
    <n v="10"/>
    <n v="13"/>
    <s v="Monday"/>
    <x v="4"/>
    <x v="8"/>
    <x v="3"/>
    <s v="Chocolate Cake"/>
    <x v="2"/>
    <n v="3"/>
    <n v="492"/>
    <n v="49.2"/>
    <n v="30"/>
    <n v="1476"/>
    <n v="1456.8"/>
    <x v="1"/>
    <x v="3"/>
    <x v="1"/>
    <n v="34"/>
    <m/>
  </r>
  <r>
    <x v="3906"/>
    <x v="285"/>
    <x v="9"/>
    <n v="10"/>
    <n v="13"/>
    <s v="Monday"/>
    <x v="9"/>
    <x v="10"/>
    <x v="9"/>
    <s v="Fried Rice"/>
    <x v="3"/>
    <n v="2"/>
    <n v="676"/>
    <n v="67.599999999999994"/>
    <n v="70"/>
    <n v="1352"/>
    <n v="1354.4"/>
    <x v="2"/>
    <x v="0"/>
    <x v="0"/>
    <n v="45"/>
    <n v="5"/>
  </r>
  <r>
    <x v="3907"/>
    <x v="285"/>
    <x v="9"/>
    <n v="10"/>
    <n v="13"/>
    <s v="Monday"/>
    <x v="2"/>
    <x v="0"/>
    <x v="2"/>
    <s v="Cold Coffee"/>
    <x v="1"/>
    <n v="1"/>
    <n v="501"/>
    <n v="0"/>
    <n v="20"/>
    <n v="501"/>
    <n v="521"/>
    <x v="2"/>
    <x v="0"/>
    <x v="0"/>
    <n v="43"/>
    <n v="4.4000000000000004"/>
  </r>
  <r>
    <x v="3908"/>
    <x v="285"/>
    <x v="9"/>
    <n v="10"/>
    <n v="13"/>
    <s v="Monday"/>
    <x v="5"/>
    <x v="4"/>
    <x v="1"/>
    <s v="Fried Rice"/>
    <x v="2"/>
    <n v="3"/>
    <n v="548"/>
    <n v="109.6"/>
    <n v="50"/>
    <n v="1644"/>
    <n v="1584.4"/>
    <x v="1"/>
    <x v="0"/>
    <x v="1"/>
    <n v="41"/>
    <n v="3.4"/>
  </r>
  <r>
    <x v="3909"/>
    <x v="285"/>
    <x v="9"/>
    <n v="10"/>
    <n v="13"/>
    <s v="Monday"/>
    <x v="3"/>
    <x v="7"/>
    <x v="6"/>
    <s v="Veg Biryani"/>
    <x v="1"/>
    <n v="1"/>
    <n v="234"/>
    <n v="35.1"/>
    <n v="40"/>
    <n v="234"/>
    <n v="238.9"/>
    <x v="1"/>
    <x v="0"/>
    <x v="1"/>
    <n v="29"/>
    <n v="4.0999999999999996"/>
  </r>
  <r>
    <x v="3910"/>
    <x v="285"/>
    <x v="9"/>
    <n v="10"/>
    <n v="13"/>
    <s v="Monday"/>
    <x v="4"/>
    <x v="2"/>
    <x v="5"/>
    <s v="Paneer Butter Masala"/>
    <x v="2"/>
    <n v="2"/>
    <n v="301"/>
    <n v="60.2"/>
    <n v="0"/>
    <n v="602"/>
    <n v="541.79999999999995"/>
    <x v="1"/>
    <x v="0"/>
    <x v="0"/>
    <n v="44"/>
    <n v="3.9"/>
  </r>
  <r>
    <x v="3911"/>
    <x v="285"/>
    <x v="9"/>
    <n v="10"/>
    <n v="13"/>
    <s v="Monday"/>
    <x v="5"/>
    <x v="5"/>
    <x v="0"/>
    <s v="Chicken Pizza"/>
    <x v="1"/>
    <n v="3"/>
    <n v="304"/>
    <n v="30.4"/>
    <n v="0"/>
    <n v="912"/>
    <n v="881.6"/>
    <x v="2"/>
    <x v="2"/>
    <x v="1"/>
    <n v="50"/>
    <m/>
  </r>
  <r>
    <x v="3912"/>
    <x v="285"/>
    <x v="9"/>
    <n v="10"/>
    <n v="13"/>
    <s v="Monday"/>
    <x v="4"/>
    <x v="8"/>
    <x v="9"/>
    <s v="Veg Burger"/>
    <x v="1"/>
    <n v="3"/>
    <n v="827"/>
    <n v="41.35"/>
    <n v="0"/>
    <n v="2481"/>
    <n v="2439.65"/>
    <x v="1"/>
    <x v="0"/>
    <x v="1"/>
    <n v="32"/>
    <n v="3.7"/>
  </r>
  <r>
    <x v="3913"/>
    <x v="286"/>
    <x v="9"/>
    <n v="10"/>
    <n v="14"/>
    <s v="Tuesday"/>
    <x v="9"/>
    <x v="12"/>
    <x v="0"/>
    <s v="Idli Sambar"/>
    <x v="3"/>
    <n v="1"/>
    <n v="649"/>
    <n v="162.25"/>
    <n v="50"/>
    <n v="649"/>
    <n v="536.75"/>
    <x v="0"/>
    <x v="2"/>
    <x v="0"/>
    <n v="25"/>
    <m/>
  </r>
  <r>
    <x v="3914"/>
    <x v="286"/>
    <x v="9"/>
    <n v="10"/>
    <n v="14"/>
    <s v="Tuesday"/>
    <x v="4"/>
    <x v="3"/>
    <x v="6"/>
    <s v="Pasta"/>
    <x v="3"/>
    <n v="1"/>
    <n v="567"/>
    <n v="141.75"/>
    <n v="70"/>
    <n v="567"/>
    <n v="495.25"/>
    <x v="1"/>
    <x v="0"/>
    <x v="0"/>
    <n v="54"/>
    <n v="3.7"/>
  </r>
  <r>
    <x v="3915"/>
    <x v="286"/>
    <x v="9"/>
    <n v="10"/>
    <n v="14"/>
    <s v="Tuesday"/>
    <x v="3"/>
    <x v="1"/>
    <x v="3"/>
    <s v="Fried Rice"/>
    <x v="1"/>
    <n v="1"/>
    <n v="241"/>
    <n v="0"/>
    <n v="50"/>
    <n v="241"/>
    <n v="291"/>
    <x v="2"/>
    <x v="0"/>
    <x v="1"/>
    <n v="67"/>
    <n v="4.5999999999999996"/>
  </r>
  <r>
    <x v="3916"/>
    <x v="286"/>
    <x v="9"/>
    <n v="10"/>
    <n v="14"/>
    <s v="Tuesday"/>
    <x v="0"/>
    <x v="11"/>
    <x v="3"/>
    <s v="Fried Rice"/>
    <x v="2"/>
    <n v="2"/>
    <n v="322"/>
    <n v="16.100000000000001"/>
    <n v="70"/>
    <n v="644"/>
    <n v="697.9"/>
    <x v="1"/>
    <x v="3"/>
    <x v="0"/>
    <n v="38"/>
    <m/>
  </r>
  <r>
    <x v="3917"/>
    <x v="286"/>
    <x v="9"/>
    <n v="10"/>
    <n v="14"/>
    <s v="Tuesday"/>
    <x v="0"/>
    <x v="6"/>
    <x v="2"/>
    <s v="Chicken Biryani"/>
    <x v="1"/>
    <n v="2"/>
    <n v="259"/>
    <n v="51.8"/>
    <n v="20"/>
    <n v="518"/>
    <n v="486.2"/>
    <x v="4"/>
    <x v="0"/>
    <x v="1"/>
    <n v="66"/>
    <n v="3.6"/>
  </r>
  <r>
    <x v="3918"/>
    <x v="286"/>
    <x v="9"/>
    <n v="10"/>
    <n v="14"/>
    <s v="Tuesday"/>
    <x v="2"/>
    <x v="7"/>
    <x v="2"/>
    <s v="Chocolate Cake"/>
    <x v="1"/>
    <n v="2"/>
    <n v="401"/>
    <n v="40.1"/>
    <n v="30"/>
    <n v="802"/>
    <n v="791.9"/>
    <x v="4"/>
    <x v="0"/>
    <x v="0"/>
    <n v="64"/>
    <n v="3.6"/>
  </r>
  <r>
    <x v="3919"/>
    <x v="286"/>
    <x v="9"/>
    <n v="10"/>
    <n v="14"/>
    <s v="Tuesday"/>
    <x v="6"/>
    <x v="1"/>
    <x v="0"/>
    <s v="Chicken Momos"/>
    <x v="1"/>
    <n v="2"/>
    <n v="775"/>
    <n v="116.25"/>
    <n v="20"/>
    <n v="1550"/>
    <n v="1453.75"/>
    <x v="1"/>
    <x v="0"/>
    <x v="1"/>
    <n v="24"/>
    <n v="3.1"/>
  </r>
  <r>
    <x v="3920"/>
    <x v="286"/>
    <x v="9"/>
    <n v="10"/>
    <n v="14"/>
    <s v="Tuesday"/>
    <x v="7"/>
    <x v="7"/>
    <x v="4"/>
    <s v="Cold Coffee"/>
    <x v="1"/>
    <n v="1"/>
    <n v="418"/>
    <n v="20.9"/>
    <n v="20"/>
    <n v="418"/>
    <n v="417.1"/>
    <x v="1"/>
    <x v="2"/>
    <x v="0"/>
    <n v="47"/>
    <m/>
  </r>
  <r>
    <x v="3921"/>
    <x v="286"/>
    <x v="9"/>
    <n v="10"/>
    <n v="14"/>
    <s v="Tuesday"/>
    <x v="5"/>
    <x v="7"/>
    <x v="7"/>
    <s v="Chicken Biryani"/>
    <x v="1"/>
    <n v="1"/>
    <n v="721"/>
    <n v="72.099999999999994"/>
    <n v="60"/>
    <n v="721"/>
    <n v="708.9"/>
    <x v="2"/>
    <x v="0"/>
    <x v="0"/>
    <n v="55"/>
    <n v="4.8"/>
  </r>
  <r>
    <x v="3922"/>
    <x v="287"/>
    <x v="9"/>
    <n v="10"/>
    <n v="15"/>
    <s v="Wednesday"/>
    <x v="3"/>
    <x v="13"/>
    <x v="6"/>
    <s v="Paneer Butter Masala"/>
    <x v="2"/>
    <n v="1"/>
    <n v="477"/>
    <n v="71.55"/>
    <n v="60"/>
    <n v="477"/>
    <n v="465.45"/>
    <x v="1"/>
    <x v="0"/>
    <x v="1"/>
    <n v="46"/>
    <n v="4.2"/>
  </r>
  <r>
    <x v="3923"/>
    <x v="287"/>
    <x v="9"/>
    <n v="10"/>
    <n v="15"/>
    <s v="Wednesday"/>
    <x v="4"/>
    <x v="13"/>
    <x v="9"/>
    <s v="Chicken Burger"/>
    <x v="2"/>
    <n v="2"/>
    <n v="298"/>
    <n v="0"/>
    <n v="40"/>
    <n v="596"/>
    <n v="636"/>
    <x v="1"/>
    <x v="0"/>
    <x v="1"/>
    <n v="69"/>
    <n v="4"/>
  </r>
  <r>
    <x v="3924"/>
    <x v="287"/>
    <x v="9"/>
    <n v="10"/>
    <n v="15"/>
    <s v="Wednesday"/>
    <x v="5"/>
    <x v="2"/>
    <x v="0"/>
    <s v="Chicken Momos"/>
    <x v="1"/>
    <n v="1"/>
    <n v="384"/>
    <n v="76.8"/>
    <n v="20"/>
    <n v="384"/>
    <n v="327.2"/>
    <x v="1"/>
    <x v="0"/>
    <x v="0"/>
    <n v="42"/>
    <n v="3"/>
  </r>
  <r>
    <x v="3925"/>
    <x v="287"/>
    <x v="9"/>
    <n v="10"/>
    <n v="15"/>
    <s v="Wednesday"/>
    <x v="6"/>
    <x v="2"/>
    <x v="9"/>
    <s v="Veg Momos"/>
    <x v="2"/>
    <n v="1"/>
    <n v="437"/>
    <n v="43.7"/>
    <n v="60"/>
    <n v="437"/>
    <n v="453.3"/>
    <x v="1"/>
    <x v="0"/>
    <x v="1"/>
    <n v="52"/>
    <n v="4.3"/>
  </r>
  <r>
    <x v="3926"/>
    <x v="287"/>
    <x v="9"/>
    <n v="10"/>
    <n v="15"/>
    <s v="Wednesday"/>
    <x v="4"/>
    <x v="1"/>
    <x v="3"/>
    <s v="Chicken Pizza"/>
    <x v="1"/>
    <n v="2"/>
    <n v="889"/>
    <n v="44.45"/>
    <n v="50"/>
    <n v="1778"/>
    <n v="1783.55"/>
    <x v="1"/>
    <x v="0"/>
    <x v="0"/>
    <n v="53"/>
    <n v="4"/>
  </r>
  <r>
    <x v="3927"/>
    <x v="287"/>
    <x v="9"/>
    <n v="10"/>
    <n v="15"/>
    <s v="Wednesday"/>
    <x v="3"/>
    <x v="5"/>
    <x v="7"/>
    <s v="Paneer Butter Masala"/>
    <x v="1"/>
    <n v="1"/>
    <n v="501"/>
    <n v="100.2"/>
    <n v="50"/>
    <n v="501"/>
    <n v="450.8"/>
    <x v="2"/>
    <x v="0"/>
    <x v="0"/>
    <n v="47"/>
    <n v="3.5"/>
  </r>
  <r>
    <x v="3928"/>
    <x v="287"/>
    <x v="9"/>
    <n v="10"/>
    <n v="15"/>
    <s v="Wednesday"/>
    <x v="0"/>
    <x v="4"/>
    <x v="0"/>
    <s v="Fried Rice"/>
    <x v="0"/>
    <n v="3"/>
    <n v="194"/>
    <n v="38.799999999999997"/>
    <n v="40"/>
    <n v="582"/>
    <n v="583.20000000000005"/>
    <x v="1"/>
    <x v="0"/>
    <x v="0"/>
    <n v="27"/>
    <n v="4.0999999999999996"/>
  </r>
  <r>
    <x v="3929"/>
    <x v="287"/>
    <x v="9"/>
    <n v="10"/>
    <n v="15"/>
    <s v="Wednesday"/>
    <x v="9"/>
    <x v="6"/>
    <x v="8"/>
    <s v="Paneer Butter Masala"/>
    <x v="2"/>
    <n v="1"/>
    <n v="894"/>
    <n v="44.7"/>
    <n v="50"/>
    <n v="894"/>
    <n v="899.3"/>
    <x v="2"/>
    <x v="0"/>
    <x v="0"/>
    <n v="68"/>
    <n v="3.2"/>
  </r>
  <r>
    <x v="3930"/>
    <x v="287"/>
    <x v="9"/>
    <n v="10"/>
    <n v="15"/>
    <s v="Wednesday"/>
    <x v="8"/>
    <x v="11"/>
    <x v="3"/>
    <s v="Cold Coffee"/>
    <x v="0"/>
    <n v="2"/>
    <n v="218"/>
    <n v="32.700000000000003"/>
    <n v="30"/>
    <n v="436"/>
    <n v="433.3"/>
    <x v="3"/>
    <x v="2"/>
    <x v="1"/>
    <n v="64"/>
    <m/>
  </r>
  <r>
    <x v="3931"/>
    <x v="287"/>
    <x v="9"/>
    <n v="10"/>
    <n v="15"/>
    <s v="Wednesday"/>
    <x v="3"/>
    <x v="4"/>
    <x v="0"/>
    <s v="Chicken Biryani"/>
    <x v="3"/>
    <n v="1"/>
    <n v="377"/>
    <n v="75.400000000000006"/>
    <n v="0"/>
    <n v="377"/>
    <n v="301.60000000000002"/>
    <x v="4"/>
    <x v="0"/>
    <x v="1"/>
    <n v="22"/>
    <n v="4.7"/>
  </r>
  <r>
    <x v="3932"/>
    <x v="287"/>
    <x v="9"/>
    <n v="10"/>
    <n v="15"/>
    <s v="Wednesday"/>
    <x v="8"/>
    <x v="7"/>
    <x v="6"/>
    <s v="Pasta"/>
    <x v="1"/>
    <n v="2"/>
    <n v="477"/>
    <n v="23.85"/>
    <n v="40"/>
    <n v="954"/>
    <n v="970.15"/>
    <x v="2"/>
    <x v="0"/>
    <x v="1"/>
    <n v="23"/>
    <n v="4.4000000000000004"/>
  </r>
  <r>
    <x v="3933"/>
    <x v="287"/>
    <x v="9"/>
    <n v="10"/>
    <n v="15"/>
    <s v="Wednesday"/>
    <x v="5"/>
    <x v="3"/>
    <x v="9"/>
    <s v="Veg Pizza"/>
    <x v="1"/>
    <n v="3"/>
    <n v="192"/>
    <n v="28.8"/>
    <n v="50"/>
    <n v="576"/>
    <n v="597.20000000000005"/>
    <x v="4"/>
    <x v="0"/>
    <x v="0"/>
    <n v="21"/>
    <n v="2.8"/>
  </r>
  <r>
    <x v="3934"/>
    <x v="287"/>
    <x v="9"/>
    <n v="10"/>
    <n v="15"/>
    <s v="Wednesday"/>
    <x v="4"/>
    <x v="7"/>
    <x v="5"/>
    <s v="French Fries"/>
    <x v="3"/>
    <n v="1"/>
    <n v="305"/>
    <n v="30.5"/>
    <n v="20"/>
    <n v="305"/>
    <n v="294.5"/>
    <x v="4"/>
    <x v="1"/>
    <x v="0"/>
    <n v="52"/>
    <m/>
  </r>
  <r>
    <x v="3935"/>
    <x v="287"/>
    <x v="9"/>
    <n v="10"/>
    <n v="15"/>
    <s v="Wednesday"/>
    <x v="9"/>
    <x v="0"/>
    <x v="7"/>
    <s v="Chicken Biryani"/>
    <x v="2"/>
    <n v="1"/>
    <n v="648"/>
    <n v="32.4"/>
    <n v="50"/>
    <n v="648"/>
    <n v="665.6"/>
    <x v="4"/>
    <x v="0"/>
    <x v="1"/>
    <n v="26"/>
    <n v="4.5"/>
  </r>
  <r>
    <x v="3936"/>
    <x v="287"/>
    <x v="9"/>
    <n v="10"/>
    <n v="15"/>
    <s v="Wednesday"/>
    <x v="6"/>
    <x v="5"/>
    <x v="8"/>
    <s v="Idli Sambar"/>
    <x v="1"/>
    <n v="1"/>
    <n v="458"/>
    <n v="91.6"/>
    <n v="30"/>
    <n v="458"/>
    <n v="396.4"/>
    <x v="2"/>
    <x v="0"/>
    <x v="1"/>
    <n v="28"/>
    <n v="4"/>
  </r>
  <r>
    <x v="3937"/>
    <x v="287"/>
    <x v="9"/>
    <n v="10"/>
    <n v="15"/>
    <s v="Wednesday"/>
    <x v="2"/>
    <x v="13"/>
    <x v="0"/>
    <s v="Fried Rice"/>
    <x v="1"/>
    <n v="1"/>
    <n v="288"/>
    <n v="28.8"/>
    <n v="50"/>
    <n v="288"/>
    <n v="309.2"/>
    <x v="2"/>
    <x v="0"/>
    <x v="1"/>
    <n v="45"/>
    <n v="3.6"/>
  </r>
  <r>
    <x v="3938"/>
    <x v="287"/>
    <x v="9"/>
    <n v="10"/>
    <n v="15"/>
    <s v="Wednesday"/>
    <x v="0"/>
    <x v="8"/>
    <x v="4"/>
    <s v="Cold Coffee"/>
    <x v="1"/>
    <n v="1"/>
    <n v="221"/>
    <n v="22.1"/>
    <n v="0"/>
    <n v="221"/>
    <n v="198.9"/>
    <x v="4"/>
    <x v="0"/>
    <x v="1"/>
    <n v="29"/>
    <n v="4.4000000000000004"/>
  </r>
  <r>
    <x v="3939"/>
    <x v="287"/>
    <x v="9"/>
    <n v="10"/>
    <n v="15"/>
    <s v="Wednesday"/>
    <x v="1"/>
    <x v="11"/>
    <x v="8"/>
    <s v="Masala Dosa"/>
    <x v="2"/>
    <n v="2"/>
    <n v="221"/>
    <n v="33.15"/>
    <n v="20"/>
    <n v="442"/>
    <n v="428.85"/>
    <x v="1"/>
    <x v="0"/>
    <x v="0"/>
    <n v="29"/>
    <n v="4.0999999999999996"/>
  </r>
  <r>
    <x v="3940"/>
    <x v="287"/>
    <x v="9"/>
    <n v="10"/>
    <n v="15"/>
    <s v="Wednesday"/>
    <x v="1"/>
    <x v="3"/>
    <x v="3"/>
    <s v="Chicken Momos"/>
    <x v="1"/>
    <n v="1"/>
    <n v="443"/>
    <n v="88.6"/>
    <n v="60"/>
    <n v="443"/>
    <n v="414.4"/>
    <x v="1"/>
    <x v="0"/>
    <x v="1"/>
    <n v="32"/>
    <n v="4.4000000000000004"/>
  </r>
  <r>
    <x v="3941"/>
    <x v="287"/>
    <x v="9"/>
    <n v="10"/>
    <n v="15"/>
    <s v="Wednesday"/>
    <x v="9"/>
    <x v="7"/>
    <x v="6"/>
    <s v="Veg Biryani"/>
    <x v="1"/>
    <n v="2"/>
    <n v="239"/>
    <n v="35.85"/>
    <n v="0"/>
    <n v="478"/>
    <n v="442.15"/>
    <x v="3"/>
    <x v="0"/>
    <x v="1"/>
    <n v="61"/>
    <n v="3.9"/>
  </r>
  <r>
    <x v="3942"/>
    <x v="288"/>
    <x v="9"/>
    <n v="10"/>
    <n v="16"/>
    <s v="Thursday"/>
    <x v="3"/>
    <x v="2"/>
    <x v="8"/>
    <s v="Chicken Biryani"/>
    <x v="1"/>
    <n v="1"/>
    <n v="794"/>
    <n v="79.400000000000006"/>
    <n v="0"/>
    <n v="794"/>
    <n v="714.6"/>
    <x v="4"/>
    <x v="0"/>
    <x v="0"/>
    <n v="37"/>
    <n v="4.7"/>
  </r>
  <r>
    <x v="3943"/>
    <x v="288"/>
    <x v="9"/>
    <n v="10"/>
    <n v="16"/>
    <s v="Thursday"/>
    <x v="5"/>
    <x v="3"/>
    <x v="3"/>
    <s v="Chicken Burger"/>
    <x v="1"/>
    <n v="1"/>
    <n v="796"/>
    <n v="79.599999999999994"/>
    <n v="40"/>
    <n v="796"/>
    <n v="756.4"/>
    <x v="1"/>
    <x v="1"/>
    <x v="1"/>
    <n v="25"/>
    <m/>
  </r>
  <r>
    <x v="3944"/>
    <x v="288"/>
    <x v="9"/>
    <n v="10"/>
    <n v="16"/>
    <s v="Thursday"/>
    <x v="1"/>
    <x v="6"/>
    <x v="8"/>
    <s v="Chicken Burger"/>
    <x v="1"/>
    <n v="1"/>
    <n v="579"/>
    <n v="86.85"/>
    <n v="30"/>
    <n v="579"/>
    <n v="522.15"/>
    <x v="4"/>
    <x v="0"/>
    <x v="1"/>
    <n v="37"/>
    <n v="3.3"/>
  </r>
  <r>
    <x v="3945"/>
    <x v="288"/>
    <x v="9"/>
    <n v="10"/>
    <n v="16"/>
    <s v="Thursday"/>
    <x v="8"/>
    <x v="13"/>
    <x v="6"/>
    <s v="Chicken Biryani"/>
    <x v="1"/>
    <n v="1"/>
    <n v="515"/>
    <n v="103"/>
    <n v="20"/>
    <n v="515"/>
    <n v="432"/>
    <x v="1"/>
    <x v="0"/>
    <x v="1"/>
    <n v="60"/>
    <n v="4.5"/>
  </r>
  <r>
    <x v="3946"/>
    <x v="288"/>
    <x v="9"/>
    <n v="10"/>
    <n v="16"/>
    <s v="Thursday"/>
    <x v="5"/>
    <x v="0"/>
    <x v="1"/>
    <s v="Cold Coffee"/>
    <x v="2"/>
    <n v="1"/>
    <n v="408"/>
    <n v="20.399999999999999"/>
    <n v="40"/>
    <n v="408"/>
    <n v="427.6"/>
    <x v="3"/>
    <x v="0"/>
    <x v="0"/>
    <n v="61"/>
    <n v="3.8"/>
  </r>
  <r>
    <x v="3947"/>
    <x v="288"/>
    <x v="9"/>
    <n v="10"/>
    <n v="16"/>
    <s v="Thursday"/>
    <x v="3"/>
    <x v="4"/>
    <x v="5"/>
    <s v="Veg Pizza"/>
    <x v="2"/>
    <n v="2"/>
    <n v="549"/>
    <n v="54.9"/>
    <n v="30"/>
    <n v="1098"/>
    <n v="1073.0999999999999"/>
    <x v="1"/>
    <x v="0"/>
    <x v="0"/>
    <n v="42"/>
    <n v="4.3"/>
  </r>
  <r>
    <x v="3948"/>
    <x v="288"/>
    <x v="9"/>
    <n v="10"/>
    <n v="16"/>
    <s v="Thursday"/>
    <x v="0"/>
    <x v="13"/>
    <x v="0"/>
    <s v="Chocolate Cake"/>
    <x v="2"/>
    <n v="1"/>
    <n v="352"/>
    <n v="52.8"/>
    <n v="30"/>
    <n v="352"/>
    <n v="329.2"/>
    <x v="0"/>
    <x v="0"/>
    <x v="1"/>
    <n v="32"/>
    <n v="4.0999999999999996"/>
  </r>
  <r>
    <x v="3949"/>
    <x v="288"/>
    <x v="9"/>
    <n v="10"/>
    <n v="16"/>
    <s v="Thursday"/>
    <x v="9"/>
    <x v="1"/>
    <x v="0"/>
    <s v="Chocolate Cake"/>
    <x v="0"/>
    <n v="1"/>
    <n v="639"/>
    <n v="0"/>
    <n v="50"/>
    <n v="639"/>
    <n v="689"/>
    <x v="1"/>
    <x v="0"/>
    <x v="1"/>
    <n v="21"/>
    <n v="3.9"/>
  </r>
  <r>
    <x v="3950"/>
    <x v="288"/>
    <x v="9"/>
    <n v="10"/>
    <n v="16"/>
    <s v="Thursday"/>
    <x v="5"/>
    <x v="7"/>
    <x v="3"/>
    <s v="Pasta"/>
    <x v="1"/>
    <n v="2"/>
    <n v="628"/>
    <n v="62.8"/>
    <n v="50"/>
    <n v="1256"/>
    <n v="1243.2"/>
    <x v="0"/>
    <x v="0"/>
    <x v="1"/>
    <n v="33"/>
    <n v="4"/>
  </r>
  <r>
    <x v="3951"/>
    <x v="288"/>
    <x v="9"/>
    <n v="10"/>
    <n v="16"/>
    <s v="Thursday"/>
    <x v="7"/>
    <x v="8"/>
    <x v="3"/>
    <s v="Pasta"/>
    <x v="1"/>
    <n v="1"/>
    <n v="721"/>
    <n v="180.25"/>
    <n v="20"/>
    <n v="721"/>
    <n v="560.75"/>
    <x v="3"/>
    <x v="2"/>
    <x v="1"/>
    <n v="51"/>
    <m/>
  </r>
  <r>
    <x v="3952"/>
    <x v="288"/>
    <x v="9"/>
    <n v="10"/>
    <n v="16"/>
    <s v="Thursday"/>
    <x v="2"/>
    <x v="10"/>
    <x v="0"/>
    <s v="Veg Momos"/>
    <x v="3"/>
    <n v="1"/>
    <n v="464"/>
    <n v="0"/>
    <n v="30"/>
    <n v="464"/>
    <n v="494"/>
    <x v="0"/>
    <x v="0"/>
    <x v="1"/>
    <n v="25"/>
    <n v="4.5"/>
  </r>
  <r>
    <x v="3953"/>
    <x v="288"/>
    <x v="9"/>
    <n v="10"/>
    <n v="16"/>
    <s v="Thursday"/>
    <x v="1"/>
    <x v="3"/>
    <x v="2"/>
    <s v="Veg Biryani"/>
    <x v="1"/>
    <n v="2"/>
    <n v="439"/>
    <n v="65.849999999999994"/>
    <n v="40"/>
    <n v="878"/>
    <n v="852.15"/>
    <x v="0"/>
    <x v="0"/>
    <x v="1"/>
    <n v="23"/>
    <n v="3.1"/>
  </r>
  <r>
    <x v="3954"/>
    <x v="288"/>
    <x v="9"/>
    <n v="10"/>
    <n v="16"/>
    <s v="Thursday"/>
    <x v="4"/>
    <x v="9"/>
    <x v="2"/>
    <s v="French Fries"/>
    <x v="1"/>
    <n v="3"/>
    <n v="900"/>
    <n v="90"/>
    <n v="40"/>
    <n v="2700"/>
    <n v="2650"/>
    <x v="1"/>
    <x v="2"/>
    <x v="1"/>
    <n v="36"/>
    <m/>
  </r>
  <r>
    <x v="3955"/>
    <x v="288"/>
    <x v="9"/>
    <n v="10"/>
    <n v="16"/>
    <s v="Thursday"/>
    <x v="3"/>
    <x v="9"/>
    <x v="3"/>
    <s v="Veg Burger"/>
    <x v="2"/>
    <n v="3"/>
    <n v="263"/>
    <n v="65.75"/>
    <n v="20"/>
    <n v="789"/>
    <n v="743.25"/>
    <x v="1"/>
    <x v="0"/>
    <x v="0"/>
    <n v="27"/>
    <n v="3.6"/>
  </r>
  <r>
    <x v="3956"/>
    <x v="288"/>
    <x v="9"/>
    <n v="10"/>
    <n v="16"/>
    <s v="Thursday"/>
    <x v="5"/>
    <x v="8"/>
    <x v="7"/>
    <s v="Chicken Pizza"/>
    <x v="1"/>
    <n v="1"/>
    <n v="273"/>
    <n v="27.3"/>
    <n v="30"/>
    <n v="273"/>
    <n v="275.7"/>
    <x v="1"/>
    <x v="0"/>
    <x v="1"/>
    <n v="66"/>
    <n v="4.2"/>
  </r>
  <r>
    <x v="3957"/>
    <x v="288"/>
    <x v="9"/>
    <n v="10"/>
    <n v="16"/>
    <s v="Thursday"/>
    <x v="3"/>
    <x v="13"/>
    <x v="5"/>
    <s v="Veg Momos"/>
    <x v="1"/>
    <n v="1"/>
    <n v="295"/>
    <n v="0"/>
    <n v="40"/>
    <n v="295"/>
    <n v="335"/>
    <x v="4"/>
    <x v="0"/>
    <x v="0"/>
    <n v="44"/>
    <n v="3.5"/>
  </r>
  <r>
    <x v="3958"/>
    <x v="288"/>
    <x v="9"/>
    <n v="10"/>
    <n v="16"/>
    <s v="Thursday"/>
    <x v="7"/>
    <x v="1"/>
    <x v="8"/>
    <s v="Paneer Butter Masala"/>
    <x v="2"/>
    <n v="1"/>
    <n v="560"/>
    <n v="84"/>
    <n v="40"/>
    <n v="560"/>
    <n v="516"/>
    <x v="2"/>
    <x v="0"/>
    <x v="1"/>
    <n v="49"/>
    <n v="4"/>
  </r>
  <r>
    <x v="3959"/>
    <x v="288"/>
    <x v="9"/>
    <n v="10"/>
    <n v="16"/>
    <s v="Thursday"/>
    <x v="0"/>
    <x v="13"/>
    <x v="2"/>
    <s v="French Fries"/>
    <x v="1"/>
    <n v="2"/>
    <n v="701"/>
    <n v="140.19999999999999"/>
    <n v="50"/>
    <n v="1402"/>
    <n v="1311.8"/>
    <x v="0"/>
    <x v="0"/>
    <x v="0"/>
    <n v="56"/>
    <n v="4.0999999999999996"/>
  </r>
  <r>
    <x v="3960"/>
    <x v="288"/>
    <x v="9"/>
    <n v="10"/>
    <n v="16"/>
    <s v="Thursday"/>
    <x v="4"/>
    <x v="3"/>
    <x v="7"/>
    <s v="Cold Coffee"/>
    <x v="1"/>
    <n v="2"/>
    <n v="657"/>
    <n v="98.55"/>
    <n v="0"/>
    <n v="1314"/>
    <n v="1215.45"/>
    <x v="1"/>
    <x v="0"/>
    <x v="1"/>
    <n v="29"/>
    <n v="2.8"/>
  </r>
  <r>
    <x v="3961"/>
    <x v="289"/>
    <x v="9"/>
    <n v="10"/>
    <n v="17"/>
    <s v="Friday"/>
    <x v="3"/>
    <x v="6"/>
    <x v="2"/>
    <s v="Cold Coffee"/>
    <x v="1"/>
    <n v="1"/>
    <n v="514"/>
    <n v="102.8"/>
    <n v="50"/>
    <n v="514"/>
    <n v="461.2"/>
    <x v="3"/>
    <x v="0"/>
    <x v="1"/>
    <n v="22"/>
    <n v="3.9"/>
  </r>
  <r>
    <x v="3962"/>
    <x v="289"/>
    <x v="9"/>
    <n v="10"/>
    <n v="17"/>
    <s v="Friday"/>
    <x v="1"/>
    <x v="12"/>
    <x v="4"/>
    <s v="Pasta"/>
    <x v="1"/>
    <n v="2"/>
    <n v="847"/>
    <n v="211.75"/>
    <n v="20"/>
    <n v="1694"/>
    <n v="1502.25"/>
    <x v="1"/>
    <x v="0"/>
    <x v="1"/>
    <n v="39"/>
    <n v="3.2"/>
  </r>
  <r>
    <x v="3963"/>
    <x v="289"/>
    <x v="9"/>
    <n v="10"/>
    <n v="17"/>
    <s v="Friday"/>
    <x v="7"/>
    <x v="3"/>
    <x v="9"/>
    <s v="Masala Dosa"/>
    <x v="2"/>
    <n v="1"/>
    <n v="878"/>
    <n v="131.69999999999999"/>
    <n v="40"/>
    <n v="878"/>
    <n v="786.3"/>
    <x v="2"/>
    <x v="3"/>
    <x v="0"/>
    <n v="29"/>
    <m/>
  </r>
  <r>
    <x v="3964"/>
    <x v="289"/>
    <x v="9"/>
    <n v="10"/>
    <n v="17"/>
    <s v="Friday"/>
    <x v="9"/>
    <x v="2"/>
    <x v="0"/>
    <s v="Idli Sambar"/>
    <x v="2"/>
    <n v="1"/>
    <n v="896"/>
    <n v="89.6"/>
    <n v="40"/>
    <n v="896"/>
    <n v="846.4"/>
    <x v="1"/>
    <x v="0"/>
    <x v="1"/>
    <n v="39"/>
    <n v="5"/>
  </r>
  <r>
    <x v="3965"/>
    <x v="289"/>
    <x v="9"/>
    <n v="10"/>
    <n v="17"/>
    <s v="Friday"/>
    <x v="2"/>
    <x v="8"/>
    <x v="3"/>
    <s v="Chicken Burger"/>
    <x v="1"/>
    <n v="1"/>
    <n v="482"/>
    <n v="72.3"/>
    <n v="40"/>
    <n v="482"/>
    <n v="449.7"/>
    <x v="1"/>
    <x v="0"/>
    <x v="0"/>
    <n v="45"/>
    <n v="4"/>
  </r>
  <r>
    <x v="3966"/>
    <x v="289"/>
    <x v="9"/>
    <n v="10"/>
    <n v="17"/>
    <s v="Friday"/>
    <x v="8"/>
    <x v="0"/>
    <x v="7"/>
    <s v="Paneer Butter Masala"/>
    <x v="1"/>
    <n v="3"/>
    <n v="155"/>
    <n v="31"/>
    <n v="30"/>
    <n v="465"/>
    <n v="464"/>
    <x v="3"/>
    <x v="0"/>
    <x v="1"/>
    <n v="48"/>
    <n v="5"/>
  </r>
  <r>
    <x v="3967"/>
    <x v="289"/>
    <x v="9"/>
    <n v="10"/>
    <n v="17"/>
    <s v="Friday"/>
    <x v="2"/>
    <x v="11"/>
    <x v="1"/>
    <s v="Chicken Momos"/>
    <x v="1"/>
    <n v="1"/>
    <n v="519"/>
    <n v="77.849999999999994"/>
    <n v="0"/>
    <n v="519"/>
    <n v="441.15"/>
    <x v="0"/>
    <x v="0"/>
    <x v="0"/>
    <n v="64"/>
    <n v="3.1"/>
  </r>
  <r>
    <x v="3968"/>
    <x v="289"/>
    <x v="9"/>
    <n v="10"/>
    <n v="17"/>
    <s v="Friday"/>
    <x v="7"/>
    <x v="4"/>
    <x v="5"/>
    <s v="Veg Biryani"/>
    <x v="1"/>
    <n v="3"/>
    <n v="613"/>
    <n v="153.25"/>
    <n v="40"/>
    <n v="1839"/>
    <n v="1725.75"/>
    <x v="1"/>
    <x v="0"/>
    <x v="1"/>
    <n v="39"/>
    <n v="4.8"/>
  </r>
  <r>
    <x v="3969"/>
    <x v="289"/>
    <x v="9"/>
    <n v="10"/>
    <n v="17"/>
    <s v="Friday"/>
    <x v="5"/>
    <x v="4"/>
    <x v="2"/>
    <s v="Veg Biryani"/>
    <x v="3"/>
    <n v="2"/>
    <n v="553"/>
    <n v="55.3"/>
    <n v="20"/>
    <n v="1106"/>
    <n v="1070.7"/>
    <x v="1"/>
    <x v="0"/>
    <x v="1"/>
    <n v="39"/>
    <n v="4"/>
  </r>
  <r>
    <x v="3970"/>
    <x v="289"/>
    <x v="9"/>
    <n v="10"/>
    <n v="17"/>
    <s v="Friday"/>
    <x v="4"/>
    <x v="3"/>
    <x v="1"/>
    <s v="Idli Sambar"/>
    <x v="3"/>
    <n v="1"/>
    <n v="139"/>
    <n v="13.9"/>
    <n v="50"/>
    <n v="139"/>
    <n v="175.1"/>
    <x v="2"/>
    <x v="0"/>
    <x v="1"/>
    <n v="70"/>
    <n v="4.5999999999999996"/>
  </r>
  <r>
    <x v="3971"/>
    <x v="289"/>
    <x v="9"/>
    <n v="10"/>
    <n v="17"/>
    <s v="Friday"/>
    <x v="2"/>
    <x v="8"/>
    <x v="7"/>
    <s v="Masala Dosa"/>
    <x v="1"/>
    <n v="2"/>
    <n v="597"/>
    <n v="59.7"/>
    <n v="30"/>
    <n v="1194"/>
    <n v="1164.3"/>
    <x v="2"/>
    <x v="0"/>
    <x v="0"/>
    <n v="52"/>
    <n v="2.7"/>
  </r>
  <r>
    <x v="3972"/>
    <x v="289"/>
    <x v="9"/>
    <n v="10"/>
    <n v="17"/>
    <s v="Friday"/>
    <x v="6"/>
    <x v="13"/>
    <x v="0"/>
    <s v="Veg Biryani"/>
    <x v="1"/>
    <n v="1"/>
    <n v="499"/>
    <n v="24.95"/>
    <n v="40"/>
    <n v="499"/>
    <n v="514.04999999999995"/>
    <x v="2"/>
    <x v="1"/>
    <x v="0"/>
    <n v="64"/>
    <m/>
  </r>
  <r>
    <x v="3973"/>
    <x v="289"/>
    <x v="9"/>
    <n v="10"/>
    <n v="17"/>
    <s v="Friday"/>
    <x v="5"/>
    <x v="12"/>
    <x v="6"/>
    <s v="Cold Coffee"/>
    <x v="1"/>
    <n v="1"/>
    <n v="245"/>
    <n v="36.75"/>
    <n v="20"/>
    <n v="245"/>
    <n v="228.25"/>
    <x v="2"/>
    <x v="0"/>
    <x v="0"/>
    <n v="34"/>
    <n v="4.4000000000000004"/>
  </r>
  <r>
    <x v="3974"/>
    <x v="289"/>
    <x v="9"/>
    <n v="10"/>
    <n v="17"/>
    <s v="Friday"/>
    <x v="5"/>
    <x v="8"/>
    <x v="1"/>
    <s v="Fried Rice"/>
    <x v="1"/>
    <n v="2"/>
    <n v="279"/>
    <n v="55.8"/>
    <n v="60"/>
    <n v="558"/>
    <n v="562.20000000000005"/>
    <x v="1"/>
    <x v="0"/>
    <x v="1"/>
    <n v="23"/>
    <n v="4.3"/>
  </r>
  <r>
    <x v="3975"/>
    <x v="290"/>
    <x v="9"/>
    <n v="10"/>
    <n v="18"/>
    <s v="Saturday"/>
    <x v="5"/>
    <x v="12"/>
    <x v="1"/>
    <s v="French Fries"/>
    <x v="1"/>
    <n v="2"/>
    <n v="644"/>
    <n v="0"/>
    <n v="30"/>
    <n v="1288"/>
    <n v="1318"/>
    <x v="1"/>
    <x v="0"/>
    <x v="0"/>
    <n v="57"/>
    <n v="3.5"/>
  </r>
  <r>
    <x v="3976"/>
    <x v="290"/>
    <x v="9"/>
    <n v="10"/>
    <n v="18"/>
    <s v="Saturday"/>
    <x v="0"/>
    <x v="1"/>
    <x v="2"/>
    <s v="Veg Burger"/>
    <x v="1"/>
    <n v="1"/>
    <n v="382"/>
    <n v="57.3"/>
    <n v="0"/>
    <n v="382"/>
    <n v="324.7"/>
    <x v="2"/>
    <x v="0"/>
    <x v="1"/>
    <n v="34"/>
    <n v="5"/>
  </r>
  <r>
    <x v="3977"/>
    <x v="290"/>
    <x v="9"/>
    <n v="10"/>
    <n v="18"/>
    <s v="Saturday"/>
    <x v="3"/>
    <x v="7"/>
    <x v="7"/>
    <s v="Chicken Pizza"/>
    <x v="1"/>
    <n v="1"/>
    <n v="292"/>
    <n v="43.8"/>
    <n v="40"/>
    <n v="292"/>
    <n v="288.2"/>
    <x v="4"/>
    <x v="0"/>
    <x v="0"/>
    <n v="47"/>
    <n v="4.8"/>
  </r>
  <r>
    <x v="3978"/>
    <x v="290"/>
    <x v="9"/>
    <n v="10"/>
    <n v="18"/>
    <s v="Saturday"/>
    <x v="5"/>
    <x v="10"/>
    <x v="8"/>
    <s v="Fried Rice"/>
    <x v="2"/>
    <n v="1"/>
    <n v="303"/>
    <n v="30.3"/>
    <n v="40"/>
    <n v="303"/>
    <n v="312.7"/>
    <x v="0"/>
    <x v="0"/>
    <x v="0"/>
    <n v="22"/>
    <n v="4.7"/>
  </r>
  <r>
    <x v="3979"/>
    <x v="290"/>
    <x v="9"/>
    <n v="10"/>
    <n v="18"/>
    <s v="Saturday"/>
    <x v="1"/>
    <x v="10"/>
    <x v="8"/>
    <s v="Chicken Biryani"/>
    <x v="3"/>
    <n v="2"/>
    <n v="353"/>
    <n v="88.25"/>
    <n v="30"/>
    <n v="706"/>
    <n v="647.75"/>
    <x v="1"/>
    <x v="0"/>
    <x v="1"/>
    <n v="26"/>
    <n v="3.3"/>
  </r>
  <r>
    <x v="3980"/>
    <x v="290"/>
    <x v="9"/>
    <n v="10"/>
    <n v="18"/>
    <s v="Saturday"/>
    <x v="5"/>
    <x v="3"/>
    <x v="9"/>
    <s v="French Fries"/>
    <x v="3"/>
    <n v="3"/>
    <n v="522"/>
    <n v="0"/>
    <n v="40"/>
    <n v="1566"/>
    <n v="1606"/>
    <x v="1"/>
    <x v="0"/>
    <x v="0"/>
    <n v="62"/>
    <n v="3.6"/>
  </r>
  <r>
    <x v="3981"/>
    <x v="290"/>
    <x v="9"/>
    <n v="10"/>
    <n v="18"/>
    <s v="Saturday"/>
    <x v="5"/>
    <x v="1"/>
    <x v="4"/>
    <s v="Paneer Butter Masala"/>
    <x v="1"/>
    <n v="2"/>
    <n v="351"/>
    <n v="52.65"/>
    <n v="70"/>
    <n v="702"/>
    <n v="719.35"/>
    <x v="1"/>
    <x v="2"/>
    <x v="0"/>
    <n v="60"/>
    <m/>
  </r>
  <r>
    <x v="3982"/>
    <x v="290"/>
    <x v="9"/>
    <n v="10"/>
    <n v="18"/>
    <s v="Saturday"/>
    <x v="1"/>
    <x v="9"/>
    <x v="6"/>
    <s v="Veg Biryani"/>
    <x v="1"/>
    <n v="2"/>
    <n v="786"/>
    <n v="0"/>
    <n v="40"/>
    <n v="1572"/>
    <n v="1612"/>
    <x v="0"/>
    <x v="2"/>
    <x v="1"/>
    <n v="54"/>
    <m/>
  </r>
  <r>
    <x v="3983"/>
    <x v="290"/>
    <x v="9"/>
    <n v="10"/>
    <n v="18"/>
    <s v="Saturday"/>
    <x v="3"/>
    <x v="5"/>
    <x v="6"/>
    <s v="Veg Pizza"/>
    <x v="2"/>
    <n v="1"/>
    <n v="512"/>
    <n v="76.8"/>
    <n v="30"/>
    <n v="512"/>
    <n v="465.2"/>
    <x v="1"/>
    <x v="0"/>
    <x v="0"/>
    <n v="58"/>
    <n v="3.4"/>
  </r>
  <r>
    <x v="3984"/>
    <x v="290"/>
    <x v="9"/>
    <n v="10"/>
    <n v="18"/>
    <s v="Saturday"/>
    <x v="8"/>
    <x v="1"/>
    <x v="5"/>
    <s v="Idli Sambar"/>
    <x v="1"/>
    <n v="2"/>
    <n v="601"/>
    <n v="150.25"/>
    <n v="0"/>
    <n v="1202"/>
    <n v="1051.75"/>
    <x v="2"/>
    <x v="0"/>
    <x v="1"/>
    <n v="54"/>
    <n v="3.7"/>
  </r>
  <r>
    <x v="3985"/>
    <x v="290"/>
    <x v="9"/>
    <n v="10"/>
    <n v="18"/>
    <s v="Saturday"/>
    <x v="2"/>
    <x v="8"/>
    <x v="3"/>
    <s v="Idli Sambar"/>
    <x v="2"/>
    <n v="2"/>
    <n v="680"/>
    <n v="0"/>
    <n v="40"/>
    <n v="1360"/>
    <n v="1400"/>
    <x v="1"/>
    <x v="0"/>
    <x v="1"/>
    <n v="40"/>
    <n v="3.6"/>
  </r>
  <r>
    <x v="3986"/>
    <x v="290"/>
    <x v="9"/>
    <n v="10"/>
    <n v="18"/>
    <s v="Saturday"/>
    <x v="5"/>
    <x v="14"/>
    <x v="6"/>
    <s v="Veg Burger"/>
    <x v="1"/>
    <n v="1"/>
    <n v="651"/>
    <n v="32.549999999999997"/>
    <n v="0"/>
    <n v="651"/>
    <n v="618.45000000000005"/>
    <x v="4"/>
    <x v="0"/>
    <x v="1"/>
    <n v="27"/>
    <n v="3.7"/>
  </r>
  <r>
    <x v="3987"/>
    <x v="290"/>
    <x v="9"/>
    <n v="10"/>
    <n v="18"/>
    <s v="Saturday"/>
    <x v="2"/>
    <x v="13"/>
    <x v="5"/>
    <s v="Paneer Butter Masala"/>
    <x v="1"/>
    <n v="2"/>
    <n v="512"/>
    <n v="0"/>
    <n v="70"/>
    <n v="1024"/>
    <n v="1094"/>
    <x v="4"/>
    <x v="0"/>
    <x v="0"/>
    <n v="35"/>
    <n v="4.9000000000000004"/>
  </r>
  <r>
    <x v="3988"/>
    <x v="290"/>
    <x v="9"/>
    <n v="10"/>
    <n v="18"/>
    <s v="Saturday"/>
    <x v="4"/>
    <x v="14"/>
    <x v="1"/>
    <s v="French Fries"/>
    <x v="1"/>
    <n v="1"/>
    <n v="521"/>
    <n v="0"/>
    <n v="60"/>
    <n v="521"/>
    <n v="581"/>
    <x v="1"/>
    <x v="0"/>
    <x v="0"/>
    <n v="32"/>
    <n v="3.3"/>
  </r>
  <r>
    <x v="3989"/>
    <x v="291"/>
    <x v="9"/>
    <n v="10"/>
    <n v="19"/>
    <s v="Sunday"/>
    <x v="6"/>
    <x v="11"/>
    <x v="8"/>
    <s v="Veg Momos"/>
    <x v="3"/>
    <n v="2"/>
    <n v="340"/>
    <n v="0"/>
    <n v="40"/>
    <n v="680"/>
    <n v="720"/>
    <x v="1"/>
    <x v="0"/>
    <x v="1"/>
    <n v="61"/>
    <n v="4.0999999999999996"/>
  </r>
  <r>
    <x v="3990"/>
    <x v="291"/>
    <x v="9"/>
    <n v="10"/>
    <n v="19"/>
    <s v="Sunday"/>
    <x v="3"/>
    <x v="2"/>
    <x v="8"/>
    <s v="Veg Pizza"/>
    <x v="3"/>
    <n v="1"/>
    <n v="191"/>
    <n v="19.100000000000001"/>
    <n v="20"/>
    <n v="191"/>
    <n v="191.9"/>
    <x v="0"/>
    <x v="0"/>
    <x v="1"/>
    <n v="67"/>
    <n v="4.0999999999999996"/>
  </r>
  <r>
    <x v="3991"/>
    <x v="291"/>
    <x v="9"/>
    <n v="10"/>
    <n v="19"/>
    <s v="Sunday"/>
    <x v="4"/>
    <x v="9"/>
    <x v="0"/>
    <s v="Paneer Butter Masala"/>
    <x v="1"/>
    <n v="3"/>
    <n v="669"/>
    <n v="100.35"/>
    <n v="0"/>
    <n v="2007"/>
    <n v="1906.65"/>
    <x v="0"/>
    <x v="0"/>
    <x v="1"/>
    <n v="24"/>
    <n v="3.4"/>
  </r>
  <r>
    <x v="3992"/>
    <x v="291"/>
    <x v="9"/>
    <n v="10"/>
    <n v="19"/>
    <s v="Sunday"/>
    <x v="3"/>
    <x v="12"/>
    <x v="0"/>
    <s v="Chicken Momos"/>
    <x v="1"/>
    <n v="2"/>
    <n v="852"/>
    <n v="85.2"/>
    <n v="0"/>
    <n v="1704"/>
    <n v="1618.8"/>
    <x v="4"/>
    <x v="3"/>
    <x v="1"/>
    <n v="70"/>
    <m/>
  </r>
  <r>
    <x v="3993"/>
    <x v="291"/>
    <x v="9"/>
    <n v="10"/>
    <n v="19"/>
    <s v="Sunday"/>
    <x v="6"/>
    <x v="0"/>
    <x v="4"/>
    <s v="Cold Coffee"/>
    <x v="0"/>
    <n v="1"/>
    <n v="871"/>
    <n v="174.2"/>
    <n v="50"/>
    <n v="871"/>
    <n v="746.8"/>
    <x v="0"/>
    <x v="0"/>
    <x v="1"/>
    <n v="61"/>
    <n v="5"/>
  </r>
  <r>
    <x v="3994"/>
    <x v="291"/>
    <x v="9"/>
    <n v="10"/>
    <n v="19"/>
    <s v="Sunday"/>
    <x v="3"/>
    <x v="11"/>
    <x v="1"/>
    <s v="Paneer Butter Masala"/>
    <x v="1"/>
    <n v="1"/>
    <n v="640"/>
    <n v="96"/>
    <n v="30"/>
    <n v="640"/>
    <n v="574"/>
    <x v="3"/>
    <x v="0"/>
    <x v="0"/>
    <n v="21"/>
    <n v="4.8"/>
  </r>
  <r>
    <x v="3995"/>
    <x v="291"/>
    <x v="9"/>
    <n v="10"/>
    <n v="19"/>
    <s v="Sunday"/>
    <x v="7"/>
    <x v="11"/>
    <x v="2"/>
    <s v="Idli Sambar"/>
    <x v="1"/>
    <n v="1"/>
    <n v="810"/>
    <n v="81"/>
    <n v="40"/>
    <n v="810"/>
    <n v="769"/>
    <x v="1"/>
    <x v="0"/>
    <x v="1"/>
    <n v="59"/>
    <n v="4"/>
  </r>
  <r>
    <x v="3996"/>
    <x v="291"/>
    <x v="9"/>
    <n v="10"/>
    <n v="19"/>
    <s v="Sunday"/>
    <x v="7"/>
    <x v="8"/>
    <x v="1"/>
    <s v="Pasta"/>
    <x v="1"/>
    <n v="2"/>
    <n v="856"/>
    <n v="42.8"/>
    <n v="0"/>
    <n v="1712"/>
    <n v="1669.2"/>
    <x v="0"/>
    <x v="0"/>
    <x v="0"/>
    <n v="40"/>
    <n v="3.9"/>
  </r>
  <r>
    <x v="3997"/>
    <x v="291"/>
    <x v="9"/>
    <n v="10"/>
    <n v="19"/>
    <s v="Sunday"/>
    <x v="2"/>
    <x v="11"/>
    <x v="2"/>
    <s v="Chicken Momos"/>
    <x v="2"/>
    <n v="1"/>
    <n v="528"/>
    <n v="79.2"/>
    <n v="0"/>
    <n v="528"/>
    <n v="448.8"/>
    <x v="3"/>
    <x v="0"/>
    <x v="0"/>
    <n v="52"/>
    <n v="4.9000000000000004"/>
  </r>
  <r>
    <x v="3998"/>
    <x v="291"/>
    <x v="9"/>
    <n v="10"/>
    <n v="19"/>
    <s v="Sunday"/>
    <x v="7"/>
    <x v="10"/>
    <x v="3"/>
    <s v="Veg Momos"/>
    <x v="1"/>
    <n v="1"/>
    <n v="716"/>
    <n v="71.599999999999994"/>
    <n v="0"/>
    <n v="716"/>
    <n v="644.4"/>
    <x v="1"/>
    <x v="0"/>
    <x v="1"/>
    <n v="29"/>
    <n v="3.3"/>
  </r>
  <r>
    <x v="3999"/>
    <x v="291"/>
    <x v="9"/>
    <n v="10"/>
    <n v="19"/>
    <s v="Sunday"/>
    <x v="7"/>
    <x v="13"/>
    <x v="3"/>
    <s v="Masala Dosa"/>
    <x v="1"/>
    <n v="1"/>
    <n v="251"/>
    <n v="37.65"/>
    <n v="50"/>
    <n v="251"/>
    <n v="263.35000000000002"/>
    <x v="0"/>
    <x v="0"/>
    <x v="1"/>
    <n v="31"/>
    <n v="3.8"/>
  </r>
  <r>
    <x v="4000"/>
    <x v="291"/>
    <x v="9"/>
    <n v="10"/>
    <n v="19"/>
    <s v="Sunday"/>
    <x v="1"/>
    <x v="9"/>
    <x v="2"/>
    <s v="Pasta"/>
    <x v="3"/>
    <n v="2"/>
    <n v="129"/>
    <n v="19.350000000000001"/>
    <n v="40"/>
    <n v="258"/>
    <n v="278.64999999999998"/>
    <x v="4"/>
    <x v="0"/>
    <x v="0"/>
    <n v="53"/>
    <n v="3.9"/>
  </r>
  <r>
    <x v="4001"/>
    <x v="291"/>
    <x v="9"/>
    <n v="10"/>
    <n v="19"/>
    <s v="Sunday"/>
    <x v="5"/>
    <x v="2"/>
    <x v="5"/>
    <s v="Idli Sambar"/>
    <x v="0"/>
    <n v="3"/>
    <n v="764"/>
    <n v="0"/>
    <n v="50"/>
    <n v="2292"/>
    <n v="2342"/>
    <x v="1"/>
    <x v="0"/>
    <x v="1"/>
    <n v="24"/>
    <n v="3.8"/>
  </r>
  <r>
    <x v="4002"/>
    <x v="292"/>
    <x v="9"/>
    <n v="10"/>
    <n v="20"/>
    <s v="Monday"/>
    <x v="0"/>
    <x v="14"/>
    <x v="7"/>
    <s v="Pasta"/>
    <x v="1"/>
    <n v="1"/>
    <n v="597"/>
    <n v="149.25"/>
    <n v="30"/>
    <n v="597"/>
    <n v="477.75"/>
    <x v="3"/>
    <x v="0"/>
    <x v="0"/>
    <n v="60"/>
    <n v="4"/>
  </r>
  <r>
    <x v="4003"/>
    <x v="292"/>
    <x v="9"/>
    <n v="10"/>
    <n v="20"/>
    <s v="Monday"/>
    <x v="5"/>
    <x v="13"/>
    <x v="8"/>
    <s v="Idli Sambar"/>
    <x v="3"/>
    <n v="2"/>
    <n v="566"/>
    <n v="84.9"/>
    <n v="50"/>
    <n v="1132"/>
    <n v="1097.0999999999999"/>
    <x v="2"/>
    <x v="0"/>
    <x v="1"/>
    <n v="27"/>
    <n v="4.0999999999999996"/>
  </r>
  <r>
    <x v="4004"/>
    <x v="292"/>
    <x v="9"/>
    <n v="10"/>
    <n v="20"/>
    <s v="Monday"/>
    <x v="1"/>
    <x v="11"/>
    <x v="7"/>
    <s v="Veg Pizza"/>
    <x v="3"/>
    <n v="1"/>
    <n v="882"/>
    <n v="0"/>
    <n v="40"/>
    <n v="882"/>
    <n v="922"/>
    <x v="0"/>
    <x v="0"/>
    <x v="0"/>
    <n v="58"/>
    <n v="4.0999999999999996"/>
  </r>
  <r>
    <x v="4005"/>
    <x v="292"/>
    <x v="9"/>
    <n v="10"/>
    <n v="20"/>
    <s v="Monday"/>
    <x v="1"/>
    <x v="7"/>
    <x v="7"/>
    <s v="Masala Dosa"/>
    <x v="1"/>
    <n v="2"/>
    <n v="861"/>
    <n v="86.1"/>
    <n v="30"/>
    <n v="1722"/>
    <n v="1665.9"/>
    <x v="2"/>
    <x v="0"/>
    <x v="1"/>
    <n v="35"/>
    <n v="3.8"/>
  </r>
  <r>
    <x v="4006"/>
    <x v="292"/>
    <x v="9"/>
    <n v="10"/>
    <n v="20"/>
    <s v="Monday"/>
    <x v="1"/>
    <x v="1"/>
    <x v="2"/>
    <s v="Chicken Burger"/>
    <x v="1"/>
    <n v="1"/>
    <n v="523"/>
    <n v="52.3"/>
    <n v="50"/>
    <n v="523"/>
    <n v="520.70000000000005"/>
    <x v="4"/>
    <x v="3"/>
    <x v="0"/>
    <n v="23"/>
    <m/>
  </r>
  <r>
    <x v="4007"/>
    <x v="292"/>
    <x v="9"/>
    <n v="10"/>
    <n v="20"/>
    <s v="Monday"/>
    <x v="3"/>
    <x v="2"/>
    <x v="0"/>
    <s v="Veg Biryani"/>
    <x v="0"/>
    <n v="1"/>
    <n v="476"/>
    <n v="23.8"/>
    <n v="30"/>
    <n v="476"/>
    <n v="482.2"/>
    <x v="1"/>
    <x v="0"/>
    <x v="0"/>
    <n v="46"/>
    <n v="3.6"/>
  </r>
  <r>
    <x v="4008"/>
    <x v="292"/>
    <x v="9"/>
    <n v="10"/>
    <n v="20"/>
    <s v="Monday"/>
    <x v="5"/>
    <x v="12"/>
    <x v="5"/>
    <s v="Veg Biryani"/>
    <x v="1"/>
    <n v="2"/>
    <n v="305"/>
    <n v="15.25"/>
    <n v="30"/>
    <n v="610"/>
    <n v="624.75"/>
    <x v="1"/>
    <x v="0"/>
    <x v="0"/>
    <n v="63"/>
    <n v="4.9000000000000004"/>
  </r>
  <r>
    <x v="4009"/>
    <x v="292"/>
    <x v="9"/>
    <n v="10"/>
    <n v="20"/>
    <s v="Monday"/>
    <x v="4"/>
    <x v="0"/>
    <x v="5"/>
    <s v="Chocolate Cake"/>
    <x v="2"/>
    <n v="1"/>
    <n v="263"/>
    <n v="26.3"/>
    <n v="50"/>
    <n v="263"/>
    <n v="286.7"/>
    <x v="1"/>
    <x v="1"/>
    <x v="1"/>
    <n v="61"/>
    <m/>
  </r>
  <r>
    <x v="4010"/>
    <x v="292"/>
    <x v="9"/>
    <n v="10"/>
    <n v="20"/>
    <s v="Monday"/>
    <x v="4"/>
    <x v="6"/>
    <x v="5"/>
    <s v="Veg Biryani"/>
    <x v="0"/>
    <n v="1"/>
    <n v="789"/>
    <n v="118.35"/>
    <n v="20"/>
    <n v="789"/>
    <n v="690.65"/>
    <x v="0"/>
    <x v="0"/>
    <x v="1"/>
    <n v="53"/>
    <n v="4.0999999999999996"/>
  </r>
  <r>
    <x v="4011"/>
    <x v="292"/>
    <x v="9"/>
    <n v="10"/>
    <n v="20"/>
    <s v="Monday"/>
    <x v="9"/>
    <x v="11"/>
    <x v="3"/>
    <s v="French Fries"/>
    <x v="1"/>
    <n v="1"/>
    <n v="673"/>
    <n v="100.95"/>
    <n v="40"/>
    <n v="673"/>
    <n v="612.04999999999995"/>
    <x v="2"/>
    <x v="0"/>
    <x v="0"/>
    <n v="49"/>
    <n v="3.4"/>
  </r>
  <r>
    <x v="4012"/>
    <x v="292"/>
    <x v="9"/>
    <n v="10"/>
    <n v="20"/>
    <s v="Monday"/>
    <x v="4"/>
    <x v="5"/>
    <x v="2"/>
    <s v="Pasta"/>
    <x v="2"/>
    <n v="1"/>
    <n v="649"/>
    <n v="97.35"/>
    <n v="30"/>
    <n v="649"/>
    <n v="581.65"/>
    <x v="1"/>
    <x v="0"/>
    <x v="0"/>
    <n v="25"/>
    <n v="4.7"/>
  </r>
  <r>
    <x v="4013"/>
    <x v="292"/>
    <x v="9"/>
    <n v="10"/>
    <n v="20"/>
    <s v="Monday"/>
    <x v="0"/>
    <x v="5"/>
    <x v="8"/>
    <s v="Cold Coffee"/>
    <x v="1"/>
    <n v="3"/>
    <n v="408"/>
    <n v="40.799999999999997"/>
    <n v="0"/>
    <n v="1224"/>
    <n v="1183.2"/>
    <x v="0"/>
    <x v="0"/>
    <x v="1"/>
    <n v="27"/>
    <n v="4"/>
  </r>
  <r>
    <x v="4014"/>
    <x v="292"/>
    <x v="9"/>
    <n v="10"/>
    <n v="20"/>
    <s v="Monday"/>
    <x v="1"/>
    <x v="11"/>
    <x v="8"/>
    <s v="Veg Burger"/>
    <x v="3"/>
    <n v="2"/>
    <n v="526"/>
    <n v="105.2"/>
    <n v="40"/>
    <n v="1052"/>
    <n v="986.8"/>
    <x v="1"/>
    <x v="0"/>
    <x v="1"/>
    <n v="65"/>
    <n v="5"/>
  </r>
  <r>
    <x v="4015"/>
    <x v="292"/>
    <x v="9"/>
    <n v="10"/>
    <n v="20"/>
    <s v="Monday"/>
    <x v="9"/>
    <x v="6"/>
    <x v="3"/>
    <s v="Pasta"/>
    <x v="2"/>
    <n v="1"/>
    <n v="849"/>
    <n v="84.9"/>
    <n v="40"/>
    <n v="849"/>
    <n v="804.1"/>
    <x v="1"/>
    <x v="0"/>
    <x v="0"/>
    <n v="50"/>
    <n v="3.6"/>
  </r>
  <r>
    <x v="4016"/>
    <x v="292"/>
    <x v="9"/>
    <n v="10"/>
    <n v="20"/>
    <s v="Monday"/>
    <x v="4"/>
    <x v="13"/>
    <x v="3"/>
    <s v="Veg Pizza"/>
    <x v="1"/>
    <n v="2"/>
    <n v="189"/>
    <n v="28.35"/>
    <n v="30"/>
    <n v="378"/>
    <n v="379.65"/>
    <x v="2"/>
    <x v="0"/>
    <x v="1"/>
    <n v="57"/>
    <n v="4.2"/>
  </r>
  <r>
    <x v="4017"/>
    <x v="292"/>
    <x v="9"/>
    <n v="10"/>
    <n v="20"/>
    <s v="Monday"/>
    <x v="2"/>
    <x v="3"/>
    <x v="6"/>
    <s v="Chicken Momos"/>
    <x v="0"/>
    <n v="1"/>
    <n v="157"/>
    <n v="0"/>
    <n v="30"/>
    <n v="157"/>
    <n v="187"/>
    <x v="2"/>
    <x v="0"/>
    <x v="1"/>
    <n v="25"/>
    <n v="4.3"/>
  </r>
  <r>
    <x v="4018"/>
    <x v="292"/>
    <x v="9"/>
    <n v="10"/>
    <n v="20"/>
    <s v="Monday"/>
    <x v="5"/>
    <x v="12"/>
    <x v="7"/>
    <s v="Chicken Momos"/>
    <x v="1"/>
    <n v="1"/>
    <n v="329"/>
    <n v="82.25"/>
    <n v="30"/>
    <n v="329"/>
    <n v="276.75"/>
    <x v="1"/>
    <x v="0"/>
    <x v="1"/>
    <n v="32"/>
    <n v="3.1"/>
  </r>
  <r>
    <x v="4019"/>
    <x v="292"/>
    <x v="9"/>
    <n v="10"/>
    <n v="20"/>
    <s v="Monday"/>
    <x v="0"/>
    <x v="13"/>
    <x v="6"/>
    <s v="Fried Rice"/>
    <x v="1"/>
    <n v="1"/>
    <n v="392"/>
    <n v="58.8"/>
    <n v="60"/>
    <n v="392"/>
    <n v="393.2"/>
    <x v="1"/>
    <x v="1"/>
    <x v="1"/>
    <n v="36"/>
    <m/>
  </r>
  <r>
    <x v="4020"/>
    <x v="292"/>
    <x v="9"/>
    <n v="10"/>
    <n v="20"/>
    <s v="Monday"/>
    <x v="2"/>
    <x v="2"/>
    <x v="2"/>
    <s v="Idli Sambar"/>
    <x v="1"/>
    <n v="3"/>
    <n v="714"/>
    <n v="107.1"/>
    <n v="30"/>
    <n v="2142"/>
    <n v="2064.9"/>
    <x v="1"/>
    <x v="2"/>
    <x v="1"/>
    <n v="35"/>
    <m/>
  </r>
  <r>
    <x v="4021"/>
    <x v="293"/>
    <x v="9"/>
    <n v="10"/>
    <n v="21"/>
    <s v="Tuesday"/>
    <x v="3"/>
    <x v="5"/>
    <x v="2"/>
    <s v="Masala Dosa"/>
    <x v="1"/>
    <n v="1"/>
    <n v="585"/>
    <n v="0"/>
    <n v="40"/>
    <n v="585"/>
    <n v="625"/>
    <x v="1"/>
    <x v="0"/>
    <x v="1"/>
    <n v="55"/>
    <n v="4.9000000000000004"/>
  </r>
  <r>
    <x v="4022"/>
    <x v="293"/>
    <x v="9"/>
    <n v="10"/>
    <n v="21"/>
    <s v="Tuesday"/>
    <x v="4"/>
    <x v="13"/>
    <x v="7"/>
    <s v="Veg Biryani"/>
    <x v="1"/>
    <n v="2"/>
    <n v="350"/>
    <n v="87.5"/>
    <n v="50"/>
    <n v="700"/>
    <n v="662.5"/>
    <x v="0"/>
    <x v="0"/>
    <x v="1"/>
    <n v="32"/>
    <n v="4.7"/>
  </r>
  <r>
    <x v="4023"/>
    <x v="293"/>
    <x v="9"/>
    <n v="10"/>
    <n v="21"/>
    <s v="Tuesday"/>
    <x v="0"/>
    <x v="8"/>
    <x v="9"/>
    <s v="Veg Biryani"/>
    <x v="1"/>
    <n v="2"/>
    <n v="258"/>
    <n v="38.700000000000003"/>
    <n v="30"/>
    <n v="516"/>
    <n v="507.3"/>
    <x v="1"/>
    <x v="0"/>
    <x v="1"/>
    <n v="42"/>
    <n v="4.0999999999999996"/>
  </r>
  <r>
    <x v="4024"/>
    <x v="293"/>
    <x v="9"/>
    <n v="10"/>
    <n v="21"/>
    <s v="Tuesday"/>
    <x v="5"/>
    <x v="10"/>
    <x v="3"/>
    <s v="Veg Burger"/>
    <x v="1"/>
    <n v="2"/>
    <n v="248"/>
    <n v="37.200000000000003"/>
    <n v="40"/>
    <n v="496"/>
    <n v="498.8"/>
    <x v="1"/>
    <x v="0"/>
    <x v="1"/>
    <n v="65"/>
    <n v="3.5"/>
  </r>
  <r>
    <x v="4025"/>
    <x v="293"/>
    <x v="9"/>
    <n v="10"/>
    <n v="21"/>
    <s v="Tuesday"/>
    <x v="4"/>
    <x v="0"/>
    <x v="1"/>
    <s v="Chocolate Cake"/>
    <x v="1"/>
    <n v="1"/>
    <n v="684"/>
    <n v="0"/>
    <n v="0"/>
    <n v="684"/>
    <n v="684"/>
    <x v="1"/>
    <x v="2"/>
    <x v="1"/>
    <n v="69"/>
    <m/>
  </r>
  <r>
    <x v="4026"/>
    <x v="293"/>
    <x v="9"/>
    <n v="10"/>
    <n v="21"/>
    <s v="Tuesday"/>
    <x v="6"/>
    <x v="12"/>
    <x v="6"/>
    <s v="Masala Dosa"/>
    <x v="1"/>
    <n v="3"/>
    <n v="382"/>
    <n v="76.400000000000006"/>
    <n v="40"/>
    <n v="1146"/>
    <n v="1109.5999999999999"/>
    <x v="3"/>
    <x v="0"/>
    <x v="1"/>
    <n v="36"/>
    <n v="4.2"/>
  </r>
  <r>
    <x v="4027"/>
    <x v="293"/>
    <x v="9"/>
    <n v="10"/>
    <n v="21"/>
    <s v="Tuesday"/>
    <x v="8"/>
    <x v="11"/>
    <x v="6"/>
    <s v="Chicken Burger"/>
    <x v="1"/>
    <n v="1"/>
    <n v="810"/>
    <n v="121.5"/>
    <n v="30"/>
    <n v="810"/>
    <n v="718.5"/>
    <x v="1"/>
    <x v="2"/>
    <x v="1"/>
    <n v="27"/>
    <m/>
  </r>
  <r>
    <x v="4028"/>
    <x v="293"/>
    <x v="9"/>
    <n v="10"/>
    <n v="21"/>
    <s v="Tuesday"/>
    <x v="5"/>
    <x v="9"/>
    <x v="3"/>
    <s v="Fried Rice"/>
    <x v="3"/>
    <n v="1"/>
    <n v="351"/>
    <n v="70.2"/>
    <n v="60"/>
    <n v="351"/>
    <n v="340.8"/>
    <x v="1"/>
    <x v="3"/>
    <x v="1"/>
    <n v="66"/>
    <m/>
  </r>
  <r>
    <x v="4029"/>
    <x v="293"/>
    <x v="9"/>
    <n v="10"/>
    <n v="21"/>
    <s v="Tuesday"/>
    <x v="4"/>
    <x v="11"/>
    <x v="8"/>
    <s v="Veg Pizza"/>
    <x v="1"/>
    <n v="1"/>
    <n v="299"/>
    <n v="44.85"/>
    <n v="0"/>
    <n v="299"/>
    <n v="254.15"/>
    <x v="0"/>
    <x v="0"/>
    <x v="0"/>
    <n v="56"/>
    <n v="3.5"/>
  </r>
  <r>
    <x v="4030"/>
    <x v="293"/>
    <x v="9"/>
    <n v="10"/>
    <n v="21"/>
    <s v="Tuesday"/>
    <x v="2"/>
    <x v="1"/>
    <x v="7"/>
    <s v="Veg Burger"/>
    <x v="2"/>
    <n v="1"/>
    <n v="844"/>
    <n v="168.8"/>
    <n v="40"/>
    <n v="844"/>
    <n v="715.2"/>
    <x v="0"/>
    <x v="0"/>
    <x v="1"/>
    <n v="53"/>
    <n v="5"/>
  </r>
  <r>
    <x v="4031"/>
    <x v="293"/>
    <x v="9"/>
    <n v="10"/>
    <n v="21"/>
    <s v="Tuesday"/>
    <x v="4"/>
    <x v="1"/>
    <x v="2"/>
    <s v="Chicken Momos"/>
    <x v="1"/>
    <n v="1"/>
    <n v="532"/>
    <n v="26.6"/>
    <n v="0"/>
    <n v="532"/>
    <n v="505.4"/>
    <x v="2"/>
    <x v="0"/>
    <x v="0"/>
    <n v="40"/>
    <n v="4.5"/>
  </r>
  <r>
    <x v="4032"/>
    <x v="293"/>
    <x v="9"/>
    <n v="10"/>
    <n v="21"/>
    <s v="Tuesday"/>
    <x v="4"/>
    <x v="9"/>
    <x v="0"/>
    <s v="Chicken Momos"/>
    <x v="1"/>
    <n v="2"/>
    <n v="148"/>
    <n v="0"/>
    <n v="0"/>
    <n v="296"/>
    <n v="296"/>
    <x v="4"/>
    <x v="0"/>
    <x v="0"/>
    <n v="20"/>
    <n v="3.8"/>
  </r>
  <r>
    <x v="4033"/>
    <x v="293"/>
    <x v="9"/>
    <n v="10"/>
    <n v="21"/>
    <s v="Tuesday"/>
    <x v="7"/>
    <x v="7"/>
    <x v="9"/>
    <s v="Veg Momos"/>
    <x v="1"/>
    <n v="2"/>
    <n v="205"/>
    <n v="20.5"/>
    <n v="20"/>
    <n v="410"/>
    <n v="409.5"/>
    <x v="4"/>
    <x v="0"/>
    <x v="1"/>
    <n v="32"/>
    <n v="4.5999999999999996"/>
  </r>
  <r>
    <x v="4034"/>
    <x v="293"/>
    <x v="9"/>
    <n v="10"/>
    <n v="21"/>
    <s v="Tuesday"/>
    <x v="8"/>
    <x v="6"/>
    <x v="3"/>
    <s v="Chicken Pizza"/>
    <x v="1"/>
    <n v="2"/>
    <n v="687"/>
    <n v="171.75"/>
    <n v="30"/>
    <n v="1374"/>
    <n v="1232.25"/>
    <x v="1"/>
    <x v="2"/>
    <x v="0"/>
    <n v="31"/>
    <m/>
  </r>
  <r>
    <x v="4035"/>
    <x v="293"/>
    <x v="9"/>
    <n v="10"/>
    <n v="21"/>
    <s v="Tuesday"/>
    <x v="9"/>
    <x v="8"/>
    <x v="2"/>
    <s v="Chicken Biryani"/>
    <x v="2"/>
    <n v="2"/>
    <n v="518"/>
    <n v="51.8"/>
    <n v="30"/>
    <n v="1036"/>
    <n v="1014.2"/>
    <x v="1"/>
    <x v="0"/>
    <x v="0"/>
    <n v="69"/>
    <n v="3.7"/>
  </r>
  <r>
    <x v="4036"/>
    <x v="294"/>
    <x v="9"/>
    <n v="10"/>
    <n v="22"/>
    <s v="Wednesday"/>
    <x v="6"/>
    <x v="2"/>
    <x v="2"/>
    <s v="Fried Rice"/>
    <x v="1"/>
    <n v="2"/>
    <n v="613"/>
    <n v="122.6"/>
    <n v="0"/>
    <n v="1226"/>
    <n v="1103.4000000000001"/>
    <x v="0"/>
    <x v="0"/>
    <x v="1"/>
    <n v="43"/>
    <n v="3.5"/>
  </r>
  <r>
    <x v="4037"/>
    <x v="294"/>
    <x v="9"/>
    <n v="10"/>
    <n v="22"/>
    <s v="Wednesday"/>
    <x v="9"/>
    <x v="3"/>
    <x v="2"/>
    <s v="Masala Dosa"/>
    <x v="1"/>
    <n v="1"/>
    <n v="415"/>
    <n v="103.75"/>
    <n v="40"/>
    <n v="415"/>
    <n v="351.25"/>
    <x v="4"/>
    <x v="0"/>
    <x v="0"/>
    <n v="32"/>
    <n v="3.6"/>
  </r>
  <r>
    <x v="4038"/>
    <x v="294"/>
    <x v="9"/>
    <n v="10"/>
    <n v="22"/>
    <s v="Wednesday"/>
    <x v="5"/>
    <x v="9"/>
    <x v="7"/>
    <s v="Veg Momos"/>
    <x v="2"/>
    <n v="1"/>
    <n v="280"/>
    <n v="28"/>
    <n v="50"/>
    <n v="280"/>
    <n v="302"/>
    <x v="1"/>
    <x v="0"/>
    <x v="0"/>
    <n v="57"/>
    <n v="4"/>
  </r>
  <r>
    <x v="4039"/>
    <x v="294"/>
    <x v="9"/>
    <n v="10"/>
    <n v="22"/>
    <s v="Wednesday"/>
    <x v="7"/>
    <x v="5"/>
    <x v="2"/>
    <s v="Veg Biryani"/>
    <x v="2"/>
    <n v="3"/>
    <n v="611"/>
    <n v="61.1"/>
    <n v="50"/>
    <n v="1833"/>
    <n v="1821.9"/>
    <x v="1"/>
    <x v="0"/>
    <x v="1"/>
    <n v="64"/>
    <n v="4.2"/>
  </r>
  <r>
    <x v="4040"/>
    <x v="294"/>
    <x v="9"/>
    <n v="10"/>
    <n v="22"/>
    <s v="Wednesday"/>
    <x v="1"/>
    <x v="7"/>
    <x v="1"/>
    <s v="Chicken Burger"/>
    <x v="3"/>
    <n v="3"/>
    <n v="264"/>
    <n v="52.8"/>
    <n v="40"/>
    <n v="792"/>
    <n v="779.2"/>
    <x v="0"/>
    <x v="0"/>
    <x v="1"/>
    <n v="34"/>
    <n v="3.8"/>
  </r>
  <r>
    <x v="4041"/>
    <x v="294"/>
    <x v="9"/>
    <n v="10"/>
    <n v="22"/>
    <s v="Wednesday"/>
    <x v="3"/>
    <x v="5"/>
    <x v="5"/>
    <s v="Chicken Burger"/>
    <x v="0"/>
    <n v="1"/>
    <n v="552"/>
    <n v="110.4"/>
    <n v="30"/>
    <n v="552"/>
    <n v="471.6"/>
    <x v="1"/>
    <x v="0"/>
    <x v="1"/>
    <n v="26"/>
    <n v="3.3"/>
  </r>
  <r>
    <x v="4042"/>
    <x v="294"/>
    <x v="9"/>
    <n v="10"/>
    <n v="22"/>
    <s v="Wednesday"/>
    <x v="0"/>
    <x v="11"/>
    <x v="5"/>
    <s v="Chicken Pizza"/>
    <x v="1"/>
    <n v="1"/>
    <n v="263"/>
    <n v="26.3"/>
    <n v="50"/>
    <n v="263"/>
    <n v="286.7"/>
    <x v="1"/>
    <x v="0"/>
    <x v="0"/>
    <n v="68"/>
    <n v="4.9000000000000004"/>
  </r>
  <r>
    <x v="4043"/>
    <x v="294"/>
    <x v="9"/>
    <n v="10"/>
    <n v="22"/>
    <s v="Wednesday"/>
    <x v="6"/>
    <x v="4"/>
    <x v="1"/>
    <s v="Cold Coffee"/>
    <x v="2"/>
    <n v="1"/>
    <n v="762"/>
    <n v="76.2"/>
    <n v="50"/>
    <n v="762"/>
    <n v="735.8"/>
    <x v="1"/>
    <x v="0"/>
    <x v="1"/>
    <n v="42"/>
    <n v="5"/>
  </r>
  <r>
    <x v="4044"/>
    <x v="294"/>
    <x v="9"/>
    <n v="10"/>
    <n v="22"/>
    <s v="Wednesday"/>
    <x v="5"/>
    <x v="9"/>
    <x v="1"/>
    <s v="Paneer Butter Masala"/>
    <x v="0"/>
    <n v="3"/>
    <n v="510"/>
    <n v="25.5"/>
    <n v="20"/>
    <n v="1530"/>
    <n v="1524.5"/>
    <x v="3"/>
    <x v="0"/>
    <x v="1"/>
    <n v="66"/>
    <n v="4.0999999999999996"/>
  </r>
  <r>
    <x v="4045"/>
    <x v="294"/>
    <x v="9"/>
    <n v="10"/>
    <n v="22"/>
    <s v="Wednesday"/>
    <x v="1"/>
    <x v="10"/>
    <x v="8"/>
    <s v="Masala Dosa"/>
    <x v="1"/>
    <n v="2"/>
    <n v="652"/>
    <n v="0"/>
    <n v="30"/>
    <n v="1304"/>
    <n v="1334"/>
    <x v="1"/>
    <x v="0"/>
    <x v="1"/>
    <n v="56"/>
    <n v="2.2999999999999998"/>
  </r>
  <r>
    <x v="4046"/>
    <x v="294"/>
    <x v="9"/>
    <n v="10"/>
    <n v="22"/>
    <s v="Wednesday"/>
    <x v="5"/>
    <x v="7"/>
    <x v="3"/>
    <s v="Veg Burger"/>
    <x v="1"/>
    <n v="1"/>
    <n v="673"/>
    <n v="0"/>
    <n v="60"/>
    <n v="673"/>
    <n v="733"/>
    <x v="2"/>
    <x v="0"/>
    <x v="1"/>
    <n v="53"/>
    <n v="4.7"/>
  </r>
  <r>
    <x v="4047"/>
    <x v="294"/>
    <x v="9"/>
    <n v="10"/>
    <n v="22"/>
    <s v="Wednesday"/>
    <x v="5"/>
    <x v="14"/>
    <x v="0"/>
    <s v="Idli Sambar"/>
    <x v="2"/>
    <n v="2"/>
    <n v="610"/>
    <n v="91.5"/>
    <n v="60"/>
    <n v="1220"/>
    <n v="1188.5"/>
    <x v="1"/>
    <x v="3"/>
    <x v="1"/>
    <n v="35"/>
    <m/>
  </r>
  <r>
    <x v="4048"/>
    <x v="294"/>
    <x v="9"/>
    <n v="10"/>
    <n v="22"/>
    <s v="Wednesday"/>
    <x v="3"/>
    <x v="5"/>
    <x v="2"/>
    <s v="Cold Coffee"/>
    <x v="1"/>
    <n v="3"/>
    <n v="149"/>
    <n v="7.45"/>
    <n v="40"/>
    <n v="447"/>
    <n v="479.55"/>
    <x v="2"/>
    <x v="0"/>
    <x v="1"/>
    <n v="53"/>
    <n v="3.3"/>
  </r>
  <r>
    <x v="4049"/>
    <x v="294"/>
    <x v="9"/>
    <n v="10"/>
    <n v="22"/>
    <s v="Wednesday"/>
    <x v="4"/>
    <x v="2"/>
    <x v="4"/>
    <s v="Masala Dosa"/>
    <x v="1"/>
    <n v="1"/>
    <n v="834"/>
    <n v="0"/>
    <n v="50"/>
    <n v="834"/>
    <n v="884"/>
    <x v="3"/>
    <x v="0"/>
    <x v="0"/>
    <n v="22"/>
    <n v="3.3"/>
  </r>
  <r>
    <x v="4050"/>
    <x v="294"/>
    <x v="9"/>
    <n v="10"/>
    <n v="22"/>
    <s v="Wednesday"/>
    <x v="3"/>
    <x v="2"/>
    <x v="0"/>
    <s v="Paneer Butter Masala"/>
    <x v="3"/>
    <n v="1"/>
    <n v="658"/>
    <n v="131.6"/>
    <n v="0"/>
    <n v="658"/>
    <n v="526.4"/>
    <x v="1"/>
    <x v="2"/>
    <x v="1"/>
    <n v="67"/>
    <m/>
  </r>
  <r>
    <x v="4051"/>
    <x v="294"/>
    <x v="9"/>
    <n v="10"/>
    <n v="22"/>
    <s v="Wednesday"/>
    <x v="8"/>
    <x v="10"/>
    <x v="6"/>
    <s v="Idli Sambar"/>
    <x v="1"/>
    <n v="1"/>
    <n v="586"/>
    <n v="87.9"/>
    <n v="20"/>
    <n v="586"/>
    <n v="518.1"/>
    <x v="1"/>
    <x v="1"/>
    <x v="1"/>
    <n v="56"/>
    <m/>
  </r>
  <r>
    <x v="4052"/>
    <x v="295"/>
    <x v="9"/>
    <n v="10"/>
    <n v="23"/>
    <s v="Thursday"/>
    <x v="5"/>
    <x v="14"/>
    <x v="8"/>
    <s v="Paneer Butter Masala"/>
    <x v="2"/>
    <n v="2"/>
    <n v="494"/>
    <n v="49.4"/>
    <n v="0"/>
    <n v="988"/>
    <n v="938.6"/>
    <x v="1"/>
    <x v="0"/>
    <x v="1"/>
    <n v="49"/>
    <n v="2.7"/>
  </r>
  <r>
    <x v="4053"/>
    <x v="295"/>
    <x v="9"/>
    <n v="10"/>
    <n v="23"/>
    <s v="Thursday"/>
    <x v="4"/>
    <x v="7"/>
    <x v="6"/>
    <s v="Veg Pizza"/>
    <x v="1"/>
    <n v="2"/>
    <n v="607"/>
    <n v="0"/>
    <n v="50"/>
    <n v="1214"/>
    <n v="1264"/>
    <x v="0"/>
    <x v="0"/>
    <x v="1"/>
    <n v="55"/>
    <n v="4.7"/>
  </r>
  <r>
    <x v="4054"/>
    <x v="295"/>
    <x v="9"/>
    <n v="10"/>
    <n v="23"/>
    <s v="Thursday"/>
    <x v="3"/>
    <x v="9"/>
    <x v="9"/>
    <s v="Masala Dosa"/>
    <x v="1"/>
    <n v="2"/>
    <n v="753"/>
    <n v="0"/>
    <n v="30"/>
    <n v="1506"/>
    <n v="1536"/>
    <x v="1"/>
    <x v="0"/>
    <x v="0"/>
    <n v="36"/>
    <n v="4.2"/>
  </r>
  <r>
    <x v="4055"/>
    <x v="295"/>
    <x v="9"/>
    <n v="10"/>
    <n v="23"/>
    <s v="Thursday"/>
    <x v="4"/>
    <x v="12"/>
    <x v="2"/>
    <s v="Chicken Biryani"/>
    <x v="1"/>
    <n v="1"/>
    <n v="309"/>
    <n v="46.35"/>
    <n v="70"/>
    <n v="309"/>
    <n v="332.65"/>
    <x v="0"/>
    <x v="0"/>
    <x v="1"/>
    <n v="50"/>
    <n v="4.8"/>
  </r>
  <r>
    <x v="4056"/>
    <x v="295"/>
    <x v="9"/>
    <n v="10"/>
    <n v="23"/>
    <s v="Thursday"/>
    <x v="6"/>
    <x v="5"/>
    <x v="8"/>
    <s v="Pasta"/>
    <x v="1"/>
    <n v="1"/>
    <n v="495"/>
    <n v="49.5"/>
    <n v="60"/>
    <n v="495"/>
    <n v="505.5"/>
    <x v="1"/>
    <x v="0"/>
    <x v="1"/>
    <n v="63"/>
    <n v="4.2"/>
  </r>
  <r>
    <x v="4057"/>
    <x v="295"/>
    <x v="9"/>
    <n v="10"/>
    <n v="23"/>
    <s v="Thursday"/>
    <x v="2"/>
    <x v="8"/>
    <x v="1"/>
    <s v="Masala Dosa"/>
    <x v="1"/>
    <n v="1"/>
    <n v="598"/>
    <n v="89.7"/>
    <n v="50"/>
    <n v="598"/>
    <n v="558.29999999999995"/>
    <x v="1"/>
    <x v="0"/>
    <x v="0"/>
    <n v="37"/>
    <n v="4.5"/>
  </r>
  <r>
    <x v="4058"/>
    <x v="295"/>
    <x v="9"/>
    <n v="10"/>
    <n v="23"/>
    <s v="Thursday"/>
    <x v="1"/>
    <x v="1"/>
    <x v="7"/>
    <s v="Pasta"/>
    <x v="1"/>
    <n v="2"/>
    <n v="141"/>
    <n v="35.25"/>
    <n v="30"/>
    <n v="282"/>
    <n v="276.75"/>
    <x v="1"/>
    <x v="0"/>
    <x v="1"/>
    <n v="70"/>
    <n v="3.8"/>
  </r>
  <r>
    <x v="4059"/>
    <x v="295"/>
    <x v="9"/>
    <n v="10"/>
    <n v="23"/>
    <s v="Thursday"/>
    <x v="7"/>
    <x v="5"/>
    <x v="1"/>
    <s v="Paneer Butter Masala"/>
    <x v="1"/>
    <n v="2"/>
    <n v="593"/>
    <n v="59.3"/>
    <n v="0"/>
    <n v="1186"/>
    <n v="1126.7"/>
    <x v="1"/>
    <x v="0"/>
    <x v="0"/>
    <n v="67"/>
    <n v="3.4"/>
  </r>
  <r>
    <x v="4060"/>
    <x v="295"/>
    <x v="9"/>
    <n v="10"/>
    <n v="23"/>
    <s v="Thursday"/>
    <x v="0"/>
    <x v="4"/>
    <x v="0"/>
    <s v="Cold Coffee"/>
    <x v="1"/>
    <n v="3"/>
    <n v="636"/>
    <n v="159"/>
    <n v="40"/>
    <n v="1908"/>
    <n v="1789"/>
    <x v="1"/>
    <x v="2"/>
    <x v="1"/>
    <n v="48"/>
    <m/>
  </r>
  <r>
    <x v="4061"/>
    <x v="295"/>
    <x v="9"/>
    <n v="10"/>
    <n v="23"/>
    <s v="Thursday"/>
    <x v="5"/>
    <x v="7"/>
    <x v="4"/>
    <s v="Chocolate Cake"/>
    <x v="1"/>
    <n v="2"/>
    <n v="825"/>
    <n v="82.5"/>
    <n v="30"/>
    <n v="1650"/>
    <n v="1597.5"/>
    <x v="2"/>
    <x v="0"/>
    <x v="1"/>
    <n v="39"/>
    <n v="4.3"/>
  </r>
  <r>
    <x v="4062"/>
    <x v="295"/>
    <x v="9"/>
    <n v="10"/>
    <n v="23"/>
    <s v="Thursday"/>
    <x v="4"/>
    <x v="10"/>
    <x v="6"/>
    <s v="Masala Dosa"/>
    <x v="1"/>
    <n v="1"/>
    <n v="842"/>
    <n v="210.5"/>
    <n v="60"/>
    <n v="842"/>
    <n v="691.5"/>
    <x v="1"/>
    <x v="0"/>
    <x v="1"/>
    <n v="23"/>
    <n v="4.2"/>
  </r>
  <r>
    <x v="4063"/>
    <x v="295"/>
    <x v="9"/>
    <n v="10"/>
    <n v="23"/>
    <s v="Thursday"/>
    <x v="9"/>
    <x v="13"/>
    <x v="6"/>
    <s v="French Fries"/>
    <x v="0"/>
    <n v="3"/>
    <n v="128"/>
    <n v="6.4"/>
    <n v="40"/>
    <n v="384"/>
    <n v="417.6"/>
    <x v="3"/>
    <x v="0"/>
    <x v="1"/>
    <n v="61"/>
    <n v="2.7"/>
  </r>
  <r>
    <x v="4064"/>
    <x v="296"/>
    <x v="9"/>
    <n v="10"/>
    <n v="24"/>
    <s v="Friday"/>
    <x v="6"/>
    <x v="9"/>
    <x v="9"/>
    <s v="Masala Dosa"/>
    <x v="1"/>
    <n v="1"/>
    <n v="381"/>
    <n v="76.2"/>
    <n v="50"/>
    <n v="381"/>
    <n v="354.8"/>
    <x v="2"/>
    <x v="0"/>
    <x v="1"/>
    <n v="46"/>
    <n v="2.9"/>
  </r>
  <r>
    <x v="4065"/>
    <x v="296"/>
    <x v="9"/>
    <n v="10"/>
    <n v="24"/>
    <s v="Friday"/>
    <x v="3"/>
    <x v="9"/>
    <x v="9"/>
    <s v="Idli Sambar"/>
    <x v="1"/>
    <n v="3"/>
    <n v="160"/>
    <n v="8"/>
    <n v="30"/>
    <n v="480"/>
    <n v="502"/>
    <x v="0"/>
    <x v="0"/>
    <x v="1"/>
    <n v="63"/>
    <n v="4.4000000000000004"/>
  </r>
  <r>
    <x v="4066"/>
    <x v="296"/>
    <x v="9"/>
    <n v="10"/>
    <n v="24"/>
    <s v="Friday"/>
    <x v="2"/>
    <x v="6"/>
    <x v="9"/>
    <s v="French Fries"/>
    <x v="1"/>
    <n v="1"/>
    <n v="657"/>
    <n v="65.7"/>
    <n v="50"/>
    <n v="657"/>
    <n v="641.29999999999995"/>
    <x v="1"/>
    <x v="2"/>
    <x v="0"/>
    <n v="50"/>
    <m/>
  </r>
  <r>
    <x v="4067"/>
    <x v="296"/>
    <x v="9"/>
    <n v="10"/>
    <n v="24"/>
    <s v="Friday"/>
    <x v="4"/>
    <x v="10"/>
    <x v="2"/>
    <s v="Pasta"/>
    <x v="1"/>
    <n v="2"/>
    <n v="818"/>
    <n v="204.5"/>
    <n v="60"/>
    <n v="1636"/>
    <n v="1491.5"/>
    <x v="1"/>
    <x v="0"/>
    <x v="1"/>
    <n v="53"/>
    <n v="3.6"/>
  </r>
  <r>
    <x v="4068"/>
    <x v="297"/>
    <x v="9"/>
    <n v="10"/>
    <n v="25"/>
    <s v="Saturday"/>
    <x v="8"/>
    <x v="5"/>
    <x v="1"/>
    <s v="Chocolate Cake"/>
    <x v="1"/>
    <n v="1"/>
    <n v="156"/>
    <n v="15.6"/>
    <n v="30"/>
    <n v="156"/>
    <n v="170.4"/>
    <x v="1"/>
    <x v="0"/>
    <x v="1"/>
    <n v="19"/>
    <n v="4.5"/>
  </r>
  <r>
    <x v="4069"/>
    <x v="297"/>
    <x v="9"/>
    <n v="10"/>
    <n v="25"/>
    <s v="Saturday"/>
    <x v="5"/>
    <x v="4"/>
    <x v="3"/>
    <s v="Idli Sambar"/>
    <x v="1"/>
    <n v="3"/>
    <n v="886"/>
    <n v="132.9"/>
    <n v="20"/>
    <n v="2658"/>
    <n v="2545.1"/>
    <x v="0"/>
    <x v="0"/>
    <x v="1"/>
    <n v="35"/>
    <n v="4.0999999999999996"/>
  </r>
  <r>
    <x v="4070"/>
    <x v="297"/>
    <x v="9"/>
    <n v="10"/>
    <n v="25"/>
    <s v="Saturday"/>
    <x v="9"/>
    <x v="0"/>
    <x v="9"/>
    <s v="Chicken Pizza"/>
    <x v="1"/>
    <n v="2"/>
    <n v="245"/>
    <n v="12.25"/>
    <n v="30"/>
    <n v="490"/>
    <n v="507.75"/>
    <x v="0"/>
    <x v="1"/>
    <x v="1"/>
    <n v="31"/>
    <m/>
  </r>
  <r>
    <x v="4071"/>
    <x v="297"/>
    <x v="9"/>
    <n v="10"/>
    <n v="25"/>
    <s v="Saturday"/>
    <x v="1"/>
    <x v="5"/>
    <x v="1"/>
    <s v="Cold Coffee"/>
    <x v="2"/>
    <n v="3"/>
    <n v="882"/>
    <n v="88.2"/>
    <n v="40"/>
    <n v="2646"/>
    <n v="2597.8000000000002"/>
    <x v="0"/>
    <x v="0"/>
    <x v="1"/>
    <n v="41"/>
    <n v="3.3"/>
  </r>
  <r>
    <x v="4072"/>
    <x v="297"/>
    <x v="9"/>
    <n v="10"/>
    <n v="25"/>
    <s v="Saturday"/>
    <x v="5"/>
    <x v="2"/>
    <x v="9"/>
    <s v="Cold Coffee"/>
    <x v="1"/>
    <n v="1"/>
    <n v="882"/>
    <n v="88.2"/>
    <n v="30"/>
    <n v="882"/>
    <n v="823.8"/>
    <x v="0"/>
    <x v="0"/>
    <x v="0"/>
    <n v="46"/>
    <n v="4.0999999999999996"/>
  </r>
  <r>
    <x v="4073"/>
    <x v="297"/>
    <x v="9"/>
    <n v="10"/>
    <n v="25"/>
    <s v="Saturday"/>
    <x v="1"/>
    <x v="9"/>
    <x v="3"/>
    <s v="Veg Pizza"/>
    <x v="1"/>
    <n v="1"/>
    <n v="395"/>
    <n v="59.25"/>
    <n v="60"/>
    <n v="395"/>
    <n v="395.75"/>
    <x v="1"/>
    <x v="0"/>
    <x v="0"/>
    <n v="47"/>
    <n v="3.6"/>
  </r>
  <r>
    <x v="4074"/>
    <x v="298"/>
    <x v="9"/>
    <n v="10"/>
    <n v="26"/>
    <s v="Sunday"/>
    <x v="3"/>
    <x v="3"/>
    <x v="5"/>
    <s v="Masala Dosa"/>
    <x v="1"/>
    <n v="1"/>
    <n v="671"/>
    <n v="67.099999999999994"/>
    <n v="50"/>
    <n v="671"/>
    <n v="653.9"/>
    <x v="1"/>
    <x v="0"/>
    <x v="1"/>
    <n v="30"/>
    <n v="4.5999999999999996"/>
  </r>
  <r>
    <x v="4075"/>
    <x v="298"/>
    <x v="9"/>
    <n v="10"/>
    <n v="26"/>
    <s v="Sunday"/>
    <x v="2"/>
    <x v="1"/>
    <x v="3"/>
    <s v="Masala Dosa"/>
    <x v="3"/>
    <n v="2"/>
    <n v="401"/>
    <n v="60.15"/>
    <n v="70"/>
    <n v="802"/>
    <n v="811.85"/>
    <x v="1"/>
    <x v="1"/>
    <x v="1"/>
    <n v="50"/>
    <m/>
  </r>
  <r>
    <x v="4076"/>
    <x v="298"/>
    <x v="9"/>
    <n v="10"/>
    <n v="26"/>
    <s v="Sunday"/>
    <x v="5"/>
    <x v="11"/>
    <x v="7"/>
    <s v="Pasta"/>
    <x v="3"/>
    <n v="2"/>
    <n v="626"/>
    <n v="31.3"/>
    <n v="0"/>
    <n v="1252"/>
    <n v="1220.7"/>
    <x v="1"/>
    <x v="0"/>
    <x v="1"/>
    <n v="63"/>
    <n v="4.5999999999999996"/>
  </r>
  <r>
    <x v="4077"/>
    <x v="298"/>
    <x v="9"/>
    <n v="10"/>
    <n v="26"/>
    <s v="Sunday"/>
    <x v="5"/>
    <x v="1"/>
    <x v="4"/>
    <s v="Fried Rice"/>
    <x v="1"/>
    <n v="1"/>
    <n v="384"/>
    <n v="57.6"/>
    <n v="30"/>
    <n v="384"/>
    <n v="356.4"/>
    <x v="1"/>
    <x v="0"/>
    <x v="0"/>
    <n v="51"/>
    <n v="3.8"/>
  </r>
  <r>
    <x v="4078"/>
    <x v="298"/>
    <x v="9"/>
    <n v="10"/>
    <n v="26"/>
    <s v="Sunday"/>
    <x v="7"/>
    <x v="7"/>
    <x v="6"/>
    <s v="Veg Biryani"/>
    <x v="1"/>
    <n v="1"/>
    <n v="725"/>
    <n v="181.25"/>
    <n v="50"/>
    <n v="725"/>
    <n v="593.75"/>
    <x v="4"/>
    <x v="0"/>
    <x v="1"/>
    <n v="45"/>
    <n v="4.5"/>
  </r>
  <r>
    <x v="4079"/>
    <x v="298"/>
    <x v="9"/>
    <n v="10"/>
    <n v="26"/>
    <s v="Sunday"/>
    <x v="5"/>
    <x v="13"/>
    <x v="3"/>
    <s v="Masala Dosa"/>
    <x v="1"/>
    <n v="1"/>
    <n v="460"/>
    <n v="69"/>
    <n v="20"/>
    <n v="460"/>
    <n v="411"/>
    <x v="1"/>
    <x v="0"/>
    <x v="1"/>
    <n v="48"/>
    <n v="3.8"/>
  </r>
  <r>
    <x v="4080"/>
    <x v="298"/>
    <x v="9"/>
    <n v="10"/>
    <n v="26"/>
    <s v="Sunday"/>
    <x v="2"/>
    <x v="7"/>
    <x v="1"/>
    <s v="Chicken Pizza"/>
    <x v="3"/>
    <n v="1"/>
    <n v="147"/>
    <n v="29.4"/>
    <n v="30"/>
    <n v="147"/>
    <n v="147.6"/>
    <x v="1"/>
    <x v="0"/>
    <x v="0"/>
    <n v="63"/>
    <n v="3.6"/>
  </r>
  <r>
    <x v="4081"/>
    <x v="299"/>
    <x v="9"/>
    <n v="10"/>
    <n v="27"/>
    <s v="Monday"/>
    <x v="9"/>
    <x v="13"/>
    <x v="5"/>
    <s v="Chicken Burger"/>
    <x v="1"/>
    <n v="1"/>
    <n v="691"/>
    <n v="172.75"/>
    <n v="40"/>
    <n v="691"/>
    <n v="558.25"/>
    <x v="1"/>
    <x v="0"/>
    <x v="1"/>
    <n v="49"/>
    <n v="4.2"/>
  </r>
  <r>
    <x v="4082"/>
    <x v="299"/>
    <x v="9"/>
    <n v="10"/>
    <n v="27"/>
    <s v="Monday"/>
    <x v="1"/>
    <x v="5"/>
    <x v="7"/>
    <s v="Cold Coffee"/>
    <x v="0"/>
    <n v="2"/>
    <n v="877"/>
    <n v="43.85"/>
    <n v="30"/>
    <n v="1754"/>
    <n v="1740.15"/>
    <x v="1"/>
    <x v="0"/>
    <x v="1"/>
    <n v="49"/>
    <n v="5"/>
  </r>
  <r>
    <x v="4083"/>
    <x v="299"/>
    <x v="9"/>
    <n v="10"/>
    <n v="27"/>
    <s v="Monday"/>
    <x v="8"/>
    <x v="8"/>
    <x v="2"/>
    <s v="Paneer Butter Masala"/>
    <x v="1"/>
    <n v="2"/>
    <n v="736"/>
    <n v="36.799999999999997"/>
    <n v="0"/>
    <n v="1472"/>
    <n v="1435.2"/>
    <x v="3"/>
    <x v="0"/>
    <x v="1"/>
    <n v="19"/>
    <n v="4.4000000000000004"/>
  </r>
  <r>
    <x v="4084"/>
    <x v="299"/>
    <x v="9"/>
    <n v="10"/>
    <n v="27"/>
    <s v="Monday"/>
    <x v="5"/>
    <x v="11"/>
    <x v="2"/>
    <s v="Veg Burger"/>
    <x v="1"/>
    <n v="1"/>
    <n v="694"/>
    <n v="104.1"/>
    <n v="0"/>
    <n v="694"/>
    <n v="589.9"/>
    <x v="0"/>
    <x v="0"/>
    <x v="1"/>
    <n v="69"/>
    <n v="4.4000000000000004"/>
  </r>
  <r>
    <x v="4085"/>
    <x v="299"/>
    <x v="9"/>
    <n v="10"/>
    <n v="27"/>
    <s v="Monday"/>
    <x v="3"/>
    <x v="13"/>
    <x v="0"/>
    <s v="Veg Momos"/>
    <x v="2"/>
    <n v="2"/>
    <n v="766"/>
    <n v="0"/>
    <n v="50"/>
    <n v="1532"/>
    <n v="1582"/>
    <x v="1"/>
    <x v="0"/>
    <x v="1"/>
    <n v="19"/>
    <n v="4.5"/>
  </r>
  <r>
    <x v="4086"/>
    <x v="299"/>
    <x v="9"/>
    <n v="10"/>
    <n v="27"/>
    <s v="Monday"/>
    <x v="3"/>
    <x v="14"/>
    <x v="2"/>
    <s v="Chocolate Cake"/>
    <x v="1"/>
    <n v="2"/>
    <n v="513"/>
    <n v="0"/>
    <n v="60"/>
    <n v="1026"/>
    <n v="1086"/>
    <x v="1"/>
    <x v="0"/>
    <x v="0"/>
    <n v="38"/>
    <n v="3.5"/>
  </r>
  <r>
    <x v="4087"/>
    <x v="299"/>
    <x v="9"/>
    <n v="10"/>
    <n v="27"/>
    <s v="Monday"/>
    <x v="2"/>
    <x v="4"/>
    <x v="0"/>
    <s v="Veg Burger"/>
    <x v="1"/>
    <n v="2"/>
    <n v="898"/>
    <n v="179.6"/>
    <n v="60"/>
    <n v="1796"/>
    <n v="1676.4"/>
    <x v="2"/>
    <x v="0"/>
    <x v="1"/>
    <n v="35"/>
    <n v="4.0999999999999996"/>
  </r>
  <r>
    <x v="4088"/>
    <x v="299"/>
    <x v="9"/>
    <n v="10"/>
    <n v="27"/>
    <s v="Monday"/>
    <x v="4"/>
    <x v="4"/>
    <x v="1"/>
    <s v="Chicken Biryani"/>
    <x v="0"/>
    <n v="3"/>
    <n v="336"/>
    <n v="50.4"/>
    <n v="50"/>
    <n v="1008"/>
    <n v="1007.6"/>
    <x v="1"/>
    <x v="0"/>
    <x v="0"/>
    <n v="38"/>
    <n v="4.7"/>
  </r>
  <r>
    <x v="4089"/>
    <x v="300"/>
    <x v="9"/>
    <n v="10"/>
    <n v="28"/>
    <s v="Tuesday"/>
    <x v="0"/>
    <x v="9"/>
    <x v="4"/>
    <s v="Veg Momos"/>
    <x v="1"/>
    <n v="1"/>
    <n v="519"/>
    <n v="51.9"/>
    <n v="30"/>
    <n v="519"/>
    <n v="497.1"/>
    <x v="0"/>
    <x v="0"/>
    <x v="1"/>
    <n v="52"/>
    <n v="4.5999999999999996"/>
  </r>
  <r>
    <x v="4090"/>
    <x v="300"/>
    <x v="9"/>
    <n v="10"/>
    <n v="28"/>
    <s v="Tuesday"/>
    <x v="7"/>
    <x v="13"/>
    <x v="4"/>
    <s v="Veg Burger"/>
    <x v="1"/>
    <n v="3"/>
    <n v="828"/>
    <n v="124.2"/>
    <n v="30"/>
    <n v="2484"/>
    <n v="2389.8000000000002"/>
    <x v="0"/>
    <x v="0"/>
    <x v="0"/>
    <n v="53"/>
    <n v="4.5"/>
  </r>
  <r>
    <x v="4091"/>
    <x v="300"/>
    <x v="9"/>
    <n v="10"/>
    <n v="28"/>
    <s v="Tuesday"/>
    <x v="6"/>
    <x v="11"/>
    <x v="1"/>
    <s v="Veg Pizza"/>
    <x v="1"/>
    <n v="1"/>
    <n v="707"/>
    <n v="176.75"/>
    <n v="20"/>
    <n v="707"/>
    <n v="550.25"/>
    <x v="3"/>
    <x v="0"/>
    <x v="0"/>
    <n v="47"/>
    <n v="4.0999999999999996"/>
  </r>
  <r>
    <x v="4092"/>
    <x v="300"/>
    <x v="9"/>
    <n v="10"/>
    <n v="28"/>
    <s v="Tuesday"/>
    <x v="9"/>
    <x v="10"/>
    <x v="3"/>
    <s v="Masala Dosa"/>
    <x v="1"/>
    <n v="2"/>
    <n v="376"/>
    <n v="37.6"/>
    <n v="50"/>
    <n v="752"/>
    <n v="764.4"/>
    <x v="2"/>
    <x v="0"/>
    <x v="1"/>
    <n v="31"/>
    <n v="3.9"/>
  </r>
  <r>
    <x v="4093"/>
    <x v="300"/>
    <x v="9"/>
    <n v="10"/>
    <n v="28"/>
    <s v="Tuesday"/>
    <x v="3"/>
    <x v="2"/>
    <x v="3"/>
    <s v="Pasta"/>
    <x v="1"/>
    <n v="2"/>
    <n v="355"/>
    <n v="35.5"/>
    <n v="40"/>
    <n v="710"/>
    <n v="714.5"/>
    <x v="1"/>
    <x v="0"/>
    <x v="0"/>
    <n v="40"/>
    <n v="4.5999999999999996"/>
  </r>
  <r>
    <x v="4094"/>
    <x v="300"/>
    <x v="9"/>
    <n v="10"/>
    <n v="28"/>
    <s v="Tuesday"/>
    <x v="5"/>
    <x v="5"/>
    <x v="7"/>
    <s v="Veg Momos"/>
    <x v="2"/>
    <n v="3"/>
    <n v="579"/>
    <n v="57.9"/>
    <n v="50"/>
    <n v="1737"/>
    <n v="1729.1"/>
    <x v="4"/>
    <x v="0"/>
    <x v="0"/>
    <n v="52"/>
    <n v="4.2"/>
  </r>
  <r>
    <x v="4095"/>
    <x v="300"/>
    <x v="9"/>
    <n v="10"/>
    <n v="28"/>
    <s v="Tuesday"/>
    <x v="5"/>
    <x v="2"/>
    <x v="9"/>
    <s v="French Fries"/>
    <x v="1"/>
    <n v="1"/>
    <n v="458"/>
    <n v="68.7"/>
    <n v="40"/>
    <n v="458"/>
    <n v="429.3"/>
    <x v="2"/>
    <x v="1"/>
    <x v="1"/>
    <n v="20"/>
    <m/>
  </r>
  <r>
    <x v="4096"/>
    <x v="300"/>
    <x v="9"/>
    <n v="10"/>
    <n v="28"/>
    <s v="Tuesday"/>
    <x v="2"/>
    <x v="11"/>
    <x v="7"/>
    <s v="Chicken Pizza"/>
    <x v="1"/>
    <n v="3"/>
    <n v="797"/>
    <n v="119.55"/>
    <n v="50"/>
    <n v="2391"/>
    <n v="2321.4499999999998"/>
    <x v="1"/>
    <x v="0"/>
    <x v="1"/>
    <n v="43"/>
    <n v="3.7"/>
  </r>
  <r>
    <x v="4097"/>
    <x v="300"/>
    <x v="9"/>
    <n v="10"/>
    <n v="28"/>
    <s v="Tuesday"/>
    <x v="1"/>
    <x v="8"/>
    <x v="5"/>
    <s v="Veg Burger"/>
    <x v="2"/>
    <n v="1"/>
    <n v="855"/>
    <n v="85.5"/>
    <n v="30"/>
    <n v="855"/>
    <n v="799.5"/>
    <x v="2"/>
    <x v="0"/>
    <x v="1"/>
    <n v="45"/>
    <n v="3"/>
  </r>
  <r>
    <x v="4098"/>
    <x v="300"/>
    <x v="9"/>
    <n v="10"/>
    <n v="28"/>
    <s v="Tuesday"/>
    <x v="5"/>
    <x v="8"/>
    <x v="4"/>
    <s v="Veg Burger"/>
    <x v="1"/>
    <n v="1"/>
    <n v="575"/>
    <n v="143.75"/>
    <n v="0"/>
    <n v="575"/>
    <n v="431.25"/>
    <x v="0"/>
    <x v="0"/>
    <x v="0"/>
    <n v="56"/>
    <n v="3.5"/>
  </r>
  <r>
    <x v="4099"/>
    <x v="300"/>
    <x v="9"/>
    <n v="10"/>
    <n v="28"/>
    <s v="Tuesday"/>
    <x v="1"/>
    <x v="11"/>
    <x v="5"/>
    <s v="French Fries"/>
    <x v="1"/>
    <n v="1"/>
    <n v="624"/>
    <n v="0"/>
    <n v="50"/>
    <n v="624"/>
    <n v="674"/>
    <x v="1"/>
    <x v="0"/>
    <x v="1"/>
    <n v="59"/>
    <n v="4.7"/>
  </r>
  <r>
    <x v="4100"/>
    <x v="300"/>
    <x v="9"/>
    <n v="10"/>
    <n v="28"/>
    <s v="Tuesday"/>
    <x v="4"/>
    <x v="9"/>
    <x v="1"/>
    <s v="French Fries"/>
    <x v="2"/>
    <n v="1"/>
    <n v="150"/>
    <n v="7.5"/>
    <n v="50"/>
    <n v="150"/>
    <n v="192.5"/>
    <x v="1"/>
    <x v="0"/>
    <x v="1"/>
    <n v="23"/>
    <n v="3.2"/>
  </r>
  <r>
    <x v="4101"/>
    <x v="300"/>
    <x v="9"/>
    <n v="10"/>
    <n v="28"/>
    <s v="Tuesday"/>
    <x v="0"/>
    <x v="5"/>
    <x v="7"/>
    <s v="Chocolate Cake"/>
    <x v="1"/>
    <n v="3"/>
    <n v="329"/>
    <n v="65.8"/>
    <n v="60"/>
    <n v="987"/>
    <n v="981.2"/>
    <x v="1"/>
    <x v="0"/>
    <x v="0"/>
    <n v="65"/>
    <n v="4.2"/>
  </r>
  <r>
    <x v="4102"/>
    <x v="300"/>
    <x v="9"/>
    <n v="10"/>
    <n v="28"/>
    <s v="Tuesday"/>
    <x v="2"/>
    <x v="12"/>
    <x v="7"/>
    <s v="Veg Momos"/>
    <x v="1"/>
    <n v="1"/>
    <n v="803"/>
    <n v="160.6"/>
    <n v="50"/>
    <n v="803"/>
    <n v="692.4"/>
    <x v="4"/>
    <x v="3"/>
    <x v="1"/>
    <n v="40"/>
    <m/>
  </r>
  <r>
    <x v="4103"/>
    <x v="300"/>
    <x v="9"/>
    <n v="10"/>
    <n v="28"/>
    <s v="Tuesday"/>
    <x v="3"/>
    <x v="14"/>
    <x v="2"/>
    <s v="Veg Pizza"/>
    <x v="2"/>
    <n v="1"/>
    <n v="330"/>
    <n v="82.5"/>
    <n v="50"/>
    <n v="330"/>
    <n v="297.5"/>
    <x v="4"/>
    <x v="0"/>
    <x v="1"/>
    <n v="20"/>
    <n v="3.8"/>
  </r>
  <r>
    <x v="4104"/>
    <x v="300"/>
    <x v="9"/>
    <n v="10"/>
    <n v="28"/>
    <s v="Tuesday"/>
    <x v="4"/>
    <x v="4"/>
    <x v="6"/>
    <s v="Veg Burger"/>
    <x v="3"/>
    <n v="1"/>
    <n v="347"/>
    <n v="52.05"/>
    <n v="30"/>
    <n v="347"/>
    <n v="324.95"/>
    <x v="0"/>
    <x v="0"/>
    <x v="1"/>
    <n v="55"/>
    <n v="3.3"/>
  </r>
  <r>
    <x v="4105"/>
    <x v="301"/>
    <x v="9"/>
    <n v="10"/>
    <n v="29"/>
    <s v="Wednesday"/>
    <x v="4"/>
    <x v="6"/>
    <x v="8"/>
    <s v="Chicken Biryani"/>
    <x v="1"/>
    <n v="2"/>
    <n v="673"/>
    <n v="134.6"/>
    <n v="30"/>
    <n v="1346"/>
    <n v="1241.4000000000001"/>
    <x v="1"/>
    <x v="3"/>
    <x v="0"/>
    <n v="38"/>
    <m/>
  </r>
  <r>
    <x v="4106"/>
    <x v="301"/>
    <x v="9"/>
    <n v="10"/>
    <n v="29"/>
    <s v="Wednesday"/>
    <x v="9"/>
    <x v="5"/>
    <x v="0"/>
    <s v="Veg Biryani"/>
    <x v="1"/>
    <n v="1"/>
    <n v="501"/>
    <n v="75.150000000000006"/>
    <n v="0"/>
    <n v="501"/>
    <n v="425.85"/>
    <x v="1"/>
    <x v="0"/>
    <x v="0"/>
    <n v="34"/>
    <n v="5"/>
  </r>
  <r>
    <x v="4107"/>
    <x v="301"/>
    <x v="9"/>
    <n v="10"/>
    <n v="29"/>
    <s v="Wednesday"/>
    <x v="4"/>
    <x v="12"/>
    <x v="9"/>
    <s v="Idli Sambar"/>
    <x v="1"/>
    <n v="1"/>
    <n v="198"/>
    <n v="19.8"/>
    <n v="20"/>
    <n v="198"/>
    <n v="198.2"/>
    <x v="0"/>
    <x v="0"/>
    <x v="1"/>
    <n v="22"/>
    <n v="3.7"/>
  </r>
  <r>
    <x v="4108"/>
    <x v="301"/>
    <x v="9"/>
    <n v="10"/>
    <n v="29"/>
    <s v="Wednesday"/>
    <x v="5"/>
    <x v="13"/>
    <x v="5"/>
    <s v="Veg Burger"/>
    <x v="2"/>
    <n v="1"/>
    <n v="397"/>
    <n v="19.850000000000001"/>
    <n v="50"/>
    <n v="397"/>
    <n v="427.15"/>
    <x v="1"/>
    <x v="0"/>
    <x v="0"/>
    <n v="43"/>
    <n v="3.8"/>
  </r>
  <r>
    <x v="4109"/>
    <x v="301"/>
    <x v="9"/>
    <n v="10"/>
    <n v="29"/>
    <s v="Wednesday"/>
    <x v="4"/>
    <x v="10"/>
    <x v="2"/>
    <s v="Fried Rice"/>
    <x v="1"/>
    <n v="1"/>
    <n v="716"/>
    <n v="35.799999999999997"/>
    <n v="50"/>
    <n v="716"/>
    <n v="730.2"/>
    <x v="1"/>
    <x v="1"/>
    <x v="1"/>
    <n v="52"/>
    <m/>
  </r>
  <r>
    <x v="4110"/>
    <x v="301"/>
    <x v="9"/>
    <n v="10"/>
    <n v="29"/>
    <s v="Wednesday"/>
    <x v="9"/>
    <x v="4"/>
    <x v="4"/>
    <s v="Chicken Pizza"/>
    <x v="2"/>
    <n v="1"/>
    <n v="349"/>
    <n v="52.35"/>
    <n v="50"/>
    <n v="349"/>
    <n v="346.65"/>
    <x v="2"/>
    <x v="0"/>
    <x v="0"/>
    <n v="57"/>
    <n v="4"/>
  </r>
  <r>
    <x v="4111"/>
    <x v="301"/>
    <x v="9"/>
    <n v="10"/>
    <n v="29"/>
    <s v="Wednesday"/>
    <x v="6"/>
    <x v="7"/>
    <x v="4"/>
    <s v="French Fries"/>
    <x v="1"/>
    <n v="2"/>
    <n v="778"/>
    <n v="116.7"/>
    <n v="0"/>
    <n v="1556"/>
    <n v="1439.3"/>
    <x v="1"/>
    <x v="0"/>
    <x v="1"/>
    <n v="59"/>
    <n v="5"/>
  </r>
  <r>
    <x v="4112"/>
    <x v="301"/>
    <x v="9"/>
    <n v="10"/>
    <n v="29"/>
    <s v="Wednesday"/>
    <x v="3"/>
    <x v="5"/>
    <x v="0"/>
    <s v="Chicken Momos"/>
    <x v="1"/>
    <n v="1"/>
    <n v="389"/>
    <n v="58.35"/>
    <n v="40"/>
    <n v="389"/>
    <n v="370.65"/>
    <x v="1"/>
    <x v="0"/>
    <x v="0"/>
    <n v="24"/>
    <n v="3.6"/>
  </r>
  <r>
    <x v="4113"/>
    <x v="301"/>
    <x v="9"/>
    <n v="10"/>
    <n v="29"/>
    <s v="Wednesday"/>
    <x v="3"/>
    <x v="13"/>
    <x v="6"/>
    <s v="Veg Pizza"/>
    <x v="1"/>
    <n v="3"/>
    <n v="465"/>
    <n v="46.5"/>
    <n v="0"/>
    <n v="1395"/>
    <n v="1348.5"/>
    <x v="1"/>
    <x v="0"/>
    <x v="1"/>
    <n v="65"/>
    <n v="5"/>
  </r>
  <r>
    <x v="4114"/>
    <x v="301"/>
    <x v="9"/>
    <n v="10"/>
    <n v="29"/>
    <s v="Wednesday"/>
    <x v="8"/>
    <x v="12"/>
    <x v="7"/>
    <s v="French Fries"/>
    <x v="1"/>
    <n v="2"/>
    <n v="545"/>
    <n v="27.25"/>
    <n v="0"/>
    <n v="1090"/>
    <n v="1062.75"/>
    <x v="2"/>
    <x v="1"/>
    <x v="1"/>
    <n v="59"/>
    <m/>
  </r>
  <r>
    <x v="4115"/>
    <x v="301"/>
    <x v="9"/>
    <n v="10"/>
    <n v="29"/>
    <s v="Wednesday"/>
    <x v="5"/>
    <x v="13"/>
    <x v="9"/>
    <s v="Veg Burger"/>
    <x v="0"/>
    <n v="2"/>
    <n v="126"/>
    <n v="18.899999999999999"/>
    <n v="20"/>
    <n v="252"/>
    <n v="253.1"/>
    <x v="2"/>
    <x v="0"/>
    <x v="1"/>
    <n v="43"/>
    <n v="2.9"/>
  </r>
  <r>
    <x v="4116"/>
    <x v="301"/>
    <x v="9"/>
    <n v="10"/>
    <n v="29"/>
    <s v="Wednesday"/>
    <x v="5"/>
    <x v="8"/>
    <x v="9"/>
    <s v="Veg Biryani"/>
    <x v="1"/>
    <n v="3"/>
    <n v="373"/>
    <n v="37.299999999999997"/>
    <n v="0"/>
    <n v="1119"/>
    <n v="1081.7"/>
    <x v="4"/>
    <x v="0"/>
    <x v="1"/>
    <n v="30"/>
    <n v="4"/>
  </r>
  <r>
    <x v="4117"/>
    <x v="301"/>
    <x v="9"/>
    <n v="10"/>
    <n v="29"/>
    <s v="Wednesday"/>
    <x v="3"/>
    <x v="0"/>
    <x v="1"/>
    <s v="Paneer Butter Masala"/>
    <x v="2"/>
    <n v="3"/>
    <n v="577"/>
    <n v="57.7"/>
    <n v="20"/>
    <n v="1731"/>
    <n v="1693.3"/>
    <x v="2"/>
    <x v="0"/>
    <x v="1"/>
    <n v="44"/>
    <n v="2.8"/>
  </r>
  <r>
    <x v="4118"/>
    <x v="301"/>
    <x v="9"/>
    <n v="10"/>
    <n v="29"/>
    <s v="Wednesday"/>
    <x v="4"/>
    <x v="13"/>
    <x v="3"/>
    <s v="Chicken Pizza"/>
    <x v="1"/>
    <n v="2"/>
    <n v="653"/>
    <n v="130.6"/>
    <n v="50"/>
    <n v="1306"/>
    <n v="1225.4000000000001"/>
    <x v="4"/>
    <x v="0"/>
    <x v="1"/>
    <n v="41"/>
    <n v="4.7"/>
  </r>
  <r>
    <x v="4119"/>
    <x v="301"/>
    <x v="9"/>
    <n v="10"/>
    <n v="29"/>
    <s v="Wednesday"/>
    <x v="4"/>
    <x v="9"/>
    <x v="2"/>
    <s v="Chocolate Cake"/>
    <x v="0"/>
    <n v="3"/>
    <n v="870"/>
    <n v="174"/>
    <n v="70"/>
    <n v="2610"/>
    <n v="2506"/>
    <x v="1"/>
    <x v="0"/>
    <x v="1"/>
    <n v="36"/>
    <n v="3.1"/>
  </r>
  <r>
    <x v="4120"/>
    <x v="301"/>
    <x v="9"/>
    <n v="10"/>
    <n v="29"/>
    <s v="Wednesday"/>
    <x v="2"/>
    <x v="6"/>
    <x v="2"/>
    <s v="Paneer Butter Masala"/>
    <x v="1"/>
    <n v="3"/>
    <n v="330"/>
    <n v="0"/>
    <n v="50"/>
    <n v="990"/>
    <n v="1040"/>
    <x v="4"/>
    <x v="0"/>
    <x v="0"/>
    <n v="22"/>
    <n v="3"/>
  </r>
  <r>
    <x v="4121"/>
    <x v="301"/>
    <x v="9"/>
    <n v="10"/>
    <n v="29"/>
    <s v="Wednesday"/>
    <x v="5"/>
    <x v="7"/>
    <x v="2"/>
    <s v="Veg Burger"/>
    <x v="0"/>
    <n v="3"/>
    <n v="329"/>
    <n v="65.8"/>
    <n v="20"/>
    <n v="987"/>
    <n v="941.2"/>
    <x v="0"/>
    <x v="3"/>
    <x v="1"/>
    <n v="28"/>
    <m/>
  </r>
  <r>
    <x v="4122"/>
    <x v="301"/>
    <x v="9"/>
    <n v="10"/>
    <n v="29"/>
    <s v="Wednesday"/>
    <x v="5"/>
    <x v="8"/>
    <x v="2"/>
    <s v="Masala Dosa"/>
    <x v="1"/>
    <n v="2"/>
    <n v="697"/>
    <n v="0"/>
    <n v="50"/>
    <n v="1394"/>
    <n v="1444"/>
    <x v="4"/>
    <x v="0"/>
    <x v="0"/>
    <n v="49"/>
    <n v="4.5999999999999996"/>
  </r>
  <r>
    <x v="4123"/>
    <x v="301"/>
    <x v="9"/>
    <n v="10"/>
    <n v="29"/>
    <s v="Wednesday"/>
    <x v="9"/>
    <x v="4"/>
    <x v="5"/>
    <s v="Chicken Momos"/>
    <x v="1"/>
    <n v="2"/>
    <n v="466"/>
    <n v="23.3"/>
    <n v="40"/>
    <n v="932"/>
    <n v="948.7"/>
    <x v="1"/>
    <x v="0"/>
    <x v="1"/>
    <n v="53"/>
    <n v="4.3"/>
  </r>
  <r>
    <x v="4124"/>
    <x v="302"/>
    <x v="9"/>
    <n v="10"/>
    <n v="30"/>
    <s v="Thursday"/>
    <x v="3"/>
    <x v="10"/>
    <x v="9"/>
    <s v="Chicken Momos"/>
    <x v="1"/>
    <n v="2"/>
    <n v="689"/>
    <n v="34.450000000000003"/>
    <n v="20"/>
    <n v="1378"/>
    <n v="1363.55"/>
    <x v="1"/>
    <x v="0"/>
    <x v="0"/>
    <n v="27"/>
    <n v="4.7"/>
  </r>
  <r>
    <x v="4125"/>
    <x v="302"/>
    <x v="9"/>
    <n v="10"/>
    <n v="30"/>
    <s v="Thursday"/>
    <x v="3"/>
    <x v="1"/>
    <x v="1"/>
    <s v="Paneer Butter Masala"/>
    <x v="1"/>
    <n v="1"/>
    <n v="187"/>
    <n v="9.35"/>
    <n v="20"/>
    <n v="187"/>
    <n v="197.65"/>
    <x v="4"/>
    <x v="0"/>
    <x v="1"/>
    <n v="42"/>
    <n v="3.1"/>
  </r>
  <r>
    <x v="4126"/>
    <x v="302"/>
    <x v="9"/>
    <n v="10"/>
    <n v="30"/>
    <s v="Thursday"/>
    <x v="8"/>
    <x v="1"/>
    <x v="7"/>
    <s v="Chicken Biryani"/>
    <x v="1"/>
    <n v="1"/>
    <n v="656"/>
    <n v="98.4"/>
    <n v="60"/>
    <n v="656"/>
    <n v="617.6"/>
    <x v="4"/>
    <x v="0"/>
    <x v="1"/>
    <n v="61"/>
    <n v="4.9000000000000004"/>
  </r>
  <r>
    <x v="4127"/>
    <x v="302"/>
    <x v="9"/>
    <n v="10"/>
    <n v="30"/>
    <s v="Thursday"/>
    <x v="2"/>
    <x v="0"/>
    <x v="7"/>
    <s v="Fried Rice"/>
    <x v="1"/>
    <n v="1"/>
    <n v="810"/>
    <n v="81"/>
    <n v="30"/>
    <n v="810"/>
    <n v="759"/>
    <x v="1"/>
    <x v="0"/>
    <x v="0"/>
    <n v="34"/>
    <n v="3.2"/>
  </r>
  <r>
    <x v="4128"/>
    <x v="302"/>
    <x v="9"/>
    <n v="10"/>
    <n v="30"/>
    <s v="Thursday"/>
    <x v="0"/>
    <x v="11"/>
    <x v="1"/>
    <s v="Chocolate Cake"/>
    <x v="1"/>
    <n v="1"/>
    <n v="124"/>
    <n v="12.4"/>
    <n v="0"/>
    <n v="124"/>
    <n v="111.6"/>
    <x v="2"/>
    <x v="0"/>
    <x v="1"/>
    <n v="52"/>
    <n v="3.5"/>
  </r>
  <r>
    <x v="4129"/>
    <x v="302"/>
    <x v="9"/>
    <n v="10"/>
    <n v="30"/>
    <s v="Thursday"/>
    <x v="0"/>
    <x v="12"/>
    <x v="3"/>
    <s v="Chicken Biryani"/>
    <x v="2"/>
    <n v="1"/>
    <n v="404"/>
    <n v="101"/>
    <n v="0"/>
    <n v="404"/>
    <n v="303"/>
    <x v="3"/>
    <x v="0"/>
    <x v="0"/>
    <n v="19"/>
    <n v="3.7"/>
  </r>
  <r>
    <x v="4130"/>
    <x v="302"/>
    <x v="9"/>
    <n v="10"/>
    <n v="30"/>
    <s v="Thursday"/>
    <x v="6"/>
    <x v="14"/>
    <x v="3"/>
    <s v="Pasta"/>
    <x v="1"/>
    <n v="1"/>
    <n v="498"/>
    <n v="49.8"/>
    <n v="30"/>
    <n v="498"/>
    <n v="478.2"/>
    <x v="2"/>
    <x v="1"/>
    <x v="0"/>
    <n v="36"/>
    <m/>
  </r>
  <r>
    <x v="4131"/>
    <x v="302"/>
    <x v="9"/>
    <n v="10"/>
    <n v="30"/>
    <s v="Thursday"/>
    <x v="8"/>
    <x v="3"/>
    <x v="4"/>
    <s v="Veg Pizza"/>
    <x v="2"/>
    <n v="1"/>
    <n v="834"/>
    <n v="83.4"/>
    <n v="50"/>
    <n v="834"/>
    <n v="800.6"/>
    <x v="1"/>
    <x v="0"/>
    <x v="0"/>
    <n v="60"/>
    <n v="2.9"/>
  </r>
  <r>
    <x v="4132"/>
    <x v="302"/>
    <x v="9"/>
    <n v="10"/>
    <n v="30"/>
    <s v="Thursday"/>
    <x v="3"/>
    <x v="5"/>
    <x v="0"/>
    <s v="Paneer Butter Masala"/>
    <x v="2"/>
    <n v="2"/>
    <n v="636"/>
    <n v="63.6"/>
    <n v="40"/>
    <n v="1272"/>
    <n v="1248.4000000000001"/>
    <x v="1"/>
    <x v="0"/>
    <x v="0"/>
    <n v="35"/>
    <n v="3.7"/>
  </r>
  <r>
    <x v="4133"/>
    <x v="302"/>
    <x v="9"/>
    <n v="10"/>
    <n v="30"/>
    <s v="Thursday"/>
    <x v="5"/>
    <x v="5"/>
    <x v="5"/>
    <s v="Paneer Butter Masala"/>
    <x v="1"/>
    <n v="1"/>
    <n v="593"/>
    <n v="59.3"/>
    <n v="30"/>
    <n v="593"/>
    <n v="563.70000000000005"/>
    <x v="1"/>
    <x v="2"/>
    <x v="0"/>
    <n v="32"/>
    <m/>
  </r>
  <r>
    <x v="4134"/>
    <x v="302"/>
    <x v="9"/>
    <n v="10"/>
    <n v="30"/>
    <s v="Thursday"/>
    <x v="1"/>
    <x v="13"/>
    <x v="3"/>
    <s v="Paneer Butter Masala"/>
    <x v="1"/>
    <n v="3"/>
    <n v="484"/>
    <n v="0"/>
    <n v="30"/>
    <n v="1452"/>
    <n v="1482"/>
    <x v="4"/>
    <x v="0"/>
    <x v="1"/>
    <n v="48"/>
    <n v="4.2"/>
  </r>
  <r>
    <x v="4135"/>
    <x v="302"/>
    <x v="9"/>
    <n v="10"/>
    <n v="30"/>
    <s v="Thursday"/>
    <x v="7"/>
    <x v="8"/>
    <x v="1"/>
    <s v="Idli Sambar"/>
    <x v="1"/>
    <n v="2"/>
    <n v="412"/>
    <n v="61.8"/>
    <n v="20"/>
    <n v="824"/>
    <n v="782.2"/>
    <x v="0"/>
    <x v="0"/>
    <x v="1"/>
    <n v="37"/>
    <n v="3.3"/>
  </r>
  <r>
    <x v="4136"/>
    <x v="302"/>
    <x v="9"/>
    <n v="10"/>
    <n v="30"/>
    <s v="Thursday"/>
    <x v="3"/>
    <x v="14"/>
    <x v="5"/>
    <s v="Chicken Pizza"/>
    <x v="2"/>
    <n v="1"/>
    <n v="287"/>
    <n v="14.35"/>
    <n v="50"/>
    <n v="287"/>
    <n v="322.64999999999998"/>
    <x v="1"/>
    <x v="2"/>
    <x v="1"/>
    <n v="47"/>
    <m/>
  </r>
  <r>
    <x v="4137"/>
    <x v="302"/>
    <x v="9"/>
    <n v="10"/>
    <n v="30"/>
    <s v="Thursday"/>
    <x v="9"/>
    <x v="13"/>
    <x v="8"/>
    <s v="Chicken Pizza"/>
    <x v="1"/>
    <n v="2"/>
    <n v="228"/>
    <n v="22.8"/>
    <n v="0"/>
    <n v="456"/>
    <n v="433.2"/>
    <x v="0"/>
    <x v="0"/>
    <x v="1"/>
    <n v="30"/>
    <n v="3.7"/>
  </r>
  <r>
    <x v="4138"/>
    <x v="302"/>
    <x v="9"/>
    <n v="10"/>
    <n v="30"/>
    <s v="Thursday"/>
    <x v="3"/>
    <x v="7"/>
    <x v="8"/>
    <s v="Chicken Biryani"/>
    <x v="1"/>
    <n v="3"/>
    <n v="406"/>
    <n v="60.9"/>
    <n v="30"/>
    <n v="1218"/>
    <n v="1187.0999999999999"/>
    <x v="0"/>
    <x v="0"/>
    <x v="1"/>
    <n v="39"/>
    <n v="4"/>
  </r>
  <r>
    <x v="4139"/>
    <x v="302"/>
    <x v="9"/>
    <n v="10"/>
    <n v="30"/>
    <s v="Thursday"/>
    <x v="4"/>
    <x v="1"/>
    <x v="6"/>
    <s v="Veg Momos"/>
    <x v="1"/>
    <n v="2"/>
    <n v="336"/>
    <n v="67.2"/>
    <n v="0"/>
    <n v="672"/>
    <n v="604.79999999999995"/>
    <x v="4"/>
    <x v="0"/>
    <x v="0"/>
    <n v="25"/>
    <n v="4.5"/>
  </r>
  <r>
    <x v="4140"/>
    <x v="302"/>
    <x v="9"/>
    <n v="10"/>
    <n v="30"/>
    <s v="Thursday"/>
    <x v="5"/>
    <x v="0"/>
    <x v="6"/>
    <s v="Masala Dosa"/>
    <x v="1"/>
    <n v="2"/>
    <n v="759"/>
    <n v="75.900000000000006"/>
    <n v="30"/>
    <n v="1518"/>
    <n v="1472.1"/>
    <x v="1"/>
    <x v="0"/>
    <x v="1"/>
    <n v="55"/>
    <n v="3.6"/>
  </r>
  <r>
    <x v="4141"/>
    <x v="302"/>
    <x v="9"/>
    <n v="10"/>
    <n v="30"/>
    <s v="Thursday"/>
    <x v="9"/>
    <x v="3"/>
    <x v="7"/>
    <s v="Paneer Butter Masala"/>
    <x v="2"/>
    <n v="3"/>
    <n v="549"/>
    <n v="54.9"/>
    <n v="40"/>
    <n v="1647"/>
    <n v="1632.1"/>
    <x v="2"/>
    <x v="3"/>
    <x v="1"/>
    <n v="52"/>
    <m/>
  </r>
  <r>
    <x v="4142"/>
    <x v="302"/>
    <x v="9"/>
    <n v="10"/>
    <n v="30"/>
    <s v="Thursday"/>
    <x v="5"/>
    <x v="1"/>
    <x v="7"/>
    <s v="Chicken Biryani"/>
    <x v="1"/>
    <n v="2"/>
    <n v="490"/>
    <n v="98"/>
    <n v="50"/>
    <n v="980"/>
    <n v="932"/>
    <x v="0"/>
    <x v="0"/>
    <x v="1"/>
    <n v="49"/>
    <n v="4.9000000000000004"/>
  </r>
  <r>
    <x v="4143"/>
    <x v="302"/>
    <x v="9"/>
    <n v="10"/>
    <n v="30"/>
    <s v="Thursday"/>
    <x v="0"/>
    <x v="13"/>
    <x v="5"/>
    <s v="Idli Sambar"/>
    <x v="3"/>
    <n v="2"/>
    <n v="329"/>
    <n v="16.45"/>
    <n v="30"/>
    <n v="658"/>
    <n v="671.55"/>
    <x v="2"/>
    <x v="0"/>
    <x v="1"/>
    <n v="26"/>
    <n v="4.3"/>
  </r>
  <r>
    <x v="4144"/>
    <x v="302"/>
    <x v="9"/>
    <n v="10"/>
    <n v="30"/>
    <s v="Thursday"/>
    <x v="4"/>
    <x v="12"/>
    <x v="7"/>
    <s v="Cold Coffee"/>
    <x v="1"/>
    <n v="1"/>
    <n v="604"/>
    <n v="120.8"/>
    <n v="60"/>
    <n v="604"/>
    <n v="543.20000000000005"/>
    <x v="2"/>
    <x v="0"/>
    <x v="1"/>
    <n v="45"/>
    <n v="4.8"/>
  </r>
  <r>
    <x v="4145"/>
    <x v="303"/>
    <x v="9"/>
    <n v="10"/>
    <n v="31"/>
    <s v="Friday"/>
    <x v="8"/>
    <x v="1"/>
    <x v="7"/>
    <s v="Paneer Butter Masala"/>
    <x v="3"/>
    <n v="1"/>
    <n v="367"/>
    <n v="36.700000000000003"/>
    <n v="40"/>
    <n v="367"/>
    <n v="370.3"/>
    <x v="2"/>
    <x v="1"/>
    <x v="0"/>
    <n v="52"/>
    <m/>
  </r>
  <r>
    <x v="4146"/>
    <x v="303"/>
    <x v="9"/>
    <n v="10"/>
    <n v="31"/>
    <s v="Friday"/>
    <x v="3"/>
    <x v="5"/>
    <x v="3"/>
    <s v="Chicken Momos"/>
    <x v="1"/>
    <n v="3"/>
    <n v="699"/>
    <n v="69.900000000000006"/>
    <n v="60"/>
    <n v="2097"/>
    <n v="2087.1"/>
    <x v="0"/>
    <x v="0"/>
    <x v="1"/>
    <n v="66"/>
    <n v="4.5"/>
  </r>
  <r>
    <x v="4147"/>
    <x v="303"/>
    <x v="9"/>
    <n v="10"/>
    <n v="31"/>
    <s v="Friday"/>
    <x v="5"/>
    <x v="0"/>
    <x v="2"/>
    <s v="Chicken Biryani"/>
    <x v="1"/>
    <n v="2"/>
    <n v="575"/>
    <n v="0"/>
    <n v="30"/>
    <n v="1150"/>
    <n v="1180"/>
    <x v="0"/>
    <x v="0"/>
    <x v="1"/>
    <n v="19"/>
    <n v="4.4000000000000004"/>
  </r>
  <r>
    <x v="4148"/>
    <x v="303"/>
    <x v="9"/>
    <n v="10"/>
    <n v="31"/>
    <s v="Friday"/>
    <x v="5"/>
    <x v="13"/>
    <x v="3"/>
    <s v="Veg Burger"/>
    <x v="2"/>
    <n v="3"/>
    <n v="260"/>
    <n v="26"/>
    <n v="60"/>
    <n v="780"/>
    <n v="814"/>
    <x v="0"/>
    <x v="3"/>
    <x v="1"/>
    <n v="63"/>
    <m/>
  </r>
  <r>
    <x v="4149"/>
    <x v="303"/>
    <x v="9"/>
    <n v="10"/>
    <n v="31"/>
    <s v="Friday"/>
    <x v="6"/>
    <x v="0"/>
    <x v="2"/>
    <s v="Veg Burger"/>
    <x v="1"/>
    <n v="1"/>
    <n v="590"/>
    <n v="29.5"/>
    <n v="40"/>
    <n v="590"/>
    <n v="600.5"/>
    <x v="1"/>
    <x v="0"/>
    <x v="1"/>
    <n v="31"/>
    <n v="5"/>
  </r>
  <r>
    <x v="4150"/>
    <x v="303"/>
    <x v="9"/>
    <n v="10"/>
    <n v="31"/>
    <s v="Friday"/>
    <x v="4"/>
    <x v="11"/>
    <x v="4"/>
    <s v="Chicken Biryani"/>
    <x v="1"/>
    <n v="1"/>
    <n v="457"/>
    <n v="114.25"/>
    <n v="30"/>
    <n v="457"/>
    <n v="372.75"/>
    <x v="3"/>
    <x v="0"/>
    <x v="0"/>
    <n v="67"/>
    <n v="2.1"/>
  </r>
  <r>
    <x v="4151"/>
    <x v="303"/>
    <x v="9"/>
    <n v="10"/>
    <n v="31"/>
    <s v="Friday"/>
    <x v="2"/>
    <x v="6"/>
    <x v="2"/>
    <s v="Veg Burger"/>
    <x v="1"/>
    <n v="3"/>
    <n v="373"/>
    <n v="37.299999999999997"/>
    <n v="30"/>
    <n v="1119"/>
    <n v="1111.7"/>
    <x v="1"/>
    <x v="0"/>
    <x v="1"/>
    <n v="34"/>
    <n v="4.7"/>
  </r>
  <r>
    <x v="4152"/>
    <x v="303"/>
    <x v="9"/>
    <n v="10"/>
    <n v="31"/>
    <s v="Friday"/>
    <x v="0"/>
    <x v="2"/>
    <x v="2"/>
    <s v="Paneer Butter Masala"/>
    <x v="0"/>
    <n v="1"/>
    <n v="845"/>
    <n v="0"/>
    <n v="50"/>
    <n v="845"/>
    <n v="895"/>
    <x v="2"/>
    <x v="0"/>
    <x v="0"/>
    <n v="65"/>
    <n v="3.2"/>
  </r>
  <r>
    <x v="4153"/>
    <x v="303"/>
    <x v="9"/>
    <n v="10"/>
    <n v="31"/>
    <s v="Friday"/>
    <x v="9"/>
    <x v="2"/>
    <x v="3"/>
    <s v="Chicken Biryani"/>
    <x v="1"/>
    <n v="1"/>
    <n v="146"/>
    <n v="0"/>
    <n v="60"/>
    <n v="146"/>
    <n v="206"/>
    <x v="1"/>
    <x v="0"/>
    <x v="0"/>
    <n v="62"/>
    <n v="3.2"/>
  </r>
  <r>
    <x v="4154"/>
    <x v="303"/>
    <x v="9"/>
    <n v="10"/>
    <n v="31"/>
    <s v="Friday"/>
    <x v="7"/>
    <x v="0"/>
    <x v="5"/>
    <s v="Chicken Biryani"/>
    <x v="2"/>
    <n v="3"/>
    <n v="391"/>
    <n v="0"/>
    <n v="0"/>
    <n v="1173"/>
    <n v="1173"/>
    <x v="1"/>
    <x v="0"/>
    <x v="1"/>
    <n v="69"/>
    <n v="5"/>
  </r>
  <r>
    <x v="4155"/>
    <x v="303"/>
    <x v="9"/>
    <n v="10"/>
    <n v="31"/>
    <s v="Friday"/>
    <x v="2"/>
    <x v="11"/>
    <x v="0"/>
    <s v="Cold Coffee"/>
    <x v="1"/>
    <n v="1"/>
    <n v="571"/>
    <n v="57.1"/>
    <n v="0"/>
    <n v="571"/>
    <n v="513.9"/>
    <x v="1"/>
    <x v="0"/>
    <x v="0"/>
    <n v="49"/>
    <n v="4.0999999999999996"/>
  </r>
  <r>
    <x v="4156"/>
    <x v="303"/>
    <x v="9"/>
    <n v="10"/>
    <n v="31"/>
    <s v="Friday"/>
    <x v="8"/>
    <x v="9"/>
    <x v="4"/>
    <s v="Veg Momos"/>
    <x v="1"/>
    <n v="2"/>
    <n v="754"/>
    <n v="37.700000000000003"/>
    <n v="0"/>
    <n v="1508"/>
    <n v="1470.3"/>
    <x v="0"/>
    <x v="1"/>
    <x v="1"/>
    <n v="38"/>
    <m/>
  </r>
  <r>
    <x v="4157"/>
    <x v="303"/>
    <x v="9"/>
    <n v="10"/>
    <n v="31"/>
    <s v="Friday"/>
    <x v="0"/>
    <x v="3"/>
    <x v="0"/>
    <s v="Chicken Momos"/>
    <x v="0"/>
    <n v="3"/>
    <n v="449"/>
    <n v="44.9"/>
    <n v="50"/>
    <n v="1347"/>
    <n v="1352.1"/>
    <x v="4"/>
    <x v="0"/>
    <x v="0"/>
    <n v="34"/>
    <n v="3.9"/>
  </r>
  <r>
    <x v="4158"/>
    <x v="303"/>
    <x v="9"/>
    <n v="10"/>
    <n v="31"/>
    <s v="Friday"/>
    <x v="1"/>
    <x v="6"/>
    <x v="7"/>
    <s v="Masala Dosa"/>
    <x v="1"/>
    <n v="3"/>
    <n v="548"/>
    <n v="0"/>
    <n v="50"/>
    <n v="1644"/>
    <n v="1694"/>
    <x v="1"/>
    <x v="0"/>
    <x v="0"/>
    <n v="62"/>
    <n v="3"/>
  </r>
  <r>
    <x v="4159"/>
    <x v="304"/>
    <x v="10"/>
    <n v="11"/>
    <n v="1"/>
    <s v="Saturday"/>
    <x v="3"/>
    <x v="4"/>
    <x v="0"/>
    <s v="Masala Dosa"/>
    <x v="1"/>
    <n v="1"/>
    <n v="661"/>
    <n v="99.15"/>
    <n v="40"/>
    <n v="661"/>
    <n v="601.85"/>
    <x v="1"/>
    <x v="0"/>
    <x v="1"/>
    <n v="35"/>
    <n v="4"/>
  </r>
  <r>
    <x v="4160"/>
    <x v="304"/>
    <x v="10"/>
    <n v="11"/>
    <n v="1"/>
    <s v="Saturday"/>
    <x v="4"/>
    <x v="5"/>
    <x v="3"/>
    <s v="Fried Rice"/>
    <x v="1"/>
    <n v="3"/>
    <n v="531"/>
    <n v="53.1"/>
    <n v="20"/>
    <n v="1593"/>
    <n v="1559.9"/>
    <x v="1"/>
    <x v="0"/>
    <x v="1"/>
    <n v="62"/>
    <n v="4"/>
  </r>
  <r>
    <x v="4161"/>
    <x v="304"/>
    <x v="10"/>
    <n v="11"/>
    <n v="1"/>
    <s v="Saturday"/>
    <x v="2"/>
    <x v="10"/>
    <x v="3"/>
    <s v="Chicken Burger"/>
    <x v="2"/>
    <n v="2"/>
    <n v="738"/>
    <n v="36.9"/>
    <n v="40"/>
    <n v="1476"/>
    <n v="1479.1"/>
    <x v="0"/>
    <x v="0"/>
    <x v="0"/>
    <n v="29"/>
    <n v="4.3"/>
  </r>
  <r>
    <x v="4162"/>
    <x v="304"/>
    <x v="10"/>
    <n v="11"/>
    <n v="1"/>
    <s v="Saturday"/>
    <x v="9"/>
    <x v="11"/>
    <x v="1"/>
    <s v="Chocolate Cake"/>
    <x v="1"/>
    <n v="3"/>
    <n v="613"/>
    <n v="0"/>
    <n v="30"/>
    <n v="1839"/>
    <n v="1869"/>
    <x v="2"/>
    <x v="0"/>
    <x v="1"/>
    <n v="38"/>
    <n v="3.8"/>
  </r>
  <r>
    <x v="4163"/>
    <x v="304"/>
    <x v="10"/>
    <n v="11"/>
    <n v="1"/>
    <s v="Saturday"/>
    <x v="3"/>
    <x v="0"/>
    <x v="7"/>
    <s v="Chicken Biryani"/>
    <x v="0"/>
    <n v="1"/>
    <n v="347"/>
    <n v="69.400000000000006"/>
    <n v="20"/>
    <n v="347"/>
    <n v="297.60000000000002"/>
    <x v="0"/>
    <x v="0"/>
    <x v="0"/>
    <n v="25"/>
    <n v="4.5999999999999996"/>
  </r>
  <r>
    <x v="4164"/>
    <x v="304"/>
    <x v="10"/>
    <n v="11"/>
    <n v="1"/>
    <s v="Saturday"/>
    <x v="7"/>
    <x v="13"/>
    <x v="5"/>
    <s v="Chicken Momos"/>
    <x v="1"/>
    <n v="1"/>
    <n v="420"/>
    <n v="105"/>
    <n v="40"/>
    <n v="420"/>
    <n v="355"/>
    <x v="2"/>
    <x v="2"/>
    <x v="1"/>
    <n v="18"/>
    <m/>
  </r>
  <r>
    <x v="4165"/>
    <x v="304"/>
    <x v="10"/>
    <n v="11"/>
    <n v="1"/>
    <s v="Saturday"/>
    <x v="9"/>
    <x v="13"/>
    <x v="5"/>
    <s v="French Fries"/>
    <x v="1"/>
    <n v="2"/>
    <n v="279"/>
    <n v="0"/>
    <n v="30"/>
    <n v="558"/>
    <n v="588"/>
    <x v="2"/>
    <x v="0"/>
    <x v="0"/>
    <n v="37"/>
    <n v="4.5"/>
  </r>
  <r>
    <x v="4166"/>
    <x v="304"/>
    <x v="10"/>
    <n v="11"/>
    <n v="1"/>
    <s v="Saturday"/>
    <x v="0"/>
    <x v="9"/>
    <x v="4"/>
    <s v="Cold Coffee"/>
    <x v="1"/>
    <n v="1"/>
    <n v="189"/>
    <n v="9.4499999999999993"/>
    <n v="50"/>
    <n v="189"/>
    <n v="229.55"/>
    <x v="4"/>
    <x v="0"/>
    <x v="1"/>
    <n v="59"/>
    <n v="3.5"/>
  </r>
  <r>
    <x v="4167"/>
    <x v="304"/>
    <x v="10"/>
    <n v="11"/>
    <n v="1"/>
    <s v="Saturday"/>
    <x v="6"/>
    <x v="9"/>
    <x v="3"/>
    <s v="Cold Coffee"/>
    <x v="1"/>
    <n v="1"/>
    <n v="778"/>
    <n v="155.6"/>
    <n v="50"/>
    <n v="778"/>
    <n v="672.4"/>
    <x v="1"/>
    <x v="1"/>
    <x v="1"/>
    <n v="58"/>
    <m/>
  </r>
  <r>
    <x v="4168"/>
    <x v="304"/>
    <x v="10"/>
    <n v="11"/>
    <n v="1"/>
    <s v="Saturday"/>
    <x v="1"/>
    <x v="4"/>
    <x v="3"/>
    <s v="Veg Pizza"/>
    <x v="1"/>
    <n v="1"/>
    <n v="850"/>
    <n v="170"/>
    <n v="50"/>
    <n v="850"/>
    <n v="730"/>
    <x v="0"/>
    <x v="0"/>
    <x v="1"/>
    <n v="38"/>
    <n v="2.7"/>
  </r>
  <r>
    <x v="4169"/>
    <x v="304"/>
    <x v="10"/>
    <n v="11"/>
    <n v="1"/>
    <s v="Saturday"/>
    <x v="3"/>
    <x v="10"/>
    <x v="6"/>
    <s v="Paneer Butter Masala"/>
    <x v="1"/>
    <n v="3"/>
    <n v="874"/>
    <n v="87.4"/>
    <n v="30"/>
    <n v="2622"/>
    <n v="2564.6"/>
    <x v="1"/>
    <x v="0"/>
    <x v="0"/>
    <n v="18"/>
    <n v="4.2"/>
  </r>
  <r>
    <x v="4170"/>
    <x v="304"/>
    <x v="10"/>
    <n v="11"/>
    <n v="1"/>
    <s v="Saturday"/>
    <x v="5"/>
    <x v="2"/>
    <x v="5"/>
    <s v="Chicken Biryani"/>
    <x v="1"/>
    <n v="1"/>
    <n v="826"/>
    <n v="165.2"/>
    <n v="0"/>
    <n v="826"/>
    <n v="660.8"/>
    <x v="2"/>
    <x v="0"/>
    <x v="1"/>
    <n v="26"/>
    <n v="4.3"/>
  </r>
  <r>
    <x v="4171"/>
    <x v="304"/>
    <x v="10"/>
    <n v="11"/>
    <n v="1"/>
    <s v="Saturday"/>
    <x v="5"/>
    <x v="12"/>
    <x v="8"/>
    <s v="Chicken Momos"/>
    <x v="1"/>
    <n v="3"/>
    <n v="177"/>
    <n v="17.7"/>
    <n v="30"/>
    <n v="531"/>
    <n v="543.29999999999995"/>
    <x v="1"/>
    <x v="0"/>
    <x v="0"/>
    <n v="36"/>
    <n v="2.7"/>
  </r>
  <r>
    <x v="4172"/>
    <x v="304"/>
    <x v="10"/>
    <n v="11"/>
    <n v="1"/>
    <s v="Saturday"/>
    <x v="1"/>
    <x v="14"/>
    <x v="3"/>
    <s v="Chocolate Cake"/>
    <x v="1"/>
    <n v="1"/>
    <n v="763"/>
    <n v="38.15"/>
    <n v="40"/>
    <n v="763"/>
    <n v="764.85"/>
    <x v="1"/>
    <x v="0"/>
    <x v="0"/>
    <n v="49"/>
    <n v="4.8"/>
  </r>
  <r>
    <x v="4173"/>
    <x v="304"/>
    <x v="10"/>
    <n v="11"/>
    <n v="1"/>
    <s v="Saturday"/>
    <x v="6"/>
    <x v="9"/>
    <x v="2"/>
    <s v="Pasta"/>
    <x v="1"/>
    <n v="3"/>
    <n v="173"/>
    <n v="8.65"/>
    <n v="30"/>
    <n v="519"/>
    <n v="540.35"/>
    <x v="1"/>
    <x v="3"/>
    <x v="1"/>
    <n v="49"/>
    <m/>
  </r>
  <r>
    <x v="4174"/>
    <x v="304"/>
    <x v="10"/>
    <n v="11"/>
    <n v="1"/>
    <s v="Saturday"/>
    <x v="9"/>
    <x v="9"/>
    <x v="7"/>
    <s v="Chicken Pizza"/>
    <x v="1"/>
    <n v="1"/>
    <n v="273"/>
    <n v="54.6"/>
    <n v="40"/>
    <n v="273"/>
    <n v="258.39999999999998"/>
    <x v="1"/>
    <x v="0"/>
    <x v="1"/>
    <n v="58"/>
    <n v="4.5"/>
  </r>
  <r>
    <x v="4175"/>
    <x v="304"/>
    <x v="10"/>
    <n v="11"/>
    <n v="1"/>
    <s v="Saturday"/>
    <x v="3"/>
    <x v="1"/>
    <x v="0"/>
    <s v="Pasta"/>
    <x v="0"/>
    <n v="1"/>
    <n v="191"/>
    <n v="19.100000000000001"/>
    <n v="20"/>
    <n v="191"/>
    <n v="191.9"/>
    <x v="1"/>
    <x v="0"/>
    <x v="1"/>
    <n v="45"/>
    <n v="4"/>
  </r>
  <r>
    <x v="4176"/>
    <x v="304"/>
    <x v="10"/>
    <n v="11"/>
    <n v="1"/>
    <s v="Saturday"/>
    <x v="4"/>
    <x v="7"/>
    <x v="7"/>
    <s v="Veg Burger"/>
    <x v="1"/>
    <n v="1"/>
    <n v="884"/>
    <n v="88.4"/>
    <n v="40"/>
    <n v="884"/>
    <n v="835.6"/>
    <x v="4"/>
    <x v="0"/>
    <x v="0"/>
    <n v="50"/>
    <n v="4.3"/>
  </r>
  <r>
    <x v="4177"/>
    <x v="305"/>
    <x v="10"/>
    <n v="11"/>
    <n v="2"/>
    <s v="Sunday"/>
    <x v="5"/>
    <x v="3"/>
    <x v="3"/>
    <s v="Veg Momos"/>
    <x v="2"/>
    <n v="2"/>
    <n v="181"/>
    <n v="45.25"/>
    <n v="30"/>
    <n v="362"/>
    <n v="346.75"/>
    <x v="2"/>
    <x v="3"/>
    <x v="0"/>
    <n v="28"/>
    <m/>
  </r>
  <r>
    <x v="4178"/>
    <x v="305"/>
    <x v="10"/>
    <n v="11"/>
    <n v="2"/>
    <s v="Sunday"/>
    <x v="4"/>
    <x v="4"/>
    <x v="0"/>
    <s v="Chicken Pizza"/>
    <x v="2"/>
    <n v="3"/>
    <n v="684"/>
    <n v="68.400000000000006"/>
    <n v="20"/>
    <n v="2052"/>
    <n v="2003.6"/>
    <x v="2"/>
    <x v="0"/>
    <x v="1"/>
    <n v="50"/>
    <n v="2.8"/>
  </r>
  <r>
    <x v="4179"/>
    <x v="305"/>
    <x v="10"/>
    <n v="11"/>
    <n v="2"/>
    <s v="Sunday"/>
    <x v="7"/>
    <x v="12"/>
    <x v="4"/>
    <s v="Paneer Butter Masala"/>
    <x v="1"/>
    <n v="1"/>
    <n v="340"/>
    <n v="85"/>
    <n v="20"/>
    <n v="340"/>
    <n v="275"/>
    <x v="3"/>
    <x v="0"/>
    <x v="1"/>
    <n v="38"/>
    <n v="4.2"/>
  </r>
  <r>
    <x v="4180"/>
    <x v="305"/>
    <x v="10"/>
    <n v="11"/>
    <n v="2"/>
    <s v="Sunday"/>
    <x v="5"/>
    <x v="13"/>
    <x v="9"/>
    <s v="Fried Rice"/>
    <x v="1"/>
    <n v="1"/>
    <n v="321"/>
    <n v="32.1"/>
    <n v="40"/>
    <n v="321"/>
    <n v="328.9"/>
    <x v="1"/>
    <x v="0"/>
    <x v="0"/>
    <n v="53"/>
    <n v="2.5"/>
  </r>
  <r>
    <x v="4181"/>
    <x v="305"/>
    <x v="10"/>
    <n v="11"/>
    <n v="2"/>
    <s v="Sunday"/>
    <x v="5"/>
    <x v="4"/>
    <x v="7"/>
    <s v="Veg Pizza"/>
    <x v="1"/>
    <n v="2"/>
    <n v="830"/>
    <n v="0"/>
    <n v="50"/>
    <n v="1660"/>
    <n v="1710"/>
    <x v="1"/>
    <x v="0"/>
    <x v="1"/>
    <n v="31"/>
    <n v="4.4000000000000004"/>
  </r>
  <r>
    <x v="4182"/>
    <x v="305"/>
    <x v="10"/>
    <n v="11"/>
    <n v="2"/>
    <s v="Sunday"/>
    <x v="3"/>
    <x v="3"/>
    <x v="4"/>
    <s v="Veg Momos"/>
    <x v="1"/>
    <n v="1"/>
    <n v="196"/>
    <n v="9.8000000000000007"/>
    <n v="40"/>
    <n v="196"/>
    <n v="226.2"/>
    <x v="1"/>
    <x v="1"/>
    <x v="0"/>
    <n v="26"/>
    <m/>
  </r>
  <r>
    <x v="4183"/>
    <x v="305"/>
    <x v="10"/>
    <n v="11"/>
    <n v="2"/>
    <s v="Sunday"/>
    <x v="5"/>
    <x v="2"/>
    <x v="0"/>
    <s v="Idli Sambar"/>
    <x v="1"/>
    <n v="1"/>
    <n v="701"/>
    <n v="70.099999999999994"/>
    <n v="40"/>
    <n v="701"/>
    <n v="670.9"/>
    <x v="0"/>
    <x v="2"/>
    <x v="1"/>
    <n v="53"/>
    <m/>
  </r>
  <r>
    <x v="4184"/>
    <x v="305"/>
    <x v="10"/>
    <n v="11"/>
    <n v="2"/>
    <s v="Sunday"/>
    <x v="1"/>
    <x v="12"/>
    <x v="3"/>
    <s v="Veg Burger"/>
    <x v="1"/>
    <n v="1"/>
    <n v="844"/>
    <n v="211"/>
    <n v="20"/>
    <n v="844"/>
    <n v="653"/>
    <x v="3"/>
    <x v="3"/>
    <x v="1"/>
    <n v="36"/>
    <m/>
  </r>
  <r>
    <x v="4185"/>
    <x v="306"/>
    <x v="10"/>
    <n v="11"/>
    <n v="3"/>
    <s v="Monday"/>
    <x v="3"/>
    <x v="12"/>
    <x v="2"/>
    <s v="Idli Sambar"/>
    <x v="1"/>
    <n v="2"/>
    <n v="283"/>
    <n v="28.3"/>
    <n v="40"/>
    <n v="566"/>
    <n v="577.70000000000005"/>
    <x v="1"/>
    <x v="1"/>
    <x v="1"/>
    <n v="33"/>
    <m/>
  </r>
  <r>
    <x v="4186"/>
    <x v="306"/>
    <x v="10"/>
    <n v="11"/>
    <n v="3"/>
    <s v="Monday"/>
    <x v="5"/>
    <x v="12"/>
    <x v="8"/>
    <s v="Masala Dosa"/>
    <x v="1"/>
    <n v="2"/>
    <n v="458"/>
    <n v="114.5"/>
    <n v="70"/>
    <n v="916"/>
    <n v="871.5"/>
    <x v="1"/>
    <x v="3"/>
    <x v="0"/>
    <n v="38"/>
    <m/>
  </r>
  <r>
    <x v="4187"/>
    <x v="306"/>
    <x v="10"/>
    <n v="11"/>
    <n v="3"/>
    <s v="Monday"/>
    <x v="3"/>
    <x v="1"/>
    <x v="1"/>
    <s v="Chicken Biryani"/>
    <x v="1"/>
    <n v="2"/>
    <n v="535"/>
    <n v="80.25"/>
    <n v="40"/>
    <n v="1070"/>
    <n v="1029.75"/>
    <x v="4"/>
    <x v="0"/>
    <x v="1"/>
    <n v="50"/>
    <n v="2.9"/>
  </r>
  <r>
    <x v="4188"/>
    <x v="306"/>
    <x v="10"/>
    <n v="11"/>
    <n v="3"/>
    <s v="Monday"/>
    <x v="5"/>
    <x v="14"/>
    <x v="7"/>
    <s v="Pasta"/>
    <x v="1"/>
    <n v="2"/>
    <n v="707"/>
    <n v="141.4"/>
    <n v="30"/>
    <n v="1414"/>
    <n v="1302.5999999999999"/>
    <x v="0"/>
    <x v="1"/>
    <x v="1"/>
    <n v="61"/>
    <m/>
  </r>
  <r>
    <x v="4189"/>
    <x v="306"/>
    <x v="10"/>
    <n v="11"/>
    <n v="3"/>
    <s v="Monday"/>
    <x v="5"/>
    <x v="1"/>
    <x v="5"/>
    <s v="Veg Biryani"/>
    <x v="1"/>
    <n v="1"/>
    <n v="419"/>
    <n v="104.75"/>
    <n v="20"/>
    <n v="419"/>
    <n v="334.25"/>
    <x v="1"/>
    <x v="0"/>
    <x v="1"/>
    <n v="61"/>
    <n v="3.9"/>
  </r>
  <r>
    <x v="4190"/>
    <x v="306"/>
    <x v="10"/>
    <n v="11"/>
    <n v="3"/>
    <s v="Monday"/>
    <x v="7"/>
    <x v="11"/>
    <x v="1"/>
    <s v="Cold Coffee"/>
    <x v="1"/>
    <n v="2"/>
    <n v="636"/>
    <n v="159"/>
    <n v="40"/>
    <n v="1272"/>
    <n v="1153"/>
    <x v="4"/>
    <x v="0"/>
    <x v="1"/>
    <n v="55"/>
    <n v="4.2"/>
  </r>
  <r>
    <x v="4191"/>
    <x v="306"/>
    <x v="10"/>
    <n v="11"/>
    <n v="3"/>
    <s v="Monday"/>
    <x v="2"/>
    <x v="6"/>
    <x v="8"/>
    <s v="Idli Sambar"/>
    <x v="2"/>
    <n v="2"/>
    <n v="588"/>
    <n v="29.4"/>
    <n v="40"/>
    <n v="1176"/>
    <n v="1186.5999999999999"/>
    <x v="2"/>
    <x v="0"/>
    <x v="1"/>
    <n v="19"/>
    <n v="4.0999999999999996"/>
  </r>
  <r>
    <x v="4192"/>
    <x v="306"/>
    <x v="10"/>
    <n v="11"/>
    <n v="3"/>
    <s v="Monday"/>
    <x v="5"/>
    <x v="7"/>
    <x v="9"/>
    <s v="Cold Coffee"/>
    <x v="3"/>
    <n v="3"/>
    <n v="675"/>
    <n v="135"/>
    <n v="20"/>
    <n v="2025"/>
    <n v="1910"/>
    <x v="1"/>
    <x v="0"/>
    <x v="1"/>
    <n v="48"/>
    <n v="4.5999999999999996"/>
  </r>
  <r>
    <x v="4193"/>
    <x v="306"/>
    <x v="10"/>
    <n v="11"/>
    <n v="3"/>
    <s v="Monday"/>
    <x v="7"/>
    <x v="0"/>
    <x v="6"/>
    <s v="Veg Biryani"/>
    <x v="1"/>
    <n v="1"/>
    <n v="530"/>
    <n v="0"/>
    <n v="0"/>
    <n v="530"/>
    <n v="530"/>
    <x v="2"/>
    <x v="2"/>
    <x v="1"/>
    <n v="52"/>
    <m/>
  </r>
  <r>
    <x v="4194"/>
    <x v="306"/>
    <x v="10"/>
    <n v="11"/>
    <n v="3"/>
    <s v="Monday"/>
    <x v="1"/>
    <x v="3"/>
    <x v="4"/>
    <s v="Pasta"/>
    <x v="1"/>
    <n v="1"/>
    <n v="289"/>
    <n v="14.45"/>
    <n v="50"/>
    <n v="289"/>
    <n v="324.55"/>
    <x v="3"/>
    <x v="2"/>
    <x v="1"/>
    <n v="49"/>
    <m/>
  </r>
  <r>
    <x v="4195"/>
    <x v="306"/>
    <x v="10"/>
    <n v="11"/>
    <n v="3"/>
    <s v="Monday"/>
    <x v="3"/>
    <x v="6"/>
    <x v="0"/>
    <s v="Paneer Butter Masala"/>
    <x v="1"/>
    <n v="2"/>
    <n v="325"/>
    <n v="0"/>
    <n v="30"/>
    <n v="650"/>
    <n v="680"/>
    <x v="0"/>
    <x v="0"/>
    <x v="1"/>
    <n v="68"/>
    <n v="4.5999999999999996"/>
  </r>
  <r>
    <x v="4196"/>
    <x v="307"/>
    <x v="10"/>
    <n v="11"/>
    <n v="4"/>
    <s v="Tuesday"/>
    <x v="5"/>
    <x v="3"/>
    <x v="2"/>
    <s v="Masala Dosa"/>
    <x v="1"/>
    <n v="3"/>
    <n v="701"/>
    <n v="140.19999999999999"/>
    <n v="30"/>
    <n v="2103"/>
    <n v="1992.8"/>
    <x v="3"/>
    <x v="0"/>
    <x v="1"/>
    <n v="22"/>
    <n v="4.0999999999999996"/>
  </r>
  <r>
    <x v="4197"/>
    <x v="307"/>
    <x v="10"/>
    <n v="11"/>
    <n v="4"/>
    <s v="Tuesday"/>
    <x v="4"/>
    <x v="2"/>
    <x v="4"/>
    <s v="Veg Momos"/>
    <x v="1"/>
    <n v="2"/>
    <n v="707"/>
    <n v="141.4"/>
    <n v="30"/>
    <n v="1414"/>
    <n v="1302.5999999999999"/>
    <x v="1"/>
    <x v="2"/>
    <x v="0"/>
    <n v="49"/>
    <m/>
  </r>
  <r>
    <x v="4198"/>
    <x v="307"/>
    <x v="10"/>
    <n v="11"/>
    <n v="4"/>
    <s v="Tuesday"/>
    <x v="3"/>
    <x v="10"/>
    <x v="7"/>
    <s v="Veg Biryani"/>
    <x v="3"/>
    <n v="2"/>
    <n v="420"/>
    <n v="42"/>
    <n v="30"/>
    <n v="840"/>
    <n v="828"/>
    <x v="1"/>
    <x v="0"/>
    <x v="1"/>
    <n v="24"/>
    <n v="3.1"/>
  </r>
  <r>
    <x v="4199"/>
    <x v="307"/>
    <x v="10"/>
    <n v="11"/>
    <n v="4"/>
    <s v="Tuesday"/>
    <x v="3"/>
    <x v="2"/>
    <x v="3"/>
    <s v="Fried Rice"/>
    <x v="1"/>
    <n v="1"/>
    <n v="729"/>
    <n v="0"/>
    <n v="60"/>
    <n v="729"/>
    <n v="789"/>
    <x v="1"/>
    <x v="0"/>
    <x v="1"/>
    <n v="66"/>
    <n v="4"/>
  </r>
  <r>
    <x v="4200"/>
    <x v="307"/>
    <x v="10"/>
    <n v="11"/>
    <n v="4"/>
    <s v="Tuesday"/>
    <x v="4"/>
    <x v="13"/>
    <x v="0"/>
    <s v="Chicken Pizza"/>
    <x v="1"/>
    <n v="2"/>
    <n v="681"/>
    <n v="68.099999999999994"/>
    <n v="60"/>
    <n v="1362"/>
    <n v="1353.9"/>
    <x v="3"/>
    <x v="1"/>
    <x v="1"/>
    <n v="43"/>
    <m/>
  </r>
  <r>
    <x v="4201"/>
    <x v="307"/>
    <x v="10"/>
    <n v="11"/>
    <n v="4"/>
    <s v="Tuesday"/>
    <x v="2"/>
    <x v="1"/>
    <x v="7"/>
    <s v="Fried Rice"/>
    <x v="2"/>
    <n v="1"/>
    <n v="857"/>
    <n v="42.85"/>
    <n v="20"/>
    <n v="857"/>
    <n v="834.15"/>
    <x v="2"/>
    <x v="0"/>
    <x v="0"/>
    <n v="66"/>
    <n v="5"/>
  </r>
  <r>
    <x v="4202"/>
    <x v="307"/>
    <x v="10"/>
    <n v="11"/>
    <n v="4"/>
    <s v="Tuesday"/>
    <x v="4"/>
    <x v="10"/>
    <x v="9"/>
    <s v="Masala Dosa"/>
    <x v="2"/>
    <n v="3"/>
    <n v="660"/>
    <n v="33"/>
    <n v="40"/>
    <n v="1980"/>
    <n v="1987"/>
    <x v="1"/>
    <x v="0"/>
    <x v="1"/>
    <n v="52"/>
    <n v="5"/>
  </r>
  <r>
    <x v="4203"/>
    <x v="307"/>
    <x v="10"/>
    <n v="11"/>
    <n v="4"/>
    <s v="Tuesday"/>
    <x v="3"/>
    <x v="3"/>
    <x v="1"/>
    <s v="Veg Biryani"/>
    <x v="1"/>
    <n v="1"/>
    <n v="506"/>
    <n v="0"/>
    <n v="40"/>
    <n v="506"/>
    <n v="546"/>
    <x v="0"/>
    <x v="0"/>
    <x v="1"/>
    <n v="18"/>
    <n v="5"/>
  </r>
  <r>
    <x v="4204"/>
    <x v="307"/>
    <x v="10"/>
    <n v="11"/>
    <n v="4"/>
    <s v="Tuesday"/>
    <x v="5"/>
    <x v="11"/>
    <x v="8"/>
    <s v="Cold Coffee"/>
    <x v="1"/>
    <n v="1"/>
    <n v="356"/>
    <n v="71.2"/>
    <n v="40"/>
    <n v="356"/>
    <n v="324.8"/>
    <x v="0"/>
    <x v="0"/>
    <x v="1"/>
    <n v="38"/>
    <n v="3"/>
  </r>
  <r>
    <x v="4205"/>
    <x v="307"/>
    <x v="10"/>
    <n v="11"/>
    <n v="4"/>
    <s v="Tuesday"/>
    <x v="9"/>
    <x v="9"/>
    <x v="6"/>
    <s v="French Fries"/>
    <x v="2"/>
    <n v="1"/>
    <n v="589"/>
    <n v="147.25"/>
    <n v="50"/>
    <n v="589"/>
    <n v="491.75"/>
    <x v="3"/>
    <x v="1"/>
    <x v="1"/>
    <n v="61"/>
    <m/>
  </r>
  <r>
    <x v="4206"/>
    <x v="307"/>
    <x v="10"/>
    <n v="11"/>
    <n v="4"/>
    <s v="Tuesday"/>
    <x v="1"/>
    <x v="5"/>
    <x v="1"/>
    <s v="Chicken Pizza"/>
    <x v="1"/>
    <n v="2"/>
    <n v="168"/>
    <n v="25.2"/>
    <n v="40"/>
    <n v="336"/>
    <n v="350.8"/>
    <x v="1"/>
    <x v="0"/>
    <x v="0"/>
    <n v="35"/>
    <n v="4.5"/>
  </r>
  <r>
    <x v="4207"/>
    <x v="307"/>
    <x v="10"/>
    <n v="11"/>
    <n v="4"/>
    <s v="Tuesday"/>
    <x v="3"/>
    <x v="1"/>
    <x v="5"/>
    <s v="Cold Coffee"/>
    <x v="1"/>
    <n v="1"/>
    <n v="205"/>
    <n v="51.25"/>
    <n v="30"/>
    <n v="205"/>
    <n v="183.75"/>
    <x v="1"/>
    <x v="0"/>
    <x v="1"/>
    <n v="47"/>
    <n v="5"/>
  </r>
  <r>
    <x v="4208"/>
    <x v="308"/>
    <x v="10"/>
    <n v="11"/>
    <n v="5"/>
    <s v="Wednesday"/>
    <x v="3"/>
    <x v="3"/>
    <x v="9"/>
    <s v="Veg Momos"/>
    <x v="3"/>
    <n v="1"/>
    <n v="694"/>
    <n v="138.80000000000001"/>
    <n v="50"/>
    <n v="694"/>
    <n v="605.20000000000005"/>
    <x v="4"/>
    <x v="0"/>
    <x v="0"/>
    <n v="43"/>
    <n v="3.9"/>
  </r>
  <r>
    <x v="4209"/>
    <x v="308"/>
    <x v="10"/>
    <n v="11"/>
    <n v="5"/>
    <s v="Wednesday"/>
    <x v="7"/>
    <x v="0"/>
    <x v="7"/>
    <s v="Fried Rice"/>
    <x v="2"/>
    <n v="2"/>
    <n v="335"/>
    <n v="16.75"/>
    <n v="0"/>
    <n v="670"/>
    <n v="653.25"/>
    <x v="1"/>
    <x v="2"/>
    <x v="0"/>
    <n v="22"/>
    <m/>
  </r>
  <r>
    <x v="4210"/>
    <x v="308"/>
    <x v="10"/>
    <n v="11"/>
    <n v="5"/>
    <s v="Wednesday"/>
    <x v="1"/>
    <x v="8"/>
    <x v="5"/>
    <s v="French Fries"/>
    <x v="1"/>
    <n v="2"/>
    <n v="545"/>
    <n v="81.75"/>
    <n v="50"/>
    <n v="1090"/>
    <n v="1058.25"/>
    <x v="2"/>
    <x v="0"/>
    <x v="1"/>
    <n v="56"/>
    <n v="4"/>
  </r>
  <r>
    <x v="4211"/>
    <x v="308"/>
    <x v="10"/>
    <n v="11"/>
    <n v="5"/>
    <s v="Wednesday"/>
    <x v="4"/>
    <x v="4"/>
    <x v="6"/>
    <s v="Cold Coffee"/>
    <x v="1"/>
    <n v="3"/>
    <n v="160"/>
    <n v="24"/>
    <n v="70"/>
    <n v="480"/>
    <n v="526"/>
    <x v="1"/>
    <x v="0"/>
    <x v="0"/>
    <n v="64"/>
    <n v="4.5999999999999996"/>
  </r>
  <r>
    <x v="4212"/>
    <x v="308"/>
    <x v="10"/>
    <n v="11"/>
    <n v="5"/>
    <s v="Wednesday"/>
    <x v="1"/>
    <x v="2"/>
    <x v="2"/>
    <s v="Chicken Pizza"/>
    <x v="1"/>
    <n v="3"/>
    <n v="383"/>
    <n v="76.599999999999994"/>
    <n v="20"/>
    <n v="1149"/>
    <n v="1092.4000000000001"/>
    <x v="1"/>
    <x v="0"/>
    <x v="1"/>
    <n v="29"/>
    <n v="4"/>
  </r>
  <r>
    <x v="4213"/>
    <x v="308"/>
    <x v="10"/>
    <n v="11"/>
    <n v="5"/>
    <s v="Wednesday"/>
    <x v="2"/>
    <x v="2"/>
    <x v="5"/>
    <s v="Idli Sambar"/>
    <x v="2"/>
    <n v="1"/>
    <n v="900"/>
    <n v="135"/>
    <n v="50"/>
    <n v="900"/>
    <n v="815"/>
    <x v="0"/>
    <x v="0"/>
    <x v="1"/>
    <n v="36"/>
    <n v="5"/>
  </r>
  <r>
    <x v="4214"/>
    <x v="308"/>
    <x v="10"/>
    <n v="11"/>
    <n v="5"/>
    <s v="Wednesday"/>
    <x v="6"/>
    <x v="10"/>
    <x v="2"/>
    <s v="Idli Sambar"/>
    <x v="1"/>
    <n v="2"/>
    <n v="234"/>
    <n v="35.1"/>
    <n v="20"/>
    <n v="468"/>
    <n v="452.9"/>
    <x v="1"/>
    <x v="0"/>
    <x v="0"/>
    <n v="35"/>
    <n v="3.8"/>
  </r>
  <r>
    <x v="4215"/>
    <x v="308"/>
    <x v="10"/>
    <n v="11"/>
    <n v="5"/>
    <s v="Wednesday"/>
    <x v="9"/>
    <x v="8"/>
    <x v="4"/>
    <s v="Veg Pizza"/>
    <x v="1"/>
    <n v="2"/>
    <n v="361"/>
    <n v="90.25"/>
    <n v="40"/>
    <n v="722"/>
    <n v="671.75"/>
    <x v="1"/>
    <x v="0"/>
    <x v="0"/>
    <n v="19"/>
    <n v="5"/>
  </r>
  <r>
    <x v="4216"/>
    <x v="308"/>
    <x v="10"/>
    <n v="11"/>
    <n v="5"/>
    <s v="Wednesday"/>
    <x v="6"/>
    <x v="0"/>
    <x v="2"/>
    <s v="French Fries"/>
    <x v="1"/>
    <n v="2"/>
    <n v="530"/>
    <n v="0"/>
    <n v="50"/>
    <n v="1060"/>
    <n v="1110"/>
    <x v="1"/>
    <x v="0"/>
    <x v="1"/>
    <n v="23"/>
    <n v="4"/>
  </r>
  <r>
    <x v="4217"/>
    <x v="308"/>
    <x v="10"/>
    <n v="11"/>
    <n v="5"/>
    <s v="Wednesday"/>
    <x v="2"/>
    <x v="0"/>
    <x v="3"/>
    <s v="Veg Biryani"/>
    <x v="0"/>
    <n v="1"/>
    <n v="479"/>
    <n v="71.849999999999994"/>
    <n v="40"/>
    <n v="479"/>
    <n v="447.15"/>
    <x v="0"/>
    <x v="0"/>
    <x v="0"/>
    <n v="21"/>
    <n v="4.3"/>
  </r>
  <r>
    <x v="4218"/>
    <x v="308"/>
    <x v="10"/>
    <n v="11"/>
    <n v="5"/>
    <s v="Wednesday"/>
    <x v="9"/>
    <x v="9"/>
    <x v="9"/>
    <s v="Idli Sambar"/>
    <x v="1"/>
    <n v="2"/>
    <n v="647"/>
    <n v="97.05"/>
    <n v="20"/>
    <n v="1294"/>
    <n v="1216.95"/>
    <x v="4"/>
    <x v="0"/>
    <x v="1"/>
    <n v="58"/>
    <n v="3.3"/>
  </r>
  <r>
    <x v="4219"/>
    <x v="308"/>
    <x v="10"/>
    <n v="11"/>
    <n v="5"/>
    <s v="Wednesday"/>
    <x v="5"/>
    <x v="6"/>
    <x v="4"/>
    <s v="Paneer Butter Masala"/>
    <x v="0"/>
    <n v="2"/>
    <n v="365"/>
    <n v="54.75"/>
    <n v="60"/>
    <n v="730"/>
    <n v="735.25"/>
    <x v="1"/>
    <x v="0"/>
    <x v="1"/>
    <n v="31"/>
    <n v="4.2"/>
  </r>
  <r>
    <x v="4220"/>
    <x v="309"/>
    <x v="10"/>
    <n v="11"/>
    <n v="6"/>
    <s v="Thursday"/>
    <x v="1"/>
    <x v="7"/>
    <x v="5"/>
    <s v="Paneer Butter Masala"/>
    <x v="2"/>
    <n v="3"/>
    <n v="867"/>
    <n v="86.7"/>
    <n v="50"/>
    <n v="2601"/>
    <n v="2564.3000000000002"/>
    <x v="4"/>
    <x v="0"/>
    <x v="0"/>
    <n v="36"/>
    <n v="4.4000000000000004"/>
  </r>
  <r>
    <x v="4221"/>
    <x v="309"/>
    <x v="10"/>
    <n v="11"/>
    <n v="6"/>
    <s v="Thursday"/>
    <x v="2"/>
    <x v="6"/>
    <x v="8"/>
    <s v="Veg Burger"/>
    <x v="1"/>
    <n v="1"/>
    <n v="534"/>
    <n v="0"/>
    <n v="60"/>
    <n v="534"/>
    <n v="594"/>
    <x v="1"/>
    <x v="0"/>
    <x v="1"/>
    <n v="19"/>
    <n v="2.4"/>
  </r>
  <r>
    <x v="4222"/>
    <x v="309"/>
    <x v="10"/>
    <n v="11"/>
    <n v="6"/>
    <s v="Thursday"/>
    <x v="3"/>
    <x v="6"/>
    <x v="2"/>
    <s v="Fried Rice"/>
    <x v="1"/>
    <n v="2"/>
    <n v="360"/>
    <n v="18"/>
    <n v="50"/>
    <n v="720"/>
    <n v="752"/>
    <x v="1"/>
    <x v="2"/>
    <x v="1"/>
    <n v="26"/>
    <m/>
  </r>
  <r>
    <x v="4223"/>
    <x v="309"/>
    <x v="10"/>
    <n v="11"/>
    <n v="6"/>
    <s v="Thursday"/>
    <x v="7"/>
    <x v="0"/>
    <x v="3"/>
    <s v="Chicken Biryani"/>
    <x v="1"/>
    <n v="3"/>
    <n v="481"/>
    <n v="48.1"/>
    <n v="60"/>
    <n v="1443"/>
    <n v="1454.9"/>
    <x v="2"/>
    <x v="0"/>
    <x v="1"/>
    <n v="24"/>
    <n v="4.3"/>
  </r>
  <r>
    <x v="4224"/>
    <x v="309"/>
    <x v="10"/>
    <n v="11"/>
    <n v="6"/>
    <s v="Thursday"/>
    <x v="6"/>
    <x v="5"/>
    <x v="1"/>
    <s v="Fried Rice"/>
    <x v="2"/>
    <n v="2"/>
    <n v="514"/>
    <n v="77.099999999999994"/>
    <n v="0"/>
    <n v="1028"/>
    <n v="950.9"/>
    <x v="3"/>
    <x v="0"/>
    <x v="0"/>
    <n v="46"/>
    <n v="3.7"/>
  </r>
  <r>
    <x v="4225"/>
    <x v="309"/>
    <x v="10"/>
    <n v="11"/>
    <n v="6"/>
    <s v="Thursday"/>
    <x v="1"/>
    <x v="2"/>
    <x v="0"/>
    <s v="Chicken Biryani"/>
    <x v="1"/>
    <n v="2"/>
    <n v="347"/>
    <n v="86.75"/>
    <n v="50"/>
    <n v="694"/>
    <n v="657.25"/>
    <x v="1"/>
    <x v="0"/>
    <x v="1"/>
    <n v="28"/>
    <n v="3.2"/>
  </r>
  <r>
    <x v="4226"/>
    <x v="309"/>
    <x v="10"/>
    <n v="11"/>
    <n v="6"/>
    <s v="Thursday"/>
    <x v="4"/>
    <x v="0"/>
    <x v="4"/>
    <s v="French Fries"/>
    <x v="1"/>
    <n v="1"/>
    <n v="813"/>
    <n v="121.95"/>
    <n v="0"/>
    <n v="813"/>
    <n v="691.05"/>
    <x v="1"/>
    <x v="2"/>
    <x v="1"/>
    <n v="58"/>
    <m/>
  </r>
  <r>
    <x v="4227"/>
    <x v="309"/>
    <x v="10"/>
    <n v="11"/>
    <n v="6"/>
    <s v="Thursday"/>
    <x v="3"/>
    <x v="11"/>
    <x v="9"/>
    <s v="Chocolate Cake"/>
    <x v="1"/>
    <n v="1"/>
    <n v="642"/>
    <n v="96.3"/>
    <n v="20"/>
    <n v="642"/>
    <n v="565.70000000000005"/>
    <x v="1"/>
    <x v="0"/>
    <x v="1"/>
    <n v="51"/>
    <n v="5"/>
  </r>
  <r>
    <x v="4228"/>
    <x v="309"/>
    <x v="10"/>
    <n v="11"/>
    <n v="6"/>
    <s v="Thursday"/>
    <x v="0"/>
    <x v="12"/>
    <x v="6"/>
    <s v="Chicken Biryani"/>
    <x v="1"/>
    <n v="3"/>
    <n v="460"/>
    <n v="115"/>
    <n v="30"/>
    <n v="1380"/>
    <n v="1295"/>
    <x v="2"/>
    <x v="3"/>
    <x v="1"/>
    <n v="26"/>
    <m/>
  </r>
  <r>
    <x v="4229"/>
    <x v="309"/>
    <x v="10"/>
    <n v="11"/>
    <n v="6"/>
    <s v="Thursday"/>
    <x v="3"/>
    <x v="1"/>
    <x v="3"/>
    <s v="Veg Pizza"/>
    <x v="1"/>
    <n v="1"/>
    <n v="588"/>
    <n v="147"/>
    <n v="60"/>
    <n v="588"/>
    <n v="501"/>
    <x v="1"/>
    <x v="0"/>
    <x v="0"/>
    <n v="60"/>
    <n v="3.9"/>
  </r>
  <r>
    <x v="4230"/>
    <x v="309"/>
    <x v="10"/>
    <n v="11"/>
    <n v="6"/>
    <s v="Thursday"/>
    <x v="3"/>
    <x v="0"/>
    <x v="4"/>
    <s v="Veg Pizza"/>
    <x v="1"/>
    <n v="1"/>
    <n v="809"/>
    <n v="40.450000000000003"/>
    <n v="70"/>
    <n v="809"/>
    <n v="838.55"/>
    <x v="2"/>
    <x v="0"/>
    <x v="0"/>
    <n v="68"/>
    <n v="3.8"/>
  </r>
  <r>
    <x v="4231"/>
    <x v="309"/>
    <x v="10"/>
    <n v="11"/>
    <n v="6"/>
    <s v="Thursday"/>
    <x v="0"/>
    <x v="12"/>
    <x v="6"/>
    <s v="Chicken Momos"/>
    <x v="1"/>
    <n v="1"/>
    <n v="865"/>
    <n v="129.75"/>
    <n v="40"/>
    <n v="865"/>
    <n v="775.25"/>
    <x v="1"/>
    <x v="0"/>
    <x v="1"/>
    <n v="49"/>
    <n v="4.0999999999999996"/>
  </r>
  <r>
    <x v="4232"/>
    <x v="309"/>
    <x v="10"/>
    <n v="11"/>
    <n v="6"/>
    <s v="Thursday"/>
    <x v="0"/>
    <x v="0"/>
    <x v="2"/>
    <s v="Veg Momos"/>
    <x v="2"/>
    <n v="2"/>
    <n v="285"/>
    <n v="0"/>
    <n v="50"/>
    <n v="570"/>
    <n v="620"/>
    <x v="2"/>
    <x v="0"/>
    <x v="0"/>
    <n v="20"/>
    <n v="3.6"/>
  </r>
  <r>
    <x v="4233"/>
    <x v="309"/>
    <x v="10"/>
    <n v="11"/>
    <n v="6"/>
    <s v="Thursday"/>
    <x v="4"/>
    <x v="0"/>
    <x v="3"/>
    <s v="French Fries"/>
    <x v="1"/>
    <n v="1"/>
    <n v="818"/>
    <n v="40.9"/>
    <n v="40"/>
    <n v="818"/>
    <n v="817.1"/>
    <x v="0"/>
    <x v="0"/>
    <x v="1"/>
    <n v="45"/>
    <n v="4.2"/>
  </r>
  <r>
    <x v="4234"/>
    <x v="309"/>
    <x v="10"/>
    <n v="11"/>
    <n v="6"/>
    <s v="Thursday"/>
    <x v="9"/>
    <x v="5"/>
    <x v="0"/>
    <s v="Idli Sambar"/>
    <x v="1"/>
    <n v="3"/>
    <n v="318"/>
    <n v="47.7"/>
    <n v="20"/>
    <n v="954"/>
    <n v="926.3"/>
    <x v="0"/>
    <x v="0"/>
    <x v="1"/>
    <n v="47"/>
    <n v="4.5999999999999996"/>
  </r>
  <r>
    <x v="4235"/>
    <x v="309"/>
    <x v="10"/>
    <n v="11"/>
    <n v="6"/>
    <s v="Thursday"/>
    <x v="0"/>
    <x v="0"/>
    <x v="5"/>
    <s v="Idli Sambar"/>
    <x v="2"/>
    <n v="3"/>
    <n v="509"/>
    <n v="50.9"/>
    <n v="30"/>
    <n v="1527"/>
    <n v="1506.1"/>
    <x v="1"/>
    <x v="0"/>
    <x v="0"/>
    <n v="63"/>
    <n v="4"/>
  </r>
  <r>
    <x v="4236"/>
    <x v="309"/>
    <x v="10"/>
    <n v="11"/>
    <n v="6"/>
    <s v="Thursday"/>
    <x v="5"/>
    <x v="1"/>
    <x v="9"/>
    <s v="Veg Pizza"/>
    <x v="1"/>
    <n v="2"/>
    <n v="721"/>
    <n v="144.19999999999999"/>
    <n v="20"/>
    <n v="1442"/>
    <n v="1317.8"/>
    <x v="2"/>
    <x v="0"/>
    <x v="1"/>
    <n v="47"/>
    <n v="4"/>
  </r>
  <r>
    <x v="4237"/>
    <x v="309"/>
    <x v="10"/>
    <n v="11"/>
    <n v="6"/>
    <s v="Thursday"/>
    <x v="1"/>
    <x v="12"/>
    <x v="4"/>
    <s v="Paneer Butter Masala"/>
    <x v="1"/>
    <n v="1"/>
    <n v="330"/>
    <n v="49.5"/>
    <n v="40"/>
    <n v="330"/>
    <n v="320.5"/>
    <x v="4"/>
    <x v="0"/>
    <x v="0"/>
    <n v="18"/>
    <n v="3.1"/>
  </r>
  <r>
    <x v="4238"/>
    <x v="309"/>
    <x v="10"/>
    <n v="11"/>
    <n v="6"/>
    <s v="Thursday"/>
    <x v="3"/>
    <x v="11"/>
    <x v="6"/>
    <s v="Veg Pizza"/>
    <x v="1"/>
    <n v="1"/>
    <n v="689"/>
    <n v="172.25"/>
    <n v="60"/>
    <n v="689"/>
    <n v="576.75"/>
    <x v="1"/>
    <x v="1"/>
    <x v="0"/>
    <n v="69"/>
    <m/>
  </r>
  <r>
    <x v="4239"/>
    <x v="310"/>
    <x v="10"/>
    <n v="11"/>
    <n v="7"/>
    <s v="Friday"/>
    <x v="5"/>
    <x v="3"/>
    <x v="6"/>
    <s v="Idli Sambar"/>
    <x v="1"/>
    <n v="2"/>
    <n v="594"/>
    <n v="89.1"/>
    <n v="40"/>
    <n v="1188"/>
    <n v="1138.9000000000001"/>
    <x v="2"/>
    <x v="0"/>
    <x v="1"/>
    <n v="49"/>
    <n v="4.2"/>
  </r>
  <r>
    <x v="4240"/>
    <x v="310"/>
    <x v="10"/>
    <n v="11"/>
    <n v="7"/>
    <s v="Friday"/>
    <x v="1"/>
    <x v="14"/>
    <x v="3"/>
    <s v="Idli Sambar"/>
    <x v="0"/>
    <n v="1"/>
    <n v="716"/>
    <n v="71.599999999999994"/>
    <n v="0"/>
    <n v="716"/>
    <n v="644.4"/>
    <x v="1"/>
    <x v="0"/>
    <x v="1"/>
    <n v="19"/>
    <n v="4.9000000000000004"/>
  </r>
  <r>
    <x v="4241"/>
    <x v="310"/>
    <x v="10"/>
    <n v="11"/>
    <n v="7"/>
    <s v="Friday"/>
    <x v="1"/>
    <x v="7"/>
    <x v="1"/>
    <s v="Chicken Biryani"/>
    <x v="1"/>
    <n v="1"/>
    <n v="338"/>
    <n v="0"/>
    <n v="40"/>
    <n v="338"/>
    <n v="378"/>
    <x v="1"/>
    <x v="0"/>
    <x v="1"/>
    <n v="44"/>
    <n v="3.4"/>
  </r>
  <r>
    <x v="4242"/>
    <x v="310"/>
    <x v="10"/>
    <n v="11"/>
    <n v="7"/>
    <s v="Friday"/>
    <x v="3"/>
    <x v="10"/>
    <x v="9"/>
    <s v="Veg Burger"/>
    <x v="1"/>
    <n v="2"/>
    <n v="568"/>
    <n v="142"/>
    <n v="40"/>
    <n v="1136"/>
    <n v="1034"/>
    <x v="4"/>
    <x v="0"/>
    <x v="0"/>
    <n v="24"/>
    <n v="4.3"/>
  </r>
  <r>
    <x v="4243"/>
    <x v="310"/>
    <x v="10"/>
    <n v="11"/>
    <n v="7"/>
    <s v="Friday"/>
    <x v="3"/>
    <x v="14"/>
    <x v="5"/>
    <s v="Fried Rice"/>
    <x v="1"/>
    <n v="1"/>
    <n v="203"/>
    <n v="10.15"/>
    <n v="40"/>
    <n v="203"/>
    <n v="232.85"/>
    <x v="3"/>
    <x v="0"/>
    <x v="1"/>
    <n v="40"/>
    <n v="3.8"/>
  </r>
  <r>
    <x v="4244"/>
    <x v="310"/>
    <x v="10"/>
    <n v="11"/>
    <n v="7"/>
    <s v="Friday"/>
    <x v="3"/>
    <x v="10"/>
    <x v="7"/>
    <s v="Veg Pizza"/>
    <x v="1"/>
    <n v="2"/>
    <n v="213"/>
    <n v="21.3"/>
    <n v="60"/>
    <n v="426"/>
    <n v="464.7"/>
    <x v="2"/>
    <x v="0"/>
    <x v="1"/>
    <n v="55"/>
    <n v="5"/>
  </r>
  <r>
    <x v="4245"/>
    <x v="310"/>
    <x v="10"/>
    <n v="11"/>
    <n v="7"/>
    <s v="Friday"/>
    <x v="5"/>
    <x v="4"/>
    <x v="3"/>
    <s v="Chicken Burger"/>
    <x v="1"/>
    <n v="1"/>
    <n v="316"/>
    <n v="0"/>
    <n v="60"/>
    <n v="316"/>
    <n v="376"/>
    <x v="3"/>
    <x v="0"/>
    <x v="1"/>
    <n v="46"/>
    <n v="5"/>
  </r>
  <r>
    <x v="4246"/>
    <x v="310"/>
    <x v="10"/>
    <n v="11"/>
    <n v="7"/>
    <s v="Friday"/>
    <x v="3"/>
    <x v="3"/>
    <x v="1"/>
    <s v="Cold Coffee"/>
    <x v="1"/>
    <n v="1"/>
    <n v="203"/>
    <n v="40.6"/>
    <n v="40"/>
    <n v="203"/>
    <n v="202.4"/>
    <x v="0"/>
    <x v="0"/>
    <x v="0"/>
    <n v="44"/>
    <n v="4"/>
  </r>
  <r>
    <x v="4247"/>
    <x v="310"/>
    <x v="10"/>
    <n v="11"/>
    <n v="7"/>
    <s v="Friday"/>
    <x v="3"/>
    <x v="0"/>
    <x v="0"/>
    <s v="Chicken Biryani"/>
    <x v="1"/>
    <n v="1"/>
    <n v="375"/>
    <n v="93.75"/>
    <n v="30"/>
    <n v="375"/>
    <n v="311.25"/>
    <x v="1"/>
    <x v="0"/>
    <x v="1"/>
    <n v="49"/>
    <n v="4.4000000000000004"/>
  </r>
  <r>
    <x v="4248"/>
    <x v="310"/>
    <x v="10"/>
    <n v="11"/>
    <n v="7"/>
    <s v="Friday"/>
    <x v="7"/>
    <x v="8"/>
    <x v="6"/>
    <s v="Cold Coffee"/>
    <x v="1"/>
    <n v="1"/>
    <n v="773"/>
    <n v="154.6"/>
    <n v="40"/>
    <n v="773"/>
    <n v="658.4"/>
    <x v="1"/>
    <x v="0"/>
    <x v="0"/>
    <n v="36"/>
    <n v="4.4000000000000004"/>
  </r>
  <r>
    <x v="4249"/>
    <x v="310"/>
    <x v="10"/>
    <n v="11"/>
    <n v="7"/>
    <s v="Friday"/>
    <x v="0"/>
    <x v="5"/>
    <x v="9"/>
    <s v="Chicken Burger"/>
    <x v="2"/>
    <n v="1"/>
    <n v="122"/>
    <n v="24.4"/>
    <n v="20"/>
    <n v="122"/>
    <n v="117.6"/>
    <x v="0"/>
    <x v="0"/>
    <x v="0"/>
    <n v="34"/>
    <n v="3.4"/>
  </r>
  <r>
    <x v="4250"/>
    <x v="310"/>
    <x v="10"/>
    <n v="11"/>
    <n v="7"/>
    <s v="Friday"/>
    <x v="4"/>
    <x v="6"/>
    <x v="9"/>
    <s v="Paneer Butter Masala"/>
    <x v="1"/>
    <n v="2"/>
    <n v="629"/>
    <n v="62.9"/>
    <n v="20"/>
    <n v="1258"/>
    <n v="1215.0999999999999"/>
    <x v="3"/>
    <x v="0"/>
    <x v="1"/>
    <n v="68"/>
    <n v="3.3"/>
  </r>
  <r>
    <x v="4251"/>
    <x v="310"/>
    <x v="10"/>
    <n v="11"/>
    <n v="7"/>
    <s v="Friday"/>
    <x v="0"/>
    <x v="1"/>
    <x v="3"/>
    <s v="Chicken Burger"/>
    <x v="0"/>
    <n v="1"/>
    <n v="724"/>
    <n v="0"/>
    <n v="0"/>
    <n v="724"/>
    <n v="724"/>
    <x v="1"/>
    <x v="0"/>
    <x v="0"/>
    <n v="54"/>
    <n v="4.2"/>
  </r>
  <r>
    <x v="4252"/>
    <x v="310"/>
    <x v="10"/>
    <n v="11"/>
    <n v="7"/>
    <s v="Friday"/>
    <x v="5"/>
    <x v="1"/>
    <x v="9"/>
    <s v="Veg Pizza"/>
    <x v="2"/>
    <n v="1"/>
    <n v="325"/>
    <n v="48.75"/>
    <n v="30"/>
    <n v="325"/>
    <n v="306.25"/>
    <x v="1"/>
    <x v="0"/>
    <x v="1"/>
    <n v="18"/>
    <n v="4.2"/>
  </r>
  <r>
    <x v="4253"/>
    <x v="311"/>
    <x v="10"/>
    <n v="11"/>
    <n v="8"/>
    <s v="Saturday"/>
    <x v="3"/>
    <x v="7"/>
    <x v="5"/>
    <s v="Chicken Burger"/>
    <x v="2"/>
    <n v="1"/>
    <n v="449"/>
    <n v="0"/>
    <n v="50"/>
    <n v="449"/>
    <n v="499"/>
    <x v="1"/>
    <x v="2"/>
    <x v="1"/>
    <n v="25"/>
    <m/>
  </r>
  <r>
    <x v="4254"/>
    <x v="311"/>
    <x v="10"/>
    <n v="11"/>
    <n v="8"/>
    <s v="Saturday"/>
    <x v="8"/>
    <x v="0"/>
    <x v="2"/>
    <s v="Chicken Biryani"/>
    <x v="1"/>
    <n v="1"/>
    <n v="188"/>
    <n v="47"/>
    <n v="70"/>
    <n v="188"/>
    <n v="211"/>
    <x v="1"/>
    <x v="0"/>
    <x v="0"/>
    <n v="18"/>
    <n v="3.8"/>
  </r>
  <r>
    <x v="4255"/>
    <x v="311"/>
    <x v="10"/>
    <n v="11"/>
    <n v="8"/>
    <s v="Saturday"/>
    <x v="4"/>
    <x v="0"/>
    <x v="3"/>
    <s v="Masala Dosa"/>
    <x v="1"/>
    <n v="1"/>
    <n v="532"/>
    <n v="53.2"/>
    <n v="20"/>
    <n v="532"/>
    <n v="498.8"/>
    <x v="1"/>
    <x v="0"/>
    <x v="1"/>
    <n v="68"/>
    <n v="4.2"/>
  </r>
  <r>
    <x v="4256"/>
    <x v="311"/>
    <x v="10"/>
    <n v="11"/>
    <n v="8"/>
    <s v="Saturday"/>
    <x v="3"/>
    <x v="6"/>
    <x v="9"/>
    <s v="Pasta"/>
    <x v="2"/>
    <n v="1"/>
    <n v="718"/>
    <n v="0"/>
    <n v="30"/>
    <n v="718"/>
    <n v="748"/>
    <x v="0"/>
    <x v="0"/>
    <x v="1"/>
    <n v="37"/>
    <n v="3.9"/>
  </r>
  <r>
    <x v="4257"/>
    <x v="311"/>
    <x v="10"/>
    <n v="11"/>
    <n v="8"/>
    <s v="Saturday"/>
    <x v="1"/>
    <x v="11"/>
    <x v="7"/>
    <s v="Paneer Butter Masala"/>
    <x v="2"/>
    <n v="2"/>
    <n v="128"/>
    <n v="32"/>
    <n v="30"/>
    <n v="256"/>
    <n v="254"/>
    <x v="1"/>
    <x v="0"/>
    <x v="0"/>
    <n v="53"/>
    <n v="3.5"/>
  </r>
  <r>
    <x v="4258"/>
    <x v="311"/>
    <x v="10"/>
    <n v="11"/>
    <n v="8"/>
    <s v="Saturday"/>
    <x v="9"/>
    <x v="12"/>
    <x v="2"/>
    <s v="Paneer Butter Masala"/>
    <x v="1"/>
    <n v="2"/>
    <n v="566"/>
    <n v="141.5"/>
    <n v="30"/>
    <n v="1132"/>
    <n v="1020.5"/>
    <x v="1"/>
    <x v="0"/>
    <x v="1"/>
    <n v="26"/>
    <n v="4.7"/>
  </r>
  <r>
    <x v="4259"/>
    <x v="311"/>
    <x v="10"/>
    <n v="11"/>
    <n v="8"/>
    <s v="Saturday"/>
    <x v="4"/>
    <x v="1"/>
    <x v="0"/>
    <s v="Veg Momos"/>
    <x v="1"/>
    <n v="2"/>
    <n v="160"/>
    <n v="24"/>
    <n v="50"/>
    <n v="320"/>
    <n v="346"/>
    <x v="1"/>
    <x v="0"/>
    <x v="1"/>
    <n v="35"/>
    <n v="3.5"/>
  </r>
  <r>
    <x v="4260"/>
    <x v="311"/>
    <x v="10"/>
    <n v="11"/>
    <n v="8"/>
    <s v="Saturday"/>
    <x v="0"/>
    <x v="2"/>
    <x v="7"/>
    <s v="Veg Burger"/>
    <x v="1"/>
    <n v="3"/>
    <n v="433"/>
    <n v="86.6"/>
    <n v="40"/>
    <n v="1299"/>
    <n v="1252.4000000000001"/>
    <x v="4"/>
    <x v="0"/>
    <x v="1"/>
    <n v="25"/>
    <n v="4"/>
  </r>
  <r>
    <x v="4261"/>
    <x v="311"/>
    <x v="10"/>
    <n v="11"/>
    <n v="8"/>
    <s v="Saturday"/>
    <x v="5"/>
    <x v="14"/>
    <x v="7"/>
    <s v="Veg Pizza"/>
    <x v="2"/>
    <n v="3"/>
    <n v="444"/>
    <n v="44.4"/>
    <n v="40"/>
    <n v="1332"/>
    <n v="1327.6"/>
    <x v="0"/>
    <x v="0"/>
    <x v="0"/>
    <n v="40"/>
    <n v="4.3"/>
  </r>
  <r>
    <x v="4262"/>
    <x v="311"/>
    <x v="10"/>
    <n v="11"/>
    <n v="8"/>
    <s v="Saturday"/>
    <x v="3"/>
    <x v="8"/>
    <x v="2"/>
    <s v="Chicken Burger"/>
    <x v="1"/>
    <n v="2"/>
    <n v="618"/>
    <n v="123.6"/>
    <n v="0"/>
    <n v="1236"/>
    <n v="1112.4000000000001"/>
    <x v="0"/>
    <x v="0"/>
    <x v="1"/>
    <n v="57"/>
    <n v="4"/>
  </r>
  <r>
    <x v="4263"/>
    <x v="311"/>
    <x v="10"/>
    <n v="11"/>
    <n v="8"/>
    <s v="Saturday"/>
    <x v="1"/>
    <x v="7"/>
    <x v="8"/>
    <s v="Veg Momos"/>
    <x v="1"/>
    <n v="1"/>
    <n v="309"/>
    <n v="0"/>
    <n v="30"/>
    <n v="309"/>
    <n v="339"/>
    <x v="3"/>
    <x v="0"/>
    <x v="1"/>
    <n v="59"/>
    <n v="3"/>
  </r>
  <r>
    <x v="4264"/>
    <x v="311"/>
    <x v="10"/>
    <n v="11"/>
    <n v="8"/>
    <s v="Saturday"/>
    <x v="2"/>
    <x v="9"/>
    <x v="5"/>
    <s v="Veg Burger"/>
    <x v="1"/>
    <n v="1"/>
    <n v="594"/>
    <n v="59.4"/>
    <n v="50"/>
    <n v="594"/>
    <n v="584.6"/>
    <x v="1"/>
    <x v="0"/>
    <x v="1"/>
    <n v="36"/>
    <n v="3.8"/>
  </r>
  <r>
    <x v="4265"/>
    <x v="311"/>
    <x v="10"/>
    <n v="11"/>
    <n v="8"/>
    <s v="Saturday"/>
    <x v="5"/>
    <x v="5"/>
    <x v="3"/>
    <s v="Veg Biryani"/>
    <x v="1"/>
    <n v="3"/>
    <n v="384"/>
    <n v="0"/>
    <n v="70"/>
    <n v="1152"/>
    <n v="1222"/>
    <x v="1"/>
    <x v="3"/>
    <x v="1"/>
    <n v="65"/>
    <m/>
  </r>
  <r>
    <x v="4266"/>
    <x v="312"/>
    <x v="10"/>
    <n v="11"/>
    <n v="9"/>
    <s v="Sunday"/>
    <x v="8"/>
    <x v="7"/>
    <x v="8"/>
    <s v="Chicken Biryani"/>
    <x v="2"/>
    <n v="2"/>
    <n v="309"/>
    <n v="0"/>
    <n v="40"/>
    <n v="618"/>
    <n v="658"/>
    <x v="3"/>
    <x v="0"/>
    <x v="0"/>
    <n v="28"/>
    <n v="5"/>
  </r>
  <r>
    <x v="4267"/>
    <x v="312"/>
    <x v="10"/>
    <n v="11"/>
    <n v="9"/>
    <s v="Sunday"/>
    <x v="7"/>
    <x v="12"/>
    <x v="2"/>
    <s v="Chicken Pizza"/>
    <x v="1"/>
    <n v="1"/>
    <n v="413"/>
    <n v="0"/>
    <n v="40"/>
    <n v="413"/>
    <n v="453"/>
    <x v="2"/>
    <x v="0"/>
    <x v="0"/>
    <n v="42"/>
    <n v="5"/>
  </r>
  <r>
    <x v="4268"/>
    <x v="312"/>
    <x v="10"/>
    <n v="11"/>
    <n v="9"/>
    <s v="Sunday"/>
    <x v="6"/>
    <x v="6"/>
    <x v="8"/>
    <s v="Cold Coffee"/>
    <x v="1"/>
    <n v="2"/>
    <n v="669"/>
    <n v="66.900000000000006"/>
    <n v="70"/>
    <n v="1338"/>
    <n v="1341.1"/>
    <x v="3"/>
    <x v="0"/>
    <x v="1"/>
    <n v="60"/>
    <n v="4.2"/>
  </r>
  <r>
    <x v="4269"/>
    <x v="312"/>
    <x v="10"/>
    <n v="11"/>
    <n v="9"/>
    <s v="Sunday"/>
    <x v="2"/>
    <x v="8"/>
    <x v="0"/>
    <s v="Cold Coffee"/>
    <x v="1"/>
    <n v="1"/>
    <n v="757"/>
    <n v="75.7"/>
    <n v="30"/>
    <n v="757"/>
    <n v="711.3"/>
    <x v="3"/>
    <x v="0"/>
    <x v="1"/>
    <n v="35"/>
    <n v="4.0999999999999996"/>
  </r>
  <r>
    <x v="4270"/>
    <x v="312"/>
    <x v="10"/>
    <n v="11"/>
    <n v="9"/>
    <s v="Sunday"/>
    <x v="0"/>
    <x v="4"/>
    <x v="7"/>
    <s v="Chicken Burger"/>
    <x v="1"/>
    <n v="1"/>
    <n v="292"/>
    <n v="0"/>
    <n v="60"/>
    <n v="292"/>
    <n v="352"/>
    <x v="3"/>
    <x v="0"/>
    <x v="1"/>
    <n v="20"/>
    <n v="4.4000000000000004"/>
  </r>
  <r>
    <x v="4271"/>
    <x v="312"/>
    <x v="10"/>
    <n v="11"/>
    <n v="9"/>
    <s v="Sunday"/>
    <x v="1"/>
    <x v="7"/>
    <x v="7"/>
    <s v="Chicken Momos"/>
    <x v="1"/>
    <n v="2"/>
    <n v="128"/>
    <n v="25.6"/>
    <n v="40"/>
    <n v="256"/>
    <n v="270.39999999999998"/>
    <x v="1"/>
    <x v="0"/>
    <x v="1"/>
    <n v="69"/>
    <n v="4.7"/>
  </r>
  <r>
    <x v="4272"/>
    <x v="312"/>
    <x v="10"/>
    <n v="11"/>
    <n v="9"/>
    <s v="Sunday"/>
    <x v="4"/>
    <x v="11"/>
    <x v="3"/>
    <s v="Chicken Momos"/>
    <x v="1"/>
    <n v="1"/>
    <n v="847"/>
    <n v="127.05"/>
    <n v="40"/>
    <n v="847"/>
    <n v="759.95"/>
    <x v="1"/>
    <x v="0"/>
    <x v="1"/>
    <n v="33"/>
    <n v="4.0999999999999996"/>
  </r>
  <r>
    <x v="4273"/>
    <x v="312"/>
    <x v="10"/>
    <n v="11"/>
    <n v="9"/>
    <s v="Sunday"/>
    <x v="1"/>
    <x v="5"/>
    <x v="6"/>
    <s v="Idli Sambar"/>
    <x v="0"/>
    <n v="1"/>
    <n v="270"/>
    <n v="54"/>
    <n v="60"/>
    <n v="270"/>
    <n v="276"/>
    <x v="1"/>
    <x v="0"/>
    <x v="1"/>
    <n v="30"/>
    <n v="2.9"/>
  </r>
  <r>
    <x v="4274"/>
    <x v="312"/>
    <x v="10"/>
    <n v="11"/>
    <n v="9"/>
    <s v="Sunday"/>
    <x v="5"/>
    <x v="3"/>
    <x v="7"/>
    <s v="Cold Coffee"/>
    <x v="0"/>
    <n v="3"/>
    <n v="491"/>
    <n v="98.2"/>
    <n v="30"/>
    <n v="1473"/>
    <n v="1404.8"/>
    <x v="0"/>
    <x v="0"/>
    <x v="1"/>
    <n v="31"/>
    <n v="4.8"/>
  </r>
  <r>
    <x v="4275"/>
    <x v="312"/>
    <x v="10"/>
    <n v="11"/>
    <n v="9"/>
    <s v="Sunday"/>
    <x v="7"/>
    <x v="11"/>
    <x v="2"/>
    <s v="Masala Dosa"/>
    <x v="1"/>
    <n v="3"/>
    <n v="874"/>
    <n v="131.1"/>
    <n v="50"/>
    <n v="2622"/>
    <n v="2540.9"/>
    <x v="1"/>
    <x v="1"/>
    <x v="1"/>
    <n v="63"/>
    <m/>
  </r>
  <r>
    <x v="4276"/>
    <x v="312"/>
    <x v="10"/>
    <n v="11"/>
    <n v="9"/>
    <s v="Sunday"/>
    <x v="5"/>
    <x v="4"/>
    <x v="5"/>
    <s v="Chocolate Cake"/>
    <x v="2"/>
    <n v="1"/>
    <n v="605"/>
    <n v="60.5"/>
    <n v="30"/>
    <n v="605"/>
    <n v="574.5"/>
    <x v="2"/>
    <x v="0"/>
    <x v="0"/>
    <n v="35"/>
    <n v="4.3"/>
  </r>
  <r>
    <x v="4277"/>
    <x v="312"/>
    <x v="10"/>
    <n v="11"/>
    <n v="9"/>
    <s v="Sunday"/>
    <x v="6"/>
    <x v="8"/>
    <x v="1"/>
    <s v="Idli Sambar"/>
    <x v="1"/>
    <n v="2"/>
    <n v="736"/>
    <n v="73.599999999999994"/>
    <n v="30"/>
    <n v="1472"/>
    <n v="1428.4"/>
    <x v="1"/>
    <x v="1"/>
    <x v="1"/>
    <n v="30"/>
    <m/>
  </r>
  <r>
    <x v="4278"/>
    <x v="312"/>
    <x v="10"/>
    <n v="11"/>
    <n v="9"/>
    <s v="Sunday"/>
    <x v="0"/>
    <x v="1"/>
    <x v="8"/>
    <s v="Fried Rice"/>
    <x v="1"/>
    <n v="3"/>
    <n v="738"/>
    <n v="110.7"/>
    <n v="60"/>
    <n v="2214"/>
    <n v="2163.3000000000002"/>
    <x v="4"/>
    <x v="0"/>
    <x v="0"/>
    <n v="49"/>
    <n v="3.7"/>
  </r>
  <r>
    <x v="4279"/>
    <x v="312"/>
    <x v="10"/>
    <n v="11"/>
    <n v="9"/>
    <s v="Sunday"/>
    <x v="8"/>
    <x v="6"/>
    <x v="5"/>
    <s v="Chicken Pizza"/>
    <x v="1"/>
    <n v="2"/>
    <n v="561"/>
    <n v="56.1"/>
    <n v="0"/>
    <n v="1122"/>
    <n v="1065.9000000000001"/>
    <x v="1"/>
    <x v="0"/>
    <x v="1"/>
    <n v="20"/>
    <n v="4.7"/>
  </r>
  <r>
    <x v="4280"/>
    <x v="312"/>
    <x v="10"/>
    <n v="11"/>
    <n v="9"/>
    <s v="Sunday"/>
    <x v="4"/>
    <x v="1"/>
    <x v="4"/>
    <s v="Fried Rice"/>
    <x v="0"/>
    <n v="3"/>
    <n v="484"/>
    <n v="72.599999999999994"/>
    <n v="50"/>
    <n v="1452"/>
    <n v="1429.4"/>
    <x v="1"/>
    <x v="3"/>
    <x v="1"/>
    <n v="43"/>
    <m/>
  </r>
  <r>
    <x v="4281"/>
    <x v="312"/>
    <x v="10"/>
    <n v="11"/>
    <n v="9"/>
    <s v="Sunday"/>
    <x v="4"/>
    <x v="10"/>
    <x v="3"/>
    <s v="Paneer Butter Masala"/>
    <x v="1"/>
    <n v="2"/>
    <n v="336"/>
    <n v="33.6"/>
    <n v="70"/>
    <n v="672"/>
    <n v="708.4"/>
    <x v="2"/>
    <x v="0"/>
    <x v="0"/>
    <n v="26"/>
    <n v="3.9"/>
  </r>
  <r>
    <x v="4282"/>
    <x v="312"/>
    <x v="10"/>
    <n v="11"/>
    <n v="9"/>
    <s v="Sunday"/>
    <x v="4"/>
    <x v="4"/>
    <x v="8"/>
    <s v="Cold Coffee"/>
    <x v="1"/>
    <n v="1"/>
    <n v="686"/>
    <n v="137.19999999999999"/>
    <n v="20"/>
    <n v="686"/>
    <n v="568.79999999999995"/>
    <x v="2"/>
    <x v="0"/>
    <x v="1"/>
    <n v="41"/>
    <n v="2.9"/>
  </r>
  <r>
    <x v="4283"/>
    <x v="312"/>
    <x v="10"/>
    <n v="11"/>
    <n v="9"/>
    <s v="Sunday"/>
    <x v="2"/>
    <x v="9"/>
    <x v="1"/>
    <s v="Idli Sambar"/>
    <x v="1"/>
    <n v="3"/>
    <n v="719"/>
    <n v="35.950000000000003"/>
    <n v="0"/>
    <n v="2157"/>
    <n v="2121.0500000000002"/>
    <x v="3"/>
    <x v="0"/>
    <x v="0"/>
    <n v="37"/>
    <n v="5"/>
  </r>
  <r>
    <x v="4284"/>
    <x v="312"/>
    <x v="10"/>
    <n v="11"/>
    <n v="9"/>
    <s v="Sunday"/>
    <x v="7"/>
    <x v="11"/>
    <x v="6"/>
    <s v="Veg Biryani"/>
    <x v="1"/>
    <n v="2"/>
    <n v="160"/>
    <n v="40"/>
    <n v="60"/>
    <n v="320"/>
    <n v="340"/>
    <x v="4"/>
    <x v="0"/>
    <x v="1"/>
    <n v="53"/>
    <n v="3.6"/>
  </r>
  <r>
    <x v="4285"/>
    <x v="312"/>
    <x v="10"/>
    <n v="11"/>
    <n v="9"/>
    <s v="Sunday"/>
    <x v="2"/>
    <x v="4"/>
    <x v="4"/>
    <s v="Veg Momos"/>
    <x v="3"/>
    <n v="1"/>
    <n v="774"/>
    <n v="154.80000000000001"/>
    <n v="40"/>
    <n v="774"/>
    <n v="659.2"/>
    <x v="4"/>
    <x v="3"/>
    <x v="1"/>
    <n v="45"/>
    <m/>
  </r>
  <r>
    <x v="4286"/>
    <x v="312"/>
    <x v="10"/>
    <n v="11"/>
    <n v="9"/>
    <s v="Sunday"/>
    <x v="5"/>
    <x v="14"/>
    <x v="7"/>
    <s v="Pasta"/>
    <x v="2"/>
    <n v="2"/>
    <n v="187"/>
    <n v="18.7"/>
    <n v="0"/>
    <n v="374"/>
    <n v="355.3"/>
    <x v="1"/>
    <x v="0"/>
    <x v="0"/>
    <n v="61"/>
    <n v="3.9"/>
  </r>
  <r>
    <x v="4287"/>
    <x v="312"/>
    <x v="10"/>
    <n v="11"/>
    <n v="9"/>
    <s v="Sunday"/>
    <x v="3"/>
    <x v="13"/>
    <x v="9"/>
    <s v="Chicken Momos"/>
    <x v="1"/>
    <n v="2"/>
    <n v="176"/>
    <n v="17.600000000000001"/>
    <n v="70"/>
    <n v="352"/>
    <n v="404.4"/>
    <x v="0"/>
    <x v="0"/>
    <x v="1"/>
    <n v="37"/>
    <n v="4.7"/>
  </r>
  <r>
    <x v="4288"/>
    <x v="312"/>
    <x v="10"/>
    <n v="11"/>
    <n v="9"/>
    <s v="Sunday"/>
    <x v="5"/>
    <x v="7"/>
    <x v="3"/>
    <s v="Masala Dosa"/>
    <x v="2"/>
    <n v="1"/>
    <n v="840"/>
    <n v="0"/>
    <n v="30"/>
    <n v="840"/>
    <n v="870"/>
    <x v="2"/>
    <x v="0"/>
    <x v="1"/>
    <n v="32"/>
    <n v="4.5999999999999996"/>
  </r>
  <r>
    <x v="4289"/>
    <x v="312"/>
    <x v="10"/>
    <n v="11"/>
    <n v="9"/>
    <s v="Sunday"/>
    <x v="8"/>
    <x v="0"/>
    <x v="8"/>
    <s v="Pasta"/>
    <x v="1"/>
    <n v="2"/>
    <n v="506"/>
    <n v="50.6"/>
    <n v="20"/>
    <n v="1012"/>
    <n v="981.4"/>
    <x v="2"/>
    <x v="0"/>
    <x v="1"/>
    <n v="31"/>
    <n v="3.2"/>
  </r>
  <r>
    <x v="4290"/>
    <x v="313"/>
    <x v="10"/>
    <n v="11"/>
    <n v="10"/>
    <s v="Monday"/>
    <x v="4"/>
    <x v="2"/>
    <x v="5"/>
    <s v="Paneer Butter Masala"/>
    <x v="1"/>
    <n v="1"/>
    <n v="525"/>
    <n v="78.75"/>
    <n v="40"/>
    <n v="525"/>
    <n v="486.25"/>
    <x v="2"/>
    <x v="0"/>
    <x v="0"/>
    <n v="34"/>
    <n v="4.5"/>
  </r>
  <r>
    <x v="4291"/>
    <x v="313"/>
    <x v="10"/>
    <n v="11"/>
    <n v="10"/>
    <s v="Monday"/>
    <x v="6"/>
    <x v="7"/>
    <x v="7"/>
    <s v="Pasta"/>
    <x v="1"/>
    <n v="1"/>
    <n v="697"/>
    <n v="174.25"/>
    <n v="40"/>
    <n v="697"/>
    <n v="562.75"/>
    <x v="1"/>
    <x v="3"/>
    <x v="0"/>
    <n v="43"/>
    <m/>
  </r>
  <r>
    <x v="4292"/>
    <x v="313"/>
    <x v="10"/>
    <n v="11"/>
    <n v="10"/>
    <s v="Monday"/>
    <x v="8"/>
    <x v="5"/>
    <x v="7"/>
    <s v="Veg Burger"/>
    <x v="2"/>
    <n v="1"/>
    <n v="405"/>
    <n v="40.5"/>
    <n v="60"/>
    <n v="405"/>
    <n v="424.5"/>
    <x v="2"/>
    <x v="0"/>
    <x v="1"/>
    <n v="69"/>
    <n v="3.5"/>
  </r>
  <r>
    <x v="4293"/>
    <x v="313"/>
    <x v="10"/>
    <n v="11"/>
    <n v="10"/>
    <s v="Monday"/>
    <x v="7"/>
    <x v="7"/>
    <x v="6"/>
    <s v="Chicken Burger"/>
    <x v="2"/>
    <n v="1"/>
    <n v="476"/>
    <n v="0"/>
    <n v="30"/>
    <n v="476"/>
    <n v="506"/>
    <x v="1"/>
    <x v="0"/>
    <x v="1"/>
    <n v="27"/>
    <n v="4.2"/>
  </r>
  <r>
    <x v="4294"/>
    <x v="313"/>
    <x v="10"/>
    <n v="11"/>
    <n v="10"/>
    <s v="Monday"/>
    <x v="4"/>
    <x v="5"/>
    <x v="1"/>
    <s v="Masala Dosa"/>
    <x v="0"/>
    <n v="3"/>
    <n v="657"/>
    <n v="131.4"/>
    <n v="0"/>
    <n v="1971"/>
    <n v="1839.6"/>
    <x v="1"/>
    <x v="0"/>
    <x v="1"/>
    <n v="25"/>
    <n v="4.4000000000000004"/>
  </r>
  <r>
    <x v="4295"/>
    <x v="313"/>
    <x v="10"/>
    <n v="11"/>
    <n v="10"/>
    <s v="Monday"/>
    <x v="3"/>
    <x v="1"/>
    <x v="1"/>
    <s v="Chicken Pizza"/>
    <x v="1"/>
    <n v="2"/>
    <n v="484"/>
    <n v="48.4"/>
    <n v="50"/>
    <n v="968"/>
    <n v="969.6"/>
    <x v="2"/>
    <x v="0"/>
    <x v="0"/>
    <n v="61"/>
    <n v="4.2"/>
  </r>
  <r>
    <x v="4296"/>
    <x v="313"/>
    <x v="10"/>
    <n v="11"/>
    <n v="10"/>
    <s v="Monday"/>
    <x v="5"/>
    <x v="13"/>
    <x v="4"/>
    <s v="Pasta"/>
    <x v="1"/>
    <n v="1"/>
    <n v="170"/>
    <n v="42.5"/>
    <n v="50"/>
    <n v="170"/>
    <n v="177.5"/>
    <x v="1"/>
    <x v="0"/>
    <x v="1"/>
    <n v="66"/>
    <n v="3.5"/>
  </r>
  <r>
    <x v="4297"/>
    <x v="313"/>
    <x v="10"/>
    <n v="11"/>
    <n v="10"/>
    <s v="Monday"/>
    <x v="4"/>
    <x v="7"/>
    <x v="9"/>
    <s v="Chicken Burger"/>
    <x v="2"/>
    <n v="1"/>
    <n v="128"/>
    <n v="6.4"/>
    <n v="40"/>
    <n v="128"/>
    <n v="161.6"/>
    <x v="1"/>
    <x v="0"/>
    <x v="0"/>
    <n v="31"/>
    <n v="4.2"/>
  </r>
  <r>
    <x v="4298"/>
    <x v="313"/>
    <x v="10"/>
    <n v="11"/>
    <n v="10"/>
    <s v="Monday"/>
    <x v="8"/>
    <x v="9"/>
    <x v="7"/>
    <s v="Masala Dosa"/>
    <x v="1"/>
    <n v="2"/>
    <n v="753"/>
    <n v="112.95"/>
    <n v="20"/>
    <n v="1506"/>
    <n v="1413.05"/>
    <x v="2"/>
    <x v="0"/>
    <x v="1"/>
    <n v="66"/>
    <n v="3"/>
  </r>
  <r>
    <x v="4299"/>
    <x v="313"/>
    <x v="10"/>
    <n v="11"/>
    <n v="10"/>
    <s v="Monday"/>
    <x v="0"/>
    <x v="14"/>
    <x v="0"/>
    <s v="Chicken Biryani"/>
    <x v="1"/>
    <n v="1"/>
    <n v="552"/>
    <n v="82.8"/>
    <n v="30"/>
    <n v="552"/>
    <n v="499.2"/>
    <x v="4"/>
    <x v="0"/>
    <x v="0"/>
    <n v="25"/>
    <n v="3.2"/>
  </r>
  <r>
    <x v="4300"/>
    <x v="313"/>
    <x v="10"/>
    <n v="11"/>
    <n v="10"/>
    <s v="Monday"/>
    <x v="7"/>
    <x v="0"/>
    <x v="5"/>
    <s v="Paneer Butter Masala"/>
    <x v="1"/>
    <n v="1"/>
    <n v="316"/>
    <n v="79"/>
    <n v="40"/>
    <n v="316"/>
    <n v="277"/>
    <x v="1"/>
    <x v="0"/>
    <x v="1"/>
    <n v="37"/>
    <n v="3.2"/>
  </r>
  <r>
    <x v="4301"/>
    <x v="313"/>
    <x v="10"/>
    <n v="11"/>
    <n v="10"/>
    <s v="Monday"/>
    <x v="4"/>
    <x v="1"/>
    <x v="9"/>
    <s v="Chicken Pizza"/>
    <x v="2"/>
    <n v="2"/>
    <n v="284"/>
    <n v="0"/>
    <n v="60"/>
    <n v="568"/>
    <n v="628"/>
    <x v="2"/>
    <x v="0"/>
    <x v="1"/>
    <n v="31"/>
    <n v="5"/>
  </r>
  <r>
    <x v="4302"/>
    <x v="313"/>
    <x v="10"/>
    <n v="11"/>
    <n v="10"/>
    <s v="Monday"/>
    <x v="6"/>
    <x v="12"/>
    <x v="5"/>
    <s v="Paneer Butter Masala"/>
    <x v="3"/>
    <n v="1"/>
    <n v="457"/>
    <n v="0"/>
    <n v="70"/>
    <n v="457"/>
    <n v="527"/>
    <x v="4"/>
    <x v="0"/>
    <x v="1"/>
    <n v="47"/>
    <n v="5"/>
  </r>
  <r>
    <x v="4303"/>
    <x v="313"/>
    <x v="10"/>
    <n v="11"/>
    <n v="10"/>
    <s v="Monday"/>
    <x v="0"/>
    <x v="5"/>
    <x v="8"/>
    <s v="Idli Sambar"/>
    <x v="3"/>
    <n v="1"/>
    <n v="605"/>
    <n v="30.25"/>
    <n v="40"/>
    <n v="605"/>
    <n v="614.75"/>
    <x v="1"/>
    <x v="0"/>
    <x v="0"/>
    <n v="59"/>
    <n v="4.0999999999999996"/>
  </r>
  <r>
    <x v="4304"/>
    <x v="313"/>
    <x v="10"/>
    <n v="11"/>
    <n v="10"/>
    <s v="Monday"/>
    <x v="0"/>
    <x v="10"/>
    <x v="8"/>
    <s v="Masala Dosa"/>
    <x v="1"/>
    <n v="1"/>
    <n v="139"/>
    <n v="27.8"/>
    <n v="30"/>
    <n v="139"/>
    <n v="141.19999999999999"/>
    <x v="2"/>
    <x v="1"/>
    <x v="0"/>
    <n v="23"/>
    <m/>
  </r>
  <r>
    <x v="4305"/>
    <x v="313"/>
    <x v="10"/>
    <n v="11"/>
    <n v="10"/>
    <s v="Monday"/>
    <x v="8"/>
    <x v="8"/>
    <x v="7"/>
    <s v="Paneer Butter Masala"/>
    <x v="1"/>
    <n v="3"/>
    <n v="272"/>
    <n v="40.799999999999997"/>
    <n v="40"/>
    <n v="816"/>
    <n v="815.2"/>
    <x v="2"/>
    <x v="0"/>
    <x v="1"/>
    <n v="41"/>
    <n v="2.6"/>
  </r>
  <r>
    <x v="4306"/>
    <x v="313"/>
    <x v="10"/>
    <n v="11"/>
    <n v="10"/>
    <s v="Monday"/>
    <x v="0"/>
    <x v="8"/>
    <x v="8"/>
    <s v="Veg Burger"/>
    <x v="1"/>
    <n v="3"/>
    <n v="877"/>
    <n v="0"/>
    <n v="50"/>
    <n v="2631"/>
    <n v="2681"/>
    <x v="0"/>
    <x v="0"/>
    <x v="1"/>
    <n v="67"/>
    <n v="3.3"/>
  </r>
  <r>
    <x v="4307"/>
    <x v="313"/>
    <x v="10"/>
    <n v="11"/>
    <n v="10"/>
    <s v="Monday"/>
    <x v="7"/>
    <x v="5"/>
    <x v="1"/>
    <s v="Veg Biryani"/>
    <x v="2"/>
    <n v="2"/>
    <n v="306"/>
    <n v="30.6"/>
    <n v="20"/>
    <n v="612"/>
    <n v="601.4"/>
    <x v="1"/>
    <x v="0"/>
    <x v="1"/>
    <n v="43"/>
    <n v="4.0999999999999996"/>
  </r>
  <r>
    <x v="4308"/>
    <x v="313"/>
    <x v="10"/>
    <n v="11"/>
    <n v="10"/>
    <s v="Monday"/>
    <x v="4"/>
    <x v="11"/>
    <x v="9"/>
    <s v="Veg Pizza"/>
    <x v="3"/>
    <n v="2"/>
    <n v="360"/>
    <n v="36"/>
    <n v="40"/>
    <n v="720"/>
    <n v="724"/>
    <x v="4"/>
    <x v="0"/>
    <x v="1"/>
    <n v="64"/>
    <n v="3.8"/>
  </r>
  <r>
    <x v="4309"/>
    <x v="314"/>
    <x v="10"/>
    <n v="11"/>
    <n v="11"/>
    <s v="Tuesday"/>
    <x v="5"/>
    <x v="10"/>
    <x v="1"/>
    <s v="Veg Pizza"/>
    <x v="1"/>
    <n v="1"/>
    <n v="603"/>
    <n v="60.3"/>
    <n v="40"/>
    <n v="603"/>
    <n v="582.70000000000005"/>
    <x v="0"/>
    <x v="2"/>
    <x v="1"/>
    <n v="54"/>
    <m/>
  </r>
  <r>
    <x v="4310"/>
    <x v="314"/>
    <x v="10"/>
    <n v="11"/>
    <n v="11"/>
    <s v="Tuesday"/>
    <x v="0"/>
    <x v="1"/>
    <x v="3"/>
    <s v="Veg Burger"/>
    <x v="1"/>
    <n v="2"/>
    <n v="858"/>
    <n v="85.8"/>
    <n v="20"/>
    <n v="1716"/>
    <n v="1650.2"/>
    <x v="1"/>
    <x v="0"/>
    <x v="1"/>
    <n v="58"/>
    <n v="4"/>
  </r>
  <r>
    <x v="4311"/>
    <x v="314"/>
    <x v="10"/>
    <n v="11"/>
    <n v="11"/>
    <s v="Tuesday"/>
    <x v="5"/>
    <x v="11"/>
    <x v="8"/>
    <s v="Fried Rice"/>
    <x v="1"/>
    <n v="1"/>
    <n v="850"/>
    <n v="170"/>
    <n v="30"/>
    <n v="850"/>
    <n v="710"/>
    <x v="1"/>
    <x v="0"/>
    <x v="0"/>
    <n v="68"/>
    <n v="3"/>
  </r>
  <r>
    <x v="4312"/>
    <x v="314"/>
    <x v="10"/>
    <n v="11"/>
    <n v="11"/>
    <s v="Tuesday"/>
    <x v="5"/>
    <x v="6"/>
    <x v="7"/>
    <s v="Masala Dosa"/>
    <x v="1"/>
    <n v="2"/>
    <n v="651"/>
    <n v="65.099999999999994"/>
    <n v="70"/>
    <n v="1302"/>
    <n v="1306.9000000000001"/>
    <x v="0"/>
    <x v="1"/>
    <x v="1"/>
    <n v="70"/>
    <m/>
  </r>
  <r>
    <x v="4313"/>
    <x v="314"/>
    <x v="10"/>
    <n v="11"/>
    <n v="11"/>
    <s v="Tuesday"/>
    <x v="2"/>
    <x v="1"/>
    <x v="8"/>
    <s v="Idli Sambar"/>
    <x v="1"/>
    <n v="1"/>
    <n v="670"/>
    <n v="100.5"/>
    <n v="50"/>
    <n v="670"/>
    <n v="619.5"/>
    <x v="4"/>
    <x v="0"/>
    <x v="1"/>
    <n v="69"/>
    <n v="4.0999999999999996"/>
  </r>
  <r>
    <x v="4314"/>
    <x v="314"/>
    <x v="10"/>
    <n v="11"/>
    <n v="11"/>
    <s v="Tuesday"/>
    <x v="0"/>
    <x v="0"/>
    <x v="8"/>
    <s v="French Fries"/>
    <x v="1"/>
    <n v="2"/>
    <n v="291"/>
    <n v="0"/>
    <n v="20"/>
    <n v="582"/>
    <n v="602"/>
    <x v="2"/>
    <x v="0"/>
    <x v="0"/>
    <n v="60"/>
    <n v="2.8"/>
  </r>
  <r>
    <x v="4315"/>
    <x v="314"/>
    <x v="10"/>
    <n v="11"/>
    <n v="11"/>
    <s v="Tuesday"/>
    <x v="4"/>
    <x v="1"/>
    <x v="7"/>
    <s v="Veg Biryani"/>
    <x v="1"/>
    <n v="1"/>
    <n v="467"/>
    <n v="70.05"/>
    <n v="30"/>
    <n v="467"/>
    <n v="426.95"/>
    <x v="1"/>
    <x v="0"/>
    <x v="0"/>
    <n v="59"/>
    <n v="3.2"/>
  </r>
  <r>
    <x v="4316"/>
    <x v="314"/>
    <x v="10"/>
    <n v="11"/>
    <n v="11"/>
    <s v="Tuesday"/>
    <x v="1"/>
    <x v="6"/>
    <x v="2"/>
    <s v="Veg Burger"/>
    <x v="1"/>
    <n v="2"/>
    <n v="661"/>
    <n v="66.099999999999994"/>
    <n v="30"/>
    <n v="1322"/>
    <n v="1285.9000000000001"/>
    <x v="2"/>
    <x v="0"/>
    <x v="1"/>
    <n v="26"/>
    <n v="3.3"/>
  </r>
  <r>
    <x v="4317"/>
    <x v="314"/>
    <x v="10"/>
    <n v="11"/>
    <n v="11"/>
    <s v="Tuesday"/>
    <x v="0"/>
    <x v="13"/>
    <x v="8"/>
    <s v="Veg Pizza"/>
    <x v="1"/>
    <n v="1"/>
    <n v="552"/>
    <n v="55.2"/>
    <n v="60"/>
    <n v="552"/>
    <n v="556.79999999999995"/>
    <x v="1"/>
    <x v="2"/>
    <x v="0"/>
    <n v="37"/>
    <m/>
  </r>
  <r>
    <x v="4318"/>
    <x v="314"/>
    <x v="10"/>
    <n v="11"/>
    <n v="11"/>
    <s v="Tuesday"/>
    <x v="3"/>
    <x v="1"/>
    <x v="7"/>
    <s v="Chicken Pizza"/>
    <x v="3"/>
    <n v="2"/>
    <n v="257"/>
    <n v="25.7"/>
    <n v="40"/>
    <n v="514"/>
    <n v="528.29999999999995"/>
    <x v="0"/>
    <x v="1"/>
    <x v="1"/>
    <n v="49"/>
    <m/>
  </r>
  <r>
    <x v="4319"/>
    <x v="315"/>
    <x v="10"/>
    <n v="11"/>
    <n v="12"/>
    <s v="Wednesday"/>
    <x v="0"/>
    <x v="6"/>
    <x v="4"/>
    <s v="French Fries"/>
    <x v="2"/>
    <n v="2"/>
    <n v="140"/>
    <n v="21"/>
    <n v="40"/>
    <n v="280"/>
    <n v="299"/>
    <x v="4"/>
    <x v="3"/>
    <x v="1"/>
    <n v="52"/>
    <m/>
  </r>
  <r>
    <x v="4320"/>
    <x v="315"/>
    <x v="10"/>
    <n v="11"/>
    <n v="12"/>
    <s v="Wednesday"/>
    <x v="8"/>
    <x v="3"/>
    <x v="8"/>
    <s v="Veg Momos"/>
    <x v="0"/>
    <n v="1"/>
    <n v="359"/>
    <n v="0"/>
    <n v="0"/>
    <n v="359"/>
    <n v="359"/>
    <x v="1"/>
    <x v="0"/>
    <x v="1"/>
    <n v="47"/>
    <n v="4.9000000000000004"/>
  </r>
  <r>
    <x v="4321"/>
    <x v="315"/>
    <x v="10"/>
    <n v="11"/>
    <n v="12"/>
    <s v="Wednesday"/>
    <x v="2"/>
    <x v="4"/>
    <x v="2"/>
    <s v="Fried Rice"/>
    <x v="1"/>
    <n v="2"/>
    <n v="338"/>
    <n v="67.599999999999994"/>
    <n v="50"/>
    <n v="676"/>
    <n v="658.4"/>
    <x v="2"/>
    <x v="0"/>
    <x v="1"/>
    <n v="25"/>
    <n v="4.3"/>
  </r>
  <r>
    <x v="4322"/>
    <x v="315"/>
    <x v="10"/>
    <n v="11"/>
    <n v="12"/>
    <s v="Wednesday"/>
    <x v="9"/>
    <x v="6"/>
    <x v="0"/>
    <s v="Chicken Burger"/>
    <x v="2"/>
    <n v="3"/>
    <n v="332"/>
    <n v="0"/>
    <n v="60"/>
    <n v="996"/>
    <n v="1056"/>
    <x v="0"/>
    <x v="0"/>
    <x v="1"/>
    <n v="61"/>
    <n v="4.5"/>
  </r>
  <r>
    <x v="4323"/>
    <x v="315"/>
    <x v="10"/>
    <n v="11"/>
    <n v="12"/>
    <s v="Wednesday"/>
    <x v="5"/>
    <x v="3"/>
    <x v="3"/>
    <s v="Pasta"/>
    <x v="0"/>
    <n v="2"/>
    <n v="258"/>
    <n v="38.700000000000003"/>
    <n v="40"/>
    <n v="516"/>
    <n v="517.29999999999995"/>
    <x v="4"/>
    <x v="3"/>
    <x v="0"/>
    <n v="38"/>
    <m/>
  </r>
  <r>
    <x v="4324"/>
    <x v="315"/>
    <x v="10"/>
    <n v="11"/>
    <n v="12"/>
    <s v="Wednesday"/>
    <x v="9"/>
    <x v="4"/>
    <x v="7"/>
    <s v="Chicken Biryani"/>
    <x v="3"/>
    <n v="2"/>
    <n v="884"/>
    <n v="132.6"/>
    <n v="50"/>
    <n v="1768"/>
    <n v="1685.4"/>
    <x v="1"/>
    <x v="0"/>
    <x v="1"/>
    <n v="38"/>
    <n v="4.5"/>
  </r>
  <r>
    <x v="4325"/>
    <x v="315"/>
    <x v="10"/>
    <n v="11"/>
    <n v="12"/>
    <s v="Wednesday"/>
    <x v="5"/>
    <x v="3"/>
    <x v="4"/>
    <s v="Pasta"/>
    <x v="1"/>
    <n v="3"/>
    <n v="294"/>
    <n v="44.1"/>
    <n v="60"/>
    <n v="882"/>
    <n v="897.9"/>
    <x v="0"/>
    <x v="0"/>
    <x v="0"/>
    <n v="31"/>
    <n v="4"/>
  </r>
  <r>
    <x v="4326"/>
    <x v="315"/>
    <x v="10"/>
    <n v="11"/>
    <n v="12"/>
    <s v="Wednesday"/>
    <x v="1"/>
    <x v="13"/>
    <x v="1"/>
    <s v="Chicken Biryani"/>
    <x v="2"/>
    <n v="2"/>
    <n v="713"/>
    <n v="0"/>
    <n v="0"/>
    <n v="1426"/>
    <n v="1426"/>
    <x v="2"/>
    <x v="0"/>
    <x v="1"/>
    <n v="51"/>
    <n v="3.6"/>
  </r>
  <r>
    <x v="4327"/>
    <x v="315"/>
    <x v="10"/>
    <n v="11"/>
    <n v="12"/>
    <s v="Wednesday"/>
    <x v="9"/>
    <x v="10"/>
    <x v="8"/>
    <s v="Idli Sambar"/>
    <x v="1"/>
    <n v="3"/>
    <n v="185"/>
    <n v="37"/>
    <n v="20"/>
    <n v="555"/>
    <n v="538"/>
    <x v="2"/>
    <x v="0"/>
    <x v="0"/>
    <n v="58"/>
    <n v="4.3"/>
  </r>
  <r>
    <x v="4328"/>
    <x v="315"/>
    <x v="10"/>
    <n v="11"/>
    <n v="12"/>
    <s v="Wednesday"/>
    <x v="5"/>
    <x v="12"/>
    <x v="1"/>
    <s v="Chicken Pizza"/>
    <x v="1"/>
    <n v="2"/>
    <n v="854"/>
    <n v="85.4"/>
    <n v="20"/>
    <n v="1708"/>
    <n v="1642.6"/>
    <x v="4"/>
    <x v="0"/>
    <x v="1"/>
    <n v="63"/>
    <n v="5"/>
  </r>
  <r>
    <x v="4329"/>
    <x v="315"/>
    <x v="10"/>
    <n v="11"/>
    <n v="12"/>
    <s v="Wednesday"/>
    <x v="6"/>
    <x v="3"/>
    <x v="6"/>
    <s v="Veg Pizza"/>
    <x v="1"/>
    <n v="2"/>
    <n v="259"/>
    <n v="12.95"/>
    <n v="30"/>
    <n v="518"/>
    <n v="535.04999999999995"/>
    <x v="3"/>
    <x v="0"/>
    <x v="1"/>
    <n v="48"/>
    <n v="4.5"/>
  </r>
  <r>
    <x v="4330"/>
    <x v="315"/>
    <x v="10"/>
    <n v="11"/>
    <n v="12"/>
    <s v="Wednesday"/>
    <x v="5"/>
    <x v="12"/>
    <x v="6"/>
    <s v="French Fries"/>
    <x v="3"/>
    <n v="1"/>
    <n v="899"/>
    <n v="44.95"/>
    <n v="0"/>
    <n v="899"/>
    <n v="854.05"/>
    <x v="3"/>
    <x v="0"/>
    <x v="1"/>
    <n v="61"/>
    <n v="4"/>
  </r>
  <r>
    <x v="4331"/>
    <x v="315"/>
    <x v="10"/>
    <n v="11"/>
    <n v="12"/>
    <s v="Wednesday"/>
    <x v="4"/>
    <x v="9"/>
    <x v="8"/>
    <s v="Idli Sambar"/>
    <x v="1"/>
    <n v="2"/>
    <n v="833"/>
    <n v="83.3"/>
    <n v="40"/>
    <n v="1666"/>
    <n v="1622.7"/>
    <x v="4"/>
    <x v="0"/>
    <x v="1"/>
    <n v="32"/>
    <n v="4"/>
  </r>
  <r>
    <x v="4332"/>
    <x v="315"/>
    <x v="10"/>
    <n v="11"/>
    <n v="12"/>
    <s v="Wednesday"/>
    <x v="9"/>
    <x v="9"/>
    <x v="3"/>
    <s v="Chicken Biryani"/>
    <x v="1"/>
    <n v="2"/>
    <n v="674"/>
    <n v="67.400000000000006"/>
    <n v="40"/>
    <n v="1348"/>
    <n v="1320.6"/>
    <x v="4"/>
    <x v="0"/>
    <x v="1"/>
    <n v="44"/>
    <n v="3.2"/>
  </r>
  <r>
    <x v="4333"/>
    <x v="315"/>
    <x v="10"/>
    <n v="11"/>
    <n v="12"/>
    <s v="Wednesday"/>
    <x v="3"/>
    <x v="10"/>
    <x v="2"/>
    <s v="Chicken Momos"/>
    <x v="1"/>
    <n v="2"/>
    <n v="124"/>
    <n v="0"/>
    <n v="50"/>
    <n v="248"/>
    <n v="298"/>
    <x v="4"/>
    <x v="0"/>
    <x v="0"/>
    <n v="46"/>
    <n v="4.7"/>
  </r>
  <r>
    <x v="4334"/>
    <x v="315"/>
    <x v="10"/>
    <n v="11"/>
    <n v="12"/>
    <s v="Wednesday"/>
    <x v="0"/>
    <x v="2"/>
    <x v="8"/>
    <s v="Chicken Biryani"/>
    <x v="1"/>
    <n v="3"/>
    <n v="576"/>
    <n v="57.6"/>
    <n v="20"/>
    <n v="1728"/>
    <n v="1690.4"/>
    <x v="1"/>
    <x v="0"/>
    <x v="1"/>
    <n v="49"/>
    <n v="2.8"/>
  </r>
  <r>
    <x v="4335"/>
    <x v="316"/>
    <x v="10"/>
    <n v="11"/>
    <n v="13"/>
    <s v="Thursday"/>
    <x v="5"/>
    <x v="7"/>
    <x v="7"/>
    <s v="Chicken Momos"/>
    <x v="1"/>
    <n v="2"/>
    <n v="552"/>
    <n v="138"/>
    <n v="50"/>
    <n v="1104"/>
    <n v="1016"/>
    <x v="1"/>
    <x v="0"/>
    <x v="1"/>
    <n v="38"/>
    <n v="4.4000000000000004"/>
  </r>
  <r>
    <x v="4336"/>
    <x v="316"/>
    <x v="10"/>
    <n v="11"/>
    <n v="13"/>
    <s v="Thursday"/>
    <x v="5"/>
    <x v="2"/>
    <x v="3"/>
    <s v="French Fries"/>
    <x v="2"/>
    <n v="1"/>
    <n v="669"/>
    <n v="167.25"/>
    <n v="30"/>
    <n v="669"/>
    <n v="531.75"/>
    <x v="2"/>
    <x v="1"/>
    <x v="0"/>
    <n v="37"/>
    <m/>
  </r>
  <r>
    <x v="4337"/>
    <x v="316"/>
    <x v="10"/>
    <n v="11"/>
    <n v="13"/>
    <s v="Thursday"/>
    <x v="1"/>
    <x v="10"/>
    <x v="2"/>
    <s v="Veg Pizza"/>
    <x v="2"/>
    <n v="2"/>
    <n v="460"/>
    <n v="0"/>
    <n v="70"/>
    <n v="920"/>
    <n v="990"/>
    <x v="3"/>
    <x v="0"/>
    <x v="1"/>
    <n v="39"/>
    <n v="4.5999999999999996"/>
  </r>
  <r>
    <x v="4338"/>
    <x v="316"/>
    <x v="10"/>
    <n v="11"/>
    <n v="13"/>
    <s v="Thursday"/>
    <x v="6"/>
    <x v="13"/>
    <x v="4"/>
    <s v="Idli Sambar"/>
    <x v="1"/>
    <n v="3"/>
    <n v="430"/>
    <n v="107.5"/>
    <n v="40"/>
    <n v="1290"/>
    <n v="1222.5"/>
    <x v="4"/>
    <x v="0"/>
    <x v="1"/>
    <n v="59"/>
    <n v="4"/>
  </r>
  <r>
    <x v="4339"/>
    <x v="316"/>
    <x v="10"/>
    <n v="11"/>
    <n v="13"/>
    <s v="Thursday"/>
    <x v="9"/>
    <x v="13"/>
    <x v="6"/>
    <s v="Fried Rice"/>
    <x v="0"/>
    <n v="1"/>
    <n v="548"/>
    <n v="137"/>
    <n v="30"/>
    <n v="548"/>
    <n v="441"/>
    <x v="1"/>
    <x v="0"/>
    <x v="0"/>
    <n v="49"/>
    <n v="4.0999999999999996"/>
  </r>
  <r>
    <x v="4340"/>
    <x v="316"/>
    <x v="10"/>
    <n v="11"/>
    <n v="13"/>
    <s v="Thursday"/>
    <x v="3"/>
    <x v="8"/>
    <x v="2"/>
    <s v="Veg Pizza"/>
    <x v="1"/>
    <n v="2"/>
    <n v="803"/>
    <n v="40.15"/>
    <n v="30"/>
    <n v="1606"/>
    <n v="1595.85"/>
    <x v="2"/>
    <x v="0"/>
    <x v="1"/>
    <n v="33"/>
    <n v="4.5999999999999996"/>
  </r>
  <r>
    <x v="4341"/>
    <x v="316"/>
    <x v="10"/>
    <n v="11"/>
    <n v="13"/>
    <s v="Thursday"/>
    <x v="6"/>
    <x v="11"/>
    <x v="7"/>
    <s v="Chicken Biryani"/>
    <x v="1"/>
    <n v="2"/>
    <n v="206"/>
    <n v="41.2"/>
    <n v="50"/>
    <n v="412"/>
    <n v="420.8"/>
    <x v="1"/>
    <x v="0"/>
    <x v="1"/>
    <n v="54"/>
    <n v="3.3"/>
  </r>
  <r>
    <x v="4342"/>
    <x v="316"/>
    <x v="10"/>
    <n v="11"/>
    <n v="13"/>
    <s v="Thursday"/>
    <x v="1"/>
    <x v="12"/>
    <x v="8"/>
    <s v="Fried Rice"/>
    <x v="1"/>
    <n v="1"/>
    <n v="844"/>
    <n v="211"/>
    <n v="0"/>
    <n v="844"/>
    <n v="633"/>
    <x v="4"/>
    <x v="2"/>
    <x v="1"/>
    <n v="20"/>
    <m/>
  </r>
  <r>
    <x v="4343"/>
    <x v="316"/>
    <x v="10"/>
    <n v="11"/>
    <n v="13"/>
    <s v="Thursday"/>
    <x v="5"/>
    <x v="4"/>
    <x v="7"/>
    <s v="Veg Momos"/>
    <x v="2"/>
    <n v="3"/>
    <n v="900"/>
    <n v="45"/>
    <n v="40"/>
    <n v="2700"/>
    <n v="2695"/>
    <x v="4"/>
    <x v="0"/>
    <x v="0"/>
    <n v="50"/>
    <n v="4.3"/>
  </r>
  <r>
    <x v="4344"/>
    <x v="316"/>
    <x v="10"/>
    <n v="11"/>
    <n v="13"/>
    <s v="Thursday"/>
    <x v="4"/>
    <x v="3"/>
    <x v="6"/>
    <s v="Veg Pizza"/>
    <x v="1"/>
    <n v="1"/>
    <n v="772"/>
    <n v="77.2"/>
    <n v="20"/>
    <n v="772"/>
    <n v="714.8"/>
    <x v="4"/>
    <x v="0"/>
    <x v="0"/>
    <n v="23"/>
    <n v="3.5"/>
  </r>
  <r>
    <x v="4345"/>
    <x v="317"/>
    <x v="10"/>
    <n v="11"/>
    <n v="14"/>
    <s v="Friday"/>
    <x v="4"/>
    <x v="4"/>
    <x v="2"/>
    <s v="Pasta"/>
    <x v="3"/>
    <n v="2"/>
    <n v="344"/>
    <n v="51.6"/>
    <n v="60"/>
    <n v="688"/>
    <n v="696.4"/>
    <x v="1"/>
    <x v="0"/>
    <x v="1"/>
    <n v="69"/>
    <n v="5"/>
  </r>
  <r>
    <x v="4346"/>
    <x v="317"/>
    <x v="10"/>
    <n v="11"/>
    <n v="14"/>
    <s v="Friday"/>
    <x v="3"/>
    <x v="4"/>
    <x v="8"/>
    <s v="Idli Sambar"/>
    <x v="1"/>
    <n v="1"/>
    <n v="766"/>
    <n v="114.9"/>
    <n v="20"/>
    <n v="766"/>
    <n v="671.1"/>
    <x v="0"/>
    <x v="2"/>
    <x v="1"/>
    <n v="28"/>
    <m/>
  </r>
  <r>
    <x v="4347"/>
    <x v="317"/>
    <x v="10"/>
    <n v="11"/>
    <n v="14"/>
    <s v="Friday"/>
    <x v="5"/>
    <x v="0"/>
    <x v="3"/>
    <s v="Paneer Butter Masala"/>
    <x v="1"/>
    <n v="2"/>
    <n v="849"/>
    <n v="212.25"/>
    <n v="30"/>
    <n v="1698"/>
    <n v="1515.75"/>
    <x v="1"/>
    <x v="0"/>
    <x v="1"/>
    <n v="60"/>
    <n v="3.9"/>
  </r>
  <r>
    <x v="4348"/>
    <x v="317"/>
    <x v="10"/>
    <n v="11"/>
    <n v="14"/>
    <s v="Friday"/>
    <x v="9"/>
    <x v="10"/>
    <x v="1"/>
    <s v="Veg Momos"/>
    <x v="1"/>
    <n v="1"/>
    <n v="825"/>
    <n v="165"/>
    <n v="60"/>
    <n v="825"/>
    <n v="720"/>
    <x v="0"/>
    <x v="0"/>
    <x v="1"/>
    <n v="51"/>
    <n v="3.7"/>
  </r>
  <r>
    <x v="4349"/>
    <x v="317"/>
    <x v="10"/>
    <n v="11"/>
    <n v="14"/>
    <s v="Friday"/>
    <x v="1"/>
    <x v="8"/>
    <x v="5"/>
    <s v="Chicken Pizza"/>
    <x v="2"/>
    <n v="2"/>
    <n v="759"/>
    <n v="37.950000000000003"/>
    <n v="30"/>
    <n v="1518"/>
    <n v="1510.05"/>
    <x v="3"/>
    <x v="0"/>
    <x v="1"/>
    <n v="51"/>
    <n v="4.9000000000000004"/>
  </r>
  <r>
    <x v="4350"/>
    <x v="317"/>
    <x v="10"/>
    <n v="11"/>
    <n v="14"/>
    <s v="Friday"/>
    <x v="6"/>
    <x v="4"/>
    <x v="9"/>
    <s v="Pasta"/>
    <x v="1"/>
    <n v="1"/>
    <n v="552"/>
    <n v="138"/>
    <n v="0"/>
    <n v="552"/>
    <n v="414"/>
    <x v="2"/>
    <x v="0"/>
    <x v="0"/>
    <n v="57"/>
    <n v="3.5"/>
  </r>
  <r>
    <x v="4351"/>
    <x v="317"/>
    <x v="10"/>
    <n v="11"/>
    <n v="14"/>
    <s v="Friday"/>
    <x v="7"/>
    <x v="6"/>
    <x v="1"/>
    <s v="Fried Rice"/>
    <x v="1"/>
    <n v="1"/>
    <n v="557"/>
    <n v="27.85"/>
    <n v="50"/>
    <n v="557"/>
    <n v="579.15"/>
    <x v="1"/>
    <x v="0"/>
    <x v="1"/>
    <n v="32"/>
    <n v="4.0999999999999996"/>
  </r>
  <r>
    <x v="4352"/>
    <x v="317"/>
    <x v="10"/>
    <n v="11"/>
    <n v="14"/>
    <s v="Friday"/>
    <x v="9"/>
    <x v="14"/>
    <x v="4"/>
    <s v="French Fries"/>
    <x v="2"/>
    <n v="1"/>
    <n v="451"/>
    <n v="112.75"/>
    <n v="40"/>
    <n v="451"/>
    <n v="378.25"/>
    <x v="1"/>
    <x v="0"/>
    <x v="1"/>
    <n v="62"/>
    <n v="4.2"/>
  </r>
  <r>
    <x v="4353"/>
    <x v="317"/>
    <x v="10"/>
    <n v="11"/>
    <n v="14"/>
    <s v="Friday"/>
    <x v="3"/>
    <x v="0"/>
    <x v="5"/>
    <s v="Cold Coffee"/>
    <x v="1"/>
    <n v="1"/>
    <n v="188"/>
    <n v="18.8"/>
    <n v="60"/>
    <n v="188"/>
    <n v="229.2"/>
    <x v="1"/>
    <x v="2"/>
    <x v="0"/>
    <n v="32"/>
    <m/>
  </r>
  <r>
    <x v="4354"/>
    <x v="317"/>
    <x v="10"/>
    <n v="11"/>
    <n v="14"/>
    <s v="Friday"/>
    <x v="1"/>
    <x v="14"/>
    <x v="1"/>
    <s v="Paneer Butter Masala"/>
    <x v="2"/>
    <n v="3"/>
    <n v="438"/>
    <n v="21.9"/>
    <n v="20"/>
    <n v="1314"/>
    <n v="1312.1"/>
    <x v="4"/>
    <x v="0"/>
    <x v="1"/>
    <n v="70"/>
    <n v="3.8"/>
  </r>
  <r>
    <x v="4355"/>
    <x v="317"/>
    <x v="10"/>
    <n v="11"/>
    <n v="14"/>
    <s v="Friday"/>
    <x v="3"/>
    <x v="4"/>
    <x v="8"/>
    <s v="Fried Rice"/>
    <x v="1"/>
    <n v="3"/>
    <n v="417"/>
    <n v="20.85"/>
    <n v="50"/>
    <n v="1251"/>
    <n v="1280.1500000000001"/>
    <x v="1"/>
    <x v="0"/>
    <x v="0"/>
    <n v="51"/>
    <n v="3.9"/>
  </r>
  <r>
    <x v="4356"/>
    <x v="317"/>
    <x v="10"/>
    <n v="11"/>
    <n v="14"/>
    <s v="Friday"/>
    <x v="3"/>
    <x v="10"/>
    <x v="1"/>
    <s v="Chicken Burger"/>
    <x v="0"/>
    <n v="3"/>
    <n v="556"/>
    <n v="55.6"/>
    <n v="0"/>
    <n v="1668"/>
    <n v="1612.4"/>
    <x v="2"/>
    <x v="0"/>
    <x v="0"/>
    <n v="62"/>
    <n v="3.9"/>
  </r>
  <r>
    <x v="4357"/>
    <x v="317"/>
    <x v="10"/>
    <n v="11"/>
    <n v="14"/>
    <s v="Friday"/>
    <x v="9"/>
    <x v="0"/>
    <x v="3"/>
    <s v="Cold Coffee"/>
    <x v="1"/>
    <n v="2"/>
    <n v="123"/>
    <n v="24.6"/>
    <n v="60"/>
    <n v="246"/>
    <n v="281.39999999999998"/>
    <x v="2"/>
    <x v="0"/>
    <x v="1"/>
    <n v="39"/>
    <n v="4.0999999999999996"/>
  </r>
  <r>
    <x v="4358"/>
    <x v="317"/>
    <x v="10"/>
    <n v="11"/>
    <n v="14"/>
    <s v="Friday"/>
    <x v="4"/>
    <x v="14"/>
    <x v="2"/>
    <s v="Chicken Pizza"/>
    <x v="1"/>
    <n v="1"/>
    <n v="423"/>
    <n v="0"/>
    <n v="70"/>
    <n v="423"/>
    <n v="493"/>
    <x v="2"/>
    <x v="0"/>
    <x v="1"/>
    <n v="25"/>
    <n v="3.8"/>
  </r>
  <r>
    <x v="4359"/>
    <x v="317"/>
    <x v="10"/>
    <n v="11"/>
    <n v="14"/>
    <s v="Friday"/>
    <x v="4"/>
    <x v="7"/>
    <x v="8"/>
    <s v="Chicken Momos"/>
    <x v="1"/>
    <n v="3"/>
    <n v="188"/>
    <n v="37.6"/>
    <n v="40"/>
    <n v="564"/>
    <n v="566.4"/>
    <x v="2"/>
    <x v="0"/>
    <x v="1"/>
    <n v="56"/>
    <n v="3.5"/>
  </r>
  <r>
    <x v="4360"/>
    <x v="317"/>
    <x v="10"/>
    <n v="11"/>
    <n v="14"/>
    <s v="Friday"/>
    <x v="1"/>
    <x v="10"/>
    <x v="1"/>
    <s v="Fried Rice"/>
    <x v="3"/>
    <n v="1"/>
    <n v="844"/>
    <n v="84.4"/>
    <n v="50"/>
    <n v="844"/>
    <n v="809.6"/>
    <x v="1"/>
    <x v="0"/>
    <x v="1"/>
    <n v="49"/>
    <n v="3.6"/>
  </r>
  <r>
    <x v="4361"/>
    <x v="317"/>
    <x v="10"/>
    <n v="11"/>
    <n v="14"/>
    <s v="Friday"/>
    <x v="4"/>
    <x v="9"/>
    <x v="9"/>
    <s v="Chocolate Cake"/>
    <x v="1"/>
    <n v="2"/>
    <n v="362"/>
    <n v="54.3"/>
    <n v="0"/>
    <n v="724"/>
    <n v="669.7"/>
    <x v="1"/>
    <x v="1"/>
    <x v="1"/>
    <n v="40"/>
    <m/>
  </r>
  <r>
    <x v="4362"/>
    <x v="317"/>
    <x v="10"/>
    <n v="11"/>
    <n v="14"/>
    <s v="Friday"/>
    <x v="7"/>
    <x v="13"/>
    <x v="4"/>
    <s v="French Fries"/>
    <x v="1"/>
    <n v="1"/>
    <n v="494"/>
    <n v="74.099999999999994"/>
    <n v="20"/>
    <n v="494"/>
    <n v="439.9"/>
    <x v="0"/>
    <x v="0"/>
    <x v="1"/>
    <n v="66"/>
    <n v="5"/>
  </r>
  <r>
    <x v="4363"/>
    <x v="317"/>
    <x v="10"/>
    <n v="11"/>
    <n v="14"/>
    <s v="Friday"/>
    <x v="1"/>
    <x v="6"/>
    <x v="2"/>
    <s v="Idli Sambar"/>
    <x v="1"/>
    <n v="2"/>
    <n v="269"/>
    <n v="26.9"/>
    <n v="60"/>
    <n v="538"/>
    <n v="571.1"/>
    <x v="0"/>
    <x v="0"/>
    <x v="0"/>
    <n v="66"/>
    <n v="4.0999999999999996"/>
  </r>
  <r>
    <x v="4364"/>
    <x v="317"/>
    <x v="10"/>
    <n v="11"/>
    <n v="14"/>
    <s v="Friday"/>
    <x v="1"/>
    <x v="3"/>
    <x v="8"/>
    <s v="Masala Dosa"/>
    <x v="1"/>
    <n v="2"/>
    <n v="571"/>
    <n v="142.75"/>
    <n v="70"/>
    <n v="1142"/>
    <n v="1069.25"/>
    <x v="0"/>
    <x v="0"/>
    <x v="1"/>
    <n v="64"/>
    <n v="3.9"/>
  </r>
  <r>
    <x v="4365"/>
    <x v="318"/>
    <x v="10"/>
    <n v="11"/>
    <n v="15"/>
    <s v="Saturday"/>
    <x v="4"/>
    <x v="2"/>
    <x v="1"/>
    <s v="Veg Pizza"/>
    <x v="2"/>
    <n v="1"/>
    <n v="410"/>
    <n v="102.5"/>
    <n v="0"/>
    <n v="410"/>
    <n v="307.5"/>
    <x v="2"/>
    <x v="3"/>
    <x v="1"/>
    <n v="64"/>
    <m/>
  </r>
  <r>
    <x v="4366"/>
    <x v="318"/>
    <x v="10"/>
    <n v="11"/>
    <n v="15"/>
    <s v="Saturday"/>
    <x v="3"/>
    <x v="11"/>
    <x v="1"/>
    <s v="French Fries"/>
    <x v="1"/>
    <n v="2"/>
    <n v="270"/>
    <n v="54"/>
    <n v="60"/>
    <n v="540"/>
    <n v="546"/>
    <x v="4"/>
    <x v="3"/>
    <x v="1"/>
    <n v="41"/>
    <m/>
  </r>
  <r>
    <x v="4367"/>
    <x v="318"/>
    <x v="10"/>
    <n v="11"/>
    <n v="15"/>
    <s v="Saturday"/>
    <x v="4"/>
    <x v="13"/>
    <x v="5"/>
    <s v="Chicken Burger"/>
    <x v="1"/>
    <n v="2"/>
    <n v="351"/>
    <n v="70.2"/>
    <n v="50"/>
    <n v="702"/>
    <n v="681.8"/>
    <x v="1"/>
    <x v="0"/>
    <x v="1"/>
    <n v="25"/>
    <n v="4"/>
  </r>
  <r>
    <x v="4368"/>
    <x v="318"/>
    <x v="10"/>
    <n v="11"/>
    <n v="15"/>
    <s v="Saturday"/>
    <x v="8"/>
    <x v="0"/>
    <x v="1"/>
    <s v="Chicken Pizza"/>
    <x v="1"/>
    <n v="2"/>
    <n v="419"/>
    <n v="104.75"/>
    <n v="30"/>
    <n v="838"/>
    <n v="763.25"/>
    <x v="3"/>
    <x v="0"/>
    <x v="0"/>
    <n v="69"/>
    <n v="3.9"/>
  </r>
  <r>
    <x v="4369"/>
    <x v="318"/>
    <x v="10"/>
    <n v="11"/>
    <n v="15"/>
    <s v="Saturday"/>
    <x v="4"/>
    <x v="14"/>
    <x v="4"/>
    <s v="Chicken Momos"/>
    <x v="2"/>
    <n v="1"/>
    <n v="709"/>
    <n v="177.25"/>
    <n v="40"/>
    <n v="709"/>
    <n v="571.75"/>
    <x v="3"/>
    <x v="0"/>
    <x v="1"/>
    <n v="40"/>
    <n v="3.7"/>
  </r>
  <r>
    <x v="4370"/>
    <x v="318"/>
    <x v="10"/>
    <n v="11"/>
    <n v="15"/>
    <s v="Saturday"/>
    <x v="4"/>
    <x v="4"/>
    <x v="8"/>
    <s v="Pasta"/>
    <x v="1"/>
    <n v="3"/>
    <n v="605"/>
    <n v="0"/>
    <n v="0"/>
    <n v="1815"/>
    <n v="1815"/>
    <x v="3"/>
    <x v="0"/>
    <x v="0"/>
    <n v="22"/>
    <n v="4.0999999999999996"/>
  </r>
  <r>
    <x v="4371"/>
    <x v="318"/>
    <x v="10"/>
    <n v="11"/>
    <n v="15"/>
    <s v="Saturday"/>
    <x v="2"/>
    <x v="9"/>
    <x v="1"/>
    <s v="Chicken Momos"/>
    <x v="1"/>
    <n v="2"/>
    <n v="581"/>
    <n v="145.25"/>
    <n v="40"/>
    <n v="1162"/>
    <n v="1056.75"/>
    <x v="0"/>
    <x v="0"/>
    <x v="1"/>
    <n v="56"/>
    <n v="3.9"/>
  </r>
  <r>
    <x v="4372"/>
    <x v="318"/>
    <x v="10"/>
    <n v="11"/>
    <n v="15"/>
    <s v="Saturday"/>
    <x v="1"/>
    <x v="8"/>
    <x v="0"/>
    <s v="Veg Pizza"/>
    <x v="2"/>
    <n v="1"/>
    <n v="688"/>
    <n v="68.8"/>
    <n v="0"/>
    <n v="688"/>
    <n v="619.20000000000005"/>
    <x v="0"/>
    <x v="0"/>
    <x v="1"/>
    <n v="35"/>
    <n v="3.8"/>
  </r>
  <r>
    <x v="4373"/>
    <x v="318"/>
    <x v="10"/>
    <n v="11"/>
    <n v="15"/>
    <s v="Saturday"/>
    <x v="0"/>
    <x v="9"/>
    <x v="8"/>
    <s v="Pasta"/>
    <x v="1"/>
    <n v="3"/>
    <n v="747"/>
    <n v="0"/>
    <n v="70"/>
    <n v="2241"/>
    <n v="2311"/>
    <x v="1"/>
    <x v="0"/>
    <x v="1"/>
    <n v="46"/>
    <n v="3"/>
  </r>
  <r>
    <x v="4374"/>
    <x v="318"/>
    <x v="10"/>
    <n v="11"/>
    <n v="15"/>
    <s v="Saturday"/>
    <x v="9"/>
    <x v="12"/>
    <x v="2"/>
    <s v="Veg Burger"/>
    <x v="1"/>
    <n v="1"/>
    <n v="637"/>
    <n v="95.55"/>
    <n v="30"/>
    <n v="637"/>
    <n v="571.45000000000005"/>
    <x v="2"/>
    <x v="0"/>
    <x v="1"/>
    <n v="27"/>
    <n v="3.4"/>
  </r>
  <r>
    <x v="4375"/>
    <x v="318"/>
    <x v="10"/>
    <n v="11"/>
    <n v="15"/>
    <s v="Saturday"/>
    <x v="5"/>
    <x v="4"/>
    <x v="6"/>
    <s v="Veg Momos"/>
    <x v="3"/>
    <n v="1"/>
    <n v="632"/>
    <n v="63.2"/>
    <n v="50"/>
    <n v="632"/>
    <n v="618.79999999999995"/>
    <x v="0"/>
    <x v="0"/>
    <x v="1"/>
    <n v="51"/>
    <n v="4"/>
  </r>
  <r>
    <x v="4376"/>
    <x v="318"/>
    <x v="10"/>
    <n v="11"/>
    <n v="15"/>
    <s v="Saturday"/>
    <x v="3"/>
    <x v="10"/>
    <x v="6"/>
    <s v="Veg Pizza"/>
    <x v="3"/>
    <n v="1"/>
    <n v="717"/>
    <n v="35.85"/>
    <n v="0"/>
    <n v="717"/>
    <n v="681.15"/>
    <x v="1"/>
    <x v="0"/>
    <x v="0"/>
    <n v="48"/>
    <n v="3.9"/>
  </r>
  <r>
    <x v="4377"/>
    <x v="318"/>
    <x v="10"/>
    <n v="11"/>
    <n v="15"/>
    <s v="Saturday"/>
    <x v="4"/>
    <x v="11"/>
    <x v="7"/>
    <s v="Idli Sambar"/>
    <x v="1"/>
    <n v="2"/>
    <n v="122"/>
    <n v="12.2"/>
    <n v="0"/>
    <n v="244"/>
    <n v="231.8"/>
    <x v="3"/>
    <x v="0"/>
    <x v="1"/>
    <n v="37"/>
    <n v="5"/>
  </r>
  <r>
    <x v="4378"/>
    <x v="318"/>
    <x v="10"/>
    <n v="11"/>
    <n v="15"/>
    <s v="Saturday"/>
    <x v="3"/>
    <x v="0"/>
    <x v="8"/>
    <s v="Idli Sambar"/>
    <x v="1"/>
    <n v="1"/>
    <n v="342"/>
    <n v="17.100000000000001"/>
    <n v="40"/>
    <n v="342"/>
    <n v="364.9"/>
    <x v="1"/>
    <x v="0"/>
    <x v="1"/>
    <n v="35"/>
    <n v="3.8"/>
  </r>
  <r>
    <x v="4379"/>
    <x v="319"/>
    <x v="10"/>
    <n v="11"/>
    <n v="16"/>
    <s v="Sunday"/>
    <x v="0"/>
    <x v="13"/>
    <x v="4"/>
    <s v="Cold Coffee"/>
    <x v="1"/>
    <n v="3"/>
    <n v="499"/>
    <n v="49.9"/>
    <n v="40"/>
    <n v="1497"/>
    <n v="1487.1"/>
    <x v="0"/>
    <x v="0"/>
    <x v="0"/>
    <n v="29"/>
    <n v="3.9"/>
  </r>
  <r>
    <x v="4380"/>
    <x v="319"/>
    <x v="10"/>
    <n v="11"/>
    <n v="16"/>
    <s v="Sunday"/>
    <x v="8"/>
    <x v="9"/>
    <x v="5"/>
    <s v="Cold Coffee"/>
    <x v="1"/>
    <n v="1"/>
    <n v="366"/>
    <n v="0"/>
    <n v="60"/>
    <n v="366"/>
    <n v="426"/>
    <x v="4"/>
    <x v="0"/>
    <x v="0"/>
    <n v="63"/>
    <n v="4.2"/>
  </r>
  <r>
    <x v="4381"/>
    <x v="319"/>
    <x v="10"/>
    <n v="11"/>
    <n v="16"/>
    <s v="Sunday"/>
    <x v="1"/>
    <x v="10"/>
    <x v="6"/>
    <s v="Chicken Burger"/>
    <x v="1"/>
    <n v="2"/>
    <n v="760"/>
    <n v="152"/>
    <n v="40"/>
    <n v="1520"/>
    <n v="1408"/>
    <x v="1"/>
    <x v="0"/>
    <x v="1"/>
    <n v="34"/>
    <n v="4.8"/>
  </r>
  <r>
    <x v="4382"/>
    <x v="319"/>
    <x v="10"/>
    <n v="11"/>
    <n v="16"/>
    <s v="Sunday"/>
    <x v="3"/>
    <x v="11"/>
    <x v="0"/>
    <s v="Fried Rice"/>
    <x v="3"/>
    <n v="1"/>
    <n v="301"/>
    <n v="30.1"/>
    <n v="30"/>
    <n v="301"/>
    <n v="300.89999999999998"/>
    <x v="4"/>
    <x v="0"/>
    <x v="1"/>
    <n v="53"/>
    <n v="2.8"/>
  </r>
  <r>
    <x v="4383"/>
    <x v="319"/>
    <x v="10"/>
    <n v="11"/>
    <n v="16"/>
    <s v="Sunday"/>
    <x v="3"/>
    <x v="6"/>
    <x v="4"/>
    <s v="Chocolate Cake"/>
    <x v="1"/>
    <n v="2"/>
    <n v="821"/>
    <n v="123.15"/>
    <n v="0"/>
    <n v="1642"/>
    <n v="1518.85"/>
    <x v="2"/>
    <x v="1"/>
    <x v="1"/>
    <n v="45"/>
    <m/>
  </r>
  <r>
    <x v="4384"/>
    <x v="319"/>
    <x v="10"/>
    <n v="11"/>
    <n v="16"/>
    <s v="Sunday"/>
    <x v="9"/>
    <x v="11"/>
    <x v="2"/>
    <s v="Paneer Butter Masala"/>
    <x v="2"/>
    <n v="1"/>
    <n v="323"/>
    <n v="32.299999999999997"/>
    <n v="60"/>
    <n v="323"/>
    <n v="350.7"/>
    <x v="4"/>
    <x v="2"/>
    <x v="0"/>
    <n v="39"/>
    <m/>
  </r>
  <r>
    <x v="4385"/>
    <x v="319"/>
    <x v="10"/>
    <n v="11"/>
    <n v="16"/>
    <s v="Sunday"/>
    <x v="3"/>
    <x v="13"/>
    <x v="2"/>
    <s v="Idli Sambar"/>
    <x v="3"/>
    <n v="1"/>
    <n v="249"/>
    <n v="62.25"/>
    <n v="30"/>
    <n v="249"/>
    <n v="216.75"/>
    <x v="1"/>
    <x v="0"/>
    <x v="0"/>
    <n v="39"/>
    <n v="3.5"/>
  </r>
  <r>
    <x v="4386"/>
    <x v="319"/>
    <x v="10"/>
    <n v="11"/>
    <n v="16"/>
    <s v="Sunday"/>
    <x v="1"/>
    <x v="4"/>
    <x v="4"/>
    <s v="Chocolate Cake"/>
    <x v="1"/>
    <n v="2"/>
    <n v="484"/>
    <n v="0"/>
    <n v="30"/>
    <n v="968"/>
    <n v="998"/>
    <x v="1"/>
    <x v="0"/>
    <x v="1"/>
    <n v="67"/>
    <n v="4.0999999999999996"/>
  </r>
  <r>
    <x v="4387"/>
    <x v="319"/>
    <x v="10"/>
    <n v="11"/>
    <n v="16"/>
    <s v="Sunday"/>
    <x v="5"/>
    <x v="1"/>
    <x v="2"/>
    <s v="Chocolate Cake"/>
    <x v="1"/>
    <n v="2"/>
    <n v="679"/>
    <n v="67.900000000000006"/>
    <n v="20"/>
    <n v="1358"/>
    <n v="1310.0999999999999"/>
    <x v="2"/>
    <x v="0"/>
    <x v="0"/>
    <n v="25"/>
    <n v="4.5"/>
  </r>
  <r>
    <x v="4388"/>
    <x v="319"/>
    <x v="10"/>
    <n v="11"/>
    <n v="16"/>
    <s v="Sunday"/>
    <x v="9"/>
    <x v="5"/>
    <x v="4"/>
    <s v="Pasta"/>
    <x v="1"/>
    <n v="1"/>
    <n v="471"/>
    <n v="47.1"/>
    <n v="0"/>
    <n v="471"/>
    <n v="423.9"/>
    <x v="2"/>
    <x v="0"/>
    <x v="0"/>
    <n v="35"/>
    <n v="4.3"/>
  </r>
  <r>
    <x v="4389"/>
    <x v="319"/>
    <x v="10"/>
    <n v="11"/>
    <n v="16"/>
    <s v="Sunday"/>
    <x v="3"/>
    <x v="12"/>
    <x v="8"/>
    <s v="Veg Pizza"/>
    <x v="2"/>
    <n v="2"/>
    <n v="331"/>
    <n v="33.1"/>
    <n v="60"/>
    <n v="662"/>
    <n v="688.9"/>
    <x v="0"/>
    <x v="0"/>
    <x v="1"/>
    <n v="51"/>
    <n v="3.2"/>
  </r>
  <r>
    <x v="4390"/>
    <x v="319"/>
    <x v="10"/>
    <n v="11"/>
    <n v="16"/>
    <s v="Sunday"/>
    <x v="3"/>
    <x v="4"/>
    <x v="9"/>
    <s v="Masala Dosa"/>
    <x v="1"/>
    <n v="1"/>
    <n v="543"/>
    <n v="81.45"/>
    <n v="40"/>
    <n v="543"/>
    <n v="501.55"/>
    <x v="0"/>
    <x v="2"/>
    <x v="1"/>
    <n v="50"/>
    <m/>
  </r>
  <r>
    <x v="4391"/>
    <x v="319"/>
    <x v="10"/>
    <n v="11"/>
    <n v="16"/>
    <s v="Sunday"/>
    <x v="5"/>
    <x v="12"/>
    <x v="2"/>
    <s v="Veg Biryani"/>
    <x v="2"/>
    <n v="1"/>
    <n v="271"/>
    <n v="27.1"/>
    <n v="30"/>
    <n v="271"/>
    <n v="273.89999999999998"/>
    <x v="0"/>
    <x v="0"/>
    <x v="1"/>
    <n v="55"/>
    <n v="4"/>
  </r>
  <r>
    <x v="4392"/>
    <x v="319"/>
    <x v="10"/>
    <n v="11"/>
    <n v="16"/>
    <s v="Sunday"/>
    <x v="0"/>
    <x v="5"/>
    <x v="9"/>
    <s v="Chicken Pizza"/>
    <x v="1"/>
    <n v="2"/>
    <n v="763"/>
    <n v="76.3"/>
    <n v="30"/>
    <n v="1526"/>
    <n v="1479.7"/>
    <x v="1"/>
    <x v="0"/>
    <x v="0"/>
    <n v="22"/>
    <n v="3.1"/>
  </r>
  <r>
    <x v="4393"/>
    <x v="319"/>
    <x v="10"/>
    <n v="11"/>
    <n v="16"/>
    <s v="Sunday"/>
    <x v="8"/>
    <x v="14"/>
    <x v="7"/>
    <s v="Veg Burger"/>
    <x v="1"/>
    <n v="3"/>
    <n v="272"/>
    <n v="27.2"/>
    <n v="70"/>
    <n v="816"/>
    <n v="858.8"/>
    <x v="0"/>
    <x v="0"/>
    <x v="1"/>
    <n v="46"/>
    <n v="4"/>
  </r>
  <r>
    <x v="4394"/>
    <x v="319"/>
    <x v="10"/>
    <n v="11"/>
    <n v="16"/>
    <s v="Sunday"/>
    <x v="5"/>
    <x v="13"/>
    <x v="6"/>
    <s v="Veg Burger"/>
    <x v="1"/>
    <n v="3"/>
    <n v="516"/>
    <n v="51.6"/>
    <n v="40"/>
    <n v="1548"/>
    <n v="1536.4"/>
    <x v="1"/>
    <x v="0"/>
    <x v="0"/>
    <n v="33"/>
    <n v="4.7"/>
  </r>
  <r>
    <x v="4395"/>
    <x v="319"/>
    <x v="10"/>
    <n v="11"/>
    <n v="16"/>
    <s v="Sunday"/>
    <x v="6"/>
    <x v="12"/>
    <x v="4"/>
    <s v="Veg Burger"/>
    <x v="1"/>
    <n v="1"/>
    <n v="441"/>
    <n v="44.1"/>
    <n v="0"/>
    <n v="441"/>
    <n v="396.9"/>
    <x v="0"/>
    <x v="0"/>
    <x v="0"/>
    <n v="28"/>
    <n v="4.5"/>
  </r>
  <r>
    <x v="4396"/>
    <x v="319"/>
    <x v="10"/>
    <n v="11"/>
    <n v="16"/>
    <s v="Sunday"/>
    <x v="5"/>
    <x v="0"/>
    <x v="9"/>
    <s v="Chicken Momos"/>
    <x v="1"/>
    <n v="1"/>
    <n v="611"/>
    <n v="152.75"/>
    <n v="0"/>
    <n v="611"/>
    <n v="458.25"/>
    <x v="4"/>
    <x v="0"/>
    <x v="1"/>
    <n v="63"/>
    <n v="4.3"/>
  </r>
  <r>
    <x v="4397"/>
    <x v="320"/>
    <x v="10"/>
    <n v="11"/>
    <n v="17"/>
    <s v="Monday"/>
    <x v="1"/>
    <x v="8"/>
    <x v="7"/>
    <s v="Chicken Pizza"/>
    <x v="2"/>
    <n v="3"/>
    <n v="761"/>
    <n v="76.099999999999994"/>
    <n v="40"/>
    <n v="2283"/>
    <n v="2246.9"/>
    <x v="0"/>
    <x v="0"/>
    <x v="1"/>
    <n v="25"/>
    <n v="3"/>
  </r>
  <r>
    <x v="4398"/>
    <x v="320"/>
    <x v="10"/>
    <n v="11"/>
    <n v="17"/>
    <s v="Monday"/>
    <x v="5"/>
    <x v="1"/>
    <x v="5"/>
    <s v="French Fries"/>
    <x v="1"/>
    <n v="1"/>
    <n v="327"/>
    <n v="49.05"/>
    <n v="50"/>
    <n v="327"/>
    <n v="327.95"/>
    <x v="1"/>
    <x v="0"/>
    <x v="1"/>
    <n v="61"/>
    <n v="3.8"/>
  </r>
  <r>
    <x v="4399"/>
    <x v="320"/>
    <x v="10"/>
    <n v="11"/>
    <n v="17"/>
    <s v="Monday"/>
    <x v="0"/>
    <x v="8"/>
    <x v="9"/>
    <s v="Veg Biryani"/>
    <x v="1"/>
    <n v="1"/>
    <n v="724"/>
    <n v="144.80000000000001"/>
    <n v="20"/>
    <n v="724"/>
    <n v="599.20000000000005"/>
    <x v="0"/>
    <x v="0"/>
    <x v="1"/>
    <n v="31"/>
    <n v="2.9"/>
  </r>
  <r>
    <x v="4400"/>
    <x v="320"/>
    <x v="10"/>
    <n v="11"/>
    <n v="17"/>
    <s v="Monday"/>
    <x v="5"/>
    <x v="1"/>
    <x v="1"/>
    <s v="Veg Biryani"/>
    <x v="1"/>
    <n v="2"/>
    <n v="346"/>
    <n v="34.6"/>
    <n v="60"/>
    <n v="692"/>
    <n v="717.4"/>
    <x v="2"/>
    <x v="2"/>
    <x v="0"/>
    <n v="18"/>
    <m/>
  </r>
  <r>
    <x v="4401"/>
    <x v="320"/>
    <x v="10"/>
    <n v="11"/>
    <n v="17"/>
    <s v="Monday"/>
    <x v="0"/>
    <x v="8"/>
    <x v="0"/>
    <s v="Chicken Biryani"/>
    <x v="1"/>
    <n v="1"/>
    <n v="299"/>
    <n v="59.8"/>
    <n v="40"/>
    <n v="299"/>
    <n v="279.2"/>
    <x v="4"/>
    <x v="0"/>
    <x v="0"/>
    <n v="69"/>
    <n v="3.6"/>
  </r>
  <r>
    <x v="4402"/>
    <x v="320"/>
    <x v="10"/>
    <n v="11"/>
    <n v="17"/>
    <s v="Monday"/>
    <x v="5"/>
    <x v="11"/>
    <x v="7"/>
    <s v="Chicken Burger"/>
    <x v="3"/>
    <n v="1"/>
    <n v="402"/>
    <n v="40.200000000000003"/>
    <n v="20"/>
    <n v="402"/>
    <n v="381.8"/>
    <x v="4"/>
    <x v="0"/>
    <x v="1"/>
    <n v="31"/>
    <n v="4.8"/>
  </r>
  <r>
    <x v="4403"/>
    <x v="320"/>
    <x v="10"/>
    <n v="11"/>
    <n v="17"/>
    <s v="Monday"/>
    <x v="5"/>
    <x v="13"/>
    <x v="0"/>
    <s v="Chicken Biryani"/>
    <x v="2"/>
    <n v="2"/>
    <n v="496"/>
    <n v="74.400000000000006"/>
    <n v="30"/>
    <n v="992"/>
    <n v="947.6"/>
    <x v="1"/>
    <x v="1"/>
    <x v="1"/>
    <n v="58"/>
    <m/>
  </r>
  <r>
    <x v="4404"/>
    <x v="320"/>
    <x v="10"/>
    <n v="11"/>
    <n v="17"/>
    <s v="Monday"/>
    <x v="5"/>
    <x v="3"/>
    <x v="4"/>
    <s v="Veg Burger"/>
    <x v="1"/>
    <n v="2"/>
    <n v="607"/>
    <n v="121.4"/>
    <n v="60"/>
    <n v="1214"/>
    <n v="1152.5999999999999"/>
    <x v="2"/>
    <x v="0"/>
    <x v="0"/>
    <n v="21"/>
    <n v="4.9000000000000004"/>
  </r>
  <r>
    <x v="4405"/>
    <x v="320"/>
    <x v="10"/>
    <n v="11"/>
    <n v="17"/>
    <s v="Monday"/>
    <x v="4"/>
    <x v="6"/>
    <x v="2"/>
    <s v="Fried Rice"/>
    <x v="1"/>
    <n v="2"/>
    <n v="351"/>
    <n v="35.1"/>
    <n v="50"/>
    <n v="702"/>
    <n v="716.9"/>
    <x v="2"/>
    <x v="0"/>
    <x v="1"/>
    <n v="42"/>
    <n v="4.5"/>
  </r>
  <r>
    <x v="4406"/>
    <x v="320"/>
    <x v="10"/>
    <n v="11"/>
    <n v="17"/>
    <s v="Monday"/>
    <x v="3"/>
    <x v="4"/>
    <x v="0"/>
    <s v="Fried Rice"/>
    <x v="3"/>
    <n v="2"/>
    <n v="437"/>
    <n v="43.7"/>
    <n v="30"/>
    <n v="874"/>
    <n v="860.3"/>
    <x v="1"/>
    <x v="0"/>
    <x v="1"/>
    <n v="62"/>
    <n v="3.8"/>
  </r>
  <r>
    <x v="4407"/>
    <x v="320"/>
    <x v="10"/>
    <n v="11"/>
    <n v="17"/>
    <s v="Monday"/>
    <x v="9"/>
    <x v="3"/>
    <x v="0"/>
    <s v="Chicken Momos"/>
    <x v="1"/>
    <n v="2"/>
    <n v="536"/>
    <n v="26.8"/>
    <n v="40"/>
    <n v="1072"/>
    <n v="1085.2"/>
    <x v="1"/>
    <x v="0"/>
    <x v="1"/>
    <n v="38"/>
    <n v="4.0999999999999996"/>
  </r>
  <r>
    <x v="4408"/>
    <x v="320"/>
    <x v="10"/>
    <n v="11"/>
    <n v="17"/>
    <s v="Monday"/>
    <x v="5"/>
    <x v="7"/>
    <x v="8"/>
    <s v="Chicken Burger"/>
    <x v="1"/>
    <n v="1"/>
    <n v="212"/>
    <n v="53"/>
    <n v="30"/>
    <n v="212"/>
    <n v="189"/>
    <x v="1"/>
    <x v="0"/>
    <x v="1"/>
    <n v="43"/>
    <n v="4.3"/>
  </r>
  <r>
    <x v="4409"/>
    <x v="320"/>
    <x v="10"/>
    <n v="11"/>
    <n v="17"/>
    <s v="Monday"/>
    <x v="3"/>
    <x v="7"/>
    <x v="1"/>
    <s v="Chicken Pizza"/>
    <x v="2"/>
    <n v="1"/>
    <n v="472"/>
    <n v="70.8"/>
    <n v="40"/>
    <n v="472"/>
    <n v="441.2"/>
    <x v="1"/>
    <x v="0"/>
    <x v="1"/>
    <n v="18"/>
    <n v="3.8"/>
  </r>
  <r>
    <x v="4410"/>
    <x v="320"/>
    <x v="10"/>
    <n v="11"/>
    <n v="17"/>
    <s v="Monday"/>
    <x v="2"/>
    <x v="2"/>
    <x v="3"/>
    <s v="Chicken Pizza"/>
    <x v="1"/>
    <n v="1"/>
    <n v="253"/>
    <n v="63.25"/>
    <n v="30"/>
    <n v="253"/>
    <n v="219.75"/>
    <x v="1"/>
    <x v="0"/>
    <x v="1"/>
    <n v="43"/>
    <n v="4.9000000000000004"/>
  </r>
  <r>
    <x v="4411"/>
    <x v="320"/>
    <x v="10"/>
    <n v="11"/>
    <n v="17"/>
    <s v="Monday"/>
    <x v="1"/>
    <x v="7"/>
    <x v="7"/>
    <s v="Masala Dosa"/>
    <x v="0"/>
    <n v="2"/>
    <n v="652"/>
    <n v="65.2"/>
    <n v="40"/>
    <n v="1304"/>
    <n v="1278.8"/>
    <x v="1"/>
    <x v="3"/>
    <x v="1"/>
    <n v="33"/>
    <m/>
  </r>
  <r>
    <x v="4412"/>
    <x v="320"/>
    <x v="10"/>
    <n v="11"/>
    <n v="17"/>
    <s v="Monday"/>
    <x v="1"/>
    <x v="2"/>
    <x v="2"/>
    <s v="Veg Biryani"/>
    <x v="1"/>
    <n v="1"/>
    <n v="134"/>
    <n v="13.4"/>
    <n v="40"/>
    <n v="134"/>
    <n v="160.6"/>
    <x v="0"/>
    <x v="0"/>
    <x v="0"/>
    <n v="34"/>
    <n v="3.2"/>
  </r>
  <r>
    <x v="4413"/>
    <x v="320"/>
    <x v="10"/>
    <n v="11"/>
    <n v="17"/>
    <s v="Monday"/>
    <x v="3"/>
    <x v="11"/>
    <x v="9"/>
    <s v="Veg Pizza"/>
    <x v="1"/>
    <n v="1"/>
    <n v="289"/>
    <n v="43.35"/>
    <n v="40"/>
    <n v="289"/>
    <n v="285.64999999999998"/>
    <x v="1"/>
    <x v="0"/>
    <x v="1"/>
    <n v="35"/>
    <n v="3.6"/>
  </r>
  <r>
    <x v="4414"/>
    <x v="321"/>
    <x v="10"/>
    <n v="11"/>
    <n v="18"/>
    <s v="Tuesday"/>
    <x v="8"/>
    <x v="2"/>
    <x v="3"/>
    <s v="Chicken Biryani"/>
    <x v="1"/>
    <n v="2"/>
    <n v="535"/>
    <n v="0"/>
    <n v="50"/>
    <n v="1070"/>
    <n v="1120"/>
    <x v="1"/>
    <x v="1"/>
    <x v="1"/>
    <n v="30"/>
    <m/>
  </r>
  <r>
    <x v="4415"/>
    <x v="321"/>
    <x v="10"/>
    <n v="11"/>
    <n v="18"/>
    <s v="Tuesday"/>
    <x v="5"/>
    <x v="3"/>
    <x v="9"/>
    <s v="Veg Biryani"/>
    <x v="1"/>
    <n v="2"/>
    <n v="400"/>
    <n v="0"/>
    <n v="20"/>
    <n v="800"/>
    <n v="820"/>
    <x v="2"/>
    <x v="0"/>
    <x v="1"/>
    <n v="39"/>
    <n v="3.9"/>
  </r>
  <r>
    <x v="4416"/>
    <x v="321"/>
    <x v="10"/>
    <n v="11"/>
    <n v="18"/>
    <s v="Tuesday"/>
    <x v="1"/>
    <x v="5"/>
    <x v="9"/>
    <s v="Pasta"/>
    <x v="0"/>
    <n v="1"/>
    <n v="381"/>
    <n v="19.05"/>
    <n v="30"/>
    <n v="381"/>
    <n v="391.95"/>
    <x v="1"/>
    <x v="0"/>
    <x v="1"/>
    <n v="35"/>
    <n v="1.7"/>
  </r>
  <r>
    <x v="4417"/>
    <x v="321"/>
    <x v="10"/>
    <n v="11"/>
    <n v="18"/>
    <s v="Tuesday"/>
    <x v="5"/>
    <x v="3"/>
    <x v="2"/>
    <s v="Fried Rice"/>
    <x v="1"/>
    <n v="1"/>
    <n v="558"/>
    <n v="83.7"/>
    <n v="50"/>
    <n v="558"/>
    <n v="524.29999999999995"/>
    <x v="1"/>
    <x v="3"/>
    <x v="1"/>
    <n v="64"/>
    <m/>
  </r>
  <r>
    <x v="4418"/>
    <x v="321"/>
    <x v="10"/>
    <n v="11"/>
    <n v="18"/>
    <s v="Tuesday"/>
    <x v="5"/>
    <x v="9"/>
    <x v="4"/>
    <s v="Veg Biryani"/>
    <x v="3"/>
    <n v="2"/>
    <n v="676"/>
    <n v="67.599999999999994"/>
    <n v="30"/>
    <n v="1352"/>
    <n v="1314.4"/>
    <x v="2"/>
    <x v="0"/>
    <x v="1"/>
    <n v="22"/>
    <n v="4.4000000000000004"/>
  </r>
  <r>
    <x v="4419"/>
    <x v="321"/>
    <x v="10"/>
    <n v="11"/>
    <n v="18"/>
    <s v="Tuesday"/>
    <x v="2"/>
    <x v="0"/>
    <x v="9"/>
    <s v="Chocolate Cake"/>
    <x v="1"/>
    <n v="3"/>
    <n v="587"/>
    <n v="117.4"/>
    <n v="0"/>
    <n v="1761"/>
    <n v="1643.6"/>
    <x v="1"/>
    <x v="0"/>
    <x v="0"/>
    <n v="18"/>
    <n v="4.5"/>
  </r>
  <r>
    <x v="4420"/>
    <x v="321"/>
    <x v="10"/>
    <n v="11"/>
    <n v="18"/>
    <s v="Tuesday"/>
    <x v="0"/>
    <x v="3"/>
    <x v="3"/>
    <s v="Chicken Momos"/>
    <x v="1"/>
    <n v="3"/>
    <n v="318"/>
    <n v="31.8"/>
    <n v="40"/>
    <n v="954"/>
    <n v="962.2"/>
    <x v="2"/>
    <x v="0"/>
    <x v="1"/>
    <n v="34"/>
    <n v="5"/>
  </r>
  <r>
    <x v="4421"/>
    <x v="321"/>
    <x v="10"/>
    <n v="11"/>
    <n v="18"/>
    <s v="Tuesday"/>
    <x v="3"/>
    <x v="10"/>
    <x v="1"/>
    <s v="Pasta"/>
    <x v="1"/>
    <n v="2"/>
    <n v="629"/>
    <n v="94.35"/>
    <n v="60"/>
    <n v="1258"/>
    <n v="1223.6500000000001"/>
    <x v="0"/>
    <x v="2"/>
    <x v="1"/>
    <n v="19"/>
    <m/>
  </r>
  <r>
    <x v="4422"/>
    <x v="321"/>
    <x v="10"/>
    <n v="11"/>
    <n v="18"/>
    <s v="Tuesday"/>
    <x v="7"/>
    <x v="12"/>
    <x v="2"/>
    <s v="Fried Rice"/>
    <x v="2"/>
    <n v="1"/>
    <n v="234"/>
    <n v="46.8"/>
    <n v="50"/>
    <n v="234"/>
    <n v="237.2"/>
    <x v="2"/>
    <x v="0"/>
    <x v="0"/>
    <n v="25"/>
    <n v="3.7"/>
  </r>
  <r>
    <x v="4423"/>
    <x v="321"/>
    <x v="10"/>
    <n v="11"/>
    <n v="18"/>
    <s v="Tuesday"/>
    <x v="7"/>
    <x v="11"/>
    <x v="7"/>
    <s v="Veg Biryani"/>
    <x v="1"/>
    <n v="2"/>
    <n v="513"/>
    <n v="0"/>
    <n v="40"/>
    <n v="1026"/>
    <n v="1066"/>
    <x v="3"/>
    <x v="0"/>
    <x v="0"/>
    <n v="38"/>
    <n v="5"/>
  </r>
  <r>
    <x v="4424"/>
    <x v="322"/>
    <x v="10"/>
    <n v="11"/>
    <n v="19"/>
    <s v="Wednesday"/>
    <x v="0"/>
    <x v="6"/>
    <x v="2"/>
    <s v="Paneer Butter Masala"/>
    <x v="1"/>
    <n v="2"/>
    <n v="747"/>
    <n v="74.7"/>
    <n v="30"/>
    <n v="1494"/>
    <n v="1449.3"/>
    <x v="2"/>
    <x v="0"/>
    <x v="1"/>
    <n v="58"/>
    <n v="3.9"/>
  </r>
  <r>
    <x v="4425"/>
    <x v="322"/>
    <x v="10"/>
    <n v="11"/>
    <n v="19"/>
    <s v="Wednesday"/>
    <x v="6"/>
    <x v="2"/>
    <x v="2"/>
    <s v="Chocolate Cake"/>
    <x v="1"/>
    <n v="1"/>
    <n v="868"/>
    <n v="0"/>
    <n v="40"/>
    <n v="868"/>
    <n v="908"/>
    <x v="0"/>
    <x v="0"/>
    <x v="0"/>
    <n v="60"/>
    <n v="4.2"/>
  </r>
  <r>
    <x v="4426"/>
    <x v="322"/>
    <x v="10"/>
    <n v="11"/>
    <n v="19"/>
    <s v="Wednesday"/>
    <x v="2"/>
    <x v="9"/>
    <x v="0"/>
    <s v="Idli Sambar"/>
    <x v="1"/>
    <n v="1"/>
    <n v="136"/>
    <n v="20.399999999999999"/>
    <n v="20"/>
    <n v="136"/>
    <n v="135.6"/>
    <x v="1"/>
    <x v="0"/>
    <x v="0"/>
    <n v="28"/>
    <n v="5"/>
  </r>
  <r>
    <x v="4427"/>
    <x v="322"/>
    <x v="10"/>
    <n v="11"/>
    <n v="19"/>
    <s v="Wednesday"/>
    <x v="2"/>
    <x v="6"/>
    <x v="6"/>
    <s v="Chicken Momos"/>
    <x v="2"/>
    <n v="1"/>
    <n v="572"/>
    <n v="114.4"/>
    <n v="40"/>
    <n v="572"/>
    <n v="497.6"/>
    <x v="1"/>
    <x v="0"/>
    <x v="0"/>
    <n v="49"/>
    <n v="3.8"/>
  </r>
  <r>
    <x v="4428"/>
    <x v="322"/>
    <x v="10"/>
    <n v="11"/>
    <n v="19"/>
    <s v="Wednesday"/>
    <x v="2"/>
    <x v="6"/>
    <x v="9"/>
    <s v="Paneer Butter Masala"/>
    <x v="1"/>
    <n v="1"/>
    <n v="380"/>
    <n v="95"/>
    <n v="20"/>
    <n v="380"/>
    <n v="305"/>
    <x v="3"/>
    <x v="0"/>
    <x v="1"/>
    <n v="59"/>
    <n v="3.4"/>
  </r>
  <r>
    <x v="4429"/>
    <x v="322"/>
    <x v="10"/>
    <n v="11"/>
    <n v="19"/>
    <s v="Wednesday"/>
    <x v="5"/>
    <x v="0"/>
    <x v="5"/>
    <s v="Veg Biryani"/>
    <x v="3"/>
    <n v="1"/>
    <n v="356"/>
    <n v="71.2"/>
    <n v="20"/>
    <n v="356"/>
    <n v="304.8"/>
    <x v="0"/>
    <x v="0"/>
    <x v="1"/>
    <n v="51"/>
    <n v="4.7"/>
  </r>
  <r>
    <x v="4430"/>
    <x v="322"/>
    <x v="10"/>
    <n v="11"/>
    <n v="19"/>
    <s v="Wednesday"/>
    <x v="7"/>
    <x v="9"/>
    <x v="9"/>
    <s v="Chicken Biryani"/>
    <x v="1"/>
    <n v="3"/>
    <n v="801"/>
    <n v="80.099999999999994"/>
    <n v="50"/>
    <n v="2403"/>
    <n v="2372.9"/>
    <x v="1"/>
    <x v="0"/>
    <x v="0"/>
    <n v="49"/>
    <n v="4.4000000000000004"/>
  </r>
  <r>
    <x v="4431"/>
    <x v="322"/>
    <x v="10"/>
    <n v="11"/>
    <n v="19"/>
    <s v="Wednesday"/>
    <x v="9"/>
    <x v="7"/>
    <x v="0"/>
    <s v="French Fries"/>
    <x v="1"/>
    <n v="2"/>
    <n v="658"/>
    <n v="0"/>
    <n v="60"/>
    <n v="1316"/>
    <n v="1376"/>
    <x v="2"/>
    <x v="0"/>
    <x v="1"/>
    <n v="70"/>
    <n v="4.3"/>
  </r>
  <r>
    <x v="4432"/>
    <x v="322"/>
    <x v="10"/>
    <n v="11"/>
    <n v="19"/>
    <s v="Wednesday"/>
    <x v="6"/>
    <x v="9"/>
    <x v="5"/>
    <s v="Chicken Momos"/>
    <x v="1"/>
    <n v="1"/>
    <n v="382"/>
    <n v="19.100000000000001"/>
    <n v="30"/>
    <n v="382"/>
    <n v="392.9"/>
    <x v="4"/>
    <x v="0"/>
    <x v="1"/>
    <n v="28"/>
    <n v="5"/>
  </r>
  <r>
    <x v="4433"/>
    <x v="322"/>
    <x v="10"/>
    <n v="11"/>
    <n v="19"/>
    <s v="Wednesday"/>
    <x v="4"/>
    <x v="3"/>
    <x v="0"/>
    <s v="Cold Coffee"/>
    <x v="1"/>
    <n v="3"/>
    <n v="550"/>
    <n v="110"/>
    <n v="60"/>
    <n v="1650"/>
    <n v="1600"/>
    <x v="2"/>
    <x v="0"/>
    <x v="0"/>
    <n v="41"/>
    <n v="4.0999999999999996"/>
  </r>
  <r>
    <x v="4434"/>
    <x v="322"/>
    <x v="10"/>
    <n v="11"/>
    <n v="19"/>
    <s v="Wednesday"/>
    <x v="4"/>
    <x v="13"/>
    <x v="0"/>
    <s v="Chicken Biryani"/>
    <x v="1"/>
    <n v="2"/>
    <n v="652"/>
    <n v="97.8"/>
    <n v="50"/>
    <n v="1304"/>
    <n v="1256.2"/>
    <x v="4"/>
    <x v="0"/>
    <x v="1"/>
    <n v="28"/>
    <n v="4.3"/>
  </r>
  <r>
    <x v="4435"/>
    <x v="322"/>
    <x v="10"/>
    <n v="11"/>
    <n v="19"/>
    <s v="Wednesday"/>
    <x v="4"/>
    <x v="6"/>
    <x v="5"/>
    <s v="Paneer Butter Masala"/>
    <x v="1"/>
    <n v="3"/>
    <n v="693"/>
    <n v="69.3"/>
    <n v="50"/>
    <n v="2079"/>
    <n v="2059.6999999999998"/>
    <x v="1"/>
    <x v="0"/>
    <x v="0"/>
    <n v="55"/>
    <n v="3.9"/>
  </r>
  <r>
    <x v="4436"/>
    <x v="322"/>
    <x v="10"/>
    <n v="11"/>
    <n v="19"/>
    <s v="Wednesday"/>
    <x v="1"/>
    <x v="7"/>
    <x v="8"/>
    <s v="French Fries"/>
    <x v="1"/>
    <n v="1"/>
    <n v="624"/>
    <n v="0"/>
    <n v="30"/>
    <n v="624"/>
    <n v="654"/>
    <x v="1"/>
    <x v="0"/>
    <x v="1"/>
    <n v="36"/>
    <n v="4.5999999999999996"/>
  </r>
  <r>
    <x v="4437"/>
    <x v="322"/>
    <x v="10"/>
    <n v="11"/>
    <n v="19"/>
    <s v="Wednesday"/>
    <x v="9"/>
    <x v="5"/>
    <x v="1"/>
    <s v="Masala Dosa"/>
    <x v="1"/>
    <n v="3"/>
    <n v="520"/>
    <n v="26"/>
    <n v="50"/>
    <n v="1560"/>
    <n v="1584"/>
    <x v="1"/>
    <x v="0"/>
    <x v="1"/>
    <n v="40"/>
    <n v="3.8"/>
  </r>
  <r>
    <x v="4438"/>
    <x v="323"/>
    <x v="10"/>
    <n v="11"/>
    <n v="20"/>
    <s v="Thursday"/>
    <x v="3"/>
    <x v="14"/>
    <x v="6"/>
    <s v="French Fries"/>
    <x v="0"/>
    <n v="2"/>
    <n v="577"/>
    <n v="86.55"/>
    <n v="50"/>
    <n v="1154"/>
    <n v="1117.45"/>
    <x v="1"/>
    <x v="0"/>
    <x v="0"/>
    <n v="66"/>
    <n v="2.9"/>
  </r>
  <r>
    <x v="4439"/>
    <x v="323"/>
    <x v="10"/>
    <n v="11"/>
    <n v="20"/>
    <s v="Thursday"/>
    <x v="0"/>
    <x v="4"/>
    <x v="8"/>
    <s v="Chicken Burger"/>
    <x v="1"/>
    <n v="2"/>
    <n v="541"/>
    <n v="0"/>
    <n v="40"/>
    <n v="1082"/>
    <n v="1122"/>
    <x v="4"/>
    <x v="0"/>
    <x v="0"/>
    <n v="63"/>
    <n v="3.9"/>
  </r>
  <r>
    <x v="4440"/>
    <x v="323"/>
    <x v="10"/>
    <n v="11"/>
    <n v="20"/>
    <s v="Thursday"/>
    <x v="3"/>
    <x v="0"/>
    <x v="8"/>
    <s v="Masala Dosa"/>
    <x v="1"/>
    <n v="2"/>
    <n v="884"/>
    <n v="221"/>
    <n v="30"/>
    <n v="1768"/>
    <n v="1577"/>
    <x v="3"/>
    <x v="0"/>
    <x v="1"/>
    <n v="34"/>
    <n v="4.3"/>
  </r>
  <r>
    <x v="4441"/>
    <x v="323"/>
    <x v="10"/>
    <n v="11"/>
    <n v="20"/>
    <s v="Thursday"/>
    <x v="8"/>
    <x v="7"/>
    <x v="1"/>
    <s v="Pasta"/>
    <x v="1"/>
    <n v="2"/>
    <n v="632"/>
    <n v="63.2"/>
    <n v="30"/>
    <n v="1264"/>
    <n v="1230.8"/>
    <x v="1"/>
    <x v="0"/>
    <x v="1"/>
    <n v="50"/>
    <n v="2.5"/>
  </r>
  <r>
    <x v="4442"/>
    <x v="323"/>
    <x v="10"/>
    <n v="11"/>
    <n v="20"/>
    <s v="Thursday"/>
    <x v="1"/>
    <x v="13"/>
    <x v="0"/>
    <s v="Chicken Pizza"/>
    <x v="1"/>
    <n v="3"/>
    <n v="597"/>
    <n v="59.7"/>
    <n v="0"/>
    <n v="1791"/>
    <n v="1731.3"/>
    <x v="1"/>
    <x v="1"/>
    <x v="1"/>
    <n v="65"/>
    <m/>
  </r>
  <r>
    <x v="4443"/>
    <x v="323"/>
    <x v="10"/>
    <n v="11"/>
    <n v="20"/>
    <s v="Thursday"/>
    <x v="1"/>
    <x v="9"/>
    <x v="5"/>
    <s v="Veg Pizza"/>
    <x v="1"/>
    <n v="1"/>
    <n v="368"/>
    <n v="73.599999999999994"/>
    <n v="20"/>
    <n v="368"/>
    <n v="314.39999999999998"/>
    <x v="0"/>
    <x v="0"/>
    <x v="1"/>
    <n v="69"/>
    <n v="4.5999999999999996"/>
  </r>
  <r>
    <x v="4444"/>
    <x v="323"/>
    <x v="10"/>
    <n v="11"/>
    <n v="20"/>
    <s v="Thursday"/>
    <x v="2"/>
    <x v="12"/>
    <x v="7"/>
    <s v="Masala Dosa"/>
    <x v="1"/>
    <n v="1"/>
    <n v="818"/>
    <n v="163.6"/>
    <n v="30"/>
    <n v="818"/>
    <n v="684.4"/>
    <x v="3"/>
    <x v="2"/>
    <x v="0"/>
    <n v="65"/>
    <m/>
  </r>
  <r>
    <x v="4445"/>
    <x v="323"/>
    <x v="10"/>
    <n v="11"/>
    <n v="20"/>
    <s v="Thursday"/>
    <x v="3"/>
    <x v="4"/>
    <x v="3"/>
    <s v="Chocolate Cake"/>
    <x v="2"/>
    <n v="1"/>
    <n v="683"/>
    <n v="34.15"/>
    <n v="50"/>
    <n v="683"/>
    <n v="698.85"/>
    <x v="4"/>
    <x v="3"/>
    <x v="1"/>
    <n v="44"/>
    <m/>
  </r>
  <r>
    <x v="4446"/>
    <x v="323"/>
    <x v="10"/>
    <n v="11"/>
    <n v="20"/>
    <s v="Thursday"/>
    <x v="6"/>
    <x v="6"/>
    <x v="9"/>
    <s v="Cold Coffee"/>
    <x v="1"/>
    <n v="2"/>
    <n v="142"/>
    <n v="28.4"/>
    <n v="40"/>
    <n v="284"/>
    <n v="295.60000000000002"/>
    <x v="2"/>
    <x v="0"/>
    <x v="1"/>
    <n v="68"/>
    <n v="3.8"/>
  </r>
  <r>
    <x v="4447"/>
    <x v="323"/>
    <x v="10"/>
    <n v="11"/>
    <n v="20"/>
    <s v="Thursday"/>
    <x v="3"/>
    <x v="12"/>
    <x v="3"/>
    <s v="Chicken Momos"/>
    <x v="2"/>
    <n v="3"/>
    <n v="370"/>
    <n v="0"/>
    <n v="50"/>
    <n v="1110"/>
    <n v="1160"/>
    <x v="2"/>
    <x v="0"/>
    <x v="1"/>
    <n v="43"/>
    <n v="3.5"/>
  </r>
  <r>
    <x v="4448"/>
    <x v="323"/>
    <x v="10"/>
    <n v="11"/>
    <n v="20"/>
    <s v="Thursday"/>
    <x v="7"/>
    <x v="8"/>
    <x v="7"/>
    <s v="French Fries"/>
    <x v="1"/>
    <n v="2"/>
    <n v="398"/>
    <n v="59.7"/>
    <n v="20"/>
    <n v="796"/>
    <n v="756.3"/>
    <x v="1"/>
    <x v="0"/>
    <x v="1"/>
    <n v="61"/>
    <n v="4.2"/>
  </r>
  <r>
    <x v="4449"/>
    <x v="323"/>
    <x v="10"/>
    <n v="11"/>
    <n v="20"/>
    <s v="Thursday"/>
    <x v="7"/>
    <x v="6"/>
    <x v="2"/>
    <s v="Chicken Biryani"/>
    <x v="1"/>
    <n v="3"/>
    <n v="453"/>
    <n v="22.65"/>
    <n v="40"/>
    <n v="1359"/>
    <n v="1376.35"/>
    <x v="2"/>
    <x v="0"/>
    <x v="0"/>
    <n v="41"/>
    <n v="4.9000000000000004"/>
  </r>
  <r>
    <x v="4450"/>
    <x v="323"/>
    <x v="10"/>
    <n v="11"/>
    <n v="20"/>
    <s v="Thursday"/>
    <x v="1"/>
    <x v="9"/>
    <x v="6"/>
    <s v="Paneer Butter Masala"/>
    <x v="1"/>
    <n v="1"/>
    <n v="743"/>
    <n v="0"/>
    <n v="60"/>
    <n v="743"/>
    <n v="803"/>
    <x v="0"/>
    <x v="0"/>
    <x v="0"/>
    <n v="30"/>
    <n v="4.0999999999999996"/>
  </r>
  <r>
    <x v="4451"/>
    <x v="323"/>
    <x v="10"/>
    <n v="11"/>
    <n v="20"/>
    <s v="Thursday"/>
    <x v="7"/>
    <x v="8"/>
    <x v="8"/>
    <s v="Pasta"/>
    <x v="2"/>
    <n v="1"/>
    <n v="367"/>
    <n v="55.05"/>
    <n v="50"/>
    <n v="367"/>
    <n v="361.95"/>
    <x v="3"/>
    <x v="0"/>
    <x v="0"/>
    <n v="47"/>
    <n v="4.5"/>
  </r>
  <r>
    <x v="4452"/>
    <x v="323"/>
    <x v="10"/>
    <n v="11"/>
    <n v="20"/>
    <s v="Thursday"/>
    <x v="4"/>
    <x v="10"/>
    <x v="1"/>
    <s v="Chicken Burger"/>
    <x v="0"/>
    <n v="2"/>
    <n v="801"/>
    <n v="80.099999999999994"/>
    <n v="0"/>
    <n v="1602"/>
    <n v="1521.9"/>
    <x v="0"/>
    <x v="0"/>
    <x v="1"/>
    <n v="27"/>
    <n v="3.4"/>
  </r>
  <r>
    <x v="4453"/>
    <x v="323"/>
    <x v="10"/>
    <n v="11"/>
    <n v="20"/>
    <s v="Thursday"/>
    <x v="0"/>
    <x v="11"/>
    <x v="3"/>
    <s v="Pasta"/>
    <x v="1"/>
    <n v="1"/>
    <n v="848"/>
    <n v="0"/>
    <n v="0"/>
    <n v="848"/>
    <n v="848"/>
    <x v="4"/>
    <x v="0"/>
    <x v="1"/>
    <n v="66"/>
    <n v="4.0999999999999996"/>
  </r>
  <r>
    <x v="4454"/>
    <x v="324"/>
    <x v="10"/>
    <n v="11"/>
    <n v="21"/>
    <s v="Friday"/>
    <x v="6"/>
    <x v="8"/>
    <x v="8"/>
    <s v="Cold Coffee"/>
    <x v="1"/>
    <n v="1"/>
    <n v="122"/>
    <n v="12.2"/>
    <n v="60"/>
    <n v="122"/>
    <n v="169.8"/>
    <x v="2"/>
    <x v="0"/>
    <x v="1"/>
    <n v="45"/>
    <n v="2.8"/>
  </r>
  <r>
    <x v="4455"/>
    <x v="324"/>
    <x v="10"/>
    <n v="11"/>
    <n v="21"/>
    <s v="Friday"/>
    <x v="5"/>
    <x v="0"/>
    <x v="8"/>
    <s v="Cold Coffee"/>
    <x v="1"/>
    <n v="1"/>
    <n v="419"/>
    <n v="41.9"/>
    <n v="50"/>
    <n v="419"/>
    <n v="427.1"/>
    <x v="0"/>
    <x v="0"/>
    <x v="0"/>
    <n v="31"/>
    <n v="4.7"/>
  </r>
  <r>
    <x v="4456"/>
    <x v="324"/>
    <x v="10"/>
    <n v="11"/>
    <n v="21"/>
    <s v="Friday"/>
    <x v="5"/>
    <x v="8"/>
    <x v="9"/>
    <s v="Fried Rice"/>
    <x v="1"/>
    <n v="1"/>
    <n v="613"/>
    <n v="61.3"/>
    <n v="50"/>
    <n v="613"/>
    <n v="601.70000000000005"/>
    <x v="2"/>
    <x v="0"/>
    <x v="0"/>
    <n v="59"/>
    <n v="4.0999999999999996"/>
  </r>
  <r>
    <x v="4457"/>
    <x v="324"/>
    <x v="10"/>
    <n v="11"/>
    <n v="21"/>
    <s v="Friday"/>
    <x v="1"/>
    <x v="8"/>
    <x v="5"/>
    <s v="Veg Pizza"/>
    <x v="1"/>
    <n v="1"/>
    <n v="585"/>
    <n v="87.75"/>
    <n v="50"/>
    <n v="585"/>
    <n v="547.25"/>
    <x v="0"/>
    <x v="0"/>
    <x v="1"/>
    <n v="24"/>
    <n v="4.5999999999999996"/>
  </r>
  <r>
    <x v="4458"/>
    <x v="324"/>
    <x v="10"/>
    <n v="11"/>
    <n v="21"/>
    <s v="Friday"/>
    <x v="5"/>
    <x v="12"/>
    <x v="6"/>
    <s v="Fried Rice"/>
    <x v="1"/>
    <n v="1"/>
    <n v="752"/>
    <n v="75.2"/>
    <n v="50"/>
    <n v="752"/>
    <n v="726.8"/>
    <x v="1"/>
    <x v="0"/>
    <x v="0"/>
    <n v="31"/>
    <n v="4"/>
  </r>
  <r>
    <x v="4459"/>
    <x v="324"/>
    <x v="10"/>
    <n v="11"/>
    <n v="21"/>
    <s v="Friday"/>
    <x v="6"/>
    <x v="11"/>
    <x v="0"/>
    <s v="Chicken Biryani"/>
    <x v="1"/>
    <n v="1"/>
    <n v="271"/>
    <n v="67.75"/>
    <n v="0"/>
    <n v="271"/>
    <n v="203.25"/>
    <x v="1"/>
    <x v="3"/>
    <x v="1"/>
    <n v="61"/>
    <m/>
  </r>
  <r>
    <x v="4460"/>
    <x v="324"/>
    <x v="10"/>
    <n v="11"/>
    <n v="21"/>
    <s v="Friday"/>
    <x v="5"/>
    <x v="13"/>
    <x v="2"/>
    <s v="Chicken Biryani"/>
    <x v="1"/>
    <n v="2"/>
    <n v="745"/>
    <n v="37.25"/>
    <n v="70"/>
    <n v="1490"/>
    <n v="1522.75"/>
    <x v="1"/>
    <x v="1"/>
    <x v="1"/>
    <n v="18"/>
    <m/>
  </r>
  <r>
    <x v="4461"/>
    <x v="324"/>
    <x v="10"/>
    <n v="11"/>
    <n v="21"/>
    <s v="Friday"/>
    <x v="9"/>
    <x v="5"/>
    <x v="9"/>
    <s v="French Fries"/>
    <x v="0"/>
    <n v="3"/>
    <n v="127"/>
    <n v="25.4"/>
    <n v="50"/>
    <n v="381"/>
    <n v="405.6"/>
    <x v="1"/>
    <x v="0"/>
    <x v="1"/>
    <n v="38"/>
    <n v="4.3"/>
  </r>
  <r>
    <x v="4462"/>
    <x v="324"/>
    <x v="10"/>
    <n v="11"/>
    <n v="21"/>
    <s v="Friday"/>
    <x v="0"/>
    <x v="3"/>
    <x v="4"/>
    <s v="Veg Burger"/>
    <x v="1"/>
    <n v="1"/>
    <n v="359"/>
    <n v="35.9"/>
    <n v="60"/>
    <n v="359"/>
    <n v="383.1"/>
    <x v="4"/>
    <x v="0"/>
    <x v="1"/>
    <n v="70"/>
    <n v="4.8"/>
  </r>
  <r>
    <x v="4463"/>
    <x v="324"/>
    <x v="10"/>
    <n v="11"/>
    <n v="21"/>
    <s v="Friday"/>
    <x v="1"/>
    <x v="7"/>
    <x v="4"/>
    <s v="Idli Sambar"/>
    <x v="1"/>
    <n v="2"/>
    <n v="243"/>
    <n v="48.6"/>
    <n v="20"/>
    <n v="486"/>
    <n v="457.4"/>
    <x v="1"/>
    <x v="0"/>
    <x v="1"/>
    <n v="51"/>
    <n v="3.4"/>
  </r>
  <r>
    <x v="4464"/>
    <x v="324"/>
    <x v="10"/>
    <n v="11"/>
    <n v="21"/>
    <s v="Friday"/>
    <x v="2"/>
    <x v="3"/>
    <x v="9"/>
    <s v="Chocolate Cake"/>
    <x v="3"/>
    <n v="1"/>
    <n v="806"/>
    <n v="161.19999999999999"/>
    <n v="50"/>
    <n v="806"/>
    <n v="694.8"/>
    <x v="2"/>
    <x v="0"/>
    <x v="1"/>
    <n v="51"/>
    <n v="5"/>
  </r>
  <r>
    <x v="4465"/>
    <x v="324"/>
    <x v="10"/>
    <n v="11"/>
    <n v="21"/>
    <s v="Friday"/>
    <x v="3"/>
    <x v="14"/>
    <x v="1"/>
    <s v="Chicken Burger"/>
    <x v="1"/>
    <n v="2"/>
    <n v="831"/>
    <n v="41.55"/>
    <n v="20"/>
    <n v="1662"/>
    <n v="1640.45"/>
    <x v="1"/>
    <x v="0"/>
    <x v="1"/>
    <n v="53"/>
    <n v="4"/>
  </r>
  <r>
    <x v="4466"/>
    <x v="324"/>
    <x v="10"/>
    <n v="11"/>
    <n v="21"/>
    <s v="Friday"/>
    <x v="8"/>
    <x v="2"/>
    <x v="4"/>
    <s v="Veg Burger"/>
    <x v="1"/>
    <n v="3"/>
    <n v="762"/>
    <n v="0"/>
    <n v="60"/>
    <n v="2286"/>
    <n v="2346"/>
    <x v="1"/>
    <x v="2"/>
    <x v="1"/>
    <n v="28"/>
    <m/>
  </r>
  <r>
    <x v="4467"/>
    <x v="324"/>
    <x v="10"/>
    <n v="11"/>
    <n v="21"/>
    <s v="Friday"/>
    <x v="0"/>
    <x v="1"/>
    <x v="7"/>
    <s v="Veg Burger"/>
    <x v="1"/>
    <n v="1"/>
    <n v="171"/>
    <n v="8.5500000000000007"/>
    <n v="60"/>
    <n v="171"/>
    <n v="222.45"/>
    <x v="4"/>
    <x v="2"/>
    <x v="0"/>
    <n v="41"/>
    <m/>
  </r>
  <r>
    <x v="4468"/>
    <x v="324"/>
    <x v="10"/>
    <n v="11"/>
    <n v="21"/>
    <s v="Friday"/>
    <x v="7"/>
    <x v="5"/>
    <x v="2"/>
    <s v="Idli Sambar"/>
    <x v="2"/>
    <n v="1"/>
    <n v="624"/>
    <n v="0"/>
    <n v="60"/>
    <n v="624"/>
    <n v="684"/>
    <x v="0"/>
    <x v="0"/>
    <x v="0"/>
    <n v="45"/>
    <n v="3.9"/>
  </r>
  <r>
    <x v="4469"/>
    <x v="325"/>
    <x v="10"/>
    <n v="11"/>
    <n v="22"/>
    <s v="Saturday"/>
    <x v="7"/>
    <x v="11"/>
    <x v="6"/>
    <s v="Chicken Biryani"/>
    <x v="1"/>
    <n v="3"/>
    <n v="559"/>
    <n v="83.85"/>
    <n v="50"/>
    <n v="1677"/>
    <n v="1643.15"/>
    <x v="0"/>
    <x v="0"/>
    <x v="0"/>
    <n v="63"/>
    <n v="4.7"/>
  </r>
  <r>
    <x v="4470"/>
    <x v="325"/>
    <x v="10"/>
    <n v="11"/>
    <n v="22"/>
    <s v="Saturday"/>
    <x v="0"/>
    <x v="7"/>
    <x v="6"/>
    <s v="Chicken Pizza"/>
    <x v="1"/>
    <n v="2"/>
    <n v="900"/>
    <n v="135"/>
    <n v="50"/>
    <n v="1800"/>
    <n v="1715"/>
    <x v="1"/>
    <x v="0"/>
    <x v="1"/>
    <n v="60"/>
    <n v="3.5"/>
  </r>
  <r>
    <x v="4471"/>
    <x v="325"/>
    <x v="10"/>
    <n v="11"/>
    <n v="22"/>
    <s v="Saturday"/>
    <x v="4"/>
    <x v="1"/>
    <x v="4"/>
    <s v="Paneer Butter Masala"/>
    <x v="1"/>
    <n v="1"/>
    <n v="205"/>
    <n v="30.75"/>
    <n v="30"/>
    <n v="205"/>
    <n v="204.25"/>
    <x v="1"/>
    <x v="0"/>
    <x v="1"/>
    <n v="48"/>
    <n v="3.9"/>
  </r>
  <r>
    <x v="4472"/>
    <x v="325"/>
    <x v="10"/>
    <n v="11"/>
    <n v="22"/>
    <s v="Saturday"/>
    <x v="5"/>
    <x v="1"/>
    <x v="4"/>
    <s v="Veg Momos"/>
    <x v="1"/>
    <n v="2"/>
    <n v="519"/>
    <n v="77.849999999999994"/>
    <n v="40"/>
    <n v="1038"/>
    <n v="1000.15"/>
    <x v="1"/>
    <x v="0"/>
    <x v="1"/>
    <n v="19"/>
    <n v="3.5"/>
  </r>
  <r>
    <x v="4473"/>
    <x v="325"/>
    <x v="10"/>
    <n v="11"/>
    <n v="22"/>
    <s v="Saturday"/>
    <x v="5"/>
    <x v="14"/>
    <x v="8"/>
    <s v="Chicken Biryani"/>
    <x v="2"/>
    <n v="1"/>
    <n v="765"/>
    <n v="153"/>
    <n v="30"/>
    <n v="765"/>
    <n v="642"/>
    <x v="3"/>
    <x v="0"/>
    <x v="1"/>
    <n v="39"/>
    <n v="4.3"/>
  </r>
  <r>
    <x v="4474"/>
    <x v="325"/>
    <x v="10"/>
    <n v="11"/>
    <n v="22"/>
    <s v="Saturday"/>
    <x v="9"/>
    <x v="2"/>
    <x v="9"/>
    <s v="Veg Burger"/>
    <x v="0"/>
    <n v="1"/>
    <n v="287"/>
    <n v="43.05"/>
    <n v="0"/>
    <n v="287"/>
    <n v="243.95"/>
    <x v="1"/>
    <x v="0"/>
    <x v="1"/>
    <n v="46"/>
    <n v="4.9000000000000004"/>
  </r>
  <r>
    <x v="4475"/>
    <x v="325"/>
    <x v="10"/>
    <n v="11"/>
    <n v="22"/>
    <s v="Saturday"/>
    <x v="2"/>
    <x v="3"/>
    <x v="8"/>
    <s v="Chocolate Cake"/>
    <x v="1"/>
    <n v="2"/>
    <n v="828"/>
    <n v="0"/>
    <n v="30"/>
    <n v="1656"/>
    <n v="1686"/>
    <x v="0"/>
    <x v="0"/>
    <x v="1"/>
    <n v="66"/>
    <n v="3.6"/>
  </r>
  <r>
    <x v="4476"/>
    <x v="325"/>
    <x v="10"/>
    <n v="11"/>
    <n v="22"/>
    <s v="Saturday"/>
    <x v="1"/>
    <x v="9"/>
    <x v="1"/>
    <s v="Cold Coffee"/>
    <x v="1"/>
    <n v="1"/>
    <n v="397"/>
    <n v="19.850000000000001"/>
    <n v="20"/>
    <n v="397"/>
    <n v="397.15"/>
    <x v="1"/>
    <x v="0"/>
    <x v="0"/>
    <n v="38"/>
    <n v="4.5"/>
  </r>
  <r>
    <x v="4477"/>
    <x v="325"/>
    <x v="10"/>
    <n v="11"/>
    <n v="22"/>
    <s v="Saturday"/>
    <x v="5"/>
    <x v="8"/>
    <x v="8"/>
    <s v="Chicken Burger"/>
    <x v="1"/>
    <n v="2"/>
    <n v="135"/>
    <n v="13.5"/>
    <n v="50"/>
    <n v="270"/>
    <n v="306.5"/>
    <x v="4"/>
    <x v="1"/>
    <x v="1"/>
    <n v="64"/>
    <m/>
  </r>
  <r>
    <x v="4478"/>
    <x v="325"/>
    <x v="10"/>
    <n v="11"/>
    <n v="22"/>
    <s v="Saturday"/>
    <x v="6"/>
    <x v="4"/>
    <x v="8"/>
    <s v="Veg Burger"/>
    <x v="2"/>
    <n v="1"/>
    <n v="147"/>
    <n v="22.05"/>
    <n v="0"/>
    <n v="147"/>
    <n v="124.95"/>
    <x v="1"/>
    <x v="0"/>
    <x v="0"/>
    <n v="31"/>
    <n v="4.5"/>
  </r>
  <r>
    <x v="4479"/>
    <x v="325"/>
    <x v="10"/>
    <n v="11"/>
    <n v="22"/>
    <s v="Saturday"/>
    <x v="7"/>
    <x v="9"/>
    <x v="2"/>
    <s v="Masala Dosa"/>
    <x v="1"/>
    <n v="3"/>
    <n v="731"/>
    <n v="146.19999999999999"/>
    <n v="50"/>
    <n v="2193"/>
    <n v="2096.8000000000002"/>
    <x v="1"/>
    <x v="0"/>
    <x v="1"/>
    <n v="47"/>
    <n v="4.0999999999999996"/>
  </r>
  <r>
    <x v="4480"/>
    <x v="325"/>
    <x v="10"/>
    <n v="11"/>
    <n v="22"/>
    <s v="Saturday"/>
    <x v="9"/>
    <x v="1"/>
    <x v="1"/>
    <s v="Masala Dosa"/>
    <x v="1"/>
    <n v="1"/>
    <n v="171"/>
    <n v="17.100000000000001"/>
    <n v="40"/>
    <n v="171"/>
    <n v="193.9"/>
    <x v="2"/>
    <x v="0"/>
    <x v="1"/>
    <n v="32"/>
    <n v="3.6"/>
  </r>
  <r>
    <x v="4481"/>
    <x v="325"/>
    <x v="10"/>
    <n v="11"/>
    <n v="22"/>
    <s v="Saturday"/>
    <x v="4"/>
    <x v="4"/>
    <x v="0"/>
    <s v="Idli Sambar"/>
    <x v="1"/>
    <n v="2"/>
    <n v="840"/>
    <n v="84"/>
    <n v="60"/>
    <n v="1680"/>
    <n v="1656"/>
    <x v="3"/>
    <x v="0"/>
    <x v="0"/>
    <n v="56"/>
    <n v="3.6"/>
  </r>
  <r>
    <x v="4482"/>
    <x v="325"/>
    <x v="10"/>
    <n v="11"/>
    <n v="22"/>
    <s v="Saturday"/>
    <x v="0"/>
    <x v="4"/>
    <x v="1"/>
    <s v="Veg Burger"/>
    <x v="2"/>
    <n v="1"/>
    <n v="199"/>
    <n v="0"/>
    <n v="60"/>
    <n v="199"/>
    <n v="259"/>
    <x v="0"/>
    <x v="0"/>
    <x v="1"/>
    <n v="62"/>
    <n v="3.5"/>
  </r>
  <r>
    <x v="4483"/>
    <x v="326"/>
    <x v="10"/>
    <n v="11"/>
    <n v="23"/>
    <s v="Sunday"/>
    <x v="9"/>
    <x v="0"/>
    <x v="6"/>
    <s v="Chocolate Cake"/>
    <x v="2"/>
    <n v="1"/>
    <n v="129"/>
    <n v="25.8"/>
    <n v="40"/>
    <n v="129"/>
    <n v="143.19999999999999"/>
    <x v="1"/>
    <x v="0"/>
    <x v="1"/>
    <n v="40"/>
    <n v="4.3"/>
  </r>
  <r>
    <x v="4484"/>
    <x v="326"/>
    <x v="10"/>
    <n v="11"/>
    <n v="23"/>
    <s v="Sunday"/>
    <x v="5"/>
    <x v="4"/>
    <x v="9"/>
    <s v="Chocolate Cake"/>
    <x v="1"/>
    <n v="2"/>
    <n v="489"/>
    <n v="24.45"/>
    <n v="30"/>
    <n v="978"/>
    <n v="983.55"/>
    <x v="3"/>
    <x v="0"/>
    <x v="1"/>
    <n v="30"/>
    <n v="3.9"/>
  </r>
  <r>
    <x v="4485"/>
    <x v="326"/>
    <x v="10"/>
    <n v="11"/>
    <n v="23"/>
    <s v="Sunday"/>
    <x v="6"/>
    <x v="3"/>
    <x v="4"/>
    <s v="Chicken Momos"/>
    <x v="1"/>
    <n v="2"/>
    <n v="389"/>
    <n v="38.9"/>
    <n v="0"/>
    <n v="778"/>
    <n v="739.1"/>
    <x v="1"/>
    <x v="0"/>
    <x v="0"/>
    <n v="35"/>
    <n v="3.9"/>
  </r>
  <r>
    <x v="4486"/>
    <x v="326"/>
    <x v="10"/>
    <n v="11"/>
    <n v="23"/>
    <s v="Sunday"/>
    <x v="4"/>
    <x v="0"/>
    <x v="6"/>
    <s v="Chicken Pizza"/>
    <x v="1"/>
    <n v="2"/>
    <n v="591"/>
    <n v="0"/>
    <n v="0"/>
    <n v="1182"/>
    <n v="1182"/>
    <x v="0"/>
    <x v="0"/>
    <x v="1"/>
    <n v="29"/>
    <n v="4"/>
  </r>
  <r>
    <x v="4487"/>
    <x v="326"/>
    <x v="10"/>
    <n v="11"/>
    <n v="23"/>
    <s v="Sunday"/>
    <x v="5"/>
    <x v="0"/>
    <x v="6"/>
    <s v="Masala Dosa"/>
    <x v="1"/>
    <n v="2"/>
    <n v="578"/>
    <n v="86.7"/>
    <n v="30"/>
    <n v="1156"/>
    <n v="1099.3"/>
    <x v="1"/>
    <x v="1"/>
    <x v="0"/>
    <n v="49"/>
    <m/>
  </r>
  <r>
    <x v="4488"/>
    <x v="326"/>
    <x v="10"/>
    <n v="11"/>
    <n v="23"/>
    <s v="Sunday"/>
    <x v="5"/>
    <x v="1"/>
    <x v="1"/>
    <s v="French Fries"/>
    <x v="1"/>
    <n v="3"/>
    <n v="882"/>
    <n v="176.4"/>
    <n v="40"/>
    <n v="2646"/>
    <n v="2509.6"/>
    <x v="0"/>
    <x v="0"/>
    <x v="1"/>
    <n v="22"/>
    <n v="4.0999999999999996"/>
  </r>
  <r>
    <x v="4489"/>
    <x v="326"/>
    <x v="10"/>
    <n v="11"/>
    <n v="23"/>
    <s v="Sunday"/>
    <x v="4"/>
    <x v="1"/>
    <x v="2"/>
    <s v="Chicken Momos"/>
    <x v="2"/>
    <n v="3"/>
    <n v="156"/>
    <n v="7.8"/>
    <n v="0"/>
    <n v="468"/>
    <n v="460.2"/>
    <x v="2"/>
    <x v="0"/>
    <x v="0"/>
    <n v="53"/>
    <n v="3.7"/>
  </r>
  <r>
    <x v="4490"/>
    <x v="326"/>
    <x v="10"/>
    <n v="11"/>
    <n v="23"/>
    <s v="Sunday"/>
    <x v="9"/>
    <x v="8"/>
    <x v="8"/>
    <s v="Cold Coffee"/>
    <x v="1"/>
    <n v="2"/>
    <n v="140"/>
    <n v="21"/>
    <n v="50"/>
    <n v="280"/>
    <n v="309"/>
    <x v="1"/>
    <x v="0"/>
    <x v="0"/>
    <n v="49"/>
    <n v="4.0999999999999996"/>
  </r>
  <r>
    <x v="4491"/>
    <x v="326"/>
    <x v="10"/>
    <n v="11"/>
    <n v="23"/>
    <s v="Sunday"/>
    <x v="3"/>
    <x v="1"/>
    <x v="7"/>
    <s v="Paneer Butter Masala"/>
    <x v="2"/>
    <n v="3"/>
    <n v="451"/>
    <n v="45.1"/>
    <n v="20"/>
    <n v="1353"/>
    <n v="1327.9"/>
    <x v="0"/>
    <x v="0"/>
    <x v="1"/>
    <n v="41"/>
    <n v="4.0999999999999996"/>
  </r>
  <r>
    <x v="4492"/>
    <x v="326"/>
    <x v="10"/>
    <n v="11"/>
    <n v="23"/>
    <s v="Sunday"/>
    <x v="4"/>
    <x v="0"/>
    <x v="8"/>
    <s v="Veg Biryani"/>
    <x v="1"/>
    <n v="2"/>
    <n v="511"/>
    <n v="102.2"/>
    <n v="30"/>
    <n v="1022"/>
    <n v="949.8"/>
    <x v="1"/>
    <x v="0"/>
    <x v="0"/>
    <n v="25"/>
    <n v="3.6"/>
  </r>
  <r>
    <x v="4493"/>
    <x v="327"/>
    <x v="10"/>
    <n v="11"/>
    <n v="24"/>
    <s v="Monday"/>
    <x v="2"/>
    <x v="3"/>
    <x v="1"/>
    <s v="Veg Pizza"/>
    <x v="1"/>
    <n v="1"/>
    <n v="544"/>
    <n v="0"/>
    <n v="40"/>
    <n v="544"/>
    <n v="584"/>
    <x v="2"/>
    <x v="0"/>
    <x v="0"/>
    <n v="61"/>
    <n v="3.6"/>
  </r>
  <r>
    <x v="4494"/>
    <x v="327"/>
    <x v="10"/>
    <n v="11"/>
    <n v="24"/>
    <s v="Monday"/>
    <x v="3"/>
    <x v="4"/>
    <x v="2"/>
    <s v="Chicken Momos"/>
    <x v="1"/>
    <n v="1"/>
    <n v="285"/>
    <n v="0"/>
    <n v="30"/>
    <n v="285"/>
    <n v="315"/>
    <x v="3"/>
    <x v="0"/>
    <x v="0"/>
    <n v="59"/>
    <n v="3.6"/>
  </r>
  <r>
    <x v="4495"/>
    <x v="327"/>
    <x v="10"/>
    <n v="11"/>
    <n v="24"/>
    <s v="Monday"/>
    <x v="1"/>
    <x v="8"/>
    <x v="6"/>
    <s v="Chocolate Cake"/>
    <x v="2"/>
    <n v="1"/>
    <n v="708"/>
    <n v="35.4"/>
    <n v="0"/>
    <n v="708"/>
    <n v="672.6"/>
    <x v="1"/>
    <x v="0"/>
    <x v="0"/>
    <n v="22"/>
    <n v="3.7"/>
  </r>
  <r>
    <x v="4496"/>
    <x v="327"/>
    <x v="10"/>
    <n v="11"/>
    <n v="24"/>
    <s v="Monday"/>
    <x v="5"/>
    <x v="8"/>
    <x v="8"/>
    <s v="Cold Coffee"/>
    <x v="1"/>
    <n v="3"/>
    <n v="846"/>
    <n v="84.6"/>
    <n v="0"/>
    <n v="2538"/>
    <n v="2453.4"/>
    <x v="2"/>
    <x v="0"/>
    <x v="0"/>
    <n v="40"/>
    <n v="4.5999999999999996"/>
  </r>
  <r>
    <x v="4497"/>
    <x v="327"/>
    <x v="10"/>
    <n v="11"/>
    <n v="24"/>
    <s v="Monday"/>
    <x v="4"/>
    <x v="8"/>
    <x v="4"/>
    <s v="Veg Burger"/>
    <x v="2"/>
    <n v="2"/>
    <n v="188"/>
    <n v="9.4"/>
    <n v="20"/>
    <n v="376"/>
    <n v="386.6"/>
    <x v="0"/>
    <x v="0"/>
    <x v="1"/>
    <n v="62"/>
    <n v="4.4000000000000004"/>
  </r>
  <r>
    <x v="4498"/>
    <x v="327"/>
    <x v="10"/>
    <n v="11"/>
    <n v="24"/>
    <s v="Monday"/>
    <x v="1"/>
    <x v="8"/>
    <x v="4"/>
    <s v="Veg Burger"/>
    <x v="2"/>
    <n v="3"/>
    <n v="306"/>
    <n v="61.2"/>
    <n v="20"/>
    <n v="918"/>
    <n v="876.8"/>
    <x v="4"/>
    <x v="0"/>
    <x v="0"/>
    <n v="59"/>
    <n v="2.8"/>
  </r>
  <r>
    <x v="4499"/>
    <x v="327"/>
    <x v="10"/>
    <n v="11"/>
    <n v="24"/>
    <s v="Monday"/>
    <x v="1"/>
    <x v="9"/>
    <x v="9"/>
    <s v="Masala Dosa"/>
    <x v="2"/>
    <n v="1"/>
    <n v="220"/>
    <n v="0"/>
    <n v="0"/>
    <n v="220"/>
    <n v="220"/>
    <x v="1"/>
    <x v="0"/>
    <x v="1"/>
    <n v="57"/>
    <n v="4.7"/>
  </r>
  <r>
    <x v="4500"/>
    <x v="327"/>
    <x v="10"/>
    <n v="11"/>
    <n v="24"/>
    <s v="Monday"/>
    <x v="6"/>
    <x v="11"/>
    <x v="8"/>
    <s v="Chicken Biryani"/>
    <x v="2"/>
    <n v="2"/>
    <n v="841"/>
    <n v="168.2"/>
    <n v="30"/>
    <n v="1682"/>
    <n v="1543.8"/>
    <x v="1"/>
    <x v="0"/>
    <x v="1"/>
    <n v="63"/>
    <n v="4.3"/>
  </r>
  <r>
    <x v="4501"/>
    <x v="327"/>
    <x v="10"/>
    <n v="11"/>
    <n v="24"/>
    <s v="Monday"/>
    <x v="5"/>
    <x v="8"/>
    <x v="8"/>
    <s v="Paneer Butter Masala"/>
    <x v="1"/>
    <n v="1"/>
    <n v="429"/>
    <n v="21.45"/>
    <n v="30"/>
    <n v="429"/>
    <n v="437.55"/>
    <x v="1"/>
    <x v="0"/>
    <x v="1"/>
    <n v="66"/>
    <n v="4"/>
  </r>
  <r>
    <x v="4502"/>
    <x v="327"/>
    <x v="10"/>
    <n v="11"/>
    <n v="24"/>
    <s v="Monday"/>
    <x v="4"/>
    <x v="8"/>
    <x v="5"/>
    <s v="Paneer Butter Masala"/>
    <x v="1"/>
    <n v="2"/>
    <n v="474"/>
    <n v="118.5"/>
    <n v="40"/>
    <n v="948"/>
    <n v="869.5"/>
    <x v="4"/>
    <x v="0"/>
    <x v="0"/>
    <n v="61"/>
    <n v="3.7"/>
  </r>
  <r>
    <x v="4503"/>
    <x v="327"/>
    <x v="10"/>
    <n v="11"/>
    <n v="24"/>
    <s v="Monday"/>
    <x v="2"/>
    <x v="6"/>
    <x v="7"/>
    <s v="Masala Dosa"/>
    <x v="1"/>
    <n v="2"/>
    <n v="900"/>
    <n v="90"/>
    <n v="20"/>
    <n v="1800"/>
    <n v="1730"/>
    <x v="2"/>
    <x v="0"/>
    <x v="0"/>
    <n v="62"/>
    <n v="3.9"/>
  </r>
  <r>
    <x v="4504"/>
    <x v="327"/>
    <x v="10"/>
    <n v="11"/>
    <n v="24"/>
    <s v="Monday"/>
    <x v="3"/>
    <x v="10"/>
    <x v="5"/>
    <s v="Fried Rice"/>
    <x v="1"/>
    <n v="1"/>
    <n v="643"/>
    <n v="128.6"/>
    <n v="40"/>
    <n v="643"/>
    <n v="554.4"/>
    <x v="3"/>
    <x v="0"/>
    <x v="1"/>
    <n v="39"/>
    <n v="4.4000000000000004"/>
  </r>
  <r>
    <x v="4505"/>
    <x v="327"/>
    <x v="10"/>
    <n v="11"/>
    <n v="24"/>
    <s v="Monday"/>
    <x v="5"/>
    <x v="8"/>
    <x v="2"/>
    <s v="Idli Sambar"/>
    <x v="0"/>
    <n v="3"/>
    <n v="300"/>
    <n v="45"/>
    <n v="0"/>
    <n v="900"/>
    <n v="855"/>
    <x v="1"/>
    <x v="1"/>
    <x v="1"/>
    <n v="24"/>
    <m/>
  </r>
  <r>
    <x v="4506"/>
    <x v="327"/>
    <x v="10"/>
    <n v="11"/>
    <n v="24"/>
    <s v="Monday"/>
    <x v="5"/>
    <x v="4"/>
    <x v="3"/>
    <s v="Veg Momos"/>
    <x v="1"/>
    <n v="2"/>
    <n v="596"/>
    <n v="119.2"/>
    <n v="30"/>
    <n v="1192"/>
    <n v="1102.8"/>
    <x v="2"/>
    <x v="0"/>
    <x v="1"/>
    <n v="22"/>
    <n v="2.6"/>
  </r>
  <r>
    <x v="4507"/>
    <x v="327"/>
    <x v="10"/>
    <n v="11"/>
    <n v="24"/>
    <s v="Monday"/>
    <x v="9"/>
    <x v="11"/>
    <x v="1"/>
    <s v="Veg Burger"/>
    <x v="1"/>
    <n v="1"/>
    <n v="279"/>
    <n v="13.95"/>
    <n v="20"/>
    <n v="279"/>
    <n v="285.05"/>
    <x v="0"/>
    <x v="0"/>
    <x v="1"/>
    <n v="52"/>
    <n v="3.9"/>
  </r>
  <r>
    <x v="4508"/>
    <x v="328"/>
    <x v="10"/>
    <n v="11"/>
    <n v="25"/>
    <s v="Tuesday"/>
    <x v="2"/>
    <x v="14"/>
    <x v="6"/>
    <s v="Fried Rice"/>
    <x v="2"/>
    <n v="3"/>
    <n v="274"/>
    <n v="27.4"/>
    <n v="50"/>
    <n v="822"/>
    <n v="844.6"/>
    <x v="1"/>
    <x v="0"/>
    <x v="1"/>
    <n v="62"/>
    <n v="3.8"/>
  </r>
  <r>
    <x v="4509"/>
    <x v="328"/>
    <x v="10"/>
    <n v="11"/>
    <n v="25"/>
    <s v="Tuesday"/>
    <x v="1"/>
    <x v="2"/>
    <x v="8"/>
    <s v="Idli Sambar"/>
    <x v="1"/>
    <n v="1"/>
    <n v="854"/>
    <n v="170.8"/>
    <n v="0"/>
    <n v="854"/>
    <n v="683.2"/>
    <x v="0"/>
    <x v="0"/>
    <x v="1"/>
    <n v="31"/>
    <n v="3.8"/>
  </r>
  <r>
    <x v="4510"/>
    <x v="328"/>
    <x v="10"/>
    <n v="11"/>
    <n v="25"/>
    <s v="Tuesday"/>
    <x v="2"/>
    <x v="4"/>
    <x v="8"/>
    <s v="Chicken Pizza"/>
    <x v="2"/>
    <n v="2"/>
    <n v="413"/>
    <n v="0"/>
    <n v="20"/>
    <n v="826"/>
    <n v="846"/>
    <x v="0"/>
    <x v="1"/>
    <x v="0"/>
    <n v="60"/>
    <m/>
  </r>
  <r>
    <x v="4511"/>
    <x v="328"/>
    <x v="10"/>
    <n v="11"/>
    <n v="25"/>
    <s v="Tuesday"/>
    <x v="4"/>
    <x v="0"/>
    <x v="8"/>
    <s v="Veg Burger"/>
    <x v="1"/>
    <n v="2"/>
    <n v="121"/>
    <n v="0"/>
    <n v="0"/>
    <n v="242"/>
    <n v="242"/>
    <x v="3"/>
    <x v="2"/>
    <x v="1"/>
    <n v="34"/>
    <m/>
  </r>
  <r>
    <x v="4512"/>
    <x v="328"/>
    <x v="10"/>
    <n v="11"/>
    <n v="25"/>
    <s v="Tuesday"/>
    <x v="8"/>
    <x v="2"/>
    <x v="6"/>
    <s v="Fried Rice"/>
    <x v="1"/>
    <n v="2"/>
    <n v="649"/>
    <n v="97.35"/>
    <n v="30"/>
    <n v="1298"/>
    <n v="1230.6500000000001"/>
    <x v="2"/>
    <x v="0"/>
    <x v="1"/>
    <n v="61"/>
    <n v="3.8"/>
  </r>
  <r>
    <x v="4513"/>
    <x v="328"/>
    <x v="10"/>
    <n v="11"/>
    <n v="25"/>
    <s v="Tuesday"/>
    <x v="2"/>
    <x v="9"/>
    <x v="5"/>
    <s v="Veg Pizza"/>
    <x v="0"/>
    <n v="2"/>
    <n v="226"/>
    <n v="56.5"/>
    <n v="0"/>
    <n v="452"/>
    <n v="395.5"/>
    <x v="1"/>
    <x v="0"/>
    <x v="1"/>
    <n v="46"/>
    <n v="4.5999999999999996"/>
  </r>
  <r>
    <x v="4514"/>
    <x v="328"/>
    <x v="10"/>
    <n v="11"/>
    <n v="25"/>
    <s v="Tuesday"/>
    <x v="9"/>
    <x v="1"/>
    <x v="1"/>
    <s v="Pasta"/>
    <x v="0"/>
    <n v="1"/>
    <n v="868"/>
    <n v="173.6"/>
    <n v="60"/>
    <n v="868"/>
    <n v="754.4"/>
    <x v="0"/>
    <x v="0"/>
    <x v="1"/>
    <n v="36"/>
    <n v="4.0999999999999996"/>
  </r>
  <r>
    <x v="4515"/>
    <x v="328"/>
    <x v="10"/>
    <n v="11"/>
    <n v="25"/>
    <s v="Tuesday"/>
    <x v="0"/>
    <x v="9"/>
    <x v="7"/>
    <s v="Masala Dosa"/>
    <x v="1"/>
    <n v="2"/>
    <n v="665"/>
    <n v="0"/>
    <n v="20"/>
    <n v="1330"/>
    <n v="1350"/>
    <x v="0"/>
    <x v="0"/>
    <x v="1"/>
    <n v="35"/>
    <n v="5"/>
  </r>
  <r>
    <x v="4516"/>
    <x v="329"/>
    <x v="10"/>
    <n v="11"/>
    <n v="26"/>
    <s v="Wednesday"/>
    <x v="0"/>
    <x v="6"/>
    <x v="6"/>
    <s v="Idli Sambar"/>
    <x v="1"/>
    <n v="1"/>
    <n v="730"/>
    <n v="73"/>
    <n v="40"/>
    <n v="730"/>
    <n v="697"/>
    <x v="0"/>
    <x v="0"/>
    <x v="1"/>
    <n v="26"/>
    <n v="5"/>
  </r>
  <r>
    <x v="4517"/>
    <x v="329"/>
    <x v="10"/>
    <n v="11"/>
    <n v="26"/>
    <s v="Wednesday"/>
    <x v="4"/>
    <x v="5"/>
    <x v="9"/>
    <s v="Veg Pizza"/>
    <x v="1"/>
    <n v="1"/>
    <n v="555"/>
    <n v="83.25"/>
    <n v="30"/>
    <n v="555"/>
    <n v="501.75"/>
    <x v="1"/>
    <x v="0"/>
    <x v="0"/>
    <n v="33"/>
    <n v="4.3"/>
  </r>
  <r>
    <x v="4518"/>
    <x v="329"/>
    <x v="10"/>
    <n v="11"/>
    <n v="26"/>
    <s v="Wednesday"/>
    <x v="1"/>
    <x v="6"/>
    <x v="8"/>
    <s v="Paneer Butter Masala"/>
    <x v="1"/>
    <n v="1"/>
    <n v="590"/>
    <n v="118"/>
    <n v="20"/>
    <n v="590"/>
    <n v="492"/>
    <x v="1"/>
    <x v="2"/>
    <x v="0"/>
    <n v="54"/>
    <m/>
  </r>
  <r>
    <x v="4519"/>
    <x v="329"/>
    <x v="10"/>
    <n v="11"/>
    <n v="26"/>
    <s v="Wednesday"/>
    <x v="6"/>
    <x v="11"/>
    <x v="6"/>
    <s v="Fried Rice"/>
    <x v="1"/>
    <n v="1"/>
    <n v="769"/>
    <n v="0"/>
    <n v="50"/>
    <n v="769"/>
    <n v="819"/>
    <x v="1"/>
    <x v="0"/>
    <x v="1"/>
    <n v="23"/>
    <n v="4.2"/>
  </r>
  <r>
    <x v="4520"/>
    <x v="329"/>
    <x v="10"/>
    <n v="11"/>
    <n v="26"/>
    <s v="Wednesday"/>
    <x v="3"/>
    <x v="8"/>
    <x v="4"/>
    <s v="Veg Momos"/>
    <x v="0"/>
    <n v="1"/>
    <n v="705"/>
    <n v="105.75"/>
    <n v="30"/>
    <n v="705"/>
    <n v="629.25"/>
    <x v="1"/>
    <x v="1"/>
    <x v="1"/>
    <n v="26"/>
    <m/>
  </r>
  <r>
    <x v="4521"/>
    <x v="329"/>
    <x v="10"/>
    <n v="11"/>
    <n v="26"/>
    <s v="Wednesday"/>
    <x v="4"/>
    <x v="10"/>
    <x v="2"/>
    <s v="Paneer Butter Masala"/>
    <x v="1"/>
    <n v="1"/>
    <n v="126"/>
    <n v="12.6"/>
    <n v="20"/>
    <n v="126"/>
    <n v="133.4"/>
    <x v="4"/>
    <x v="0"/>
    <x v="0"/>
    <n v="37"/>
    <n v="5"/>
  </r>
  <r>
    <x v="4522"/>
    <x v="329"/>
    <x v="10"/>
    <n v="11"/>
    <n v="26"/>
    <s v="Wednesday"/>
    <x v="9"/>
    <x v="6"/>
    <x v="8"/>
    <s v="Fried Rice"/>
    <x v="1"/>
    <n v="2"/>
    <n v="687"/>
    <n v="171.75"/>
    <n v="30"/>
    <n v="1374"/>
    <n v="1232.25"/>
    <x v="2"/>
    <x v="0"/>
    <x v="1"/>
    <n v="25"/>
    <n v="4.0999999999999996"/>
  </r>
  <r>
    <x v="4523"/>
    <x v="329"/>
    <x v="10"/>
    <n v="11"/>
    <n v="26"/>
    <s v="Wednesday"/>
    <x v="4"/>
    <x v="12"/>
    <x v="1"/>
    <s v="Cold Coffee"/>
    <x v="1"/>
    <n v="2"/>
    <n v="530"/>
    <n v="79.5"/>
    <n v="20"/>
    <n v="1060"/>
    <n v="1000.5"/>
    <x v="1"/>
    <x v="0"/>
    <x v="0"/>
    <n v="32"/>
    <n v="3.3"/>
  </r>
  <r>
    <x v="4524"/>
    <x v="329"/>
    <x v="10"/>
    <n v="11"/>
    <n v="26"/>
    <s v="Wednesday"/>
    <x v="1"/>
    <x v="12"/>
    <x v="0"/>
    <s v="Veg Pizza"/>
    <x v="1"/>
    <n v="1"/>
    <n v="713"/>
    <n v="142.6"/>
    <n v="0"/>
    <n v="713"/>
    <n v="570.4"/>
    <x v="2"/>
    <x v="0"/>
    <x v="1"/>
    <n v="62"/>
    <n v="3.3"/>
  </r>
  <r>
    <x v="4525"/>
    <x v="329"/>
    <x v="10"/>
    <n v="11"/>
    <n v="26"/>
    <s v="Wednesday"/>
    <x v="4"/>
    <x v="2"/>
    <x v="8"/>
    <s v="Cold Coffee"/>
    <x v="3"/>
    <n v="1"/>
    <n v="791"/>
    <n v="39.549999999999997"/>
    <n v="20"/>
    <n v="791"/>
    <n v="771.45"/>
    <x v="1"/>
    <x v="0"/>
    <x v="1"/>
    <n v="31"/>
    <n v="3.9"/>
  </r>
  <r>
    <x v="4526"/>
    <x v="329"/>
    <x v="10"/>
    <n v="11"/>
    <n v="26"/>
    <s v="Wednesday"/>
    <x v="6"/>
    <x v="5"/>
    <x v="1"/>
    <s v="Veg Momos"/>
    <x v="1"/>
    <n v="3"/>
    <n v="829"/>
    <n v="0"/>
    <n v="30"/>
    <n v="2487"/>
    <n v="2517"/>
    <x v="2"/>
    <x v="0"/>
    <x v="1"/>
    <n v="61"/>
    <n v="4.0999999999999996"/>
  </r>
  <r>
    <x v="4527"/>
    <x v="329"/>
    <x v="10"/>
    <n v="11"/>
    <n v="26"/>
    <s v="Wednesday"/>
    <x v="9"/>
    <x v="3"/>
    <x v="7"/>
    <s v="Paneer Butter Masala"/>
    <x v="1"/>
    <n v="2"/>
    <n v="168"/>
    <n v="25.2"/>
    <n v="40"/>
    <n v="336"/>
    <n v="350.8"/>
    <x v="1"/>
    <x v="0"/>
    <x v="0"/>
    <n v="62"/>
    <n v="4.7"/>
  </r>
  <r>
    <x v="4528"/>
    <x v="329"/>
    <x v="10"/>
    <n v="11"/>
    <n v="26"/>
    <s v="Wednesday"/>
    <x v="0"/>
    <x v="2"/>
    <x v="3"/>
    <s v="Chicken Momos"/>
    <x v="2"/>
    <n v="1"/>
    <n v="716"/>
    <n v="107.4"/>
    <n v="0"/>
    <n v="716"/>
    <n v="608.6"/>
    <x v="1"/>
    <x v="0"/>
    <x v="1"/>
    <n v="64"/>
    <n v="3.2"/>
  </r>
  <r>
    <x v="4529"/>
    <x v="330"/>
    <x v="10"/>
    <n v="11"/>
    <n v="27"/>
    <s v="Thursday"/>
    <x v="0"/>
    <x v="13"/>
    <x v="6"/>
    <s v="Chicken Pizza"/>
    <x v="1"/>
    <n v="1"/>
    <n v="642"/>
    <n v="96.3"/>
    <n v="20"/>
    <n v="642"/>
    <n v="565.70000000000005"/>
    <x v="0"/>
    <x v="1"/>
    <x v="1"/>
    <n v="33"/>
    <m/>
  </r>
  <r>
    <x v="4530"/>
    <x v="330"/>
    <x v="10"/>
    <n v="11"/>
    <n v="27"/>
    <s v="Thursday"/>
    <x v="0"/>
    <x v="13"/>
    <x v="6"/>
    <s v="Idli Sambar"/>
    <x v="0"/>
    <n v="1"/>
    <n v="895"/>
    <n v="89.5"/>
    <n v="50"/>
    <n v="895"/>
    <n v="855.5"/>
    <x v="1"/>
    <x v="0"/>
    <x v="1"/>
    <n v="62"/>
    <n v="3.9"/>
  </r>
  <r>
    <x v="4531"/>
    <x v="330"/>
    <x v="10"/>
    <n v="11"/>
    <n v="27"/>
    <s v="Thursday"/>
    <x v="3"/>
    <x v="13"/>
    <x v="4"/>
    <s v="Veg Burger"/>
    <x v="1"/>
    <n v="2"/>
    <n v="136"/>
    <n v="6.8"/>
    <n v="20"/>
    <n v="272"/>
    <n v="285.2"/>
    <x v="4"/>
    <x v="1"/>
    <x v="0"/>
    <n v="29"/>
    <m/>
  </r>
  <r>
    <x v="4532"/>
    <x v="330"/>
    <x v="10"/>
    <n v="11"/>
    <n v="27"/>
    <s v="Thursday"/>
    <x v="3"/>
    <x v="6"/>
    <x v="9"/>
    <s v="Fried Rice"/>
    <x v="1"/>
    <n v="1"/>
    <n v="178"/>
    <n v="8.9"/>
    <n v="30"/>
    <n v="178"/>
    <n v="199.1"/>
    <x v="1"/>
    <x v="0"/>
    <x v="1"/>
    <n v="25"/>
    <n v="5"/>
  </r>
  <r>
    <x v="4533"/>
    <x v="330"/>
    <x v="10"/>
    <n v="11"/>
    <n v="27"/>
    <s v="Thursday"/>
    <x v="1"/>
    <x v="7"/>
    <x v="5"/>
    <s v="Chocolate Cake"/>
    <x v="1"/>
    <n v="2"/>
    <n v="675"/>
    <n v="67.5"/>
    <n v="60"/>
    <n v="1350"/>
    <n v="1342.5"/>
    <x v="2"/>
    <x v="0"/>
    <x v="0"/>
    <n v="34"/>
    <n v="4.2"/>
  </r>
  <r>
    <x v="4534"/>
    <x v="330"/>
    <x v="10"/>
    <n v="11"/>
    <n v="27"/>
    <s v="Thursday"/>
    <x v="2"/>
    <x v="13"/>
    <x v="7"/>
    <s v="Pasta"/>
    <x v="2"/>
    <n v="2"/>
    <n v="550"/>
    <n v="110"/>
    <n v="0"/>
    <n v="1100"/>
    <n v="990"/>
    <x v="4"/>
    <x v="0"/>
    <x v="1"/>
    <n v="24"/>
    <n v="4.5999999999999996"/>
  </r>
  <r>
    <x v="4535"/>
    <x v="330"/>
    <x v="10"/>
    <n v="11"/>
    <n v="27"/>
    <s v="Thursday"/>
    <x v="7"/>
    <x v="6"/>
    <x v="0"/>
    <s v="Masala Dosa"/>
    <x v="1"/>
    <n v="2"/>
    <n v="414"/>
    <n v="41.4"/>
    <n v="60"/>
    <n v="828"/>
    <n v="846.6"/>
    <x v="2"/>
    <x v="0"/>
    <x v="1"/>
    <n v="53"/>
    <n v="3.9"/>
  </r>
  <r>
    <x v="4536"/>
    <x v="330"/>
    <x v="10"/>
    <n v="11"/>
    <n v="27"/>
    <s v="Thursday"/>
    <x v="1"/>
    <x v="12"/>
    <x v="2"/>
    <s v="Chicken Burger"/>
    <x v="1"/>
    <n v="1"/>
    <n v="132"/>
    <n v="33"/>
    <n v="30"/>
    <n v="132"/>
    <n v="129"/>
    <x v="1"/>
    <x v="0"/>
    <x v="1"/>
    <n v="47"/>
    <n v="4.9000000000000004"/>
  </r>
  <r>
    <x v="4537"/>
    <x v="330"/>
    <x v="10"/>
    <n v="11"/>
    <n v="27"/>
    <s v="Thursday"/>
    <x v="8"/>
    <x v="8"/>
    <x v="7"/>
    <s v="Pasta"/>
    <x v="1"/>
    <n v="1"/>
    <n v="436"/>
    <n v="21.8"/>
    <n v="0"/>
    <n v="436"/>
    <n v="414.2"/>
    <x v="1"/>
    <x v="1"/>
    <x v="1"/>
    <n v="45"/>
    <m/>
  </r>
  <r>
    <x v="4538"/>
    <x v="330"/>
    <x v="10"/>
    <n v="11"/>
    <n v="27"/>
    <s v="Thursday"/>
    <x v="6"/>
    <x v="3"/>
    <x v="9"/>
    <s v="Idli Sambar"/>
    <x v="1"/>
    <n v="1"/>
    <n v="131"/>
    <n v="19.649999999999999"/>
    <n v="20"/>
    <n v="131"/>
    <n v="131.35"/>
    <x v="0"/>
    <x v="0"/>
    <x v="1"/>
    <n v="24"/>
    <n v="4"/>
  </r>
  <r>
    <x v="4539"/>
    <x v="330"/>
    <x v="10"/>
    <n v="11"/>
    <n v="27"/>
    <s v="Thursday"/>
    <x v="4"/>
    <x v="9"/>
    <x v="3"/>
    <s v="Veg Momos"/>
    <x v="1"/>
    <n v="2"/>
    <n v="660"/>
    <n v="33"/>
    <n v="60"/>
    <n v="1320"/>
    <n v="1347"/>
    <x v="2"/>
    <x v="0"/>
    <x v="1"/>
    <n v="62"/>
    <n v="4.7"/>
  </r>
  <r>
    <x v="4540"/>
    <x v="330"/>
    <x v="10"/>
    <n v="11"/>
    <n v="27"/>
    <s v="Thursday"/>
    <x v="1"/>
    <x v="6"/>
    <x v="8"/>
    <s v="Pasta"/>
    <x v="0"/>
    <n v="2"/>
    <n v="478"/>
    <n v="47.8"/>
    <n v="60"/>
    <n v="956"/>
    <n v="968.2"/>
    <x v="4"/>
    <x v="0"/>
    <x v="1"/>
    <n v="23"/>
    <n v="4.0999999999999996"/>
  </r>
  <r>
    <x v="4541"/>
    <x v="330"/>
    <x v="10"/>
    <n v="11"/>
    <n v="27"/>
    <s v="Thursday"/>
    <x v="3"/>
    <x v="11"/>
    <x v="4"/>
    <s v="Cold Coffee"/>
    <x v="0"/>
    <n v="2"/>
    <n v="896"/>
    <n v="179.2"/>
    <n v="40"/>
    <n v="1792"/>
    <n v="1652.8"/>
    <x v="0"/>
    <x v="0"/>
    <x v="0"/>
    <n v="42"/>
    <n v="4.8"/>
  </r>
  <r>
    <x v="4542"/>
    <x v="330"/>
    <x v="10"/>
    <n v="11"/>
    <n v="27"/>
    <s v="Thursday"/>
    <x v="4"/>
    <x v="9"/>
    <x v="6"/>
    <s v="Chicken Biryani"/>
    <x v="1"/>
    <n v="2"/>
    <n v="647"/>
    <n v="0"/>
    <n v="0"/>
    <n v="1294"/>
    <n v="1294"/>
    <x v="1"/>
    <x v="0"/>
    <x v="1"/>
    <n v="52"/>
    <n v="4.9000000000000004"/>
  </r>
  <r>
    <x v="4543"/>
    <x v="331"/>
    <x v="10"/>
    <n v="11"/>
    <n v="28"/>
    <s v="Friday"/>
    <x v="9"/>
    <x v="0"/>
    <x v="5"/>
    <s v="Cold Coffee"/>
    <x v="2"/>
    <n v="3"/>
    <n v="369"/>
    <n v="55.35"/>
    <n v="50"/>
    <n v="1107"/>
    <n v="1101.6500000000001"/>
    <x v="1"/>
    <x v="0"/>
    <x v="0"/>
    <n v="21"/>
    <n v="3.3"/>
  </r>
  <r>
    <x v="4544"/>
    <x v="331"/>
    <x v="10"/>
    <n v="11"/>
    <n v="28"/>
    <s v="Friday"/>
    <x v="0"/>
    <x v="14"/>
    <x v="5"/>
    <s v="Pasta"/>
    <x v="1"/>
    <n v="1"/>
    <n v="245"/>
    <n v="49"/>
    <n v="20"/>
    <n v="245"/>
    <n v="216"/>
    <x v="1"/>
    <x v="3"/>
    <x v="1"/>
    <n v="56"/>
    <m/>
  </r>
  <r>
    <x v="4545"/>
    <x v="331"/>
    <x v="10"/>
    <n v="11"/>
    <n v="28"/>
    <s v="Friday"/>
    <x v="4"/>
    <x v="2"/>
    <x v="4"/>
    <s v="Masala Dosa"/>
    <x v="1"/>
    <n v="2"/>
    <n v="350"/>
    <n v="0"/>
    <n v="0"/>
    <n v="700"/>
    <n v="700"/>
    <x v="3"/>
    <x v="2"/>
    <x v="0"/>
    <n v="40"/>
    <m/>
  </r>
  <r>
    <x v="4546"/>
    <x v="331"/>
    <x v="10"/>
    <n v="11"/>
    <n v="28"/>
    <s v="Friday"/>
    <x v="9"/>
    <x v="11"/>
    <x v="9"/>
    <s v="Veg Pizza"/>
    <x v="2"/>
    <n v="1"/>
    <n v="676"/>
    <n v="33.799999999999997"/>
    <n v="0"/>
    <n v="676"/>
    <n v="642.20000000000005"/>
    <x v="1"/>
    <x v="2"/>
    <x v="0"/>
    <n v="70"/>
    <m/>
  </r>
  <r>
    <x v="4547"/>
    <x v="331"/>
    <x v="10"/>
    <n v="11"/>
    <n v="28"/>
    <s v="Friday"/>
    <x v="3"/>
    <x v="10"/>
    <x v="6"/>
    <s v="Chicken Pizza"/>
    <x v="1"/>
    <n v="1"/>
    <n v="210"/>
    <n v="21"/>
    <n v="50"/>
    <n v="210"/>
    <n v="239"/>
    <x v="2"/>
    <x v="0"/>
    <x v="1"/>
    <n v="35"/>
    <n v="4.5999999999999996"/>
  </r>
  <r>
    <x v="4548"/>
    <x v="331"/>
    <x v="10"/>
    <n v="11"/>
    <n v="28"/>
    <s v="Friday"/>
    <x v="9"/>
    <x v="13"/>
    <x v="8"/>
    <s v="Masala Dosa"/>
    <x v="1"/>
    <n v="1"/>
    <n v="322"/>
    <n v="48.3"/>
    <n v="40"/>
    <n v="322"/>
    <n v="313.7"/>
    <x v="2"/>
    <x v="0"/>
    <x v="0"/>
    <n v="55"/>
    <n v="4.2"/>
  </r>
  <r>
    <x v="4549"/>
    <x v="331"/>
    <x v="10"/>
    <n v="11"/>
    <n v="28"/>
    <s v="Friday"/>
    <x v="4"/>
    <x v="11"/>
    <x v="1"/>
    <s v="Paneer Butter Masala"/>
    <x v="2"/>
    <n v="1"/>
    <n v="712"/>
    <n v="71.2"/>
    <n v="30"/>
    <n v="712"/>
    <n v="670.8"/>
    <x v="1"/>
    <x v="0"/>
    <x v="0"/>
    <n v="19"/>
    <n v="3.5"/>
  </r>
  <r>
    <x v="4550"/>
    <x v="331"/>
    <x v="10"/>
    <n v="11"/>
    <n v="28"/>
    <s v="Friday"/>
    <x v="4"/>
    <x v="14"/>
    <x v="8"/>
    <s v="Chicken Pizza"/>
    <x v="3"/>
    <n v="1"/>
    <n v="647"/>
    <n v="129.4"/>
    <n v="40"/>
    <n v="647"/>
    <n v="557.6"/>
    <x v="1"/>
    <x v="0"/>
    <x v="0"/>
    <n v="23"/>
    <n v="4.9000000000000004"/>
  </r>
  <r>
    <x v="4551"/>
    <x v="331"/>
    <x v="10"/>
    <n v="11"/>
    <n v="28"/>
    <s v="Friday"/>
    <x v="5"/>
    <x v="5"/>
    <x v="4"/>
    <s v="Veg Momos"/>
    <x v="2"/>
    <n v="1"/>
    <n v="640"/>
    <n v="32"/>
    <n v="50"/>
    <n v="640"/>
    <n v="658"/>
    <x v="1"/>
    <x v="3"/>
    <x v="1"/>
    <n v="61"/>
    <m/>
  </r>
  <r>
    <x v="4552"/>
    <x v="331"/>
    <x v="10"/>
    <n v="11"/>
    <n v="28"/>
    <s v="Friday"/>
    <x v="4"/>
    <x v="8"/>
    <x v="9"/>
    <s v="Fried Rice"/>
    <x v="1"/>
    <n v="1"/>
    <n v="377"/>
    <n v="37.700000000000003"/>
    <n v="20"/>
    <n v="377"/>
    <n v="359.3"/>
    <x v="3"/>
    <x v="0"/>
    <x v="1"/>
    <n v="68"/>
    <n v="3.6"/>
  </r>
  <r>
    <x v="4553"/>
    <x v="332"/>
    <x v="10"/>
    <n v="11"/>
    <n v="29"/>
    <s v="Saturday"/>
    <x v="5"/>
    <x v="7"/>
    <x v="8"/>
    <s v="Veg Momos"/>
    <x v="1"/>
    <n v="3"/>
    <n v="171"/>
    <n v="25.65"/>
    <n v="60"/>
    <n v="513"/>
    <n v="547.35"/>
    <x v="1"/>
    <x v="1"/>
    <x v="1"/>
    <n v="23"/>
    <m/>
  </r>
  <r>
    <x v="4554"/>
    <x v="332"/>
    <x v="10"/>
    <n v="11"/>
    <n v="29"/>
    <s v="Saturday"/>
    <x v="8"/>
    <x v="3"/>
    <x v="9"/>
    <s v="Chicken Momos"/>
    <x v="1"/>
    <n v="1"/>
    <n v="585"/>
    <n v="29.25"/>
    <n v="30"/>
    <n v="585"/>
    <n v="585.75"/>
    <x v="1"/>
    <x v="2"/>
    <x v="1"/>
    <n v="24"/>
    <m/>
  </r>
  <r>
    <x v="4555"/>
    <x v="332"/>
    <x v="10"/>
    <n v="11"/>
    <n v="29"/>
    <s v="Saturday"/>
    <x v="4"/>
    <x v="7"/>
    <x v="6"/>
    <s v="Veg Biryani"/>
    <x v="1"/>
    <n v="3"/>
    <n v="532"/>
    <n v="133"/>
    <n v="50"/>
    <n v="1596"/>
    <n v="1513"/>
    <x v="1"/>
    <x v="0"/>
    <x v="1"/>
    <n v="36"/>
    <n v="4.5999999999999996"/>
  </r>
  <r>
    <x v="4556"/>
    <x v="332"/>
    <x v="10"/>
    <n v="11"/>
    <n v="29"/>
    <s v="Saturday"/>
    <x v="6"/>
    <x v="7"/>
    <x v="4"/>
    <s v="Chocolate Cake"/>
    <x v="1"/>
    <n v="1"/>
    <n v="269"/>
    <n v="53.8"/>
    <n v="30"/>
    <n v="269"/>
    <n v="245.2"/>
    <x v="1"/>
    <x v="0"/>
    <x v="1"/>
    <n v="21"/>
    <n v="3"/>
  </r>
  <r>
    <x v="4557"/>
    <x v="332"/>
    <x v="10"/>
    <n v="11"/>
    <n v="29"/>
    <s v="Saturday"/>
    <x v="3"/>
    <x v="6"/>
    <x v="0"/>
    <s v="Veg Momos"/>
    <x v="1"/>
    <n v="2"/>
    <n v="515"/>
    <n v="103"/>
    <n v="40"/>
    <n v="1030"/>
    <n v="967"/>
    <x v="0"/>
    <x v="0"/>
    <x v="0"/>
    <n v="41"/>
    <n v="4"/>
  </r>
  <r>
    <x v="4558"/>
    <x v="332"/>
    <x v="10"/>
    <n v="11"/>
    <n v="29"/>
    <s v="Saturday"/>
    <x v="9"/>
    <x v="10"/>
    <x v="8"/>
    <s v="Fried Rice"/>
    <x v="1"/>
    <n v="3"/>
    <n v="319"/>
    <n v="79.75"/>
    <n v="30"/>
    <n v="957"/>
    <n v="907.25"/>
    <x v="4"/>
    <x v="0"/>
    <x v="1"/>
    <n v="67"/>
    <n v="4.9000000000000004"/>
  </r>
  <r>
    <x v="4559"/>
    <x v="332"/>
    <x v="10"/>
    <n v="11"/>
    <n v="29"/>
    <s v="Saturday"/>
    <x v="5"/>
    <x v="7"/>
    <x v="6"/>
    <s v="Chocolate Cake"/>
    <x v="1"/>
    <n v="1"/>
    <n v="193"/>
    <n v="28.95"/>
    <n v="30"/>
    <n v="193"/>
    <n v="194.05"/>
    <x v="1"/>
    <x v="0"/>
    <x v="1"/>
    <n v="67"/>
    <n v="4.3"/>
  </r>
  <r>
    <x v="4560"/>
    <x v="332"/>
    <x v="10"/>
    <n v="11"/>
    <n v="29"/>
    <s v="Saturday"/>
    <x v="9"/>
    <x v="14"/>
    <x v="1"/>
    <s v="Cold Coffee"/>
    <x v="1"/>
    <n v="1"/>
    <n v="272"/>
    <n v="40.799999999999997"/>
    <n v="20"/>
    <n v="272"/>
    <n v="251.2"/>
    <x v="1"/>
    <x v="0"/>
    <x v="1"/>
    <n v="65"/>
    <n v="4.3"/>
  </r>
  <r>
    <x v="4561"/>
    <x v="333"/>
    <x v="10"/>
    <n v="11"/>
    <n v="30"/>
    <s v="Sunday"/>
    <x v="7"/>
    <x v="0"/>
    <x v="0"/>
    <s v="Chicken Pizza"/>
    <x v="1"/>
    <n v="1"/>
    <n v="800"/>
    <n v="80"/>
    <n v="40"/>
    <n v="800"/>
    <n v="760"/>
    <x v="1"/>
    <x v="0"/>
    <x v="1"/>
    <n v="69"/>
    <n v="4.0999999999999996"/>
  </r>
  <r>
    <x v="4562"/>
    <x v="333"/>
    <x v="10"/>
    <n v="11"/>
    <n v="30"/>
    <s v="Sunday"/>
    <x v="5"/>
    <x v="14"/>
    <x v="4"/>
    <s v="Chicken Burger"/>
    <x v="1"/>
    <n v="1"/>
    <n v="302"/>
    <n v="60.4"/>
    <n v="0"/>
    <n v="302"/>
    <n v="241.6"/>
    <x v="3"/>
    <x v="2"/>
    <x v="1"/>
    <n v="62"/>
    <m/>
  </r>
  <r>
    <x v="4563"/>
    <x v="333"/>
    <x v="10"/>
    <n v="11"/>
    <n v="30"/>
    <s v="Sunday"/>
    <x v="6"/>
    <x v="6"/>
    <x v="8"/>
    <s v="Veg Momos"/>
    <x v="1"/>
    <n v="1"/>
    <n v="232"/>
    <n v="23.2"/>
    <n v="40"/>
    <n v="232"/>
    <n v="248.8"/>
    <x v="2"/>
    <x v="0"/>
    <x v="0"/>
    <n v="60"/>
    <n v="4.3"/>
  </r>
  <r>
    <x v="4564"/>
    <x v="333"/>
    <x v="10"/>
    <n v="11"/>
    <n v="30"/>
    <s v="Sunday"/>
    <x v="5"/>
    <x v="8"/>
    <x v="4"/>
    <s v="Chicken Burger"/>
    <x v="1"/>
    <n v="1"/>
    <n v="685"/>
    <n v="68.5"/>
    <n v="40"/>
    <n v="685"/>
    <n v="656.5"/>
    <x v="0"/>
    <x v="0"/>
    <x v="1"/>
    <n v="64"/>
    <n v="4.2"/>
  </r>
  <r>
    <x v="4565"/>
    <x v="333"/>
    <x v="10"/>
    <n v="11"/>
    <n v="30"/>
    <s v="Sunday"/>
    <x v="1"/>
    <x v="13"/>
    <x v="8"/>
    <s v="Chocolate Cake"/>
    <x v="1"/>
    <n v="1"/>
    <n v="667"/>
    <n v="66.7"/>
    <n v="60"/>
    <n v="667"/>
    <n v="660.3"/>
    <x v="1"/>
    <x v="0"/>
    <x v="1"/>
    <n v="32"/>
    <n v="3.6"/>
  </r>
  <r>
    <x v="4566"/>
    <x v="333"/>
    <x v="10"/>
    <n v="11"/>
    <n v="30"/>
    <s v="Sunday"/>
    <x v="5"/>
    <x v="7"/>
    <x v="7"/>
    <s v="Veg Burger"/>
    <x v="2"/>
    <n v="1"/>
    <n v="249"/>
    <n v="12.45"/>
    <n v="30"/>
    <n v="249"/>
    <n v="266.55"/>
    <x v="3"/>
    <x v="1"/>
    <x v="0"/>
    <n v="47"/>
    <m/>
  </r>
  <r>
    <x v="4567"/>
    <x v="333"/>
    <x v="10"/>
    <n v="11"/>
    <n v="30"/>
    <s v="Sunday"/>
    <x v="5"/>
    <x v="5"/>
    <x v="5"/>
    <s v="Chicken Pizza"/>
    <x v="1"/>
    <n v="3"/>
    <n v="737"/>
    <n v="0"/>
    <n v="60"/>
    <n v="2211"/>
    <n v="2271"/>
    <x v="1"/>
    <x v="0"/>
    <x v="1"/>
    <n v="32"/>
    <n v="4.4000000000000004"/>
  </r>
  <r>
    <x v="4568"/>
    <x v="333"/>
    <x v="10"/>
    <n v="11"/>
    <n v="30"/>
    <s v="Sunday"/>
    <x v="1"/>
    <x v="11"/>
    <x v="6"/>
    <s v="Veg Pizza"/>
    <x v="1"/>
    <n v="3"/>
    <n v="423"/>
    <n v="42.3"/>
    <n v="50"/>
    <n v="1269"/>
    <n v="1276.7"/>
    <x v="2"/>
    <x v="0"/>
    <x v="0"/>
    <n v="38"/>
    <n v="4.8"/>
  </r>
  <r>
    <x v="4569"/>
    <x v="333"/>
    <x v="10"/>
    <n v="11"/>
    <n v="30"/>
    <s v="Sunday"/>
    <x v="9"/>
    <x v="7"/>
    <x v="6"/>
    <s v="Veg Burger"/>
    <x v="1"/>
    <n v="1"/>
    <n v="625"/>
    <n v="156.25"/>
    <n v="40"/>
    <n v="625"/>
    <n v="508.75"/>
    <x v="1"/>
    <x v="0"/>
    <x v="0"/>
    <n v="19"/>
    <n v="3.9"/>
  </r>
  <r>
    <x v="4570"/>
    <x v="334"/>
    <x v="11"/>
    <n v="12"/>
    <n v="1"/>
    <s v="Monday"/>
    <x v="0"/>
    <x v="12"/>
    <x v="8"/>
    <s v="French Fries"/>
    <x v="2"/>
    <n v="3"/>
    <n v="828"/>
    <n v="124.2"/>
    <n v="20"/>
    <n v="2484"/>
    <n v="2379.8000000000002"/>
    <x v="4"/>
    <x v="0"/>
    <x v="1"/>
    <n v="32"/>
    <n v="3.1"/>
  </r>
  <r>
    <x v="4571"/>
    <x v="334"/>
    <x v="11"/>
    <n v="12"/>
    <n v="1"/>
    <s v="Monday"/>
    <x v="5"/>
    <x v="2"/>
    <x v="4"/>
    <s v="Veg Momos"/>
    <x v="1"/>
    <n v="2"/>
    <n v="491"/>
    <n v="122.75"/>
    <n v="40"/>
    <n v="982"/>
    <n v="899.25"/>
    <x v="4"/>
    <x v="3"/>
    <x v="0"/>
    <n v="20"/>
    <m/>
  </r>
  <r>
    <x v="4572"/>
    <x v="334"/>
    <x v="11"/>
    <n v="12"/>
    <n v="1"/>
    <s v="Monday"/>
    <x v="4"/>
    <x v="8"/>
    <x v="9"/>
    <s v="Cold Coffee"/>
    <x v="1"/>
    <n v="3"/>
    <n v="623"/>
    <n v="93.45"/>
    <n v="20"/>
    <n v="1869"/>
    <n v="1795.55"/>
    <x v="3"/>
    <x v="2"/>
    <x v="0"/>
    <n v="31"/>
    <m/>
  </r>
  <r>
    <x v="4573"/>
    <x v="334"/>
    <x v="11"/>
    <n v="12"/>
    <n v="1"/>
    <s v="Monday"/>
    <x v="7"/>
    <x v="0"/>
    <x v="1"/>
    <s v="Chicken Pizza"/>
    <x v="1"/>
    <n v="1"/>
    <n v="622"/>
    <n v="31.1"/>
    <n v="40"/>
    <n v="622"/>
    <n v="630.9"/>
    <x v="2"/>
    <x v="0"/>
    <x v="1"/>
    <n v="52"/>
    <n v="4.2"/>
  </r>
  <r>
    <x v="4574"/>
    <x v="334"/>
    <x v="11"/>
    <n v="12"/>
    <n v="1"/>
    <s v="Monday"/>
    <x v="4"/>
    <x v="14"/>
    <x v="7"/>
    <s v="French Fries"/>
    <x v="1"/>
    <n v="3"/>
    <n v="809"/>
    <n v="80.900000000000006"/>
    <n v="60"/>
    <n v="2427"/>
    <n v="2406.1"/>
    <x v="1"/>
    <x v="0"/>
    <x v="1"/>
    <n v="38"/>
    <n v="3.4"/>
  </r>
  <r>
    <x v="4575"/>
    <x v="334"/>
    <x v="11"/>
    <n v="12"/>
    <n v="1"/>
    <s v="Monday"/>
    <x v="5"/>
    <x v="2"/>
    <x v="4"/>
    <s v="Veg Biryani"/>
    <x v="0"/>
    <n v="2"/>
    <n v="886"/>
    <n v="88.6"/>
    <n v="40"/>
    <n v="1772"/>
    <n v="1723.4"/>
    <x v="1"/>
    <x v="0"/>
    <x v="0"/>
    <n v="38"/>
    <n v="5"/>
  </r>
  <r>
    <x v="4576"/>
    <x v="334"/>
    <x v="11"/>
    <n v="12"/>
    <n v="1"/>
    <s v="Monday"/>
    <x v="7"/>
    <x v="0"/>
    <x v="5"/>
    <s v="Veg Burger"/>
    <x v="3"/>
    <n v="2"/>
    <n v="687"/>
    <n v="103.05"/>
    <n v="60"/>
    <n v="1374"/>
    <n v="1330.95"/>
    <x v="4"/>
    <x v="0"/>
    <x v="0"/>
    <n v="44"/>
    <n v="4"/>
  </r>
  <r>
    <x v="4577"/>
    <x v="334"/>
    <x v="11"/>
    <n v="12"/>
    <n v="1"/>
    <s v="Monday"/>
    <x v="2"/>
    <x v="9"/>
    <x v="2"/>
    <s v="Cold Coffee"/>
    <x v="1"/>
    <n v="2"/>
    <n v="489"/>
    <n v="97.8"/>
    <n v="40"/>
    <n v="978"/>
    <n v="920.2"/>
    <x v="1"/>
    <x v="0"/>
    <x v="1"/>
    <n v="66"/>
    <n v="3.5"/>
  </r>
  <r>
    <x v="4578"/>
    <x v="334"/>
    <x v="11"/>
    <n v="12"/>
    <n v="1"/>
    <s v="Monday"/>
    <x v="3"/>
    <x v="9"/>
    <x v="5"/>
    <s v="Chicken Burger"/>
    <x v="1"/>
    <n v="1"/>
    <n v="853"/>
    <n v="127.95"/>
    <n v="40"/>
    <n v="853"/>
    <n v="765.05"/>
    <x v="1"/>
    <x v="0"/>
    <x v="0"/>
    <n v="67"/>
    <n v="4.4000000000000004"/>
  </r>
  <r>
    <x v="4579"/>
    <x v="334"/>
    <x v="11"/>
    <n v="12"/>
    <n v="1"/>
    <s v="Monday"/>
    <x v="1"/>
    <x v="4"/>
    <x v="3"/>
    <s v="Veg Biryani"/>
    <x v="1"/>
    <n v="2"/>
    <n v="226"/>
    <n v="33.9"/>
    <n v="70"/>
    <n v="452"/>
    <n v="488.1"/>
    <x v="1"/>
    <x v="0"/>
    <x v="1"/>
    <n v="55"/>
    <n v="4.5999999999999996"/>
  </r>
  <r>
    <x v="4580"/>
    <x v="334"/>
    <x v="11"/>
    <n v="12"/>
    <n v="1"/>
    <s v="Monday"/>
    <x v="5"/>
    <x v="1"/>
    <x v="5"/>
    <s v="Fried Rice"/>
    <x v="1"/>
    <n v="1"/>
    <n v="753"/>
    <n v="37.65"/>
    <n v="0"/>
    <n v="753"/>
    <n v="715.35"/>
    <x v="3"/>
    <x v="0"/>
    <x v="1"/>
    <n v="43"/>
    <n v="3.8"/>
  </r>
  <r>
    <x v="4581"/>
    <x v="334"/>
    <x v="11"/>
    <n v="12"/>
    <n v="1"/>
    <s v="Monday"/>
    <x v="6"/>
    <x v="9"/>
    <x v="6"/>
    <s v="Masala Dosa"/>
    <x v="1"/>
    <n v="1"/>
    <n v="149"/>
    <n v="22.35"/>
    <n v="20"/>
    <n v="149"/>
    <n v="146.65"/>
    <x v="0"/>
    <x v="0"/>
    <x v="1"/>
    <n v="35"/>
    <n v="5"/>
  </r>
  <r>
    <x v="4582"/>
    <x v="335"/>
    <x v="11"/>
    <n v="12"/>
    <n v="2"/>
    <s v="Tuesday"/>
    <x v="8"/>
    <x v="11"/>
    <x v="5"/>
    <s v="Masala Dosa"/>
    <x v="1"/>
    <n v="1"/>
    <n v="642"/>
    <n v="0"/>
    <n v="60"/>
    <n v="642"/>
    <n v="702"/>
    <x v="1"/>
    <x v="0"/>
    <x v="1"/>
    <n v="55"/>
    <n v="4"/>
  </r>
  <r>
    <x v="4583"/>
    <x v="335"/>
    <x v="11"/>
    <n v="12"/>
    <n v="2"/>
    <s v="Tuesday"/>
    <x v="4"/>
    <x v="0"/>
    <x v="3"/>
    <s v="Veg Momos"/>
    <x v="1"/>
    <n v="1"/>
    <n v="654"/>
    <n v="163.5"/>
    <n v="20"/>
    <n v="654"/>
    <n v="510.5"/>
    <x v="1"/>
    <x v="2"/>
    <x v="0"/>
    <n v="28"/>
    <m/>
  </r>
  <r>
    <x v="4584"/>
    <x v="335"/>
    <x v="11"/>
    <n v="12"/>
    <n v="2"/>
    <s v="Tuesday"/>
    <x v="3"/>
    <x v="0"/>
    <x v="7"/>
    <s v="Masala Dosa"/>
    <x v="3"/>
    <n v="1"/>
    <n v="233"/>
    <n v="23.3"/>
    <n v="20"/>
    <n v="233"/>
    <n v="229.7"/>
    <x v="4"/>
    <x v="1"/>
    <x v="1"/>
    <n v="64"/>
    <m/>
  </r>
  <r>
    <x v="4585"/>
    <x v="335"/>
    <x v="11"/>
    <n v="12"/>
    <n v="2"/>
    <s v="Tuesday"/>
    <x v="1"/>
    <x v="8"/>
    <x v="6"/>
    <s v="Cold Coffee"/>
    <x v="1"/>
    <n v="2"/>
    <n v="438"/>
    <n v="65.7"/>
    <n v="0"/>
    <n v="876"/>
    <n v="810.3"/>
    <x v="0"/>
    <x v="0"/>
    <x v="0"/>
    <n v="35"/>
    <n v="4.5"/>
  </r>
  <r>
    <x v="4586"/>
    <x v="335"/>
    <x v="11"/>
    <n v="12"/>
    <n v="2"/>
    <s v="Tuesday"/>
    <x v="2"/>
    <x v="12"/>
    <x v="6"/>
    <s v="Idli Sambar"/>
    <x v="2"/>
    <n v="1"/>
    <n v="282"/>
    <n v="56.4"/>
    <n v="40"/>
    <n v="282"/>
    <n v="265.60000000000002"/>
    <x v="1"/>
    <x v="0"/>
    <x v="0"/>
    <n v="59"/>
    <n v="4.0999999999999996"/>
  </r>
  <r>
    <x v="4587"/>
    <x v="335"/>
    <x v="11"/>
    <n v="12"/>
    <n v="2"/>
    <s v="Tuesday"/>
    <x v="6"/>
    <x v="14"/>
    <x v="7"/>
    <s v="Fried Rice"/>
    <x v="1"/>
    <n v="2"/>
    <n v="654"/>
    <n v="98.1"/>
    <n v="60"/>
    <n v="1308"/>
    <n v="1269.9000000000001"/>
    <x v="2"/>
    <x v="0"/>
    <x v="1"/>
    <n v="24"/>
    <n v="3.7"/>
  </r>
  <r>
    <x v="4588"/>
    <x v="335"/>
    <x v="11"/>
    <n v="12"/>
    <n v="2"/>
    <s v="Tuesday"/>
    <x v="1"/>
    <x v="6"/>
    <x v="0"/>
    <s v="Pasta"/>
    <x v="1"/>
    <n v="1"/>
    <n v="154"/>
    <n v="30.8"/>
    <n v="40"/>
    <n v="154"/>
    <n v="163.19999999999999"/>
    <x v="1"/>
    <x v="0"/>
    <x v="1"/>
    <n v="50"/>
    <n v="4.8"/>
  </r>
  <r>
    <x v="4589"/>
    <x v="335"/>
    <x v="11"/>
    <n v="12"/>
    <n v="2"/>
    <s v="Tuesday"/>
    <x v="5"/>
    <x v="4"/>
    <x v="6"/>
    <s v="Idli Sambar"/>
    <x v="1"/>
    <n v="1"/>
    <n v="348"/>
    <n v="17.399999999999999"/>
    <n v="40"/>
    <n v="348"/>
    <n v="370.6"/>
    <x v="2"/>
    <x v="0"/>
    <x v="0"/>
    <n v="42"/>
    <n v="4.0999999999999996"/>
  </r>
  <r>
    <x v="4590"/>
    <x v="335"/>
    <x v="11"/>
    <n v="12"/>
    <n v="2"/>
    <s v="Tuesday"/>
    <x v="0"/>
    <x v="8"/>
    <x v="9"/>
    <s v="Masala Dosa"/>
    <x v="3"/>
    <n v="1"/>
    <n v="663"/>
    <n v="0"/>
    <n v="50"/>
    <n v="663"/>
    <n v="713"/>
    <x v="0"/>
    <x v="0"/>
    <x v="0"/>
    <n v="34"/>
    <n v="4.2"/>
  </r>
  <r>
    <x v="4591"/>
    <x v="335"/>
    <x v="11"/>
    <n v="12"/>
    <n v="2"/>
    <s v="Tuesday"/>
    <x v="6"/>
    <x v="7"/>
    <x v="9"/>
    <s v="French Fries"/>
    <x v="2"/>
    <n v="2"/>
    <n v="765"/>
    <n v="153"/>
    <n v="40"/>
    <n v="1530"/>
    <n v="1417"/>
    <x v="4"/>
    <x v="0"/>
    <x v="0"/>
    <n v="26"/>
    <n v="4.0999999999999996"/>
  </r>
  <r>
    <x v="4592"/>
    <x v="335"/>
    <x v="11"/>
    <n v="12"/>
    <n v="2"/>
    <s v="Tuesday"/>
    <x v="7"/>
    <x v="12"/>
    <x v="3"/>
    <s v="Chicken Pizza"/>
    <x v="1"/>
    <n v="3"/>
    <n v="256"/>
    <n v="0"/>
    <n v="50"/>
    <n v="768"/>
    <n v="818"/>
    <x v="1"/>
    <x v="0"/>
    <x v="1"/>
    <n v="64"/>
    <n v="3.7"/>
  </r>
  <r>
    <x v="4593"/>
    <x v="335"/>
    <x v="11"/>
    <n v="12"/>
    <n v="2"/>
    <s v="Tuesday"/>
    <x v="9"/>
    <x v="5"/>
    <x v="8"/>
    <s v="Chicken Momos"/>
    <x v="1"/>
    <n v="3"/>
    <n v="248"/>
    <n v="49.6"/>
    <n v="40"/>
    <n v="744"/>
    <n v="734.4"/>
    <x v="1"/>
    <x v="0"/>
    <x v="1"/>
    <n v="40"/>
    <n v="4.5999999999999996"/>
  </r>
  <r>
    <x v="4594"/>
    <x v="335"/>
    <x v="11"/>
    <n v="12"/>
    <n v="2"/>
    <s v="Tuesday"/>
    <x v="2"/>
    <x v="14"/>
    <x v="1"/>
    <s v="French Fries"/>
    <x v="3"/>
    <n v="2"/>
    <n v="196"/>
    <n v="0"/>
    <n v="20"/>
    <n v="392"/>
    <n v="412"/>
    <x v="2"/>
    <x v="0"/>
    <x v="1"/>
    <n v="39"/>
    <n v="3.7"/>
  </r>
  <r>
    <x v="4595"/>
    <x v="335"/>
    <x v="11"/>
    <n v="12"/>
    <n v="2"/>
    <s v="Tuesday"/>
    <x v="9"/>
    <x v="0"/>
    <x v="3"/>
    <s v="French Fries"/>
    <x v="3"/>
    <n v="1"/>
    <n v="736"/>
    <n v="0"/>
    <n v="30"/>
    <n v="736"/>
    <n v="766"/>
    <x v="0"/>
    <x v="0"/>
    <x v="1"/>
    <n v="43"/>
    <n v="3.6"/>
  </r>
  <r>
    <x v="4596"/>
    <x v="335"/>
    <x v="11"/>
    <n v="12"/>
    <n v="2"/>
    <s v="Tuesday"/>
    <x v="6"/>
    <x v="2"/>
    <x v="2"/>
    <s v="Fried Rice"/>
    <x v="1"/>
    <n v="2"/>
    <n v="444"/>
    <n v="44.4"/>
    <n v="0"/>
    <n v="888"/>
    <n v="843.6"/>
    <x v="1"/>
    <x v="2"/>
    <x v="1"/>
    <n v="27"/>
    <m/>
  </r>
  <r>
    <x v="4597"/>
    <x v="336"/>
    <x v="11"/>
    <n v="12"/>
    <n v="3"/>
    <s v="Wednesday"/>
    <x v="8"/>
    <x v="13"/>
    <x v="4"/>
    <s v="Idli Sambar"/>
    <x v="1"/>
    <n v="2"/>
    <n v="468"/>
    <n v="117"/>
    <n v="40"/>
    <n v="936"/>
    <n v="859"/>
    <x v="1"/>
    <x v="0"/>
    <x v="0"/>
    <n v="67"/>
    <n v="5"/>
  </r>
  <r>
    <x v="4598"/>
    <x v="336"/>
    <x v="11"/>
    <n v="12"/>
    <n v="3"/>
    <s v="Wednesday"/>
    <x v="1"/>
    <x v="6"/>
    <x v="1"/>
    <s v="Masala Dosa"/>
    <x v="3"/>
    <n v="1"/>
    <n v="468"/>
    <n v="46.8"/>
    <n v="40"/>
    <n v="468"/>
    <n v="461.2"/>
    <x v="1"/>
    <x v="0"/>
    <x v="0"/>
    <n v="66"/>
    <n v="4.5"/>
  </r>
  <r>
    <x v="4599"/>
    <x v="336"/>
    <x v="11"/>
    <n v="12"/>
    <n v="3"/>
    <s v="Wednesday"/>
    <x v="6"/>
    <x v="2"/>
    <x v="9"/>
    <s v="Veg Biryani"/>
    <x v="1"/>
    <n v="3"/>
    <n v="334"/>
    <n v="16.7"/>
    <n v="40"/>
    <n v="1002"/>
    <n v="1025.3"/>
    <x v="4"/>
    <x v="0"/>
    <x v="1"/>
    <n v="24"/>
    <n v="4.5"/>
  </r>
  <r>
    <x v="4600"/>
    <x v="336"/>
    <x v="11"/>
    <n v="12"/>
    <n v="3"/>
    <s v="Wednesday"/>
    <x v="5"/>
    <x v="9"/>
    <x v="0"/>
    <s v="Veg Biryani"/>
    <x v="1"/>
    <n v="1"/>
    <n v="340"/>
    <n v="17"/>
    <n v="20"/>
    <n v="340"/>
    <n v="343"/>
    <x v="1"/>
    <x v="0"/>
    <x v="0"/>
    <n v="61"/>
    <n v="4"/>
  </r>
  <r>
    <x v="4601"/>
    <x v="336"/>
    <x v="11"/>
    <n v="12"/>
    <n v="3"/>
    <s v="Wednesday"/>
    <x v="3"/>
    <x v="6"/>
    <x v="5"/>
    <s v="French Fries"/>
    <x v="1"/>
    <n v="1"/>
    <n v="624"/>
    <n v="31.2"/>
    <n v="30"/>
    <n v="624"/>
    <n v="622.79999999999995"/>
    <x v="2"/>
    <x v="0"/>
    <x v="1"/>
    <n v="53"/>
    <n v="4.2"/>
  </r>
  <r>
    <x v="4602"/>
    <x v="336"/>
    <x v="11"/>
    <n v="12"/>
    <n v="3"/>
    <s v="Wednesday"/>
    <x v="3"/>
    <x v="10"/>
    <x v="5"/>
    <s v="Paneer Butter Masala"/>
    <x v="2"/>
    <n v="1"/>
    <n v="202"/>
    <n v="30.3"/>
    <n v="0"/>
    <n v="202"/>
    <n v="171.7"/>
    <x v="1"/>
    <x v="0"/>
    <x v="1"/>
    <n v="52"/>
    <n v="5"/>
  </r>
  <r>
    <x v="4603"/>
    <x v="336"/>
    <x v="11"/>
    <n v="12"/>
    <n v="3"/>
    <s v="Wednesday"/>
    <x v="6"/>
    <x v="3"/>
    <x v="1"/>
    <s v="Paneer Butter Masala"/>
    <x v="2"/>
    <n v="3"/>
    <n v="237"/>
    <n v="23.7"/>
    <n v="30"/>
    <n v="711"/>
    <n v="717.3"/>
    <x v="2"/>
    <x v="0"/>
    <x v="0"/>
    <n v="24"/>
    <n v="3.6"/>
  </r>
  <r>
    <x v="4604"/>
    <x v="336"/>
    <x v="11"/>
    <n v="12"/>
    <n v="3"/>
    <s v="Wednesday"/>
    <x v="4"/>
    <x v="9"/>
    <x v="9"/>
    <s v="Chocolate Cake"/>
    <x v="1"/>
    <n v="3"/>
    <n v="625"/>
    <n v="125"/>
    <n v="50"/>
    <n v="1875"/>
    <n v="1800"/>
    <x v="2"/>
    <x v="1"/>
    <x v="0"/>
    <n v="37"/>
    <m/>
  </r>
  <r>
    <x v="4605"/>
    <x v="336"/>
    <x v="11"/>
    <n v="12"/>
    <n v="3"/>
    <s v="Wednesday"/>
    <x v="2"/>
    <x v="14"/>
    <x v="0"/>
    <s v="Veg Burger"/>
    <x v="1"/>
    <n v="1"/>
    <n v="518"/>
    <n v="51.8"/>
    <n v="20"/>
    <n v="518"/>
    <n v="486.2"/>
    <x v="1"/>
    <x v="0"/>
    <x v="0"/>
    <n v="37"/>
    <n v="4"/>
  </r>
  <r>
    <x v="4606"/>
    <x v="336"/>
    <x v="11"/>
    <n v="12"/>
    <n v="3"/>
    <s v="Wednesday"/>
    <x v="3"/>
    <x v="3"/>
    <x v="1"/>
    <s v="Veg Burger"/>
    <x v="1"/>
    <n v="3"/>
    <n v="137"/>
    <n v="0"/>
    <n v="50"/>
    <n v="411"/>
    <n v="461"/>
    <x v="1"/>
    <x v="0"/>
    <x v="0"/>
    <n v="43"/>
    <n v="3.3"/>
  </r>
  <r>
    <x v="4607"/>
    <x v="336"/>
    <x v="11"/>
    <n v="12"/>
    <n v="3"/>
    <s v="Wednesday"/>
    <x v="7"/>
    <x v="7"/>
    <x v="8"/>
    <s v="Masala Dosa"/>
    <x v="1"/>
    <n v="2"/>
    <n v="496"/>
    <n v="99.2"/>
    <n v="0"/>
    <n v="992"/>
    <n v="892.8"/>
    <x v="1"/>
    <x v="0"/>
    <x v="1"/>
    <n v="23"/>
    <n v="3.9"/>
  </r>
  <r>
    <x v="4608"/>
    <x v="336"/>
    <x v="11"/>
    <n v="12"/>
    <n v="3"/>
    <s v="Wednesday"/>
    <x v="1"/>
    <x v="14"/>
    <x v="8"/>
    <s v="Pasta"/>
    <x v="1"/>
    <n v="1"/>
    <n v="718"/>
    <n v="71.8"/>
    <n v="40"/>
    <n v="718"/>
    <n v="686.2"/>
    <x v="3"/>
    <x v="0"/>
    <x v="1"/>
    <n v="22"/>
    <n v="4.5999999999999996"/>
  </r>
  <r>
    <x v="4609"/>
    <x v="336"/>
    <x v="11"/>
    <n v="12"/>
    <n v="3"/>
    <s v="Wednesday"/>
    <x v="1"/>
    <x v="3"/>
    <x v="4"/>
    <s v="Chicken Momos"/>
    <x v="2"/>
    <n v="2"/>
    <n v="835"/>
    <n v="83.5"/>
    <n v="30"/>
    <n v="1670"/>
    <n v="1616.5"/>
    <x v="1"/>
    <x v="0"/>
    <x v="1"/>
    <n v="51"/>
    <n v="3.8"/>
  </r>
  <r>
    <x v="4610"/>
    <x v="337"/>
    <x v="11"/>
    <n v="12"/>
    <n v="4"/>
    <s v="Thursday"/>
    <x v="9"/>
    <x v="6"/>
    <x v="5"/>
    <s v="Chicken Pizza"/>
    <x v="1"/>
    <n v="1"/>
    <n v="601"/>
    <n v="0"/>
    <n v="50"/>
    <n v="601"/>
    <n v="651"/>
    <x v="2"/>
    <x v="2"/>
    <x v="1"/>
    <n v="70"/>
    <m/>
  </r>
  <r>
    <x v="4611"/>
    <x v="337"/>
    <x v="11"/>
    <n v="12"/>
    <n v="4"/>
    <s v="Thursday"/>
    <x v="0"/>
    <x v="4"/>
    <x v="4"/>
    <s v="Chicken Biryani"/>
    <x v="1"/>
    <n v="3"/>
    <n v="732"/>
    <n v="109.8"/>
    <n v="0"/>
    <n v="2196"/>
    <n v="2086.1999999999998"/>
    <x v="1"/>
    <x v="0"/>
    <x v="1"/>
    <n v="34"/>
    <n v="3.9"/>
  </r>
  <r>
    <x v="4612"/>
    <x v="337"/>
    <x v="11"/>
    <n v="12"/>
    <n v="4"/>
    <s v="Thursday"/>
    <x v="4"/>
    <x v="10"/>
    <x v="7"/>
    <s v="Chicken Pizza"/>
    <x v="1"/>
    <n v="2"/>
    <n v="611"/>
    <n v="91.65"/>
    <n v="40"/>
    <n v="1222"/>
    <n v="1170.3499999999999"/>
    <x v="1"/>
    <x v="0"/>
    <x v="1"/>
    <n v="33"/>
    <n v="4.5999999999999996"/>
  </r>
  <r>
    <x v="4613"/>
    <x v="337"/>
    <x v="11"/>
    <n v="12"/>
    <n v="4"/>
    <s v="Thursday"/>
    <x v="8"/>
    <x v="6"/>
    <x v="0"/>
    <s v="Masala Dosa"/>
    <x v="1"/>
    <n v="2"/>
    <n v="296"/>
    <n v="29.6"/>
    <n v="50"/>
    <n v="592"/>
    <n v="612.4"/>
    <x v="2"/>
    <x v="0"/>
    <x v="1"/>
    <n v="58"/>
    <n v="5"/>
  </r>
  <r>
    <x v="4614"/>
    <x v="337"/>
    <x v="11"/>
    <n v="12"/>
    <n v="4"/>
    <s v="Thursday"/>
    <x v="4"/>
    <x v="7"/>
    <x v="8"/>
    <s v="Chicken Biryani"/>
    <x v="2"/>
    <n v="1"/>
    <n v="121"/>
    <n v="6.05"/>
    <n v="30"/>
    <n v="121"/>
    <n v="144.94999999999999"/>
    <x v="4"/>
    <x v="0"/>
    <x v="0"/>
    <n v="26"/>
    <n v="5"/>
  </r>
  <r>
    <x v="4615"/>
    <x v="337"/>
    <x v="11"/>
    <n v="12"/>
    <n v="4"/>
    <s v="Thursday"/>
    <x v="5"/>
    <x v="0"/>
    <x v="1"/>
    <s v="Chicken Momos"/>
    <x v="1"/>
    <n v="1"/>
    <n v="668"/>
    <n v="33.4"/>
    <n v="20"/>
    <n v="668"/>
    <n v="654.6"/>
    <x v="3"/>
    <x v="2"/>
    <x v="0"/>
    <n v="19"/>
    <m/>
  </r>
  <r>
    <x v="4616"/>
    <x v="337"/>
    <x v="11"/>
    <n v="12"/>
    <n v="4"/>
    <s v="Thursday"/>
    <x v="4"/>
    <x v="14"/>
    <x v="4"/>
    <s v="Fried Rice"/>
    <x v="1"/>
    <n v="2"/>
    <n v="844"/>
    <n v="0"/>
    <n v="50"/>
    <n v="1688"/>
    <n v="1738"/>
    <x v="1"/>
    <x v="0"/>
    <x v="0"/>
    <n v="30"/>
    <n v="4.4000000000000004"/>
  </r>
  <r>
    <x v="4617"/>
    <x v="337"/>
    <x v="11"/>
    <n v="12"/>
    <n v="4"/>
    <s v="Thursday"/>
    <x v="4"/>
    <x v="5"/>
    <x v="2"/>
    <s v="Paneer Butter Masala"/>
    <x v="1"/>
    <n v="2"/>
    <n v="406"/>
    <n v="20.3"/>
    <n v="40"/>
    <n v="812"/>
    <n v="831.7"/>
    <x v="0"/>
    <x v="1"/>
    <x v="0"/>
    <n v="30"/>
    <m/>
  </r>
  <r>
    <x v="4618"/>
    <x v="337"/>
    <x v="11"/>
    <n v="12"/>
    <n v="4"/>
    <s v="Thursday"/>
    <x v="9"/>
    <x v="10"/>
    <x v="3"/>
    <s v="Veg Momos"/>
    <x v="2"/>
    <n v="1"/>
    <n v="872"/>
    <n v="174.4"/>
    <n v="30"/>
    <n v="872"/>
    <n v="727.6"/>
    <x v="1"/>
    <x v="2"/>
    <x v="0"/>
    <n v="55"/>
    <m/>
  </r>
  <r>
    <x v="4619"/>
    <x v="337"/>
    <x v="11"/>
    <n v="12"/>
    <n v="4"/>
    <s v="Thursday"/>
    <x v="6"/>
    <x v="10"/>
    <x v="4"/>
    <s v="Pasta"/>
    <x v="1"/>
    <n v="3"/>
    <n v="647"/>
    <n v="0"/>
    <n v="20"/>
    <n v="1941"/>
    <n v="1961"/>
    <x v="1"/>
    <x v="0"/>
    <x v="1"/>
    <n v="43"/>
    <n v="4.8"/>
  </r>
  <r>
    <x v="4620"/>
    <x v="337"/>
    <x v="11"/>
    <n v="12"/>
    <n v="4"/>
    <s v="Thursday"/>
    <x v="4"/>
    <x v="6"/>
    <x v="8"/>
    <s v="Chicken Burger"/>
    <x v="1"/>
    <n v="2"/>
    <n v="875"/>
    <n v="43.75"/>
    <n v="20"/>
    <n v="1750"/>
    <n v="1726.25"/>
    <x v="2"/>
    <x v="1"/>
    <x v="1"/>
    <n v="65"/>
    <m/>
  </r>
  <r>
    <x v="4621"/>
    <x v="337"/>
    <x v="11"/>
    <n v="12"/>
    <n v="4"/>
    <s v="Thursday"/>
    <x v="7"/>
    <x v="5"/>
    <x v="3"/>
    <s v="Veg Burger"/>
    <x v="2"/>
    <n v="1"/>
    <n v="896"/>
    <n v="0"/>
    <n v="20"/>
    <n v="896"/>
    <n v="916"/>
    <x v="1"/>
    <x v="0"/>
    <x v="1"/>
    <n v="27"/>
    <n v="3.8"/>
  </r>
  <r>
    <x v="4622"/>
    <x v="337"/>
    <x v="11"/>
    <n v="12"/>
    <n v="4"/>
    <s v="Thursday"/>
    <x v="0"/>
    <x v="6"/>
    <x v="0"/>
    <s v="Chicken Pizza"/>
    <x v="1"/>
    <n v="1"/>
    <n v="180"/>
    <n v="45"/>
    <n v="0"/>
    <n v="180"/>
    <n v="135"/>
    <x v="2"/>
    <x v="0"/>
    <x v="1"/>
    <n v="55"/>
    <n v="5"/>
  </r>
  <r>
    <x v="4623"/>
    <x v="337"/>
    <x v="11"/>
    <n v="12"/>
    <n v="4"/>
    <s v="Thursday"/>
    <x v="5"/>
    <x v="1"/>
    <x v="9"/>
    <s v="Chicken Momos"/>
    <x v="0"/>
    <n v="1"/>
    <n v="680"/>
    <n v="34"/>
    <n v="0"/>
    <n v="680"/>
    <n v="646"/>
    <x v="4"/>
    <x v="0"/>
    <x v="1"/>
    <n v="41"/>
    <n v="2.6"/>
  </r>
  <r>
    <x v="4624"/>
    <x v="337"/>
    <x v="11"/>
    <n v="12"/>
    <n v="4"/>
    <s v="Thursday"/>
    <x v="3"/>
    <x v="13"/>
    <x v="4"/>
    <s v="Masala Dosa"/>
    <x v="2"/>
    <n v="1"/>
    <n v="730"/>
    <n v="109.5"/>
    <n v="20"/>
    <n v="730"/>
    <n v="640.5"/>
    <x v="1"/>
    <x v="1"/>
    <x v="0"/>
    <n v="65"/>
    <m/>
  </r>
  <r>
    <x v="4625"/>
    <x v="337"/>
    <x v="11"/>
    <n v="12"/>
    <n v="4"/>
    <s v="Thursday"/>
    <x v="3"/>
    <x v="6"/>
    <x v="3"/>
    <s v="Cold Coffee"/>
    <x v="1"/>
    <n v="1"/>
    <n v="426"/>
    <n v="85.2"/>
    <n v="0"/>
    <n v="426"/>
    <n v="340.8"/>
    <x v="0"/>
    <x v="3"/>
    <x v="0"/>
    <n v="65"/>
    <m/>
  </r>
  <r>
    <x v="4626"/>
    <x v="337"/>
    <x v="11"/>
    <n v="12"/>
    <n v="4"/>
    <s v="Thursday"/>
    <x v="9"/>
    <x v="8"/>
    <x v="5"/>
    <s v="Cold Coffee"/>
    <x v="1"/>
    <n v="1"/>
    <n v="760"/>
    <n v="114"/>
    <n v="50"/>
    <n v="760"/>
    <n v="696"/>
    <x v="2"/>
    <x v="0"/>
    <x v="1"/>
    <n v="57"/>
    <n v="3.7"/>
  </r>
  <r>
    <x v="4627"/>
    <x v="338"/>
    <x v="11"/>
    <n v="12"/>
    <n v="5"/>
    <s v="Friday"/>
    <x v="1"/>
    <x v="11"/>
    <x v="7"/>
    <s v="Chicken Pizza"/>
    <x v="1"/>
    <n v="2"/>
    <n v="302"/>
    <n v="15.1"/>
    <n v="0"/>
    <n v="604"/>
    <n v="588.9"/>
    <x v="1"/>
    <x v="0"/>
    <x v="0"/>
    <n v="65"/>
    <n v="4.2"/>
  </r>
  <r>
    <x v="4628"/>
    <x v="338"/>
    <x v="11"/>
    <n v="12"/>
    <n v="5"/>
    <s v="Friday"/>
    <x v="4"/>
    <x v="13"/>
    <x v="8"/>
    <s v="Pasta"/>
    <x v="2"/>
    <n v="1"/>
    <n v="781"/>
    <n v="0"/>
    <n v="30"/>
    <n v="781"/>
    <n v="811"/>
    <x v="3"/>
    <x v="0"/>
    <x v="1"/>
    <n v="18"/>
    <n v="3.5"/>
  </r>
  <r>
    <x v="4629"/>
    <x v="338"/>
    <x v="11"/>
    <n v="12"/>
    <n v="5"/>
    <s v="Friday"/>
    <x v="1"/>
    <x v="6"/>
    <x v="4"/>
    <s v="Cold Coffee"/>
    <x v="2"/>
    <n v="2"/>
    <n v="674"/>
    <n v="101.1"/>
    <n v="30"/>
    <n v="1348"/>
    <n v="1276.9000000000001"/>
    <x v="2"/>
    <x v="0"/>
    <x v="1"/>
    <n v="39"/>
    <n v="5"/>
  </r>
  <r>
    <x v="4630"/>
    <x v="338"/>
    <x v="11"/>
    <n v="12"/>
    <n v="5"/>
    <s v="Friday"/>
    <x v="0"/>
    <x v="8"/>
    <x v="2"/>
    <s v="Chicken Pizza"/>
    <x v="0"/>
    <n v="1"/>
    <n v="656"/>
    <n v="0"/>
    <n v="0"/>
    <n v="656"/>
    <n v="656"/>
    <x v="3"/>
    <x v="0"/>
    <x v="1"/>
    <n v="64"/>
    <n v="4.7"/>
  </r>
  <r>
    <x v="4631"/>
    <x v="338"/>
    <x v="11"/>
    <n v="12"/>
    <n v="5"/>
    <s v="Friday"/>
    <x v="3"/>
    <x v="14"/>
    <x v="1"/>
    <s v="Chicken Pizza"/>
    <x v="3"/>
    <n v="1"/>
    <n v="597"/>
    <n v="89.55"/>
    <n v="40"/>
    <n v="597"/>
    <n v="547.45000000000005"/>
    <x v="3"/>
    <x v="0"/>
    <x v="0"/>
    <n v="38"/>
    <n v="2.9"/>
  </r>
  <r>
    <x v="4632"/>
    <x v="338"/>
    <x v="11"/>
    <n v="12"/>
    <n v="5"/>
    <s v="Friday"/>
    <x v="1"/>
    <x v="7"/>
    <x v="5"/>
    <s v="Veg Pizza"/>
    <x v="1"/>
    <n v="2"/>
    <n v="895"/>
    <n v="0"/>
    <n v="0"/>
    <n v="1790"/>
    <n v="1790"/>
    <x v="1"/>
    <x v="0"/>
    <x v="0"/>
    <n v="64"/>
    <n v="2.9"/>
  </r>
  <r>
    <x v="4633"/>
    <x v="338"/>
    <x v="11"/>
    <n v="12"/>
    <n v="5"/>
    <s v="Friday"/>
    <x v="9"/>
    <x v="12"/>
    <x v="4"/>
    <s v="Paneer Butter Masala"/>
    <x v="2"/>
    <n v="2"/>
    <n v="879"/>
    <n v="87.9"/>
    <n v="60"/>
    <n v="1758"/>
    <n v="1730.1"/>
    <x v="4"/>
    <x v="2"/>
    <x v="1"/>
    <n v="25"/>
    <m/>
  </r>
  <r>
    <x v="4634"/>
    <x v="338"/>
    <x v="11"/>
    <n v="12"/>
    <n v="5"/>
    <s v="Friday"/>
    <x v="5"/>
    <x v="10"/>
    <x v="3"/>
    <s v="Chicken Pizza"/>
    <x v="2"/>
    <n v="1"/>
    <n v="441"/>
    <n v="88.2"/>
    <n v="20"/>
    <n v="441"/>
    <n v="372.8"/>
    <x v="4"/>
    <x v="0"/>
    <x v="1"/>
    <n v="38"/>
    <n v="4.0999999999999996"/>
  </r>
  <r>
    <x v="4635"/>
    <x v="338"/>
    <x v="11"/>
    <n v="12"/>
    <n v="5"/>
    <s v="Friday"/>
    <x v="4"/>
    <x v="12"/>
    <x v="9"/>
    <s v="Chicken Momos"/>
    <x v="2"/>
    <n v="1"/>
    <n v="900"/>
    <n v="0"/>
    <n v="40"/>
    <n v="900"/>
    <n v="940"/>
    <x v="1"/>
    <x v="2"/>
    <x v="0"/>
    <n v="53"/>
    <m/>
  </r>
  <r>
    <x v="4636"/>
    <x v="338"/>
    <x v="11"/>
    <n v="12"/>
    <n v="5"/>
    <s v="Friday"/>
    <x v="8"/>
    <x v="9"/>
    <x v="6"/>
    <s v="Chicken Momos"/>
    <x v="0"/>
    <n v="1"/>
    <n v="736"/>
    <n v="147.19999999999999"/>
    <n v="50"/>
    <n v="736"/>
    <n v="638.79999999999995"/>
    <x v="0"/>
    <x v="1"/>
    <x v="1"/>
    <n v="29"/>
    <m/>
  </r>
  <r>
    <x v="4637"/>
    <x v="338"/>
    <x v="11"/>
    <n v="12"/>
    <n v="5"/>
    <s v="Friday"/>
    <x v="0"/>
    <x v="7"/>
    <x v="9"/>
    <s v="Chocolate Cake"/>
    <x v="1"/>
    <n v="1"/>
    <n v="472"/>
    <n v="23.6"/>
    <n v="0"/>
    <n v="472"/>
    <n v="448.4"/>
    <x v="3"/>
    <x v="0"/>
    <x v="0"/>
    <n v="70"/>
    <n v="5"/>
  </r>
  <r>
    <x v="4638"/>
    <x v="338"/>
    <x v="11"/>
    <n v="12"/>
    <n v="5"/>
    <s v="Friday"/>
    <x v="2"/>
    <x v="12"/>
    <x v="0"/>
    <s v="Idli Sambar"/>
    <x v="3"/>
    <n v="1"/>
    <n v="251"/>
    <n v="0"/>
    <n v="30"/>
    <n v="251"/>
    <n v="281"/>
    <x v="2"/>
    <x v="2"/>
    <x v="1"/>
    <n v="33"/>
    <m/>
  </r>
  <r>
    <x v="4639"/>
    <x v="338"/>
    <x v="11"/>
    <n v="12"/>
    <n v="5"/>
    <s v="Friday"/>
    <x v="3"/>
    <x v="8"/>
    <x v="9"/>
    <s v="French Fries"/>
    <x v="2"/>
    <n v="1"/>
    <n v="382"/>
    <n v="57.3"/>
    <n v="0"/>
    <n v="382"/>
    <n v="324.7"/>
    <x v="3"/>
    <x v="0"/>
    <x v="0"/>
    <n v="43"/>
    <n v="4.2"/>
  </r>
  <r>
    <x v="4640"/>
    <x v="339"/>
    <x v="11"/>
    <n v="12"/>
    <n v="6"/>
    <s v="Saturday"/>
    <x v="3"/>
    <x v="3"/>
    <x v="5"/>
    <s v="Veg Burger"/>
    <x v="1"/>
    <n v="1"/>
    <n v="546"/>
    <n v="54.6"/>
    <n v="30"/>
    <n v="546"/>
    <n v="521.4"/>
    <x v="1"/>
    <x v="0"/>
    <x v="0"/>
    <n v="55"/>
    <n v="3"/>
  </r>
  <r>
    <x v="4641"/>
    <x v="339"/>
    <x v="11"/>
    <n v="12"/>
    <n v="6"/>
    <s v="Saturday"/>
    <x v="1"/>
    <x v="13"/>
    <x v="7"/>
    <s v="Idli Sambar"/>
    <x v="2"/>
    <n v="2"/>
    <n v="708"/>
    <n v="35.4"/>
    <n v="0"/>
    <n v="1416"/>
    <n v="1380.6"/>
    <x v="2"/>
    <x v="0"/>
    <x v="1"/>
    <n v="45"/>
    <n v="4.8"/>
  </r>
  <r>
    <x v="4642"/>
    <x v="339"/>
    <x v="11"/>
    <n v="12"/>
    <n v="6"/>
    <s v="Saturday"/>
    <x v="0"/>
    <x v="0"/>
    <x v="5"/>
    <s v="Chicken Burger"/>
    <x v="1"/>
    <n v="1"/>
    <n v="881"/>
    <n v="0"/>
    <n v="60"/>
    <n v="881"/>
    <n v="941"/>
    <x v="0"/>
    <x v="0"/>
    <x v="1"/>
    <n v="37"/>
    <n v="3.2"/>
  </r>
  <r>
    <x v="4643"/>
    <x v="339"/>
    <x v="11"/>
    <n v="12"/>
    <n v="6"/>
    <s v="Saturday"/>
    <x v="9"/>
    <x v="10"/>
    <x v="9"/>
    <s v="French Fries"/>
    <x v="1"/>
    <n v="2"/>
    <n v="665"/>
    <n v="0"/>
    <n v="0"/>
    <n v="1330"/>
    <n v="1330"/>
    <x v="4"/>
    <x v="0"/>
    <x v="0"/>
    <n v="38"/>
    <n v="4.2"/>
  </r>
  <r>
    <x v="4644"/>
    <x v="339"/>
    <x v="11"/>
    <n v="12"/>
    <n v="6"/>
    <s v="Saturday"/>
    <x v="9"/>
    <x v="5"/>
    <x v="0"/>
    <s v="Paneer Butter Masala"/>
    <x v="1"/>
    <n v="2"/>
    <n v="757"/>
    <n v="113.55"/>
    <n v="60"/>
    <n v="1514"/>
    <n v="1460.45"/>
    <x v="1"/>
    <x v="0"/>
    <x v="1"/>
    <n v="42"/>
    <n v="3.9"/>
  </r>
  <r>
    <x v="4645"/>
    <x v="339"/>
    <x v="11"/>
    <n v="12"/>
    <n v="6"/>
    <s v="Saturday"/>
    <x v="6"/>
    <x v="12"/>
    <x v="2"/>
    <s v="Chicken Biryani"/>
    <x v="1"/>
    <n v="1"/>
    <n v="458"/>
    <n v="22.9"/>
    <n v="20"/>
    <n v="458"/>
    <n v="455.1"/>
    <x v="4"/>
    <x v="0"/>
    <x v="1"/>
    <n v="45"/>
    <n v="3.9"/>
  </r>
  <r>
    <x v="4646"/>
    <x v="339"/>
    <x v="11"/>
    <n v="12"/>
    <n v="6"/>
    <s v="Saturday"/>
    <x v="2"/>
    <x v="6"/>
    <x v="6"/>
    <s v="French Fries"/>
    <x v="1"/>
    <n v="1"/>
    <n v="843"/>
    <n v="84.3"/>
    <n v="40"/>
    <n v="843"/>
    <n v="798.7"/>
    <x v="3"/>
    <x v="3"/>
    <x v="1"/>
    <n v="61"/>
    <m/>
  </r>
  <r>
    <x v="4647"/>
    <x v="339"/>
    <x v="11"/>
    <n v="12"/>
    <n v="6"/>
    <s v="Saturday"/>
    <x v="4"/>
    <x v="3"/>
    <x v="3"/>
    <s v="Chicken Momos"/>
    <x v="0"/>
    <n v="2"/>
    <n v="597"/>
    <n v="119.4"/>
    <n v="30"/>
    <n v="1194"/>
    <n v="1104.5999999999999"/>
    <x v="1"/>
    <x v="0"/>
    <x v="1"/>
    <n v="47"/>
    <n v="4.9000000000000004"/>
  </r>
  <r>
    <x v="4648"/>
    <x v="339"/>
    <x v="11"/>
    <n v="12"/>
    <n v="6"/>
    <s v="Saturday"/>
    <x v="0"/>
    <x v="13"/>
    <x v="0"/>
    <s v="French Fries"/>
    <x v="1"/>
    <n v="2"/>
    <n v="868"/>
    <n v="43.4"/>
    <n v="60"/>
    <n v="1736"/>
    <n v="1752.6"/>
    <x v="0"/>
    <x v="0"/>
    <x v="1"/>
    <n v="43"/>
    <n v="3.7"/>
  </r>
  <r>
    <x v="4649"/>
    <x v="339"/>
    <x v="11"/>
    <n v="12"/>
    <n v="6"/>
    <s v="Saturday"/>
    <x v="4"/>
    <x v="1"/>
    <x v="6"/>
    <s v="Pasta"/>
    <x v="1"/>
    <n v="1"/>
    <n v="634"/>
    <n v="95.1"/>
    <n v="30"/>
    <n v="634"/>
    <n v="568.9"/>
    <x v="1"/>
    <x v="0"/>
    <x v="0"/>
    <n v="48"/>
    <n v="4.7"/>
  </r>
  <r>
    <x v="4650"/>
    <x v="339"/>
    <x v="11"/>
    <n v="12"/>
    <n v="6"/>
    <s v="Saturday"/>
    <x v="4"/>
    <x v="6"/>
    <x v="7"/>
    <s v="Chicken Biryani"/>
    <x v="1"/>
    <n v="3"/>
    <n v="356"/>
    <n v="17.8"/>
    <n v="0"/>
    <n v="1068"/>
    <n v="1050.2"/>
    <x v="1"/>
    <x v="0"/>
    <x v="1"/>
    <n v="62"/>
    <n v="4.0999999999999996"/>
  </r>
  <r>
    <x v="4651"/>
    <x v="339"/>
    <x v="11"/>
    <n v="12"/>
    <n v="6"/>
    <s v="Saturday"/>
    <x v="7"/>
    <x v="1"/>
    <x v="7"/>
    <s v="Veg Momos"/>
    <x v="1"/>
    <n v="1"/>
    <n v="391"/>
    <n v="97.75"/>
    <n v="0"/>
    <n v="391"/>
    <n v="293.25"/>
    <x v="1"/>
    <x v="0"/>
    <x v="1"/>
    <n v="56"/>
    <n v="4.2"/>
  </r>
  <r>
    <x v="4652"/>
    <x v="339"/>
    <x v="11"/>
    <n v="12"/>
    <n v="6"/>
    <s v="Saturday"/>
    <x v="7"/>
    <x v="12"/>
    <x v="7"/>
    <s v="Veg Burger"/>
    <x v="1"/>
    <n v="1"/>
    <n v="881"/>
    <n v="44.05"/>
    <n v="30"/>
    <n v="881"/>
    <n v="866.95"/>
    <x v="4"/>
    <x v="2"/>
    <x v="0"/>
    <n v="32"/>
    <m/>
  </r>
  <r>
    <x v="4653"/>
    <x v="339"/>
    <x v="11"/>
    <n v="12"/>
    <n v="6"/>
    <s v="Saturday"/>
    <x v="9"/>
    <x v="3"/>
    <x v="4"/>
    <s v="Cold Coffee"/>
    <x v="0"/>
    <n v="1"/>
    <n v="900"/>
    <n v="90"/>
    <n v="40"/>
    <n v="900"/>
    <n v="850"/>
    <x v="0"/>
    <x v="0"/>
    <x v="1"/>
    <n v="38"/>
    <n v="4.8"/>
  </r>
  <r>
    <x v="4654"/>
    <x v="339"/>
    <x v="11"/>
    <n v="12"/>
    <n v="6"/>
    <s v="Saturday"/>
    <x v="2"/>
    <x v="1"/>
    <x v="5"/>
    <s v="Veg Momos"/>
    <x v="1"/>
    <n v="1"/>
    <n v="134"/>
    <n v="0"/>
    <n v="60"/>
    <n v="134"/>
    <n v="194"/>
    <x v="0"/>
    <x v="0"/>
    <x v="0"/>
    <n v="26"/>
    <n v="4.7"/>
  </r>
  <r>
    <x v="4655"/>
    <x v="339"/>
    <x v="11"/>
    <n v="12"/>
    <n v="6"/>
    <s v="Saturday"/>
    <x v="0"/>
    <x v="5"/>
    <x v="2"/>
    <s v="Veg Pizza"/>
    <x v="2"/>
    <n v="2"/>
    <n v="767"/>
    <n v="153.4"/>
    <n v="0"/>
    <n v="1534"/>
    <n v="1380.6"/>
    <x v="2"/>
    <x v="0"/>
    <x v="1"/>
    <n v="52"/>
    <n v="4.2"/>
  </r>
  <r>
    <x v="4656"/>
    <x v="340"/>
    <x v="11"/>
    <n v="12"/>
    <n v="7"/>
    <s v="Sunday"/>
    <x v="4"/>
    <x v="2"/>
    <x v="1"/>
    <s v="Masala Dosa"/>
    <x v="1"/>
    <n v="1"/>
    <n v="704"/>
    <n v="70.400000000000006"/>
    <n v="30"/>
    <n v="704"/>
    <n v="663.6"/>
    <x v="4"/>
    <x v="0"/>
    <x v="0"/>
    <n v="18"/>
    <n v="4.5"/>
  </r>
  <r>
    <x v="4657"/>
    <x v="340"/>
    <x v="11"/>
    <n v="12"/>
    <n v="7"/>
    <s v="Sunday"/>
    <x v="5"/>
    <x v="10"/>
    <x v="2"/>
    <s v="Veg Pizza"/>
    <x v="2"/>
    <n v="2"/>
    <n v="345"/>
    <n v="34.5"/>
    <n v="50"/>
    <n v="690"/>
    <n v="705.5"/>
    <x v="1"/>
    <x v="1"/>
    <x v="0"/>
    <n v="35"/>
    <m/>
  </r>
  <r>
    <x v="4658"/>
    <x v="340"/>
    <x v="11"/>
    <n v="12"/>
    <n v="7"/>
    <s v="Sunday"/>
    <x v="4"/>
    <x v="3"/>
    <x v="2"/>
    <s v="Chicken Burger"/>
    <x v="1"/>
    <n v="1"/>
    <n v="252"/>
    <n v="25.2"/>
    <n v="30"/>
    <n v="252"/>
    <n v="256.8"/>
    <x v="1"/>
    <x v="0"/>
    <x v="0"/>
    <n v="51"/>
    <n v="3.2"/>
  </r>
  <r>
    <x v="4659"/>
    <x v="340"/>
    <x v="11"/>
    <n v="12"/>
    <n v="7"/>
    <s v="Sunday"/>
    <x v="3"/>
    <x v="13"/>
    <x v="7"/>
    <s v="Chicken Pizza"/>
    <x v="2"/>
    <n v="1"/>
    <n v="446"/>
    <n v="111.5"/>
    <n v="40"/>
    <n v="446"/>
    <n v="374.5"/>
    <x v="0"/>
    <x v="2"/>
    <x v="0"/>
    <n v="41"/>
    <m/>
  </r>
  <r>
    <x v="4660"/>
    <x v="340"/>
    <x v="11"/>
    <n v="12"/>
    <n v="7"/>
    <s v="Sunday"/>
    <x v="2"/>
    <x v="5"/>
    <x v="2"/>
    <s v="Pasta"/>
    <x v="1"/>
    <n v="2"/>
    <n v="732"/>
    <n v="73.2"/>
    <n v="50"/>
    <n v="1464"/>
    <n v="1440.8"/>
    <x v="2"/>
    <x v="0"/>
    <x v="0"/>
    <n v="68"/>
    <n v="4.9000000000000004"/>
  </r>
  <r>
    <x v="4661"/>
    <x v="340"/>
    <x v="11"/>
    <n v="12"/>
    <n v="7"/>
    <s v="Sunday"/>
    <x v="1"/>
    <x v="10"/>
    <x v="7"/>
    <s v="Paneer Butter Masala"/>
    <x v="3"/>
    <n v="1"/>
    <n v="393"/>
    <n v="39.299999999999997"/>
    <n v="40"/>
    <n v="393"/>
    <n v="393.7"/>
    <x v="2"/>
    <x v="0"/>
    <x v="0"/>
    <n v="51"/>
    <n v="4.3"/>
  </r>
  <r>
    <x v="4662"/>
    <x v="340"/>
    <x v="11"/>
    <n v="12"/>
    <n v="7"/>
    <s v="Sunday"/>
    <x v="9"/>
    <x v="1"/>
    <x v="6"/>
    <s v="Fried Rice"/>
    <x v="1"/>
    <n v="1"/>
    <n v="315"/>
    <n v="47.25"/>
    <n v="40"/>
    <n v="315"/>
    <n v="307.75"/>
    <x v="2"/>
    <x v="0"/>
    <x v="0"/>
    <n v="56"/>
    <n v="4.9000000000000004"/>
  </r>
  <r>
    <x v="4663"/>
    <x v="340"/>
    <x v="11"/>
    <n v="12"/>
    <n v="7"/>
    <s v="Sunday"/>
    <x v="9"/>
    <x v="0"/>
    <x v="9"/>
    <s v="Chicken Biryani"/>
    <x v="1"/>
    <n v="2"/>
    <n v="871"/>
    <n v="87.1"/>
    <n v="60"/>
    <n v="1742"/>
    <n v="1714.9"/>
    <x v="1"/>
    <x v="0"/>
    <x v="0"/>
    <n v="51"/>
    <n v="3.9"/>
  </r>
  <r>
    <x v="4664"/>
    <x v="340"/>
    <x v="11"/>
    <n v="12"/>
    <n v="7"/>
    <s v="Sunday"/>
    <x v="2"/>
    <x v="0"/>
    <x v="2"/>
    <s v="Pasta"/>
    <x v="1"/>
    <n v="1"/>
    <n v="207"/>
    <n v="0"/>
    <n v="40"/>
    <n v="207"/>
    <n v="247"/>
    <x v="1"/>
    <x v="0"/>
    <x v="1"/>
    <n v="46"/>
    <n v="3.2"/>
  </r>
  <r>
    <x v="4665"/>
    <x v="340"/>
    <x v="11"/>
    <n v="12"/>
    <n v="7"/>
    <s v="Sunday"/>
    <x v="5"/>
    <x v="6"/>
    <x v="3"/>
    <s v="Idli Sambar"/>
    <x v="1"/>
    <n v="1"/>
    <n v="614"/>
    <n v="61.4"/>
    <n v="30"/>
    <n v="614"/>
    <n v="582.6"/>
    <x v="1"/>
    <x v="0"/>
    <x v="0"/>
    <n v="62"/>
    <n v="3.6"/>
  </r>
  <r>
    <x v="4666"/>
    <x v="340"/>
    <x v="11"/>
    <n v="12"/>
    <n v="7"/>
    <s v="Sunday"/>
    <x v="3"/>
    <x v="7"/>
    <x v="2"/>
    <s v="Chicken Pizza"/>
    <x v="3"/>
    <n v="1"/>
    <n v="416"/>
    <n v="20.8"/>
    <n v="40"/>
    <n v="416"/>
    <n v="435.2"/>
    <x v="0"/>
    <x v="1"/>
    <x v="0"/>
    <n v="65"/>
    <m/>
  </r>
  <r>
    <x v="4667"/>
    <x v="340"/>
    <x v="11"/>
    <n v="12"/>
    <n v="7"/>
    <s v="Sunday"/>
    <x v="0"/>
    <x v="1"/>
    <x v="8"/>
    <s v="Veg Biryani"/>
    <x v="2"/>
    <n v="2"/>
    <n v="428"/>
    <n v="42.8"/>
    <n v="40"/>
    <n v="856"/>
    <n v="853.2"/>
    <x v="1"/>
    <x v="0"/>
    <x v="1"/>
    <n v="46"/>
    <n v="4.3"/>
  </r>
  <r>
    <x v="4668"/>
    <x v="340"/>
    <x v="11"/>
    <n v="12"/>
    <n v="7"/>
    <s v="Sunday"/>
    <x v="0"/>
    <x v="8"/>
    <x v="8"/>
    <s v="Paneer Butter Masala"/>
    <x v="1"/>
    <n v="3"/>
    <n v="461"/>
    <n v="0"/>
    <n v="20"/>
    <n v="1383"/>
    <n v="1403"/>
    <x v="2"/>
    <x v="0"/>
    <x v="0"/>
    <n v="32"/>
    <n v="4"/>
  </r>
  <r>
    <x v="4669"/>
    <x v="340"/>
    <x v="11"/>
    <n v="12"/>
    <n v="7"/>
    <s v="Sunday"/>
    <x v="6"/>
    <x v="0"/>
    <x v="6"/>
    <s v="Chicken Momos"/>
    <x v="1"/>
    <n v="1"/>
    <n v="896"/>
    <n v="0"/>
    <n v="40"/>
    <n v="896"/>
    <n v="936"/>
    <x v="3"/>
    <x v="1"/>
    <x v="0"/>
    <n v="44"/>
    <m/>
  </r>
  <r>
    <x v="4670"/>
    <x v="340"/>
    <x v="11"/>
    <n v="12"/>
    <n v="7"/>
    <s v="Sunday"/>
    <x v="1"/>
    <x v="3"/>
    <x v="6"/>
    <s v="Veg Biryani"/>
    <x v="1"/>
    <n v="3"/>
    <n v="225"/>
    <n v="0"/>
    <n v="30"/>
    <n v="675"/>
    <n v="705"/>
    <x v="0"/>
    <x v="0"/>
    <x v="1"/>
    <n v="63"/>
    <n v="3"/>
  </r>
  <r>
    <x v="4671"/>
    <x v="341"/>
    <x v="11"/>
    <n v="12"/>
    <n v="8"/>
    <s v="Monday"/>
    <x v="0"/>
    <x v="13"/>
    <x v="8"/>
    <s v="Veg Pizza"/>
    <x v="1"/>
    <n v="1"/>
    <n v="721"/>
    <n v="108.15"/>
    <n v="0"/>
    <n v="721"/>
    <n v="612.85"/>
    <x v="1"/>
    <x v="0"/>
    <x v="1"/>
    <n v="20"/>
    <n v="4.3"/>
  </r>
  <r>
    <x v="4672"/>
    <x v="341"/>
    <x v="11"/>
    <n v="12"/>
    <n v="8"/>
    <s v="Monday"/>
    <x v="1"/>
    <x v="5"/>
    <x v="8"/>
    <s v="Veg Pizza"/>
    <x v="1"/>
    <n v="1"/>
    <n v="712"/>
    <n v="178"/>
    <n v="0"/>
    <n v="712"/>
    <n v="534"/>
    <x v="1"/>
    <x v="0"/>
    <x v="0"/>
    <n v="57"/>
    <n v="2.9"/>
  </r>
  <r>
    <x v="4673"/>
    <x v="341"/>
    <x v="11"/>
    <n v="12"/>
    <n v="8"/>
    <s v="Monday"/>
    <x v="3"/>
    <x v="9"/>
    <x v="6"/>
    <s v="Cold Coffee"/>
    <x v="1"/>
    <n v="3"/>
    <n v="900"/>
    <n v="0"/>
    <n v="20"/>
    <n v="2700"/>
    <n v="2720"/>
    <x v="1"/>
    <x v="0"/>
    <x v="1"/>
    <n v="57"/>
    <n v="3.8"/>
  </r>
  <r>
    <x v="4674"/>
    <x v="341"/>
    <x v="11"/>
    <n v="12"/>
    <n v="8"/>
    <s v="Monday"/>
    <x v="3"/>
    <x v="11"/>
    <x v="2"/>
    <s v="Chicken Momos"/>
    <x v="1"/>
    <n v="2"/>
    <n v="299"/>
    <n v="74.75"/>
    <n v="50"/>
    <n v="598"/>
    <n v="573.25"/>
    <x v="1"/>
    <x v="3"/>
    <x v="1"/>
    <n v="44"/>
    <m/>
  </r>
  <r>
    <x v="4675"/>
    <x v="341"/>
    <x v="11"/>
    <n v="12"/>
    <n v="8"/>
    <s v="Monday"/>
    <x v="3"/>
    <x v="6"/>
    <x v="2"/>
    <s v="Chicken Burger"/>
    <x v="1"/>
    <n v="2"/>
    <n v="642"/>
    <n v="160.5"/>
    <n v="60"/>
    <n v="1284"/>
    <n v="1183.5"/>
    <x v="2"/>
    <x v="0"/>
    <x v="1"/>
    <n v="20"/>
    <n v="3.1"/>
  </r>
  <r>
    <x v="4676"/>
    <x v="341"/>
    <x v="11"/>
    <n v="12"/>
    <n v="8"/>
    <s v="Monday"/>
    <x v="4"/>
    <x v="5"/>
    <x v="7"/>
    <s v="Veg Pizza"/>
    <x v="1"/>
    <n v="2"/>
    <n v="757"/>
    <n v="113.55"/>
    <n v="60"/>
    <n v="1514"/>
    <n v="1460.45"/>
    <x v="1"/>
    <x v="0"/>
    <x v="0"/>
    <n v="26"/>
    <n v="3.9"/>
  </r>
  <r>
    <x v="4677"/>
    <x v="341"/>
    <x v="11"/>
    <n v="12"/>
    <n v="8"/>
    <s v="Monday"/>
    <x v="4"/>
    <x v="7"/>
    <x v="7"/>
    <s v="Fried Rice"/>
    <x v="1"/>
    <n v="2"/>
    <n v="380"/>
    <n v="57"/>
    <n v="50"/>
    <n v="760"/>
    <n v="753"/>
    <x v="3"/>
    <x v="0"/>
    <x v="0"/>
    <n v="20"/>
    <n v="5"/>
  </r>
  <r>
    <x v="4678"/>
    <x v="341"/>
    <x v="11"/>
    <n v="12"/>
    <n v="8"/>
    <s v="Monday"/>
    <x v="4"/>
    <x v="13"/>
    <x v="4"/>
    <s v="Chicken Biryani"/>
    <x v="2"/>
    <n v="1"/>
    <n v="686"/>
    <n v="171.5"/>
    <n v="50"/>
    <n v="686"/>
    <n v="564.5"/>
    <x v="0"/>
    <x v="0"/>
    <x v="1"/>
    <n v="58"/>
    <n v="4.8"/>
  </r>
  <r>
    <x v="4679"/>
    <x v="341"/>
    <x v="11"/>
    <n v="12"/>
    <n v="8"/>
    <s v="Monday"/>
    <x v="0"/>
    <x v="4"/>
    <x v="7"/>
    <s v="Pasta"/>
    <x v="1"/>
    <n v="2"/>
    <n v="293"/>
    <n v="29.3"/>
    <n v="20"/>
    <n v="586"/>
    <n v="576.70000000000005"/>
    <x v="3"/>
    <x v="0"/>
    <x v="0"/>
    <n v="68"/>
    <n v="4.0999999999999996"/>
  </r>
  <r>
    <x v="4680"/>
    <x v="341"/>
    <x v="11"/>
    <n v="12"/>
    <n v="8"/>
    <s v="Monday"/>
    <x v="4"/>
    <x v="2"/>
    <x v="3"/>
    <s v="Cold Coffee"/>
    <x v="2"/>
    <n v="1"/>
    <n v="727"/>
    <n v="145.4"/>
    <n v="30"/>
    <n v="727"/>
    <n v="611.6"/>
    <x v="1"/>
    <x v="0"/>
    <x v="0"/>
    <n v="44"/>
    <n v="4"/>
  </r>
  <r>
    <x v="4681"/>
    <x v="341"/>
    <x v="11"/>
    <n v="12"/>
    <n v="8"/>
    <s v="Monday"/>
    <x v="7"/>
    <x v="1"/>
    <x v="3"/>
    <s v="Masala Dosa"/>
    <x v="1"/>
    <n v="1"/>
    <n v="789"/>
    <n v="0"/>
    <n v="20"/>
    <n v="789"/>
    <n v="809"/>
    <x v="1"/>
    <x v="0"/>
    <x v="1"/>
    <n v="49"/>
    <n v="2.5"/>
  </r>
  <r>
    <x v="4682"/>
    <x v="341"/>
    <x v="11"/>
    <n v="12"/>
    <n v="8"/>
    <s v="Monday"/>
    <x v="5"/>
    <x v="6"/>
    <x v="0"/>
    <s v="Chicken Pizza"/>
    <x v="1"/>
    <n v="1"/>
    <n v="720"/>
    <n v="108"/>
    <n v="30"/>
    <n v="720"/>
    <n v="642"/>
    <x v="0"/>
    <x v="0"/>
    <x v="0"/>
    <n v="65"/>
    <n v="4.9000000000000004"/>
  </r>
  <r>
    <x v="4683"/>
    <x v="341"/>
    <x v="11"/>
    <n v="12"/>
    <n v="8"/>
    <s v="Monday"/>
    <x v="1"/>
    <x v="1"/>
    <x v="2"/>
    <s v="Chicken Pizza"/>
    <x v="1"/>
    <n v="2"/>
    <n v="839"/>
    <n v="125.85"/>
    <n v="30"/>
    <n v="1678"/>
    <n v="1582.15"/>
    <x v="0"/>
    <x v="2"/>
    <x v="1"/>
    <n v="25"/>
    <m/>
  </r>
  <r>
    <x v="4684"/>
    <x v="341"/>
    <x v="11"/>
    <n v="12"/>
    <n v="8"/>
    <s v="Monday"/>
    <x v="0"/>
    <x v="13"/>
    <x v="1"/>
    <s v="Veg Burger"/>
    <x v="1"/>
    <n v="1"/>
    <n v="504"/>
    <n v="25.2"/>
    <n v="20"/>
    <n v="504"/>
    <n v="498.8"/>
    <x v="4"/>
    <x v="0"/>
    <x v="0"/>
    <n v="66"/>
    <n v="4.2"/>
  </r>
  <r>
    <x v="4685"/>
    <x v="341"/>
    <x v="11"/>
    <n v="12"/>
    <n v="8"/>
    <s v="Monday"/>
    <x v="5"/>
    <x v="5"/>
    <x v="5"/>
    <s v="Cold Coffee"/>
    <x v="1"/>
    <n v="1"/>
    <n v="644"/>
    <n v="32.200000000000003"/>
    <n v="40"/>
    <n v="644"/>
    <n v="651.79999999999995"/>
    <x v="2"/>
    <x v="0"/>
    <x v="1"/>
    <n v="21"/>
    <n v="3.3"/>
  </r>
  <r>
    <x v="4686"/>
    <x v="341"/>
    <x v="11"/>
    <n v="12"/>
    <n v="8"/>
    <s v="Monday"/>
    <x v="1"/>
    <x v="13"/>
    <x v="8"/>
    <s v="Chicken Momos"/>
    <x v="1"/>
    <n v="1"/>
    <n v="540"/>
    <n v="108"/>
    <n v="30"/>
    <n v="540"/>
    <n v="462"/>
    <x v="4"/>
    <x v="0"/>
    <x v="1"/>
    <n v="51"/>
    <n v="4.0999999999999996"/>
  </r>
  <r>
    <x v="4687"/>
    <x v="342"/>
    <x v="11"/>
    <n v="12"/>
    <n v="9"/>
    <s v="Tuesday"/>
    <x v="4"/>
    <x v="7"/>
    <x v="3"/>
    <s v="Cold Coffee"/>
    <x v="2"/>
    <n v="3"/>
    <n v="320"/>
    <n v="48"/>
    <n v="40"/>
    <n v="960"/>
    <n v="952"/>
    <x v="1"/>
    <x v="0"/>
    <x v="1"/>
    <n v="29"/>
    <n v="3.6"/>
  </r>
  <r>
    <x v="4688"/>
    <x v="342"/>
    <x v="11"/>
    <n v="12"/>
    <n v="9"/>
    <s v="Tuesday"/>
    <x v="4"/>
    <x v="1"/>
    <x v="1"/>
    <s v="Pasta"/>
    <x v="1"/>
    <n v="2"/>
    <n v="612"/>
    <n v="61.2"/>
    <n v="0"/>
    <n v="1224"/>
    <n v="1162.8"/>
    <x v="1"/>
    <x v="0"/>
    <x v="1"/>
    <n v="19"/>
    <n v="4.2"/>
  </r>
  <r>
    <x v="4689"/>
    <x v="342"/>
    <x v="11"/>
    <n v="12"/>
    <n v="9"/>
    <s v="Tuesday"/>
    <x v="5"/>
    <x v="7"/>
    <x v="2"/>
    <s v="Pasta"/>
    <x v="1"/>
    <n v="3"/>
    <n v="815"/>
    <n v="163"/>
    <n v="0"/>
    <n v="2445"/>
    <n v="2282"/>
    <x v="4"/>
    <x v="0"/>
    <x v="1"/>
    <n v="60"/>
    <n v="4.5"/>
  </r>
  <r>
    <x v="4690"/>
    <x v="342"/>
    <x v="11"/>
    <n v="12"/>
    <n v="9"/>
    <s v="Tuesday"/>
    <x v="6"/>
    <x v="4"/>
    <x v="0"/>
    <s v="French Fries"/>
    <x v="1"/>
    <n v="1"/>
    <n v="218"/>
    <n v="0"/>
    <n v="30"/>
    <n v="218"/>
    <n v="248"/>
    <x v="0"/>
    <x v="0"/>
    <x v="1"/>
    <n v="46"/>
    <n v="3.9"/>
  </r>
  <r>
    <x v="4691"/>
    <x v="342"/>
    <x v="11"/>
    <n v="12"/>
    <n v="9"/>
    <s v="Tuesday"/>
    <x v="2"/>
    <x v="4"/>
    <x v="2"/>
    <s v="Masala Dosa"/>
    <x v="3"/>
    <n v="2"/>
    <n v="577"/>
    <n v="115.4"/>
    <n v="30"/>
    <n v="1154"/>
    <n v="1068.5999999999999"/>
    <x v="0"/>
    <x v="0"/>
    <x v="1"/>
    <n v="64"/>
    <n v="4.3"/>
  </r>
  <r>
    <x v="4692"/>
    <x v="342"/>
    <x v="11"/>
    <n v="12"/>
    <n v="9"/>
    <s v="Tuesday"/>
    <x v="3"/>
    <x v="2"/>
    <x v="4"/>
    <s v="Cold Coffee"/>
    <x v="1"/>
    <n v="1"/>
    <n v="577"/>
    <n v="0"/>
    <n v="40"/>
    <n v="577"/>
    <n v="617"/>
    <x v="3"/>
    <x v="3"/>
    <x v="1"/>
    <n v="62"/>
    <m/>
  </r>
  <r>
    <x v="4693"/>
    <x v="342"/>
    <x v="11"/>
    <n v="12"/>
    <n v="9"/>
    <s v="Tuesday"/>
    <x v="4"/>
    <x v="0"/>
    <x v="1"/>
    <s v="Cold Coffee"/>
    <x v="1"/>
    <n v="2"/>
    <n v="166"/>
    <n v="16.600000000000001"/>
    <n v="20"/>
    <n v="332"/>
    <n v="335.4"/>
    <x v="1"/>
    <x v="0"/>
    <x v="1"/>
    <n v="35"/>
    <n v="2.8"/>
  </r>
  <r>
    <x v="4694"/>
    <x v="342"/>
    <x v="11"/>
    <n v="12"/>
    <n v="9"/>
    <s v="Tuesday"/>
    <x v="3"/>
    <x v="5"/>
    <x v="8"/>
    <s v="Idli Sambar"/>
    <x v="1"/>
    <n v="1"/>
    <n v="355"/>
    <n v="0"/>
    <n v="30"/>
    <n v="355"/>
    <n v="385"/>
    <x v="1"/>
    <x v="0"/>
    <x v="1"/>
    <n v="56"/>
    <n v="3.8"/>
  </r>
  <r>
    <x v="4695"/>
    <x v="342"/>
    <x v="11"/>
    <n v="12"/>
    <n v="9"/>
    <s v="Tuesday"/>
    <x v="3"/>
    <x v="2"/>
    <x v="6"/>
    <s v="Chicken Momos"/>
    <x v="2"/>
    <n v="1"/>
    <n v="256"/>
    <n v="25.6"/>
    <n v="70"/>
    <n v="256"/>
    <n v="300.39999999999998"/>
    <x v="2"/>
    <x v="0"/>
    <x v="1"/>
    <n v="34"/>
    <n v="4.9000000000000004"/>
  </r>
  <r>
    <x v="4696"/>
    <x v="342"/>
    <x v="11"/>
    <n v="12"/>
    <n v="9"/>
    <s v="Tuesday"/>
    <x v="9"/>
    <x v="5"/>
    <x v="5"/>
    <s v="Chocolate Cake"/>
    <x v="1"/>
    <n v="1"/>
    <n v="744"/>
    <n v="0"/>
    <n v="20"/>
    <n v="744"/>
    <n v="764"/>
    <x v="4"/>
    <x v="0"/>
    <x v="1"/>
    <n v="49"/>
    <n v="5"/>
  </r>
  <r>
    <x v="4697"/>
    <x v="342"/>
    <x v="11"/>
    <n v="12"/>
    <n v="9"/>
    <s v="Tuesday"/>
    <x v="6"/>
    <x v="10"/>
    <x v="0"/>
    <s v="Chocolate Cake"/>
    <x v="0"/>
    <n v="3"/>
    <n v="182"/>
    <n v="9.1"/>
    <n v="0"/>
    <n v="546"/>
    <n v="536.9"/>
    <x v="2"/>
    <x v="0"/>
    <x v="1"/>
    <n v="20"/>
    <n v="5"/>
  </r>
  <r>
    <x v="4698"/>
    <x v="342"/>
    <x v="11"/>
    <n v="12"/>
    <n v="9"/>
    <s v="Tuesday"/>
    <x v="0"/>
    <x v="5"/>
    <x v="3"/>
    <s v="Veg Burger"/>
    <x v="1"/>
    <n v="3"/>
    <n v="752"/>
    <n v="112.8"/>
    <n v="40"/>
    <n v="2256"/>
    <n v="2183.1999999999998"/>
    <x v="1"/>
    <x v="0"/>
    <x v="1"/>
    <n v="28"/>
    <n v="4.5"/>
  </r>
  <r>
    <x v="4699"/>
    <x v="342"/>
    <x v="11"/>
    <n v="12"/>
    <n v="9"/>
    <s v="Tuesday"/>
    <x v="5"/>
    <x v="6"/>
    <x v="8"/>
    <s v="Veg Momos"/>
    <x v="1"/>
    <n v="1"/>
    <n v="356"/>
    <n v="35.6"/>
    <n v="60"/>
    <n v="356"/>
    <n v="380.4"/>
    <x v="0"/>
    <x v="0"/>
    <x v="0"/>
    <n v="54"/>
    <n v="4.7"/>
  </r>
  <r>
    <x v="4700"/>
    <x v="343"/>
    <x v="11"/>
    <n v="12"/>
    <n v="10"/>
    <s v="Wednesday"/>
    <x v="6"/>
    <x v="3"/>
    <x v="0"/>
    <s v="French Fries"/>
    <x v="1"/>
    <n v="1"/>
    <n v="249"/>
    <n v="37.35"/>
    <n v="20"/>
    <n v="249"/>
    <n v="231.65"/>
    <x v="3"/>
    <x v="0"/>
    <x v="1"/>
    <n v="26"/>
    <n v="4.5999999999999996"/>
  </r>
  <r>
    <x v="4701"/>
    <x v="343"/>
    <x v="11"/>
    <n v="12"/>
    <n v="10"/>
    <s v="Wednesday"/>
    <x v="2"/>
    <x v="5"/>
    <x v="9"/>
    <s v="Veg Burger"/>
    <x v="1"/>
    <n v="3"/>
    <n v="170"/>
    <n v="25.5"/>
    <n v="50"/>
    <n v="510"/>
    <n v="534.5"/>
    <x v="1"/>
    <x v="0"/>
    <x v="1"/>
    <n v="38"/>
    <n v="4.0999999999999996"/>
  </r>
  <r>
    <x v="4702"/>
    <x v="343"/>
    <x v="11"/>
    <n v="12"/>
    <n v="10"/>
    <s v="Wednesday"/>
    <x v="0"/>
    <x v="13"/>
    <x v="8"/>
    <s v="Fried Rice"/>
    <x v="0"/>
    <n v="2"/>
    <n v="436"/>
    <n v="87.2"/>
    <n v="50"/>
    <n v="872"/>
    <n v="834.8"/>
    <x v="4"/>
    <x v="0"/>
    <x v="0"/>
    <n v="33"/>
    <n v="5"/>
  </r>
  <r>
    <x v="4703"/>
    <x v="343"/>
    <x v="11"/>
    <n v="12"/>
    <n v="10"/>
    <s v="Wednesday"/>
    <x v="6"/>
    <x v="10"/>
    <x v="3"/>
    <s v="Masala Dosa"/>
    <x v="1"/>
    <n v="2"/>
    <n v="807"/>
    <n v="201.75"/>
    <n v="70"/>
    <n v="1614"/>
    <n v="1482.25"/>
    <x v="0"/>
    <x v="0"/>
    <x v="1"/>
    <n v="28"/>
    <n v="4.9000000000000004"/>
  </r>
  <r>
    <x v="4704"/>
    <x v="343"/>
    <x v="11"/>
    <n v="12"/>
    <n v="10"/>
    <s v="Wednesday"/>
    <x v="9"/>
    <x v="10"/>
    <x v="1"/>
    <s v="Veg Pizza"/>
    <x v="1"/>
    <n v="1"/>
    <n v="604"/>
    <n v="30.2"/>
    <n v="0"/>
    <n v="604"/>
    <n v="573.79999999999995"/>
    <x v="0"/>
    <x v="0"/>
    <x v="0"/>
    <n v="43"/>
    <n v="4.3"/>
  </r>
  <r>
    <x v="4705"/>
    <x v="343"/>
    <x v="11"/>
    <n v="12"/>
    <n v="10"/>
    <s v="Wednesday"/>
    <x v="5"/>
    <x v="1"/>
    <x v="3"/>
    <s v="Veg Biryani"/>
    <x v="1"/>
    <n v="1"/>
    <n v="441"/>
    <n v="44.1"/>
    <n v="50"/>
    <n v="441"/>
    <n v="446.9"/>
    <x v="3"/>
    <x v="2"/>
    <x v="1"/>
    <n v="37"/>
    <m/>
  </r>
  <r>
    <x v="4706"/>
    <x v="343"/>
    <x v="11"/>
    <n v="12"/>
    <n v="10"/>
    <s v="Wednesday"/>
    <x v="5"/>
    <x v="10"/>
    <x v="7"/>
    <s v="Chicken Momos"/>
    <x v="1"/>
    <n v="1"/>
    <n v="445"/>
    <n v="22.25"/>
    <n v="20"/>
    <n v="445"/>
    <n v="442.75"/>
    <x v="4"/>
    <x v="0"/>
    <x v="1"/>
    <n v="47"/>
    <n v="4.4000000000000004"/>
  </r>
  <r>
    <x v="4707"/>
    <x v="343"/>
    <x v="11"/>
    <n v="12"/>
    <n v="10"/>
    <s v="Wednesday"/>
    <x v="4"/>
    <x v="10"/>
    <x v="4"/>
    <s v="Paneer Butter Masala"/>
    <x v="1"/>
    <n v="1"/>
    <n v="772"/>
    <n v="115.8"/>
    <n v="60"/>
    <n v="772"/>
    <n v="716.2"/>
    <x v="0"/>
    <x v="0"/>
    <x v="1"/>
    <n v="26"/>
    <n v="4.2"/>
  </r>
  <r>
    <x v="4708"/>
    <x v="343"/>
    <x v="11"/>
    <n v="12"/>
    <n v="10"/>
    <s v="Wednesday"/>
    <x v="3"/>
    <x v="12"/>
    <x v="1"/>
    <s v="Veg Burger"/>
    <x v="3"/>
    <n v="1"/>
    <n v="444"/>
    <n v="111"/>
    <n v="50"/>
    <n v="444"/>
    <n v="383"/>
    <x v="1"/>
    <x v="0"/>
    <x v="1"/>
    <n v="57"/>
    <n v="3.2"/>
  </r>
  <r>
    <x v="4709"/>
    <x v="343"/>
    <x v="11"/>
    <n v="12"/>
    <n v="10"/>
    <s v="Wednesday"/>
    <x v="1"/>
    <x v="10"/>
    <x v="0"/>
    <s v="Masala Dosa"/>
    <x v="2"/>
    <n v="1"/>
    <n v="884"/>
    <n v="88.4"/>
    <n v="40"/>
    <n v="884"/>
    <n v="835.6"/>
    <x v="0"/>
    <x v="0"/>
    <x v="1"/>
    <n v="34"/>
    <n v="3.7"/>
  </r>
  <r>
    <x v="4710"/>
    <x v="343"/>
    <x v="11"/>
    <n v="12"/>
    <n v="10"/>
    <s v="Wednesday"/>
    <x v="0"/>
    <x v="11"/>
    <x v="9"/>
    <s v="Veg Momos"/>
    <x v="1"/>
    <n v="1"/>
    <n v="349"/>
    <n v="52.35"/>
    <n v="50"/>
    <n v="349"/>
    <n v="346.65"/>
    <x v="4"/>
    <x v="0"/>
    <x v="1"/>
    <n v="67"/>
    <n v="5"/>
  </r>
  <r>
    <x v="4711"/>
    <x v="343"/>
    <x v="11"/>
    <n v="12"/>
    <n v="10"/>
    <s v="Wednesday"/>
    <x v="0"/>
    <x v="5"/>
    <x v="9"/>
    <s v="Veg Biryani"/>
    <x v="2"/>
    <n v="1"/>
    <n v="325"/>
    <n v="32.5"/>
    <n v="0"/>
    <n v="325"/>
    <n v="292.5"/>
    <x v="1"/>
    <x v="0"/>
    <x v="1"/>
    <n v="48"/>
    <n v="5"/>
  </r>
  <r>
    <x v="4712"/>
    <x v="343"/>
    <x v="11"/>
    <n v="12"/>
    <n v="10"/>
    <s v="Wednesday"/>
    <x v="5"/>
    <x v="11"/>
    <x v="1"/>
    <s v="Chicken Burger"/>
    <x v="1"/>
    <n v="1"/>
    <n v="371"/>
    <n v="92.75"/>
    <n v="40"/>
    <n v="371"/>
    <n v="318.25"/>
    <x v="4"/>
    <x v="0"/>
    <x v="1"/>
    <n v="37"/>
    <n v="3.2"/>
  </r>
  <r>
    <x v="4713"/>
    <x v="343"/>
    <x v="11"/>
    <n v="12"/>
    <n v="10"/>
    <s v="Wednesday"/>
    <x v="5"/>
    <x v="10"/>
    <x v="8"/>
    <s v="Veg Biryani"/>
    <x v="2"/>
    <n v="2"/>
    <n v="205"/>
    <n v="20.5"/>
    <n v="60"/>
    <n v="410"/>
    <n v="449.5"/>
    <x v="4"/>
    <x v="0"/>
    <x v="0"/>
    <n v="50"/>
    <n v="3.5"/>
  </r>
  <r>
    <x v="4714"/>
    <x v="343"/>
    <x v="11"/>
    <n v="12"/>
    <n v="10"/>
    <s v="Wednesday"/>
    <x v="8"/>
    <x v="6"/>
    <x v="3"/>
    <s v="Chicken Burger"/>
    <x v="2"/>
    <n v="1"/>
    <n v="186"/>
    <n v="18.600000000000001"/>
    <n v="0"/>
    <n v="186"/>
    <n v="167.4"/>
    <x v="4"/>
    <x v="0"/>
    <x v="1"/>
    <n v="28"/>
    <n v="2.4"/>
  </r>
  <r>
    <x v="4715"/>
    <x v="343"/>
    <x v="11"/>
    <n v="12"/>
    <n v="10"/>
    <s v="Wednesday"/>
    <x v="1"/>
    <x v="2"/>
    <x v="6"/>
    <s v="French Fries"/>
    <x v="1"/>
    <n v="1"/>
    <n v="712"/>
    <n v="71.2"/>
    <n v="30"/>
    <n v="712"/>
    <n v="670.8"/>
    <x v="1"/>
    <x v="0"/>
    <x v="0"/>
    <n v="48"/>
    <n v="4.3"/>
  </r>
  <r>
    <x v="4716"/>
    <x v="344"/>
    <x v="11"/>
    <n v="12"/>
    <n v="11"/>
    <s v="Thursday"/>
    <x v="4"/>
    <x v="11"/>
    <x v="5"/>
    <s v="Chicken Momos"/>
    <x v="1"/>
    <n v="1"/>
    <n v="279"/>
    <n v="41.85"/>
    <n v="20"/>
    <n v="279"/>
    <n v="257.14999999999998"/>
    <x v="2"/>
    <x v="0"/>
    <x v="1"/>
    <n v="45"/>
    <n v="2.9"/>
  </r>
  <r>
    <x v="4717"/>
    <x v="344"/>
    <x v="11"/>
    <n v="12"/>
    <n v="11"/>
    <s v="Thursday"/>
    <x v="1"/>
    <x v="0"/>
    <x v="2"/>
    <s v="Chocolate Cake"/>
    <x v="1"/>
    <n v="3"/>
    <n v="420"/>
    <n v="0"/>
    <n v="70"/>
    <n v="1260"/>
    <n v="1330"/>
    <x v="1"/>
    <x v="0"/>
    <x v="1"/>
    <n v="68"/>
    <n v="3.9"/>
  </r>
  <r>
    <x v="4718"/>
    <x v="344"/>
    <x v="11"/>
    <n v="12"/>
    <n v="11"/>
    <s v="Thursday"/>
    <x v="4"/>
    <x v="10"/>
    <x v="9"/>
    <s v="Chicken Biryani"/>
    <x v="1"/>
    <n v="2"/>
    <n v="826"/>
    <n v="41.3"/>
    <n v="20"/>
    <n v="1652"/>
    <n v="1630.7"/>
    <x v="0"/>
    <x v="0"/>
    <x v="0"/>
    <n v="34"/>
    <n v="3.7"/>
  </r>
  <r>
    <x v="4719"/>
    <x v="344"/>
    <x v="11"/>
    <n v="12"/>
    <n v="11"/>
    <s v="Thursday"/>
    <x v="1"/>
    <x v="12"/>
    <x v="2"/>
    <s v="Cold Coffee"/>
    <x v="1"/>
    <n v="1"/>
    <n v="648"/>
    <n v="32.4"/>
    <n v="40"/>
    <n v="648"/>
    <n v="655.6"/>
    <x v="4"/>
    <x v="0"/>
    <x v="1"/>
    <n v="37"/>
    <n v="3.9"/>
  </r>
  <r>
    <x v="4720"/>
    <x v="344"/>
    <x v="11"/>
    <n v="12"/>
    <n v="11"/>
    <s v="Thursday"/>
    <x v="5"/>
    <x v="6"/>
    <x v="5"/>
    <s v="Veg Biryani"/>
    <x v="1"/>
    <n v="1"/>
    <n v="232"/>
    <n v="34.799999999999997"/>
    <n v="50"/>
    <n v="232"/>
    <n v="247.2"/>
    <x v="3"/>
    <x v="0"/>
    <x v="0"/>
    <n v="23"/>
    <n v="3.6"/>
  </r>
  <r>
    <x v="4721"/>
    <x v="344"/>
    <x v="11"/>
    <n v="12"/>
    <n v="11"/>
    <s v="Thursday"/>
    <x v="8"/>
    <x v="6"/>
    <x v="7"/>
    <s v="Veg Biryani"/>
    <x v="1"/>
    <n v="3"/>
    <n v="575"/>
    <n v="57.5"/>
    <n v="0"/>
    <n v="1725"/>
    <n v="1667.5"/>
    <x v="1"/>
    <x v="1"/>
    <x v="0"/>
    <n v="43"/>
    <m/>
  </r>
  <r>
    <x v="4722"/>
    <x v="344"/>
    <x v="11"/>
    <n v="12"/>
    <n v="11"/>
    <s v="Thursday"/>
    <x v="2"/>
    <x v="3"/>
    <x v="4"/>
    <s v="Veg Burger"/>
    <x v="1"/>
    <n v="3"/>
    <n v="399"/>
    <n v="79.8"/>
    <n v="0"/>
    <n v="1197"/>
    <n v="1117.2"/>
    <x v="1"/>
    <x v="3"/>
    <x v="1"/>
    <n v="51"/>
    <m/>
  </r>
  <r>
    <x v="4723"/>
    <x v="344"/>
    <x v="11"/>
    <n v="12"/>
    <n v="11"/>
    <s v="Thursday"/>
    <x v="4"/>
    <x v="2"/>
    <x v="9"/>
    <s v="Idli Sambar"/>
    <x v="1"/>
    <n v="2"/>
    <n v="342"/>
    <n v="51.3"/>
    <n v="40"/>
    <n v="684"/>
    <n v="672.7"/>
    <x v="3"/>
    <x v="0"/>
    <x v="0"/>
    <n v="50"/>
    <n v="3.8"/>
  </r>
  <r>
    <x v="4724"/>
    <x v="344"/>
    <x v="11"/>
    <n v="12"/>
    <n v="11"/>
    <s v="Thursday"/>
    <x v="0"/>
    <x v="13"/>
    <x v="6"/>
    <s v="Chicken Pizza"/>
    <x v="1"/>
    <n v="1"/>
    <n v="705"/>
    <n v="141"/>
    <n v="30"/>
    <n v="705"/>
    <n v="594"/>
    <x v="0"/>
    <x v="0"/>
    <x v="0"/>
    <n v="25"/>
    <n v="4.5"/>
  </r>
  <r>
    <x v="4725"/>
    <x v="344"/>
    <x v="11"/>
    <n v="12"/>
    <n v="11"/>
    <s v="Thursday"/>
    <x v="7"/>
    <x v="2"/>
    <x v="4"/>
    <s v="Veg Biryani"/>
    <x v="0"/>
    <n v="1"/>
    <n v="747"/>
    <n v="0"/>
    <n v="30"/>
    <n v="747"/>
    <n v="777"/>
    <x v="2"/>
    <x v="2"/>
    <x v="1"/>
    <n v="48"/>
    <m/>
  </r>
  <r>
    <x v="4726"/>
    <x v="344"/>
    <x v="11"/>
    <n v="12"/>
    <n v="11"/>
    <s v="Thursday"/>
    <x v="2"/>
    <x v="2"/>
    <x v="1"/>
    <s v="Chicken Pizza"/>
    <x v="1"/>
    <n v="1"/>
    <n v="188"/>
    <n v="28.2"/>
    <n v="0"/>
    <n v="188"/>
    <n v="159.80000000000001"/>
    <x v="1"/>
    <x v="0"/>
    <x v="0"/>
    <n v="29"/>
    <n v="4.4000000000000004"/>
  </r>
  <r>
    <x v="4727"/>
    <x v="344"/>
    <x v="11"/>
    <n v="12"/>
    <n v="11"/>
    <s v="Thursday"/>
    <x v="9"/>
    <x v="12"/>
    <x v="6"/>
    <s v="French Fries"/>
    <x v="2"/>
    <n v="1"/>
    <n v="154"/>
    <n v="7.7"/>
    <n v="0"/>
    <n v="154"/>
    <n v="146.30000000000001"/>
    <x v="3"/>
    <x v="1"/>
    <x v="1"/>
    <n v="69"/>
    <m/>
  </r>
  <r>
    <x v="4728"/>
    <x v="344"/>
    <x v="11"/>
    <n v="12"/>
    <n v="11"/>
    <s v="Thursday"/>
    <x v="8"/>
    <x v="2"/>
    <x v="3"/>
    <s v="Cold Coffee"/>
    <x v="1"/>
    <n v="1"/>
    <n v="243"/>
    <n v="24.3"/>
    <n v="40"/>
    <n v="243"/>
    <n v="258.7"/>
    <x v="2"/>
    <x v="1"/>
    <x v="0"/>
    <n v="21"/>
    <m/>
  </r>
  <r>
    <x v="4729"/>
    <x v="345"/>
    <x v="11"/>
    <n v="12"/>
    <n v="12"/>
    <s v="Friday"/>
    <x v="9"/>
    <x v="6"/>
    <x v="7"/>
    <s v="Chocolate Cake"/>
    <x v="1"/>
    <n v="1"/>
    <n v="628"/>
    <n v="62.8"/>
    <n v="0"/>
    <n v="628"/>
    <n v="565.20000000000005"/>
    <x v="1"/>
    <x v="0"/>
    <x v="1"/>
    <n v="26"/>
    <n v="3.8"/>
  </r>
  <r>
    <x v="4730"/>
    <x v="345"/>
    <x v="11"/>
    <n v="12"/>
    <n v="12"/>
    <s v="Friday"/>
    <x v="2"/>
    <x v="13"/>
    <x v="5"/>
    <s v="Idli Sambar"/>
    <x v="1"/>
    <n v="2"/>
    <n v="735"/>
    <n v="36.75"/>
    <n v="40"/>
    <n v="1470"/>
    <n v="1473.25"/>
    <x v="0"/>
    <x v="0"/>
    <x v="1"/>
    <n v="18"/>
    <n v="3.8"/>
  </r>
  <r>
    <x v="4731"/>
    <x v="345"/>
    <x v="11"/>
    <n v="12"/>
    <n v="12"/>
    <s v="Friday"/>
    <x v="0"/>
    <x v="4"/>
    <x v="3"/>
    <s v="Masala Dosa"/>
    <x v="1"/>
    <n v="1"/>
    <n v="883"/>
    <n v="44.15"/>
    <n v="0"/>
    <n v="883"/>
    <n v="838.85"/>
    <x v="2"/>
    <x v="0"/>
    <x v="0"/>
    <n v="68"/>
    <n v="3.4"/>
  </r>
  <r>
    <x v="4732"/>
    <x v="345"/>
    <x v="11"/>
    <n v="12"/>
    <n v="12"/>
    <s v="Friday"/>
    <x v="4"/>
    <x v="12"/>
    <x v="8"/>
    <s v="Chicken Momos"/>
    <x v="1"/>
    <n v="1"/>
    <n v="457"/>
    <n v="22.85"/>
    <n v="60"/>
    <n v="457"/>
    <n v="494.15"/>
    <x v="0"/>
    <x v="0"/>
    <x v="1"/>
    <n v="25"/>
    <n v="3.4"/>
  </r>
  <r>
    <x v="4733"/>
    <x v="345"/>
    <x v="11"/>
    <n v="12"/>
    <n v="12"/>
    <s v="Friday"/>
    <x v="6"/>
    <x v="14"/>
    <x v="0"/>
    <s v="Chicken Burger"/>
    <x v="1"/>
    <n v="1"/>
    <n v="830"/>
    <n v="41.5"/>
    <n v="20"/>
    <n v="830"/>
    <n v="808.5"/>
    <x v="0"/>
    <x v="0"/>
    <x v="0"/>
    <n v="66"/>
    <n v="4.4000000000000004"/>
  </r>
  <r>
    <x v="4734"/>
    <x v="345"/>
    <x v="11"/>
    <n v="12"/>
    <n v="12"/>
    <s v="Friday"/>
    <x v="4"/>
    <x v="6"/>
    <x v="0"/>
    <s v="Masala Dosa"/>
    <x v="1"/>
    <n v="2"/>
    <n v="403"/>
    <n v="80.599999999999994"/>
    <n v="40"/>
    <n v="806"/>
    <n v="765.4"/>
    <x v="1"/>
    <x v="0"/>
    <x v="1"/>
    <n v="57"/>
    <n v="4.0999999999999996"/>
  </r>
  <r>
    <x v="4735"/>
    <x v="345"/>
    <x v="11"/>
    <n v="12"/>
    <n v="12"/>
    <s v="Friday"/>
    <x v="7"/>
    <x v="0"/>
    <x v="3"/>
    <s v="Idli Sambar"/>
    <x v="1"/>
    <n v="3"/>
    <n v="709"/>
    <n v="70.900000000000006"/>
    <n v="30"/>
    <n v="2127"/>
    <n v="2086.1"/>
    <x v="2"/>
    <x v="1"/>
    <x v="1"/>
    <n v="38"/>
    <m/>
  </r>
  <r>
    <x v="4736"/>
    <x v="345"/>
    <x v="11"/>
    <n v="12"/>
    <n v="12"/>
    <s v="Friday"/>
    <x v="9"/>
    <x v="12"/>
    <x v="9"/>
    <s v="Pasta"/>
    <x v="1"/>
    <n v="2"/>
    <n v="192"/>
    <n v="28.8"/>
    <n v="50"/>
    <n v="384"/>
    <n v="405.2"/>
    <x v="1"/>
    <x v="0"/>
    <x v="1"/>
    <n v="30"/>
    <n v="4.5999999999999996"/>
  </r>
  <r>
    <x v="4737"/>
    <x v="345"/>
    <x v="11"/>
    <n v="12"/>
    <n v="12"/>
    <s v="Friday"/>
    <x v="2"/>
    <x v="11"/>
    <x v="1"/>
    <s v="Paneer Butter Masala"/>
    <x v="1"/>
    <n v="3"/>
    <n v="782"/>
    <n v="117.3"/>
    <n v="50"/>
    <n v="2346"/>
    <n v="2278.6999999999998"/>
    <x v="4"/>
    <x v="0"/>
    <x v="0"/>
    <n v="67"/>
    <n v="3.8"/>
  </r>
  <r>
    <x v="4738"/>
    <x v="345"/>
    <x v="11"/>
    <n v="12"/>
    <n v="12"/>
    <s v="Friday"/>
    <x v="2"/>
    <x v="9"/>
    <x v="0"/>
    <s v="French Fries"/>
    <x v="2"/>
    <n v="2"/>
    <n v="701"/>
    <n v="35.049999999999997"/>
    <n v="50"/>
    <n v="1402"/>
    <n v="1416.95"/>
    <x v="3"/>
    <x v="0"/>
    <x v="1"/>
    <n v="32"/>
    <n v="3.9"/>
  </r>
  <r>
    <x v="4739"/>
    <x v="345"/>
    <x v="11"/>
    <n v="12"/>
    <n v="12"/>
    <s v="Friday"/>
    <x v="5"/>
    <x v="5"/>
    <x v="6"/>
    <s v="Veg Burger"/>
    <x v="2"/>
    <n v="1"/>
    <n v="351"/>
    <n v="0"/>
    <n v="0"/>
    <n v="351"/>
    <n v="351"/>
    <x v="3"/>
    <x v="1"/>
    <x v="0"/>
    <n v="20"/>
    <m/>
  </r>
  <r>
    <x v="4740"/>
    <x v="345"/>
    <x v="11"/>
    <n v="12"/>
    <n v="12"/>
    <s v="Friday"/>
    <x v="5"/>
    <x v="6"/>
    <x v="2"/>
    <s v="Veg Pizza"/>
    <x v="1"/>
    <n v="2"/>
    <n v="588"/>
    <n v="58.8"/>
    <n v="60"/>
    <n v="1176"/>
    <n v="1177.2"/>
    <x v="1"/>
    <x v="0"/>
    <x v="1"/>
    <n v="39"/>
    <n v="4.3"/>
  </r>
  <r>
    <x v="4741"/>
    <x v="345"/>
    <x v="11"/>
    <n v="12"/>
    <n v="12"/>
    <s v="Friday"/>
    <x v="9"/>
    <x v="5"/>
    <x v="9"/>
    <s v="Veg Biryani"/>
    <x v="1"/>
    <n v="2"/>
    <n v="352"/>
    <n v="0"/>
    <n v="50"/>
    <n v="704"/>
    <n v="754"/>
    <x v="1"/>
    <x v="0"/>
    <x v="0"/>
    <n v="58"/>
    <n v="3.8"/>
  </r>
  <r>
    <x v="4742"/>
    <x v="346"/>
    <x v="11"/>
    <n v="12"/>
    <n v="13"/>
    <s v="Saturday"/>
    <x v="5"/>
    <x v="5"/>
    <x v="7"/>
    <s v="Masala Dosa"/>
    <x v="1"/>
    <n v="1"/>
    <n v="664"/>
    <n v="132.80000000000001"/>
    <n v="30"/>
    <n v="664"/>
    <n v="561.20000000000005"/>
    <x v="1"/>
    <x v="2"/>
    <x v="1"/>
    <n v="58"/>
    <m/>
  </r>
  <r>
    <x v="4743"/>
    <x v="346"/>
    <x v="11"/>
    <n v="12"/>
    <n v="13"/>
    <s v="Saturday"/>
    <x v="1"/>
    <x v="14"/>
    <x v="6"/>
    <s v="Veg Momos"/>
    <x v="1"/>
    <n v="3"/>
    <n v="774"/>
    <n v="77.400000000000006"/>
    <n v="70"/>
    <n v="2322"/>
    <n v="2314.6"/>
    <x v="2"/>
    <x v="0"/>
    <x v="1"/>
    <n v="57"/>
    <n v="3.8"/>
  </r>
  <r>
    <x v="4744"/>
    <x v="346"/>
    <x v="11"/>
    <n v="12"/>
    <n v="13"/>
    <s v="Saturday"/>
    <x v="1"/>
    <x v="10"/>
    <x v="5"/>
    <s v="Idli Sambar"/>
    <x v="1"/>
    <n v="2"/>
    <n v="584"/>
    <n v="87.6"/>
    <n v="60"/>
    <n v="1168"/>
    <n v="1140.4000000000001"/>
    <x v="1"/>
    <x v="0"/>
    <x v="1"/>
    <n v="61"/>
    <n v="4.3"/>
  </r>
  <r>
    <x v="4745"/>
    <x v="346"/>
    <x v="11"/>
    <n v="12"/>
    <n v="13"/>
    <s v="Saturday"/>
    <x v="8"/>
    <x v="11"/>
    <x v="1"/>
    <s v="Veg Burger"/>
    <x v="1"/>
    <n v="2"/>
    <n v="170"/>
    <n v="17"/>
    <n v="30"/>
    <n v="340"/>
    <n v="353"/>
    <x v="1"/>
    <x v="0"/>
    <x v="0"/>
    <n v="49"/>
    <n v="5"/>
  </r>
  <r>
    <x v="4746"/>
    <x v="346"/>
    <x v="11"/>
    <n v="12"/>
    <n v="13"/>
    <s v="Saturday"/>
    <x v="4"/>
    <x v="3"/>
    <x v="3"/>
    <s v="Idli Sambar"/>
    <x v="1"/>
    <n v="1"/>
    <n v="346"/>
    <n v="86.5"/>
    <n v="60"/>
    <n v="346"/>
    <n v="319.5"/>
    <x v="3"/>
    <x v="1"/>
    <x v="0"/>
    <n v="40"/>
    <m/>
  </r>
  <r>
    <x v="4747"/>
    <x v="346"/>
    <x v="11"/>
    <n v="12"/>
    <n v="13"/>
    <s v="Saturday"/>
    <x v="9"/>
    <x v="0"/>
    <x v="7"/>
    <s v="Veg Burger"/>
    <x v="1"/>
    <n v="2"/>
    <n v="675"/>
    <n v="33.75"/>
    <n v="20"/>
    <n v="1350"/>
    <n v="1336.25"/>
    <x v="2"/>
    <x v="1"/>
    <x v="1"/>
    <n v="59"/>
    <m/>
  </r>
  <r>
    <x v="4748"/>
    <x v="346"/>
    <x v="11"/>
    <n v="12"/>
    <n v="13"/>
    <s v="Saturday"/>
    <x v="9"/>
    <x v="3"/>
    <x v="0"/>
    <s v="Chicken Pizza"/>
    <x v="1"/>
    <n v="1"/>
    <n v="816"/>
    <n v="122.4"/>
    <n v="40"/>
    <n v="816"/>
    <n v="733.6"/>
    <x v="3"/>
    <x v="0"/>
    <x v="1"/>
    <n v="28"/>
    <n v="2.2999999999999998"/>
  </r>
  <r>
    <x v="4749"/>
    <x v="346"/>
    <x v="11"/>
    <n v="12"/>
    <n v="13"/>
    <s v="Saturday"/>
    <x v="8"/>
    <x v="14"/>
    <x v="0"/>
    <s v="Veg Momos"/>
    <x v="1"/>
    <n v="2"/>
    <n v="412"/>
    <n v="41.2"/>
    <n v="50"/>
    <n v="824"/>
    <n v="832.8"/>
    <x v="2"/>
    <x v="0"/>
    <x v="1"/>
    <n v="45"/>
    <n v="3.5"/>
  </r>
  <r>
    <x v="4750"/>
    <x v="346"/>
    <x v="11"/>
    <n v="12"/>
    <n v="13"/>
    <s v="Saturday"/>
    <x v="3"/>
    <x v="10"/>
    <x v="2"/>
    <s v="Veg Pizza"/>
    <x v="1"/>
    <n v="1"/>
    <n v="889"/>
    <n v="88.9"/>
    <n v="40"/>
    <n v="889"/>
    <n v="840.1"/>
    <x v="1"/>
    <x v="0"/>
    <x v="1"/>
    <n v="37"/>
    <n v="4.2"/>
  </r>
  <r>
    <x v="4751"/>
    <x v="346"/>
    <x v="11"/>
    <n v="12"/>
    <n v="13"/>
    <s v="Saturday"/>
    <x v="4"/>
    <x v="8"/>
    <x v="6"/>
    <s v="Fried Rice"/>
    <x v="1"/>
    <n v="1"/>
    <n v="159"/>
    <n v="15.9"/>
    <n v="50"/>
    <n v="159"/>
    <n v="193.1"/>
    <x v="3"/>
    <x v="2"/>
    <x v="1"/>
    <n v="57"/>
    <m/>
  </r>
  <r>
    <x v="4752"/>
    <x v="346"/>
    <x v="11"/>
    <n v="12"/>
    <n v="13"/>
    <s v="Saturday"/>
    <x v="0"/>
    <x v="9"/>
    <x v="6"/>
    <s v="Veg Momos"/>
    <x v="1"/>
    <n v="1"/>
    <n v="881"/>
    <n v="0"/>
    <n v="50"/>
    <n v="881"/>
    <n v="931"/>
    <x v="1"/>
    <x v="0"/>
    <x v="1"/>
    <n v="36"/>
    <n v="4.2"/>
  </r>
  <r>
    <x v="4753"/>
    <x v="347"/>
    <x v="11"/>
    <n v="12"/>
    <n v="14"/>
    <s v="Sunday"/>
    <x v="0"/>
    <x v="4"/>
    <x v="0"/>
    <s v="Chocolate Cake"/>
    <x v="1"/>
    <n v="3"/>
    <n v="694"/>
    <n v="69.400000000000006"/>
    <n v="0"/>
    <n v="2082"/>
    <n v="2012.6"/>
    <x v="0"/>
    <x v="2"/>
    <x v="1"/>
    <n v="33"/>
    <m/>
  </r>
  <r>
    <x v="4754"/>
    <x v="347"/>
    <x v="11"/>
    <n v="12"/>
    <n v="14"/>
    <s v="Sunday"/>
    <x v="5"/>
    <x v="0"/>
    <x v="1"/>
    <s v="Masala Dosa"/>
    <x v="2"/>
    <n v="1"/>
    <n v="505"/>
    <n v="50.5"/>
    <n v="40"/>
    <n v="505"/>
    <n v="494.5"/>
    <x v="4"/>
    <x v="0"/>
    <x v="0"/>
    <n v="18"/>
    <n v="4.7"/>
  </r>
  <r>
    <x v="4755"/>
    <x v="347"/>
    <x v="11"/>
    <n v="12"/>
    <n v="14"/>
    <s v="Sunday"/>
    <x v="0"/>
    <x v="1"/>
    <x v="5"/>
    <s v="Pasta"/>
    <x v="1"/>
    <n v="1"/>
    <n v="467"/>
    <n v="93.4"/>
    <n v="50"/>
    <n v="467"/>
    <n v="423.6"/>
    <x v="4"/>
    <x v="3"/>
    <x v="0"/>
    <n v="37"/>
    <m/>
  </r>
  <r>
    <x v="4756"/>
    <x v="347"/>
    <x v="11"/>
    <n v="12"/>
    <n v="14"/>
    <s v="Sunday"/>
    <x v="3"/>
    <x v="13"/>
    <x v="6"/>
    <s v="Paneer Butter Masala"/>
    <x v="2"/>
    <n v="3"/>
    <n v="794"/>
    <n v="39.700000000000003"/>
    <n v="40"/>
    <n v="2382"/>
    <n v="2382.3000000000002"/>
    <x v="2"/>
    <x v="0"/>
    <x v="0"/>
    <n v="35"/>
    <n v="3.3"/>
  </r>
  <r>
    <x v="4757"/>
    <x v="347"/>
    <x v="11"/>
    <n v="12"/>
    <n v="14"/>
    <s v="Sunday"/>
    <x v="8"/>
    <x v="4"/>
    <x v="4"/>
    <s v="Chicken Pizza"/>
    <x v="1"/>
    <n v="1"/>
    <n v="470"/>
    <n v="0"/>
    <n v="40"/>
    <n v="470"/>
    <n v="510"/>
    <x v="4"/>
    <x v="0"/>
    <x v="0"/>
    <n v="31"/>
    <n v="3.3"/>
  </r>
  <r>
    <x v="4758"/>
    <x v="347"/>
    <x v="11"/>
    <n v="12"/>
    <n v="14"/>
    <s v="Sunday"/>
    <x v="2"/>
    <x v="6"/>
    <x v="9"/>
    <s v="Chocolate Cake"/>
    <x v="1"/>
    <n v="1"/>
    <n v="554"/>
    <n v="83.1"/>
    <n v="40"/>
    <n v="554"/>
    <n v="510.9"/>
    <x v="2"/>
    <x v="0"/>
    <x v="1"/>
    <n v="67"/>
    <n v="3.5"/>
  </r>
  <r>
    <x v="4759"/>
    <x v="347"/>
    <x v="11"/>
    <n v="12"/>
    <n v="14"/>
    <s v="Sunday"/>
    <x v="6"/>
    <x v="9"/>
    <x v="7"/>
    <s v="Chocolate Cake"/>
    <x v="1"/>
    <n v="3"/>
    <n v="863"/>
    <n v="86.3"/>
    <n v="50"/>
    <n v="2589"/>
    <n v="2552.6999999999998"/>
    <x v="1"/>
    <x v="0"/>
    <x v="1"/>
    <n v="64"/>
    <n v="3.5"/>
  </r>
  <r>
    <x v="4760"/>
    <x v="347"/>
    <x v="11"/>
    <n v="12"/>
    <n v="14"/>
    <s v="Sunday"/>
    <x v="4"/>
    <x v="13"/>
    <x v="2"/>
    <s v="Veg Burger"/>
    <x v="2"/>
    <n v="1"/>
    <n v="160"/>
    <n v="24"/>
    <n v="40"/>
    <n v="160"/>
    <n v="176"/>
    <x v="4"/>
    <x v="0"/>
    <x v="1"/>
    <n v="36"/>
    <n v="4.2"/>
  </r>
  <r>
    <x v="4761"/>
    <x v="347"/>
    <x v="11"/>
    <n v="12"/>
    <n v="14"/>
    <s v="Sunday"/>
    <x v="5"/>
    <x v="4"/>
    <x v="1"/>
    <s v="Chicken Pizza"/>
    <x v="1"/>
    <n v="1"/>
    <n v="499"/>
    <n v="74.849999999999994"/>
    <n v="50"/>
    <n v="499"/>
    <n v="474.15"/>
    <x v="2"/>
    <x v="0"/>
    <x v="1"/>
    <n v="19"/>
    <n v="3.1"/>
  </r>
  <r>
    <x v="4762"/>
    <x v="347"/>
    <x v="11"/>
    <n v="12"/>
    <n v="14"/>
    <s v="Sunday"/>
    <x v="1"/>
    <x v="14"/>
    <x v="9"/>
    <s v="Chicken Burger"/>
    <x v="1"/>
    <n v="1"/>
    <n v="497"/>
    <n v="74.55"/>
    <n v="70"/>
    <n v="497"/>
    <n v="492.45"/>
    <x v="0"/>
    <x v="0"/>
    <x v="1"/>
    <n v="56"/>
    <n v="3.6"/>
  </r>
  <r>
    <x v="4763"/>
    <x v="347"/>
    <x v="11"/>
    <n v="12"/>
    <n v="14"/>
    <s v="Sunday"/>
    <x v="3"/>
    <x v="9"/>
    <x v="1"/>
    <s v="Chicken Biryani"/>
    <x v="1"/>
    <n v="3"/>
    <n v="787"/>
    <n v="196.75"/>
    <n v="70"/>
    <n v="2361"/>
    <n v="2234.25"/>
    <x v="2"/>
    <x v="0"/>
    <x v="1"/>
    <n v="33"/>
    <n v="4.3"/>
  </r>
  <r>
    <x v="4764"/>
    <x v="348"/>
    <x v="11"/>
    <n v="12"/>
    <n v="15"/>
    <s v="Monday"/>
    <x v="3"/>
    <x v="12"/>
    <x v="2"/>
    <s v="Pasta"/>
    <x v="1"/>
    <n v="3"/>
    <n v="520"/>
    <n v="78"/>
    <n v="50"/>
    <n v="1560"/>
    <n v="1532"/>
    <x v="0"/>
    <x v="2"/>
    <x v="1"/>
    <n v="46"/>
    <m/>
  </r>
  <r>
    <x v="4765"/>
    <x v="348"/>
    <x v="11"/>
    <n v="12"/>
    <n v="15"/>
    <s v="Monday"/>
    <x v="5"/>
    <x v="8"/>
    <x v="4"/>
    <s v="Fried Rice"/>
    <x v="3"/>
    <n v="1"/>
    <n v="146"/>
    <n v="14.6"/>
    <n v="30"/>
    <n v="146"/>
    <n v="161.4"/>
    <x v="1"/>
    <x v="0"/>
    <x v="1"/>
    <n v="32"/>
    <n v="3.9"/>
  </r>
  <r>
    <x v="4766"/>
    <x v="348"/>
    <x v="11"/>
    <n v="12"/>
    <n v="15"/>
    <s v="Monday"/>
    <x v="3"/>
    <x v="10"/>
    <x v="4"/>
    <s v="Idli Sambar"/>
    <x v="2"/>
    <n v="2"/>
    <n v="800"/>
    <n v="120"/>
    <n v="40"/>
    <n v="1600"/>
    <n v="1520"/>
    <x v="2"/>
    <x v="0"/>
    <x v="0"/>
    <n v="69"/>
    <n v="2.8"/>
  </r>
  <r>
    <x v="4767"/>
    <x v="348"/>
    <x v="11"/>
    <n v="12"/>
    <n v="15"/>
    <s v="Monday"/>
    <x v="0"/>
    <x v="12"/>
    <x v="4"/>
    <s v="Pasta"/>
    <x v="1"/>
    <n v="1"/>
    <n v="442"/>
    <n v="110.5"/>
    <n v="50"/>
    <n v="442"/>
    <n v="381.5"/>
    <x v="1"/>
    <x v="0"/>
    <x v="0"/>
    <n v="69"/>
    <n v="4"/>
  </r>
  <r>
    <x v="4768"/>
    <x v="348"/>
    <x v="11"/>
    <n v="12"/>
    <n v="15"/>
    <s v="Monday"/>
    <x v="2"/>
    <x v="7"/>
    <x v="0"/>
    <s v="Veg Momos"/>
    <x v="1"/>
    <n v="1"/>
    <n v="186"/>
    <n v="37.200000000000003"/>
    <n v="40"/>
    <n v="186"/>
    <n v="188.8"/>
    <x v="3"/>
    <x v="0"/>
    <x v="0"/>
    <n v="34"/>
    <n v="4.2"/>
  </r>
  <r>
    <x v="4769"/>
    <x v="348"/>
    <x v="11"/>
    <n v="12"/>
    <n v="15"/>
    <s v="Monday"/>
    <x v="3"/>
    <x v="13"/>
    <x v="6"/>
    <s v="Veg Pizza"/>
    <x v="1"/>
    <n v="1"/>
    <n v="374"/>
    <n v="37.4"/>
    <n v="0"/>
    <n v="374"/>
    <n v="336.6"/>
    <x v="3"/>
    <x v="3"/>
    <x v="1"/>
    <n v="37"/>
    <m/>
  </r>
  <r>
    <x v="4770"/>
    <x v="348"/>
    <x v="11"/>
    <n v="12"/>
    <n v="15"/>
    <s v="Monday"/>
    <x v="5"/>
    <x v="1"/>
    <x v="2"/>
    <s v="Pasta"/>
    <x v="1"/>
    <n v="2"/>
    <n v="144"/>
    <n v="0"/>
    <n v="20"/>
    <n v="288"/>
    <n v="308"/>
    <x v="4"/>
    <x v="1"/>
    <x v="1"/>
    <n v="50"/>
    <m/>
  </r>
  <r>
    <x v="4771"/>
    <x v="348"/>
    <x v="11"/>
    <n v="12"/>
    <n v="15"/>
    <s v="Monday"/>
    <x v="2"/>
    <x v="6"/>
    <x v="8"/>
    <s v="Paneer Butter Masala"/>
    <x v="2"/>
    <n v="1"/>
    <n v="298"/>
    <n v="44.7"/>
    <n v="40"/>
    <n v="298"/>
    <n v="293.3"/>
    <x v="1"/>
    <x v="0"/>
    <x v="1"/>
    <n v="57"/>
    <n v="3.5"/>
  </r>
  <r>
    <x v="4772"/>
    <x v="348"/>
    <x v="11"/>
    <n v="12"/>
    <n v="15"/>
    <s v="Monday"/>
    <x v="3"/>
    <x v="12"/>
    <x v="6"/>
    <s v="Veg Biryani"/>
    <x v="1"/>
    <n v="1"/>
    <n v="251"/>
    <n v="25.1"/>
    <n v="40"/>
    <n v="251"/>
    <n v="265.89999999999998"/>
    <x v="0"/>
    <x v="0"/>
    <x v="1"/>
    <n v="64"/>
    <n v="5"/>
  </r>
  <r>
    <x v="4773"/>
    <x v="348"/>
    <x v="11"/>
    <n v="12"/>
    <n v="15"/>
    <s v="Monday"/>
    <x v="7"/>
    <x v="10"/>
    <x v="7"/>
    <s v="Chocolate Cake"/>
    <x v="1"/>
    <n v="1"/>
    <n v="700"/>
    <n v="70"/>
    <n v="20"/>
    <n v="700"/>
    <n v="650"/>
    <x v="0"/>
    <x v="2"/>
    <x v="1"/>
    <n v="40"/>
    <m/>
  </r>
  <r>
    <x v="4774"/>
    <x v="348"/>
    <x v="11"/>
    <n v="12"/>
    <n v="15"/>
    <s v="Monday"/>
    <x v="2"/>
    <x v="9"/>
    <x v="7"/>
    <s v="Chicken Momos"/>
    <x v="2"/>
    <n v="3"/>
    <n v="765"/>
    <n v="76.5"/>
    <n v="30"/>
    <n v="2295"/>
    <n v="2248.5"/>
    <x v="1"/>
    <x v="0"/>
    <x v="1"/>
    <n v="33"/>
    <n v="3.8"/>
  </r>
  <r>
    <x v="4775"/>
    <x v="348"/>
    <x v="11"/>
    <n v="12"/>
    <n v="15"/>
    <s v="Monday"/>
    <x v="9"/>
    <x v="6"/>
    <x v="1"/>
    <s v="Chicken Pizza"/>
    <x v="3"/>
    <n v="2"/>
    <n v="707"/>
    <n v="0"/>
    <n v="0"/>
    <n v="1414"/>
    <n v="1414"/>
    <x v="4"/>
    <x v="0"/>
    <x v="1"/>
    <n v="40"/>
    <n v="4.7"/>
  </r>
  <r>
    <x v="4776"/>
    <x v="348"/>
    <x v="11"/>
    <n v="12"/>
    <n v="15"/>
    <s v="Monday"/>
    <x v="5"/>
    <x v="1"/>
    <x v="3"/>
    <s v="Masala Dosa"/>
    <x v="3"/>
    <n v="1"/>
    <n v="761"/>
    <n v="0"/>
    <n v="30"/>
    <n v="761"/>
    <n v="791"/>
    <x v="2"/>
    <x v="0"/>
    <x v="1"/>
    <n v="64"/>
    <n v="4.5"/>
  </r>
  <r>
    <x v="4777"/>
    <x v="348"/>
    <x v="11"/>
    <n v="12"/>
    <n v="15"/>
    <s v="Monday"/>
    <x v="2"/>
    <x v="10"/>
    <x v="9"/>
    <s v="Paneer Butter Masala"/>
    <x v="1"/>
    <n v="1"/>
    <n v="541"/>
    <n v="81.150000000000006"/>
    <n v="50"/>
    <n v="541"/>
    <n v="509.85"/>
    <x v="2"/>
    <x v="0"/>
    <x v="0"/>
    <n v="30"/>
    <n v="5"/>
  </r>
  <r>
    <x v="4778"/>
    <x v="348"/>
    <x v="11"/>
    <n v="12"/>
    <n v="15"/>
    <s v="Monday"/>
    <x v="3"/>
    <x v="2"/>
    <x v="9"/>
    <s v="Chicken Pizza"/>
    <x v="1"/>
    <n v="2"/>
    <n v="159"/>
    <n v="0"/>
    <n v="30"/>
    <n v="318"/>
    <n v="348"/>
    <x v="1"/>
    <x v="0"/>
    <x v="0"/>
    <n v="44"/>
    <n v="4.5"/>
  </r>
  <r>
    <x v="4779"/>
    <x v="348"/>
    <x v="11"/>
    <n v="12"/>
    <n v="15"/>
    <s v="Monday"/>
    <x v="4"/>
    <x v="7"/>
    <x v="5"/>
    <s v="Chicken Momos"/>
    <x v="1"/>
    <n v="2"/>
    <n v="699"/>
    <n v="104.85"/>
    <n v="40"/>
    <n v="1398"/>
    <n v="1333.15"/>
    <x v="3"/>
    <x v="0"/>
    <x v="1"/>
    <n v="26"/>
    <n v="4"/>
  </r>
  <r>
    <x v="4780"/>
    <x v="348"/>
    <x v="11"/>
    <n v="12"/>
    <n v="15"/>
    <s v="Monday"/>
    <x v="1"/>
    <x v="5"/>
    <x v="1"/>
    <s v="Chocolate Cake"/>
    <x v="2"/>
    <n v="1"/>
    <n v="472"/>
    <n v="47.2"/>
    <n v="20"/>
    <n v="472"/>
    <n v="444.8"/>
    <x v="2"/>
    <x v="2"/>
    <x v="0"/>
    <n v="24"/>
    <m/>
  </r>
  <r>
    <x v="4781"/>
    <x v="349"/>
    <x v="11"/>
    <n v="12"/>
    <n v="16"/>
    <s v="Tuesday"/>
    <x v="3"/>
    <x v="4"/>
    <x v="6"/>
    <s v="Idli Sambar"/>
    <x v="2"/>
    <n v="2"/>
    <n v="314"/>
    <n v="15.7"/>
    <n v="70"/>
    <n v="628"/>
    <n v="682.3"/>
    <x v="1"/>
    <x v="0"/>
    <x v="0"/>
    <n v="27"/>
    <n v="4.7"/>
  </r>
  <r>
    <x v="4782"/>
    <x v="349"/>
    <x v="11"/>
    <n v="12"/>
    <n v="16"/>
    <s v="Tuesday"/>
    <x v="3"/>
    <x v="0"/>
    <x v="7"/>
    <s v="Chicken Pizza"/>
    <x v="1"/>
    <n v="1"/>
    <n v="627"/>
    <n v="31.35"/>
    <n v="0"/>
    <n v="627"/>
    <n v="595.65"/>
    <x v="1"/>
    <x v="3"/>
    <x v="0"/>
    <n v="64"/>
    <m/>
  </r>
  <r>
    <x v="4783"/>
    <x v="349"/>
    <x v="11"/>
    <n v="12"/>
    <n v="16"/>
    <s v="Tuesday"/>
    <x v="1"/>
    <x v="3"/>
    <x v="7"/>
    <s v="Paneer Butter Masala"/>
    <x v="1"/>
    <n v="1"/>
    <n v="460"/>
    <n v="69"/>
    <n v="40"/>
    <n v="460"/>
    <n v="431"/>
    <x v="3"/>
    <x v="0"/>
    <x v="1"/>
    <n v="51"/>
    <n v="3.9"/>
  </r>
  <r>
    <x v="4784"/>
    <x v="349"/>
    <x v="11"/>
    <n v="12"/>
    <n v="16"/>
    <s v="Tuesday"/>
    <x v="4"/>
    <x v="8"/>
    <x v="6"/>
    <s v="Masala Dosa"/>
    <x v="3"/>
    <n v="2"/>
    <n v="756"/>
    <n v="151.19999999999999"/>
    <n v="40"/>
    <n v="1512"/>
    <n v="1400.8"/>
    <x v="4"/>
    <x v="0"/>
    <x v="1"/>
    <n v="59"/>
    <n v="3.9"/>
  </r>
  <r>
    <x v="4785"/>
    <x v="349"/>
    <x v="11"/>
    <n v="12"/>
    <n v="16"/>
    <s v="Tuesday"/>
    <x v="2"/>
    <x v="3"/>
    <x v="1"/>
    <s v="Veg Momos"/>
    <x v="3"/>
    <n v="2"/>
    <n v="230"/>
    <n v="23"/>
    <n v="40"/>
    <n v="460"/>
    <n v="477"/>
    <x v="1"/>
    <x v="0"/>
    <x v="1"/>
    <n v="44"/>
    <n v="4.2"/>
  </r>
  <r>
    <x v="4786"/>
    <x v="349"/>
    <x v="11"/>
    <n v="12"/>
    <n v="16"/>
    <s v="Tuesday"/>
    <x v="4"/>
    <x v="13"/>
    <x v="9"/>
    <s v="Veg Pizza"/>
    <x v="1"/>
    <n v="1"/>
    <n v="243"/>
    <n v="36.450000000000003"/>
    <n v="50"/>
    <n v="243"/>
    <n v="256.55"/>
    <x v="1"/>
    <x v="0"/>
    <x v="1"/>
    <n v="27"/>
    <n v="3.4"/>
  </r>
  <r>
    <x v="4787"/>
    <x v="349"/>
    <x v="11"/>
    <n v="12"/>
    <n v="16"/>
    <s v="Tuesday"/>
    <x v="2"/>
    <x v="9"/>
    <x v="2"/>
    <s v="Chicken Burger"/>
    <x v="1"/>
    <n v="2"/>
    <n v="529"/>
    <n v="0"/>
    <n v="30"/>
    <n v="1058"/>
    <n v="1088"/>
    <x v="2"/>
    <x v="0"/>
    <x v="1"/>
    <n v="36"/>
    <n v="3.2"/>
  </r>
  <r>
    <x v="4788"/>
    <x v="349"/>
    <x v="11"/>
    <n v="12"/>
    <n v="16"/>
    <s v="Tuesday"/>
    <x v="0"/>
    <x v="10"/>
    <x v="7"/>
    <s v="Chicken Pizza"/>
    <x v="1"/>
    <n v="1"/>
    <n v="202"/>
    <n v="0"/>
    <n v="30"/>
    <n v="202"/>
    <n v="232"/>
    <x v="1"/>
    <x v="0"/>
    <x v="1"/>
    <n v="63"/>
    <n v="4.5999999999999996"/>
  </r>
  <r>
    <x v="4789"/>
    <x v="349"/>
    <x v="11"/>
    <n v="12"/>
    <n v="16"/>
    <s v="Tuesday"/>
    <x v="5"/>
    <x v="6"/>
    <x v="8"/>
    <s v="Veg Biryani"/>
    <x v="1"/>
    <n v="2"/>
    <n v="525"/>
    <n v="131.25"/>
    <n v="30"/>
    <n v="1050"/>
    <n v="948.75"/>
    <x v="0"/>
    <x v="0"/>
    <x v="1"/>
    <n v="45"/>
    <n v="4.2"/>
  </r>
  <r>
    <x v="4790"/>
    <x v="349"/>
    <x v="11"/>
    <n v="12"/>
    <n v="16"/>
    <s v="Tuesday"/>
    <x v="2"/>
    <x v="0"/>
    <x v="1"/>
    <s v="Veg Momos"/>
    <x v="1"/>
    <n v="2"/>
    <n v="306"/>
    <n v="45.9"/>
    <n v="0"/>
    <n v="612"/>
    <n v="566.1"/>
    <x v="2"/>
    <x v="0"/>
    <x v="1"/>
    <n v="63"/>
    <n v="4.8"/>
  </r>
  <r>
    <x v="4791"/>
    <x v="349"/>
    <x v="11"/>
    <n v="12"/>
    <n v="16"/>
    <s v="Tuesday"/>
    <x v="5"/>
    <x v="3"/>
    <x v="6"/>
    <s v="French Fries"/>
    <x v="1"/>
    <n v="2"/>
    <n v="501"/>
    <n v="50.1"/>
    <n v="30"/>
    <n v="1002"/>
    <n v="981.9"/>
    <x v="1"/>
    <x v="0"/>
    <x v="0"/>
    <n v="22"/>
    <n v="4"/>
  </r>
  <r>
    <x v="4792"/>
    <x v="349"/>
    <x v="11"/>
    <n v="12"/>
    <n v="16"/>
    <s v="Tuesday"/>
    <x v="3"/>
    <x v="0"/>
    <x v="0"/>
    <s v="Cold Coffee"/>
    <x v="1"/>
    <n v="3"/>
    <n v="795"/>
    <n v="79.5"/>
    <n v="50"/>
    <n v="2385"/>
    <n v="2355.5"/>
    <x v="1"/>
    <x v="0"/>
    <x v="1"/>
    <n v="36"/>
    <n v="3.4"/>
  </r>
  <r>
    <x v="4793"/>
    <x v="349"/>
    <x v="11"/>
    <n v="12"/>
    <n v="16"/>
    <s v="Tuesday"/>
    <x v="7"/>
    <x v="13"/>
    <x v="7"/>
    <s v="Veg Biryani"/>
    <x v="1"/>
    <n v="1"/>
    <n v="537"/>
    <n v="26.85"/>
    <n v="30"/>
    <n v="537"/>
    <n v="540.15"/>
    <x v="4"/>
    <x v="2"/>
    <x v="0"/>
    <n v="34"/>
    <m/>
  </r>
  <r>
    <x v="4794"/>
    <x v="350"/>
    <x v="11"/>
    <n v="12"/>
    <n v="17"/>
    <s v="Wednesday"/>
    <x v="7"/>
    <x v="8"/>
    <x v="9"/>
    <s v="Fried Rice"/>
    <x v="1"/>
    <n v="2"/>
    <n v="257"/>
    <n v="12.85"/>
    <n v="20"/>
    <n v="514"/>
    <n v="521.15"/>
    <x v="3"/>
    <x v="0"/>
    <x v="0"/>
    <n v="32"/>
    <n v="5"/>
  </r>
  <r>
    <x v="4795"/>
    <x v="350"/>
    <x v="11"/>
    <n v="12"/>
    <n v="17"/>
    <s v="Wednesday"/>
    <x v="5"/>
    <x v="9"/>
    <x v="6"/>
    <s v="Masala Dosa"/>
    <x v="0"/>
    <n v="3"/>
    <n v="837"/>
    <n v="0"/>
    <n v="20"/>
    <n v="2511"/>
    <n v="2531"/>
    <x v="0"/>
    <x v="0"/>
    <x v="1"/>
    <n v="69"/>
    <n v="4.8"/>
  </r>
  <r>
    <x v="4796"/>
    <x v="350"/>
    <x v="11"/>
    <n v="12"/>
    <n v="17"/>
    <s v="Wednesday"/>
    <x v="1"/>
    <x v="3"/>
    <x v="6"/>
    <s v="Chicken Pizza"/>
    <x v="2"/>
    <n v="1"/>
    <n v="615"/>
    <n v="61.5"/>
    <n v="40"/>
    <n v="615"/>
    <n v="593.5"/>
    <x v="0"/>
    <x v="0"/>
    <x v="1"/>
    <n v="56"/>
    <n v="3"/>
  </r>
  <r>
    <x v="4797"/>
    <x v="350"/>
    <x v="11"/>
    <n v="12"/>
    <n v="17"/>
    <s v="Wednesday"/>
    <x v="5"/>
    <x v="0"/>
    <x v="5"/>
    <s v="Masala Dosa"/>
    <x v="0"/>
    <n v="1"/>
    <n v="272"/>
    <n v="40.799999999999997"/>
    <n v="70"/>
    <n v="272"/>
    <n v="301.2"/>
    <x v="3"/>
    <x v="0"/>
    <x v="1"/>
    <n v="40"/>
    <n v="3.3"/>
  </r>
  <r>
    <x v="4798"/>
    <x v="350"/>
    <x v="11"/>
    <n v="12"/>
    <n v="17"/>
    <s v="Wednesday"/>
    <x v="4"/>
    <x v="9"/>
    <x v="2"/>
    <s v="Chicken Pizza"/>
    <x v="1"/>
    <n v="1"/>
    <n v="131"/>
    <n v="6.55"/>
    <n v="70"/>
    <n v="131"/>
    <n v="194.45"/>
    <x v="1"/>
    <x v="0"/>
    <x v="1"/>
    <n v="56"/>
    <n v="3.7"/>
  </r>
  <r>
    <x v="4799"/>
    <x v="350"/>
    <x v="11"/>
    <n v="12"/>
    <n v="17"/>
    <s v="Wednesday"/>
    <x v="4"/>
    <x v="10"/>
    <x v="3"/>
    <s v="Cold Coffee"/>
    <x v="2"/>
    <n v="1"/>
    <n v="644"/>
    <n v="96.6"/>
    <n v="30"/>
    <n v="644"/>
    <n v="577.4"/>
    <x v="4"/>
    <x v="0"/>
    <x v="1"/>
    <n v="19"/>
    <n v="3.4"/>
  </r>
  <r>
    <x v="4800"/>
    <x v="350"/>
    <x v="11"/>
    <n v="12"/>
    <n v="17"/>
    <s v="Wednesday"/>
    <x v="3"/>
    <x v="4"/>
    <x v="8"/>
    <s v="Pasta"/>
    <x v="0"/>
    <n v="1"/>
    <n v="775"/>
    <n v="116.25"/>
    <n v="40"/>
    <n v="775"/>
    <n v="698.75"/>
    <x v="3"/>
    <x v="2"/>
    <x v="1"/>
    <n v="48"/>
    <m/>
  </r>
  <r>
    <x v="4801"/>
    <x v="350"/>
    <x v="11"/>
    <n v="12"/>
    <n v="17"/>
    <s v="Wednesday"/>
    <x v="3"/>
    <x v="2"/>
    <x v="2"/>
    <s v="Paneer Butter Masala"/>
    <x v="1"/>
    <n v="3"/>
    <n v="223"/>
    <n v="33.450000000000003"/>
    <n v="60"/>
    <n v="669"/>
    <n v="695.55"/>
    <x v="1"/>
    <x v="0"/>
    <x v="1"/>
    <n v="65"/>
    <n v="4.3"/>
  </r>
  <r>
    <x v="4802"/>
    <x v="351"/>
    <x v="11"/>
    <n v="12"/>
    <n v="18"/>
    <s v="Thursday"/>
    <x v="4"/>
    <x v="14"/>
    <x v="9"/>
    <s v="Chicken Momos"/>
    <x v="1"/>
    <n v="2"/>
    <n v="133"/>
    <n v="19.95"/>
    <n v="30"/>
    <n v="266"/>
    <n v="276.05"/>
    <x v="3"/>
    <x v="0"/>
    <x v="0"/>
    <n v="65"/>
    <n v="4.3"/>
  </r>
  <r>
    <x v="4803"/>
    <x v="351"/>
    <x v="11"/>
    <n v="12"/>
    <n v="18"/>
    <s v="Thursday"/>
    <x v="0"/>
    <x v="9"/>
    <x v="4"/>
    <s v="Chicken Burger"/>
    <x v="1"/>
    <n v="1"/>
    <n v="329"/>
    <n v="0"/>
    <n v="30"/>
    <n v="329"/>
    <n v="359"/>
    <x v="2"/>
    <x v="2"/>
    <x v="1"/>
    <n v="37"/>
    <m/>
  </r>
  <r>
    <x v="4804"/>
    <x v="351"/>
    <x v="11"/>
    <n v="12"/>
    <n v="18"/>
    <s v="Thursday"/>
    <x v="2"/>
    <x v="5"/>
    <x v="6"/>
    <s v="Veg Biryani"/>
    <x v="1"/>
    <n v="1"/>
    <n v="166"/>
    <n v="33.200000000000003"/>
    <n v="0"/>
    <n v="166"/>
    <n v="132.80000000000001"/>
    <x v="0"/>
    <x v="0"/>
    <x v="1"/>
    <n v="61"/>
    <n v="4.5999999999999996"/>
  </r>
  <r>
    <x v="4805"/>
    <x v="351"/>
    <x v="11"/>
    <n v="12"/>
    <n v="18"/>
    <s v="Thursday"/>
    <x v="3"/>
    <x v="6"/>
    <x v="4"/>
    <s v="Fried Rice"/>
    <x v="1"/>
    <n v="2"/>
    <n v="742"/>
    <n v="148.4"/>
    <n v="20"/>
    <n v="1484"/>
    <n v="1355.6"/>
    <x v="3"/>
    <x v="0"/>
    <x v="1"/>
    <n v="67"/>
    <n v="4.2"/>
  </r>
  <r>
    <x v="4806"/>
    <x v="351"/>
    <x v="11"/>
    <n v="12"/>
    <n v="18"/>
    <s v="Thursday"/>
    <x v="3"/>
    <x v="6"/>
    <x v="5"/>
    <s v="Cold Coffee"/>
    <x v="1"/>
    <n v="1"/>
    <n v="872"/>
    <n v="87.2"/>
    <n v="0"/>
    <n v="872"/>
    <n v="784.8"/>
    <x v="2"/>
    <x v="0"/>
    <x v="0"/>
    <n v="61"/>
    <n v="4.0999999999999996"/>
  </r>
  <r>
    <x v="4807"/>
    <x v="351"/>
    <x v="11"/>
    <n v="12"/>
    <n v="18"/>
    <s v="Thursday"/>
    <x v="9"/>
    <x v="4"/>
    <x v="6"/>
    <s v="Veg Pizza"/>
    <x v="3"/>
    <n v="1"/>
    <n v="705"/>
    <n v="70.5"/>
    <n v="40"/>
    <n v="705"/>
    <n v="674.5"/>
    <x v="3"/>
    <x v="0"/>
    <x v="0"/>
    <n v="37"/>
    <n v="5"/>
  </r>
  <r>
    <x v="4808"/>
    <x v="351"/>
    <x v="11"/>
    <n v="12"/>
    <n v="18"/>
    <s v="Thursday"/>
    <x v="3"/>
    <x v="3"/>
    <x v="7"/>
    <s v="Paneer Butter Masala"/>
    <x v="1"/>
    <n v="2"/>
    <n v="884"/>
    <n v="132.6"/>
    <n v="30"/>
    <n v="1768"/>
    <n v="1665.4"/>
    <x v="1"/>
    <x v="0"/>
    <x v="0"/>
    <n v="65"/>
    <n v="4.0999999999999996"/>
  </r>
  <r>
    <x v="4809"/>
    <x v="351"/>
    <x v="11"/>
    <n v="12"/>
    <n v="18"/>
    <s v="Thursday"/>
    <x v="5"/>
    <x v="9"/>
    <x v="7"/>
    <s v="Veg Pizza"/>
    <x v="2"/>
    <n v="2"/>
    <n v="423"/>
    <n v="42.3"/>
    <n v="0"/>
    <n v="846"/>
    <n v="803.7"/>
    <x v="3"/>
    <x v="3"/>
    <x v="0"/>
    <n v="62"/>
    <m/>
  </r>
  <r>
    <x v="4810"/>
    <x v="351"/>
    <x v="11"/>
    <n v="12"/>
    <n v="18"/>
    <s v="Thursday"/>
    <x v="3"/>
    <x v="5"/>
    <x v="6"/>
    <s v="French Fries"/>
    <x v="1"/>
    <n v="3"/>
    <n v="180"/>
    <n v="9"/>
    <n v="30"/>
    <n v="540"/>
    <n v="561"/>
    <x v="1"/>
    <x v="0"/>
    <x v="0"/>
    <n v="44"/>
    <n v="4.5"/>
  </r>
  <r>
    <x v="4811"/>
    <x v="351"/>
    <x v="11"/>
    <n v="12"/>
    <n v="18"/>
    <s v="Thursday"/>
    <x v="0"/>
    <x v="11"/>
    <x v="1"/>
    <s v="Chicken Burger"/>
    <x v="1"/>
    <n v="1"/>
    <n v="444"/>
    <n v="0"/>
    <n v="50"/>
    <n v="444"/>
    <n v="494"/>
    <x v="0"/>
    <x v="0"/>
    <x v="0"/>
    <n v="44"/>
    <n v="3.9"/>
  </r>
  <r>
    <x v="4812"/>
    <x v="351"/>
    <x v="11"/>
    <n v="12"/>
    <n v="18"/>
    <s v="Thursday"/>
    <x v="2"/>
    <x v="12"/>
    <x v="0"/>
    <s v="Pasta"/>
    <x v="1"/>
    <n v="1"/>
    <n v="707"/>
    <n v="0"/>
    <n v="40"/>
    <n v="707"/>
    <n v="747"/>
    <x v="1"/>
    <x v="0"/>
    <x v="1"/>
    <n v="41"/>
    <n v="4.5"/>
  </r>
  <r>
    <x v="4813"/>
    <x v="351"/>
    <x v="11"/>
    <n v="12"/>
    <n v="18"/>
    <s v="Thursday"/>
    <x v="6"/>
    <x v="7"/>
    <x v="6"/>
    <s v="Chicken Biryani"/>
    <x v="1"/>
    <n v="2"/>
    <n v="774"/>
    <n v="154.80000000000001"/>
    <n v="20"/>
    <n v="1548"/>
    <n v="1413.2"/>
    <x v="3"/>
    <x v="0"/>
    <x v="1"/>
    <n v="62"/>
    <n v="3.6"/>
  </r>
  <r>
    <x v="4814"/>
    <x v="351"/>
    <x v="11"/>
    <n v="12"/>
    <n v="18"/>
    <s v="Thursday"/>
    <x v="6"/>
    <x v="8"/>
    <x v="0"/>
    <s v="French Fries"/>
    <x v="1"/>
    <n v="1"/>
    <n v="377"/>
    <n v="18.850000000000001"/>
    <n v="20"/>
    <n v="377"/>
    <n v="378.15"/>
    <x v="1"/>
    <x v="0"/>
    <x v="1"/>
    <n v="48"/>
    <n v="2.9"/>
  </r>
  <r>
    <x v="4815"/>
    <x v="352"/>
    <x v="11"/>
    <n v="12"/>
    <n v="19"/>
    <s v="Friday"/>
    <x v="1"/>
    <x v="12"/>
    <x v="5"/>
    <s v="Chocolate Cake"/>
    <x v="1"/>
    <n v="2"/>
    <n v="620"/>
    <n v="155"/>
    <n v="50"/>
    <n v="1240"/>
    <n v="1135"/>
    <x v="0"/>
    <x v="2"/>
    <x v="0"/>
    <n v="64"/>
    <m/>
  </r>
  <r>
    <x v="4816"/>
    <x v="352"/>
    <x v="11"/>
    <n v="12"/>
    <n v="19"/>
    <s v="Friday"/>
    <x v="1"/>
    <x v="1"/>
    <x v="5"/>
    <s v="Chocolate Cake"/>
    <x v="2"/>
    <n v="2"/>
    <n v="401"/>
    <n v="80.2"/>
    <n v="40"/>
    <n v="802"/>
    <n v="761.8"/>
    <x v="1"/>
    <x v="1"/>
    <x v="0"/>
    <n v="45"/>
    <m/>
  </r>
  <r>
    <x v="4817"/>
    <x v="352"/>
    <x v="11"/>
    <n v="12"/>
    <n v="19"/>
    <s v="Friday"/>
    <x v="9"/>
    <x v="5"/>
    <x v="8"/>
    <s v="French Fries"/>
    <x v="2"/>
    <n v="1"/>
    <n v="672"/>
    <n v="33.6"/>
    <n v="50"/>
    <n v="672"/>
    <n v="688.4"/>
    <x v="1"/>
    <x v="0"/>
    <x v="0"/>
    <n v="58"/>
    <n v="4.7"/>
  </r>
  <r>
    <x v="4818"/>
    <x v="352"/>
    <x v="11"/>
    <n v="12"/>
    <n v="19"/>
    <s v="Friday"/>
    <x v="3"/>
    <x v="11"/>
    <x v="8"/>
    <s v="Pasta"/>
    <x v="1"/>
    <n v="1"/>
    <n v="543"/>
    <n v="54.3"/>
    <n v="30"/>
    <n v="543"/>
    <n v="518.70000000000005"/>
    <x v="2"/>
    <x v="0"/>
    <x v="0"/>
    <n v="53"/>
    <n v="4.4000000000000004"/>
  </r>
  <r>
    <x v="4819"/>
    <x v="352"/>
    <x v="11"/>
    <n v="12"/>
    <n v="19"/>
    <s v="Friday"/>
    <x v="0"/>
    <x v="12"/>
    <x v="0"/>
    <s v="Masala Dosa"/>
    <x v="1"/>
    <n v="2"/>
    <n v="289"/>
    <n v="28.9"/>
    <n v="0"/>
    <n v="578"/>
    <n v="549.1"/>
    <x v="1"/>
    <x v="0"/>
    <x v="1"/>
    <n v="44"/>
    <n v="3.2"/>
  </r>
  <r>
    <x v="4820"/>
    <x v="352"/>
    <x v="11"/>
    <n v="12"/>
    <n v="19"/>
    <s v="Friday"/>
    <x v="5"/>
    <x v="8"/>
    <x v="7"/>
    <s v="Veg Momos"/>
    <x v="2"/>
    <n v="1"/>
    <n v="403"/>
    <n v="80.599999999999994"/>
    <n v="30"/>
    <n v="403"/>
    <n v="352.4"/>
    <x v="4"/>
    <x v="3"/>
    <x v="0"/>
    <n v="22"/>
    <m/>
  </r>
  <r>
    <x v="4821"/>
    <x v="352"/>
    <x v="11"/>
    <n v="12"/>
    <n v="19"/>
    <s v="Friday"/>
    <x v="1"/>
    <x v="4"/>
    <x v="5"/>
    <s v="Fried Rice"/>
    <x v="2"/>
    <n v="3"/>
    <n v="814"/>
    <n v="162.80000000000001"/>
    <n v="40"/>
    <n v="2442"/>
    <n v="2319.1999999999998"/>
    <x v="3"/>
    <x v="0"/>
    <x v="1"/>
    <n v="40"/>
    <n v="5"/>
  </r>
  <r>
    <x v="4822"/>
    <x v="352"/>
    <x v="11"/>
    <n v="12"/>
    <n v="19"/>
    <s v="Friday"/>
    <x v="3"/>
    <x v="10"/>
    <x v="3"/>
    <s v="Veg Burger"/>
    <x v="2"/>
    <n v="1"/>
    <n v="326"/>
    <n v="0"/>
    <n v="50"/>
    <n v="326"/>
    <n v="376"/>
    <x v="4"/>
    <x v="3"/>
    <x v="1"/>
    <n v="45"/>
    <m/>
  </r>
  <r>
    <x v="4823"/>
    <x v="352"/>
    <x v="11"/>
    <n v="12"/>
    <n v="19"/>
    <s v="Friday"/>
    <x v="4"/>
    <x v="10"/>
    <x v="9"/>
    <s v="Chicken Biryani"/>
    <x v="1"/>
    <n v="3"/>
    <n v="288"/>
    <n v="43.2"/>
    <n v="20"/>
    <n v="864"/>
    <n v="840.8"/>
    <x v="3"/>
    <x v="0"/>
    <x v="1"/>
    <n v="61"/>
    <n v="4.8"/>
  </r>
  <r>
    <x v="4824"/>
    <x v="352"/>
    <x v="11"/>
    <n v="12"/>
    <n v="19"/>
    <s v="Friday"/>
    <x v="8"/>
    <x v="12"/>
    <x v="1"/>
    <s v="Chicken Momos"/>
    <x v="1"/>
    <n v="1"/>
    <n v="713"/>
    <n v="35.65"/>
    <n v="30"/>
    <n v="713"/>
    <n v="707.35"/>
    <x v="4"/>
    <x v="0"/>
    <x v="0"/>
    <n v="24"/>
    <n v="4.9000000000000004"/>
  </r>
  <r>
    <x v="4825"/>
    <x v="352"/>
    <x v="11"/>
    <n v="12"/>
    <n v="19"/>
    <s v="Friday"/>
    <x v="1"/>
    <x v="8"/>
    <x v="9"/>
    <s v="Chicken Momos"/>
    <x v="1"/>
    <n v="2"/>
    <n v="376"/>
    <n v="18.8"/>
    <n v="0"/>
    <n v="752"/>
    <n v="733.2"/>
    <x v="4"/>
    <x v="0"/>
    <x v="1"/>
    <n v="46"/>
    <n v="4.7"/>
  </r>
  <r>
    <x v="4826"/>
    <x v="353"/>
    <x v="11"/>
    <n v="12"/>
    <n v="20"/>
    <s v="Saturday"/>
    <x v="5"/>
    <x v="6"/>
    <x v="0"/>
    <s v="Chicken Biryani"/>
    <x v="2"/>
    <n v="2"/>
    <n v="358"/>
    <n v="89.5"/>
    <n v="30"/>
    <n v="716"/>
    <n v="656.5"/>
    <x v="2"/>
    <x v="0"/>
    <x v="1"/>
    <n v="53"/>
    <n v="4.2"/>
  </r>
  <r>
    <x v="4827"/>
    <x v="353"/>
    <x v="11"/>
    <n v="12"/>
    <n v="20"/>
    <s v="Saturday"/>
    <x v="5"/>
    <x v="4"/>
    <x v="9"/>
    <s v="Cold Coffee"/>
    <x v="2"/>
    <n v="1"/>
    <n v="282"/>
    <n v="0"/>
    <n v="40"/>
    <n v="282"/>
    <n v="322"/>
    <x v="4"/>
    <x v="0"/>
    <x v="1"/>
    <n v="32"/>
    <n v="4.3"/>
  </r>
  <r>
    <x v="4828"/>
    <x v="353"/>
    <x v="11"/>
    <n v="12"/>
    <n v="20"/>
    <s v="Saturday"/>
    <x v="2"/>
    <x v="6"/>
    <x v="1"/>
    <s v="Veg Momos"/>
    <x v="1"/>
    <n v="1"/>
    <n v="650"/>
    <n v="65"/>
    <n v="30"/>
    <n v="650"/>
    <n v="615"/>
    <x v="1"/>
    <x v="0"/>
    <x v="1"/>
    <n v="66"/>
    <n v="4.4000000000000004"/>
  </r>
  <r>
    <x v="4829"/>
    <x v="353"/>
    <x v="11"/>
    <n v="12"/>
    <n v="20"/>
    <s v="Saturday"/>
    <x v="5"/>
    <x v="10"/>
    <x v="7"/>
    <s v="Cold Coffee"/>
    <x v="0"/>
    <n v="1"/>
    <n v="418"/>
    <n v="104.5"/>
    <n v="40"/>
    <n v="418"/>
    <n v="353.5"/>
    <x v="1"/>
    <x v="0"/>
    <x v="0"/>
    <n v="51"/>
    <n v="4.2"/>
  </r>
  <r>
    <x v="4830"/>
    <x v="353"/>
    <x v="11"/>
    <n v="12"/>
    <n v="20"/>
    <s v="Saturday"/>
    <x v="5"/>
    <x v="14"/>
    <x v="6"/>
    <s v="Veg Pizza"/>
    <x v="1"/>
    <n v="3"/>
    <n v="837"/>
    <n v="125.55"/>
    <n v="30"/>
    <n v="2511"/>
    <n v="2415.4499999999998"/>
    <x v="3"/>
    <x v="0"/>
    <x v="0"/>
    <n v="41"/>
    <n v="3.9"/>
  </r>
  <r>
    <x v="4831"/>
    <x v="353"/>
    <x v="11"/>
    <n v="12"/>
    <n v="20"/>
    <s v="Saturday"/>
    <x v="0"/>
    <x v="5"/>
    <x v="0"/>
    <s v="French Fries"/>
    <x v="2"/>
    <n v="1"/>
    <n v="326"/>
    <n v="0"/>
    <n v="70"/>
    <n v="326"/>
    <n v="396"/>
    <x v="3"/>
    <x v="1"/>
    <x v="1"/>
    <n v="42"/>
    <m/>
  </r>
  <r>
    <x v="4832"/>
    <x v="353"/>
    <x v="11"/>
    <n v="12"/>
    <n v="20"/>
    <s v="Saturday"/>
    <x v="3"/>
    <x v="8"/>
    <x v="8"/>
    <s v="Veg Burger"/>
    <x v="1"/>
    <n v="1"/>
    <n v="169"/>
    <n v="25.35"/>
    <n v="50"/>
    <n v="169"/>
    <n v="193.65"/>
    <x v="1"/>
    <x v="0"/>
    <x v="1"/>
    <n v="37"/>
    <n v="3.4"/>
  </r>
  <r>
    <x v="4833"/>
    <x v="353"/>
    <x v="11"/>
    <n v="12"/>
    <n v="20"/>
    <s v="Saturday"/>
    <x v="9"/>
    <x v="5"/>
    <x v="7"/>
    <s v="Masala Dosa"/>
    <x v="2"/>
    <n v="1"/>
    <n v="593"/>
    <n v="59.3"/>
    <n v="30"/>
    <n v="593"/>
    <n v="563.70000000000005"/>
    <x v="1"/>
    <x v="0"/>
    <x v="1"/>
    <n v="49"/>
    <n v="5"/>
  </r>
  <r>
    <x v="4834"/>
    <x v="353"/>
    <x v="11"/>
    <n v="12"/>
    <n v="20"/>
    <s v="Saturday"/>
    <x v="1"/>
    <x v="4"/>
    <x v="8"/>
    <s v="Veg Biryani"/>
    <x v="1"/>
    <n v="1"/>
    <n v="786"/>
    <n v="78.599999999999994"/>
    <n v="20"/>
    <n v="786"/>
    <n v="727.4"/>
    <x v="4"/>
    <x v="0"/>
    <x v="0"/>
    <n v="32"/>
    <n v="4.7"/>
  </r>
  <r>
    <x v="4835"/>
    <x v="353"/>
    <x v="11"/>
    <n v="12"/>
    <n v="20"/>
    <s v="Saturday"/>
    <x v="2"/>
    <x v="7"/>
    <x v="9"/>
    <s v="Chicken Momos"/>
    <x v="1"/>
    <n v="2"/>
    <n v="683"/>
    <n v="170.75"/>
    <n v="20"/>
    <n v="1366"/>
    <n v="1215.25"/>
    <x v="1"/>
    <x v="0"/>
    <x v="1"/>
    <n v="64"/>
    <n v="4.9000000000000004"/>
  </r>
  <r>
    <x v="4836"/>
    <x v="353"/>
    <x v="11"/>
    <n v="12"/>
    <n v="20"/>
    <s v="Saturday"/>
    <x v="6"/>
    <x v="12"/>
    <x v="0"/>
    <s v="Chicken Pizza"/>
    <x v="3"/>
    <n v="2"/>
    <n v="827"/>
    <n v="124.05"/>
    <n v="30"/>
    <n v="1654"/>
    <n v="1559.95"/>
    <x v="1"/>
    <x v="0"/>
    <x v="1"/>
    <n v="43"/>
    <n v="3.6"/>
  </r>
  <r>
    <x v="4837"/>
    <x v="353"/>
    <x v="11"/>
    <n v="12"/>
    <n v="20"/>
    <s v="Saturday"/>
    <x v="1"/>
    <x v="6"/>
    <x v="1"/>
    <s v="Veg Momos"/>
    <x v="1"/>
    <n v="3"/>
    <n v="564"/>
    <n v="84.6"/>
    <n v="40"/>
    <n v="1692"/>
    <n v="1647.4"/>
    <x v="0"/>
    <x v="0"/>
    <x v="1"/>
    <n v="69"/>
    <n v="4.3"/>
  </r>
  <r>
    <x v="4838"/>
    <x v="353"/>
    <x v="11"/>
    <n v="12"/>
    <n v="20"/>
    <s v="Saturday"/>
    <x v="9"/>
    <x v="4"/>
    <x v="6"/>
    <s v="Veg Pizza"/>
    <x v="1"/>
    <n v="2"/>
    <n v="509"/>
    <n v="50.9"/>
    <n v="40"/>
    <n v="1018"/>
    <n v="1007.1"/>
    <x v="2"/>
    <x v="0"/>
    <x v="0"/>
    <n v="57"/>
    <n v="5"/>
  </r>
  <r>
    <x v="4839"/>
    <x v="353"/>
    <x v="11"/>
    <n v="12"/>
    <n v="20"/>
    <s v="Saturday"/>
    <x v="3"/>
    <x v="1"/>
    <x v="2"/>
    <s v="Pasta"/>
    <x v="1"/>
    <n v="1"/>
    <n v="261"/>
    <n v="52.2"/>
    <n v="20"/>
    <n v="261"/>
    <n v="228.8"/>
    <x v="1"/>
    <x v="0"/>
    <x v="1"/>
    <n v="22"/>
    <n v="2.8"/>
  </r>
  <r>
    <x v="4840"/>
    <x v="353"/>
    <x v="11"/>
    <n v="12"/>
    <n v="20"/>
    <s v="Saturday"/>
    <x v="6"/>
    <x v="12"/>
    <x v="1"/>
    <s v="Paneer Butter Masala"/>
    <x v="0"/>
    <n v="3"/>
    <n v="859"/>
    <n v="128.85"/>
    <n v="50"/>
    <n v="2577"/>
    <n v="2498.15"/>
    <x v="1"/>
    <x v="3"/>
    <x v="0"/>
    <n v="61"/>
    <m/>
  </r>
  <r>
    <x v="4841"/>
    <x v="353"/>
    <x v="11"/>
    <n v="12"/>
    <n v="20"/>
    <s v="Saturday"/>
    <x v="8"/>
    <x v="4"/>
    <x v="5"/>
    <s v="Veg Burger"/>
    <x v="1"/>
    <n v="2"/>
    <n v="636"/>
    <n v="127.2"/>
    <n v="0"/>
    <n v="1272"/>
    <n v="1144.8"/>
    <x v="3"/>
    <x v="0"/>
    <x v="1"/>
    <n v="63"/>
    <n v="3.7"/>
  </r>
  <r>
    <x v="4842"/>
    <x v="353"/>
    <x v="11"/>
    <n v="12"/>
    <n v="20"/>
    <s v="Saturday"/>
    <x v="1"/>
    <x v="11"/>
    <x v="5"/>
    <s v="Veg Burger"/>
    <x v="1"/>
    <n v="1"/>
    <n v="191"/>
    <n v="0"/>
    <n v="60"/>
    <n v="191"/>
    <n v="251"/>
    <x v="1"/>
    <x v="1"/>
    <x v="1"/>
    <n v="66"/>
    <m/>
  </r>
  <r>
    <x v="4843"/>
    <x v="353"/>
    <x v="11"/>
    <n v="12"/>
    <n v="20"/>
    <s v="Saturday"/>
    <x v="9"/>
    <x v="4"/>
    <x v="7"/>
    <s v="Fried Rice"/>
    <x v="1"/>
    <n v="2"/>
    <n v="345"/>
    <n v="69"/>
    <n v="50"/>
    <n v="690"/>
    <n v="671"/>
    <x v="1"/>
    <x v="3"/>
    <x v="0"/>
    <n v="60"/>
    <m/>
  </r>
  <r>
    <x v="4844"/>
    <x v="354"/>
    <x v="11"/>
    <n v="12"/>
    <n v="21"/>
    <s v="Sunday"/>
    <x v="4"/>
    <x v="12"/>
    <x v="0"/>
    <s v="Masala Dosa"/>
    <x v="0"/>
    <n v="1"/>
    <n v="470"/>
    <n v="117.5"/>
    <n v="40"/>
    <n v="470"/>
    <n v="392.5"/>
    <x v="2"/>
    <x v="0"/>
    <x v="1"/>
    <n v="45"/>
    <n v="5"/>
  </r>
  <r>
    <x v="4845"/>
    <x v="354"/>
    <x v="11"/>
    <n v="12"/>
    <n v="21"/>
    <s v="Sunday"/>
    <x v="7"/>
    <x v="10"/>
    <x v="6"/>
    <s v="Chocolate Cake"/>
    <x v="1"/>
    <n v="3"/>
    <n v="756"/>
    <n v="113.4"/>
    <n v="40"/>
    <n v="2268"/>
    <n v="2194.6"/>
    <x v="0"/>
    <x v="0"/>
    <x v="0"/>
    <n v="22"/>
    <n v="5"/>
  </r>
  <r>
    <x v="4846"/>
    <x v="354"/>
    <x v="11"/>
    <n v="12"/>
    <n v="21"/>
    <s v="Sunday"/>
    <x v="5"/>
    <x v="10"/>
    <x v="9"/>
    <s v="Chicken Pizza"/>
    <x v="1"/>
    <n v="1"/>
    <n v="888"/>
    <n v="44.4"/>
    <n v="20"/>
    <n v="888"/>
    <n v="863.6"/>
    <x v="0"/>
    <x v="0"/>
    <x v="1"/>
    <n v="60"/>
    <n v="4"/>
  </r>
  <r>
    <x v="4847"/>
    <x v="354"/>
    <x v="11"/>
    <n v="12"/>
    <n v="21"/>
    <s v="Sunday"/>
    <x v="4"/>
    <x v="7"/>
    <x v="4"/>
    <s v="Pasta"/>
    <x v="1"/>
    <n v="2"/>
    <n v="757"/>
    <n v="0"/>
    <n v="20"/>
    <n v="1514"/>
    <n v="1534"/>
    <x v="0"/>
    <x v="0"/>
    <x v="1"/>
    <n v="30"/>
    <n v="2.7"/>
  </r>
  <r>
    <x v="4848"/>
    <x v="354"/>
    <x v="11"/>
    <n v="12"/>
    <n v="21"/>
    <s v="Sunday"/>
    <x v="5"/>
    <x v="9"/>
    <x v="4"/>
    <s v="Idli Sambar"/>
    <x v="1"/>
    <n v="3"/>
    <n v="814"/>
    <n v="203.5"/>
    <n v="30"/>
    <n v="2442"/>
    <n v="2268.5"/>
    <x v="1"/>
    <x v="0"/>
    <x v="1"/>
    <n v="31"/>
    <n v="3.7"/>
  </r>
  <r>
    <x v="4849"/>
    <x v="354"/>
    <x v="11"/>
    <n v="12"/>
    <n v="21"/>
    <s v="Sunday"/>
    <x v="9"/>
    <x v="12"/>
    <x v="2"/>
    <s v="Masala Dosa"/>
    <x v="0"/>
    <n v="2"/>
    <n v="744"/>
    <n v="0"/>
    <n v="30"/>
    <n v="1488"/>
    <n v="1518"/>
    <x v="1"/>
    <x v="0"/>
    <x v="1"/>
    <n v="26"/>
    <n v="4.5"/>
  </r>
  <r>
    <x v="4850"/>
    <x v="354"/>
    <x v="11"/>
    <n v="12"/>
    <n v="21"/>
    <s v="Sunday"/>
    <x v="3"/>
    <x v="11"/>
    <x v="8"/>
    <s v="Veg Burger"/>
    <x v="2"/>
    <n v="2"/>
    <n v="762"/>
    <n v="38.1"/>
    <n v="50"/>
    <n v="1524"/>
    <n v="1535.9"/>
    <x v="3"/>
    <x v="0"/>
    <x v="0"/>
    <n v="25"/>
    <n v="4.7"/>
  </r>
  <r>
    <x v="4851"/>
    <x v="354"/>
    <x v="11"/>
    <n v="12"/>
    <n v="21"/>
    <s v="Sunday"/>
    <x v="6"/>
    <x v="9"/>
    <x v="3"/>
    <s v="Veg Biryani"/>
    <x v="1"/>
    <n v="1"/>
    <n v="879"/>
    <n v="131.85"/>
    <n v="20"/>
    <n v="879"/>
    <n v="767.15"/>
    <x v="0"/>
    <x v="0"/>
    <x v="1"/>
    <n v="54"/>
    <n v="4.2"/>
  </r>
  <r>
    <x v="4852"/>
    <x v="354"/>
    <x v="11"/>
    <n v="12"/>
    <n v="21"/>
    <s v="Sunday"/>
    <x v="9"/>
    <x v="12"/>
    <x v="8"/>
    <s v="Fried Rice"/>
    <x v="1"/>
    <n v="1"/>
    <n v="624"/>
    <n v="31.2"/>
    <n v="50"/>
    <n v="624"/>
    <n v="642.79999999999995"/>
    <x v="0"/>
    <x v="3"/>
    <x v="1"/>
    <n v="48"/>
    <m/>
  </r>
  <r>
    <x v="4853"/>
    <x v="354"/>
    <x v="11"/>
    <n v="12"/>
    <n v="21"/>
    <s v="Sunday"/>
    <x v="9"/>
    <x v="7"/>
    <x v="8"/>
    <s v="Chicken Burger"/>
    <x v="1"/>
    <n v="2"/>
    <n v="282"/>
    <n v="42.3"/>
    <n v="40"/>
    <n v="564"/>
    <n v="561.70000000000005"/>
    <x v="1"/>
    <x v="0"/>
    <x v="1"/>
    <n v="33"/>
    <n v="4"/>
  </r>
  <r>
    <x v="4854"/>
    <x v="354"/>
    <x v="11"/>
    <n v="12"/>
    <n v="21"/>
    <s v="Sunday"/>
    <x v="0"/>
    <x v="6"/>
    <x v="7"/>
    <s v="Veg Momos"/>
    <x v="1"/>
    <n v="1"/>
    <n v="280"/>
    <n v="28"/>
    <n v="40"/>
    <n v="280"/>
    <n v="292"/>
    <x v="4"/>
    <x v="2"/>
    <x v="0"/>
    <n v="38"/>
    <m/>
  </r>
  <r>
    <x v="4855"/>
    <x v="354"/>
    <x v="11"/>
    <n v="12"/>
    <n v="21"/>
    <s v="Sunday"/>
    <x v="2"/>
    <x v="7"/>
    <x v="5"/>
    <s v="Veg Momos"/>
    <x v="1"/>
    <n v="2"/>
    <n v="317"/>
    <n v="47.55"/>
    <n v="40"/>
    <n v="634"/>
    <n v="626.45000000000005"/>
    <x v="0"/>
    <x v="0"/>
    <x v="1"/>
    <n v="55"/>
    <n v="4.3"/>
  </r>
  <r>
    <x v="4856"/>
    <x v="354"/>
    <x v="11"/>
    <n v="12"/>
    <n v="21"/>
    <s v="Sunday"/>
    <x v="5"/>
    <x v="2"/>
    <x v="9"/>
    <s v="Veg Momos"/>
    <x v="1"/>
    <n v="2"/>
    <n v="453"/>
    <n v="67.95"/>
    <n v="30"/>
    <n v="906"/>
    <n v="868.05"/>
    <x v="1"/>
    <x v="0"/>
    <x v="1"/>
    <n v="45"/>
    <n v="3.9"/>
  </r>
  <r>
    <x v="4857"/>
    <x v="354"/>
    <x v="11"/>
    <n v="12"/>
    <n v="21"/>
    <s v="Sunday"/>
    <x v="1"/>
    <x v="10"/>
    <x v="2"/>
    <s v="Veg Momos"/>
    <x v="1"/>
    <n v="1"/>
    <n v="470"/>
    <n v="47"/>
    <n v="40"/>
    <n v="470"/>
    <n v="463"/>
    <x v="2"/>
    <x v="0"/>
    <x v="1"/>
    <n v="18"/>
    <n v="4.5999999999999996"/>
  </r>
  <r>
    <x v="4858"/>
    <x v="355"/>
    <x v="11"/>
    <n v="12"/>
    <n v="22"/>
    <s v="Monday"/>
    <x v="3"/>
    <x v="14"/>
    <x v="7"/>
    <s v="Cold Coffee"/>
    <x v="2"/>
    <n v="1"/>
    <n v="381"/>
    <n v="76.2"/>
    <n v="20"/>
    <n v="381"/>
    <n v="324.8"/>
    <x v="3"/>
    <x v="0"/>
    <x v="0"/>
    <n v="56"/>
    <n v="5"/>
  </r>
  <r>
    <x v="4859"/>
    <x v="355"/>
    <x v="11"/>
    <n v="12"/>
    <n v="22"/>
    <s v="Monday"/>
    <x v="4"/>
    <x v="1"/>
    <x v="5"/>
    <s v="Chicken Momos"/>
    <x v="1"/>
    <n v="2"/>
    <n v="844"/>
    <n v="0"/>
    <n v="60"/>
    <n v="1688"/>
    <n v="1748"/>
    <x v="0"/>
    <x v="3"/>
    <x v="1"/>
    <n v="53"/>
    <m/>
  </r>
  <r>
    <x v="4860"/>
    <x v="355"/>
    <x v="11"/>
    <n v="12"/>
    <n v="22"/>
    <s v="Monday"/>
    <x v="1"/>
    <x v="2"/>
    <x v="9"/>
    <s v="Chicken Momos"/>
    <x v="1"/>
    <n v="1"/>
    <n v="144"/>
    <n v="7.2"/>
    <n v="40"/>
    <n v="144"/>
    <n v="176.8"/>
    <x v="3"/>
    <x v="0"/>
    <x v="0"/>
    <n v="28"/>
    <n v="5"/>
  </r>
  <r>
    <x v="4861"/>
    <x v="355"/>
    <x v="11"/>
    <n v="12"/>
    <n v="22"/>
    <s v="Monday"/>
    <x v="5"/>
    <x v="6"/>
    <x v="5"/>
    <s v="French Fries"/>
    <x v="2"/>
    <n v="3"/>
    <n v="652"/>
    <n v="0"/>
    <n v="0"/>
    <n v="1956"/>
    <n v="1956"/>
    <x v="0"/>
    <x v="1"/>
    <x v="1"/>
    <n v="70"/>
    <m/>
  </r>
  <r>
    <x v="4862"/>
    <x v="355"/>
    <x v="11"/>
    <n v="12"/>
    <n v="22"/>
    <s v="Monday"/>
    <x v="4"/>
    <x v="6"/>
    <x v="5"/>
    <s v="Chicken Pizza"/>
    <x v="1"/>
    <n v="1"/>
    <n v="750"/>
    <n v="37.5"/>
    <n v="0"/>
    <n v="750"/>
    <n v="712.5"/>
    <x v="1"/>
    <x v="0"/>
    <x v="1"/>
    <n v="20"/>
    <n v="3.4"/>
  </r>
  <r>
    <x v="4863"/>
    <x v="355"/>
    <x v="11"/>
    <n v="12"/>
    <n v="22"/>
    <s v="Monday"/>
    <x v="4"/>
    <x v="12"/>
    <x v="3"/>
    <s v="Veg Momos"/>
    <x v="1"/>
    <n v="3"/>
    <n v="135"/>
    <n v="13.5"/>
    <n v="60"/>
    <n v="405"/>
    <n v="451.5"/>
    <x v="1"/>
    <x v="3"/>
    <x v="1"/>
    <n v="25"/>
    <m/>
  </r>
  <r>
    <x v="4864"/>
    <x v="355"/>
    <x v="11"/>
    <n v="12"/>
    <n v="22"/>
    <s v="Monday"/>
    <x v="8"/>
    <x v="14"/>
    <x v="9"/>
    <s v="Idli Sambar"/>
    <x v="3"/>
    <n v="2"/>
    <n v="780"/>
    <n v="195"/>
    <n v="20"/>
    <n v="1560"/>
    <n v="1385"/>
    <x v="3"/>
    <x v="0"/>
    <x v="1"/>
    <n v="36"/>
    <n v="4.8"/>
  </r>
  <r>
    <x v="4865"/>
    <x v="355"/>
    <x v="11"/>
    <n v="12"/>
    <n v="22"/>
    <s v="Monday"/>
    <x v="4"/>
    <x v="1"/>
    <x v="4"/>
    <s v="Chocolate Cake"/>
    <x v="1"/>
    <n v="2"/>
    <n v="348"/>
    <n v="69.599999999999994"/>
    <n v="60"/>
    <n v="696"/>
    <n v="686.4"/>
    <x v="4"/>
    <x v="0"/>
    <x v="1"/>
    <n v="51"/>
    <n v="3.8"/>
  </r>
  <r>
    <x v="4866"/>
    <x v="355"/>
    <x v="11"/>
    <n v="12"/>
    <n v="22"/>
    <s v="Monday"/>
    <x v="8"/>
    <x v="14"/>
    <x v="3"/>
    <s v="Cold Coffee"/>
    <x v="1"/>
    <n v="2"/>
    <n v="721"/>
    <n v="36.049999999999997"/>
    <n v="40"/>
    <n v="1442"/>
    <n v="1445.95"/>
    <x v="1"/>
    <x v="0"/>
    <x v="0"/>
    <n v="38"/>
    <n v="4.8"/>
  </r>
  <r>
    <x v="4867"/>
    <x v="355"/>
    <x v="11"/>
    <n v="12"/>
    <n v="22"/>
    <s v="Monday"/>
    <x v="6"/>
    <x v="9"/>
    <x v="0"/>
    <s v="Veg Burger"/>
    <x v="2"/>
    <n v="1"/>
    <n v="900"/>
    <n v="135"/>
    <n v="0"/>
    <n v="900"/>
    <n v="765"/>
    <x v="0"/>
    <x v="0"/>
    <x v="0"/>
    <n v="20"/>
    <n v="4.5"/>
  </r>
  <r>
    <x v="4868"/>
    <x v="355"/>
    <x v="11"/>
    <n v="12"/>
    <n v="22"/>
    <s v="Monday"/>
    <x v="1"/>
    <x v="4"/>
    <x v="5"/>
    <s v="Veg Biryani"/>
    <x v="1"/>
    <n v="2"/>
    <n v="798"/>
    <n v="119.7"/>
    <n v="0"/>
    <n v="1596"/>
    <n v="1476.3"/>
    <x v="1"/>
    <x v="0"/>
    <x v="0"/>
    <n v="56"/>
    <n v="4.4000000000000004"/>
  </r>
  <r>
    <x v="4869"/>
    <x v="355"/>
    <x v="11"/>
    <n v="12"/>
    <n v="22"/>
    <s v="Monday"/>
    <x v="5"/>
    <x v="1"/>
    <x v="7"/>
    <s v="Pasta"/>
    <x v="3"/>
    <n v="3"/>
    <n v="885"/>
    <n v="132.75"/>
    <n v="40"/>
    <n v="2655"/>
    <n v="2562.25"/>
    <x v="4"/>
    <x v="0"/>
    <x v="1"/>
    <n v="21"/>
    <n v="4.2"/>
  </r>
  <r>
    <x v="4870"/>
    <x v="355"/>
    <x v="11"/>
    <n v="12"/>
    <n v="22"/>
    <s v="Monday"/>
    <x v="9"/>
    <x v="7"/>
    <x v="0"/>
    <s v="Paneer Butter Masala"/>
    <x v="2"/>
    <n v="1"/>
    <n v="749"/>
    <n v="0"/>
    <n v="50"/>
    <n v="749"/>
    <n v="799"/>
    <x v="1"/>
    <x v="0"/>
    <x v="1"/>
    <n v="32"/>
    <n v="3.2"/>
  </r>
  <r>
    <x v="4871"/>
    <x v="356"/>
    <x v="11"/>
    <n v="12"/>
    <n v="23"/>
    <s v="Tuesday"/>
    <x v="3"/>
    <x v="2"/>
    <x v="9"/>
    <s v="Cold Coffee"/>
    <x v="1"/>
    <n v="3"/>
    <n v="728"/>
    <n v="109.2"/>
    <n v="0"/>
    <n v="2184"/>
    <n v="2074.8000000000002"/>
    <x v="1"/>
    <x v="0"/>
    <x v="0"/>
    <n v="58"/>
    <n v="2.8"/>
  </r>
  <r>
    <x v="4872"/>
    <x v="356"/>
    <x v="11"/>
    <n v="12"/>
    <n v="23"/>
    <s v="Tuesday"/>
    <x v="1"/>
    <x v="3"/>
    <x v="4"/>
    <s v="Idli Sambar"/>
    <x v="1"/>
    <n v="2"/>
    <n v="522"/>
    <n v="0"/>
    <n v="40"/>
    <n v="1044"/>
    <n v="1084"/>
    <x v="1"/>
    <x v="0"/>
    <x v="0"/>
    <n v="38"/>
    <n v="5"/>
  </r>
  <r>
    <x v="4873"/>
    <x v="356"/>
    <x v="11"/>
    <n v="12"/>
    <n v="23"/>
    <s v="Tuesday"/>
    <x v="5"/>
    <x v="11"/>
    <x v="0"/>
    <s v="Chicken Biryani"/>
    <x v="1"/>
    <n v="1"/>
    <n v="699"/>
    <n v="104.85"/>
    <n v="50"/>
    <n v="699"/>
    <n v="644.15"/>
    <x v="1"/>
    <x v="0"/>
    <x v="0"/>
    <n v="66"/>
    <n v="3.6"/>
  </r>
  <r>
    <x v="4874"/>
    <x v="356"/>
    <x v="11"/>
    <n v="12"/>
    <n v="23"/>
    <s v="Tuesday"/>
    <x v="5"/>
    <x v="12"/>
    <x v="1"/>
    <s v="Chicken Pizza"/>
    <x v="1"/>
    <n v="3"/>
    <n v="322"/>
    <n v="48.3"/>
    <n v="50"/>
    <n v="966"/>
    <n v="967.7"/>
    <x v="1"/>
    <x v="0"/>
    <x v="0"/>
    <n v="31"/>
    <n v="4.3"/>
  </r>
  <r>
    <x v="4875"/>
    <x v="356"/>
    <x v="11"/>
    <n v="12"/>
    <n v="23"/>
    <s v="Tuesday"/>
    <x v="3"/>
    <x v="13"/>
    <x v="0"/>
    <s v="Veg Biryani"/>
    <x v="1"/>
    <n v="1"/>
    <n v="293"/>
    <n v="29.3"/>
    <n v="0"/>
    <n v="293"/>
    <n v="263.7"/>
    <x v="1"/>
    <x v="2"/>
    <x v="0"/>
    <n v="51"/>
    <m/>
  </r>
  <r>
    <x v="4876"/>
    <x v="356"/>
    <x v="11"/>
    <n v="12"/>
    <n v="23"/>
    <s v="Tuesday"/>
    <x v="1"/>
    <x v="14"/>
    <x v="2"/>
    <s v="Idli Sambar"/>
    <x v="1"/>
    <n v="3"/>
    <n v="838"/>
    <n v="83.8"/>
    <n v="40"/>
    <n v="2514"/>
    <n v="2470.1999999999998"/>
    <x v="1"/>
    <x v="0"/>
    <x v="1"/>
    <n v="46"/>
    <n v="3.8"/>
  </r>
  <r>
    <x v="4877"/>
    <x v="356"/>
    <x v="11"/>
    <n v="12"/>
    <n v="23"/>
    <s v="Tuesday"/>
    <x v="3"/>
    <x v="12"/>
    <x v="2"/>
    <s v="Idli Sambar"/>
    <x v="0"/>
    <n v="1"/>
    <n v="237"/>
    <n v="23.7"/>
    <n v="40"/>
    <n v="237"/>
    <n v="253.3"/>
    <x v="0"/>
    <x v="0"/>
    <x v="0"/>
    <n v="44"/>
    <n v="3.9"/>
  </r>
  <r>
    <x v="4878"/>
    <x v="356"/>
    <x v="11"/>
    <n v="12"/>
    <n v="23"/>
    <s v="Tuesday"/>
    <x v="1"/>
    <x v="13"/>
    <x v="4"/>
    <s v="Chocolate Cake"/>
    <x v="1"/>
    <n v="2"/>
    <n v="873"/>
    <n v="43.65"/>
    <n v="60"/>
    <n v="1746"/>
    <n v="1762.35"/>
    <x v="0"/>
    <x v="2"/>
    <x v="0"/>
    <n v="28"/>
    <m/>
  </r>
  <r>
    <x v="4879"/>
    <x v="356"/>
    <x v="11"/>
    <n v="12"/>
    <n v="23"/>
    <s v="Tuesday"/>
    <x v="5"/>
    <x v="2"/>
    <x v="3"/>
    <s v="Cold Coffee"/>
    <x v="1"/>
    <n v="2"/>
    <n v="571"/>
    <n v="57.1"/>
    <n v="0"/>
    <n v="1142"/>
    <n v="1084.9000000000001"/>
    <x v="3"/>
    <x v="0"/>
    <x v="0"/>
    <n v="27"/>
    <n v="3.8"/>
  </r>
  <r>
    <x v="4880"/>
    <x v="356"/>
    <x v="11"/>
    <n v="12"/>
    <n v="23"/>
    <s v="Tuesday"/>
    <x v="1"/>
    <x v="14"/>
    <x v="4"/>
    <s v="Chicken Burger"/>
    <x v="2"/>
    <n v="1"/>
    <n v="130"/>
    <n v="26"/>
    <n v="60"/>
    <n v="130"/>
    <n v="164"/>
    <x v="1"/>
    <x v="0"/>
    <x v="1"/>
    <n v="45"/>
    <n v="3"/>
  </r>
  <r>
    <x v="4881"/>
    <x v="356"/>
    <x v="11"/>
    <n v="12"/>
    <n v="23"/>
    <s v="Tuesday"/>
    <x v="4"/>
    <x v="11"/>
    <x v="7"/>
    <s v="Chicken Pizza"/>
    <x v="1"/>
    <n v="1"/>
    <n v="125"/>
    <n v="0"/>
    <n v="40"/>
    <n v="125"/>
    <n v="165"/>
    <x v="1"/>
    <x v="0"/>
    <x v="1"/>
    <n v="60"/>
    <n v="3.9"/>
  </r>
  <r>
    <x v="4882"/>
    <x v="356"/>
    <x v="11"/>
    <n v="12"/>
    <n v="23"/>
    <s v="Tuesday"/>
    <x v="4"/>
    <x v="10"/>
    <x v="4"/>
    <s v="Fried Rice"/>
    <x v="1"/>
    <n v="3"/>
    <n v="865"/>
    <n v="86.5"/>
    <n v="50"/>
    <n v="2595"/>
    <n v="2558.5"/>
    <x v="1"/>
    <x v="0"/>
    <x v="1"/>
    <n v="19"/>
    <n v="4.5"/>
  </r>
  <r>
    <x v="4883"/>
    <x v="356"/>
    <x v="11"/>
    <n v="12"/>
    <n v="23"/>
    <s v="Tuesday"/>
    <x v="9"/>
    <x v="0"/>
    <x v="9"/>
    <s v="Chocolate Cake"/>
    <x v="2"/>
    <n v="1"/>
    <n v="473"/>
    <n v="94.6"/>
    <n v="50"/>
    <n v="473"/>
    <n v="428.4"/>
    <x v="1"/>
    <x v="0"/>
    <x v="0"/>
    <n v="33"/>
    <n v="3.9"/>
  </r>
  <r>
    <x v="4884"/>
    <x v="356"/>
    <x v="11"/>
    <n v="12"/>
    <n v="23"/>
    <s v="Tuesday"/>
    <x v="0"/>
    <x v="9"/>
    <x v="1"/>
    <s v="Veg Burger"/>
    <x v="2"/>
    <n v="1"/>
    <n v="510"/>
    <n v="0"/>
    <n v="50"/>
    <n v="510"/>
    <n v="560"/>
    <x v="0"/>
    <x v="0"/>
    <x v="1"/>
    <n v="42"/>
    <n v="2.7"/>
  </r>
  <r>
    <x v="4885"/>
    <x v="357"/>
    <x v="11"/>
    <n v="12"/>
    <n v="24"/>
    <s v="Wednesday"/>
    <x v="3"/>
    <x v="13"/>
    <x v="4"/>
    <s v="Chicken Pizza"/>
    <x v="2"/>
    <n v="2"/>
    <n v="476"/>
    <n v="47.6"/>
    <n v="0"/>
    <n v="952"/>
    <n v="904.4"/>
    <x v="2"/>
    <x v="0"/>
    <x v="1"/>
    <n v="31"/>
    <n v="4.0999999999999996"/>
  </r>
  <r>
    <x v="4886"/>
    <x v="357"/>
    <x v="11"/>
    <n v="12"/>
    <n v="24"/>
    <s v="Wednesday"/>
    <x v="5"/>
    <x v="8"/>
    <x v="7"/>
    <s v="Veg Momos"/>
    <x v="2"/>
    <n v="2"/>
    <n v="233"/>
    <n v="23.3"/>
    <n v="30"/>
    <n v="466"/>
    <n v="472.7"/>
    <x v="0"/>
    <x v="1"/>
    <x v="0"/>
    <n v="40"/>
    <m/>
  </r>
  <r>
    <x v="4887"/>
    <x v="357"/>
    <x v="11"/>
    <n v="12"/>
    <n v="24"/>
    <s v="Wednesday"/>
    <x v="2"/>
    <x v="10"/>
    <x v="2"/>
    <s v="Chicken Burger"/>
    <x v="1"/>
    <n v="1"/>
    <n v="669"/>
    <n v="167.25"/>
    <n v="0"/>
    <n v="669"/>
    <n v="501.75"/>
    <x v="1"/>
    <x v="0"/>
    <x v="1"/>
    <n v="62"/>
    <n v="4.3"/>
  </r>
  <r>
    <x v="4888"/>
    <x v="357"/>
    <x v="11"/>
    <n v="12"/>
    <n v="24"/>
    <s v="Wednesday"/>
    <x v="3"/>
    <x v="1"/>
    <x v="1"/>
    <s v="Chicken Momos"/>
    <x v="1"/>
    <n v="2"/>
    <n v="465"/>
    <n v="0"/>
    <n v="40"/>
    <n v="930"/>
    <n v="970"/>
    <x v="1"/>
    <x v="0"/>
    <x v="1"/>
    <n v="34"/>
    <n v="3.3"/>
  </r>
  <r>
    <x v="4889"/>
    <x v="357"/>
    <x v="11"/>
    <n v="12"/>
    <n v="24"/>
    <s v="Wednesday"/>
    <x v="9"/>
    <x v="0"/>
    <x v="7"/>
    <s v="Veg Biryani"/>
    <x v="0"/>
    <n v="2"/>
    <n v="131"/>
    <n v="26.2"/>
    <n v="60"/>
    <n v="262"/>
    <n v="295.8"/>
    <x v="1"/>
    <x v="0"/>
    <x v="1"/>
    <n v="33"/>
    <n v="5"/>
  </r>
  <r>
    <x v="4890"/>
    <x v="357"/>
    <x v="11"/>
    <n v="12"/>
    <n v="24"/>
    <s v="Wednesday"/>
    <x v="8"/>
    <x v="2"/>
    <x v="9"/>
    <s v="Chicken Momos"/>
    <x v="1"/>
    <n v="1"/>
    <n v="208"/>
    <n v="41.6"/>
    <n v="20"/>
    <n v="208"/>
    <n v="186.4"/>
    <x v="4"/>
    <x v="0"/>
    <x v="1"/>
    <n v="36"/>
    <n v="4"/>
  </r>
  <r>
    <x v="4891"/>
    <x v="357"/>
    <x v="11"/>
    <n v="12"/>
    <n v="24"/>
    <s v="Wednesday"/>
    <x v="0"/>
    <x v="2"/>
    <x v="5"/>
    <s v="French Fries"/>
    <x v="1"/>
    <n v="1"/>
    <n v="782"/>
    <n v="156.4"/>
    <n v="40"/>
    <n v="782"/>
    <n v="665.6"/>
    <x v="1"/>
    <x v="0"/>
    <x v="0"/>
    <n v="42"/>
    <n v="4.4000000000000004"/>
  </r>
  <r>
    <x v="4892"/>
    <x v="357"/>
    <x v="11"/>
    <n v="12"/>
    <n v="24"/>
    <s v="Wednesday"/>
    <x v="8"/>
    <x v="3"/>
    <x v="4"/>
    <s v="Veg Burger"/>
    <x v="1"/>
    <n v="2"/>
    <n v="700"/>
    <n v="70"/>
    <n v="50"/>
    <n v="1400"/>
    <n v="1380"/>
    <x v="1"/>
    <x v="0"/>
    <x v="0"/>
    <n v="61"/>
    <n v="4.8"/>
  </r>
  <r>
    <x v="4893"/>
    <x v="357"/>
    <x v="11"/>
    <n v="12"/>
    <n v="24"/>
    <s v="Wednesday"/>
    <x v="2"/>
    <x v="10"/>
    <x v="4"/>
    <s v="Chicken Biryani"/>
    <x v="2"/>
    <n v="1"/>
    <n v="331"/>
    <n v="33.1"/>
    <n v="50"/>
    <n v="331"/>
    <n v="347.9"/>
    <x v="4"/>
    <x v="0"/>
    <x v="1"/>
    <n v="64"/>
    <n v="3.8"/>
  </r>
  <r>
    <x v="4894"/>
    <x v="358"/>
    <x v="11"/>
    <n v="12"/>
    <n v="25"/>
    <s v="Thursday"/>
    <x v="2"/>
    <x v="5"/>
    <x v="4"/>
    <s v="Pasta"/>
    <x v="2"/>
    <n v="1"/>
    <n v="540"/>
    <n v="135"/>
    <n v="20"/>
    <n v="540"/>
    <n v="425"/>
    <x v="1"/>
    <x v="0"/>
    <x v="1"/>
    <n v="69"/>
    <n v="4.7"/>
  </r>
  <r>
    <x v="4895"/>
    <x v="358"/>
    <x v="11"/>
    <n v="12"/>
    <n v="25"/>
    <s v="Thursday"/>
    <x v="8"/>
    <x v="12"/>
    <x v="2"/>
    <s v="Pasta"/>
    <x v="2"/>
    <n v="3"/>
    <n v="491"/>
    <n v="73.650000000000006"/>
    <n v="0"/>
    <n v="1473"/>
    <n v="1399.35"/>
    <x v="4"/>
    <x v="0"/>
    <x v="0"/>
    <n v="70"/>
    <n v="4.2"/>
  </r>
  <r>
    <x v="4896"/>
    <x v="358"/>
    <x v="11"/>
    <n v="12"/>
    <n v="25"/>
    <s v="Thursday"/>
    <x v="5"/>
    <x v="9"/>
    <x v="9"/>
    <s v="Chocolate Cake"/>
    <x v="1"/>
    <n v="1"/>
    <n v="142"/>
    <n v="14.2"/>
    <n v="40"/>
    <n v="142"/>
    <n v="167.8"/>
    <x v="3"/>
    <x v="0"/>
    <x v="0"/>
    <n v="28"/>
    <n v="4.5999999999999996"/>
  </r>
  <r>
    <x v="4897"/>
    <x v="358"/>
    <x v="11"/>
    <n v="12"/>
    <n v="25"/>
    <s v="Thursday"/>
    <x v="7"/>
    <x v="10"/>
    <x v="6"/>
    <s v="Chicken Burger"/>
    <x v="3"/>
    <n v="1"/>
    <n v="747"/>
    <n v="112.05"/>
    <n v="60"/>
    <n v="747"/>
    <n v="694.95"/>
    <x v="1"/>
    <x v="3"/>
    <x v="0"/>
    <n v="37"/>
    <m/>
  </r>
  <r>
    <x v="4898"/>
    <x v="358"/>
    <x v="11"/>
    <n v="12"/>
    <n v="25"/>
    <s v="Thursday"/>
    <x v="5"/>
    <x v="14"/>
    <x v="6"/>
    <s v="Veg Momos"/>
    <x v="1"/>
    <n v="2"/>
    <n v="340"/>
    <n v="51"/>
    <n v="50"/>
    <n v="680"/>
    <n v="679"/>
    <x v="1"/>
    <x v="0"/>
    <x v="0"/>
    <n v="24"/>
    <n v="4.4000000000000004"/>
  </r>
  <r>
    <x v="4899"/>
    <x v="358"/>
    <x v="11"/>
    <n v="12"/>
    <n v="25"/>
    <s v="Thursday"/>
    <x v="5"/>
    <x v="14"/>
    <x v="5"/>
    <s v="Fried Rice"/>
    <x v="3"/>
    <n v="1"/>
    <n v="389"/>
    <n v="0"/>
    <n v="60"/>
    <n v="389"/>
    <n v="449"/>
    <x v="0"/>
    <x v="0"/>
    <x v="1"/>
    <n v="54"/>
    <n v="4.0999999999999996"/>
  </r>
  <r>
    <x v="4900"/>
    <x v="358"/>
    <x v="11"/>
    <n v="12"/>
    <n v="25"/>
    <s v="Thursday"/>
    <x v="3"/>
    <x v="8"/>
    <x v="2"/>
    <s v="Masala Dosa"/>
    <x v="1"/>
    <n v="2"/>
    <n v="778"/>
    <n v="77.8"/>
    <n v="20"/>
    <n v="1556"/>
    <n v="1498.2"/>
    <x v="0"/>
    <x v="0"/>
    <x v="1"/>
    <n v="18"/>
    <n v="3.1"/>
  </r>
  <r>
    <x v="4901"/>
    <x v="358"/>
    <x v="11"/>
    <n v="12"/>
    <n v="25"/>
    <s v="Thursday"/>
    <x v="0"/>
    <x v="6"/>
    <x v="8"/>
    <s v="Veg Biryani"/>
    <x v="1"/>
    <n v="2"/>
    <n v="371"/>
    <n v="74.2"/>
    <n v="60"/>
    <n v="742"/>
    <n v="727.8"/>
    <x v="2"/>
    <x v="0"/>
    <x v="1"/>
    <n v="63"/>
    <n v="4.5999999999999996"/>
  </r>
  <r>
    <x v="4902"/>
    <x v="358"/>
    <x v="11"/>
    <n v="12"/>
    <n v="25"/>
    <s v="Thursday"/>
    <x v="5"/>
    <x v="1"/>
    <x v="3"/>
    <s v="Chocolate Cake"/>
    <x v="2"/>
    <n v="2"/>
    <n v="527"/>
    <n v="26.35"/>
    <n v="40"/>
    <n v="1054"/>
    <n v="1067.6500000000001"/>
    <x v="0"/>
    <x v="0"/>
    <x v="1"/>
    <n v="26"/>
    <n v="3.3"/>
  </r>
  <r>
    <x v="4903"/>
    <x v="358"/>
    <x v="11"/>
    <n v="12"/>
    <n v="25"/>
    <s v="Thursday"/>
    <x v="1"/>
    <x v="0"/>
    <x v="5"/>
    <s v="Veg Burger"/>
    <x v="1"/>
    <n v="2"/>
    <n v="149"/>
    <n v="7.45"/>
    <n v="40"/>
    <n v="298"/>
    <n v="330.55"/>
    <x v="1"/>
    <x v="0"/>
    <x v="1"/>
    <n v="52"/>
    <n v="4.4000000000000004"/>
  </r>
  <r>
    <x v="4904"/>
    <x v="358"/>
    <x v="11"/>
    <n v="12"/>
    <n v="25"/>
    <s v="Thursday"/>
    <x v="4"/>
    <x v="6"/>
    <x v="3"/>
    <s v="Cold Coffee"/>
    <x v="1"/>
    <n v="2"/>
    <n v="144"/>
    <n v="36"/>
    <n v="70"/>
    <n v="288"/>
    <n v="322"/>
    <x v="2"/>
    <x v="0"/>
    <x v="1"/>
    <n v="22"/>
    <n v="4.2"/>
  </r>
  <r>
    <x v="4905"/>
    <x v="358"/>
    <x v="11"/>
    <n v="12"/>
    <n v="25"/>
    <s v="Thursday"/>
    <x v="1"/>
    <x v="11"/>
    <x v="0"/>
    <s v="Masala Dosa"/>
    <x v="1"/>
    <n v="2"/>
    <n v="275"/>
    <n v="13.75"/>
    <n v="30"/>
    <n v="550"/>
    <n v="566.25"/>
    <x v="0"/>
    <x v="3"/>
    <x v="1"/>
    <n v="52"/>
    <m/>
  </r>
  <r>
    <x v="4906"/>
    <x v="358"/>
    <x v="11"/>
    <n v="12"/>
    <n v="25"/>
    <s v="Thursday"/>
    <x v="0"/>
    <x v="14"/>
    <x v="4"/>
    <s v="Chocolate Cake"/>
    <x v="1"/>
    <n v="1"/>
    <n v="844"/>
    <n v="0"/>
    <n v="20"/>
    <n v="844"/>
    <n v="864"/>
    <x v="2"/>
    <x v="0"/>
    <x v="1"/>
    <n v="22"/>
    <n v="4.5"/>
  </r>
  <r>
    <x v="4907"/>
    <x v="359"/>
    <x v="11"/>
    <n v="12"/>
    <n v="26"/>
    <s v="Friday"/>
    <x v="2"/>
    <x v="9"/>
    <x v="6"/>
    <s v="Veg Burger"/>
    <x v="1"/>
    <n v="1"/>
    <n v="846"/>
    <n v="84.6"/>
    <n v="0"/>
    <n v="846"/>
    <n v="761.4"/>
    <x v="3"/>
    <x v="0"/>
    <x v="1"/>
    <n v="33"/>
    <n v="4.4000000000000004"/>
  </r>
  <r>
    <x v="4908"/>
    <x v="359"/>
    <x v="11"/>
    <n v="12"/>
    <n v="26"/>
    <s v="Friday"/>
    <x v="3"/>
    <x v="9"/>
    <x v="0"/>
    <s v="Pasta"/>
    <x v="1"/>
    <n v="2"/>
    <n v="315"/>
    <n v="63"/>
    <n v="40"/>
    <n v="630"/>
    <n v="607"/>
    <x v="1"/>
    <x v="0"/>
    <x v="0"/>
    <n v="64"/>
    <n v="4.3"/>
  </r>
  <r>
    <x v="4909"/>
    <x v="359"/>
    <x v="11"/>
    <n v="12"/>
    <n v="26"/>
    <s v="Friday"/>
    <x v="3"/>
    <x v="7"/>
    <x v="5"/>
    <s v="Veg Momos"/>
    <x v="1"/>
    <n v="2"/>
    <n v="212"/>
    <n v="10.6"/>
    <n v="40"/>
    <n v="424"/>
    <n v="453.4"/>
    <x v="1"/>
    <x v="0"/>
    <x v="1"/>
    <n v="32"/>
    <n v="4.5"/>
  </r>
  <r>
    <x v="4910"/>
    <x v="359"/>
    <x v="11"/>
    <n v="12"/>
    <n v="26"/>
    <s v="Friday"/>
    <x v="4"/>
    <x v="10"/>
    <x v="5"/>
    <s v="Fried Rice"/>
    <x v="2"/>
    <n v="2"/>
    <n v="793"/>
    <n v="118.95"/>
    <n v="40"/>
    <n v="1586"/>
    <n v="1507.05"/>
    <x v="0"/>
    <x v="3"/>
    <x v="1"/>
    <n v="47"/>
    <m/>
  </r>
  <r>
    <x v="4911"/>
    <x v="359"/>
    <x v="11"/>
    <n v="12"/>
    <n v="26"/>
    <s v="Friday"/>
    <x v="1"/>
    <x v="13"/>
    <x v="0"/>
    <s v="Cold Coffee"/>
    <x v="2"/>
    <n v="1"/>
    <n v="472"/>
    <n v="47.2"/>
    <n v="20"/>
    <n v="472"/>
    <n v="444.8"/>
    <x v="1"/>
    <x v="0"/>
    <x v="0"/>
    <n v="43"/>
    <n v="4.8"/>
  </r>
  <r>
    <x v="4912"/>
    <x v="359"/>
    <x v="11"/>
    <n v="12"/>
    <n v="26"/>
    <s v="Friday"/>
    <x v="6"/>
    <x v="9"/>
    <x v="3"/>
    <s v="Veg Pizza"/>
    <x v="2"/>
    <n v="2"/>
    <n v="872"/>
    <n v="174.4"/>
    <n v="20"/>
    <n v="1744"/>
    <n v="1589.6"/>
    <x v="1"/>
    <x v="0"/>
    <x v="0"/>
    <n v="55"/>
    <n v="3.5"/>
  </r>
  <r>
    <x v="4913"/>
    <x v="359"/>
    <x v="11"/>
    <n v="12"/>
    <n v="26"/>
    <s v="Friday"/>
    <x v="9"/>
    <x v="11"/>
    <x v="8"/>
    <s v="Paneer Butter Masala"/>
    <x v="1"/>
    <n v="2"/>
    <n v="422"/>
    <n v="105.5"/>
    <n v="20"/>
    <n v="844"/>
    <n v="758.5"/>
    <x v="2"/>
    <x v="0"/>
    <x v="0"/>
    <n v="50"/>
    <n v="4.0999999999999996"/>
  </r>
  <r>
    <x v="4914"/>
    <x v="359"/>
    <x v="11"/>
    <n v="12"/>
    <n v="26"/>
    <s v="Friday"/>
    <x v="4"/>
    <x v="10"/>
    <x v="5"/>
    <s v="Idli Sambar"/>
    <x v="1"/>
    <n v="2"/>
    <n v="685"/>
    <n v="137"/>
    <n v="70"/>
    <n v="1370"/>
    <n v="1303"/>
    <x v="1"/>
    <x v="0"/>
    <x v="1"/>
    <n v="20"/>
    <n v="4.5"/>
  </r>
  <r>
    <x v="4915"/>
    <x v="359"/>
    <x v="11"/>
    <n v="12"/>
    <n v="26"/>
    <s v="Friday"/>
    <x v="7"/>
    <x v="9"/>
    <x v="1"/>
    <s v="Fried Rice"/>
    <x v="1"/>
    <n v="3"/>
    <n v="527"/>
    <n v="0"/>
    <n v="50"/>
    <n v="1581"/>
    <n v="1631"/>
    <x v="1"/>
    <x v="0"/>
    <x v="0"/>
    <n v="50"/>
    <n v="2.7"/>
  </r>
  <r>
    <x v="4916"/>
    <x v="359"/>
    <x v="11"/>
    <n v="12"/>
    <n v="26"/>
    <s v="Friday"/>
    <x v="2"/>
    <x v="13"/>
    <x v="5"/>
    <s v="Pasta"/>
    <x v="1"/>
    <n v="1"/>
    <n v="611"/>
    <n v="91.65"/>
    <n v="40"/>
    <n v="611"/>
    <n v="559.35"/>
    <x v="1"/>
    <x v="0"/>
    <x v="0"/>
    <n v="59"/>
    <n v="4.4000000000000004"/>
  </r>
  <r>
    <x v="4917"/>
    <x v="359"/>
    <x v="11"/>
    <n v="12"/>
    <n v="26"/>
    <s v="Friday"/>
    <x v="2"/>
    <x v="11"/>
    <x v="5"/>
    <s v="Chicken Biryani"/>
    <x v="2"/>
    <n v="1"/>
    <n v="389"/>
    <n v="0"/>
    <n v="30"/>
    <n v="389"/>
    <n v="419"/>
    <x v="3"/>
    <x v="0"/>
    <x v="1"/>
    <n v="53"/>
    <n v="4.9000000000000004"/>
  </r>
  <r>
    <x v="4918"/>
    <x v="359"/>
    <x v="11"/>
    <n v="12"/>
    <n v="26"/>
    <s v="Friday"/>
    <x v="7"/>
    <x v="14"/>
    <x v="1"/>
    <s v="French Fries"/>
    <x v="2"/>
    <n v="1"/>
    <n v="138"/>
    <n v="13.8"/>
    <n v="30"/>
    <n v="138"/>
    <n v="154.19999999999999"/>
    <x v="1"/>
    <x v="0"/>
    <x v="0"/>
    <n v="62"/>
    <n v="5"/>
  </r>
  <r>
    <x v="4919"/>
    <x v="359"/>
    <x v="11"/>
    <n v="12"/>
    <n v="26"/>
    <s v="Friday"/>
    <x v="3"/>
    <x v="8"/>
    <x v="8"/>
    <s v="Chicken Momos"/>
    <x v="2"/>
    <n v="1"/>
    <n v="668"/>
    <n v="133.6"/>
    <n v="30"/>
    <n v="668"/>
    <n v="564.4"/>
    <x v="0"/>
    <x v="0"/>
    <x v="1"/>
    <n v="61"/>
    <n v="3.6"/>
  </r>
  <r>
    <x v="4920"/>
    <x v="359"/>
    <x v="11"/>
    <n v="12"/>
    <n v="26"/>
    <s v="Friday"/>
    <x v="1"/>
    <x v="10"/>
    <x v="2"/>
    <s v="Chicken Momos"/>
    <x v="1"/>
    <n v="3"/>
    <n v="236"/>
    <n v="35.4"/>
    <n v="40"/>
    <n v="708"/>
    <n v="712.6"/>
    <x v="1"/>
    <x v="0"/>
    <x v="1"/>
    <n v="28"/>
    <n v="3.5"/>
  </r>
  <r>
    <x v="4921"/>
    <x v="359"/>
    <x v="11"/>
    <n v="12"/>
    <n v="26"/>
    <s v="Friday"/>
    <x v="2"/>
    <x v="14"/>
    <x v="1"/>
    <s v="Chicken Pizza"/>
    <x v="1"/>
    <n v="1"/>
    <n v="625"/>
    <n v="62.5"/>
    <n v="30"/>
    <n v="625"/>
    <n v="592.5"/>
    <x v="1"/>
    <x v="0"/>
    <x v="0"/>
    <n v="31"/>
    <n v="4"/>
  </r>
  <r>
    <x v="4922"/>
    <x v="359"/>
    <x v="11"/>
    <n v="12"/>
    <n v="26"/>
    <s v="Friday"/>
    <x v="5"/>
    <x v="2"/>
    <x v="6"/>
    <s v="Fried Rice"/>
    <x v="1"/>
    <n v="1"/>
    <n v="766"/>
    <n v="38.299999999999997"/>
    <n v="0"/>
    <n v="766"/>
    <n v="727.7"/>
    <x v="1"/>
    <x v="0"/>
    <x v="0"/>
    <n v="18"/>
    <n v="3.9"/>
  </r>
  <r>
    <x v="4923"/>
    <x v="359"/>
    <x v="11"/>
    <n v="12"/>
    <n v="26"/>
    <s v="Friday"/>
    <x v="5"/>
    <x v="11"/>
    <x v="5"/>
    <s v="Veg Biryani"/>
    <x v="2"/>
    <n v="2"/>
    <n v="296"/>
    <n v="0"/>
    <n v="70"/>
    <n v="592"/>
    <n v="662"/>
    <x v="3"/>
    <x v="0"/>
    <x v="1"/>
    <n v="50"/>
    <n v="2.5"/>
  </r>
  <r>
    <x v="4924"/>
    <x v="359"/>
    <x v="11"/>
    <n v="12"/>
    <n v="26"/>
    <s v="Friday"/>
    <x v="7"/>
    <x v="8"/>
    <x v="1"/>
    <s v="Chicken Pizza"/>
    <x v="1"/>
    <n v="1"/>
    <n v="500"/>
    <n v="100"/>
    <n v="30"/>
    <n v="500"/>
    <n v="430"/>
    <x v="1"/>
    <x v="0"/>
    <x v="1"/>
    <n v="31"/>
    <n v="1.9"/>
  </r>
  <r>
    <x v="4925"/>
    <x v="360"/>
    <x v="11"/>
    <n v="12"/>
    <n v="27"/>
    <s v="Saturday"/>
    <x v="2"/>
    <x v="1"/>
    <x v="5"/>
    <s v="Chicken Biryani"/>
    <x v="0"/>
    <n v="2"/>
    <n v="814"/>
    <n v="81.400000000000006"/>
    <n v="30"/>
    <n v="1628"/>
    <n v="1576.6"/>
    <x v="1"/>
    <x v="1"/>
    <x v="1"/>
    <n v="44"/>
    <m/>
  </r>
  <r>
    <x v="4926"/>
    <x v="360"/>
    <x v="11"/>
    <n v="12"/>
    <n v="27"/>
    <s v="Saturday"/>
    <x v="1"/>
    <x v="11"/>
    <x v="1"/>
    <s v="Veg Biryani"/>
    <x v="2"/>
    <n v="1"/>
    <n v="832"/>
    <n v="208"/>
    <n v="50"/>
    <n v="832"/>
    <n v="674"/>
    <x v="4"/>
    <x v="0"/>
    <x v="1"/>
    <n v="48"/>
    <n v="4.5999999999999996"/>
  </r>
  <r>
    <x v="4927"/>
    <x v="360"/>
    <x v="11"/>
    <n v="12"/>
    <n v="27"/>
    <s v="Saturday"/>
    <x v="6"/>
    <x v="3"/>
    <x v="0"/>
    <s v="Fried Rice"/>
    <x v="1"/>
    <n v="3"/>
    <n v="375"/>
    <n v="56.25"/>
    <n v="50"/>
    <n v="1125"/>
    <n v="1118.75"/>
    <x v="0"/>
    <x v="0"/>
    <x v="0"/>
    <n v="21"/>
    <n v="4.5"/>
  </r>
  <r>
    <x v="4928"/>
    <x v="360"/>
    <x v="11"/>
    <n v="12"/>
    <n v="27"/>
    <s v="Saturday"/>
    <x v="5"/>
    <x v="3"/>
    <x v="8"/>
    <s v="Pasta"/>
    <x v="1"/>
    <n v="2"/>
    <n v="289"/>
    <n v="28.9"/>
    <n v="50"/>
    <n v="578"/>
    <n v="599.1"/>
    <x v="4"/>
    <x v="0"/>
    <x v="0"/>
    <n v="61"/>
    <n v="3"/>
  </r>
  <r>
    <x v="4929"/>
    <x v="360"/>
    <x v="11"/>
    <n v="12"/>
    <n v="27"/>
    <s v="Saturday"/>
    <x v="9"/>
    <x v="0"/>
    <x v="9"/>
    <s v="Idli Sambar"/>
    <x v="1"/>
    <n v="1"/>
    <n v="582"/>
    <n v="87.3"/>
    <n v="20"/>
    <n v="582"/>
    <n v="514.70000000000005"/>
    <x v="1"/>
    <x v="0"/>
    <x v="0"/>
    <n v="39"/>
    <n v="3.3"/>
  </r>
  <r>
    <x v="4930"/>
    <x v="360"/>
    <x v="11"/>
    <n v="12"/>
    <n v="27"/>
    <s v="Saturday"/>
    <x v="9"/>
    <x v="7"/>
    <x v="9"/>
    <s v="Paneer Butter Masala"/>
    <x v="1"/>
    <n v="1"/>
    <n v="366"/>
    <n v="36.6"/>
    <n v="30"/>
    <n v="366"/>
    <n v="359.4"/>
    <x v="1"/>
    <x v="0"/>
    <x v="1"/>
    <n v="64"/>
    <n v="4"/>
  </r>
  <r>
    <x v="4931"/>
    <x v="360"/>
    <x v="11"/>
    <n v="12"/>
    <n v="27"/>
    <s v="Saturday"/>
    <x v="1"/>
    <x v="5"/>
    <x v="2"/>
    <s v="Chicken Pizza"/>
    <x v="1"/>
    <n v="1"/>
    <n v="411"/>
    <n v="41.1"/>
    <n v="60"/>
    <n v="411"/>
    <n v="429.9"/>
    <x v="2"/>
    <x v="3"/>
    <x v="0"/>
    <n v="43"/>
    <m/>
  </r>
  <r>
    <x v="4932"/>
    <x v="360"/>
    <x v="11"/>
    <n v="12"/>
    <n v="27"/>
    <s v="Saturday"/>
    <x v="2"/>
    <x v="9"/>
    <x v="2"/>
    <s v="Chicken Burger"/>
    <x v="1"/>
    <n v="2"/>
    <n v="773"/>
    <n v="0"/>
    <n v="40"/>
    <n v="1546"/>
    <n v="1586"/>
    <x v="4"/>
    <x v="0"/>
    <x v="0"/>
    <n v="54"/>
    <n v="4.2"/>
  </r>
  <r>
    <x v="4933"/>
    <x v="360"/>
    <x v="11"/>
    <n v="12"/>
    <n v="27"/>
    <s v="Saturday"/>
    <x v="5"/>
    <x v="0"/>
    <x v="3"/>
    <s v="Paneer Butter Masala"/>
    <x v="3"/>
    <n v="2"/>
    <n v="774"/>
    <n v="154.80000000000001"/>
    <n v="0"/>
    <n v="1548"/>
    <n v="1393.2"/>
    <x v="1"/>
    <x v="0"/>
    <x v="1"/>
    <n v="20"/>
    <n v="3.1"/>
  </r>
  <r>
    <x v="4934"/>
    <x v="360"/>
    <x v="11"/>
    <n v="12"/>
    <n v="27"/>
    <s v="Saturday"/>
    <x v="2"/>
    <x v="12"/>
    <x v="7"/>
    <s v="Chocolate Cake"/>
    <x v="2"/>
    <n v="1"/>
    <n v="628"/>
    <n v="62.8"/>
    <n v="40"/>
    <n v="628"/>
    <n v="605.20000000000005"/>
    <x v="1"/>
    <x v="0"/>
    <x v="1"/>
    <n v="38"/>
    <n v="3.7"/>
  </r>
  <r>
    <x v="4935"/>
    <x v="360"/>
    <x v="11"/>
    <n v="12"/>
    <n v="27"/>
    <s v="Saturday"/>
    <x v="1"/>
    <x v="5"/>
    <x v="9"/>
    <s v="Chicken Biryani"/>
    <x v="1"/>
    <n v="2"/>
    <n v="354"/>
    <n v="35.4"/>
    <n v="20"/>
    <n v="708"/>
    <n v="692.6"/>
    <x v="1"/>
    <x v="0"/>
    <x v="1"/>
    <n v="28"/>
    <n v="3.4"/>
  </r>
  <r>
    <x v="4936"/>
    <x v="360"/>
    <x v="11"/>
    <n v="12"/>
    <n v="27"/>
    <s v="Saturday"/>
    <x v="9"/>
    <x v="4"/>
    <x v="2"/>
    <s v="Veg Momos"/>
    <x v="2"/>
    <n v="1"/>
    <n v="199"/>
    <n v="9.9499999999999993"/>
    <n v="0"/>
    <n v="199"/>
    <n v="189.05"/>
    <x v="1"/>
    <x v="0"/>
    <x v="1"/>
    <n v="39"/>
    <n v="4.2"/>
  </r>
  <r>
    <x v="4937"/>
    <x v="360"/>
    <x v="11"/>
    <n v="12"/>
    <n v="27"/>
    <s v="Saturday"/>
    <x v="4"/>
    <x v="5"/>
    <x v="7"/>
    <s v="Fried Rice"/>
    <x v="1"/>
    <n v="1"/>
    <n v="358"/>
    <n v="0"/>
    <n v="50"/>
    <n v="358"/>
    <n v="408"/>
    <x v="1"/>
    <x v="0"/>
    <x v="0"/>
    <n v="49"/>
    <n v="3.9"/>
  </r>
  <r>
    <x v="4938"/>
    <x v="360"/>
    <x v="11"/>
    <n v="12"/>
    <n v="27"/>
    <s v="Saturday"/>
    <x v="5"/>
    <x v="12"/>
    <x v="4"/>
    <s v="Paneer Butter Masala"/>
    <x v="0"/>
    <n v="1"/>
    <n v="655"/>
    <n v="65.5"/>
    <n v="0"/>
    <n v="655"/>
    <n v="589.5"/>
    <x v="1"/>
    <x v="0"/>
    <x v="0"/>
    <n v="32"/>
    <n v="3.6"/>
  </r>
  <r>
    <x v="4939"/>
    <x v="360"/>
    <x v="11"/>
    <n v="12"/>
    <n v="27"/>
    <s v="Saturday"/>
    <x v="3"/>
    <x v="2"/>
    <x v="8"/>
    <s v="Masala Dosa"/>
    <x v="2"/>
    <n v="1"/>
    <n v="775"/>
    <n v="0"/>
    <n v="30"/>
    <n v="775"/>
    <n v="805"/>
    <x v="1"/>
    <x v="0"/>
    <x v="0"/>
    <n v="35"/>
    <n v="4.9000000000000004"/>
  </r>
  <r>
    <x v="4940"/>
    <x v="361"/>
    <x v="11"/>
    <n v="12"/>
    <n v="28"/>
    <s v="Sunday"/>
    <x v="4"/>
    <x v="10"/>
    <x v="6"/>
    <s v="Chicken Pizza"/>
    <x v="1"/>
    <n v="1"/>
    <n v="366"/>
    <n v="36.6"/>
    <n v="50"/>
    <n v="366"/>
    <n v="379.4"/>
    <x v="1"/>
    <x v="0"/>
    <x v="1"/>
    <n v="50"/>
    <n v="3.7"/>
  </r>
  <r>
    <x v="4941"/>
    <x v="361"/>
    <x v="11"/>
    <n v="12"/>
    <n v="28"/>
    <s v="Sunday"/>
    <x v="7"/>
    <x v="5"/>
    <x v="3"/>
    <s v="Veg Burger"/>
    <x v="1"/>
    <n v="2"/>
    <n v="667"/>
    <n v="66.7"/>
    <n v="40"/>
    <n v="1334"/>
    <n v="1307.3"/>
    <x v="1"/>
    <x v="0"/>
    <x v="1"/>
    <n v="66"/>
    <n v="4.0999999999999996"/>
  </r>
  <r>
    <x v="4942"/>
    <x v="361"/>
    <x v="11"/>
    <n v="12"/>
    <n v="28"/>
    <s v="Sunday"/>
    <x v="7"/>
    <x v="10"/>
    <x v="1"/>
    <s v="Chicken Momos"/>
    <x v="1"/>
    <n v="1"/>
    <n v="392"/>
    <n v="78.400000000000006"/>
    <n v="0"/>
    <n v="392"/>
    <n v="313.60000000000002"/>
    <x v="3"/>
    <x v="0"/>
    <x v="1"/>
    <n v="20"/>
    <n v="3.2"/>
  </r>
  <r>
    <x v="4943"/>
    <x v="361"/>
    <x v="11"/>
    <n v="12"/>
    <n v="28"/>
    <s v="Sunday"/>
    <x v="4"/>
    <x v="8"/>
    <x v="0"/>
    <s v="Fried Rice"/>
    <x v="3"/>
    <n v="1"/>
    <n v="554"/>
    <n v="27.7"/>
    <n v="40"/>
    <n v="554"/>
    <n v="566.29999999999995"/>
    <x v="4"/>
    <x v="0"/>
    <x v="1"/>
    <n v="29"/>
    <n v="3.4"/>
  </r>
  <r>
    <x v="4944"/>
    <x v="361"/>
    <x v="11"/>
    <n v="12"/>
    <n v="28"/>
    <s v="Sunday"/>
    <x v="0"/>
    <x v="9"/>
    <x v="5"/>
    <s v="Chicken Momos"/>
    <x v="1"/>
    <n v="2"/>
    <n v="374"/>
    <n v="37.4"/>
    <n v="30"/>
    <n v="748"/>
    <n v="740.6"/>
    <x v="1"/>
    <x v="0"/>
    <x v="1"/>
    <n v="21"/>
    <n v="3.5"/>
  </r>
  <r>
    <x v="4945"/>
    <x v="361"/>
    <x v="11"/>
    <n v="12"/>
    <n v="28"/>
    <s v="Sunday"/>
    <x v="5"/>
    <x v="2"/>
    <x v="7"/>
    <s v="Chicken Burger"/>
    <x v="1"/>
    <n v="2"/>
    <n v="881"/>
    <n v="220.25"/>
    <n v="0"/>
    <n v="1762"/>
    <n v="1541.75"/>
    <x v="0"/>
    <x v="0"/>
    <x v="0"/>
    <n v="39"/>
    <n v="4.7"/>
  </r>
  <r>
    <x v="4946"/>
    <x v="361"/>
    <x v="11"/>
    <n v="12"/>
    <n v="28"/>
    <s v="Sunday"/>
    <x v="3"/>
    <x v="2"/>
    <x v="6"/>
    <s v="Masala Dosa"/>
    <x v="1"/>
    <n v="1"/>
    <n v="464"/>
    <n v="69.599999999999994"/>
    <n v="50"/>
    <n v="464"/>
    <n v="444.4"/>
    <x v="0"/>
    <x v="1"/>
    <x v="0"/>
    <n v="31"/>
    <m/>
  </r>
  <r>
    <x v="4947"/>
    <x v="361"/>
    <x v="11"/>
    <n v="12"/>
    <n v="28"/>
    <s v="Sunday"/>
    <x v="4"/>
    <x v="1"/>
    <x v="5"/>
    <s v="Paneer Butter Masala"/>
    <x v="1"/>
    <n v="1"/>
    <n v="434"/>
    <n v="108.5"/>
    <n v="0"/>
    <n v="434"/>
    <n v="325.5"/>
    <x v="2"/>
    <x v="0"/>
    <x v="1"/>
    <n v="55"/>
    <n v="3.7"/>
  </r>
  <r>
    <x v="4948"/>
    <x v="361"/>
    <x v="11"/>
    <n v="12"/>
    <n v="28"/>
    <s v="Sunday"/>
    <x v="9"/>
    <x v="8"/>
    <x v="9"/>
    <s v="Veg Burger"/>
    <x v="2"/>
    <n v="2"/>
    <n v="882"/>
    <n v="44.1"/>
    <n v="40"/>
    <n v="1764"/>
    <n v="1759.9"/>
    <x v="1"/>
    <x v="0"/>
    <x v="0"/>
    <n v="34"/>
    <n v="4.4000000000000004"/>
  </r>
  <r>
    <x v="4949"/>
    <x v="361"/>
    <x v="11"/>
    <n v="12"/>
    <n v="28"/>
    <s v="Sunday"/>
    <x v="3"/>
    <x v="9"/>
    <x v="9"/>
    <s v="Chicken Momos"/>
    <x v="2"/>
    <n v="1"/>
    <n v="308"/>
    <n v="46.2"/>
    <n v="30"/>
    <n v="308"/>
    <n v="291.8"/>
    <x v="3"/>
    <x v="0"/>
    <x v="1"/>
    <n v="63"/>
    <n v="4.7"/>
  </r>
  <r>
    <x v="4950"/>
    <x v="362"/>
    <x v="11"/>
    <n v="12"/>
    <n v="29"/>
    <s v="Monday"/>
    <x v="2"/>
    <x v="11"/>
    <x v="9"/>
    <s v="Chicken Biryani"/>
    <x v="2"/>
    <n v="1"/>
    <n v="814"/>
    <n v="40.700000000000003"/>
    <n v="0"/>
    <n v="814"/>
    <n v="773.3"/>
    <x v="0"/>
    <x v="0"/>
    <x v="1"/>
    <n v="41"/>
    <n v="4.5999999999999996"/>
  </r>
  <r>
    <x v="4951"/>
    <x v="362"/>
    <x v="11"/>
    <n v="12"/>
    <n v="29"/>
    <s v="Monday"/>
    <x v="0"/>
    <x v="6"/>
    <x v="1"/>
    <s v="Chicken Burger"/>
    <x v="1"/>
    <n v="1"/>
    <n v="163"/>
    <n v="8.15"/>
    <n v="20"/>
    <n v="163"/>
    <n v="174.85"/>
    <x v="4"/>
    <x v="0"/>
    <x v="0"/>
    <n v="65"/>
    <n v="4.3"/>
  </r>
  <r>
    <x v="4952"/>
    <x v="362"/>
    <x v="11"/>
    <n v="12"/>
    <n v="29"/>
    <s v="Monday"/>
    <x v="5"/>
    <x v="6"/>
    <x v="0"/>
    <s v="Chicken Biryani"/>
    <x v="2"/>
    <n v="2"/>
    <n v="458"/>
    <n v="45.8"/>
    <n v="30"/>
    <n v="916"/>
    <n v="900.2"/>
    <x v="1"/>
    <x v="0"/>
    <x v="1"/>
    <n v="52"/>
    <n v="5"/>
  </r>
  <r>
    <x v="4953"/>
    <x v="362"/>
    <x v="11"/>
    <n v="12"/>
    <n v="29"/>
    <s v="Monday"/>
    <x v="0"/>
    <x v="1"/>
    <x v="1"/>
    <s v="French Fries"/>
    <x v="1"/>
    <n v="1"/>
    <n v="287"/>
    <n v="0"/>
    <n v="20"/>
    <n v="287"/>
    <n v="307"/>
    <x v="0"/>
    <x v="0"/>
    <x v="1"/>
    <n v="43"/>
    <n v="3.9"/>
  </r>
  <r>
    <x v="4954"/>
    <x v="362"/>
    <x v="11"/>
    <n v="12"/>
    <n v="29"/>
    <s v="Monday"/>
    <x v="7"/>
    <x v="13"/>
    <x v="6"/>
    <s v="Veg Biryani"/>
    <x v="2"/>
    <n v="2"/>
    <n v="889"/>
    <n v="88.9"/>
    <n v="70"/>
    <n v="1778"/>
    <n v="1759.1"/>
    <x v="3"/>
    <x v="0"/>
    <x v="1"/>
    <n v="23"/>
    <n v="4.4000000000000004"/>
  </r>
  <r>
    <x v="4955"/>
    <x v="362"/>
    <x v="11"/>
    <n v="12"/>
    <n v="29"/>
    <s v="Monday"/>
    <x v="9"/>
    <x v="11"/>
    <x v="8"/>
    <s v="Pasta"/>
    <x v="3"/>
    <n v="1"/>
    <n v="462"/>
    <n v="69.3"/>
    <n v="60"/>
    <n v="462"/>
    <n v="452.7"/>
    <x v="2"/>
    <x v="0"/>
    <x v="0"/>
    <n v="59"/>
    <n v="4.3"/>
  </r>
  <r>
    <x v="4956"/>
    <x v="362"/>
    <x v="11"/>
    <n v="12"/>
    <n v="29"/>
    <s v="Monday"/>
    <x v="3"/>
    <x v="3"/>
    <x v="2"/>
    <s v="Chocolate Cake"/>
    <x v="1"/>
    <n v="1"/>
    <n v="510"/>
    <n v="0"/>
    <n v="40"/>
    <n v="510"/>
    <n v="550"/>
    <x v="0"/>
    <x v="0"/>
    <x v="1"/>
    <n v="53"/>
    <n v="4.2"/>
  </r>
  <r>
    <x v="4957"/>
    <x v="362"/>
    <x v="11"/>
    <n v="12"/>
    <n v="29"/>
    <s v="Monday"/>
    <x v="7"/>
    <x v="13"/>
    <x v="8"/>
    <s v="Chicken Momos"/>
    <x v="1"/>
    <n v="1"/>
    <n v="663"/>
    <n v="0"/>
    <n v="70"/>
    <n v="663"/>
    <n v="733"/>
    <x v="4"/>
    <x v="0"/>
    <x v="1"/>
    <n v="25"/>
    <n v="4.4000000000000004"/>
  </r>
  <r>
    <x v="4958"/>
    <x v="362"/>
    <x v="11"/>
    <n v="12"/>
    <n v="29"/>
    <s v="Monday"/>
    <x v="4"/>
    <x v="4"/>
    <x v="9"/>
    <s v="French Fries"/>
    <x v="1"/>
    <n v="2"/>
    <n v="651"/>
    <n v="97.65"/>
    <n v="30"/>
    <n v="1302"/>
    <n v="1234.3499999999999"/>
    <x v="0"/>
    <x v="0"/>
    <x v="1"/>
    <n v="18"/>
    <n v="5"/>
  </r>
  <r>
    <x v="4959"/>
    <x v="362"/>
    <x v="11"/>
    <n v="12"/>
    <n v="29"/>
    <s v="Monday"/>
    <x v="5"/>
    <x v="11"/>
    <x v="1"/>
    <s v="Pasta"/>
    <x v="2"/>
    <n v="2"/>
    <n v="530"/>
    <n v="53"/>
    <n v="40"/>
    <n v="1060"/>
    <n v="1047"/>
    <x v="1"/>
    <x v="0"/>
    <x v="1"/>
    <n v="61"/>
    <n v="4"/>
  </r>
  <r>
    <x v="4960"/>
    <x v="362"/>
    <x v="11"/>
    <n v="12"/>
    <n v="29"/>
    <s v="Monday"/>
    <x v="2"/>
    <x v="13"/>
    <x v="1"/>
    <s v="Cold Coffee"/>
    <x v="1"/>
    <n v="2"/>
    <n v="457"/>
    <n v="114.25"/>
    <n v="40"/>
    <n v="914"/>
    <n v="839.75"/>
    <x v="2"/>
    <x v="0"/>
    <x v="1"/>
    <n v="44"/>
    <n v="4.8"/>
  </r>
  <r>
    <x v="4961"/>
    <x v="362"/>
    <x v="11"/>
    <n v="12"/>
    <n v="29"/>
    <s v="Monday"/>
    <x v="4"/>
    <x v="7"/>
    <x v="4"/>
    <s v="Chicken Pizza"/>
    <x v="1"/>
    <n v="1"/>
    <n v="656"/>
    <n v="0"/>
    <n v="50"/>
    <n v="656"/>
    <n v="706"/>
    <x v="2"/>
    <x v="2"/>
    <x v="1"/>
    <n v="50"/>
    <m/>
  </r>
  <r>
    <x v="4962"/>
    <x v="363"/>
    <x v="11"/>
    <n v="12"/>
    <n v="30"/>
    <s v="Tuesday"/>
    <x v="6"/>
    <x v="2"/>
    <x v="9"/>
    <s v="Veg Pizza"/>
    <x v="1"/>
    <n v="1"/>
    <n v="701"/>
    <n v="140.19999999999999"/>
    <n v="70"/>
    <n v="701"/>
    <n v="630.79999999999995"/>
    <x v="2"/>
    <x v="0"/>
    <x v="0"/>
    <n v="33"/>
    <n v="4.2"/>
  </r>
  <r>
    <x v="4963"/>
    <x v="363"/>
    <x v="11"/>
    <n v="12"/>
    <n v="30"/>
    <s v="Tuesday"/>
    <x v="1"/>
    <x v="2"/>
    <x v="3"/>
    <s v="Chicken Burger"/>
    <x v="2"/>
    <n v="2"/>
    <n v="801"/>
    <n v="120.15"/>
    <n v="30"/>
    <n v="1602"/>
    <n v="1511.85"/>
    <x v="1"/>
    <x v="0"/>
    <x v="1"/>
    <n v="42"/>
    <n v="5"/>
  </r>
  <r>
    <x v="4964"/>
    <x v="363"/>
    <x v="11"/>
    <n v="12"/>
    <n v="30"/>
    <s v="Tuesday"/>
    <x v="7"/>
    <x v="0"/>
    <x v="4"/>
    <s v="Idli Sambar"/>
    <x v="1"/>
    <n v="1"/>
    <n v="716"/>
    <n v="35.799999999999997"/>
    <n v="30"/>
    <n v="716"/>
    <n v="710.2"/>
    <x v="1"/>
    <x v="0"/>
    <x v="1"/>
    <n v="33"/>
    <n v="3.6"/>
  </r>
  <r>
    <x v="4965"/>
    <x v="363"/>
    <x v="11"/>
    <n v="12"/>
    <n v="30"/>
    <s v="Tuesday"/>
    <x v="5"/>
    <x v="5"/>
    <x v="3"/>
    <s v="Chicken Biryani"/>
    <x v="2"/>
    <n v="2"/>
    <n v="385"/>
    <n v="0"/>
    <n v="0"/>
    <n v="770"/>
    <n v="770"/>
    <x v="2"/>
    <x v="0"/>
    <x v="1"/>
    <n v="64"/>
    <n v="4.3"/>
  </r>
  <r>
    <x v="4966"/>
    <x v="363"/>
    <x v="11"/>
    <n v="12"/>
    <n v="30"/>
    <s v="Tuesday"/>
    <x v="5"/>
    <x v="14"/>
    <x v="9"/>
    <s v="Fried Rice"/>
    <x v="2"/>
    <n v="1"/>
    <n v="393"/>
    <n v="19.649999999999999"/>
    <n v="20"/>
    <n v="393"/>
    <n v="393.35"/>
    <x v="1"/>
    <x v="0"/>
    <x v="1"/>
    <n v="63"/>
    <n v="4.0999999999999996"/>
  </r>
  <r>
    <x v="4967"/>
    <x v="363"/>
    <x v="11"/>
    <n v="12"/>
    <n v="30"/>
    <s v="Tuesday"/>
    <x v="1"/>
    <x v="14"/>
    <x v="0"/>
    <s v="Veg Biryani"/>
    <x v="2"/>
    <n v="1"/>
    <n v="663"/>
    <n v="99.45"/>
    <n v="40"/>
    <n v="663"/>
    <n v="603.54999999999995"/>
    <x v="0"/>
    <x v="1"/>
    <x v="1"/>
    <n v="44"/>
    <m/>
  </r>
  <r>
    <x v="4968"/>
    <x v="363"/>
    <x v="11"/>
    <n v="12"/>
    <n v="30"/>
    <s v="Tuesday"/>
    <x v="9"/>
    <x v="11"/>
    <x v="0"/>
    <s v="Paneer Butter Masala"/>
    <x v="1"/>
    <n v="1"/>
    <n v="698"/>
    <n v="174.5"/>
    <n v="0"/>
    <n v="698"/>
    <n v="523.5"/>
    <x v="0"/>
    <x v="0"/>
    <x v="1"/>
    <n v="20"/>
    <n v="4.5999999999999996"/>
  </r>
  <r>
    <x v="4969"/>
    <x v="363"/>
    <x v="11"/>
    <n v="12"/>
    <n v="30"/>
    <s v="Tuesday"/>
    <x v="3"/>
    <x v="13"/>
    <x v="9"/>
    <s v="Chicken Momos"/>
    <x v="0"/>
    <n v="2"/>
    <n v="484"/>
    <n v="24.2"/>
    <n v="40"/>
    <n v="968"/>
    <n v="983.8"/>
    <x v="4"/>
    <x v="0"/>
    <x v="0"/>
    <n v="53"/>
    <n v="3.8"/>
  </r>
  <r>
    <x v="4970"/>
    <x v="363"/>
    <x v="11"/>
    <n v="12"/>
    <n v="30"/>
    <s v="Tuesday"/>
    <x v="4"/>
    <x v="8"/>
    <x v="3"/>
    <s v="Chicken Pizza"/>
    <x v="1"/>
    <n v="3"/>
    <n v="700"/>
    <n v="70"/>
    <n v="50"/>
    <n v="2100"/>
    <n v="2080"/>
    <x v="0"/>
    <x v="2"/>
    <x v="1"/>
    <n v="39"/>
    <m/>
  </r>
  <r>
    <x v="4971"/>
    <x v="363"/>
    <x v="11"/>
    <n v="12"/>
    <n v="30"/>
    <s v="Tuesday"/>
    <x v="2"/>
    <x v="3"/>
    <x v="0"/>
    <s v="Veg Burger"/>
    <x v="1"/>
    <n v="1"/>
    <n v="692"/>
    <n v="0"/>
    <n v="40"/>
    <n v="692"/>
    <n v="732"/>
    <x v="2"/>
    <x v="2"/>
    <x v="1"/>
    <n v="44"/>
    <m/>
  </r>
  <r>
    <x v="4972"/>
    <x v="363"/>
    <x v="11"/>
    <n v="12"/>
    <n v="30"/>
    <s v="Tuesday"/>
    <x v="0"/>
    <x v="4"/>
    <x v="8"/>
    <s v="Fried Rice"/>
    <x v="1"/>
    <n v="2"/>
    <n v="516"/>
    <n v="103.2"/>
    <n v="20"/>
    <n v="1032"/>
    <n v="948.8"/>
    <x v="0"/>
    <x v="0"/>
    <x v="1"/>
    <n v="30"/>
    <n v="4.2"/>
  </r>
  <r>
    <x v="4973"/>
    <x v="363"/>
    <x v="11"/>
    <n v="12"/>
    <n v="30"/>
    <s v="Tuesday"/>
    <x v="3"/>
    <x v="4"/>
    <x v="9"/>
    <s v="Chocolate Cake"/>
    <x v="1"/>
    <n v="2"/>
    <n v="159"/>
    <n v="15.9"/>
    <n v="30"/>
    <n v="318"/>
    <n v="332.1"/>
    <x v="4"/>
    <x v="0"/>
    <x v="1"/>
    <n v="30"/>
    <n v="4.0999999999999996"/>
  </r>
  <r>
    <x v="4974"/>
    <x v="363"/>
    <x v="11"/>
    <n v="12"/>
    <n v="30"/>
    <s v="Tuesday"/>
    <x v="5"/>
    <x v="10"/>
    <x v="2"/>
    <s v="Cold Coffee"/>
    <x v="0"/>
    <n v="2"/>
    <n v="221"/>
    <n v="44.2"/>
    <n v="30"/>
    <n v="442"/>
    <n v="427.8"/>
    <x v="2"/>
    <x v="0"/>
    <x v="0"/>
    <n v="41"/>
    <n v="3.9"/>
  </r>
  <r>
    <x v="4975"/>
    <x v="363"/>
    <x v="11"/>
    <n v="12"/>
    <n v="30"/>
    <s v="Tuesday"/>
    <x v="5"/>
    <x v="2"/>
    <x v="2"/>
    <s v="Fried Rice"/>
    <x v="2"/>
    <n v="1"/>
    <n v="762"/>
    <n v="0"/>
    <n v="30"/>
    <n v="762"/>
    <n v="792"/>
    <x v="0"/>
    <x v="0"/>
    <x v="1"/>
    <n v="47"/>
    <n v="4.0999999999999996"/>
  </r>
  <r>
    <x v="4976"/>
    <x v="363"/>
    <x v="11"/>
    <n v="12"/>
    <n v="30"/>
    <s v="Tuesday"/>
    <x v="9"/>
    <x v="1"/>
    <x v="5"/>
    <s v="Idli Sambar"/>
    <x v="1"/>
    <n v="2"/>
    <n v="432"/>
    <n v="86.4"/>
    <n v="0"/>
    <n v="864"/>
    <n v="777.6"/>
    <x v="1"/>
    <x v="0"/>
    <x v="1"/>
    <n v="70"/>
    <n v="3.9"/>
  </r>
  <r>
    <x v="4977"/>
    <x v="363"/>
    <x v="11"/>
    <n v="12"/>
    <n v="30"/>
    <s v="Tuesday"/>
    <x v="9"/>
    <x v="7"/>
    <x v="3"/>
    <s v="Veg Biryani"/>
    <x v="1"/>
    <n v="1"/>
    <n v="829"/>
    <n v="0"/>
    <n v="20"/>
    <n v="829"/>
    <n v="849"/>
    <x v="3"/>
    <x v="0"/>
    <x v="0"/>
    <n v="53"/>
    <n v="3.5"/>
  </r>
  <r>
    <x v="4978"/>
    <x v="363"/>
    <x v="11"/>
    <n v="12"/>
    <n v="30"/>
    <s v="Tuesday"/>
    <x v="4"/>
    <x v="13"/>
    <x v="4"/>
    <s v="Paneer Butter Masala"/>
    <x v="1"/>
    <n v="1"/>
    <n v="336"/>
    <n v="50.4"/>
    <n v="50"/>
    <n v="336"/>
    <n v="335.6"/>
    <x v="3"/>
    <x v="1"/>
    <x v="0"/>
    <n v="47"/>
    <m/>
  </r>
  <r>
    <x v="4979"/>
    <x v="363"/>
    <x v="11"/>
    <n v="12"/>
    <n v="30"/>
    <s v="Tuesday"/>
    <x v="3"/>
    <x v="11"/>
    <x v="9"/>
    <s v="Chicken Burger"/>
    <x v="1"/>
    <n v="2"/>
    <n v="584"/>
    <n v="146"/>
    <n v="0"/>
    <n v="1168"/>
    <n v="1022"/>
    <x v="3"/>
    <x v="0"/>
    <x v="1"/>
    <n v="39"/>
    <n v="4"/>
  </r>
  <r>
    <x v="4980"/>
    <x v="363"/>
    <x v="11"/>
    <n v="12"/>
    <n v="30"/>
    <s v="Tuesday"/>
    <x v="9"/>
    <x v="0"/>
    <x v="6"/>
    <s v="Chocolate Cake"/>
    <x v="0"/>
    <n v="3"/>
    <n v="465"/>
    <n v="46.5"/>
    <n v="0"/>
    <n v="1395"/>
    <n v="1348.5"/>
    <x v="2"/>
    <x v="0"/>
    <x v="0"/>
    <n v="56"/>
    <n v="4.2"/>
  </r>
  <r>
    <x v="4981"/>
    <x v="364"/>
    <x v="11"/>
    <n v="12"/>
    <n v="31"/>
    <s v="Wednesday"/>
    <x v="8"/>
    <x v="3"/>
    <x v="6"/>
    <s v="Chicken Pizza"/>
    <x v="1"/>
    <n v="3"/>
    <n v="835"/>
    <n v="0"/>
    <n v="0"/>
    <n v="2505"/>
    <n v="2505"/>
    <x v="2"/>
    <x v="0"/>
    <x v="1"/>
    <n v="30"/>
    <n v="3.5"/>
  </r>
  <r>
    <x v="4982"/>
    <x v="364"/>
    <x v="11"/>
    <n v="12"/>
    <n v="31"/>
    <s v="Wednesday"/>
    <x v="3"/>
    <x v="12"/>
    <x v="2"/>
    <s v="Chicken Biryani"/>
    <x v="2"/>
    <n v="2"/>
    <n v="636"/>
    <n v="95.4"/>
    <n v="70"/>
    <n v="1272"/>
    <n v="1246.5999999999999"/>
    <x v="4"/>
    <x v="0"/>
    <x v="1"/>
    <n v="42"/>
    <n v="4"/>
  </r>
  <r>
    <x v="4983"/>
    <x v="364"/>
    <x v="11"/>
    <n v="12"/>
    <n v="31"/>
    <s v="Wednesday"/>
    <x v="9"/>
    <x v="14"/>
    <x v="3"/>
    <s v="Chicken Biryani"/>
    <x v="1"/>
    <n v="1"/>
    <n v="170"/>
    <n v="42.5"/>
    <n v="40"/>
    <n v="170"/>
    <n v="167.5"/>
    <x v="2"/>
    <x v="0"/>
    <x v="1"/>
    <n v="20"/>
    <n v="3.9"/>
  </r>
  <r>
    <x v="4984"/>
    <x v="364"/>
    <x v="11"/>
    <n v="12"/>
    <n v="31"/>
    <s v="Wednesday"/>
    <x v="6"/>
    <x v="0"/>
    <x v="2"/>
    <s v="Chicken Momos"/>
    <x v="1"/>
    <n v="1"/>
    <n v="711"/>
    <n v="71.099999999999994"/>
    <n v="0"/>
    <n v="711"/>
    <n v="639.9"/>
    <x v="1"/>
    <x v="0"/>
    <x v="0"/>
    <n v="48"/>
    <n v="3.9"/>
  </r>
  <r>
    <x v="4985"/>
    <x v="364"/>
    <x v="11"/>
    <n v="12"/>
    <n v="31"/>
    <s v="Wednesday"/>
    <x v="9"/>
    <x v="0"/>
    <x v="7"/>
    <s v="Cold Coffee"/>
    <x v="1"/>
    <n v="2"/>
    <n v="590"/>
    <n v="118"/>
    <n v="50"/>
    <n v="1180"/>
    <n v="1112"/>
    <x v="1"/>
    <x v="0"/>
    <x v="1"/>
    <n v="25"/>
    <n v="4.2"/>
  </r>
  <r>
    <x v="4986"/>
    <x v="364"/>
    <x v="11"/>
    <n v="12"/>
    <n v="31"/>
    <s v="Wednesday"/>
    <x v="1"/>
    <x v="8"/>
    <x v="9"/>
    <s v="Chocolate Cake"/>
    <x v="1"/>
    <n v="2"/>
    <n v="656"/>
    <n v="65.599999999999994"/>
    <n v="40"/>
    <n v="1312"/>
    <n v="1286.4000000000001"/>
    <x v="0"/>
    <x v="0"/>
    <x v="0"/>
    <n v="40"/>
    <n v="3.8"/>
  </r>
  <r>
    <x v="4987"/>
    <x v="364"/>
    <x v="11"/>
    <n v="12"/>
    <n v="31"/>
    <s v="Wednesday"/>
    <x v="3"/>
    <x v="10"/>
    <x v="0"/>
    <s v="Veg Momos"/>
    <x v="1"/>
    <n v="3"/>
    <n v="362"/>
    <n v="36.200000000000003"/>
    <n v="50"/>
    <n v="1086"/>
    <n v="1099.8"/>
    <x v="1"/>
    <x v="0"/>
    <x v="0"/>
    <n v="21"/>
    <n v="4.5"/>
  </r>
  <r>
    <x v="4988"/>
    <x v="364"/>
    <x v="11"/>
    <n v="12"/>
    <n v="31"/>
    <s v="Wednesday"/>
    <x v="7"/>
    <x v="13"/>
    <x v="1"/>
    <s v="Chocolate Cake"/>
    <x v="3"/>
    <n v="2"/>
    <n v="827"/>
    <n v="82.7"/>
    <n v="30"/>
    <n v="1654"/>
    <n v="1601.3"/>
    <x v="4"/>
    <x v="0"/>
    <x v="1"/>
    <n v="24"/>
    <n v="3.8"/>
  </r>
  <r>
    <x v="4989"/>
    <x v="364"/>
    <x v="11"/>
    <n v="12"/>
    <n v="31"/>
    <s v="Wednesday"/>
    <x v="0"/>
    <x v="12"/>
    <x v="9"/>
    <s v="Chicken Burger"/>
    <x v="1"/>
    <n v="1"/>
    <n v="541"/>
    <n v="135.25"/>
    <n v="40"/>
    <n v="541"/>
    <n v="445.75"/>
    <x v="3"/>
    <x v="2"/>
    <x v="1"/>
    <n v="54"/>
    <m/>
  </r>
  <r>
    <x v="4990"/>
    <x v="364"/>
    <x v="11"/>
    <n v="12"/>
    <n v="31"/>
    <s v="Wednesday"/>
    <x v="1"/>
    <x v="10"/>
    <x v="6"/>
    <s v="Cold Coffee"/>
    <x v="2"/>
    <n v="3"/>
    <n v="234"/>
    <n v="0"/>
    <n v="0"/>
    <n v="702"/>
    <n v="702"/>
    <x v="1"/>
    <x v="3"/>
    <x v="0"/>
    <n v="20"/>
    <m/>
  </r>
  <r>
    <x v="4991"/>
    <x v="364"/>
    <x v="11"/>
    <n v="12"/>
    <n v="31"/>
    <s v="Wednesday"/>
    <x v="4"/>
    <x v="4"/>
    <x v="1"/>
    <s v="Fried Rice"/>
    <x v="1"/>
    <n v="3"/>
    <n v="354"/>
    <n v="17.7"/>
    <n v="40"/>
    <n v="1062"/>
    <n v="1084.3"/>
    <x v="2"/>
    <x v="1"/>
    <x v="0"/>
    <n v="24"/>
    <m/>
  </r>
  <r>
    <x v="4992"/>
    <x v="364"/>
    <x v="11"/>
    <n v="12"/>
    <n v="31"/>
    <s v="Wednesday"/>
    <x v="6"/>
    <x v="10"/>
    <x v="0"/>
    <s v="Fried Rice"/>
    <x v="1"/>
    <n v="1"/>
    <n v="742"/>
    <n v="148.4"/>
    <n v="30"/>
    <n v="742"/>
    <n v="623.6"/>
    <x v="3"/>
    <x v="0"/>
    <x v="1"/>
    <n v="58"/>
    <n v="4.3"/>
  </r>
  <r>
    <x v="4993"/>
    <x v="364"/>
    <x v="11"/>
    <n v="12"/>
    <n v="31"/>
    <s v="Wednesday"/>
    <x v="3"/>
    <x v="1"/>
    <x v="1"/>
    <s v="Veg Momos"/>
    <x v="1"/>
    <n v="1"/>
    <n v="132"/>
    <n v="13.2"/>
    <n v="0"/>
    <n v="132"/>
    <n v="118.8"/>
    <x v="2"/>
    <x v="2"/>
    <x v="0"/>
    <n v="27"/>
    <m/>
  </r>
  <r>
    <x v="4994"/>
    <x v="364"/>
    <x v="11"/>
    <n v="12"/>
    <n v="31"/>
    <s v="Wednesday"/>
    <x v="7"/>
    <x v="12"/>
    <x v="1"/>
    <s v="Chicken Burger"/>
    <x v="1"/>
    <n v="1"/>
    <n v="610"/>
    <n v="152.5"/>
    <n v="40"/>
    <n v="610"/>
    <n v="497.5"/>
    <x v="4"/>
    <x v="3"/>
    <x v="1"/>
    <n v="47"/>
    <m/>
  </r>
  <r>
    <x v="4995"/>
    <x v="364"/>
    <x v="11"/>
    <n v="12"/>
    <n v="31"/>
    <s v="Wednesday"/>
    <x v="9"/>
    <x v="4"/>
    <x v="5"/>
    <s v="Cold Coffee"/>
    <x v="1"/>
    <n v="1"/>
    <n v="526"/>
    <n v="26.3"/>
    <n v="0"/>
    <n v="526"/>
    <n v="499.7"/>
    <x v="0"/>
    <x v="0"/>
    <x v="1"/>
    <n v="33"/>
    <n v="4.5"/>
  </r>
  <r>
    <x v="4996"/>
    <x v="364"/>
    <x v="11"/>
    <n v="12"/>
    <n v="31"/>
    <s v="Wednesday"/>
    <x v="7"/>
    <x v="1"/>
    <x v="8"/>
    <s v="Veg Burger"/>
    <x v="1"/>
    <n v="2"/>
    <n v="370"/>
    <n v="18.5"/>
    <n v="20"/>
    <n v="740"/>
    <n v="741.5"/>
    <x v="1"/>
    <x v="0"/>
    <x v="1"/>
    <n v="26"/>
    <n v="4.3"/>
  </r>
  <r>
    <x v="4997"/>
    <x v="364"/>
    <x v="11"/>
    <n v="12"/>
    <n v="31"/>
    <s v="Wednesday"/>
    <x v="1"/>
    <x v="0"/>
    <x v="1"/>
    <s v="Chicken Biryani"/>
    <x v="1"/>
    <n v="2"/>
    <n v="570"/>
    <n v="85.5"/>
    <n v="50"/>
    <n v="1140"/>
    <n v="1104.5"/>
    <x v="1"/>
    <x v="0"/>
    <x v="1"/>
    <n v="23"/>
    <n v="3.7"/>
  </r>
  <r>
    <x v="4998"/>
    <x v="364"/>
    <x v="11"/>
    <n v="12"/>
    <n v="31"/>
    <s v="Wednesday"/>
    <x v="1"/>
    <x v="7"/>
    <x v="8"/>
    <s v="Chicken Pizza"/>
    <x v="1"/>
    <n v="2"/>
    <n v="576"/>
    <n v="86.4"/>
    <n v="30"/>
    <n v="1152"/>
    <n v="1095.5999999999999"/>
    <x v="0"/>
    <x v="0"/>
    <x v="1"/>
    <n v="48"/>
    <n v="3.7"/>
  </r>
  <r>
    <x v="4999"/>
    <x v="364"/>
    <x v="11"/>
    <n v="12"/>
    <n v="31"/>
    <s v="Wednesday"/>
    <x v="3"/>
    <x v="3"/>
    <x v="5"/>
    <s v="Chicken Momos"/>
    <x v="1"/>
    <n v="1"/>
    <n v="353"/>
    <n v="52.95"/>
    <n v="30"/>
    <n v="353"/>
    <n v="330.05"/>
    <x v="1"/>
    <x v="0"/>
    <x v="1"/>
    <n v="50"/>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60CD0C-9FB8-48F6-B9AD-30E9B391CE9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1:B7" firstHeaderRow="1" firstDataRow="1" firstDataCol="1"/>
  <pivotFields count="22">
    <pivotField dataField="1"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13">
        <item x="0"/>
        <item x="1"/>
        <item x="2"/>
        <item x="3"/>
        <item x="4"/>
        <item x="5"/>
        <item x="6"/>
        <item x="7"/>
        <item x="8"/>
        <item x="9"/>
        <item x="10"/>
        <item x="11"/>
        <item t="default"/>
      </items>
    </pivotField>
    <pivotField showAll="0"/>
    <pivotField showAll="0"/>
    <pivotField showAll="0"/>
    <pivotField showAll="0">
      <items count="11">
        <item x="6"/>
        <item x="1"/>
        <item x="8"/>
        <item x="0"/>
        <item x="9"/>
        <item x="7"/>
        <item x="5"/>
        <item x="4"/>
        <item x="2"/>
        <item x="3"/>
        <item t="default"/>
      </items>
    </pivotField>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axis="axisRow" showAll="0">
      <items count="6">
        <item x="4"/>
        <item x="2"/>
        <item x="0"/>
        <item x="1"/>
        <item x="3"/>
        <item t="default"/>
      </items>
    </pivotField>
    <pivotField showAll="0">
      <items count="5">
        <item x="1"/>
        <item x="0"/>
        <item x="2"/>
        <item x="3"/>
        <item t="default"/>
      </items>
    </pivotField>
    <pivotField showAll="0">
      <items count="3">
        <item x="0"/>
        <item x="1"/>
        <item t="default"/>
      </items>
    </pivotField>
    <pivotField showAll="0"/>
    <pivotField showAll="0"/>
  </pivotFields>
  <rowFields count="1">
    <field x="17"/>
  </rowFields>
  <rowItems count="6">
    <i>
      <x/>
    </i>
    <i>
      <x v="1"/>
    </i>
    <i>
      <x v="2"/>
    </i>
    <i>
      <x v="3"/>
    </i>
    <i>
      <x v="4"/>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754097-AA7D-4573-8723-79FA887FE88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A3:B14" firstHeaderRow="1" firstDataRow="1" firstDataCol="1"/>
  <pivotFields count="2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13">
        <item x="0"/>
        <item x="1"/>
        <item x="2"/>
        <item x="3"/>
        <item x="4"/>
        <item x="5"/>
        <item x="6"/>
        <item x="7"/>
        <item x="8"/>
        <item x="9"/>
        <item x="10"/>
        <item x="11"/>
        <item t="default"/>
      </items>
    </pivotField>
    <pivotField showAll="0"/>
    <pivotField showAll="0"/>
    <pivotField showAll="0"/>
    <pivotField axis="axisRow" showAll="0">
      <items count="11">
        <item x="6"/>
        <item x="1"/>
        <item x="8"/>
        <item x="0"/>
        <item x="9"/>
        <item x="7"/>
        <item x="5"/>
        <item x="4"/>
        <item x="2"/>
        <item x="3"/>
        <item t="default"/>
      </items>
    </pivotField>
    <pivotField showAll="0"/>
    <pivotField showAll="0"/>
    <pivotField showAll="0"/>
    <pivotField showAll="0">
      <items count="5">
        <item x="0"/>
        <item x="3"/>
        <item x="1"/>
        <item x="2"/>
        <item t="default"/>
      </items>
    </pivotField>
    <pivotField showAll="0"/>
    <pivotField showAll="0"/>
    <pivotField showAll="0"/>
    <pivotField showAll="0"/>
    <pivotField dataField="1" showAll="0"/>
    <pivotField showAll="0"/>
    <pivotField showAll="0">
      <items count="6">
        <item x="4"/>
        <item x="2"/>
        <item x="0"/>
        <item x="1"/>
        <item x="3"/>
        <item t="default"/>
      </items>
    </pivotField>
    <pivotField showAll="0">
      <items count="5">
        <item x="1"/>
        <item x="0"/>
        <item x="2"/>
        <item x="3"/>
        <item t="default"/>
      </items>
    </pivotField>
    <pivotField showAll="0">
      <items count="3">
        <item x="0"/>
        <item x="1"/>
        <item t="default"/>
      </items>
    </pivotField>
    <pivotField showAll="0"/>
    <pivotField showAll="0"/>
  </pivotFields>
  <rowFields count="1">
    <field x="6"/>
  </rowFields>
  <rowItems count="11">
    <i>
      <x/>
    </i>
    <i>
      <x v="1"/>
    </i>
    <i>
      <x v="2"/>
    </i>
    <i>
      <x v="3"/>
    </i>
    <i>
      <x v="4"/>
    </i>
    <i>
      <x v="5"/>
    </i>
    <i>
      <x v="6"/>
    </i>
    <i>
      <x v="7"/>
    </i>
    <i>
      <x v="8"/>
    </i>
    <i>
      <x v="9"/>
    </i>
    <i t="grand">
      <x/>
    </i>
  </rowItems>
  <colItems count="1">
    <i/>
  </colItems>
  <dataFields count="1">
    <dataField name="Sum of Order_Value" fld="15"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579A6-8B9B-49DC-8663-8351C3479EC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3">
  <location ref="A1:B6" firstHeaderRow="1" firstDataRow="1" firstDataCol="1"/>
  <pivotFields count="22">
    <pivotField dataField="1"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13">
        <item x="0"/>
        <item x="1"/>
        <item x="2"/>
        <item x="3"/>
        <item x="4"/>
        <item x="5"/>
        <item x="6"/>
        <item x="7"/>
        <item x="8"/>
        <item x="9"/>
        <item x="10"/>
        <item x="11"/>
        <item t="default"/>
      </items>
    </pivotField>
    <pivotField showAll="0"/>
    <pivotField showAll="0"/>
    <pivotField showAll="0"/>
    <pivotField showAll="0">
      <items count="11">
        <item x="6"/>
        <item x="1"/>
        <item x="8"/>
        <item x="0"/>
        <item x="9"/>
        <item x="7"/>
        <item x="5"/>
        <item x="4"/>
        <item x="2"/>
        <item x="3"/>
        <item t="default"/>
      </items>
    </pivotField>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items count="6">
        <item x="4"/>
        <item x="2"/>
        <item x="0"/>
        <item x="1"/>
        <item x="3"/>
        <item t="default"/>
      </items>
    </pivotField>
    <pivotField axis="axisRow" showAll="0">
      <items count="5">
        <item x="1"/>
        <item x="0"/>
        <item x="2"/>
        <item x="3"/>
        <item t="default"/>
      </items>
    </pivotField>
    <pivotField showAll="0">
      <items count="3">
        <item x="0"/>
        <item x="1"/>
        <item t="default"/>
      </items>
    </pivotField>
    <pivotField showAll="0"/>
    <pivotField showAll="0"/>
  </pivotFields>
  <rowFields count="1">
    <field x="18"/>
  </rowFields>
  <rowItems count="5">
    <i>
      <x/>
    </i>
    <i>
      <x v="1"/>
    </i>
    <i>
      <x v="2"/>
    </i>
    <i>
      <x v="3"/>
    </i>
    <i t="grand">
      <x/>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8" count="1" selected="0">
            <x v="0"/>
          </reference>
        </references>
      </pivotArea>
    </chartFormat>
    <chartFormat chart="0" format="6">
      <pivotArea type="data" outline="0" fieldPosition="0">
        <references count="2">
          <reference field="4294967294" count="1" selected="0">
            <x v="0"/>
          </reference>
          <reference field="18" count="1" selected="0">
            <x v="1"/>
          </reference>
        </references>
      </pivotArea>
    </chartFormat>
    <chartFormat chart="0" format="7">
      <pivotArea type="data" outline="0" fieldPosition="0">
        <references count="2">
          <reference field="4294967294" count="1" selected="0">
            <x v="0"/>
          </reference>
          <reference field="18" count="1" selected="0">
            <x v="2"/>
          </reference>
        </references>
      </pivotArea>
    </chartFormat>
    <chartFormat chart="0" format="8">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226EED-8063-4BA7-B715-C40A59240A1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B16" firstHeaderRow="1" firstDataRow="1" firstDataCol="1"/>
  <pivotFields count="22">
    <pivotField dataField="1"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items count="11">
        <item x="6"/>
        <item x="1"/>
        <item x="8"/>
        <item x="0"/>
        <item x="9"/>
        <item x="7"/>
        <item x="5"/>
        <item x="4"/>
        <item x="2"/>
        <item x="3"/>
        <item t="default"/>
      </items>
    </pivotField>
    <pivotField showAll="0"/>
    <pivotField showAll="0">
      <items count="11">
        <item x="0"/>
        <item x="2"/>
        <item x="1"/>
        <item x="5"/>
        <item x="4"/>
        <item x="7"/>
        <item x="6"/>
        <item x="8"/>
        <item x="3"/>
        <item x="9"/>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items count="6">
        <item x="4"/>
        <item x="2"/>
        <item x="0"/>
        <item x="1"/>
        <item x="3"/>
        <item t="default"/>
      </items>
    </pivotField>
    <pivotField showAll="0">
      <items count="5">
        <item x="1"/>
        <item x="0"/>
        <item x="2"/>
        <item x="3"/>
        <item t="default"/>
      </items>
    </pivotField>
    <pivotField showAll="0">
      <items count="3">
        <item x="0"/>
        <item x="1"/>
        <item t="default"/>
      </items>
    </pivotField>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Order_ID" fld="0" subtotal="count" baseField="0" baseItem="0"/>
  </dataFields>
  <chartFormats count="52">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 chart="3" format="21">
      <pivotArea type="data" outline="0" fieldPosition="0">
        <references count="2">
          <reference field="4294967294" count="1" selected="0">
            <x v="0"/>
          </reference>
          <reference field="2" count="1" selected="0">
            <x v="6"/>
          </reference>
        </references>
      </pivotArea>
    </chartFormat>
    <chartFormat chart="3" format="22">
      <pivotArea type="data" outline="0" fieldPosition="0">
        <references count="2">
          <reference field="4294967294" count="1" selected="0">
            <x v="0"/>
          </reference>
          <reference field="2" count="1" selected="0">
            <x v="7"/>
          </reference>
        </references>
      </pivotArea>
    </chartFormat>
    <chartFormat chart="3" format="23">
      <pivotArea type="data" outline="0" fieldPosition="0">
        <references count="2">
          <reference field="4294967294" count="1" selected="0">
            <x v="0"/>
          </reference>
          <reference field="2" count="1" selected="0">
            <x v="8"/>
          </reference>
        </references>
      </pivotArea>
    </chartFormat>
    <chartFormat chart="3" format="24">
      <pivotArea type="data" outline="0" fieldPosition="0">
        <references count="2">
          <reference field="4294967294" count="1" selected="0">
            <x v="0"/>
          </reference>
          <reference field="2" count="1" selected="0">
            <x v="9"/>
          </reference>
        </references>
      </pivotArea>
    </chartFormat>
    <chartFormat chart="3" format="25">
      <pivotArea type="data" outline="0" fieldPosition="0">
        <references count="2">
          <reference field="4294967294" count="1" selected="0">
            <x v="0"/>
          </reference>
          <reference field="2" count="1" selected="0">
            <x v="10"/>
          </reference>
        </references>
      </pivotArea>
    </chartFormat>
    <chartFormat chart="3" format="26">
      <pivotArea type="data" outline="0" fieldPosition="0">
        <references count="2">
          <reference field="4294967294" count="1" selected="0">
            <x v="0"/>
          </reference>
          <reference field="2" count="1" selected="0">
            <x v="1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2" count="1" selected="0">
            <x v="0"/>
          </reference>
        </references>
      </pivotArea>
    </chartFormat>
    <chartFormat chart="7" format="29">
      <pivotArea type="data" outline="0" fieldPosition="0">
        <references count="2">
          <reference field="4294967294" count="1" selected="0">
            <x v="0"/>
          </reference>
          <reference field="2" count="1" selected="0">
            <x v="1"/>
          </reference>
        </references>
      </pivotArea>
    </chartFormat>
    <chartFormat chart="7" format="30">
      <pivotArea type="data" outline="0" fieldPosition="0">
        <references count="2">
          <reference field="4294967294" count="1" selected="0">
            <x v="0"/>
          </reference>
          <reference field="2" count="1" selected="0">
            <x v="2"/>
          </reference>
        </references>
      </pivotArea>
    </chartFormat>
    <chartFormat chart="7" format="31">
      <pivotArea type="data" outline="0" fieldPosition="0">
        <references count="2">
          <reference field="4294967294" count="1" selected="0">
            <x v="0"/>
          </reference>
          <reference field="2" count="1" selected="0">
            <x v="3"/>
          </reference>
        </references>
      </pivotArea>
    </chartFormat>
    <chartFormat chart="7" format="32">
      <pivotArea type="data" outline="0" fieldPosition="0">
        <references count="2">
          <reference field="4294967294" count="1" selected="0">
            <x v="0"/>
          </reference>
          <reference field="2" count="1" selected="0">
            <x v="4"/>
          </reference>
        </references>
      </pivotArea>
    </chartFormat>
    <chartFormat chart="7" format="33">
      <pivotArea type="data" outline="0" fieldPosition="0">
        <references count="2">
          <reference field="4294967294" count="1" selected="0">
            <x v="0"/>
          </reference>
          <reference field="2" count="1" selected="0">
            <x v="5"/>
          </reference>
        </references>
      </pivotArea>
    </chartFormat>
    <chartFormat chart="7" format="34">
      <pivotArea type="data" outline="0" fieldPosition="0">
        <references count="2">
          <reference field="4294967294" count="1" selected="0">
            <x v="0"/>
          </reference>
          <reference field="2" count="1" selected="0">
            <x v="6"/>
          </reference>
        </references>
      </pivotArea>
    </chartFormat>
    <chartFormat chart="7" format="35">
      <pivotArea type="data" outline="0" fieldPosition="0">
        <references count="2">
          <reference field="4294967294" count="1" selected="0">
            <x v="0"/>
          </reference>
          <reference field="2" count="1" selected="0">
            <x v="7"/>
          </reference>
        </references>
      </pivotArea>
    </chartFormat>
    <chartFormat chart="7" format="36">
      <pivotArea type="data" outline="0" fieldPosition="0">
        <references count="2">
          <reference field="4294967294" count="1" selected="0">
            <x v="0"/>
          </reference>
          <reference field="2" count="1" selected="0">
            <x v="8"/>
          </reference>
        </references>
      </pivotArea>
    </chartFormat>
    <chartFormat chart="7" format="37">
      <pivotArea type="data" outline="0" fieldPosition="0">
        <references count="2">
          <reference field="4294967294" count="1" selected="0">
            <x v="0"/>
          </reference>
          <reference field="2" count="1" selected="0">
            <x v="9"/>
          </reference>
        </references>
      </pivotArea>
    </chartFormat>
    <chartFormat chart="7" format="38">
      <pivotArea type="data" outline="0" fieldPosition="0">
        <references count="2">
          <reference field="4294967294" count="1" selected="0">
            <x v="0"/>
          </reference>
          <reference field="2" count="1" selected="0">
            <x v="10"/>
          </reference>
        </references>
      </pivotArea>
    </chartFormat>
    <chartFormat chart="7" format="39">
      <pivotArea type="data" outline="0" fieldPosition="0">
        <references count="2">
          <reference field="4294967294" count="1" selected="0">
            <x v="0"/>
          </reference>
          <reference field="2" count="1" selected="0">
            <x v="11"/>
          </reference>
        </references>
      </pivotArea>
    </chartFormat>
    <chartFormat chart="8" format="40" series="1">
      <pivotArea type="data" outline="0" fieldPosition="0">
        <references count="1">
          <reference field="4294967294" count="1" selected="0">
            <x v="0"/>
          </reference>
        </references>
      </pivotArea>
    </chartFormat>
    <chartFormat chart="8" format="41">
      <pivotArea type="data" outline="0" fieldPosition="0">
        <references count="2">
          <reference field="4294967294" count="1" selected="0">
            <x v="0"/>
          </reference>
          <reference field="2" count="1" selected="0">
            <x v="0"/>
          </reference>
        </references>
      </pivotArea>
    </chartFormat>
    <chartFormat chart="8" format="42">
      <pivotArea type="data" outline="0" fieldPosition="0">
        <references count="2">
          <reference field="4294967294" count="1" selected="0">
            <x v="0"/>
          </reference>
          <reference field="2" count="1" selected="0">
            <x v="1"/>
          </reference>
        </references>
      </pivotArea>
    </chartFormat>
    <chartFormat chart="8" format="43">
      <pivotArea type="data" outline="0" fieldPosition="0">
        <references count="2">
          <reference field="4294967294" count="1" selected="0">
            <x v="0"/>
          </reference>
          <reference field="2" count="1" selected="0">
            <x v="2"/>
          </reference>
        </references>
      </pivotArea>
    </chartFormat>
    <chartFormat chart="8" format="44">
      <pivotArea type="data" outline="0" fieldPosition="0">
        <references count="2">
          <reference field="4294967294" count="1" selected="0">
            <x v="0"/>
          </reference>
          <reference field="2" count="1" selected="0">
            <x v="3"/>
          </reference>
        </references>
      </pivotArea>
    </chartFormat>
    <chartFormat chart="8" format="45">
      <pivotArea type="data" outline="0" fieldPosition="0">
        <references count="2">
          <reference field="4294967294" count="1" selected="0">
            <x v="0"/>
          </reference>
          <reference field="2" count="1" selected="0">
            <x v="4"/>
          </reference>
        </references>
      </pivotArea>
    </chartFormat>
    <chartFormat chart="8" format="46">
      <pivotArea type="data" outline="0" fieldPosition="0">
        <references count="2">
          <reference field="4294967294" count="1" selected="0">
            <x v="0"/>
          </reference>
          <reference field="2" count="1" selected="0">
            <x v="5"/>
          </reference>
        </references>
      </pivotArea>
    </chartFormat>
    <chartFormat chart="8" format="47">
      <pivotArea type="data" outline="0" fieldPosition="0">
        <references count="2">
          <reference field="4294967294" count="1" selected="0">
            <x v="0"/>
          </reference>
          <reference field="2" count="1" selected="0">
            <x v="6"/>
          </reference>
        </references>
      </pivotArea>
    </chartFormat>
    <chartFormat chart="8" format="48">
      <pivotArea type="data" outline="0" fieldPosition="0">
        <references count="2">
          <reference field="4294967294" count="1" selected="0">
            <x v="0"/>
          </reference>
          <reference field="2" count="1" selected="0">
            <x v="7"/>
          </reference>
        </references>
      </pivotArea>
    </chartFormat>
    <chartFormat chart="8" format="49">
      <pivotArea type="data" outline="0" fieldPosition="0">
        <references count="2">
          <reference field="4294967294" count="1" selected="0">
            <x v="0"/>
          </reference>
          <reference field="2" count="1" selected="0">
            <x v="8"/>
          </reference>
        </references>
      </pivotArea>
    </chartFormat>
    <chartFormat chart="8" format="50">
      <pivotArea type="data" outline="0" fieldPosition="0">
        <references count="2">
          <reference field="4294967294" count="1" selected="0">
            <x v="0"/>
          </reference>
          <reference field="2" count="1" selected="0">
            <x v="9"/>
          </reference>
        </references>
      </pivotArea>
    </chartFormat>
    <chartFormat chart="8" format="51">
      <pivotArea type="data" outline="0" fieldPosition="0">
        <references count="2">
          <reference field="4294967294" count="1" selected="0">
            <x v="0"/>
          </reference>
          <reference field="2" count="1" selected="0">
            <x v="10"/>
          </reference>
        </references>
      </pivotArea>
    </chartFormat>
    <chartFormat chart="8" format="52">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806B68-44E8-4C37-A2EB-D237A0E96D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B6" firstHeaderRow="1" firstDataRow="1" firstDataCol="1"/>
  <pivotFields count="22">
    <pivotField dataField="1"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13">
        <item x="0"/>
        <item x="1"/>
        <item x="2"/>
        <item x="3"/>
        <item x="4"/>
        <item x="5"/>
        <item x="6"/>
        <item x="7"/>
        <item x="8"/>
        <item x="9"/>
        <item x="10"/>
        <item x="11"/>
        <item t="default"/>
      </items>
    </pivotField>
    <pivotField showAll="0"/>
    <pivotField showAll="0"/>
    <pivotField showAll="0"/>
    <pivotField showAll="0">
      <items count="11">
        <item x="6"/>
        <item x="1"/>
        <item x="8"/>
        <item x="0"/>
        <item x="9"/>
        <item x="7"/>
        <item x="5"/>
        <item x="4"/>
        <item x="2"/>
        <item x="3"/>
        <item t="default"/>
      </items>
    </pivotField>
    <pivotField showAll="0"/>
    <pivotField showAll="0"/>
    <pivotField showAll="0"/>
    <pivotField axis="axisRow" showAll="0">
      <items count="5">
        <item x="0"/>
        <item x="3"/>
        <item x="1"/>
        <item x="2"/>
        <item t="default"/>
      </items>
    </pivotField>
    <pivotField showAll="0"/>
    <pivotField showAll="0"/>
    <pivotField showAll="0"/>
    <pivotField showAll="0"/>
    <pivotField showAll="0"/>
    <pivotField showAll="0"/>
    <pivotField showAll="0">
      <items count="6">
        <item x="4"/>
        <item x="2"/>
        <item x="0"/>
        <item x="1"/>
        <item x="3"/>
        <item t="default"/>
      </items>
    </pivotField>
    <pivotField showAll="0">
      <items count="5">
        <item x="1"/>
        <item x="0"/>
        <item x="2"/>
        <item x="3"/>
        <item t="default"/>
      </items>
    </pivotField>
    <pivotField showAll="0">
      <items count="3">
        <item x="0"/>
        <item x="1"/>
        <item t="default"/>
      </items>
    </pivotField>
    <pivotField showAll="0"/>
    <pivotField showAll="0"/>
  </pivotFields>
  <rowFields count="1">
    <field x="10"/>
  </rowFields>
  <rowItems count="5">
    <i>
      <x/>
    </i>
    <i>
      <x v="1"/>
    </i>
    <i>
      <x v="2"/>
    </i>
    <i>
      <x v="3"/>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E28E3F-75F7-462B-8533-78847D6AF63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17" firstHeaderRow="1" firstDataRow="1" firstDataCol="1"/>
  <pivotFields count="2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13">
        <item x="0"/>
        <item x="1"/>
        <item x="2"/>
        <item x="3"/>
        <item x="4"/>
        <item x="5"/>
        <item x="6"/>
        <item x="7"/>
        <item x="8"/>
        <item x="9"/>
        <item x="10"/>
        <item x="11"/>
        <item t="default"/>
      </items>
    </pivotField>
    <pivotField showAll="0"/>
    <pivotField showAll="0"/>
    <pivotField showAll="0"/>
    <pivotField showAll="0">
      <items count="11">
        <item x="6"/>
        <item x="1"/>
        <item x="8"/>
        <item x="0"/>
        <item x="9"/>
        <item x="7"/>
        <item x="5"/>
        <item x="4"/>
        <item x="2"/>
        <item x="3"/>
        <item t="default"/>
      </items>
    </pivotField>
    <pivotField axis="axisRow" showAll="0">
      <items count="16">
        <item x="1"/>
        <item x="0"/>
        <item x="5"/>
        <item x="9"/>
        <item x="7"/>
        <item x="6"/>
        <item x="8"/>
        <item x="14"/>
        <item x="2"/>
        <item x="13"/>
        <item x="12"/>
        <item x="11"/>
        <item x="3"/>
        <item x="4"/>
        <item x="10"/>
        <item t="default"/>
      </items>
    </pivotField>
    <pivotField showAll="0"/>
    <pivotField showAll="0"/>
    <pivotField showAll="0">
      <items count="5">
        <item x="0"/>
        <item x="3"/>
        <item x="1"/>
        <item x="2"/>
        <item t="default"/>
      </items>
    </pivotField>
    <pivotField showAll="0"/>
    <pivotField showAll="0"/>
    <pivotField showAll="0"/>
    <pivotField showAll="0"/>
    <pivotField showAll="0"/>
    <pivotField dataField="1" showAll="0"/>
    <pivotField showAll="0">
      <items count="6">
        <item x="4"/>
        <item x="2"/>
        <item x="0"/>
        <item x="1"/>
        <item x="3"/>
        <item t="default"/>
      </items>
    </pivotField>
    <pivotField showAll="0">
      <items count="5">
        <item x="1"/>
        <item x="0"/>
        <item x="2"/>
        <item x="3"/>
        <item t="default"/>
      </items>
    </pivotField>
    <pivotField showAll="0">
      <items count="3">
        <item x="0"/>
        <item x="1"/>
        <item t="default"/>
      </items>
    </pivotField>
    <pivotField showAll="0"/>
    <pivotField showAll="0"/>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Final_Amount" fld="16"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8784264-4C6F-45A4-A03E-464C24CD8C9A}" sourceName="Month">
  <pivotTables>
    <pivotTable tabId="9" name="PivotTable6"/>
    <pivotTable tabId="13" name="PivotTable1"/>
    <pivotTable tabId="6" name="PivotTable3"/>
    <pivotTable tabId="7" name="PivotTable4"/>
    <pivotTable tabId="15" name="PivotTable2"/>
    <pivotTable tabId="8" name="PivotTable5"/>
  </pivotTables>
  <data>
    <tabular pivotCacheId="48431075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E51FC03-C29B-4011-B640-A70EB90A9DDF}" sourceName="City">
  <pivotTables>
    <pivotTable tabId="9" name="PivotTable6"/>
    <pivotTable tabId="13" name="PivotTable1"/>
    <pivotTable tabId="6" name="PivotTable3"/>
    <pivotTable tabId="7" name="PivotTable4"/>
    <pivotTable tabId="8" name="PivotTable5"/>
    <pivotTable tabId="15" name="PivotTable2"/>
  </pivotTables>
  <data>
    <tabular pivotCacheId="484310750">
      <items count="10">
        <i x="6" s="1"/>
        <i x="1" s="1"/>
        <i x="8" s="1"/>
        <i x="0" s="1"/>
        <i x="9" s="1"/>
        <i x="7" s="1"/>
        <i x="5"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261EC8C-BFFC-4161-99DE-43B20D22B71A}" sourceName="Category">
  <pivotTables>
    <pivotTable tabId="9" name="PivotTable6"/>
    <pivotTable tabId="13" name="PivotTable1"/>
    <pivotTable tabId="6" name="PivotTable3"/>
    <pivotTable tabId="7" name="PivotTable4"/>
    <pivotTable tabId="8" name="PivotTable5"/>
    <pivotTable tabId="15" name="PivotTable2"/>
  </pivotTables>
  <data>
    <tabular pivotCacheId="484310750">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DCCD8335-C81D-4630-83C7-95B2978F2EEA}" sourceName="Payment_Method">
  <pivotTables>
    <pivotTable tabId="9" name="PivotTable6"/>
    <pivotTable tabId="13" name="PivotTable1"/>
    <pivotTable tabId="6" name="PivotTable3"/>
    <pivotTable tabId="7" name="PivotTable4"/>
    <pivotTable tabId="15" name="PivotTable2"/>
    <pivotTable tabId="8" name="PivotTable5"/>
  </pivotTables>
  <data>
    <tabular pivotCacheId="484310750">
      <items count="5">
        <i x="4" s="1"/>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A69E11F-A38B-4C34-BBFA-724B1D9B48D0}" sourceName="Order_Status">
  <pivotTables>
    <pivotTable tabId="9" name="PivotTable6"/>
    <pivotTable tabId="13" name="PivotTable1"/>
    <pivotTable tabId="6" name="PivotTable3"/>
    <pivotTable tabId="7" name="PivotTable4"/>
    <pivotTable tabId="8" name="PivotTable5"/>
    <pivotTable tabId="15" name="PivotTable2"/>
  </pivotTables>
  <data>
    <tabular pivotCacheId="484310750">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93258A2-F9AA-46B6-BA61-255DD591D900}" sourceName="Customer_Type">
  <pivotTables>
    <pivotTable tabId="9" name="PivotTable6"/>
    <pivotTable tabId="13" name="PivotTable1"/>
    <pivotTable tabId="6" name="PivotTable3"/>
    <pivotTable tabId="7" name="PivotTable4"/>
    <pivotTable tabId="8" name="PivotTable5"/>
    <pivotTable tabId="15" name="PivotTable2"/>
  </pivotTables>
  <data>
    <tabular pivotCacheId="48431075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7CAB64-C3B0-4E5A-9439-528561EEB330}" sourceName="Month">
  <extLst>
    <x:ext xmlns:x15="http://schemas.microsoft.com/office/spreadsheetml/2010/11/main" uri="{2F2917AC-EB37-4324-AD4E-5DD8C200BD13}">
      <x15:tableSlicerCache tableId="2"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26AD876-9AE6-45E3-AD65-54B9D283A989}" sourceName="City">
  <extLst>
    <x:ext xmlns:x15="http://schemas.microsoft.com/office/spreadsheetml/2010/11/main" uri="{2F2917AC-EB37-4324-AD4E-5DD8C200BD13}">
      <x15:tableSlicerCache tableId="2" column="7"/>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452692-C8D8-4649-BB6F-58375F3AEF4E}" sourceName="Category">
  <extLst>
    <x:ext xmlns:x15="http://schemas.microsoft.com/office/spreadsheetml/2010/11/main" uri="{2F2917AC-EB37-4324-AD4E-5DD8C200BD13}">
      <x15:tableSlicerCache tableId="2" column="1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E163078-9A28-434A-9C77-33FD69C71C1E}" sourceName="Payment_Method">
  <extLst>
    <x:ext xmlns:x15="http://schemas.microsoft.com/office/spreadsheetml/2010/11/main" uri="{2F2917AC-EB37-4324-AD4E-5DD8C200BD13}">
      <x15:tableSlicerCache tableId="2" column="1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13D3BD4-13F1-4768-8B59-B150212363BB}" cache="Slicer_Month" caption="Month" rowHeight="241300"/>
  <slicer name="City" xr10:uid="{5A0422B2-7995-4A48-BC23-3E4D90DAEA49}" cache="Slicer_City" caption="City" rowHeight="241300"/>
  <slicer name="Category" xr10:uid="{76157EFC-E01B-4055-A963-33A9BD99A88A}" cache="Slicer_Category" caption="Category" rowHeight="241300"/>
  <slicer name="Payment_Method" xr10:uid="{A43D6E42-2913-46A4-A65A-48BBC53417A9}"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B4E6775-1A2A-48C8-B712-C4CC227EC16F}" cache="Slicer_Month1" caption="Month" rowHeight="241300"/>
  <slicer name="City 1" xr10:uid="{C766F46B-80AA-447F-89E5-F3A2F3D9B202}" cache="Slicer_City1" caption="City" rowHeight="241300"/>
  <slicer name="Category 1" xr10:uid="{74817D03-C3C7-4AA2-B1A2-89E673065AC5}" cache="Slicer_Category1" caption="Category" rowHeight="241300"/>
  <slicer name="Payment_Method 2" xr10:uid="{F73D7632-BDC6-4D55-8134-44BCA93C6EA8}" cache="Slicer_Payment_Method1" caption="Payment_Method" rowHeight="241300"/>
  <slicer name="Order_Status" xr10:uid="{1E0D00BB-18ED-40EE-B838-A25E82CA5B0B}" cache="Slicer_Order_Status" caption="Order_Status" rowHeight="241300"/>
  <slicer name="Customer_Type" xr10:uid="{6CE81DEB-07D1-437A-ABC1-C5E8CE00F337}" cache="Slicer_Customer_Type" caption="Customer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34469F-828A-4A49-9F18-651F04926547}" name="Table2" displayName="Table2" ref="A1:W5001" totalsRowShown="0" headerRowDxfId="7" headerRowBorderDxfId="6" tableBorderDxfId="5">
  <autoFilter ref="A1:W5001" xr:uid="{EC34469F-828A-4A49-9F18-651F04926547}"/>
  <tableColumns count="23">
    <tableColumn id="1" xr3:uid="{51CA2AF8-23D7-4B9E-A260-1083B8524B22}" name="Order_ID"/>
    <tableColumn id="2" xr3:uid="{B747B303-7F69-4F5D-B06A-EDA316F9DD27}" name="Order_Date" dataDxfId="4"/>
    <tableColumn id="3" xr3:uid="{BD966F00-32B1-4D15-991E-D33C62E6EC6C}" name="Month"/>
    <tableColumn id="4" xr3:uid="{0A4E0B45-AB80-408F-9AF3-0D932F442EB5}" name="Month_Number"/>
    <tableColumn id="5" xr3:uid="{55378A4E-E18A-475B-9AAB-CED355EB2535}" name="Day"/>
    <tableColumn id="6" xr3:uid="{F9C87BB3-E3A6-43A8-AFEB-DDECB5F06C55}" name="Day_Name"/>
    <tableColumn id="7" xr3:uid="{48CA4271-772B-4097-A0A0-D944E79192A6}" name="City"/>
    <tableColumn id="8" xr3:uid="{61888B28-DD14-46A5-B13F-6DBDA90C1856}" name="Restaurant"/>
    <tableColumn id="9" xr3:uid="{E456711D-A30C-4582-BA39-60E02E8B1C8C}" name="Cuisine"/>
    <tableColumn id="10" xr3:uid="{D6243652-2F1E-4F64-833E-7924EA535BBD}" name="Item"/>
    <tableColumn id="11" xr3:uid="{686D6F28-9D53-46AB-B7A2-CF2E18989286}" name="Category"/>
    <tableColumn id="12" xr3:uid="{BD7C76E9-2B8D-4DFF-B5E7-4723BD80CAB7}" name="Quantity"/>
    <tableColumn id="13" xr3:uid="{57A68CB4-61B7-4F7E-B605-C97295D4C577}" name="Item_Price"/>
    <tableColumn id="14" xr3:uid="{76473928-DC75-41A7-B146-AF72535D61F4}" name="Discount"/>
    <tableColumn id="15" xr3:uid="{25514D88-FC49-42BE-AF22-5A99C9F05446}" name="Delivery_Fee"/>
    <tableColumn id="16" xr3:uid="{CB269A1D-566F-4875-9248-8ED104B81157}" name="Order_Value"/>
    <tableColumn id="17" xr3:uid="{CA3F0900-32CC-40D3-8AB6-1F2ED96AE829}" name="Final_Amount"/>
    <tableColumn id="18" xr3:uid="{327E0CD8-173B-44CA-80C6-3B32B1F45196}" name="Payment_Method"/>
    <tableColumn id="19" xr3:uid="{37E86002-125A-4033-A497-79976DE11F41}" name="Order_Status"/>
    <tableColumn id="20" xr3:uid="{31F7637F-373F-4FA1-B43F-B193FD2248C0}" name="Customer_Type"/>
    <tableColumn id="21" xr3:uid="{A05CCECE-2131-4E02-ADD6-B70798BB8BFE}" name="Delivery_Time_Min"/>
    <tableColumn id="22" xr3:uid="{6CCDA62B-69A0-4DF4-97C8-4B6DBDBF9032}" name="Rating"/>
    <tableColumn id="23" xr3:uid="{41D097E7-15B8-4615-AEEF-320A55293284}" name="Total_Amount" dataDxfId="3">
      <calculatedColumnFormula>Table2[[#This Row],[Quantity]]*Table2[[#This Row],[Item_Price]]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E6D2B-66B0-40FD-9F11-7988A129E76B}" name="Table1" displayName="Table1" ref="A1:B23" totalsRowShown="0" headerRowDxfId="0" headerRowBorderDxfId="1" tableBorderDxfId="2">
  <autoFilter ref="A1:B23" xr:uid="{345E6D2B-66B0-40FD-9F11-7988A129E76B}"/>
  <tableColumns count="2">
    <tableColumn id="1" xr3:uid="{444EB55D-9878-4F57-8C25-999417E1D3F0}" name="Column"/>
    <tableColumn id="2" xr3:uid="{FEABF164-000F-4B44-B2E5-2190AEE7E6F6}" name="Mean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01"/>
  <sheetViews>
    <sheetView topLeftCell="A4973" zoomScale="120" zoomScaleNormal="120" workbookViewId="0">
      <selection activeCell="B1" sqref="B1:B1048576"/>
    </sheetView>
  </sheetViews>
  <sheetFormatPr defaultRowHeight="15" x14ac:dyDescent="0.25"/>
  <cols>
    <col min="1" max="1" width="15.28515625" customWidth="1"/>
    <col min="2" max="2" width="20.85546875" customWidth="1"/>
    <col min="3" max="3" width="10.85546875" customWidth="1"/>
    <col min="4" max="4" width="16.42578125" customWidth="1"/>
    <col min="5" max="5" width="10.28515625" customWidth="1"/>
    <col min="6" max="6" width="13.85546875" customWidth="1"/>
    <col min="7" max="7" width="12.85546875" customWidth="1"/>
    <col min="8" max="8" width="16.85546875" customWidth="1"/>
    <col min="9" max="9" width="16.140625" customWidth="1"/>
    <col min="10" max="10" width="18.42578125" customWidth="1"/>
    <col min="11" max="11" width="15" customWidth="1"/>
    <col min="12" max="12" width="9.85546875" customWidth="1"/>
    <col min="13" max="13" width="16" customWidth="1"/>
    <col min="14" max="14" width="11.28515625" customWidth="1"/>
    <col min="15" max="15" width="17.28515625" bestFit="1" customWidth="1"/>
    <col min="16" max="16" width="16.85546875" bestFit="1" customWidth="1"/>
    <col min="17" max="17" width="18.140625" bestFit="1" customWidth="1"/>
    <col min="18" max="18" width="21.85546875" bestFit="1" customWidth="1"/>
    <col min="19" max="19" width="17.140625" bestFit="1" customWidth="1"/>
    <col min="20" max="20" width="19.5703125" bestFit="1" customWidth="1"/>
    <col min="21" max="21" width="23.28515625" bestFit="1" customWidth="1"/>
    <col min="22" max="22" width="11.140625" bestFit="1" customWidth="1"/>
    <col min="23" max="23" width="18.28515625" bestFit="1" customWidth="1"/>
    <col min="25" max="25" width="16.5703125" bestFit="1" customWidth="1"/>
    <col min="26" max="27" width="15.28515625" bestFit="1" customWidth="1"/>
    <col min="28" max="28" width="14.5703125" bestFit="1" customWidth="1"/>
    <col min="29" max="29" width="14.42578125" bestFit="1" customWidth="1"/>
    <col min="30" max="30" width="21.42578125" bestFit="1" customWidth="1"/>
  </cols>
  <sheetData>
    <row r="1" spans="1:31" x14ac:dyDescent="0.25">
      <c r="A1" s="2" t="s">
        <v>0</v>
      </c>
      <c r="B1" s="9" t="s">
        <v>1</v>
      </c>
      <c r="C1" s="2" t="s">
        <v>2</v>
      </c>
      <c r="D1" s="2" t="s">
        <v>3</v>
      </c>
      <c r="E1" s="2" t="s">
        <v>4</v>
      </c>
      <c r="F1" s="2" t="s">
        <v>5</v>
      </c>
      <c r="G1" s="9"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9" t="s">
        <v>5142</v>
      </c>
    </row>
    <row r="2" spans="1:31" x14ac:dyDescent="0.25">
      <c r="A2" t="s">
        <v>22</v>
      </c>
      <c r="B2" s="1">
        <v>45658</v>
      </c>
      <c r="C2" t="s">
        <v>23</v>
      </c>
      <c r="D2">
        <v>1</v>
      </c>
      <c r="E2">
        <v>1</v>
      </c>
      <c r="F2" t="s">
        <v>24</v>
      </c>
      <c r="G2" t="s">
        <v>25</v>
      </c>
      <c r="H2" t="s">
        <v>26</v>
      </c>
      <c r="I2" t="s">
        <v>27</v>
      </c>
      <c r="J2" t="s">
        <v>28</v>
      </c>
      <c r="K2" t="s">
        <v>29</v>
      </c>
      <c r="L2">
        <v>2</v>
      </c>
      <c r="M2">
        <v>496</v>
      </c>
      <c r="N2">
        <v>49.6</v>
      </c>
      <c r="O2">
        <v>20</v>
      </c>
      <c r="P2">
        <v>992</v>
      </c>
      <c r="Q2">
        <v>962.4</v>
      </c>
      <c r="R2" t="s">
        <v>30</v>
      </c>
      <c r="S2" t="s">
        <v>31</v>
      </c>
      <c r="T2" t="s">
        <v>32</v>
      </c>
      <c r="U2">
        <v>27</v>
      </c>
      <c r="V2">
        <v>4.9000000000000004</v>
      </c>
      <c r="W2">
        <f>Table2[[#This Row],[Quantity]]*Table2[[#This Row],[Item_Price]]</f>
        <v>992</v>
      </c>
    </row>
    <row r="3" spans="1:31" x14ac:dyDescent="0.25">
      <c r="A3" t="s">
        <v>33</v>
      </c>
      <c r="B3" s="1">
        <v>45658</v>
      </c>
      <c r="C3" t="s">
        <v>23</v>
      </c>
      <c r="D3">
        <v>1</v>
      </c>
      <c r="E3">
        <v>1</v>
      </c>
      <c r="F3" t="s">
        <v>24</v>
      </c>
      <c r="G3" t="s">
        <v>34</v>
      </c>
      <c r="H3" t="s">
        <v>35</v>
      </c>
      <c r="I3" t="s">
        <v>36</v>
      </c>
      <c r="J3" t="s">
        <v>37</v>
      </c>
      <c r="K3" t="s">
        <v>38</v>
      </c>
      <c r="L3">
        <v>1</v>
      </c>
      <c r="M3">
        <v>348</v>
      </c>
      <c r="N3">
        <v>52.2</v>
      </c>
      <c r="O3">
        <v>20</v>
      </c>
      <c r="P3">
        <v>348</v>
      </c>
      <c r="Q3">
        <v>315.8</v>
      </c>
      <c r="R3" t="s">
        <v>39</v>
      </c>
      <c r="S3" t="s">
        <v>31</v>
      </c>
      <c r="T3" t="s">
        <v>40</v>
      </c>
      <c r="U3">
        <v>20</v>
      </c>
      <c r="V3">
        <v>4.0999999999999996</v>
      </c>
      <c r="W3">
        <f>Table2[[#This Row],[Quantity]]*Table2[[#This Row],[Item_Price]]</f>
        <v>348</v>
      </c>
    </row>
    <row r="4" spans="1:31" x14ac:dyDescent="0.25">
      <c r="A4" t="s">
        <v>41</v>
      </c>
      <c r="B4" s="1">
        <v>45658</v>
      </c>
      <c r="C4" t="s">
        <v>23</v>
      </c>
      <c r="D4">
        <v>1</v>
      </c>
      <c r="E4">
        <v>1</v>
      </c>
      <c r="F4" t="s">
        <v>24</v>
      </c>
      <c r="G4" t="s">
        <v>34</v>
      </c>
      <c r="H4" t="s">
        <v>42</v>
      </c>
      <c r="I4" t="s">
        <v>43</v>
      </c>
      <c r="J4" t="s">
        <v>44</v>
      </c>
      <c r="K4" t="s">
        <v>45</v>
      </c>
      <c r="L4">
        <v>2</v>
      </c>
      <c r="M4">
        <v>334</v>
      </c>
      <c r="N4">
        <v>0</v>
      </c>
      <c r="O4">
        <v>40</v>
      </c>
      <c r="P4">
        <v>668</v>
      </c>
      <c r="Q4">
        <v>708</v>
      </c>
      <c r="R4" t="s">
        <v>39</v>
      </c>
      <c r="S4" t="s">
        <v>46</v>
      </c>
      <c r="T4" t="s">
        <v>40</v>
      </c>
      <c r="U4">
        <v>50</v>
      </c>
      <c r="W4">
        <f>Table2[[#This Row],[Quantity]]*Table2[[#This Row],[Item_Price]]</f>
        <v>668</v>
      </c>
      <c r="Z4" s="3" t="s">
        <v>5136</v>
      </c>
      <c r="AA4" s="3" t="s">
        <v>5131</v>
      </c>
      <c r="AB4" s="3" t="s">
        <v>5132</v>
      </c>
      <c r="AC4" s="3" t="s">
        <v>5133</v>
      </c>
      <c r="AD4" s="3" t="s">
        <v>5134</v>
      </c>
      <c r="AE4" s="3" t="s">
        <v>5135</v>
      </c>
    </row>
    <row r="5" spans="1:31" x14ac:dyDescent="0.25">
      <c r="A5" t="s">
        <v>47</v>
      </c>
      <c r="B5" s="1">
        <v>45658</v>
      </c>
      <c r="C5" t="s">
        <v>23</v>
      </c>
      <c r="D5">
        <v>1</v>
      </c>
      <c r="E5">
        <v>1</v>
      </c>
      <c r="F5" t="s">
        <v>24</v>
      </c>
      <c r="G5" t="s">
        <v>25</v>
      </c>
      <c r="H5" t="s">
        <v>48</v>
      </c>
      <c r="I5" t="s">
        <v>49</v>
      </c>
      <c r="J5" t="s">
        <v>50</v>
      </c>
      <c r="K5" t="s">
        <v>38</v>
      </c>
      <c r="L5">
        <v>2</v>
      </c>
      <c r="M5">
        <v>309</v>
      </c>
      <c r="N5">
        <v>61.8</v>
      </c>
      <c r="O5">
        <v>0</v>
      </c>
      <c r="P5">
        <v>618</v>
      </c>
      <c r="Q5">
        <v>556.20000000000005</v>
      </c>
      <c r="R5" t="s">
        <v>39</v>
      </c>
      <c r="S5" t="s">
        <v>46</v>
      </c>
      <c r="T5" t="s">
        <v>32</v>
      </c>
      <c r="U5">
        <v>30</v>
      </c>
      <c r="W5">
        <f>Table2[[#This Row],[Quantity]]*Table2[[#This Row],[Item_Price]]</f>
        <v>618</v>
      </c>
      <c r="Z5" s="6">
        <f>COUNTIF(S2:S5001,"Cancelled")/COUNTA(A2:A5001)</f>
        <v>5.6000000000000001E-2</v>
      </c>
      <c r="AA5" s="4">
        <f>SUM(Q2:Q5001)</f>
        <v>4117225.7999999933</v>
      </c>
      <c r="AB5" s="5">
        <f>SUM(P2:P5001)</f>
        <v>4246805</v>
      </c>
      <c r="AC5" s="6">
        <f>COUNTA(_xlfn.UNIQUE(A2:A5001))</f>
        <v>5000</v>
      </c>
      <c r="AD5" s="6">
        <f>AVERAGE(V2:V5001)</f>
        <v>4.0622986822840321</v>
      </c>
      <c r="AE5" s="6">
        <f>AVERAGE(U2:U5001)</f>
        <v>44.095399999999998</v>
      </c>
    </row>
    <row r="6" spans="1:31" x14ac:dyDescent="0.25">
      <c r="A6" t="s">
        <v>51</v>
      </c>
      <c r="B6" s="1">
        <v>45658</v>
      </c>
      <c r="C6" t="s">
        <v>23</v>
      </c>
      <c r="D6">
        <v>1</v>
      </c>
      <c r="E6">
        <v>1</v>
      </c>
      <c r="F6" t="s">
        <v>24</v>
      </c>
      <c r="G6" t="s">
        <v>34</v>
      </c>
      <c r="H6" t="s">
        <v>52</v>
      </c>
      <c r="I6" t="s">
        <v>43</v>
      </c>
      <c r="J6" t="s">
        <v>53</v>
      </c>
      <c r="K6" t="s">
        <v>38</v>
      </c>
      <c r="L6">
        <v>2</v>
      </c>
      <c r="M6">
        <v>224</v>
      </c>
      <c r="N6">
        <v>22.4</v>
      </c>
      <c r="O6">
        <v>0</v>
      </c>
      <c r="P6">
        <v>448</v>
      </c>
      <c r="Q6">
        <v>425.6</v>
      </c>
      <c r="R6" t="s">
        <v>30</v>
      </c>
      <c r="S6" t="s">
        <v>31</v>
      </c>
      <c r="T6" t="s">
        <v>40</v>
      </c>
      <c r="U6">
        <v>35</v>
      </c>
      <c r="V6">
        <v>4.4000000000000004</v>
      </c>
      <c r="W6">
        <f>Table2[[#This Row],[Quantity]]*Table2[[#This Row],[Item_Price]]</f>
        <v>448</v>
      </c>
    </row>
    <row r="7" spans="1:31" x14ac:dyDescent="0.25">
      <c r="A7" t="s">
        <v>54</v>
      </c>
      <c r="B7" s="1">
        <v>45658</v>
      </c>
      <c r="C7" t="s">
        <v>23</v>
      </c>
      <c r="D7">
        <v>1</v>
      </c>
      <c r="E7">
        <v>1</v>
      </c>
      <c r="F7" t="s">
        <v>24</v>
      </c>
      <c r="G7" t="s">
        <v>55</v>
      </c>
      <c r="H7" t="s">
        <v>56</v>
      </c>
      <c r="I7" t="s">
        <v>57</v>
      </c>
      <c r="J7" t="s">
        <v>50</v>
      </c>
      <c r="K7" t="s">
        <v>58</v>
      </c>
      <c r="L7">
        <v>1</v>
      </c>
      <c r="M7">
        <v>331</v>
      </c>
      <c r="N7">
        <v>33.1</v>
      </c>
      <c r="O7">
        <v>60</v>
      </c>
      <c r="P7">
        <v>331</v>
      </c>
      <c r="Q7">
        <v>357.9</v>
      </c>
      <c r="R7" t="s">
        <v>30</v>
      </c>
      <c r="S7" t="s">
        <v>31</v>
      </c>
      <c r="T7" t="s">
        <v>40</v>
      </c>
      <c r="U7">
        <v>67</v>
      </c>
      <c r="V7">
        <v>4.5</v>
      </c>
      <c r="W7">
        <f>Table2[[#This Row],[Quantity]]*Table2[[#This Row],[Item_Price]]</f>
        <v>331</v>
      </c>
    </row>
    <row r="8" spans="1:31" x14ac:dyDescent="0.25">
      <c r="A8" t="s">
        <v>59</v>
      </c>
      <c r="B8" s="1">
        <v>45658</v>
      </c>
      <c r="C8" t="s">
        <v>23</v>
      </c>
      <c r="D8">
        <v>1</v>
      </c>
      <c r="E8">
        <v>1</v>
      </c>
      <c r="F8" t="s">
        <v>24</v>
      </c>
      <c r="G8" t="s">
        <v>25</v>
      </c>
      <c r="H8" t="s">
        <v>60</v>
      </c>
      <c r="I8" t="s">
        <v>61</v>
      </c>
      <c r="J8" t="s">
        <v>62</v>
      </c>
      <c r="K8" t="s">
        <v>45</v>
      </c>
      <c r="L8">
        <v>1</v>
      </c>
      <c r="M8">
        <v>200</v>
      </c>
      <c r="N8">
        <v>20</v>
      </c>
      <c r="O8">
        <v>40</v>
      </c>
      <c r="P8">
        <v>200</v>
      </c>
      <c r="Q8">
        <v>220</v>
      </c>
      <c r="R8" t="s">
        <v>30</v>
      </c>
      <c r="S8" t="s">
        <v>46</v>
      </c>
      <c r="T8" t="s">
        <v>32</v>
      </c>
      <c r="U8">
        <v>35</v>
      </c>
      <c r="W8">
        <f>Table2[[#This Row],[Quantity]]*Table2[[#This Row],[Item_Price]]</f>
        <v>200</v>
      </c>
    </row>
    <row r="9" spans="1:31" x14ac:dyDescent="0.25">
      <c r="A9" t="s">
        <v>63</v>
      </c>
      <c r="B9" s="1">
        <v>45658</v>
      </c>
      <c r="C9" t="s">
        <v>23</v>
      </c>
      <c r="D9">
        <v>1</v>
      </c>
      <c r="E9">
        <v>1</v>
      </c>
      <c r="F9" t="s">
        <v>24</v>
      </c>
      <c r="G9" t="s">
        <v>64</v>
      </c>
      <c r="H9" t="s">
        <v>65</v>
      </c>
      <c r="I9" t="s">
        <v>27</v>
      </c>
      <c r="J9" t="s">
        <v>66</v>
      </c>
      <c r="K9" t="s">
        <v>45</v>
      </c>
      <c r="L9">
        <v>1</v>
      </c>
      <c r="M9">
        <v>275</v>
      </c>
      <c r="N9">
        <v>68.75</v>
      </c>
      <c r="O9">
        <v>60</v>
      </c>
      <c r="P9">
        <v>275</v>
      </c>
      <c r="Q9">
        <v>266.25</v>
      </c>
      <c r="R9" t="s">
        <v>30</v>
      </c>
      <c r="S9" t="s">
        <v>31</v>
      </c>
      <c r="T9" t="s">
        <v>40</v>
      </c>
      <c r="U9">
        <v>43</v>
      </c>
      <c r="V9">
        <v>3.7</v>
      </c>
      <c r="W9">
        <f>Table2[[#This Row],[Quantity]]*Table2[[#This Row],[Item_Price]]</f>
        <v>275</v>
      </c>
    </row>
    <row r="10" spans="1:31" x14ac:dyDescent="0.25">
      <c r="A10" t="s">
        <v>67</v>
      </c>
      <c r="B10" s="1">
        <v>45658</v>
      </c>
      <c r="C10" t="s">
        <v>23</v>
      </c>
      <c r="D10">
        <v>1</v>
      </c>
      <c r="E10">
        <v>1</v>
      </c>
      <c r="F10" t="s">
        <v>24</v>
      </c>
      <c r="G10" t="s">
        <v>34</v>
      </c>
      <c r="H10" t="s">
        <v>68</v>
      </c>
      <c r="I10" t="s">
        <v>69</v>
      </c>
      <c r="J10" t="s">
        <v>70</v>
      </c>
      <c r="K10" t="s">
        <v>58</v>
      </c>
      <c r="L10">
        <v>1</v>
      </c>
      <c r="M10">
        <v>709</v>
      </c>
      <c r="N10">
        <v>106.35</v>
      </c>
      <c r="O10">
        <v>40</v>
      </c>
      <c r="P10">
        <v>709</v>
      </c>
      <c r="Q10">
        <v>642.65</v>
      </c>
      <c r="R10" t="s">
        <v>39</v>
      </c>
      <c r="S10" t="s">
        <v>31</v>
      </c>
      <c r="T10" t="s">
        <v>40</v>
      </c>
      <c r="U10">
        <v>55</v>
      </c>
      <c r="V10">
        <v>4.4000000000000004</v>
      </c>
      <c r="W10">
        <f>Table2[[#This Row],[Quantity]]*Table2[[#This Row],[Item_Price]]</f>
        <v>709</v>
      </c>
    </row>
    <row r="11" spans="1:31" x14ac:dyDescent="0.25">
      <c r="A11" t="s">
        <v>71</v>
      </c>
      <c r="B11" s="1">
        <v>45658</v>
      </c>
      <c r="C11" t="s">
        <v>23</v>
      </c>
      <c r="D11">
        <v>1</v>
      </c>
      <c r="E11">
        <v>1</v>
      </c>
      <c r="F11" t="s">
        <v>24</v>
      </c>
      <c r="G11" t="s">
        <v>34</v>
      </c>
      <c r="H11" t="s">
        <v>68</v>
      </c>
      <c r="I11" t="s">
        <v>36</v>
      </c>
      <c r="J11" t="s">
        <v>70</v>
      </c>
      <c r="K11" t="s">
        <v>38</v>
      </c>
      <c r="L11">
        <v>1</v>
      </c>
      <c r="M11">
        <v>512</v>
      </c>
      <c r="N11">
        <v>0</v>
      </c>
      <c r="O11">
        <v>30</v>
      </c>
      <c r="P11">
        <v>512</v>
      </c>
      <c r="Q11">
        <v>542</v>
      </c>
      <c r="R11" t="s">
        <v>39</v>
      </c>
      <c r="S11" t="s">
        <v>31</v>
      </c>
      <c r="T11" t="s">
        <v>40</v>
      </c>
      <c r="U11">
        <v>40</v>
      </c>
      <c r="V11">
        <v>3.9</v>
      </c>
      <c r="W11">
        <f>Table2[[#This Row],[Quantity]]*Table2[[#This Row],[Item_Price]]</f>
        <v>512</v>
      </c>
    </row>
    <row r="12" spans="1:31" x14ac:dyDescent="0.25">
      <c r="A12" t="s">
        <v>72</v>
      </c>
      <c r="B12" s="1">
        <v>45658</v>
      </c>
      <c r="C12" t="s">
        <v>23</v>
      </c>
      <c r="D12">
        <v>1</v>
      </c>
      <c r="E12">
        <v>1</v>
      </c>
      <c r="F12" t="s">
        <v>24</v>
      </c>
      <c r="G12" t="s">
        <v>73</v>
      </c>
      <c r="H12" t="s">
        <v>52</v>
      </c>
      <c r="I12" t="s">
        <v>61</v>
      </c>
      <c r="J12" t="s">
        <v>74</v>
      </c>
      <c r="K12" t="s">
        <v>38</v>
      </c>
      <c r="L12">
        <v>2</v>
      </c>
      <c r="M12">
        <v>294</v>
      </c>
      <c r="N12">
        <v>44.1</v>
      </c>
      <c r="O12">
        <v>40</v>
      </c>
      <c r="P12">
        <v>588</v>
      </c>
      <c r="Q12">
        <v>583.9</v>
      </c>
      <c r="R12" t="s">
        <v>75</v>
      </c>
      <c r="S12" t="s">
        <v>31</v>
      </c>
      <c r="T12" t="s">
        <v>40</v>
      </c>
      <c r="U12">
        <v>52</v>
      </c>
      <c r="V12">
        <v>3.4</v>
      </c>
      <c r="W12">
        <f>Table2[[#This Row],[Quantity]]*Table2[[#This Row],[Item_Price]]</f>
        <v>588</v>
      </c>
    </row>
    <row r="13" spans="1:31" x14ac:dyDescent="0.25">
      <c r="A13" t="s">
        <v>76</v>
      </c>
      <c r="B13" s="1">
        <v>45658</v>
      </c>
      <c r="C13" t="s">
        <v>23</v>
      </c>
      <c r="D13">
        <v>1</v>
      </c>
      <c r="E13">
        <v>1</v>
      </c>
      <c r="F13" t="s">
        <v>24</v>
      </c>
      <c r="G13" t="s">
        <v>73</v>
      </c>
      <c r="H13" t="s">
        <v>77</v>
      </c>
      <c r="I13" t="s">
        <v>49</v>
      </c>
      <c r="J13" t="s">
        <v>78</v>
      </c>
      <c r="K13" t="s">
        <v>38</v>
      </c>
      <c r="L13">
        <v>1</v>
      </c>
      <c r="M13">
        <v>670</v>
      </c>
      <c r="N13">
        <v>134</v>
      </c>
      <c r="O13">
        <v>20</v>
      </c>
      <c r="P13">
        <v>670</v>
      </c>
      <c r="Q13">
        <v>556</v>
      </c>
      <c r="R13" t="s">
        <v>75</v>
      </c>
      <c r="S13" t="s">
        <v>31</v>
      </c>
      <c r="T13" t="s">
        <v>40</v>
      </c>
      <c r="U13">
        <v>64</v>
      </c>
      <c r="V13">
        <v>4.7</v>
      </c>
      <c r="W13">
        <f>Table2[[#This Row],[Quantity]]*Table2[[#This Row],[Item_Price]]</f>
        <v>670</v>
      </c>
    </row>
    <row r="14" spans="1:31" x14ac:dyDescent="0.25">
      <c r="A14" t="s">
        <v>79</v>
      </c>
      <c r="B14" s="1">
        <v>45658</v>
      </c>
      <c r="C14" t="s">
        <v>23</v>
      </c>
      <c r="D14">
        <v>1</v>
      </c>
      <c r="E14">
        <v>1</v>
      </c>
      <c r="F14" t="s">
        <v>24</v>
      </c>
      <c r="G14" t="s">
        <v>80</v>
      </c>
      <c r="H14" t="s">
        <v>81</v>
      </c>
      <c r="I14" t="s">
        <v>27</v>
      </c>
      <c r="J14" t="s">
        <v>82</v>
      </c>
      <c r="K14" t="s">
        <v>38</v>
      </c>
      <c r="L14">
        <v>1</v>
      </c>
      <c r="M14">
        <v>506</v>
      </c>
      <c r="N14">
        <v>75.900000000000006</v>
      </c>
      <c r="O14">
        <v>0</v>
      </c>
      <c r="P14">
        <v>506</v>
      </c>
      <c r="Q14">
        <v>430.1</v>
      </c>
      <c r="R14" t="s">
        <v>39</v>
      </c>
      <c r="S14" t="s">
        <v>31</v>
      </c>
      <c r="T14" t="s">
        <v>40</v>
      </c>
      <c r="U14">
        <v>37</v>
      </c>
      <c r="V14">
        <v>3.6</v>
      </c>
      <c r="W14">
        <f>Table2[[#This Row],[Quantity]]*Table2[[#This Row],[Item_Price]]</f>
        <v>506</v>
      </c>
    </row>
    <row r="15" spans="1:31" x14ac:dyDescent="0.25">
      <c r="A15" t="s">
        <v>83</v>
      </c>
      <c r="B15" s="1">
        <v>45658</v>
      </c>
      <c r="C15" t="s">
        <v>23</v>
      </c>
      <c r="D15">
        <v>1</v>
      </c>
      <c r="E15">
        <v>1</v>
      </c>
      <c r="F15" t="s">
        <v>24</v>
      </c>
      <c r="G15" t="s">
        <v>84</v>
      </c>
      <c r="H15" t="s">
        <v>52</v>
      </c>
      <c r="I15" t="s">
        <v>85</v>
      </c>
      <c r="J15" t="s">
        <v>44</v>
      </c>
      <c r="K15" t="s">
        <v>38</v>
      </c>
      <c r="L15">
        <v>2</v>
      </c>
      <c r="M15">
        <v>418</v>
      </c>
      <c r="N15">
        <v>62.7</v>
      </c>
      <c r="O15">
        <v>50</v>
      </c>
      <c r="P15">
        <v>836</v>
      </c>
      <c r="Q15">
        <v>823.3</v>
      </c>
      <c r="R15" t="s">
        <v>39</v>
      </c>
      <c r="S15" t="s">
        <v>31</v>
      </c>
      <c r="T15" t="s">
        <v>40</v>
      </c>
      <c r="U15">
        <v>33</v>
      </c>
      <c r="V15">
        <v>4.5</v>
      </c>
      <c r="W15">
        <f>Table2[[#This Row],[Quantity]]*Table2[[#This Row],[Item_Price]]</f>
        <v>836</v>
      </c>
    </row>
    <row r="16" spans="1:31" x14ac:dyDescent="0.25">
      <c r="A16" t="s">
        <v>86</v>
      </c>
      <c r="B16" s="1">
        <v>45658</v>
      </c>
      <c r="C16" t="s">
        <v>23</v>
      </c>
      <c r="D16">
        <v>1</v>
      </c>
      <c r="E16">
        <v>1</v>
      </c>
      <c r="F16" t="s">
        <v>24</v>
      </c>
      <c r="G16" t="s">
        <v>64</v>
      </c>
      <c r="H16" t="s">
        <v>35</v>
      </c>
      <c r="I16" t="s">
        <v>36</v>
      </c>
      <c r="J16" t="s">
        <v>28</v>
      </c>
      <c r="K16" t="s">
        <v>38</v>
      </c>
      <c r="L16">
        <v>2</v>
      </c>
      <c r="M16">
        <v>298</v>
      </c>
      <c r="N16">
        <v>14.9</v>
      </c>
      <c r="O16">
        <v>0</v>
      </c>
      <c r="P16">
        <v>596</v>
      </c>
      <c r="Q16">
        <v>581.1</v>
      </c>
      <c r="R16" t="s">
        <v>39</v>
      </c>
      <c r="S16" t="s">
        <v>46</v>
      </c>
      <c r="T16" t="s">
        <v>32</v>
      </c>
      <c r="U16">
        <v>30</v>
      </c>
      <c r="W16">
        <f>Table2[[#This Row],[Quantity]]*Table2[[#This Row],[Item_Price]]</f>
        <v>596</v>
      </c>
    </row>
    <row r="17" spans="1:23" x14ac:dyDescent="0.25">
      <c r="A17" t="s">
        <v>87</v>
      </c>
      <c r="B17" s="1">
        <v>45659</v>
      </c>
      <c r="C17" t="s">
        <v>23</v>
      </c>
      <c r="D17">
        <v>1</v>
      </c>
      <c r="E17">
        <v>2</v>
      </c>
      <c r="F17" t="s">
        <v>88</v>
      </c>
      <c r="G17" t="s">
        <v>84</v>
      </c>
      <c r="H17" t="s">
        <v>60</v>
      </c>
      <c r="I17" t="s">
        <v>69</v>
      </c>
      <c r="J17" t="s">
        <v>74</v>
      </c>
      <c r="K17" t="s">
        <v>38</v>
      </c>
      <c r="L17">
        <v>2</v>
      </c>
      <c r="M17">
        <v>852</v>
      </c>
      <c r="N17">
        <v>213</v>
      </c>
      <c r="O17">
        <v>50</v>
      </c>
      <c r="P17">
        <v>1704</v>
      </c>
      <c r="Q17">
        <v>1541</v>
      </c>
      <c r="R17" t="s">
        <v>39</v>
      </c>
      <c r="S17" t="s">
        <v>31</v>
      </c>
      <c r="T17" t="s">
        <v>40</v>
      </c>
      <c r="U17">
        <v>48</v>
      </c>
      <c r="V17">
        <v>5</v>
      </c>
      <c r="W17">
        <f>Table2[[#This Row],[Quantity]]*Table2[[#This Row],[Item_Price]]</f>
        <v>1704</v>
      </c>
    </row>
    <row r="18" spans="1:23" x14ac:dyDescent="0.25">
      <c r="A18" t="s">
        <v>89</v>
      </c>
      <c r="B18" s="1">
        <v>45659</v>
      </c>
      <c r="C18" t="s">
        <v>23</v>
      </c>
      <c r="D18">
        <v>1</v>
      </c>
      <c r="E18">
        <v>2</v>
      </c>
      <c r="F18" t="s">
        <v>88</v>
      </c>
      <c r="G18" t="s">
        <v>90</v>
      </c>
      <c r="H18" t="s">
        <v>60</v>
      </c>
      <c r="I18" t="s">
        <v>43</v>
      </c>
      <c r="J18" t="s">
        <v>82</v>
      </c>
      <c r="K18" t="s">
        <v>45</v>
      </c>
      <c r="L18">
        <v>3</v>
      </c>
      <c r="M18">
        <v>133</v>
      </c>
      <c r="N18">
        <v>19.95</v>
      </c>
      <c r="O18">
        <v>40</v>
      </c>
      <c r="P18">
        <v>399</v>
      </c>
      <c r="Q18">
        <v>419.05</v>
      </c>
      <c r="R18" t="s">
        <v>75</v>
      </c>
      <c r="S18" t="s">
        <v>91</v>
      </c>
      <c r="T18" t="s">
        <v>40</v>
      </c>
      <c r="U18">
        <v>20</v>
      </c>
      <c r="W18">
        <f>Table2[[#This Row],[Quantity]]*Table2[[#This Row],[Item_Price]]</f>
        <v>399</v>
      </c>
    </row>
    <row r="19" spans="1:23" x14ac:dyDescent="0.25">
      <c r="A19" t="s">
        <v>92</v>
      </c>
      <c r="B19" s="1">
        <v>45659</v>
      </c>
      <c r="C19" t="s">
        <v>23</v>
      </c>
      <c r="D19">
        <v>1</v>
      </c>
      <c r="E19">
        <v>2</v>
      </c>
      <c r="F19" t="s">
        <v>88</v>
      </c>
      <c r="G19" t="s">
        <v>73</v>
      </c>
      <c r="H19" t="s">
        <v>77</v>
      </c>
      <c r="I19" t="s">
        <v>43</v>
      </c>
      <c r="J19" t="s">
        <v>53</v>
      </c>
      <c r="K19" t="s">
        <v>38</v>
      </c>
      <c r="L19">
        <v>2</v>
      </c>
      <c r="M19">
        <v>771</v>
      </c>
      <c r="N19">
        <v>154.19999999999999</v>
      </c>
      <c r="O19">
        <v>20</v>
      </c>
      <c r="P19">
        <v>1542</v>
      </c>
      <c r="Q19">
        <v>1407.8</v>
      </c>
      <c r="R19" t="s">
        <v>75</v>
      </c>
      <c r="S19" t="s">
        <v>31</v>
      </c>
      <c r="T19" t="s">
        <v>40</v>
      </c>
      <c r="U19">
        <v>41</v>
      </c>
      <c r="V19">
        <v>5</v>
      </c>
      <c r="W19">
        <f>Table2[[#This Row],[Quantity]]*Table2[[#This Row],[Item_Price]]</f>
        <v>1542</v>
      </c>
    </row>
    <row r="20" spans="1:23" x14ac:dyDescent="0.25">
      <c r="A20" t="s">
        <v>93</v>
      </c>
      <c r="B20" s="1">
        <v>45659</v>
      </c>
      <c r="C20" t="s">
        <v>23</v>
      </c>
      <c r="D20">
        <v>1</v>
      </c>
      <c r="E20">
        <v>2</v>
      </c>
      <c r="F20" t="s">
        <v>88</v>
      </c>
      <c r="G20" t="s">
        <v>80</v>
      </c>
      <c r="H20" t="s">
        <v>81</v>
      </c>
      <c r="I20" t="s">
        <v>61</v>
      </c>
      <c r="J20" t="s">
        <v>94</v>
      </c>
      <c r="K20" t="s">
        <v>45</v>
      </c>
      <c r="L20">
        <v>1</v>
      </c>
      <c r="M20">
        <v>513</v>
      </c>
      <c r="N20">
        <v>102.6</v>
      </c>
      <c r="O20">
        <v>0</v>
      </c>
      <c r="P20">
        <v>513</v>
      </c>
      <c r="Q20">
        <v>410.4</v>
      </c>
      <c r="R20" t="s">
        <v>30</v>
      </c>
      <c r="S20" t="s">
        <v>31</v>
      </c>
      <c r="T20" t="s">
        <v>40</v>
      </c>
      <c r="U20">
        <v>22</v>
      </c>
      <c r="V20">
        <v>5</v>
      </c>
      <c r="W20">
        <f>Table2[[#This Row],[Quantity]]*Table2[[#This Row],[Item_Price]]</f>
        <v>513</v>
      </c>
    </row>
    <row r="21" spans="1:23" x14ac:dyDescent="0.25">
      <c r="A21" t="s">
        <v>95</v>
      </c>
      <c r="B21" s="1">
        <v>45659</v>
      </c>
      <c r="C21" t="s">
        <v>23</v>
      </c>
      <c r="D21">
        <v>1</v>
      </c>
      <c r="E21">
        <v>2</v>
      </c>
      <c r="F21" t="s">
        <v>88</v>
      </c>
      <c r="G21" t="s">
        <v>96</v>
      </c>
      <c r="H21" t="s">
        <v>68</v>
      </c>
      <c r="I21" t="s">
        <v>97</v>
      </c>
      <c r="J21" t="s">
        <v>70</v>
      </c>
      <c r="K21" t="s">
        <v>38</v>
      </c>
      <c r="L21">
        <v>3</v>
      </c>
      <c r="M21">
        <v>532</v>
      </c>
      <c r="N21">
        <v>106.4</v>
      </c>
      <c r="O21">
        <v>30</v>
      </c>
      <c r="P21">
        <v>1596</v>
      </c>
      <c r="Q21">
        <v>1519.6</v>
      </c>
      <c r="R21" t="s">
        <v>98</v>
      </c>
      <c r="S21" t="s">
        <v>31</v>
      </c>
      <c r="T21" t="s">
        <v>40</v>
      </c>
      <c r="U21">
        <v>35</v>
      </c>
      <c r="V21">
        <v>4.5</v>
      </c>
      <c r="W21">
        <f>Table2[[#This Row],[Quantity]]*Table2[[#This Row],[Item_Price]]</f>
        <v>1596</v>
      </c>
    </row>
    <row r="22" spans="1:23" x14ac:dyDescent="0.25">
      <c r="A22" t="s">
        <v>99</v>
      </c>
      <c r="B22" s="1">
        <v>45659</v>
      </c>
      <c r="C22" t="s">
        <v>23</v>
      </c>
      <c r="D22">
        <v>1</v>
      </c>
      <c r="E22">
        <v>2</v>
      </c>
      <c r="F22" t="s">
        <v>88</v>
      </c>
      <c r="G22" t="s">
        <v>55</v>
      </c>
      <c r="H22" t="s">
        <v>60</v>
      </c>
      <c r="I22" t="s">
        <v>43</v>
      </c>
      <c r="J22" t="s">
        <v>70</v>
      </c>
      <c r="K22" t="s">
        <v>38</v>
      </c>
      <c r="L22">
        <v>3</v>
      </c>
      <c r="M22">
        <v>303</v>
      </c>
      <c r="N22">
        <v>30.3</v>
      </c>
      <c r="O22">
        <v>20</v>
      </c>
      <c r="P22">
        <v>909</v>
      </c>
      <c r="Q22">
        <v>898.7</v>
      </c>
      <c r="R22" t="s">
        <v>75</v>
      </c>
      <c r="S22" t="s">
        <v>31</v>
      </c>
      <c r="T22" t="s">
        <v>40</v>
      </c>
      <c r="U22">
        <v>41</v>
      </c>
      <c r="V22">
        <v>4.3</v>
      </c>
      <c r="W22">
        <f>Table2[[#This Row],[Quantity]]*Table2[[#This Row],[Item_Price]]</f>
        <v>909</v>
      </c>
    </row>
    <row r="23" spans="1:23" x14ac:dyDescent="0.25">
      <c r="A23" t="s">
        <v>100</v>
      </c>
      <c r="B23" s="1">
        <v>45659</v>
      </c>
      <c r="C23" t="s">
        <v>23</v>
      </c>
      <c r="D23">
        <v>1</v>
      </c>
      <c r="E23">
        <v>2</v>
      </c>
      <c r="F23" t="s">
        <v>88</v>
      </c>
      <c r="G23" t="s">
        <v>73</v>
      </c>
      <c r="H23" t="s">
        <v>48</v>
      </c>
      <c r="I23" t="s">
        <v>61</v>
      </c>
      <c r="J23" t="s">
        <v>101</v>
      </c>
      <c r="K23" t="s">
        <v>38</v>
      </c>
      <c r="L23">
        <v>2</v>
      </c>
      <c r="M23">
        <v>493</v>
      </c>
      <c r="N23">
        <v>73.95</v>
      </c>
      <c r="O23">
        <v>30</v>
      </c>
      <c r="P23">
        <v>986</v>
      </c>
      <c r="Q23">
        <v>942.05</v>
      </c>
      <c r="R23" t="s">
        <v>98</v>
      </c>
      <c r="S23" t="s">
        <v>31</v>
      </c>
      <c r="T23" t="s">
        <v>32</v>
      </c>
      <c r="U23">
        <v>27</v>
      </c>
      <c r="V23">
        <v>3.7</v>
      </c>
      <c r="W23">
        <f>Table2[[#This Row],[Quantity]]*Table2[[#This Row],[Item_Price]]</f>
        <v>986</v>
      </c>
    </row>
    <row r="24" spans="1:23" x14ac:dyDescent="0.25">
      <c r="A24" t="s">
        <v>102</v>
      </c>
      <c r="B24" s="1">
        <v>45659</v>
      </c>
      <c r="C24" t="s">
        <v>23</v>
      </c>
      <c r="D24">
        <v>1</v>
      </c>
      <c r="E24">
        <v>2</v>
      </c>
      <c r="F24" t="s">
        <v>88</v>
      </c>
      <c r="G24" t="s">
        <v>34</v>
      </c>
      <c r="H24" t="s">
        <v>26</v>
      </c>
      <c r="I24" t="s">
        <v>103</v>
      </c>
      <c r="J24" t="s">
        <v>78</v>
      </c>
      <c r="K24" t="s">
        <v>29</v>
      </c>
      <c r="L24">
        <v>3</v>
      </c>
      <c r="M24">
        <v>336</v>
      </c>
      <c r="N24">
        <v>84</v>
      </c>
      <c r="O24">
        <v>60</v>
      </c>
      <c r="P24">
        <v>1008</v>
      </c>
      <c r="Q24">
        <v>984</v>
      </c>
      <c r="R24" t="s">
        <v>39</v>
      </c>
      <c r="S24" t="s">
        <v>31</v>
      </c>
      <c r="T24" t="s">
        <v>40</v>
      </c>
      <c r="U24">
        <v>30</v>
      </c>
      <c r="V24">
        <v>4.7</v>
      </c>
      <c r="W24">
        <f>Table2[[#This Row],[Quantity]]*Table2[[#This Row],[Item_Price]]</f>
        <v>1008</v>
      </c>
    </row>
    <row r="25" spans="1:23" x14ac:dyDescent="0.25">
      <c r="A25" t="s">
        <v>104</v>
      </c>
      <c r="B25" s="1">
        <v>45659</v>
      </c>
      <c r="C25" t="s">
        <v>23</v>
      </c>
      <c r="D25">
        <v>1</v>
      </c>
      <c r="E25">
        <v>2</v>
      </c>
      <c r="F25" t="s">
        <v>88</v>
      </c>
      <c r="G25" t="s">
        <v>80</v>
      </c>
      <c r="H25" t="s">
        <v>105</v>
      </c>
      <c r="I25" t="s">
        <v>85</v>
      </c>
      <c r="J25" t="s">
        <v>37</v>
      </c>
      <c r="K25" t="s">
        <v>38</v>
      </c>
      <c r="L25">
        <v>1</v>
      </c>
      <c r="M25">
        <v>221</v>
      </c>
      <c r="N25">
        <v>44.2</v>
      </c>
      <c r="O25">
        <v>40</v>
      </c>
      <c r="P25">
        <v>221</v>
      </c>
      <c r="Q25">
        <v>216.8</v>
      </c>
      <c r="R25" t="s">
        <v>98</v>
      </c>
      <c r="S25" t="s">
        <v>31</v>
      </c>
      <c r="T25" t="s">
        <v>40</v>
      </c>
      <c r="U25">
        <v>23</v>
      </c>
      <c r="V25">
        <v>3.5</v>
      </c>
      <c r="W25">
        <f>Table2[[#This Row],[Quantity]]*Table2[[#This Row],[Item_Price]]</f>
        <v>221</v>
      </c>
    </row>
    <row r="26" spans="1:23" x14ac:dyDescent="0.25">
      <c r="A26" t="s">
        <v>106</v>
      </c>
      <c r="B26" s="1">
        <v>45659</v>
      </c>
      <c r="C26" t="s">
        <v>23</v>
      </c>
      <c r="D26">
        <v>1</v>
      </c>
      <c r="E26">
        <v>2</v>
      </c>
      <c r="F26" t="s">
        <v>88</v>
      </c>
      <c r="G26" t="s">
        <v>84</v>
      </c>
      <c r="H26" t="s">
        <v>105</v>
      </c>
      <c r="I26" t="s">
        <v>61</v>
      </c>
      <c r="J26" t="s">
        <v>53</v>
      </c>
      <c r="K26" t="s">
        <v>29</v>
      </c>
      <c r="L26">
        <v>1</v>
      </c>
      <c r="M26">
        <v>633</v>
      </c>
      <c r="N26">
        <v>94.95</v>
      </c>
      <c r="O26">
        <v>20</v>
      </c>
      <c r="P26">
        <v>633</v>
      </c>
      <c r="Q26">
        <v>558.04999999999995</v>
      </c>
      <c r="R26" t="s">
        <v>98</v>
      </c>
      <c r="S26" t="s">
        <v>31</v>
      </c>
      <c r="T26" t="s">
        <v>40</v>
      </c>
      <c r="U26">
        <v>68</v>
      </c>
      <c r="V26">
        <v>4.4000000000000004</v>
      </c>
      <c r="W26">
        <f>Table2[[#This Row],[Quantity]]*Table2[[#This Row],[Item_Price]]</f>
        <v>633</v>
      </c>
    </row>
    <row r="27" spans="1:23" x14ac:dyDescent="0.25">
      <c r="A27" t="s">
        <v>107</v>
      </c>
      <c r="B27" s="1">
        <v>45659</v>
      </c>
      <c r="C27" t="s">
        <v>23</v>
      </c>
      <c r="D27">
        <v>1</v>
      </c>
      <c r="E27">
        <v>2</v>
      </c>
      <c r="F27" t="s">
        <v>88</v>
      </c>
      <c r="G27" t="s">
        <v>73</v>
      </c>
      <c r="H27" t="s">
        <v>108</v>
      </c>
      <c r="I27" t="s">
        <v>103</v>
      </c>
      <c r="J27" t="s">
        <v>28</v>
      </c>
      <c r="K27" t="s">
        <v>38</v>
      </c>
      <c r="L27">
        <v>1</v>
      </c>
      <c r="M27">
        <v>716</v>
      </c>
      <c r="N27">
        <v>179</v>
      </c>
      <c r="O27">
        <v>30</v>
      </c>
      <c r="P27">
        <v>716</v>
      </c>
      <c r="Q27">
        <v>567</v>
      </c>
      <c r="R27" t="s">
        <v>98</v>
      </c>
      <c r="S27" t="s">
        <v>31</v>
      </c>
      <c r="T27" t="s">
        <v>32</v>
      </c>
      <c r="U27">
        <v>36</v>
      </c>
      <c r="V27">
        <v>4.4000000000000004</v>
      </c>
      <c r="W27">
        <f>Table2[[#This Row],[Quantity]]*Table2[[#This Row],[Item_Price]]</f>
        <v>716</v>
      </c>
    </row>
    <row r="28" spans="1:23" x14ac:dyDescent="0.25">
      <c r="A28" t="s">
        <v>109</v>
      </c>
      <c r="B28" s="1">
        <v>45659</v>
      </c>
      <c r="C28" t="s">
        <v>23</v>
      </c>
      <c r="D28">
        <v>1</v>
      </c>
      <c r="E28">
        <v>2</v>
      </c>
      <c r="F28" t="s">
        <v>88</v>
      </c>
      <c r="G28" t="s">
        <v>64</v>
      </c>
      <c r="H28" t="s">
        <v>65</v>
      </c>
      <c r="I28" t="s">
        <v>27</v>
      </c>
      <c r="J28" t="s">
        <v>70</v>
      </c>
      <c r="K28" t="s">
        <v>38</v>
      </c>
      <c r="L28">
        <v>3</v>
      </c>
      <c r="M28">
        <v>693</v>
      </c>
      <c r="N28">
        <v>138.6</v>
      </c>
      <c r="O28">
        <v>0</v>
      </c>
      <c r="P28">
        <v>2079</v>
      </c>
      <c r="Q28">
        <v>1940.4</v>
      </c>
      <c r="R28" t="s">
        <v>39</v>
      </c>
      <c r="S28" t="s">
        <v>110</v>
      </c>
      <c r="T28" t="s">
        <v>32</v>
      </c>
      <c r="U28">
        <v>34</v>
      </c>
      <c r="W28">
        <f>Table2[[#This Row],[Quantity]]*Table2[[#This Row],[Item_Price]]</f>
        <v>2079</v>
      </c>
    </row>
    <row r="29" spans="1:23" x14ac:dyDescent="0.25">
      <c r="A29" t="s">
        <v>111</v>
      </c>
      <c r="B29" s="1">
        <v>45659</v>
      </c>
      <c r="C29" t="s">
        <v>23</v>
      </c>
      <c r="D29">
        <v>1</v>
      </c>
      <c r="E29">
        <v>2</v>
      </c>
      <c r="F29" t="s">
        <v>88</v>
      </c>
      <c r="G29" t="s">
        <v>73</v>
      </c>
      <c r="H29" t="s">
        <v>65</v>
      </c>
      <c r="I29" t="s">
        <v>49</v>
      </c>
      <c r="J29" t="s">
        <v>28</v>
      </c>
      <c r="K29" t="s">
        <v>38</v>
      </c>
      <c r="L29">
        <v>1</v>
      </c>
      <c r="M29">
        <v>180</v>
      </c>
      <c r="N29">
        <v>27</v>
      </c>
      <c r="O29">
        <v>40</v>
      </c>
      <c r="P29">
        <v>180</v>
      </c>
      <c r="Q29">
        <v>193</v>
      </c>
      <c r="R29" t="s">
        <v>112</v>
      </c>
      <c r="S29" t="s">
        <v>31</v>
      </c>
      <c r="T29" t="s">
        <v>32</v>
      </c>
      <c r="U29">
        <v>30</v>
      </c>
      <c r="V29">
        <v>3.5</v>
      </c>
      <c r="W29">
        <f>Table2[[#This Row],[Quantity]]*Table2[[#This Row],[Item_Price]]</f>
        <v>180</v>
      </c>
    </row>
    <row r="30" spans="1:23" x14ac:dyDescent="0.25">
      <c r="A30" t="s">
        <v>113</v>
      </c>
      <c r="B30" s="1">
        <v>45660</v>
      </c>
      <c r="C30" t="s">
        <v>23</v>
      </c>
      <c r="D30">
        <v>1</v>
      </c>
      <c r="E30">
        <v>3</v>
      </c>
      <c r="F30" t="s">
        <v>114</v>
      </c>
      <c r="G30" t="s">
        <v>115</v>
      </c>
      <c r="H30" t="s">
        <v>52</v>
      </c>
      <c r="I30" t="s">
        <v>27</v>
      </c>
      <c r="J30" t="s">
        <v>44</v>
      </c>
      <c r="K30" t="s">
        <v>38</v>
      </c>
      <c r="L30">
        <v>3</v>
      </c>
      <c r="M30">
        <v>521</v>
      </c>
      <c r="N30">
        <v>78.150000000000006</v>
      </c>
      <c r="O30">
        <v>0</v>
      </c>
      <c r="P30">
        <v>1563</v>
      </c>
      <c r="Q30">
        <v>1484.85</v>
      </c>
      <c r="R30" t="s">
        <v>75</v>
      </c>
      <c r="S30" t="s">
        <v>31</v>
      </c>
      <c r="T30" t="s">
        <v>32</v>
      </c>
      <c r="U30">
        <v>33</v>
      </c>
      <c r="V30">
        <v>5</v>
      </c>
      <c r="W30">
        <f>Table2[[#This Row],[Quantity]]*Table2[[#This Row],[Item_Price]]</f>
        <v>1563</v>
      </c>
    </row>
    <row r="31" spans="1:23" x14ac:dyDescent="0.25">
      <c r="A31" t="s">
        <v>116</v>
      </c>
      <c r="B31" s="1">
        <v>45660</v>
      </c>
      <c r="C31" t="s">
        <v>23</v>
      </c>
      <c r="D31">
        <v>1</v>
      </c>
      <c r="E31">
        <v>3</v>
      </c>
      <c r="F31" t="s">
        <v>114</v>
      </c>
      <c r="G31" t="s">
        <v>64</v>
      </c>
      <c r="H31" t="s">
        <v>56</v>
      </c>
      <c r="I31" t="s">
        <v>49</v>
      </c>
      <c r="J31" t="s">
        <v>50</v>
      </c>
      <c r="K31" t="s">
        <v>38</v>
      </c>
      <c r="L31">
        <v>1</v>
      </c>
      <c r="M31">
        <v>828</v>
      </c>
      <c r="N31">
        <v>207</v>
      </c>
      <c r="O31">
        <v>20</v>
      </c>
      <c r="P31">
        <v>828</v>
      </c>
      <c r="Q31">
        <v>641</v>
      </c>
      <c r="R31" t="s">
        <v>112</v>
      </c>
      <c r="S31" t="s">
        <v>31</v>
      </c>
      <c r="T31" t="s">
        <v>40</v>
      </c>
      <c r="U31">
        <v>40</v>
      </c>
      <c r="V31">
        <v>3.6</v>
      </c>
      <c r="W31">
        <f>Table2[[#This Row],[Quantity]]*Table2[[#This Row],[Item_Price]]</f>
        <v>828</v>
      </c>
    </row>
    <row r="32" spans="1:23" x14ac:dyDescent="0.25">
      <c r="A32" t="s">
        <v>117</v>
      </c>
      <c r="B32" s="1">
        <v>45660</v>
      </c>
      <c r="C32" t="s">
        <v>23</v>
      </c>
      <c r="D32">
        <v>1</v>
      </c>
      <c r="E32">
        <v>3</v>
      </c>
      <c r="F32" t="s">
        <v>114</v>
      </c>
      <c r="G32" t="s">
        <v>25</v>
      </c>
      <c r="H32" t="s">
        <v>56</v>
      </c>
      <c r="I32" t="s">
        <v>103</v>
      </c>
      <c r="J32" t="s">
        <v>78</v>
      </c>
      <c r="K32" t="s">
        <v>38</v>
      </c>
      <c r="L32">
        <v>1</v>
      </c>
      <c r="M32">
        <v>337</v>
      </c>
      <c r="N32">
        <v>67.400000000000006</v>
      </c>
      <c r="O32">
        <v>30</v>
      </c>
      <c r="P32">
        <v>337</v>
      </c>
      <c r="Q32">
        <v>299.60000000000002</v>
      </c>
      <c r="R32" t="s">
        <v>112</v>
      </c>
      <c r="S32" t="s">
        <v>91</v>
      </c>
      <c r="T32" t="s">
        <v>40</v>
      </c>
      <c r="U32">
        <v>70</v>
      </c>
      <c r="W32">
        <f>Table2[[#This Row],[Quantity]]*Table2[[#This Row],[Item_Price]]</f>
        <v>337</v>
      </c>
    </row>
    <row r="33" spans="1:23" x14ac:dyDescent="0.25">
      <c r="A33" t="s">
        <v>118</v>
      </c>
      <c r="B33" s="1">
        <v>45660</v>
      </c>
      <c r="C33" t="s">
        <v>23</v>
      </c>
      <c r="D33">
        <v>1</v>
      </c>
      <c r="E33">
        <v>3</v>
      </c>
      <c r="F33" t="s">
        <v>114</v>
      </c>
      <c r="G33" t="s">
        <v>80</v>
      </c>
      <c r="H33" t="s">
        <v>105</v>
      </c>
      <c r="I33" t="s">
        <v>61</v>
      </c>
      <c r="J33" t="s">
        <v>119</v>
      </c>
      <c r="K33" t="s">
        <v>38</v>
      </c>
      <c r="L33">
        <v>1</v>
      </c>
      <c r="M33">
        <v>739</v>
      </c>
      <c r="N33">
        <v>73.900000000000006</v>
      </c>
      <c r="O33">
        <v>70</v>
      </c>
      <c r="P33">
        <v>739</v>
      </c>
      <c r="Q33">
        <v>735.1</v>
      </c>
      <c r="R33" t="s">
        <v>30</v>
      </c>
      <c r="S33" t="s">
        <v>31</v>
      </c>
      <c r="T33" t="s">
        <v>40</v>
      </c>
      <c r="U33">
        <v>26</v>
      </c>
      <c r="V33">
        <v>3.6</v>
      </c>
      <c r="W33">
        <f>Table2[[#This Row],[Quantity]]*Table2[[#This Row],[Item_Price]]</f>
        <v>739</v>
      </c>
    </row>
    <row r="34" spans="1:23" x14ac:dyDescent="0.25">
      <c r="A34" t="s">
        <v>120</v>
      </c>
      <c r="B34" s="1">
        <v>45660</v>
      </c>
      <c r="C34" t="s">
        <v>23</v>
      </c>
      <c r="D34">
        <v>1</v>
      </c>
      <c r="E34">
        <v>3</v>
      </c>
      <c r="F34" t="s">
        <v>114</v>
      </c>
      <c r="G34" t="s">
        <v>96</v>
      </c>
      <c r="H34" t="s">
        <v>60</v>
      </c>
      <c r="I34" t="s">
        <v>57</v>
      </c>
      <c r="J34" t="s">
        <v>62</v>
      </c>
      <c r="K34" t="s">
        <v>45</v>
      </c>
      <c r="L34">
        <v>1</v>
      </c>
      <c r="M34">
        <v>480</v>
      </c>
      <c r="N34">
        <v>0</v>
      </c>
      <c r="O34">
        <v>50</v>
      </c>
      <c r="P34">
        <v>480</v>
      </c>
      <c r="Q34">
        <v>530</v>
      </c>
      <c r="R34" t="s">
        <v>39</v>
      </c>
      <c r="S34" t="s">
        <v>31</v>
      </c>
      <c r="T34" t="s">
        <v>32</v>
      </c>
      <c r="U34">
        <v>40</v>
      </c>
      <c r="V34">
        <v>3.2</v>
      </c>
      <c r="W34">
        <f>Table2[[#This Row],[Quantity]]*Table2[[#This Row],[Item_Price]]</f>
        <v>480</v>
      </c>
    </row>
    <row r="35" spans="1:23" x14ac:dyDescent="0.25">
      <c r="A35" t="s">
        <v>121</v>
      </c>
      <c r="B35" s="1">
        <v>45660</v>
      </c>
      <c r="C35" t="s">
        <v>23</v>
      </c>
      <c r="D35">
        <v>1</v>
      </c>
      <c r="E35">
        <v>3</v>
      </c>
      <c r="F35" t="s">
        <v>114</v>
      </c>
      <c r="G35" t="s">
        <v>115</v>
      </c>
      <c r="H35" t="s">
        <v>60</v>
      </c>
      <c r="I35" t="s">
        <v>85</v>
      </c>
      <c r="J35" t="s">
        <v>94</v>
      </c>
      <c r="K35" t="s">
        <v>38</v>
      </c>
      <c r="L35">
        <v>1</v>
      </c>
      <c r="M35">
        <v>318</v>
      </c>
      <c r="N35">
        <v>31.8</v>
      </c>
      <c r="O35">
        <v>40</v>
      </c>
      <c r="P35">
        <v>318</v>
      </c>
      <c r="Q35">
        <v>326.2</v>
      </c>
      <c r="R35" t="s">
        <v>39</v>
      </c>
      <c r="S35" t="s">
        <v>31</v>
      </c>
      <c r="T35" t="s">
        <v>40</v>
      </c>
      <c r="U35">
        <v>26</v>
      </c>
      <c r="V35">
        <v>3.9</v>
      </c>
      <c r="W35">
        <f>Table2[[#This Row],[Quantity]]*Table2[[#This Row],[Item_Price]]</f>
        <v>318</v>
      </c>
    </row>
    <row r="36" spans="1:23" x14ac:dyDescent="0.25">
      <c r="A36" t="s">
        <v>122</v>
      </c>
      <c r="B36" s="1">
        <v>45660</v>
      </c>
      <c r="C36" t="s">
        <v>23</v>
      </c>
      <c r="D36">
        <v>1</v>
      </c>
      <c r="E36">
        <v>3</v>
      </c>
      <c r="F36" t="s">
        <v>114</v>
      </c>
      <c r="G36" t="s">
        <v>34</v>
      </c>
      <c r="H36" t="s">
        <v>68</v>
      </c>
      <c r="I36" t="s">
        <v>36</v>
      </c>
      <c r="J36" t="s">
        <v>123</v>
      </c>
      <c r="K36" t="s">
        <v>38</v>
      </c>
      <c r="L36">
        <v>1</v>
      </c>
      <c r="M36">
        <v>814</v>
      </c>
      <c r="N36">
        <v>122.1</v>
      </c>
      <c r="O36">
        <v>20</v>
      </c>
      <c r="P36">
        <v>814</v>
      </c>
      <c r="Q36">
        <v>711.9</v>
      </c>
      <c r="R36" t="s">
        <v>39</v>
      </c>
      <c r="S36" t="s">
        <v>31</v>
      </c>
      <c r="T36" t="s">
        <v>32</v>
      </c>
      <c r="U36">
        <v>24</v>
      </c>
      <c r="V36">
        <v>4</v>
      </c>
      <c r="W36">
        <f>Table2[[#This Row],[Quantity]]*Table2[[#This Row],[Item_Price]]</f>
        <v>814</v>
      </c>
    </row>
    <row r="37" spans="1:23" x14ac:dyDescent="0.25">
      <c r="A37" t="s">
        <v>124</v>
      </c>
      <c r="B37" s="1">
        <v>45660</v>
      </c>
      <c r="C37" t="s">
        <v>23</v>
      </c>
      <c r="D37">
        <v>1</v>
      </c>
      <c r="E37">
        <v>3</v>
      </c>
      <c r="F37" t="s">
        <v>114</v>
      </c>
      <c r="G37" t="s">
        <v>64</v>
      </c>
      <c r="H37" t="s">
        <v>56</v>
      </c>
      <c r="I37" t="s">
        <v>61</v>
      </c>
      <c r="J37" t="s">
        <v>119</v>
      </c>
      <c r="K37" t="s">
        <v>38</v>
      </c>
      <c r="L37">
        <v>1</v>
      </c>
      <c r="M37">
        <v>807</v>
      </c>
      <c r="N37">
        <v>80.7</v>
      </c>
      <c r="O37">
        <v>40</v>
      </c>
      <c r="P37">
        <v>807</v>
      </c>
      <c r="Q37">
        <v>766.3</v>
      </c>
      <c r="R37" t="s">
        <v>30</v>
      </c>
      <c r="S37" t="s">
        <v>31</v>
      </c>
      <c r="T37" t="s">
        <v>40</v>
      </c>
      <c r="U37">
        <v>68</v>
      </c>
      <c r="V37">
        <v>3.8</v>
      </c>
      <c r="W37">
        <f>Table2[[#This Row],[Quantity]]*Table2[[#This Row],[Item_Price]]</f>
        <v>807</v>
      </c>
    </row>
    <row r="38" spans="1:23" x14ac:dyDescent="0.25">
      <c r="A38" t="s">
        <v>125</v>
      </c>
      <c r="B38" s="1">
        <v>45660</v>
      </c>
      <c r="C38" t="s">
        <v>23</v>
      </c>
      <c r="D38">
        <v>1</v>
      </c>
      <c r="E38">
        <v>3</v>
      </c>
      <c r="F38" t="s">
        <v>114</v>
      </c>
      <c r="G38" t="s">
        <v>84</v>
      </c>
      <c r="H38" t="s">
        <v>35</v>
      </c>
      <c r="I38" t="s">
        <v>103</v>
      </c>
      <c r="J38" t="s">
        <v>37</v>
      </c>
      <c r="K38" t="s">
        <v>58</v>
      </c>
      <c r="L38">
        <v>2</v>
      </c>
      <c r="M38">
        <v>580</v>
      </c>
      <c r="N38">
        <v>29</v>
      </c>
      <c r="O38">
        <v>30</v>
      </c>
      <c r="P38">
        <v>1160</v>
      </c>
      <c r="Q38">
        <v>1161</v>
      </c>
      <c r="R38" t="s">
        <v>98</v>
      </c>
      <c r="S38" t="s">
        <v>31</v>
      </c>
      <c r="T38" t="s">
        <v>40</v>
      </c>
      <c r="U38">
        <v>69</v>
      </c>
      <c r="V38">
        <v>4</v>
      </c>
      <c r="W38">
        <f>Table2[[#This Row],[Quantity]]*Table2[[#This Row],[Item_Price]]</f>
        <v>1160</v>
      </c>
    </row>
    <row r="39" spans="1:23" x14ac:dyDescent="0.25">
      <c r="A39" t="s">
        <v>126</v>
      </c>
      <c r="B39" s="1">
        <v>45660</v>
      </c>
      <c r="C39" t="s">
        <v>23</v>
      </c>
      <c r="D39">
        <v>1</v>
      </c>
      <c r="E39">
        <v>3</v>
      </c>
      <c r="F39" t="s">
        <v>114</v>
      </c>
      <c r="G39" t="s">
        <v>25</v>
      </c>
      <c r="H39" t="s">
        <v>42</v>
      </c>
      <c r="I39" t="s">
        <v>43</v>
      </c>
      <c r="J39" t="s">
        <v>70</v>
      </c>
      <c r="K39" t="s">
        <v>38</v>
      </c>
      <c r="L39">
        <v>1</v>
      </c>
      <c r="M39">
        <v>147</v>
      </c>
      <c r="N39">
        <v>14.7</v>
      </c>
      <c r="O39">
        <v>30</v>
      </c>
      <c r="P39">
        <v>147</v>
      </c>
      <c r="Q39">
        <v>162.30000000000001</v>
      </c>
      <c r="R39" t="s">
        <v>75</v>
      </c>
      <c r="S39" t="s">
        <v>31</v>
      </c>
      <c r="T39" t="s">
        <v>32</v>
      </c>
      <c r="U39">
        <v>44</v>
      </c>
      <c r="V39">
        <v>4.5999999999999996</v>
      </c>
      <c r="W39">
        <f>Table2[[#This Row],[Quantity]]*Table2[[#This Row],[Item_Price]]</f>
        <v>147</v>
      </c>
    </row>
    <row r="40" spans="1:23" x14ac:dyDescent="0.25">
      <c r="A40" t="s">
        <v>127</v>
      </c>
      <c r="B40" s="1">
        <v>45660</v>
      </c>
      <c r="C40" t="s">
        <v>23</v>
      </c>
      <c r="D40">
        <v>1</v>
      </c>
      <c r="E40">
        <v>3</v>
      </c>
      <c r="F40" t="s">
        <v>114</v>
      </c>
      <c r="G40" t="s">
        <v>80</v>
      </c>
      <c r="H40" t="s">
        <v>42</v>
      </c>
      <c r="I40" t="s">
        <v>103</v>
      </c>
      <c r="J40" t="s">
        <v>101</v>
      </c>
      <c r="K40" t="s">
        <v>45</v>
      </c>
      <c r="L40">
        <v>1</v>
      </c>
      <c r="M40">
        <v>574</v>
      </c>
      <c r="N40">
        <v>86.1</v>
      </c>
      <c r="O40">
        <v>50</v>
      </c>
      <c r="P40">
        <v>574</v>
      </c>
      <c r="Q40">
        <v>537.9</v>
      </c>
      <c r="R40" t="s">
        <v>39</v>
      </c>
      <c r="S40" t="s">
        <v>31</v>
      </c>
      <c r="T40" t="s">
        <v>40</v>
      </c>
      <c r="U40">
        <v>33</v>
      </c>
      <c r="V40">
        <v>5</v>
      </c>
      <c r="W40">
        <f>Table2[[#This Row],[Quantity]]*Table2[[#This Row],[Item_Price]]</f>
        <v>574</v>
      </c>
    </row>
    <row r="41" spans="1:23" x14ac:dyDescent="0.25">
      <c r="A41" t="s">
        <v>128</v>
      </c>
      <c r="B41" s="1">
        <v>45660</v>
      </c>
      <c r="C41" t="s">
        <v>23</v>
      </c>
      <c r="D41">
        <v>1</v>
      </c>
      <c r="E41">
        <v>3</v>
      </c>
      <c r="F41" t="s">
        <v>114</v>
      </c>
      <c r="G41" t="s">
        <v>80</v>
      </c>
      <c r="H41" t="s">
        <v>52</v>
      </c>
      <c r="I41" t="s">
        <v>103</v>
      </c>
      <c r="J41" t="s">
        <v>94</v>
      </c>
      <c r="K41" t="s">
        <v>38</v>
      </c>
      <c r="L41">
        <v>1</v>
      </c>
      <c r="M41">
        <v>369</v>
      </c>
      <c r="N41">
        <v>0</v>
      </c>
      <c r="O41">
        <v>70</v>
      </c>
      <c r="P41">
        <v>369</v>
      </c>
      <c r="Q41">
        <v>439</v>
      </c>
      <c r="R41" t="s">
        <v>75</v>
      </c>
      <c r="S41" t="s">
        <v>31</v>
      </c>
      <c r="T41" t="s">
        <v>32</v>
      </c>
      <c r="U41">
        <v>51</v>
      </c>
      <c r="V41">
        <v>5</v>
      </c>
      <c r="W41">
        <f>Table2[[#This Row],[Quantity]]*Table2[[#This Row],[Item_Price]]</f>
        <v>369</v>
      </c>
    </row>
    <row r="42" spans="1:23" x14ac:dyDescent="0.25">
      <c r="A42" t="s">
        <v>129</v>
      </c>
      <c r="B42" s="1">
        <v>45660</v>
      </c>
      <c r="C42" t="s">
        <v>23</v>
      </c>
      <c r="D42">
        <v>1</v>
      </c>
      <c r="E42">
        <v>3</v>
      </c>
      <c r="F42" t="s">
        <v>114</v>
      </c>
      <c r="G42" t="s">
        <v>73</v>
      </c>
      <c r="H42" t="s">
        <v>77</v>
      </c>
      <c r="I42" t="s">
        <v>43</v>
      </c>
      <c r="J42" t="s">
        <v>119</v>
      </c>
      <c r="K42" t="s">
        <v>45</v>
      </c>
      <c r="L42">
        <v>1</v>
      </c>
      <c r="M42">
        <v>670</v>
      </c>
      <c r="N42">
        <v>67</v>
      </c>
      <c r="O42">
        <v>20</v>
      </c>
      <c r="P42">
        <v>670</v>
      </c>
      <c r="Q42">
        <v>623</v>
      </c>
      <c r="R42" t="s">
        <v>39</v>
      </c>
      <c r="S42" t="s">
        <v>110</v>
      </c>
      <c r="T42" t="s">
        <v>40</v>
      </c>
      <c r="U42">
        <v>47</v>
      </c>
      <c r="W42">
        <f>Table2[[#This Row],[Quantity]]*Table2[[#This Row],[Item_Price]]</f>
        <v>670</v>
      </c>
    </row>
    <row r="43" spans="1:23" x14ac:dyDescent="0.25">
      <c r="A43" t="s">
        <v>130</v>
      </c>
      <c r="B43" s="1">
        <v>45660</v>
      </c>
      <c r="C43" t="s">
        <v>23</v>
      </c>
      <c r="D43">
        <v>1</v>
      </c>
      <c r="E43">
        <v>3</v>
      </c>
      <c r="F43" t="s">
        <v>114</v>
      </c>
      <c r="G43" t="s">
        <v>80</v>
      </c>
      <c r="H43" t="s">
        <v>65</v>
      </c>
      <c r="I43" t="s">
        <v>36</v>
      </c>
      <c r="J43" t="s">
        <v>62</v>
      </c>
      <c r="K43" t="s">
        <v>38</v>
      </c>
      <c r="L43">
        <v>1</v>
      </c>
      <c r="M43">
        <v>869</v>
      </c>
      <c r="N43">
        <v>130.35</v>
      </c>
      <c r="O43">
        <v>20</v>
      </c>
      <c r="P43">
        <v>869</v>
      </c>
      <c r="Q43">
        <v>758.65</v>
      </c>
      <c r="R43" t="s">
        <v>39</v>
      </c>
      <c r="S43" t="s">
        <v>31</v>
      </c>
      <c r="T43" t="s">
        <v>32</v>
      </c>
      <c r="U43">
        <v>47</v>
      </c>
      <c r="V43">
        <v>3.3</v>
      </c>
      <c r="W43">
        <f>Table2[[#This Row],[Quantity]]*Table2[[#This Row],[Item_Price]]</f>
        <v>869</v>
      </c>
    </row>
    <row r="44" spans="1:23" x14ac:dyDescent="0.25">
      <c r="A44" t="s">
        <v>131</v>
      </c>
      <c r="B44" s="1">
        <v>45660</v>
      </c>
      <c r="C44" t="s">
        <v>23</v>
      </c>
      <c r="D44">
        <v>1</v>
      </c>
      <c r="E44">
        <v>3</v>
      </c>
      <c r="F44" t="s">
        <v>114</v>
      </c>
      <c r="G44" t="s">
        <v>64</v>
      </c>
      <c r="H44" t="s">
        <v>65</v>
      </c>
      <c r="I44" t="s">
        <v>85</v>
      </c>
      <c r="J44" t="s">
        <v>53</v>
      </c>
      <c r="K44" t="s">
        <v>38</v>
      </c>
      <c r="L44">
        <v>2</v>
      </c>
      <c r="M44">
        <v>691</v>
      </c>
      <c r="N44">
        <v>172.75</v>
      </c>
      <c r="O44">
        <v>40</v>
      </c>
      <c r="P44">
        <v>1382</v>
      </c>
      <c r="Q44">
        <v>1249.25</v>
      </c>
      <c r="R44" t="s">
        <v>75</v>
      </c>
      <c r="S44" t="s">
        <v>31</v>
      </c>
      <c r="T44" t="s">
        <v>40</v>
      </c>
      <c r="U44">
        <v>30</v>
      </c>
      <c r="V44">
        <v>5</v>
      </c>
      <c r="W44">
        <f>Table2[[#This Row],[Quantity]]*Table2[[#This Row],[Item_Price]]</f>
        <v>1382</v>
      </c>
    </row>
    <row r="45" spans="1:23" x14ac:dyDescent="0.25">
      <c r="A45" t="s">
        <v>132</v>
      </c>
      <c r="B45" s="1">
        <v>45660</v>
      </c>
      <c r="C45" t="s">
        <v>23</v>
      </c>
      <c r="D45">
        <v>1</v>
      </c>
      <c r="E45">
        <v>3</v>
      </c>
      <c r="F45" t="s">
        <v>114</v>
      </c>
      <c r="G45" t="s">
        <v>55</v>
      </c>
      <c r="H45" t="s">
        <v>26</v>
      </c>
      <c r="I45" t="s">
        <v>43</v>
      </c>
      <c r="J45" t="s">
        <v>28</v>
      </c>
      <c r="K45" t="s">
        <v>38</v>
      </c>
      <c r="L45">
        <v>1</v>
      </c>
      <c r="M45">
        <v>824</v>
      </c>
      <c r="N45">
        <v>123.6</v>
      </c>
      <c r="O45">
        <v>0</v>
      </c>
      <c r="P45">
        <v>824</v>
      </c>
      <c r="Q45">
        <v>700.4</v>
      </c>
      <c r="R45" t="s">
        <v>39</v>
      </c>
      <c r="S45" t="s">
        <v>31</v>
      </c>
      <c r="T45" t="s">
        <v>32</v>
      </c>
      <c r="U45">
        <v>54</v>
      </c>
      <c r="V45">
        <v>4</v>
      </c>
      <c r="W45">
        <f>Table2[[#This Row],[Quantity]]*Table2[[#This Row],[Item_Price]]</f>
        <v>824</v>
      </c>
    </row>
    <row r="46" spans="1:23" x14ac:dyDescent="0.25">
      <c r="A46" t="s">
        <v>133</v>
      </c>
      <c r="B46" s="1">
        <v>45661</v>
      </c>
      <c r="C46" t="s">
        <v>23</v>
      </c>
      <c r="D46">
        <v>1</v>
      </c>
      <c r="E46">
        <v>4</v>
      </c>
      <c r="F46" t="s">
        <v>134</v>
      </c>
      <c r="G46" t="s">
        <v>25</v>
      </c>
      <c r="H46" t="s">
        <v>135</v>
      </c>
      <c r="I46" t="s">
        <v>103</v>
      </c>
      <c r="J46" t="s">
        <v>28</v>
      </c>
      <c r="K46" t="s">
        <v>38</v>
      </c>
      <c r="L46">
        <v>3</v>
      </c>
      <c r="M46">
        <v>453</v>
      </c>
      <c r="N46">
        <v>45.3</v>
      </c>
      <c r="O46">
        <v>30</v>
      </c>
      <c r="P46">
        <v>1359</v>
      </c>
      <c r="Q46">
        <v>1343.7</v>
      </c>
      <c r="R46" t="s">
        <v>39</v>
      </c>
      <c r="S46" t="s">
        <v>31</v>
      </c>
      <c r="T46" t="s">
        <v>40</v>
      </c>
      <c r="U46">
        <v>35</v>
      </c>
      <c r="V46">
        <v>3.8</v>
      </c>
      <c r="W46">
        <f>Table2[[#This Row],[Quantity]]*Table2[[#This Row],[Item_Price]]</f>
        <v>1359</v>
      </c>
    </row>
    <row r="47" spans="1:23" x14ac:dyDescent="0.25">
      <c r="A47" t="s">
        <v>136</v>
      </c>
      <c r="B47" s="1">
        <v>45661</v>
      </c>
      <c r="C47" t="s">
        <v>23</v>
      </c>
      <c r="D47">
        <v>1</v>
      </c>
      <c r="E47">
        <v>4</v>
      </c>
      <c r="F47" t="s">
        <v>134</v>
      </c>
      <c r="G47" t="s">
        <v>34</v>
      </c>
      <c r="H47" t="s">
        <v>26</v>
      </c>
      <c r="I47" t="s">
        <v>27</v>
      </c>
      <c r="J47" t="s">
        <v>78</v>
      </c>
      <c r="K47" t="s">
        <v>38</v>
      </c>
      <c r="L47">
        <v>2</v>
      </c>
      <c r="M47">
        <v>538</v>
      </c>
      <c r="N47">
        <v>53.8</v>
      </c>
      <c r="O47">
        <v>50</v>
      </c>
      <c r="P47">
        <v>1076</v>
      </c>
      <c r="Q47">
        <v>1072.2</v>
      </c>
      <c r="R47" t="s">
        <v>30</v>
      </c>
      <c r="S47" t="s">
        <v>31</v>
      </c>
      <c r="T47" t="s">
        <v>32</v>
      </c>
      <c r="U47">
        <v>26</v>
      </c>
      <c r="V47">
        <v>3.7</v>
      </c>
      <c r="W47">
        <f>Table2[[#This Row],[Quantity]]*Table2[[#This Row],[Item_Price]]</f>
        <v>1076</v>
      </c>
    </row>
    <row r="48" spans="1:23" x14ac:dyDescent="0.25">
      <c r="A48" t="s">
        <v>137</v>
      </c>
      <c r="B48" s="1">
        <v>45661</v>
      </c>
      <c r="C48" t="s">
        <v>23</v>
      </c>
      <c r="D48">
        <v>1</v>
      </c>
      <c r="E48">
        <v>4</v>
      </c>
      <c r="F48" t="s">
        <v>134</v>
      </c>
      <c r="G48" t="s">
        <v>84</v>
      </c>
      <c r="H48" t="s">
        <v>35</v>
      </c>
      <c r="I48" t="s">
        <v>49</v>
      </c>
      <c r="J48" t="s">
        <v>28</v>
      </c>
      <c r="K48" t="s">
        <v>38</v>
      </c>
      <c r="L48">
        <v>1</v>
      </c>
      <c r="M48">
        <v>647</v>
      </c>
      <c r="N48">
        <v>0</v>
      </c>
      <c r="O48">
        <v>0</v>
      </c>
      <c r="P48">
        <v>647</v>
      </c>
      <c r="Q48">
        <v>647</v>
      </c>
      <c r="R48" t="s">
        <v>30</v>
      </c>
      <c r="S48" t="s">
        <v>31</v>
      </c>
      <c r="T48" t="s">
        <v>32</v>
      </c>
      <c r="U48">
        <v>65</v>
      </c>
      <c r="V48">
        <v>4.8</v>
      </c>
      <c r="W48">
        <f>Table2[[#This Row],[Quantity]]*Table2[[#This Row],[Item_Price]]</f>
        <v>647</v>
      </c>
    </row>
    <row r="49" spans="1:23" x14ac:dyDescent="0.25">
      <c r="A49" t="s">
        <v>138</v>
      </c>
      <c r="B49" s="1">
        <v>45661</v>
      </c>
      <c r="C49" t="s">
        <v>23</v>
      </c>
      <c r="D49">
        <v>1</v>
      </c>
      <c r="E49">
        <v>4</v>
      </c>
      <c r="F49" t="s">
        <v>134</v>
      </c>
      <c r="G49" t="s">
        <v>80</v>
      </c>
      <c r="H49" t="s">
        <v>139</v>
      </c>
      <c r="I49" t="s">
        <v>97</v>
      </c>
      <c r="J49" t="s">
        <v>62</v>
      </c>
      <c r="K49" t="s">
        <v>38</v>
      </c>
      <c r="L49">
        <v>2</v>
      </c>
      <c r="M49">
        <v>215</v>
      </c>
      <c r="N49">
        <v>43</v>
      </c>
      <c r="O49">
        <v>30</v>
      </c>
      <c r="P49">
        <v>430</v>
      </c>
      <c r="Q49">
        <v>417</v>
      </c>
      <c r="R49" t="s">
        <v>39</v>
      </c>
      <c r="S49" t="s">
        <v>110</v>
      </c>
      <c r="T49" t="s">
        <v>32</v>
      </c>
      <c r="U49">
        <v>58</v>
      </c>
      <c r="W49">
        <f>Table2[[#This Row],[Quantity]]*Table2[[#This Row],[Item_Price]]</f>
        <v>430</v>
      </c>
    </row>
    <row r="50" spans="1:23" x14ac:dyDescent="0.25">
      <c r="A50" t="s">
        <v>140</v>
      </c>
      <c r="B50" s="1">
        <v>45661</v>
      </c>
      <c r="C50" t="s">
        <v>23</v>
      </c>
      <c r="D50">
        <v>1</v>
      </c>
      <c r="E50">
        <v>4</v>
      </c>
      <c r="F50" t="s">
        <v>134</v>
      </c>
      <c r="G50" t="s">
        <v>73</v>
      </c>
      <c r="H50" t="s">
        <v>42</v>
      </c>
      <c r="I50" t="s">
        <v>27</v>
      </c>
      <c r="J50" t="s">
        <v>53</v>
      </c>
      <c r="K50" t="s">
        <v>38</v>
      </c>
      <c r="L50">
        <v>1</v>
      </c>
      <c r="M50">
        <v>688</v>
      </c>
      <c r="N50">
        <v>137.6</v>
      </c>
      <c r="O50">
        <v>0</v>
      </c>
      <c r="P50">
        <v>688</v>
      </c>
      <c r="Q50">
        <v>550.4</v>
      </c>
      <c r="R50" t="s">
        <v>75</v>
      </c>
      <c r="S50" t="s">
        <v>31</v>
      </c>
      <c r="T50" t="s">
        <v>32</v>
      </c>
      <c r="U50">
        <v>62</v>
      </c>
      <c r="V50">
        <v>3.4</v>
      </c>
      <c r="W50">
        <f>Table2[[#This Row],[Quantity]]*Table2[[#This Row],[Item_Price]]</f>
        <v>688</v>
      </c>
    </row>
    <row r="51" spans="1:23" x14ac:dyDescent="0.25">
      <c r="A51" t="s">
        <v>141</v>
      </c>
      <c r="B51" s="1">
        <v>45661</v>
      </c>
      <c r="C51" t="s">
        <v>23</v>
      </c>
      <c r="D51">
        <v>1</v>
      </c>
      <c r="E51">
        <v>4</v>
      </c>
      <c r="F51" t="s">
        <v>134</v>
      </c>
      <c r="G51" t="s">
        <v>34</v>
      </c>
      <c r="H51" t="s">
        <v>65</v>
      </c>
      <c r="I51" t="s">
        <v>69</v>
      </c>
      <c r="J51" t="s">
        <v>44</v>
      </c>
      <c r="K51" t="s">
        <v>38</v>
      </c>
      <c r="L51">
        <v>2</v>
      </c>
      <c r="M51">
        <v>134</v>
      </c>
      <c r="N51">
        <v>13.4</v>
      </c>
      <c r="O51">
        <v>20</v>
      </c>
      <c r="P51">
        <v>268</v>
      </c>
      <c r="Q51">
        <v>274.60000000000002</v>
      </c>
      <c r="R51" t="s">
        <v>39</v>
      </c>
      <c r="S51" t="s">
        <v>91</v>
      </c>
      <c r="T51" t="s">
        <v>32</v>
      </c>
      <c r="U51">
        <v>69</v>
      </c>
      <c r="W51">
        <f>Table2[[#This Row],[Quantity]]*Table2[[#This Row],[Item_Price]]</f>
        <v>268</v>
      </c>
    </row>
    <row r="52" spans="1:23" x14ac:dyDescent="0.25">
      <c r="A52" t="s">
        <v>142</v>
      </c>
      <c r="B52" s="1">
        <v>45661</v>
      </c>
      <c r="C52" t="s">
        <v>23</v>
      </c>
      <c r="D52">
        <v>1</v>
      </c>
      <c r="E52">
        <v>4</v>
      </c>
      <c r="F52" t="s">
        <v>134</v>
      </c>
      <c r="G52" t="s">
        <v>84</v>
      </c>
      <c r="H52" t="s">
        <v>77</v>
      </c>
      <c r="I52" t="s">
        <v>85</v>
      </c>
      <c r="J52" t="s">
        <v>53</v>
      </c>
      <c r="K52" t="s">
        <v>38</v>
      </c>
      <c r="L52">
        <v>2</v>
      </c>
      <c r="M52">
        <v>893</v>
      </c>
      <c r="N52">
        <v>44.65</v>
      </c>
      <c r="O52">
        <v>0</v>
      </c>
      <c r="P52">
        <v>1786</v>
      </c>
      <c r="Q52">
        <v>1741.35</v>
      </c>
      <c r="R52" t="s">
        <v>39</v>
      </c>
      <c r="S52" t="s">
        <v>31</v>
      </c>
      <c r="T52" t="s">
        <v>32</v>
      </c>
      <c r="U52">
        <v>37</v>
      </c>
      <c r="V52">
        <v>4.3</v>
      </c>
      <c r="W52">
        <f>Table2[[#This Row],[Quantity]]*Table2[[#This Row],[Item_Price]]</f>
        <v>1786</v>
      </c>
    </row>
    <row r="53" spans="1:23" x14ac:dyDescent="0.25">
      <c r="A53" t="s">
        <v>143</v>
      </c>
      <c r="B53" s="1">
        <v>45661</v>
      </c>
      <c r="C53" t="s">
        <v>23</v>
      </c>
      <c r="D53">
        <v>1</v>
      </c>
      <c r="E53">
        <v>4</v>
      </c>
      <c r="F53" t="s">
        <v>134</v>
      </c>
      <c r="G53" t="s">
        <v>64</v>
      </c>
      <c r="H53" t="s">
        <v>35</v>
      </c>
      <c r="I53" t="s">
        <v>36</v>
      </c>
      <c r="J53" t="s">
        <v>50</v>
      </c>
      <c r="K53" t="s">
        <v>38</v>
      </c>
      <c r="L53">
        <v>2</v>
      </c>
      <c r="M53">
        <v>390</v>
      </c>
      <c r="N53">
        <v>39</v>
      </c>
      <c r="O53">
        <v>50</v>
      </c>
      <c r="P53">
        <v>780</v>
      </c>
      <c r="Q53">
        <v>791</v>
      </c>
      <c r="R53" t="s">
        <v>30</v>
      </c>
      <c r="S53" t="s">
        <v>91</v>
      </c>
      <c r="T53" t="s">
        <v>32</v>
      </c>
      <c r="U53">
        <v>34</v>
      </c>
      <c r="W53">
        <f>Table2[[#This Row],[Quantity]]*Table2[[#This Row],[Item_Price]]</f>
        <v>780</v>
      </c>
    </row>
    <row r="54" spans="1:23" x14ac:dyDescent="0.25">
      <c r="A54" t="s">
        <v>144</v>
      </c>
      <c r="B54" s="1">
        <v>45661</v>
      </c>
      <c r="C54" t="s">
        <v>23</v>
      </c>
      <c r="D54">
        <v>1</v>
      </c>
      <c r="E54">
        <v>4</v>
      </c>
      <c r="F54" t="s">
        <v>134</v>
      </c>
      <c r="G54" t="s">
        <v>64</v>
      </c>
      <c r="H54" t="s">
        <v>77</v>
      </c>
      <c r="I54" t="s">
        <v>49</v>
      </c>
      <c r="J54" t="s">
        <v>44</v>
      </c>
      <c r="K54" t="s">
        <v>45</v>
      </c>
      <c r="L54">
        <v>1</v>
      </c>
      <c r="M54">
        <v>164</v>
      </c>
      <c r="N54">
        <v>8.1999999999999993</v>
      </c>
      <c r="O54">
        <v>50</v>
      </c>
      <c r="P54">
        <v>164</v>
      </c>
      <c r="Q54">
        <v>205.8</v>
      </c>
      <c r="R54" t="s">
        <v>39</v>
      </c>
      <c r="S54" t="s">
        <v>31</v>
      </c>
      <c r="T54" t="s">
        <v>32</v>
      </c>
      <c r="U54">
        <v>64</v>
      </c>
      <c r="V54">
        <v>4.8</v>
      </c>
      <c r="W54">
        <f>Table2[[#This Row],[Quantity]]*Table2[[#This Row],[Item_Price]]</f>
        <v>164</v>
      </c>
    </row>
    <row r="55" spans="1:23" x14ac:dyDescent="0.25">
      <c r="A55" t="s">
        <v>145</v>
      </c>
      <c r="B55" s="1">
        <v>45661</v>
      </c>
      <c r="C55" t="s">
        <v>23</v>
      </c>
      <c r="D55">
        <v>1</v>
      </c>
      <c r="E55">
        <v>4</v>
      </c>
      <c r="F55" t="s">
        <v>134</v>
      </c>
      <c r="G55" t="s">
        <v>115</v>
      </c>
      <c r="H55" t="s">
        <v>65</v>
      </c>
      <c r="I55" t="s">
        <v>49</v>
      </c>
      <c r="J55" t="s">
        <v>66</v>
      </c>
      <c r="K55" t="s">
        <v>45</v>
      </c>
      <c r="L55">
        <v>1</v>
      </c>
      <c r="M55">
        <v>120</v>
      </c>
      <c r="N55">
        <v>6</v>
      </c>
      <c r="O55">
        <v>30</v>
      </c>
      <c r="P55">
        <v>120</v>
      </c>
      <c r="Q55">
        <v>144</v>
      </c>
      <c r="R55" t="s">
        <v>75</v>
      </c>
      <c r="S55" t="s">
        <v>31</v>
      </c>
      <c r="T55" t="s">
        <v>40</v>
      </c>
      <c r="U55">
        <v>51</v>
      </c>
      <c r="V55">
        <v>3.8</v>
      </c>
      <c r="W55">
        <f>Table2[[#This Row],[Quantity]]*Table2[[#This Row],[Item_Price]]</f>
        <v>120</v>
      </c>
    </row>
    <row r="56" spans="1:23" x14ac:dyDescent="0.25">
      <c r="A56" t="s">
        <v>146</v>
      </c>
      <c r="B56" s="1">
        <v>45661</v>
      </c>
      <c r="C56" t="s">
        <v>23</v>
      </c>
      <c r="D56">
        <v>1</v>
      </c>
      <c r="E56">
        <v>4</v>
      </c>
      <c r="F56" t="s">
        <v>134</v>
      </c>
      <c r="G56" t="s">
        <v>73</v>
      </c>
      <c r="H56" t="s">
        <v>68</v>
      </c>
      <c r="I56" t="s">
        <v>43</v>
      </c>
      <c r="J56" t="s">
        <v>94</v>
      </c>
      <c r="K56" t="s">
        <v>38</v>
      </c>
      <c r="L56">
        <v>3</v>
      </c>
      <c r="M56">
        <v>243</v>
      </c>
      <c r="N56">
        <v>48.6</v>
      </c>
      <c r="O56">
        <v>70</v>
      </c>
      <c r="P56">
        <v>729</v>
      </c>
      <c r="Q56">
        <v>750.4</v>
      </c>
      <c r="R56" t="s">
        <v>39</v>
      </c>
      <c r="S56" t="s">
        <v>46</v>
      </c>
      <c r="T56" t="s">
        <v>40</v>
      </c>
      <c r="U56">
        <v>41</v>
      </c>
      <c r="W56">
        <f>Table2[[#This Row],[Quantity]]*Table2[[#This Row],[Item_Price]]</f>
        <v>729</v>
      </c>
    </row>
    <row r="57" spans="1:23" x14ac:dyDescent="0.25">
      <c r="A57" t="s">
        <v>147</v>
      </c>
      <c r="B57" s="1">
        <v>45661</v>
      </c>
      <c r="C57" t="s">
        <v>23</v>
      </c>
      <c r="D57">
        <v>1</v>
      </c>
      <c r="E57">
        <v>4</v>
      </c>
      <c r="F57" t="s">
        <v>134</v>
      </c>
      <c r="G57" t="s">
        <v>73</v>
      </c>
      <c r="H57" t="s">
        <v>65</v>
      </c>
      <c r="I57" t="s">
        <v>61</v>
      </c>
      <c r="J57" t="s">
        <v>123</v>
      </c>
      <c r="K57" t="s">
        <v>29</v>
      </c>
      <c r="L57">
        <v>1</v>
      </c>
      <c r="M57">
        <v>438</v>
      </c>
      <c r="N57">
        <v>65.7</v>
      </c>
      <c r="O57">
        <v>40</v>
      </c>
      <c r="P57">
        <v>438</v>
      </c>
      <c r="Q57">
        <v>412.3</v>
      </c>
      <c r="R57" t="s">
        <v>30</v>
      </c>
      <c r="S57" t="s">
        <v>110</v>
      </c>
      <c r="T57" t="s">
        <v>32</v>
      </c>
      <c r="U57">
        <v>18</v>
      </c>
      <c r="W57">
        <f>Table2[[#This Row],[Quantity]]*Table2[[#This Row],[Item_Price]]</f>
        <v>438</v>
      </c>
    </row>
    <row r="58" spans="1:23" x14ac:dyDescent="0.25">
      <c r="A58" t="s">
        <v>148</v>
      </c>
      <c r="B58" s="1">
        <v>45662</v>
      </c>
      <c r="C58" t="s">
        <v>23</v>
      </c>
      <c r="D58">
        <v>1</v>
      </c>
      <c r="E58">
        <v>5</v>
      </c>
      <c r="F58" t="s">
        <v>149</v>
      </c>
      <c r="G58" t="s">
        <v>73</v>
      </c>
      <c r="H58" t="s">
        <v>60</v>
      </c>
      <c r="I58" t="s">
        <v>43</v>
      </c>
      <c r="J58" t="s">
        <v>94</v>
      </c>
      <c r="K58" t="s">
        <v>38</v>
      </c>
      <c r="L58">
        <v>1</v>
      </c>
      <c r="M58">
        <v>643</v>
      </c>
      <c r="N58">
        <v>64.3</v>
      </c>
      <c r="O58">
        <v>20</v>
      </c>
      <c r="P58">
        <v>643</v>
      </c>
      <c r="Q58">
        <v>598.70000000000005</v>
      </c>
      <c r="R58" t="s">
        <v>112</v>
      </c>
      <c r="S58" t="s">
        <v>31</v>
      </c>
      <c r="T58" t="s">
        <v>32</v>
      </c>
      <c r="U58">
        <v>67</v>
      </c>
      <c r="V58">
        <v>5</v>
      </c>
      <c r="W58">
        <f>Table2[[#This Row],[Quantity]]*Table2[[#This Row],[Item_Price]]</f>
        <v>643</v>
      </c>
    </row>
    <row r="59" spans="1:23" x14ac:dyDescent="0.25">
      <c r="A59" t="s">
        <v>150</v>
      </c>
      <c r="B59" s="1">
        <v>45662</v>
      </c>
      <c r="C59" t="s">
        <v>23</v>
      </c>
      <c r="D59">
        <v>1</v>
      </c>
      <c r="E59">
        <v>5</v>
      </c>
      <c r="F59" t="s">
        <v>149</v>
      </c>
      <c r="G59" t="s">
        <v>64</v>
      </c>
      <c r="H59" t="s">
        <v>35</v>
      </c>
      <c r="I59" t="s">
        <v>61</v>
      </c>
      <c r="J59" t="s">
        <v>28</v>
      </c>
      <c r="K59" t="s">
        <v>45</v>
      </c>
      <c r="L59">
        <v>1</v>
      </c>
      <c r="M59">
        <v>792</v>
      </c>
      <c r="N59">
        <v>118.8</v>
      </c>
      <c r="O59">
        <v>60</v>
      </c>
      <c r="P59">
        <v>792</v>
      </c>
      <c r="Q59">
        <v>733.2</v>
      </c>
      <c r="R59" t="s">
        <v>112</v>
      </c>
      <c r="S59" t="s">
        <v>31</v>
      </c>
      <c r="T59" t="s">
        <v>40</v>
      </c>
      <c r="U59">
        <v>69</v>
      </c>
      <c r="V59">
        <v>4</v>
      </c>
      <c r="W59">
        <f>Table2[[#This Row],[Quantity]]*Table2[[#This Row],[Item_Price]]</f>
        <v>792</v>
      </c>
    </row>
    <row r="60" spans="1:23" x14ac:dyDescent="0.25">
      <c r="A60" t="s">
        <v>151</v>
      </c>
      <c r="B60" s="1">
        <v>45662</v>
      </c>
      <c r="C60" t="s">
        <v>23</v>
      </c>
      <c r="D60">
        <v>1</v>
      </c>
      <c r="E60">
        <v>5</v>
      </c>
      <c r="F60" t="s">
        <v>149</v>
      </c>
      <c r="G60" t="s">
        <v>80</v>
      </c>
      <c r="H60" t="s">
        <v>48</v>
      </c>
      <c r="I60" t="s">
        <v>85</v>
      </c>
      <c r="J60" t="s">
        <v>50</v>
      </c>
      <c r="K60" t="s">
        <v>45</v>
      </c>
      <c r="L60">
        <v>1</v>
      </c>
      <c r="M60">
        <v>852</v>
      </c>
      <c r="N60">
        <v>42.6</v>
      </c>
      <c r="O60">
        <v>20</v>
      </c>
      <c r="P60">
        <v>852</v>
      </c>
      <c r="Q60">
        <v>829.4</v>
      </c>
      <c r="R60" t="s">
        <v>75</v>
      </c>
      <c r="S60" t="s">
        <v>110</v>
      </c>
      <c r="T60" t="s">
        <v>40</v>
      </c>
      <c r="U60">
        <v>35</v>
      </c>
      <c r="W60">
        <f>Table2[[#This Row],[Quantity]]*Table2[[#This Row],[Item_Price]]</f>
        <v>852</v>
      </c>
    </row>
    <row r="61" spans="1:23" x14ac:dyDescent="0.25">
      <c r="A61" t="s">
        <v>152</v>
      </c>
      <c r="B61" s="1">
        <v>45662</v>
      </c>
      <c r="C61" t="s">
        <v>23</v>
      </c>
      <c r="D61">
        <v>1</v>
      </c>
      <c r="E61">
        <v>5</v>
      </c>
      <c r="F61" t="s">
        <v>149</v>
      </c>
      <c r="G61" t="s">
        <v>64</v>
      </c>
      <c r="H61" t="s">
        <v>105</v>
      </c>
      <c r="I61" t="s">
        <v>49</v>
      </c>
      <c r="J61" t="s">
        <v>37</v>
      </c>
      <c r="K61" t="s">
        <v>45</v>
      </c>
      <c r="L61">
        <v>1</v>
      </c>
      <c r="M61">
        <v>885</v>
      </c>
      <c r="N61">
        <v>177</v>
      </c>
      <c r="O61">
        <v>0</v>
      </c>
      <c r="P61">
        <v>885</v>
      </c>
      <c r="Q61">
        <v>708</v>
      </c>
      <c r="R61" t="s">
        <v>112</v>
      </c>
      <c r="S61" t="s">
        <v>31</v>
      </c>
      <c r="T61" t="s">
        <v>40</v>
      </c>
      <c r="U61">
        <v>42</v>
      </c>
      <c r="V61">
        <v>5</v>
      </c>
      <c r="W61">
        <f>Table2[[#This Row],[Quantity]]*Table2[[#This Row],[Item_Price]]</f>
        <v>885</v>
      </c>
    </row>
    <row r="62" spans="1:23" x14ac:dyDescent="0.25">
      <c r="A62" t="s">
        <v>153</v>
      </c>
      <c r="B62" s="1">
        <v>45662</v>
      </c>
      <c r="C62" t="s">
        <v>23</v>
      </c>
      <c r="D62">
        <v>1</v>
      </c>
      <c r="E62">
        <v>5</v>
      </c>
      <c r="F62" t="s">
        <v>149</v>
      </c>
      <c r="G62" t="s">
        <v>80</v>
      </c>
      <c r="H62" t="s">
        <v>139</v>
      </c>
      <c r="I62" t="s">
        <v>36</v>
      </c>
      <c r="J62" t="s">
        <v>37</v>
      </c>
      <c r="K62" t="s">
        <v>38</v>
      </c>
      <c r="L62">
        <v>2</v>
      </c>
      <c r="M62">
        <v>164</v>
      </c>
      <c r="N62">
        <v>16.399999999999999</v>
      </c>
      <c r="O62">
        <v>50</v>
      </c>
      <c r="P62">
        <v>328</v>
      </c>
      <c r="Q62">
        <v>361.6</v>
      </c>
      <c r="R62" t="s">
        <v>75</v>
      </c>
      <c r="S62" t="s">
        <v>31</v>
      </c>
      <c r="T62" t="s">
        <v>32</v>
      </c>
      <c r="U62">
        <v>62</v>
      </c>
      <c r="V62">
        <v>4.9000000000000004</v>
      </c>
      <c r="W62">
        <f>Table2[[#This Row],[Quantity]]*Table2[[#This Row],[Item_Price]]</f>
        <v>328</v>
      </c>
    </row>
    <row r="63" spans="1:23" x14ac:dyDescent="0.25">
      <c r="A63" t="s">
        <v>154</v>
      </c>
      <c r="B63" s="1">
        <v>45662</v>
      </c>
      <c r="C63" t="s">
        <v>23</v>
      </c>
      <c r="D63">
        <v>1</v>
      </c>
      <c r="E63">
        <v>5</v>
      </c>
      <c r="F63" t="s">
        <v>149</v>
      </c>
      <c r="G63" t="s">
        <v>96</v>
      </c>
      <c r="H63" t="s">
        <v>42</v>
      </c>
      <c r="I63" t="s">
        <v>61</v>
      </c>
      <c r="J63" t="s">
        <v>94</v>
      </c>
      <c r="K63" t="s">
        <v>38</v>
      </c>
      <c r="L63">
        <v>3</v>
      </c>
      <c r="M63">
        <v>444</v>
      </c>
      <c r="N63">
        <v>111</v>
      </c>
      <c r="O63">
        <v>70</v>
      </c>
      <c r="P63">
        <v>1332</v>
      </c>
      <c r="Q63">
        <v>1291</v>
      </c>
      <c r="R63" t="s">
        <v>98</v>
      </c>
      <c r="S63" t="s">
        <v>31</v>
      </c>
      <c r="T63" t="s">
        <v>40</v>
      </c>
      <c r="U63">
        <v>33</v>
      </c>
      <c r="V63">
        <v>3.3</v>
      </c>
      <c r="W63">
        <f>Table2[[#This Row],[Quantity]]*Table2[[#This Row],[Item_Price]]</f>
        <v>1332</v>
      </c>
    </row>
    <row r="64" spans="1:23" x14ac:dyDescent="0.25">
      <c r="A64" t="s">
        <v>155</v>
      </c>
      <c r="B64" s="1">
        <v>45662</v>
      </c>
      <c r="C64" t="s">
        <v>23</v>
      </c>
      <c r="D64">
        <v>1</v>
      </c>
      <c r="E64">
        <v>5</v>
      </c>
      <c r="F64" t="s">
        <v>149</v>
      </c>
      <c r="G64" t="s">
        <v>34</v>
      </c>
      <c r="H64" t="s">
        <v>42</v>
      </c>
      <c r="I64" t="s">
        <v>36</v>
      </c>
      <c r="J64" t="s">
        <v>28</v>
      </c>
      <c r="K64" t="s">
        <v>38</v>
      </c>
      <c r="L64">
        <v>3</v>
      </c>
      <c r="M64">
        <v>331</v>
      </c>
      <c r="N64">
        <v>16.55</v>
      </c>
      <c r="O64">
        <v>40</v>
      </c>
      <c r="P64">
        <v>993</v>
      </c>
      <c r="Q64">
        <v>1016.45</v>
      </c>
      <c r="R64" t="s">
        <v>39</v>
      </c>
      <c r="S64" t="s">
        <v>31</v>
      </c>
      <c r="T64" t="s">
        <v>40</v>
      </c>
      <c r="U64">
        <v>49</v>
      </c>
      <c r="V64">
        <v>4.0999999999999996</v>
      </c>
      <c r="W64">
        <f>Table2[[#This Row],[Quantity]]*Table2[[#This Row],[Item_Price]]</f>
        <v>993</v>
      </c>
    </row>
    <row r="65" spans="1:23" x14ac:dyDescent="0.25">
      <c r="A65" t="s">
        <v>156</v>
      </c>
      <c r="B65" s="1">
        <v>45662</v>
      </c>
      <c r="C65" t="s">
        <v>23</v>
      </c>
      <c r="D65">
        <v>1</v>
      </c>
      <c r="E65">
        <v>5</v>
      </c>
      <c r="F65" t="s">
        <v>149</v>
      </c>
      <c r="G65" t="s">
        <v>55</v>
      </c>
      <c r="H65" t="s">
        <v>135</v>
      </c>
      <c r="I65" t="s">
        <v>36</v>
      </c>
      <c r="J65" t="s">
        <v>74</v>
      </c>
      <c r="K65" t="s">
        <v>38</v>
      </c>
      <c r="L65">
        <v>1</v>
      </c>
      <c r="M65">
        <v>398</v>
      </c>
      <c r="N65">
        <v>39.799999999999997</v>
      </c>
      <c r="O65">
        <v>20</v>
      </c>
      <c r="P65">
        <v>398</v>
      </c>
      <c r="Q65">
        <v>378.2</v>
      </c>
      <c r="R65" t="s">
        <v>75</v>
      </c>
      <c r="S65" t="s">
        <v>91</v>
      </c>
      <c r="T65" t="s">
        <v>32</v>
      </c>
      <c r="U65">
        <v>63</v>
      </c>
      <c r="W65">
        <f>Table2[[#This Row],[Quantity]]*Table2[[#This Row],[Item_Price]]</f>
        <v>398</v>
      </c>
    </row>
    <row r="66" spans="1:23" x14ac:dyDescent="0.25">
      <c r="A66" t="s">
        <v>157</v>
      </c>
      <c r="B66" s="1">
        <v>45662</v>
      </c>
      <c r="C66" t="s">
        <v>23</v>
      </c>
      <c r="D66">
        <v>1</v>
      </c>
      <c r="E66">
        <v>5</v>
      </c>
      <c r="F66" t="s">
        <v>149</v>
      </c>
      <c r="G66" t="s">
        <v>73</v>
      </c>
      <c r="H66" t="s">
        <v>105</v>
      </c>
      <c r="I66" t="s">
        <v>49</v>
      </c>
      <c r="J66" t="s">
        <v>74</v>
      </c>
      <c r="K66" t="s">
        <v>38</v>
      </c>
      <c r="L66">
        <v>2</v>
      </c>
      <c r="M66">
        <v>847</v>
      </c>
      <c r="N66">
        <v>84.7</v>
      </c>
      <c r="O66">
        <v>30</v>
      </c>
      <c r="P66">
        <v>1694</v>
      </c>
      <c r="Q66">
        <v>1639.3</v>
      </c>
      <c r="R66" t="s">
        <v>112</v>
      </c>
      <c r="S66" t="s">
        <v>31</v>
      </c>
      <c r="T66" t="s">
        <v>40</v>
      </c>
      <c r="U66">
        <v>46</v>
      </c>
      <c r="V66">
        <v>3.8</v>
      </c>
      <c r="W66">
        <f>Table2[[#This Row],[Quantity]]*Table2[[#This Row],[Item_Price]]</f>
        <v>1694</v>
      </c>
    </row>
    <row r="67" spans="1:23" x14ac:dyDescent="0.25">
      <c r="A67" t="s">
        <v>158</v>
      </c>
      <c r="B67" s="1">
        <v>45662</v>
      </c>
      <c r="C67" t="s">
        <v>23</v>
      </c>
      <c r="D67">
        <v>1</v>
      </c>
      <c r="E67">
        <v>5</v>
      </c>
      <c r="F67" t="s">
        <v>149</v>
      </c>
      <c r="G67" t="s">
        <v>73</v>
      </c>
      <c r="H67" t="s">
        <v>26</v>
      </c>
      <c r="I67" t="s">
        <v>49</v>
      </c>
      <c r="J67" t="s">
        <v>70</v>
      </c>
      <c r="K67" t="s">
        <v>38</v>
      </c>
      <c r="L67">
        <v>2</v>
      </c>
      <c r="M67">
        <v>437</v>
      </c>
      <c r="N67">
        <v>21.85</v>
      </c>
      <c r="O67">
        <v>40</v>
      </c>
      <c r="P67">
        <v>874</v>
      </c>
      <c r="Q67">
        <v>892.15</v>
      </c>
      <c r="R67" t="s">
        <v>112</v>
      </c>
      <c r="S67" t="s">
        <v>31</v>
      </c>
      <c r="T67" t="s">
        <v>40</v>
      </c>
      <c r="U67">
        <v>37</v>
      </c>
      <c r="V67">
        <v>4.2</v>
      </c>
      <c r="W67">
        <f>Table2[[#This Row],[Quantity]]*Table2[[#This Row],[Item_Price]]</f>
        <v>874</v>
      </c>
    </row>
    <row r="68" spans="1:23" x14ac:dyDescent="0.25">
      <c r="A68" t="s">
        <v>159</v>
      </c>
      <c r="B68" s="1">
        <v>45662</v>
      </c>
      <c r="C68" t="s">
        <v>23</v>
      </c>
      <c r="D68">
        <v>1</v>
      </c>
      <c r="E68">
        <v>5</v>
      </c>
      <c r="F68" t="s">
        <v>149</v>
      </c>
      <c r="G68" t="s">
        <v>115</v>
      </c>
      <c r="H68" t="s">
        <v>77</v>
      </c>
      <c r="I68" t="s">
        <v>85</v>
      </c>
      <c r="J68" t="s">
        <v>123</v>
      </c>
      <c r="K68" t="s">
        <v>38</v>
      </c>
      <c r="L68">
        <v>3</v>
      </c>
      <c r="M68">
        <v>698</v>
      </c>
      <c r="N68">
        <v>139.6</v>
      </c>
      <c r="O68">
        <v>30</v>
      </c>
      <c r="P68">
        <v>2094</v>
      </c>
      <c r="Q68">
        <v>1984.4</v>
      </c>
      <c r="R68" t="s">
        <v>112</v>
      </c>
      <c r="S68" t="s">
        <v>31</v>
      </c>
      <c r="T68" t="s">
        <v>32</v>
      </c>
      <c r="U68">
        <v>43</v>
      </c>
      <c r="V68">
        <v>3.6</v>
      </c>
      <c r="W68">
        <f>Table2[[#This Row],[Quantity]]*Table2[[#This Row],[Item_Price]]</f>
        <v>2094</v>
      </c>
    </row>
    <row r="69" spans="1:23" x14ac:dyDescent="0.25">
      <c r="A69" t="s">
        <v>160</v>
      </c>
      <c r="B69" s="1">
        <v>45662</v>
      </c>
      <c r="C69" t="s">
        <v>23</v>
      </c>
      <c r="D69">
        <v>1</v>
      </c>
      <c r="E69">
        <v>5</v>
      </c>
      <c r="F69" t="s">
        <v>149</v>
      </c>
      <c r="G69" t="s">
        <v>25</v>
      </c>
      <c r="H69" t="s">
        <v>81</v>
      </c>
      <c r="I69" t="s">
        <v>103</v>
      </c>
      <c r="J69" t="s">
        <v>78</v>
      </c>
      <c r="K69" t="s">
        <v>38</v>
      </c>
      <c r="L69">
        <v>1</v>
      </c>
      <c r="M69">
        <v>749</v>
      </c>
      <c r="N69">
        <v>74.900000000000006</v>
      </c>
      <c r="O69">
        <v>40</v>
      </c>
      <c r="P69">
        <v>749</v>
      </c>
      <c r="Q69">
        <v>714.1</v>
      </c>
      <c r="R69" t="s">
        <v>30</v>
      </c>
      <c r="S69" t="s">
        <v>91</v>
      </c>
      <c r="T69" t="s">
        <v>32</v>
      </c>
      <c r="U69">
        <v>25</v>
      </c>
      <c r="W69">
        <f>Table2[[#This Row],[Quantity]]*Table2[[#This Row],[Item_Price]]</f>
        <v>749</v>
      </c>
    </row>
    <row r="70" spans="1:23" x14ac:dyDescent="0.25">
      <c r="A70" t="s">
        <v>161</v>
      </c>
      <c r="B70" s="1">
        <v>45662</v>
      </c>
      <c r="C70" t="s">
        <v>23</v>
      </c>
      <c r="D70">
        <v>1</v>
      </c>
      <c r="E70">
        <v>5</v>
      </c>
      <c r="F70" t="s">
        <v>149</v>
      </c>
      <c r="G70" t="s">
        <v>73</v>
      </c>
      <c r="H70" t="s">
        <v>26</v>
      </c>
      <c r="I70" t="s">
        <v>69</v>
      </c>
      <c r="J70" t="s">
        <v>66</v>
      </c>
      <c r="K70" t="s">
        <v>38</v>
      </c>
      <c r="L70">
        <v>1</v>
      </c>
      <c r="M70">
        <v>696</v>
      </c>
      <c r="N70">
        <v>0</v>
      </c>
      <c r="O70">
        <v>30</v>
      </c>
      <c r="P70">
        <v>696</v>
      </c>
      <c r="Q70">
        <v>726</v>
      </c>
      <c r="R70" t="s">
        <v>39</v>
      </c>
      <c r="S70" t="s">
        <v>31</v>
      </c>
      <c r="T70" t="s">
        <v>40</v>
      </c>
      <c r="U70">
        <v>39</v>
      </c>
      <c r="V70">
        <v>2.9</v>
      </c>
      <c r="W70">
        <f>Table2[[#This Row],[Quantity]]*Table2[[#This Row],[Item_Price]]</f>
        <v>696</v>
      </c>
    </row>
    <row r="71" spans="1:23" x14ac:dyDescent="0.25">
      <c r="A71" t="s">
        <v>162</v>
      </c>
      <c r="B71" s="1">
        <v>45662</v>
      </c>
      <c r="C71" t="s">
        <v>23</v>
      </c>
      <c r="D71">
        <v>1</v>
      </c>
      <c r="E71">
        <v>5</v>
      </c>
      <c r="F71" t="s">
        <v>149</v>
      </c>
      <c r="G71" t="s">
        <v>25</v>
      </c>
      <c r="H71" t="s">
        <v>48</v>
      </c>
      <c r="I71" t="s">
        <v>85</v>
      </c>
      <c r="J71" t="s">
        <v>44</v>
      </c>
      <c r="K71" t="s">
        <v>45</v>
      </c>
      <c r="L71">
        <v>1</v>
      </c>
      <c r="M71">
        <v>176</v>
      </c>
      <c r="N71">
        <v>44</v>
      </c>
      <c r="O71">
        <v>0</v>
      </c>
      <c r="P71">
        <v>176</v>
      </c>
      <c r="Q71">
        <v>132</v>
      </c>
      <c r="R71" t="s">
        <v>75</v>
      </c>
      <c r="S71" t="s">
        <v>31</v>
      </c>
      <c r="T71" t="s">
        <v>32</v>
      </c>
      <c r="U71">
        <v>40</v>
      </c>
      <c r="V71">
        <v>3.6</v>
      </c>
      <c r="W71">
        <f>Table2[[#This Row],[Quantity]]*Table2[[#This Row],[Item_Price]]</f>
        <v>176</v>
      </c>
    </row>
    <row r="72" spans="1:23" x14ac:dyDescent="0.25">
      <c r="A72" t="s">
        <v>163</v>
      </c>
      <c r="B72" s="1">
        <v>45662</v>
      </c>
      <c r="C72" t="s">
        <v>23</v>
      </c>
      <c r="D72">
        <v>1</v>
      </c>
      <c r="E72">
        <v>5</v>
      </c>
      <c r="F72" t="s">
        <v>149</v>
      </c>
      <c r="G72" t="s">
        <v>80</v>
      </c>
      <c r="H72" t="s">
        <v>81</v>
      </c>
      <c r="I72" t="s">
        <v>61</v>
      </c>
      <c r="J72" t="s">
        <v>66</v>
      </c>
      <c r="K72" t="s">
        <v>38</v>
      </c>
      <c r="L72">
        <v>2</v>
      </c>
      <c r="M72">
        <v>691</v>
      </c>
      <c r="N72">
        <v>138.19999999999999</v>
      </c>
      <c r="O72">
        <v>40</v>
      </c>
      <c r="P72">
        <v>1382</v>
      </c>
      <c r="Q72">
        <v>1283.8</v>
      </c>
      <c r="R72" t="s">
        <v>39</v>
      </c>
      <c r="S72" t="s">
        <v>31</v>
      </c>
      <c r="T72" t="s">
        <v>40</v>
      </c>
      <c r="U72">
        <v>50</v>
      </c>
      <c r="V72">
        <v>3.4</v>
      </c>
      <c r="W72">
        <f>Table2[[#This Row],[Quantity]]*Table2[[#This Row],[Item_Price]]</f>
        <v>1382</v>
      </c>
    </row>
    <row r="73" spans="1:23" x14ac:dyDescent="0.25">
      <c r="A73" t="s">
        <v>164</v>
      </c>
      <c r="B73" s="1">
        <v>45662</v>
      </c>
      <c r="C73" t="s">
        <v>23</v>
      </c>
      <c r="D73">
        <v>1</v>
      </c>
      <c r="E73">
        <v>5</v>
      </c>
      <c r="F73" t="s">
        <v>149</v>
      </c>
      <c r="G73" t="s">
        <v>73</v>
      </c>
      <c r="H73" t="s">
        <v>77</v>
      </c>
      <c r="I73" t="s">
        <v>43</v>
      </c>
      <c r="J73" t="s">
        <v>74</v>
      </c>
      <c r="K73" t="s">
        <v>38</v>
      </c>
      <c r="L73">
        <v>1</v>
      </c>
      <c r="M73">
        <v>806</v>
      </c>
      <c r="N73">
        <v>120.9</v>
      </c>
      <c r="O73">
        <v>20</v>
      </c>
      <c r="P73">
        <v>806</v>
      </c>
      <c r="Q73">
        <v>705.1</v>
      </c>
      <c r="R73" t="s">
        <v>112</v>
      </c>
      <c r="S73" t="s">
        <v>110</v>
      </c>
      <c r="T73" t="s">
        <v>32</v>
      </c>
      <c r="U73">
        <v>42</v>
      </c>
      <c r="W73">
        <f>Table2[[#This Row],[Quantity]]*Table2[[#This Row],[Item_Price]]</f>
        <v>806</v>
      </c>
    </row>
    <row r="74" spans="1:23" x14ac:dyDescent="0.25">
      <c r="A74" t="s">
        <v>165</v>
      </c>
      <c r="B74" s="1">
        <v>45662</v>
      </c>
      <c r="C74" t="s">
        <v>23</v>
      </c>
      <c r="D74">
        <v>1</v>
      </c>
      <c r="E74">
        <v>5</v>
      </c>
      <c r="F74" t="s">
        <v>149</v>
      </c>
      <c r="G74" t="s">
        <v>73</v>
      </c>
      <c r="H74" t="s">
        <v>77</v>
      </c>
      <c r="I74" t="s">
        <v>69</v>
      </c>
      <c r="J74" t="s">
        <v>123</v>
      </c>
      <c r="K74" t="s">
        <v>38</v>
      </c>
      <c r="L74">
        <v>1</v>
      </c>
      <c r="M74">
        <v>806</v>
      </c>
      <c r="N74">
        <v>161.19999999999999</v>
      </c>
      <c r="O74">
        <v>30</v>
      </c>
      <c r="P74">
        <v>806</v>
      </c>
      <c r="Q74">
        <v>674.8</v>
      </c>
      <c r="R74" t="s">
        <v>75</v>
      </c>
      <c r="S74" t="s">
        <v>31</v>
      </c>
      <c r="T74" t="s">
        <v>40</v>
      </c>
      <c r="U74">
        <v>48</v>
      </c>
      <c r="V74">
        <v>2.7</v>
      </c>
      <c r="W74">
        <f>Table2[[#This Row],[Quantity]]*Table2[[#This Row],[Item_Price]]</f>
        <v>806</v>
      </c>
    </row>
    <row r="75" spans="1:23" x14ac:dyDescent="0.25">
      <c r="A75" t="s">
        <v>166</v>
      </c>
      <c r="B75" s="1">
        <v>45662</v>
      </c>
      <c r="C75" t="s">
        <v>23</v>
      </c>
      <c r="D75">
        <v>1</v>
      </c>
      <c r="E75">
        <v>5</v>
      </c>
      <c r="F75" t="s">
        <v>149</v>
      </c>
      <c r="G75" t="s">
        <v>34</v>
      </c>
      <c r="H75" t="s">
        <v>65</v>
      </c>
      <c r="I75" t="s">
        <v>61</v>
      </c>
      <c r="J75" t="s">
        <v>66</v>
      </c>
      <c r="K75" t="s">
        <v>38</v>
      </c>
      <c r="L75">
        <v>2</v>
      </c>
      <c r="M75">
        <v>870</v>
      </c>
      <c r="N75">
        <v>87</v>
      </c>
      <c r="O75">
        <v>30</v>
      </c>
      <c r="P75">
        <v>1740</v>
      </c>
      <c r="Q75">
        <v>1683</v>
      </c>
      <c r="R75" t="s">
        <v>39</v>
      </c>
      <c r="S75" t="s">
        <v>31</v>
      </c>
      <c r="T75" t="s">
        <v>40</v>
      </c>
      <c r="U75">
        <v>28</v>
      </c>
      <c r="V75">
        <v>4.7</v>
      </c>
      <c r="W75">
        <f>Table2[[#This Row],[Quantity]]*Table2[[#This Row],[Item_Price]]</f>
        <v>1740</v>
      </c>
    </row>
    <row r="76" spans="1:23" x14ac:dyDescent="0.25">
      <c r="A76" t="s">
        <v>167</v>
      </c>
      <c r="B76" s="1">
        <v>45663</v>
      </c>
      <c r="C76" t="s">
        <v>23</v>
      </c>
      <c r="D76">
        <v>1</v>
      </c>
      <c r="E76">
        <v>6</v>
      </c>
      <c r="F76" t="s">
        <v>168</v>
      </c>
      <c r="G76" t="s">
        <v>34</v>
      </c>
      <c r="H76" t="s">
        <v>60</v>
      </c>
      <c r="I76" t="s">
        <v>27</v>
      </c>
      <c r="J76" t="s">
        <v>82</v>
      </c>
      <c r="K76" t="s">
        <v>45</v>
      </c>
      <c r="L76">
        <v>1</v>
      </c>
      <c r="M76">
        <v>325</v>
      </c>
      <c r="N76">
        <v>32.5</v>
      </c>
      <c r="O76">
        <v>0</v>
      </c>
      <c r="P76">
        <v>325</v>
      </c>
      <c r="Q76">
        <v>292.5</v>
      </c>
      <c r="R76" t="s">
        <v>75</v>
      </c>
      <c r="S76" t="s">
        <v>31</v>
      </c>
      <c r="T76" t="s">
        <v>40</v>
      </c>
      <c r="U76">
        <v>19</v>
      </c>
      <c r="V76">
        <v>4.3</v>
      </c>
      <c r="W76">
        <f>Table2[[#This Row],[Quantity]]*Table2[[#This Row],[Item_Price]]</f>
        <v>325</v>
      </c>
    </row>
    <row r="77" spans="1:23" x14ac:dyDescent="0.25">
      <c r="A77" t="s">
        <v>169</v>
      </c>
      <c r="B77" s="1">
        <v>45663</v>
      </c>
      <c r="C77" t="s">
        <v>23</v>
      </c>
      <c r="D77">
        <v>1</v>
      </c>
      <c r="E77">
        <v>6</v>
      </c>
      <c r="F77" t="s">
        <v>168</v>
      </c>
      <c r="G77" t="s">
        <v>34</v>
      </c>
      <c r="H77" t="s">
        <v>135</v>
      </c>
      <c r="I77" t="s">
        <v>103</v>
      </c>
      <c r="J77" t="s">
        <v>94</v>
      </c>
      <c r="K77" t="s">
        <v>38</v>
      </c>
      <c r="L77">
        <v>2</v>
      </c>
      <c r="M77">
        <v>795</v>
      </c>
      <c r="N77">
        <v>119.25</v>
      </c>
      <c r="O77">
        <v>0</v>
      </c>
      <c r="P77">
        <v>1590</v>
      </c>
      <c r="Q77">
        <v>1470.75</v>
      </c>
      <c r="R77" t="s">
        <v>39</v>
      </c>
      <c r="S77" t="s">
        <v>31</v>
      </c>
      <c r="T77" t="s">
        <v>32</v>
      </c>
      <c r="U77">
        <v>58</v>
      </c>
      <c r="V77">
        <v>5</v>
      </c>
      <c r="W77">
        <f>Table2[[#This Row],[Quantity]]*Table2[[#This Row],[Item_Price]]</f>
        <v>1590</v>
      </c>
    </row>
    <row r="78" spans="1:23" x14ac:dyDescent="0.25">
      <c r="A78" t="s">
        <v>170</v>
      </c>
      <c r="B78" s="1">
        <v>45663</v>
      </c>
      <c r="C78" t="s">
        <v>23</v>
      </c>
      <c r="D78">
        <v>1</v>
      </c>
      <c r="E78">
        <v>6</v>
      </c>
      <c r="F78" t="s">
        <v>168</v>
      </c>
      <c r="G78" t="s">
        <v>90</v>
      </c>
      <c r="H78" t="s">
        <v>52</v>
      </c>
      <c r="I78" t="s">
        <v>97</v>
      </c>
      <c r="J78" t="s">
        <v>62</v>
      </c>
      <c r="K78" t="s">
        <v>38</v>
      </c>
      <c r="L78">
        <v>2</v>
      </c>
      <c r="M78">
        <v>832</v>
      </c>
      <c r="N78">
        <v>83.2</v>
      </c>
      <c r="O78">
        <v>40</v>
      </c>
      <c r="P78">
        <v>1664</v>
      </c>
      <c r="Q78">
        <v>1620.8</v>
      </c>
      <c r="R78" t="s">
        <v>30</v>
      </c>
      <c r="S78" t="s">
        <v>31</v>
      </c>
      <c r="T78" t="s">
        <v>40</v>
      </c>
      <c r="U78">
        <v>43</v>
      </c>
      <c r="V78">
        <v>3.7</v>
      </c>
      <c r="W78">
        <f>Table2[[#This Row],[Quantity]]*Table2[[#This Row],[Item_Price]]</f>
        <v>1664</v>
      </c>
    </row>
    <row r="79" spans="1:23" x14ac:dyDescent="0.25">
      <c r="A79" t="s">
        <v>171</v>
      </c>
      <c r="B79" s="1">
        <v>45663</v>
      </c>
      <c r="C79" t="s">
        <v>23</v>
      </c>
      <c r="D79">
        <v>1</v>
      </c>
      <c r="E79">
        <v>6</v>
      </c>
      <c r="F79" t="s">
        <v>168</v>
      </c>
      <c r="G79" t="s">
        <v>80</v>
      </c>
      <c r="H79" t="s">
        <v>68</v>
      </c>
      <c r="I79" t="s">
        <v>85</v>
      </c>
      <c r="J79" t="s">
        <v>172</v>
      </c>
      <c r="K79" t="s">
        <v>38</v>
      </c>
      <c r="L79">
        <v>1</v>
      </c>
      <c r="M79">
        <v>641</v>
      </c>
      <c r="N79">
        <v>96.15</v>
      </c>
      <c r="O79">
        <v>0</v>
      </c>
      <c r="P79">
        <v>641</v>
      </c>
      <c r="Q79">
        <v>544.85</v>
      </c>
      <c r="R79" t="s">
        <v>30</v>
      </c>
      <c r="S79" t="s">
        <v>31</v>
      </c>
      <c r="T79" t="s">
        <v>40</v>
      </c>
      <c r="U79">
        <v>67</v>
      </c>
      <c r="V79">
        <v>3.7</v>
      </c>
      <c r="W79">
        <f>Table2[[#This Row],[Quantity]]*Table2[[#This Row],[Item_Price]]</f>
        <v>641</v>
      </c>
    </row>
    <row r="80" spans="1:23" x14ac:dyDescent="0.25">
      <c r="A80" t="s">
        <v>173</v>
      </c>
      <c r="B80" s="1">
        <v>45663</v>
      </c>
      <c r="C80" t="s">
        <v>23</v>
      </c>
      <c r="D80">
        <v>1</v>
      </c>
      <c r="E80">
        <v>6</v>
      </c>
      <c r="F80" t="s">
        <v>168</v>
      </c>
      <c r="G80" t="s">
        <v>80</v>
      </c>
      <c r="H80" t="s">
        <v>65</v>
      </c>
      <c r="I80" t="s">
        <v>69</v>
      </c>
      <c r="J80" t="s">
        <v>94</v>
      </c>
      <c r="K80" t="s">
        <v>38</v>
      </c>
      <c r="L80">
        <v>1</v>
      </c>
      <c r="M80">
        <v>403</v>
      </c>
      <c r="N80">
        <v>80.599999999999994</v>
      </c>
      <c r="O80">
        <v>0</v>
      </c>
      <c r="P80">
        <v>403</v>
      </c>
      <c r="Q80">
        <v>322.39999999999998</v>
      </c>
      <c r="R80" t="s">
        <v>39</v>
      </c>
      <c r="S80" t="s">
        <v>31</v>
      </c>
      <c r="T80" t="s">
        <v>40</v>
      </c>
      <c r="U80">
        <v>25</v>
      </c>
      <c r="V80">
        <v>5</v>
      </c>
      <c r="W80">
        <f>Table2[[#This Row],[Quantity]]*Table2[[#This Row],[Item_Price]]</f>
        <v>403</v>
      </c>
    </row>
    <row r="81" spans="1:23" x14ac:dyDescent="0.25">
      <c r="A81" t="s">
        <v>174</v>
      </c>
      <c r="B81" s="1">
        <v>45663</v>
      </c>
      <c r="C81" t="s">
        <v>23</v>
      </c>
      <c r="D81">
        <v>1</v>
      </c>
      <c r="E81">
        <v>6</v>
      </c>
      <c r="F81" t="s">
        <v>168</v>
      </c>
      <c r="G81" t="s">
        <v>73</v>
      </c>
      <c r="H81" t="s">
        <v>52</v>
      </c>
      <c r="I81" t="s">
        <v>27</v>
      </c>
      <c r="J81" t="s">
        <v>28</v>
      </c>
      <c r="K81" t="s">
        <v>45</v>
      </c>
      <c r="L81">
        <v>1</v>
      </c>
      <c r="M81">
        <v>553</v>
      </c>
      <c r="N81">
        <v>82.95</v>
      </c>
      <c r="O81">
        <v>0</v>
      </c>
      <c r="P81">
        <v>553</v>
      </c>
      <c r="Q81">
        <v>470.05</v>
      </c>
      <c r="R81" t="s">
        <v>39</v>
      </c>
      <c r="S81" t="s">
        <v>46</v>
      </c>
      <c r="T81" t="s">
        <v>40</v>
      </c>
      <c r="U81">
        <v>57</v>
      </c>
      <c r="W81">
        <f>Table2[[#This Row],[Quantity]]*Table2[[#This Row],[Item_Price]]</f>
        <v>553</v>
      </c>
    </row>
    <row r="82" spans="1:23" x14ac:dyDescent="0.25">
      <c r="A82" t="s">
        <v>175</v>
      </c>
      <c r="B82" s="1">
        <v>45663</v>
      </c>
      <c r="C82" t="s">
        <v>23</v>
      </c>
      <c r="D82">
        <v>1</v>
      </c>
      <c r="E82">
        <v>6</v>
      </c>
      <c r="F82" t="s">
        <v>168</v>
      </c>
      <c r="G82" t="s">
        <v>80</v>
      </c>
      <c r="H82" t="s">
        <v>35</v>
      </c>
      <c r="I82" t="s">
        <v>36</v>
      </c>
      <c r="J82" t="s">
        <v>94</v>
      </c>
      <c r="K82" t="s">
        <v>38</v>
      </c>
      <c r="L82">
        <v>2</v>
      </c>
      <c r="M82">
        <v>687</v>
      </c>
      <c r="N82">
        <v>68.7</v>
      </c>
      <c r="O82">
        <v>0</v>
      </c>
      <c r="P82">
        <v>1374</v>
      </c>
      <c r="Q82">
        <v>1305.3</v>
      </c>
      <c r="R82" t="s">
        <v>112</v>
      </c>
      <c r="S82" t="s">
        <v>31</v>
      </c>
      <c r="T82" t="s">
        <v>40</v>
      </c>
      <c r="U82">
        <v>54</v>
      </c>
      <c r="V82">
        <v>4.4000000000000004</v>
      </c>
      <c r="W82">
        <f>Table2[[#This Row],[Quantity]]*Table2[[#This Row],[Item_Price]]</f>
        <v>1374</v>
      </c>
    </row>
    <row r="83" spans="1:23" x14ac:dyDescent="0.25">
      <c r="A83" t="s">
        <v>176</v>
      </c>
      <c r="B83" s="1">
        <v>45663</v>
      </c>
      <c r="C83" t="s">
        <v>23</v>
      </c>
      <c r="D83">
        <v>1</v>
      </c>
      <c r="E83">
        <v>6</v>
      </c>
      <c r="F83" t="s">
        <v>168</v>
      </c>
      <c r="G83" t="s">
        <v>80</v>
      </c>
      <c r="H83" t="s">
        <v>108</v>
      </c>
      <c r="I83" t="s">
        <v>103</v>
      </c>
      <c r="J83" t="s">
        <v>44</v>
      </c>
      <c r="K83" t="s">
        <v>38</v>
      </c>
      <c r="L83">
        <v>3</v>
      </c>
      <c r="M83">
        <v>219</v>
      </c>
      <c r="N83">
        <v>32.85</v>
      </c>
      <c r="O83">
        <v>20</v>
      </c>
      <c r="P83">
        <v>657</v>
      </c>
      <c r="Q83">
        <v>644.15</v>
      </c>
      <c r="R83" t="s">
        <v>112</v>
      </c>
      <c r="S83" t="s">
        <v>31</v>
      </c>
      <c r="T83" t="s">
        <v>40</v>
      </c>
      <c r="U83">
        <v>34</v>
      </c>
      <c r="V83">
        <v>3.9</v>
      </c>
      <c r="W83">
        <f>Table2[[#This Row],[Quantity]]*Table2[[#This Row],[Item_Price]]</f>
        <v>657</v>
      </c>
    </row>
    <row r="84" spans="1:23" x14ac:dyDescent="0.25">
      <c r="A84" t="s">
        <v>177</v>
      </c>
      <c r="B84" s="1">
        <v>45664</v>
      </c>
      <c r="C84" t="s">
        <v>23</v>
      </c>
      <c r="D84">
        <v>1</v>
      </c>
      <c r="E84">
        <v>7</v>
      </c>
      <c r="F84" t="s">
        <v>178</v>
      </c>
      <c r="G84" t="s">
        <v>84</v>
      </c>
      <c r="H84" t="s">
        <v>135</v>
      </c>
      <c r="I84" t="s">
        <v>43</v>
      </c>
      <c r="J84" t="s">
        <v>101</v>
      </c>
      <c r="K84" t="s">
        <v>58</v>
      </c>
      <c r="L84">
        <v>3</v>
      </c>
      <c r="M84">
        <v>400</v>
      </c>
      <c r="N84">
        <v>60</v>
      </c>
      <c r="O84">
        <v>20</v>
      </c>
      <c r="P84">
        <v>1200</v>
      </c>
      <c r="Q84">
        <v>1160</v>
      </c>
      <c r="R84" t="s">
        <v>112</v>
      </c>
      <c r="S84" t="s">
        <v>31</v>
      </c>
      <c r="T84" t="s">
        <v>32</v>
      </c>
      <c r="U84">
        <v>36</v>
      </c>
      <c r="V84">
        <v>4.0999999999999996</v>
      </c>
      <c r="W84">
        <f>Table2[[#This Row],[Quantity]]*Table2[[#This Row],[Item_Price]]</f>
        <v>1200</v>
      </c>
    </row>
    <row r="85" spans="1:23" x14ac:dyDescent="0.25">
      <c r="A85" t="s">
        <v>179</v>
      </c>
      <c r="B85" s="1">
        <v>45664</v>
      </c>
      <c r="C85" t="s">
        <v>23</v>
      </c>
      <c r="D85">
        <v>1</v>
      </c>
      <c r="E85">
        <v>7</v>
      </c>
      <c r="F85" t="s">
        <v>178</v>
      </c>
      <c r="G85" t="s">
        <v>64</v>
      </c>
      <c r="H85" t="s">
        <v>65</v>
      </c>
      <c r="I85" t="s">
        <v>27</v>
      </c>
      <c r="J85" t="s">
        <v>123</v>
      </c>
      <c r="K85" t="s">
        <v>38</v>
      </c>
      <c r="L85">
        <v>2</v>
      </c>
      <c r="M85">
        <v>526</v>
      </c>
      <c r="N85">
        <v>0</v>
      </c>
      <c r="O85">
        <v>50</v>
      </c>
      <c r="P85">
        <v>1052</v>
      </c>
      <c r="Q85">
        <v>1102</v>
      </c>
      <c r="R85" t="s">
        <v>112</v>
      </c>
      <c r="S85" t="s">
        <v>31</v>
      </c>
      <c r="T85" t="s">
        <v>40</v>
      </c>
      <c r="U85">
        <v>41</v>
      </c>
      <c r="V85">
        <v>4.5</v>
      </c>
      <c r="W85">
        <f>Table2[[#This Row],[Quantity]]*Table2[[#This Row],[Item_Price]]</f>
        <v>1052</v>
      </c>
    </row>
    <row r="86" spans="1:23" x14ac:dyDescent="0.25">
      <c r="A86" t="s">
        <v>180</v>
      </c>
      <c r="B86" s="1">
        <v>45664</v>
      </c>
      <c r="C86" t="s">
        <v>23</v>
      </c>
      <c r="D86">
        <v>1</v>
      </c>
      <c r="E86">
        <v>7</v>
      </c>
      <c r="F86" t="s">
        <v>178</v>
      </c>
      <c r="G86" t="s">
        <v>25</v>
      </c>
      <c r="H86" t="s">
        <v>48</v>
      </c>
      <c r="I86" t="s">
        <v>97</v>
      </c>
      <c r="J86" t="s">
        <v>101</v>
      </c>
      <c r="K86" t="s">
        <v>45</v>
      </c>
      <c r="L86">
        <v>2</v>
      </c>
      <c r="M86">
        <v>780</v>
      </c>
      <c r="N86">
        <v>195</v>
      </c>
      <c r="O86">
        <v>60</v>
      </c>
      <c r="P86">
        <v>1560</v>
      </c>
      <c r="Q86">
        <v>1425</v>
      </c>
      <c r="R86" t="s">
        <v>39</v>
      </c>
      <c r="S86" t="s">
        <v>31</v>
      </c>
      <c r="T86" t="s">
        <v>40</v>
      </c>
      <c r="U86">
        <v>56</v>
      </c>
      <c r="V86">
        <v>3.7</v>
      </c>
      <c r="W86">
        <f>Table2[[#This Row],[Quantity]]*Table2[[#This Row],[Item_Price]]</f>
        <v>1560</v>
      </c>
    </row>
    <row r="87" spans="1:23" x14ac:dyDescent="0.25">
      <c r="A87" t="s">
        <v>181</v>
      </c>
      <c r="B87" s="1">
        <v>45664</v>
      </c>
      <c r="C87" t="s">
        <v>23</v>
      </c>
      <c r="D87">
        <v>1</v>
      </c>
      <c r="E87">
        <v>7</v>
      </c>
      <c r="F87" t="s">
        <v>178</v>
      </c>
      <c r="G87" t="s">
        <v>73</v>
      </c>
      <c r="H87" t="s">
        <v>68</v>
      </c>
      <c r="I87" t="s">
        <v>57</v>
      </c>
      <c r="J87" t="s">
        <v>53</v>
      </c>
      <c r="K87" t="s">
        <v>38</v>
      </c>
      <c r="L87">
        <v>1</v>
      </c>
      <c r="M87">
        <v>225</v>
      </c>
      <c r="N87">
        <v>56.25</v>
      </c>
      <c r="O87">
        <v>20</v>
      </c>
      <c r="P87">
        <v>225</v>
      </c>
      <c r="Q87">
        <v>188.75</v>
      </c>
      <c r="R87" t="s">
        <v>75</v>
      </c>
      <c r="S87" t="s">
        <v>91</v>
      </c>
      <c r="T87" t="s">
        <v>32</v>
      </c>
      <c r="U87">
        <v>56</v>
      </c>
      <c r="W87">
        <f>Table2[[#This Row],[Quantity]]*Table2[[#This Row],[Item_Price]]</f>
        <v>225</v>
      </c>
    </row>
    <row r="88" spans="1:23" x14ac:dyDescent="0.25">
      <c r="A88" t="s">
        <v>182</v>
      </c>
      <c r="B88" s="1">
        <v>45664</v>
      </c>
      <c r="C88" t="s">
        <v>23</v>
      </c>
      <c r="D88">
        <v>1</v>
      </c>
      <c r="E88">
        <v>7</v>
      </c>
      <c r="F88" t="s">
        <v>178</v>
      </c>
      <c r="G88" t="s">
        <v>115</v>
      </c>
      <c r="H88" t="s">
        <v>42</v>
      </c>
      <c r="I88" t="s">
        <v>36</v>
      </c>
      <c r="J88" t="s">
        <v>44</v>
      </c>
      <c r="K88" t="s">
        <v>38</v>
      </c>
      <c r="L88">
        <v>1</v>
      </c>
      <c r="M88">
        <v>683</v>
      </c>
      <c r="N88">
        <v>102.45</v>
      </c>
      <c r="O88">
        <v>30</v>
      </c>
      <c r="P88">
        <v>683</v>
      </c>
      <c r="Q88">
        <v>610.54999999999995</v>
      </c>
      <c r="R88" t="s">
        <v>98</v>
      </c>
      <c r="S88" t="s">
        <v>31</v>
      </c>
      <c r="T88" t="s">
        <v>32</v>
      </c>
      <c r="U88">
        <v>69</v>
      </c>
      <c r="V88">
        <v>4.8</v>
      </c>
      <c r="W88">
        <f>Table2[[#This Row],[Quantity]]*Table2[[#This Row],[Item_Price]]</f>
        <v>683</v>
      </c>
    </row>
    <row r="89" spans="1:23" x14ac:dyDescent="0.25">
      <c r="A89" t="s">
        <v>183</v>
      </c>
      <c r="B89" s="1">
        <v>45664</v>
      </c>
      <c r="C89" t="s">
        <v>23</v>
      </c>
      <c r="D89">
        <v>1</v>
      </c>
      <c r="E89">
        <v>7</v>
      </c>
      <c r="F89" t="s">
        <v>178</v>
      </c>
      <c r="G89" t="s">
        <v>55</v>
      </c>
      <c r="H89" t="s">
        <v>26</v>
      </c>
      <c r="I89" t="s">
        <v>36</v>
      </c>
      <c r="J89" t="s">
        <v>44</v>
      </c>
      <c r="K89" t="s">
        <v>38</v>
      </c>
      <c r="L89">
        <v>1</v>
      </c>
      <c r="M89">
        <v>211</v>
      </c>
      <c r="N89">
        <v>31.65</v>
      </c>
      <c r="O89">
        <v>20</v>
      </c>
      <c r="P89">
        <v>211</v>
      </c>
      <c r="Q89">
        <v>199.35</v>
      </c>
      <c r="R89" t="s">
        <v>30</v>
      </c>
      <c r="S89" t="s">
        <v>31</v>
      </c>
      <c r="T89" t="s">
        <v>40</v>
      </c>
      <c r="U89">
        <v>45</v>
      </c>
      <c r="V89">
        <v>5</v>
      </c>
      <c r="W89">
        <f>Table2[[#This Row],[Quantity]]*Table2[[#This Row],[Item_Price]]</f>
        <v>211</v>
      </c>
    </row>
    <row r="90" spans="1:23" x14ac:dyDescent="0.25">
      <c r="A90" t="s">
        <v>184</v>
      </c>
      <c r="B90" s="1">
        <v>45664</v>
      </c>
      <c r="C90" t="s">
        <v>23</v>
      </c>
      <c r="D90">
        <v>1</v>
      </c>
      <c r="E90">
        <v>7</v>
      </c>
      <c r="F90" t="s">
        <v>178</v>
      </c>
      <c r="G90" t="s">
        <v>34</v>
      </c>
      <c r="H90" t="s">
        <v>35</v>
      </c>
      <c r="I90" t="s">
        <v>85</v>
      </c>
      <c r="J90" t="s">
        <v>94</v>
      </c>
      <c r="K90" t="s">
        <v>38</v>
      </c>
      <c r="L90">
        <v>1</v>
      </c>
      <c r="M90">
        <v>757</v>
      </c>
      <c r="N90">
        <v>189.25</v>
      </c>
      <c r="O90">
        <v>0</v>
      </c>
      <c r="P90">
        <v>757</v>
      </c>
      <c r="Q90">
        <v>567.75</v>
      </c>
      <c r="R90" t="s">
        <v>30</v>
      </c>
      <c r="S90" t="s">
        <v>31</v>
      </c>
      <c r="T90" t="s">
        <v>40</v>
      </c>
      <c r="U90">
        <v>43</v>
      </c>
      <c r="V90">
        <v>3.6</v>
      </c>
      <c r="W90">
        <f>Table2[[#This Row],[Quantity]]*Table2[[#This Row],[Item_Price]]</f>
        <v>757</v>
      </c>
    </row>
    <row r="91" spans="1:23" x14ac:dyDescent="0.25">
      <c r="A91" t="s">
        <v>185</v>
      </c>
      <c r="B91" s="1">
        <v>45664</v>
      </c>
      <c r="C91" t="s">
        <v>23</v>
      </c>
      <c r="D91">
        <v>1</v>
      </c>
      <c r="E91">
        <v>7</v>
      </c>
      <c r="F91" t="s">
        <v>178</v>
      </c>
      <c r="G91" t="s">
        <v>73</v>
      </c>
      <c r="H91" t="s">
        <v>65</v>
      </c>
      <c r="I91" t="s">
        <v>85</v>
      </c>
      <c r="J91" t="s">
        <v>123</v>
      </c>
      <c r="K91" t="s">
        <v>38</v>
      </c>
      <c r="L91">
        <v>1</v>
      </c>
      <c r="M91">
        <v>478</v>
      </c>
      <c r="N91">
        <v>95.6</v>
      </c>
      <c r="O91">
        <v>30</v>
      </c>
      <c r="P91">
        <v>478</v>
      </c>
      <c r="Q91">
        <v>412.4</v>
      </c>
      <c r="R91" t="s">
        <v>39</v>
      </c>
      <c r="S91" t="s">
        <v>31</v>
      </c>
      <c r="T91" t="s">
        <v>32</v>
      </c>
      <c r="U91">
        <v>36</v>
      </c>
      <c r="V91">
        <v>5</v>
      </c>
      <c r="W91">
        <f>Table2[[#This Row],[Quantity]]*Table2[[#This Row],[Item_Price]]</f>
        <v>478</v>
      </c>
    </row>
    <row r="92" spans="1:23" x14ac:dyDescent="0.25">
      <c r="A92" t="s">
        <v>186</v>
      </c>
      <c r="B92" s="1">
        <v>45664</v>
      </c>
      <c r="C92" t="s">
        <v>23</v>
      </c>
      <c r="D92">
        <v>1</v>
      </c>
      <c r="E92">
        <v>7</v>
      </c>
      <c r="F92" t="s">
        <v>178</v>
      </c>
      <c r="G92" t="s">
        <v>64</v>
      </c>
      <c r="H92" t="s">
        <v>105</v>
      </c>
      <c r="I92" t="s">
        <v>61</v>
      </c>
      <c r="J92" t="s">
        <v>123</v>
      </c>
      <c r="K92" t="s">
        <v>38</v>
      </c>
      <c r="L92">
        <v>2</v>
      </c>
      <c r="M92">
        <v>826</v>
      </c>
      <c r="N92">
        <v>82.6</v>
      </c>
      <c r="O92">
        <v>40</v>
      </c>
      <c r="P92">
        <v>1652</v>
      </c>
      <c r="Q92">
        <v>1609.4</v>
      </c>
      <c r="R92" t="s">
        <v>39</v>
      </c>
      <c r="S92" t="s">
        <v>31</v>
      </c>
      <c r="T92" t="s">
        <v>40</v>
      </c>
      <c r="U92">
        <v>48</v>
      </c>
      <c r="V92">
        <v>4</v>
      </c>
      <c r="W92">
        <f>Table2[[#This Row],[Quantity]]*Table2[[#This Row],[Item_Price]]</f>
        <v>1652</v>
      </c>
    </row>
    <row r="93" spans="1:23" x14ac:dyDescent="0.25">
      <c r="A93" t="s">
        <v>187</v>
      </c>
      <c r="B93" s="1">
        <v>45664</v>
      </c>
      <c r="C93" t="s">
        <v>23</v>
      </c>
      <c r="D93">
        <v>1</v>
      </c>
      <c r="E93">
        <v>7</v>
      </c>
      <c r="F93" t="s">
        <v>178</v>
      </c>
      <c r="G93" t="s">
        <v>55</v>
      </c>
      <c r="H93" t="s">
        <v>81</v>
      </c>
      <c r="I93" t="s">
        <v>57</v>
      </c>
      <c r="J93" t="s">
        <v>62</v>
      </c>
      <c r="K93" t="s">
        <v>38</v>
      </c>
      <c r="L93">
        <v>1</v>
      </c>
      <c r="M93">
        <v>606</v>
      </c>
      <c r="N93">
        <v>0</v>
      </c>
      <c r="O93">
        <v>40</v>
      </c>
      <c r="P93">
        <v>606</v>
      </c>
      <c r="Q93">
        <v>646</v>
      </c>
      <c r="R93" t="s">
        <v>39</v>
      </c>
      <c r="S93" t="s">
        <v>31</v>
      </c>
      <c r="T93" t="s">
        <v>40</v>
      </c>
      <c r="U93">
        <v>38</v>
      </c>
      <c r="V93">
        <v>4.2</v>
      </c>
      <c r="W93">
        <f>Table2[[#This Row],[Quantity]]*Table2[[#This Row],[Item_Price]]</f>
        <v>606</v>
      </c>
    </row>
    <row r="94" spans="1:23" x14ac:dyDescent="0.25">
      <c r="A94" t="s">
        <v>188</v>
      </c>
      <c r="B94" s="1">
        <v>45664</v>
      </c>
      <c r="C94" t="s">
        <v>23</v>
      </c>
      <c r="D94">
        <v>1</v>
      </c>
      <c r="E94">
        <v>7</v>
      </c>
      <c r="F94" t="s">
        <v>178</v>
      </c>
      <c r="G94" t="s">
        <v>64</v>
      </c>
      <c r="H94" t="s">
        <v>48</v>
      </c>
      <c r="I94" t="s">
        <v>85</v>
      </c>
      <c r="J94" t="s">
        <v>101</v>
      </c>
      <c r="K94" t="s">
        <v>45</v>
      </c>
      <c r="L94">
        <v>1</v>
      </c>
      <c r="M94">
        <v>535</v>
      </c>
      <c r="N94">
        <v>0</v>
      </c>
      <c r="O94">
        <v>60</v>
      </c>
      <c r="P94">
        <v>535</v>
      </c>
      <c r="Q94">
        <v>595</v>
      </c>
      <c r="R94" t="s">
        <v>98</v>
      </c>
      <c r="S94" t="s">
        <v>31</v>
      </c>
      <c r="T94" t="s">
        <v>40</v>
      </c>
      <c r="U94">
        <v>53</v>
      </c>
      <c r="V94">
        <v>3.9</v>
      </c>
      <c r="W94">
        <f>Table2[[#This Row],[Quantity]]*Table2[[#This Row],[Item_Price]]</f>
        <v>535</v>
      </c>
    </row>
    <row r="95" spans="1:23" x14ac:dyDescent="0.25">
      <c r="A95" t="s">
        <v>189</v>
      </c>
      <c r="B95" s="1">
        <v>45664</v>
      </c>
      <c r="C95" t="s">
        <v>23</v>
      </c>
      <c r="D95">
        <v>1</v>
      </c>
      <c r="E95">
        <v>7</v>
      </c>
      <c r="F95" t="s">
        <v>178</v>
      </c>
      <c r="G95" t="s">
        <v>34</v>
      </c>
      <c r="H95" t="s">
        <v>26</v>
      </c>
      <c r="I95" t="s">
        <v>61</v>
      </c>
      <c r="J95" t="s">
        <v>37</v>
      </c>
      <c r="K95" t="s">
        <v>38</v>
      </c>
      <c r="L95">
        <v>1</v>
      </c>
      <c r="M95">
        <v>261</v>
      </c>
      <c r="N95">
        <v>26.1</v>
      </c>
      <c r="O95">
        <v>50</v>
      </c>
      <c r="P95">
        <v>261</v>
      </c>
      <c r="Q95">
        <v>284.89999999999998</v>
      </c>
      <c r="R95" t="s">
        <v>39</v>
      </c>
      <c r="S95" t="s">
        <v>31</v>
      </c>
      <c r="T95" t="s">
        <v>32</v>
      </c>
      <c r="U95">
        <v>54</v>
      </c>
      <c r="V95">
        <v>4.7</v>
      </c>
      <c r="W95">
        <f>Table2[[#This Row],[Quantity]]*Table2[[#This Row],[Item_Price]]</f>
        <v>261</v>
      </c>
    </row>
    <row r="96" spans="1:23" x14ac:dyDescent="0.25">
      <c r="A96" t="s">
        <v>190</v>
      </c>
      <c r="B96" s="1">
        <v>45664</v>
      </c>
      <c r="C96" t="s">
        <v>23</v>
      </c>
      <c r="D96">
        <v>1</v>
      </c>
      <c r="E96">
        <v>7</v>
      </c>
      <c r="F96" t="s">
        <v>178</v>
      </c>
      <c r="G96" t="s">
        <v>90</v>
      </c>
      <c r="H96" t="s">
        <v>81</v>
      </c>
      <c r="I96" t="s">
        <v>85</v>
      </c>
      <c r="J96" t="s">
        <v>37</v>
      </c>
      <c r="K96" t="s">
        <v>45</v>
      </c>
      <c r="L96">
        <v>2</v>
      </c>
      <c r="M96">
        <v>721</v>
      </c>
      <c r="N96">
        <v>0</v>
      </c>
      <c r="O96">
        <v>50</v>
      </c>
      <c r="P96">
        <v>1442</v>
      </c>
      <c r="Q96">
        <v>1492</v>
      </c>
      <c r="R96" t="s">
        <v>30</v>
      </c>
      <c r="S96" t="s">
        <v>31</v>
      </c>
      <c r="T96" t="s">
        <v>32</v>
      </c>
      <c r="U96">
        <v>29</v>
      </c>
      <c r="V96">
        <v>4.2</v>
      </c>
      <c r="W96">
        <f>Table2[[#This Row],[Quantity]]*Table2[[#This Row],[Item_Price]]</f>
        <v>1442</v>
      </c>
    </row>
    <row r="97" spans="1:23" x14ac:dyDescent="0.25">
      <c r="A97" t="s">
        <v>191</v>
      </c>
      <c r="B97" s="1">
        <v>45664</v>
      </c>
      <c r="C97" t="s">
        <v>23</v>
      </c>
      <c r="D97">
        <v>1</v>
      </c>
      <c r="E97">
        <v>7</v>
      </c>
      <c r="F97" t="s">
        <v>178</v>
      </c>
      <c r="G97" t="s">
        <v>64</v>
      </c>
      <c r="H97" t="s">
        <v>35</v>
      </c>
      <c r="I97" t="s">
        <v>97</v>
      </c>
      <c r="J97" t="s">
        <v>62</v>
      </c>
      <c r="K97" t="s">
        <v>38</v>
      </c>
      <c r="L97">
        <v>3</v>
      </c>
      <c r="M97">
        <v>761</v>
      </c>
      <c r="N97">
        <v>0</v>
      </c>
      <c r="O97">
        <v>40</v>
      </c>
      <c r="P97">
        <v>2283</v>
      </c>
      <c r="Q97">
        <v>2323</v>
      </c>
      <c r="R97" t="s">
        <v>39</v>
      </c>
      <c r="S97" t="s">
        <v>31</v>
      </c>
      <c r="T97" t="s">
        <v>32</v>
      </c>
      <c r="U97">
        <v>19</v>
      </c>
      <c r="V97">
        <v>4.0999999999999996</v>
      </c>
      <c r="W97">
        <f>Table2[[#This Row],[Quantity]]*Table2[[#This Row],[Item_Price]]</f>
        <v>2283</v>
      </c>
    </row>
    <row r="98" spans="1:23" x14ac:dyDescent="0.25">
      <c r="A98" t="s">
        <v>192</v>
      </c>
      <c r="B98" s="1">
        <v>45664</v>
      </c>
      <c r="C98" t="s">
        <v>23</v>
      </c>
      <c r="D98">
        <v>1</v>
      </c>
      <c r="E98">
        <v>7</v>
      </c>
      <c r="F98" t="s">
        <v>178</v>
      </c>
      <c r="G98" t="s">
        <v>84</v>
      </c>
      <c r="H98" t="s">
        <v>52</v>
      </c>
      <c r="I98" t="s">
        <v>97</v>
      </c>
      <c r="J98" t="s">
        <v>53</v>
      </c>
      <c r="K98" t="s">
        <v>45</v>
      </c>
      <c r="L98">
        <v>1</v>
      </c>
      <c r="M98">
        <v>365</v>
      </c>
      <c r="N98">
        <v>0</v>
      </c>
      <c r="O98">
        <v>20</v>
      </c>
      <c r="P98">
        <v>365</v>
      </c>
      <c r="Q98">
        <v>385</v>
      </c>
      <c r="R98" t="s">
        <v>39</v>
      </c>
      <c r="S98" t="s">
        <v>31</v>
      </c>
      <c r="T98" t="s">
        <v>32</v>
      </c>
      <c r="U98">
        <v>33</v>
      </c>
      <c r="V98">
        <v>4</v>
      </c>
      <c r="W98">
        <f>Table2[[#This Row],[Quantity]]*Table2[[#This Row],[Item_Price]]</f>
        <v>365</v>
      </c>
    </row>
    <row r="99" spans="1:23" x14ac:dyDescent="0.25">
      <c r="A99" t="s">
        <v>193</v>
      </c>
      <c r="B99" s="1">
        <v>45664</v>
      </c>
      <c r="C99" t="s">
        <v>23</v>
      </c>
      <c r="D99">
        <v>1</v>
      </c>
      <c r="E99">
        <v>7</v>
      </c>
      <c r="F99" t="s">
        <v>178</v>
      </c>
      <c r="G99" t="s">
        <v>90</v>
      </c>
      <c r="H99" t="s">
        <v>48</v>
      </c>
      <c r="I99" t="s">
        <v>36</v>
      </c>
      <c r="J99" t="s">
        <v>78</v>
      </c>
      <c r="K99" t="s">
        <v>45</v>
      </c>
      <c r="L99">
        <v>3</v>
      </c>
      <c r="M99">
        <v>361</v>
      </c>
      <c r="N99">
        <v>36.1</v>
      </c>
      <c r="O99">
        <v>0</v>
      </c>
      <c r="P99">
        <v>1083</v>
      </c>
      <c r="Q99">
        <v>1046.9000000000001</v>
      </c>
      <c r="R99" t="s">
        <v>30</v>
      </c>
      <c r="S99" t="s">
        <v>31</v>
      </c>
      <c r="T99" t="s">
        <v>40</v>
      </c>
      <c r="U99">
        <v>62</v>
      </c>
      <c r="V99">
        <v>3.6</v>
      </c>
      <c r="W99">
        <f>Table2[[#This Row],[Quantity]]*Table2[[#This Row],[Item_Price]]</f>
        <v>1083</v>
      </c>
    </row>
    <row r="100" spans="1:23" x14ac:dyDescent="0.25">
      <c r="A100" t="s">
        <v>194</v>
      </c>
      <c r="B100" s="1">
        <v>45665</v>
      </c>
      <c r="C100" t="s">
        <v>23</v>
      </c>
      <c r="D100">
        <v>1</v>
      </c>
      <c r="E100">
        <v>8</v>
      </c>
      <c r="F100" t="s">
        <v>24</v>
      </c>
      <c r="G100" t="s">
        <v>34</v>
      </c>
      <c r="H100" t="s">
        <v>68</v>
      </c>
      <c r="I100" t="s">
        <v>69</v>
      </c>
      <c r="J100" t="s">
        <v>74</v>
      </c>
      <c r="K100" t="s">
        <v>38</v>
      </c>
      <c r="L100">
        <v>2</v>
      </c>
      <c r="M100">
        <v>838</v>
      </c>
      <c r="N100">
        <v>125.7</v>
      </c>
      <c r="O100">
        <v>0</v>
      </c>
      <c r="P100">
        <v>1676</v>
      </c>
      <c r="Q100">
        <v>1550.3</v>
      </c>
      <c r="R100" t="s">
        <v>112</v>
      </c>
      <c r="S100" t="s">
        <v>31</v>
      </c>
      <c r="T100" t="s">
        <v>32</v>
      </c>
      <c r="U100">
        <v>28</v>
      </c>
      <c r="V100">
        <v>3.5</v>
      </c>
      <c r="W100">
        <f>Table2[[#This Row],[Quantity]]*Table2[[#This Row],[Item_Price]]</f>
        <v>1676</v>
      </c>
    </row>
    <row r="101" spans="1:23" x14ac:dyDescent="0.25">
      <c r="A101" t="s">
        <v>195</v>
      </c>
      <c r="B101" s="1">
        <v>45665</v>
      </c>
      <c r="C101" t="s">
        <v>23</v>
      </c>
      <c r="D101">
        <v>1</v>
      </c>
      <c r="E101">
        <v>8</v>
      </c>
      <c r="F101" t="s">
        <v>24</v>
      </c>
      <c r="G101" t="s">
        <v>115</v>
      </c>
      <c r="H101" t="s">
        <v>135</v>
      </c>
      <c r="I101" t="s">
        <v>57</v>
      </c>
      <c r="J101" t="s">
        <v>123</v>
      </c>
      <c r="K101" t="s">
        <v>38</v>
      </c>
      <c r="L101">
        <v>1</v>
      </c>
      <c r="M101">
        <v>866</v>
      </c>
      <c r="N101">
        <v>86.6</v>
      </c>
      <c r="O101">
        <v>50</v>
      </c>
      <c r="P101">
        <v>866</v>
      </c>
      <c r="Q101">
        <v>829.4</v>
      </c>
      <c r="R101" t="s">
        <v>39</v>
      </c>
      <c r="S101" t="s">
        <v>91</v>
      </c>
      <c r="T101" t="s">
        <v>32</v>
      </c>
      <c r="U101">
        <v>33</v>
      </c>
      <c r="W101">
        <f>Table2[[#This Row],[Quantity]]*Table2[[#This Row],[Item_Price]]</f>
        <v>866</v>
      </c>
    </row>
    <row r="102" spans="1:23" x14ac:dyDescent="0.25">
      <c r="A102" t="s">
        <v>196</v>
      </c>
      <c r="B102" s="1">
        <v>45665</v>
      </c>
      <c r="C102" t="s">
        <v>23</v>
      </c>
      <c r="D102">
        <v>1</v>
      </c>
      <c r="E102">
        <v>8</v>
      </c>
      <c r="F102" t="s">
        <v>24</v>
      </c>
      <c r="G102" t="s">
        <v>84</v>
      </c>
      <c r="H102" t="s">
        <v>105</v>
      </c>
      <c r="I102" t="s">
        <v>69</v>
      </c>
      <c r="J102" t="s">
        <v>101</v>
      </c>
      <c r="K102" t="s">
        <v>38</v>
      </c>
      <c r="L102">
        <v>1</v>
      </c>
      <c r="M102">
        <v>130</v>
      </c>
      <c r="N102">
        <v>6.5</v>
      </c>
      <c r="O102">
        <v>30</v>
      </c>
      <c r="P102">
        <v>130</v>
      </c>
      <c r="Q102">
        <v>153.5</v>
      </c>
      <c r="R102" t="s">
        <v>39</v>
      </c>
      <c r="S102" t="s">
        <v>91</v>
      </c>
      <c r="T102" t="s">
        <v>40</v>
      </c>
      <c r="U102">
        <v>43</v>
      </c>
      <c r="W102">
        <f>Table2[[#This Row],[Quantity]]*Table2[[#This Row],[Item_Price]]</f>
        <v>130</v>
      </c>
    </row>
    <row r="103" spans="1:23" x14ac:dyDescent="0.25">
      <c r="A103" t="s">
        <v>197</v>
      </c>
      <c r="B103" s="1">
        <v>45665</v>
      </c>
      <c r="C103" t="s">
        <v>23</v>
      </c>
      <c r="D103">
        <v>1</v>
      </c>
      <c r="E103">
        <v>8</v>
      </c>
      <c r="F103" t="s">
        <v>24</v>
      </c>
      <c r="G103" t="s">
        <v>80</v>
      </c>
      <c r="H103" t="s">
        <v>48</v>
      </c>
      <c r="I103" t="s">
        <v>36</v>
      </c>
      <c r="J103" t="s">
        <v>53</v>
      </c>
      <c r="K103" t="s">
        <v>38</v>
      </c>
      <c r="L103">
        <v>1</v>
      </c>
      <c r="M103">
        <v>410</v>
      </c>
      <c r="N103">
        <v>41</v>
      </c>
      <c r="O103">
        <v>70</v>
      </c>
      <c r="P103">
        <v>410</v>
      </c>
      <c r="Q103">
        <v>439</v>
      </c>
      <c r="R103" t="s">
        <v>39</v>
      </c>
      <c r="S103" t="s">
        <v>31</v>
      </c>
      <c r="T103" t="s">
        <v>40</v>
      </c>
      <c r="U103">
        <v>18</v>
      </c>
      <c r="V103">
        <v>4.9000000000000004</v>
      </c>
      <c r="W103">
        <f>Table2[[#This Row],[Quantity]]*Table2[[#This Row],[Item_Price]]</f>
        <v>410</v>
      </c>
    </row>
    <row r="104" spans="1:23" x14ac:dyDescent="0.25">
      <c r="A104" t="s">
        <v>198</v>
      </c>
      <c r="B104" s="1">
        <v>45665</v>
      </c>
      <c r="C104" t="s">
        <v>23</v>
      </c>
      <c r="D104">
        <v>1</v>
      </c>
      <c r="E104">
        <v>8</v>
      </c>
      <c r="F104" t="s">
        <v>24</v>
      </c>
      <c r="G104" t="s">
        <v>55</v>
      </c>
      <c r="H104" t="s">
        <v>26</v>
      </c>
      <c r="I104" t="s">
        <v>43</v>
      </c>
      <c r="J104" t="s">
        <v>53</v>
      </c>
      <c r="K104" t="s">
        <v>45</v>
      </c>
      <c r="L104">
        <v>1</v>
      </c>
      <c r="M104">
        <v>424</v>
      </c>
      <c r="N104">
        <v>0</v>
      </c>
      <c r="O104">
        <v>50</v>
      </c>
      <c r="P104">
        <v>424</v>
      </c>
      <c r="Q104">
        <v>474</v>
      </c>
      <c r="R104" t="s">
        <v>39</v>
      </c>
      <c r="S104" t="s">
        <v>31</v>
      </c>
      <c r="T104" t="s">
        <v>32</v>
      </c>
      <c r="U104">
        <v>61</v>
      </c>
      <c r="V104">
        <v>4.3</v>
      </c>
      <c r="W104">
        <f>Table2[[#This Row],[Quantity]]*Table2[[#This Row],[Item_Price]]</f>
        <v>424</v>
      </c>
    </row>
    <row r="105" spans="1:23" x14ac:dyDescent="0.25">
      <c r="A105" t="s">
        <v>199</v>
      </c>
      <c r="B105" s="1">
        <v>45665</v>
      </c>
      <c r="C105" t="s">
        <v>23</v>
      </c>
      <c r="D105">
        <v>1</v>
      </c>
      <c r="E105">
        <v>8</v>
      </c>
      <c r="F105" t="s">
        <v>24</v>
      </c>
      <c r="G105" t="s">
        <v>80</v>
      </c>
      <c r="H105" t="s">
        <v>108</v>
      </c>
      <c r="I105" t="s">
        <v>85</v>
      </c>
      <c r="J105" t="s">
        <v>44</v>
      </c>
      <c r="K105" t="s">
        <v>29</v>
      </c>
      <c r="L105">
        <v>1</v>
      </c>
      <c r="M105">
        <v>500</v>
      </c>
      <c r="N105">
        <v>75</v>
      </c>
      <c r="O105">
        <v>0</v>
      </c>
      <c r="P105">
        <v>500</v>
      </c>
      <c r="Q105">
        <v>425</v>
      </c>
      <c r="R105" t="s">
        <v>39</v>
      </c>
      <c r="S105" t="s">
        <v>31</v>
      </c>
      <c r="T105" t="s">
        <v>40</v>
      </c>
      <c r="U105">
        <v>30</v>
      </c>
      <c r="V105">
        <v>3.6</v>
      </c>
      <c r="W105">
        <f>Table2[[#This Row],[Quantity]]*Table2[[#This Row],[Item_Price]]</f>
        <v>500</v>
      </c>
    </row>
    <row r="106" spans="1:23" x14ac:dyDescent="0.25">
      <c r="A106" t="s">
        <v>200</v>
      </c>
      <c r="B106" s="1">
        <v>45665</v>
      </c>
      <c r="C106" t="s">
        <v>23</v>
      </c>
      <c r="D106">
        <v>1</v>
      </c>
      <c r="E106">
        <v>8</v>
      </c>
      <c r="F106" t="s">
        <v>24</v>
      </c>
      <c r="G106" t="s">
        <v>90</v>
      </c>
      <c r="H106" t="s">
        <v>105</v>
      </c>
      <c r="I106" t="s">
        <v>49</v>
      </c>
      <c r="J106" t="s">
        <v>74</v>
      </c>
      <c r="K106" t="s">
        <v>38</v>
      </c>
      <c r="L106">
        <v>2</v>
      </c>
      <c r="M106">
        <v>167</v>
      </c>
      <c r="N106">
        <v>8.35</v>
      </c>
      <c r="O106">
        <v>0</v>
      </c>
      <c r="P106">
        <v>334</v>
      </c>
      <c r="Q106">
        <v>325.64999999999998</v>
      </c>
      <c r="R106" t="s">
        <v>30</v>
      </c>
      <c r="S106" t="s">
        <v>31</v>
      </c>
      <c r="T106" t="s">
        <v>40</v>
      </c>
      <c r="U106">
        <v>55</v>
      </c>
      <c r="V106">
        <v>4</v>
      </c>
      <c r="W106">
        <f>Table2[[#This Row],[Quantity]]*Table2[[#This Row],[Item_Price]]</f>
        <v>334</v>
      </c>
    </row>
    <row r="107" spans="1:23" x14ac:dyDescent="0.25">
      <c r="A107" t="s">
        <v>201</v>
      </c>
      <c r="B107" s="1">
        <v>45665</v>
      </c>
      <c r="C107" t="s">
        <v>23</v>
      </c>
      <c r="D107">
        <v>1</v>
      </c>
      <c r="E107">
        <v>8</v>
      </c>
      <c r="F107" t="s">
        <v>24</v>
      </c>
      <c r="G107" t="s">
        <v>84</v>
      </c>
      <c r="H107" t="s">
        <v>77</v>
      </c>
      <c r="I107" t="s">
        <v>27</v>
      </c>
      <c r="J107" t="s">
        <v>123</v>
      </c>
      <c r="K107" t="s">
        <v>45</v>
      </c>
      <c r="L107">
        <v>1</v>
      </c>
      <c r="M107">
        <v>785</v>
      </c>
      <c r="N107">
        <v>157</v>
      </c>
      <c r="O107">
        <v>0</v>
      </c>
      <c r="P107">
        <v>785</v>
      </c>
      <c r="Q107">
        <v>628</v>
      </c>
      <c r="R107" t="s">
        <v>75</v>
      </c>
      <c r="S107" t="s">
        <v>31</v>
      </c>
      <c r="T107" t="s">
        <v>32</v>
      </c>
      <c r="U107">
        <v>53</v>
      </c>
      <c r="V107">
        <v>4.7</v>
      </c>
      <c r="W107">
        <f>Table2[[#This Row],[Quantity]]*Table2[[#This Row],[Item_Price]]</f>
        <v>785</v>
      </c>
    </row>
    <row r="108" spans="1:23" x14ac:dyDescent="0.25">
      <c r="A108" t="s">
        <v>202</v>
      </c>
      <c r="B108" s="1">
        <v>45665</v>
      </c>
      <c r="C108" t="s">
        <v>23</v>
      </c>
      <c r="D108">
        <v>1</v>
      </c>
      <c r="E108">
        <v>8</v>
      </c>
      <c r="F108" t="s">
        <v>24</v>
      </c>
      <c r="G108" t="s">
        <v>25</v>
      </c>
      <c r="H108" t="s">
        <v>52</v>
      </c>
      <c r="I108" t="s">
        <v>43</v>
      </c>
      <c r="J108" t="s">
        <v>37</v>
      </c>
      <c r="K108" t="s">
        <v>38</v>
      </c>
      <c r="L108">
        <v>1</v>
      </c>
      <c r="M108">
        <v>377</v>
      </c>
      <c r="N108">
        <v>94.25</v>
      </c>
      <c r="O108">
        <v>40</v>
      </c>
      <c r="P108">
        <v>377</v>
      </c>
      <c r="Q108">
        <v>322.75</v>
      </c>
      <c r="R108" t="s">
        <v>112</v>
      </c>
      <c r="S108" t="s">
        <v>31</v>
      </c>
      <c r="T108" t="s">
        <v>40</v>
      </c>
      <c r="U108">
        <v>66</v>
      </c>
      <c r="V108">
        <v>4.3</v>
      </c>
      <c r="W108">
        <f>Table2[[#This Row],[Quantity]]*Table2[[#This Row],[Item_Price]]</f>
        <v>377</v>
      </c>
    </row>
    <row r="109" spans="1:23" x14ac:dyDescent="0.25">
      <c r="A109" t="s">
        <v>203</v>
      </c>
      <c r="B109" s="1">
        <v>45665</v>
      </c>
      <c r="C109" t="s">
        <v>23</v>
      </c>
      <c r="D109">
        <v>1</v>
      </c>
      <c r="E109">
        <v>8</v>
      </c>
      <c r="F109" t="s">
        <v>24</v>
      </c>
      <c r="G109" t="s">
        <v>64</v>
      </c>
      <c r="H109" t="s">
        <v>48</v>
      </c>
      <c r="I109" t="s">
        <v>36</v>
      </c>
      <c r="J109" t="s">
        <v>62</v>
      </c>
      <c r="K109" t="s">
        <v>38</v>
      </c>
      <c r="L109">
        <v>1</v>
      </c>
      <c r="M109">
        <v>468</v>
      </c>
      <c r="N109">
        <v>46.8</v>
      </c>
      <c r="O109">
        <v>60</v>
      </c>
      <c r="P109">
        <v>468</v>
      </c>
      <c r="Q109">
        <v>481.2</v>
      </c>
      <c r="R109" t="s">
        <v>98</v>
      </c>
      <c r="S109" t="s">
        <v>31</v>
      </c>
      <c r="T109" t="s">
        <v>40</v>
      </c>
      <c r="U109">
        <v>47</v>
      </c>
      <c r="V109">
        <v>5</v>
      </c>
      <c r="W109">
        <f>Table2[[#This Row],[Quantity]]*Table2[[#This Row],[Item_Price]]</f>
        <v>468</v>
      </c>
    </row>
    <row r="110" spans="1:23" x14ac:dyDescent="0.25">
      <c r="A110" t="s">
        <v>204</v>
      </c>
      <c r="B110" s="1">
        <v>45665</v>
      </c>
      <c r="C110" t="s">
        <v>23</v>
      </c>
      <c r="D110">
        <v>1</v>
      </c>
      <c r="E110">
        <v>8</v>
      </c>
      <c r="F110" t="s">
        <v>24</v>
      </c>
      <c r="G110" t="s">
        <v>64</v>
      </c>
      <c r="H110" t="s">
        <v>108</v>
      </c>
      <c r="I110" t="s">
        <v>49</v>
      </c>
      <c r="J110" t="s">
        <v>44</v>
      </c>
      <c r="K110" t="s">
        <v>38</v>
      </c>
      <c r="L110">
        <v>3</v>
      </c>
      <c r="M110">
        <v>482</v>
      </c>
      <c r="N110">
        <v>72.3</v>
      </c>
      <c r="O110">
        <v>30</v>
      </c>
      <c r="P110">
        <v>1446</v>
      </c>
      <c r="Q110">
        <v>1403.7</v>
      </c>
      <c r="R110" t="s">
        <v>30</v>
      </c>
      <c r="S110" t="s">
        <v>31</v>
      </c>
      <c r="T110" t="s">
        <v>32</v>
      </c>
      <c r="U110">
        <v>50</v>
      </c>
      <c r="V110">
        <v>3.1</v>
      </c>
      <c r="W110">
        <f>Table2[[#This Row],[Quantity]]*Table2[[#This Row],[Item_Price]]</f>
        <v>1446</v>
      </c>
    </row>
    <row r="111" spans="1:23" x14ac:dyDescent="0.25">
      <c r="A111" t="s">
        <v>205</v>
      </c>
      <c r="B111" s="1">
        <v>45665</v>
      </c>
      <c r="C111" t="s">
        <v>23</v>
      </c>
      <c r="D111">
        <v>1</v>
      </c>
      <c r="E111">
        <v>8</v>
      </c>
      <c r="F111" t="s">
        <v>24</v>
      </c>
      <c r="G111" t="s">
        <v>80</v>
      </c>
      <c r="H111" t="s">
        <v>139</v>
      </c>
      <c r="I111" t="s">
        <v>69</v>
      </c>
      <c r="J111" t="s">
        <v>82</v>
      </c>
      <c r="K111" t="s">
        <v>38</v>
      </c>
      <c r="L111">
        <v>1</v>
      </c>
      <c r="M111">
        <v>469</v>
      </c>
      <c r="N111">
        <v>0</v>
      </c>
      <c r="O111">
        <v>50</v>
      </c>
      <c r="P111">
        <v>469</v>
      </c>
      <c r="Q111">
        <v>519</v>
      </c>
      <c r="R111" t="s">
        <v>75</v>
      </c>
      <c r="S111" t="s">
        <v>31</v>
      </c>
      <c r="T111" t="s">
        <v>40</v>
      </c>
      <c r="U111">
        <v>36</v>
      </c>
      <c r="V111">
        <v>3.5</v>
      </c>
      <c r="W111">
        <f>Table2[[#This Row],[Quantity]]*Table2[[#This Row],[Item_Price]]</f>
        <v>469</v>
      </c>
    </row>
    <row r="112" spans="1:23" x14ac:dyDescent="0.25">
      <c r="A112" t="s">
        <v>206</v>
      </c>
      <c r="B112" s="1">
        <v>45665</v>
      </c>
      <c r="C112" t="s">
        <v>23</v>
      </c>
      <c r="D112">
        <v>1</v>
      </c>
      <c r="E112">
        <v>8</v>
      </c>
      <c r="F112" t="s">
        <v>24</v>
      </c>
      <c r="G112" t="s">
        <v>96</v>
      </c>
      <c r="H112" t="s">
        <v>135</v>
      </c>
      <c r="I112" t="s">
        <v>69</v>
      </c>
      <c r="J112" t="s">
        <v>50</v>
      </c>
      <c r="K112" t="s">
        <v>38</v>
      </c>
      <c r="L112">
        <v>2</v>
      </c>
      <c r="M112">
        <v>529</v>
      </c>
      <c r="N112">
        <v>52.9</v>
      </c>
      <c r="O112">
        <v>50</v>
      </c>
      <c r="P112">
        <v>1058</v>
      </c>
      <c r="Q112">
        <v>1055.0999999999999</v>
      </c>
      <c r="R112" t="s">
        <v>39</v>
      </c>
      <c r="S112" t="s">
        <v>31</v>
      </c>
      <c r="T112" t="s">
        <v>32</v>
      </c>
      <c r="U112">
        <v>59</v>
      </c>
      <c r="V112">
        <v>3.7</v>
      </c>
      <c r="W112">
        <f>Table2[[#This Row],[Quantity]]*Table2[[#This Row],[Item_Price]]</f>
        <v>1058</v>
      </c>
    </row>
    <row r="113" spans="1:23" x14ac:dyDescent="0.25">
      <c r="A113" t="s">
        <v>207</v>
      </c>
      <c r="B113" s="1">
        <v>45665</v>
      </c>
      <c r="C113" t="s">
        <v>23</v>
      </c>
      <c r="D113">
        <v>1</v>
      </c>
      <c r="E113">
        <v>8</v>
      </c>
      <c r="F113" t="s">
        <v>24</v>
      </c>
      <c r="G113" t="s">
        <v>64</v>
      </c>
      <c r="H113" t="s">
        <v>48</v>
      </c>
      <c r="I113" t="s">
        <v>27</v>
      </c>
      <c r="J113" t="s">
        <v>82</v>
      </c>
      <c r="K113" t="s">
        <v>58</v>
      </c>
      <c r="L113">
        <v>2</v>
      </c>
      <c r="M113">
        <v>736</v>
      </c>
      <c r="N113">
        <v>147.19999999999999</v>
      </c>
      <c r="O113">
        <v>50</v>
      </c>
      <c r="P113">
        <v>1472</v>
      </c>
      <c r="Q113">
        <v>1374.8</v>
      </c>
      <c r="R113" t="s">
        <v>39</v>
      </c>
      <c r="S113" t="s">
        <v>31</v>
      </c>
      <c r="T113" t="s">
        <v>32</v>
      </c>
      <c r="U113">
        <v>60</v>
      </c>
      <c r="V113">
        <v>4.5</v>
      </c>
      <c r="W113">
        <f>Table2[[#This Row],[Quantity]]*Table2[[#This Row],[Item_Price]]</f>
        <v>1472</v>
      </c>
    </row>
    <row r="114" spans="1:23" x14ac:dyDescent="0.25">
      <c r="A114" t="s">
        <v>208</v>
      </c>
      <c r="B114" s="1">
        <v>45665</v>
      </c>
      <c r="C114" t="s">
        <v>23</v>
      </c>
      <c r="D114">
        <v>1</v>
      </c>
      <c r="E114">
        <v>8</v>
      </c>
      <c r="F114" t="s">
        <v>24</v>
      </c>
      <c r="G114" t="s">
        <v>34</v>
      </c>
      <c r="H114" t="s">
        <v>42</v>
      </c>
      <c r="I114" t="s">
        <v>97</v>
      </c>
      <c r="J114" t="s">
        <v>50</v>
      </c>
      <c r="K114" t="s">
        <v>38</v>
      </c>
      <c r="L114">
        <v>2</v>
      </c>
      <c r="M114">
        <v>603</v>
      </c>
      <c r="N114">
        <v>60.3</v>
      </c>
      <c r="O114">
        <v>30</v>
      </c>
      <c r="P114">
        <v>1206</v>
      </c>
      <c r="Q114">
        <v>1175.7</v>
      </c>
      <c r="R114" t="s">
        <v>39</v>
      </c>
      <c r="S114" t="s">
        <v>31</v>
      </c>
      <c r="T114" t="s">
        <v>32</v>
      </c>
      <c r="U114">
        <v>49</v>
      </c>
      <c r="V114">
        <v>4.5</v>
      </c>
      <c r="W114">
        <f>Table2[[#This Row],[Quantity]]*Table2[[#This Row],[Item_Price]]</f>
        <v>1206</v>
      </c>
    </row>
    <row r="115" spans="1:23" x14ac:dyDescent="0.25">
      <c r="A115" t="s">
        <v>209</v>
      </c>
      <c r="B115" s="1">
        <v>45665</v>
      </c>
      <c r="C115" t="s">
        <v>23</v>
      </c>
      <c r="D115">
        <v>1</v>
      </c>
      <c r="E115">
        <v>8</v>
      </c>
      <c r="F115" t="s">
        <v>24</v>
      </c>
      <c r="G115" t="s">
        <v>96</v>
      </c>
      <c r="H115" t="s">
        <v>26</v>
      </c>
      <c r="I115" t="s">
        <v>103</v>
      </c>
      <c r="J115" t="s">
        <v>74</v>
      </c>
      <c r="K115" t="s">
        <v>29</v>
      </c>
      <c r="L115">
        <v>2</v>
      </c>
      <c r="M115">
        <v>817</v>
      </c>
      <c r="N115">
        <v>163.4</v>
      </c>
      <c r="O115">
        <v>20</v>
      </c>
      <c r="P115">
        <v>1634</v>
      </c>
      <c r="Q115">
        <v>1490.6</v>
      </c>
      <c r="R115" t="s">
        <v>75</v>
      </c>
      <c r="S115" t="s">
        <v>31</v>
      </c>
      <c r="T115" t="s">
        <v>32</v>
      </c>
      <c r="U115">
        <v>28</v>
      </c>
      <c r="V115">
        <v>5</v>
      </c>
      <c r="W115">
        <f>Table2[[#This Row],[Quantity]]*Table2[[#This Row],[Item_Price]]</f>
        <v>1634</v>
      </c>
    </row>
    <row r="116" spans="1:23" x14ac:dyDescent="0.25">
      <c r="A116" t="s">
        <v>210</v>
      </c>
      <c r="B116" s="1">
        <v>45665</v>
      </c>
      <c r="C116" t="s">
        <v>23</v>
      </c>
      <c r="D116">
        <v>1</v>
      </c>
      <c r="E116">
        <v>8</v>
      </c>
      <c r="F116" t="s">
        <v>24</v>
      </c>
      <c r="G116" t="s">
        <v>34</v>
      </c>
      <c r="H116" t="s">
        <v>68</v>
      </c>
      <c r="I116" t="s">
        <v>61</v>
      </c>
      <c r="J116" t="s">
        <v>37</v>
      </c>
      <c r="K116" t="s">
        <v>38</v>
      </c>
      <c r="L116">
        <v>3</v>
      </c>
      <c r="M116">
        <v>270</v>
      </c>
      <c r="N116">
        <v>67.5</v>
      </c>
      <c r="O116">
        <v>40</v>
      </c>
      <c r="P116">
        <v>810</v>
      </c>
      <c r="Q116">
        <v>782.5</v>
      </c>
      <c r="R116" t="s">
        <v>39</v>
      </c>
      <c r="S116" t="s">
        <v>46</v>
      </c>
      <c r="T116" t="s">
        <v>40</v>
      </c>
      <c r="U116">
        <v>47</v>
      </c>
      <c r="W116">
        <f>Table2[[#This Row],[Quantity]]*Table2[[#This Row],[Item_Price]]</f>
        <v>810</v>
      </c>
    </row>
    <row r="117" spans="1:23" x14ac:dyDescent="0.25">
      <c r="A117" t="s">
        <v>211</v>
      </c>
      <c r="B117" s="1">
        <v>45665</v>
      </c>
      <c r="C117" t="s">
        <v>23</v>
      </c>
      <c r="D117">
        <v>1</v>
      </c>
      <c r="E117">
        <v>8</v>
      </c>
      <c r="F117" t="s">
        <v>24</v>
      </c>
      <c r="G117" t="s">
        <v>55</v>
      </c>
      <c r="H117" t="s">
        <v>68</v>
      </c>
      <c r="I117" t="s">
        <v>85</v>
      </c>
      <c r="J117" t="s">
        <v>53</v>
      </c>
      <c r="K117" t="s">
        <v>29</v>
      </c>
      <c r="L117">
        <v>3</v>
      </c>
      <c r="M117">
        <v>811</v>
      </c>
      <c r="N117">
        <v>202.75</v>
      </c>
      <c r="O117">
        <v>50</v>
      </c>
      <c r="P117">
        <v>2433</v>
      </c>
      <c r="Q117">
        <v>2280.25</v>
      </c>
      <c r="R117" t="s">
        <v>39</v>
      </c>
      <c r="S117" t="s">
        <v>31</v>
      </c>
      <c r="T117" t="s">
        <v>40</v>
      </c>
      <c r="U117">
        <v>56</v>
      </c>
      <c r="V117">
        <v>3.9</v>
      </c>
      <c r="W117">
        <f>Table2[[#This Row],[Quantity]]*Table2[[#This Row],[Item_Price]]</f>
        <v>2433</v>
      </c>
    </row>
    <row r="118" spans="1:23" x14ac:dyDescent="0.25">
      <c r="A118" t="s">
        <v>212</v>
      </c>
      <c r="B118" s="1">
        <v>45665</v>
      </c>
      <c r="C118" t="s">
        <v>23</v>
      </c>
      <c r="D118">
        <v>1</v>
      </c>
      <c r="E118">
        <v>8</v>
      </c>
      <c r="F118" t="s">
        <v>24</v>
      </c>
      <c r="G118" t="s">
        <v>73</v>
      </c>
      <c r="H118" t="s">
        <v>52</v>
      </c>
      <c r="I118" t="s">
        <v>97</v>
      </c>
      <c r="J118" t="s">
        <v>119</v>
      </c>
      <c r="K118" t="s">
        <v>58</v>
      </c>
      <c r="L118">
        <v>2</v>
      </c>
      <c r="M118">
        <v>742</v>
      </c>
      <c r="N118">
        <v>111.3</v>
      </c>
      <c r="O118">
        <v>0</v>
      </c>
      <c r="P118">
        <v>1484</v>
      </c>
      <c r="Q118">
        <v>1372.7</v>
      </c>
      <c r="R118" t="s">
        <v>75</v>
      </c>
      <c r="S118" t="s">
        <v>31</v>
      </c>
      <c r="T118" t="s">
        <v>40</v>
      </c>
      <c r="U118">
        <v>43</v>
      </c>
      <c r="V118">
        <v>4</v>
      </c>
      <c r="W118">
        <f>Table2[[#This Row],[Quantity]]*Table2[[#This Row],[Item_Price]]</f>
        <v>1484</v>
      </c>
    </row>
    <row r="119" spans="1:23" x14ac:dyDescent="0.25">
      <c r="A119" t="s">
        <v>213</v>
      </c>
      <c r="B119" s="1">
        <v>45666</v>
      </c>
      <c r="C119" t="s">
        <v>23</v>
      </c>
      <c r="D119">
        <v>1</v>
      </c>
      <c r="E119">
        <v>9</v>
      </c>
      <c r="F119" t="s">
        <v>88</v>
      </c>
      <c r="G119" t="s">
        <v>64</v>
      </c>
      <c r="H119" t="s">
        <v>42</v>
      </c>
      <c r="I119" t="s">
        <v>57</v>
      </c>
      <c r="J119" t="s">
        <v>172</v>
      </c>
      <c r="K119" t="s">
        <v>38</v>
      </c>
      <c r="L119">
        <v>1</v>
      </c>
      <c r="M119">
        <v>162</v>
      </c>
      <c r="N119">
        <v>0</v>
      </c>
      <c r="O119">
        <v>50</v>
      </c>
      <c r="P119">
        <v>162</v>
      </c>
      <c r="Q119">
        <v>212</v>
      </c>
      <c r="R119" t="s">
        <v>39</v>
      </c>
      <c r="S119" t="s">
        <v>91</v>
      </c>
      <c r="T119" t="s">
        <v>32</v>
      </c>
      <c r="U119">
        <v>24</v>
      </c>
      <c r="W119">
        <f>Table2[[#This Row],[Quantity]]*Table2[[#This Row],[Item_Price]]</f>
        <v>162</v>
      </c>
    </row>
    <row r="120" spans="1:23" x14ac:dyDescent="0.25">
      <c r="A120" t="s">
        <v>214</v>
      </c>
      <c r="B120" s="1">
        <v>45666</v>
      </c>
      <c r="C120" t="s">
        <v>23</v>
      </c>
      <c r="D120">
        <v>1</v>
      </c>
      <c r="E120">
        <v>9</v>
      </c>
      <c r="F120" t="s">
        <v>88</v>
      </c>
      <c r="G120" t="s">
        <v>96</v>
      </c>
      <c r="H120" t="s">
        <v>42</v>
      </c>
      <c r="I120" t="s">
        <v>69</v>
      </c>
      <c r="J120" t="s">
        <v>44</v>
      </c>
      <c r="K120" t="s">
        <v>38</v>
      </c>
      <c r="L120">
        <v>2</v>
      </c>
      <c r="M120">
        <v>434</v>
      </c>
      <c r="N120">
        <v>43.4</v>
      </c>
      <c r="O120">
        <v>40</v>
      </c>
      <c r="P120">
        <v>868</v>
      </c>
      <c r="Q120">
        <v>864.6</v>
      </c>
      <c r="R120" t="s">
        <v>30</v>
      </c>
      <c r="S120" t="s">
        <v>31</v>
      </c>
      <c r="T120" t="s">
        <v>40</v>
      </c>
      <c r="U120">
        <v>63</v>
      </c>
      <c r="V120">
        <v>5</v>
      </c>
      <c r="W120">
        <f>Table2[[#This Row],[Quantity]]*Table2[[#This Row],[Item_Price]]</f>
        <v>868</v>
      </c>
    </row>
    <row r="121" spans="1:23" x14ac:dyDescent="0.25">
      <c r="A121" t="s">
        <v>215</v>
      </c>
      <c r="B121" s="1">
        <v>45666</v>
      </c>
      <c r="C121" t="s">
        <v>23</v>
      </c>
      <c r="D121">
        <v>1</v>
      </c>
      <c r="E121">
        <v>9</v>
      </c>
      <c r="F121" t="s">
        <v>88</v>
      </c>
      <c r="G121" t="s">
        <v>73</v>
      </c>
      <c r="H121" t="s">
        <v>56</v>
      </c>
      <c r="I121" t="s">
        <v>49</v>
      </c>
      <c r="J121" t="s">
        <v>82</v>
      </c>
      <c r="K121" t="s">
        <v>38</v>
      </c>
      <c r="L121">
        <v>1</v>
      </c>
      <c r="M121">
        <v>805</v>
      </c>
      <c r="N121">
        <v>201.25</v>
      </c>
      <c r="O121">
        <v>40</v>
      </c>
      <c r="P121">
        <v>805</v>
      </c>
      <c r="Q121">
        <v>643.75</v>
      </c>
      <c r="R121" t="s">
        <v>39</v>
      </c>
      <c r="S121" t="s">
        <v>31</v>
      </c>
      <c r="T121" t="s">
        <v>40</v>
      </c>
      <c r="U121">
        <v>27</v>
      </c>
      <c r="V121">
        <v>2.8</v>
      </c>
      <c r="W121">
        <f>Table2[[#This Row],[Quantity]]*Table2[[#This Row],[Item_Price]]</f>
        <v>805</v>
      </c>
    </row>
    <row r="122" spans="1:23" x14ac:dyDescent="0.25">
      <c r="A122" t="s">
        <v>216</v>
      </c>
      <c r="B122" s="1">
        <v>45666</v>
      </c>
      <c r="C122" t="s">
        <v>23</v>
      </c>
      <c r="D122">
        <v>1</v>
      </c>
      <c r="E122">
        <v>9</v>
      </c>
      <c r="F122" t="s">
        <v>88</v>
      </c>
      <c r="G122" t="s">
        <v>80</v>
      </c>
      <c r="H122" t="s">
        <v>105</v>
      </c>
      <c r="I122" t="s">
        <v>43</v>
      </c>
      <c r="J122" t="s">
        <v>50</v>
      </c>
      <c r="K122" t="s">
        <v>38</v>
      </c>
      <c r="L122">
        <v>1</v>
      </c>
      <c r="M122">
        <v>439</v>
      </c>
      <c r="N122">
        <v>87.8</v>
      </c>
      <c r="O122">
        <v>0</v>
      </c>
      <c r="P122">
        <v>439</v>
      </c>
      <c r="Q122">
        <v>351.2</v>
      </c>
      <c r="R122" t="s">
        <v>39</v>
      </c>
      <c r="S122" t="s">
        <v>31</v>
      </c>
      <c r="T122" t="s">
        <v>40</v>
      </c>
      <c r="U122">
        <v>20</v>
      </c>
      <c r="V122">
        <v>2.9</v>
      </c>
      <c r="W122">
        <f>Table2[[#This Row],[Quantity]]*Table2[[#This Row],[Item_Price]]</f>
        <v>439</v>
      </c>
    </row>
    <row r="123" spans="1:23" x14ac:dyDescent="0.25">
      <c r="A123" t="s">
        <v>217</v>
      </c>
      <c r="B123" s="1">
        <v>45666</v>
      </c>
      <c r="C123" t="s">
        <v>23</v>
      </c>
      <c r="D123">
        <v>1</v>
      </c>
      <c r="E123">
        <v>9</v>
      </c>
      <c r="F123" t="s">
        <v>88</v>
      </c>
      <c r="G123" t="s">
        <v>34</v>
      </c>
      <c r="H123" t="s">
        <v>105</v>
      </c>
      <c r="I123" t="s">
        <v>57</v>
      </c>
      <c r="J123" t="s">
        <v>70</v>
      </c>
      <c r="K123" t="s">
        <v>38</v>
      </c>
      <c r="L123">
        <v>2</v>
      </c>
      <c r="M123">
        <v>261</v>
      </c>
      <c r="N123">
        <v>52.2</v>
      </c>
      <c r="O123">
        <v>40</v>
      </c>
      <c r="P123">
        <v>522</v>
      </c>
      <c r="Q123">
        <v>509.8</v>
      </c>
      <c r="R123" t="s">
        <v>39</v>
      </c>
      <c r="S123" t="s">
        <v>31</v>
      </c>
      <c r="T123" t="s">
        <v>32</v>
      </c>
      <c r="U123">
        <v>35</v>
      </c>
      <c r="V123">
        <v>3.9</v>
      </c>
      <c r="W123">
        <f>Table2[[#This Row],[Quantity]]*Table2[[#This Row],[Item_Price]]</f>
        <v>522</v>
      </c>
    </row>
    <row r="124" spans="1:23" x14ac:dyDescent="0.25">
      <c r="A124" t="s">
        <v>218</v>
      </c>
      <c r="B124" s="1">
        <v>45666</v>
      </c>
      <c r="C124" t="s">
        <v>23</v>
      </c>
      <c r="D124">
        <v>1</v>
      </c>
      <c r="E124">
        <v>9</v>
      </c>
      <c r="F124" t="s">
        <v>88</v>
      </c>
      <c r="G124" t="s">
        <v>84</v>
      </c>
      <c r="H124" t="s">
        <v>81</v>
      </c>
      <c r="I124" t="s">
        <v>49</v>
      </c>
      <c r="J124" t="s">
        <v>28</v>
      </c>
      <c r="K124" t="s">
        <v>38</v>
      </c>
      <c r="L124">
        <v>2</v>
      </c>
      <c r="M124">
        <v>521</v>
      </c>
      <c r="N124">
        <v>52.1</v>
      </c>
      <c r="O124">
        <v>40</v>
      </c>
      <c r="P124">
        <v>1042</v>
      </c>
      <c r="Q124">
        <v>1029.9000000000001</v>
      </c>
      <c r="R124" t="s">
        <v>75</v>
      </c>
      <c r="S124" t="s">
        <v>31</v>
      </c>
      <c r="T124" t="s">
        <v>40</v>
      </c>
      <c r="U124">
        <v>68</v>
      </c>
      <c r="V124">
        <v>4</v>
      </c>
      <c r="W124">
        <f>Table2[[#This Row],[Quantity]]*Table2[[#This Row],[Item_Price]]</f>
        <v>1042</v>
      </c>
    </row>
    <row r="125" spans="1:23" x14ac:dyDescent="0.25">
      <c r="A125" t="s">
        <v>219</v>
      </c>
      <c r="B125" s="1">
        <v>45666</v>
      </c>
      <c r="C125" t="s">
        <v>23</v>
      </c>
      <c r="D125">
        <v>1</v>
      </c>
      <c r="E125">
        <v>9</v>
      </c>
      <c r="F125" t="s">
        <v>88</v>
      </c>
      <c r="G125" t="s">
        <v>90</v>
      </c>
      <c r="H125" t="s">
        <v>56</v>
      </c>
      <c r="I125" t="s">
        <v>57</v>
      </c>
      <c r="J125" t="s">
        <v>78</v>
      </c>
      <c r="K125" t="s">
        <v>38</v>
      </c>
      <c r="L125">
        <v>1</v>
      </c>
      <c r="M125">
        <v>727</v>
      </c>
      <c r="N125">
        <v>36.35</v>
      </c>
      <c r="O125">
        <v>60</v>
      </c>
      <c r="P125">
        <v>727</v>
      </c>
      <c r="Q125">
        <v>750.65</v>
      </c>
      <c r="R125" t="s">
        <v>30</v>
      </c>
      <c r="S125" t="s">
        <v>31</v>
      </c>
      <c r="T125" t="s">
        <v>40</v>
      </c>
      <c r="U125">
        <v>70</v>
      </c>
      <c r="V125">
        <v>2.9</v>
      </c>
      <c r="W125">
        <f>Table2[[#This Row],[Quantity]]*Table2[[#This Row],[Item_Price]]</f>
        <v>727</v>
      </c>
    </row>
    <row r="126" spans="1:23" x14ac:dyDescent="0.25">
      <c r="A126" t="s">
        <v>220</v>
      </c>
      <c r="B126" s="1">
        <v>45666</v>
      </c>
      <c r="C126" t="s">
        <v>23</v>
      </c>
      <c r="D126">
        <v>1</v>
      </c>
      <c r="E126">
        <v>9</v>
      </c>
      <c r="F126" t="s">
        <v>88</v>
      </c>
      <c r="G126" t="s">
        <v>80</v>
      </c>
      <c r="H126" t="s">
        <v>60</v>
      </c>
      <c r="I126" t="s">
        <v>103</v>
      </c>
      <c r="J126" t="s">
        <v>101</v>
      </c>
      <c r="K126" t="s">
        <v>45</v>
      </c>
      <c r="L126">
        <v>2</v>
      </c>
      <c r="M126">
        <v>715</v>
      </c>
      <c r="N126">
        <v>143</v>
      </c>
      <c r="O126">
        <v>40</v>
      </c>
      <c r="P126">
        <v>1430</v>
      </c>
      <c r="Q126">
        <v>1327</v>
      </c>
      <c r="R126" t="s">
        <v>30</v>
      </c>
      <c r="S126" t="s">
        <v>31</v>
      </c>
      <c r="T126" t="s">
        <v>40</v>
      </c>
      <c r="U126">
        <v>54</v>
      </c>
      <c r="V126">
        <v>4.4000000000000004</v>
      </c>
      <c r="W126">
        <f>Table2[[#This Row],[Quantity]]*Table2[[#This Row],[Item_Price]]</f>
        <v>1430</v>
      </c>
    </row>
    <row r="127" spans="1:23" x14ac:dyDescent="0.25">
      <c r="A127" t="s">
        <v>221</v>
      </c>
      <c r="B127" s="1">
        <v>45666</v>
      </c>
      <c r="C127" t="s">
        <v>23</v>
      </c>
      <c r="D127">
        <v>1</v>
      </c>
      <c r="E127">
        <v>9</v>
      </c>
      <c r="F127" t="s">
        <v>88</v>
      </c>
      <c r="G127" t="s">
        <v>80</v>
      </c>
      <c r="H127" t="s">
        <v>60</v>
      </c>
      <c r="I127" t="s">
        <v>69</v>
      </c>
      <c r="J127" t="s">
        <v>37</v>
      </c>
      <c r="K127" t="s">
        <v>38</v>
      </c>
      <c r="L127">
        <v>1</v>
      </c>
      <c r="M127">
        <v>514</v>
      </c>
      <c r="N127">
        <v>0</v>
      </c>
      <c r="O127">
        <v>50</v>
      </c>
      <c r="P127">
        <v>514</v>
      </c>
      <c r="Q127">
        <v>564</v>
      </c>
      <c r="R127" t="s">
        <v>30</v>
      </c>
      <c r="S127" t="s">
        <v>91</v>
      </c>
      <c r="T127" t="s">
        <v>40</v>
      </c>
      <c r="U127">
        <v>44</v>
      </c>
      <c r="W127">
        <f>Table2[[#This Row],[Quantity]]*Table2[[#This Row],[Item_Price]]</f>
        <v>514</v>
      </c>
    </row>
    <row r="128" spans="1:23" x14ac:dyDescent="0.25">
      <c r="A128" t="s">
        <v>222</v>
      </c>
      <c r="B128" s="1">
        <v>45666</v>
      </c>
      <c r="C128" t="s">
        <v>23</v>
      </c>
      <c r="D128">
        <v>1</v>
      </c>
      <c r="E128">
        <v>9</v>
      </c>
      <c r="F128" t="s">
        <v>88</v>
      </c>
      <c r="G128" t="s">
        <v>96</v>
      </c>
      <c r="H128" t="s">
        <v>56</v>
      </c>
      <c r="I128" t="s">
        <v>43</v>
      </c>
      <c r="J128" t="s">
        <v>53</v>
      </c>
      <c r="K128" t="s">
        <v>58</v>
      </c>
      <c r="L128">
        <v>2</v>
      </c>
      <c r="M128">
        <v>598</v>
      </c>
      <c r="N128">
        <v>29.9</v>
      </c>
      <c r="O128">
        <v>0</v>
      </c>
      <c r="P128">
        <v>1196</v>
      </c>
      <c r="Q128">
        <v>1166.0999999999999</v>
      </c>
      <c r="R128" t="s">
        <v>39</v>
      </c>
      <c r="S128" t="s">
        <v>91</v>
      </c>
      <c r="T128" t="s">
        <v>40</v>
      </c>
      <c r="U128">
        <v>69</v>
      </c>
      <c r="W128">
        <f>Table2[[#This Row],[Quantity]]*Table2[[#This Row],[Item_Price]]</f>
        <v>1196</v>
      </c>
    </row>
    <row r="129" spans="1:23" x14ac:dyDescent="0.25">
      <c r="A129" t="s">
        <v>223</v>
      </c>
      <c r="B129" s="1">
        <v>45667</v>
      </c>
      <c r="C129" t="s">
        <v>23</v>
      </c>
      <c r="D129">
        <v>1</v>
      </c>
      <c r="E129">
        <v>10</v>
      </c>
      <c r="F129" t="s">
        <v>114</v>
      </c>
      <c r="G129" t="s">
        <v>80</v>
      </c>
      <c r="H129" t="s">
        <v>108</v>
      </c>
      <c r="I129" t="s">
        <v>85</v>
      </c>
      <c r="J129" t="s">
        <v>50</v>
      </c>
      <c r="K129" t="s">
        <v>38</v>
      </c>
      <c r="L129">
        <v>3</v>
      </c>
      <c r="M129">
        <v>713</v>
      </c>
      <c r="N129">
        <v>178.25</v>
      </c>
      <c r="O129">
        <v>0</v>
      </c>
      <c r="P129">
        <v>2139</v>
      </c>
      <c r="Q129">
        <v>1960.75</v>
      </c>
      <c r="R129" t="s">
        <v>112</v>
      </c>
      <c r="S129" t="s">
        <v>31</v>
      </c>
      <c r="T129" t="s">
        <v>32</v>
      </c>
      <c r="U129">
        <v>38</v>
      </c>
      <c r="V129">
        <v>5</v>
      </c>
      <c r="W129">
        <f>Table2[[#This Row],[Quantity]]*Table2[[#This Row],[Item_Price]]</f>
        <v>2139</v>
      </c>
    </row>
    <row r="130" spans="1:23" x14ac:dyDescent="0.25">
      <c r="A130" t="s">
        <v>224</v>
      </c>
      <c r="B130" s="1">
        <v>45667</v>
      </c>
      <c r="C130" t="s">
        <v>23</v>
      </c>
      <c r="D130">
        <v>1</v>
      </c>
      <c r="E130">
        <v>10</v>
      </c>
      <c r="F130" t="s">
        <v>114</v>
      </c>
      <c r="G130" t="s">
        <v>34</v>
      </c>
      <c r="H130" t="s">
        <v>42</v>
      </c>
      <c r="I130" t="s">
        <v>85</v>
      </c>
      <c r="J130" t="s">
        <v>82</v>
      </c>
      <c r="K130" t="s">
        <v>29</v>
      </c>
      <c r="L130">
        <v>2</v>
      </c>
      <c r="M130">
        <v>623</v>
      </c>
      <c r="N130">
        <v>31.15</v>
      </c>
      <c r="O130">
        <v>30</v>
      </c>
      <c r="P130">
        <v>1246</v>
      </c>
      <c r="Q130">
        <v>1244.8499999999999</v>
      </c>
      <c r="R130" t="s">
        <v>39</v>
      </c>
      <c r="S130" t="s">
        <v>31</v>
      </c>
      <c r="T130" t="s">
        <v>32</v>
      </c>
      <c r="U130">
        <v>20</v>
      </c>
      <c r="V130">
        <v>3.5</v>
      </c>
      <c r="W130">
        <f>Table2[[#This Row],[Quantity]]*Table2[[#This Row],[Item_Price]]</f>
        <v>1246</v>
      </c>
    </row>
    <row r="131" spans="1:23" x14ac:dyDescent="0.25">
      <c r="A131" t="s">
        <v>225</v>
      </c>
      <c r="B131" s="1">
        <v>45667</v>
      </c>
      <c r="C131" t="s">
        <v>23</v>
      </c>
      <c r="D131">
        <v>1</v>
      </c>
      <c r="E131">
        <v>10</v>
      </c>
      <c r="F131" t="s">
        <v>114</v>
      </c>
      <c r="G131" t="s">
        <v>34</v>
      </c>
      <c r="H131" t="s">
        <v>139</v>
      </c>
      <c r="I131" t="s">
        <v>97</v>
      </c>
      <c r="J131" t="s">
        <v>37</v>
      </c>
      <c r="K131" t="s">
        <v>45</v>
      </c>
      <c r="L131">
        <v>1</v>
      </c>
      <c r="M131">
        <v>367</v>
      </c>
      <c r="N131">
        <v>0</v>
      </c>
      <c r="O131">
        <v>40</v>
      </c>
      <c r="P131">
        <v>367</v>
      </c>
      <c r="Q131">
        <v>407</v>
      </c>
      <c r="R131" t="s">
        <v>39</v>
      </c>
      <c r="S131" t="s">
        <v>31</v>
      </c>
      <c r="T131" t="s">
        <v>40</v>
      </c>
      <c r="U131">
        <v>67</v>
      </c>
      <c r="V131">
        <v>2.6</v>
      </c>
      <c r="W131">
        <f>Table2[[#This Row],[Quantity]]*Table2[[#This Row],[Item_Price]]</f>
        <v>367</v>
      </c>
    </row>
    <row r="132" spans="1:23" x14ac:dyDescent="0.25">
      <c r="A132" t="s">
        <v>226</v>
      </c>
      <c r="B132" s="1">
        <v>45667</v>
      </c>
      <c r="C132" t="s">
        <v>23</v>
      </c>
      <c r="D132">
        <v>1</v>
      </c>
      <c r="E132">
        <v>10</v>
      </c>
      <c r="F132" t="s">
        <v>114</v>
      </c>
      <c r="G132" t="s">
        <v>90</v>
      </c>
      <c r="H132" t="s">
        <v>135</v>
      </c>
      <c r="I132" t="s">
        <v>61</v>
      </c>
      <c r="J132" t="s">
        <v>172</v>
      </c>
      <c r="K132" t="s">
        <v>45</v>
      </c>
      <c r="L132">
        <v>2</v>
      </c>
      <c r="M132">
        <v>565</v>
      </c>
      <c r="N132">
        <v>84.75</v>
      </c>
      <c r="O132">
        <v>40</v>
      </c>
      <c r="P132">
        <v>1130</v>
      </c>
      <c r="Q132">
        <v>1085.25</v>
      </c>
      <c r="R132" t="s">
        <v>75</v>
      </c>
      <c r="S132" t="s">
        <v>31</v>
      </c>
      <c r="T132" t="s">
        <v>32</v>
      </c>
      <c r="U132">
        <v>31</v>
      </c>
      <c r="V132">
        <v>3.9</v>
      </c>
      <c r="W132">
        <f>Table2[[#This Row],[Quantity]]*Table2[[#This Row],[Item_Price]]</f>
        <v>1130</v>
      </c>
    </row>
    <row r="133" spans="1:23" x14ac:dyDescent="0.25">
      <c r="A133" t="s">
        <v>227</v>
      </c>
      <c r="B133" s="1">
        <v>45667</v>
      </c>
      <c r="C133" t="s">
        <v>23</v>
      </c>
      <c r="D133">
        <v>1</v>
      </c>
      <c r="E133">
        <v>10</v>
      </c>
      <c r="F133" t="s">
        <v>114</v>
      </c>
      <c r="G133" t="s">
        <v>84</v>
      </c>
      <c r="H133" t="s">
        <v>35</v>
      </c>
      <c r="I133" t="s">
        <v>43</v>
      </c>
      <c r="J133" t="s">
        <v>28</v>
      </c>
      <c r="K133" t="s">
        <v>38</v>
      </c>
      <c r="L133">
        <v>2</v>
      </c>
      <c r="M133">
        <v>851</v>
      </c>
      <c r="N133">
        <v>85.1</v>
      </c>
      <c r="O133">
        <v>0</v>
      </c>
      <c r="P133">
        <v>1702</v>
      </c>
      <c r="Q133">
        <v>1616.9</v>
      </c>
      <c r="R133" t="s">
        <v>39</v>
      </c>
      <c r="S133" t="s">
        <v>31</v>
      </c>
      <c r="T133" t="s">
        <v>32</v>
      </c>
      <c r="U133">
        <v>27</v>
      </c>
      <c r="V133">
        <v>4.9000000000000004</v>
      </c>
      <c r="W133">
        <f>Table2[[#This Row],[Quantity]]*Table2[[#This Row],[Item_Price]]</f>
        <v>1702</v>
      </c>
    </row>
    <row r="134" spans="1:23" x14ac:dyDescent="0.25">
      <c r="A134" t="s">
        <v>228</v>
      </c>
      <c r="B134" s="1">
        <v>45667</v>
      </c>
      <c r="C134" t="s">
        <v>23</v>
      </c>
      <c r="D134">
        <v>1</v>
      </c>
      <c r="E134">
        <v>10</v>
      </c>
      <c r="F134" t="s">
        <v>114</v>
      </c>
      <c r="G134" t="s">
        <v>55</v>
      </c>
      <c r="H134" t="s">
        <v>60</v>
      </c>
      <c r="I134" t="s">
        <v>85</v>
      </c>
      <c r="J134" t="s">
        <v>37</v>
      </c>
      <c r="K134" t="s">
        <v>38</v>
      </c>
      <c r="L134">
        <v>2</v>
      </c>
      <c r="M134">
        <v>314</v>
      </c>
      <c r="N134">
        <v>47.1</v>
      </c>
      <c r="O134">
        <v>60</v>
      </c>
      <c r="P134">
        <v>628</v>
      </c>
      <c r="Q134">
        <v>640.9</v>
      </c>
      <c r="R134" t="s">
        <v>30</v>
      </c>
      <c r="S134" t="s">
        <v>31</v>
      </c>
      <c r="T134" t="s">
        <v>32</v>
      </c>
      <c r="U134">
        <v>45</v>
      </c>
      <c r="V134">
        <v>3.7</v>
      </c>
      <c r="W134">
        <f>Table2[[#This Row],[Quantity]]*Table2[[#This Row],[Item_Price]]</f>
        <v>628</v>
      </c>
    </row>
    <row r="135" spans="1:23" x14ac:dyDescent="0.25">
      <c r="A135" t="s">
        <v>229</v>
      </c>
      <c r="B135" s="1">
        <v>45667</v>
      </c>
      <c r="C135" t="s">
        <v>23</v>
      </c>
      <c r="D135">
        <v>1</v>
      </c>
      <c r="E135">
        <v>10</v>
      </c>
      <c r="F135" t="s">
        <v>114</v>
      </c>
      <c r="G135" t="s">
        <v>25</v>
      </c>
      <c r="H135" t="s">
        <v>56</v>
      </c>
      <c r="I135" t="s">
        <v>27</v>
      </c>
      <c r="J135" t="s">
        <v>28</v>
      </c>
      <c r="K135" t="s">
        <v>38</v>
      </c>
      <c r="L135">
        <v>2</v>
      </c>
      <c r="M135">
        <v>206</v>
      </c>
      <c r="N135">
        <v>20.6</v>
      </c>
      <c r="O135">
        <v>20</v>
      </c>
      <c r="P135">
        <v>412</v>
      </c>
      <c r="Q135">
        <v>411.4</v>
      </c>
      <c r="R135" t="s">
        <v>39</v>
      </c>
      <c r="S135" t="s">
        <v>31</v>
      </c>
      <c r="T135" t="s">
        <v>40</v>
      </c>
      <c r="U135">
        <v>20</v>
      </c>
      <c r="V135">
        <v>4.3</v>
      </c>
      <c r="W135">
        <f>Table2[[#This Row],[Quantity]]*Table2[[#This Row],[Item_Price]]</f>
        <v>412</v>
      </c>
    </row>
    <row r="136" spans="1:23" x14ac:dyDescent="0.25">
      <c r="A136" t="s">
        <v>230</v>
      </c>
      <c r="B136" s="1">
        <v>45667</v>
      </c>
      <c r="C136" t="s">
        <v>23</v>
      </c>
      <c r="D136">
        <v>1</v>
      </c>
      <c r="E136">
        <v>10</v>
      </c>
      <c r="F136" t="s">
        <v>114</v>
      </c>
      <c r="G136" t="s">
        <v>73</v>
      </c>
      <c r="H136" t="s">
        <v>135</v>
      </c>
      <c r="I136" t="s">
        <v>103</v>
      </c>
      <c r="J136" t="s">
        <v>50</v>
      </c>
      <c r="K136" t="s">
        <v>45</v>
      </c>
      <c r="L136">
        <v>1</v>
      </c>
      <c r="M136">
        <v>454</v>
      </c>
      <c r="N136">
        <v>68.099999999999994</v>
      </c>
      <c r="O136">
        <v>30</v>
      </c>
      <c r="P136">
        <v>454</v>
      </c>
      <c r="Q136">
        <v>415.9</v>
      </c>
      <c r="R136" t="s">
        <v>39</v>
      </c>
      <c r="S136" t="s">
        <v>31</v>
      </c>
      <c r="T136" t="s">
        <v>40</v>
      </c>
      <c r="U136">
        <v>55</v>
      </c>
      <c r="V136">
        <v>3.9</v>
      </c>
      <c r="W136">
        <f>Table2[[#This Row],[Quantity]]*Table2[[#This Row],[Item_Price]]</f>
        <v>454</v>
      </c>
    </row>
    <row r="137" spans="1:23" x14ac:dyDescent="0.25">
      <c r="A137" t="s">
        <v>231</v>
      </c>
      <c r="B137" s="1">
        <v>45667</v>
      </c>
      <c r="C137" t="s">
        <v>23</v>
      </c>
      <c r="D137">
        <v>1</v>
      </c>
      <c r="E137">
        <v>10</v>
      </c>
      <c r="F137" t="s">
        <v>114</v>
      </c>
      <c r="G137" t="s">
        <v>80</v>
      </c>
      <c r="H137" t="s">
        <v>52</v>
      </c>
      <c r="I137" t="s">
        <v>85</v>
      </c>
      <c r="J137" t="s">
        <v>66</v>
      </c>
      <c r="K137" t="s">
        <v>38</v>
      </c>
      <c r="L137">
        <v>3</v>
      </c>
      <c r="M137">
        <v>142</v>
      </c>
      <c r="N137">
        <v>21.3</v>
      </c>
      <c r="O137">
        <v>60</v>
      </c>
      <c r="P137">
        <v>426</v>
      </c>
      <c r="Q137">
        <v>464.7</v>
      </c>
      <c r="R137" t="s">
        <v>75</v>
      </c>
      <c r="S137" t="s">
        <v>31</v>
      </c>
      <c r="T137" t="s">
        <v>32</v>
      </c>
      <c r="U137">
        <v>62</v>
      </c>
      <c r="V137">
        <v>4</v>
      </c>
      <c r="W137">
        <f>Table2[[#This Row],[Quantity]]*Table2[[#This Row],[Item_Price]]</f>
        <v>426</v>
      </c>
    </row>
    <row r="138" spans="1:23" x14ac:dyDescent="0.25">
      <c r="A138" t="s">
        <v>232</v>
      </c>
      <c r="B138" s="1">
        <v>45667</v>
      </c>
      <c r="C138" t="s">
        <v>23</v>
      </c>
      <c r="D138">
        <v>1</v>
      </c>
      <c r="E138">
        <v>10</v>
      </c>
      <c r="F138" t="s">
        <v>114</v>
      </c>
      <c r="G138" t="s">
        <v>90</v>
      </c>
      <c r="H138" t="s">
        <v>108</v>
      </c>
      <c r="I138" t="s">
        <v>43</v>
      </c>
      <c r="J138" t="s">
        <v>119</v>
      </c>
      <c r="K138" t="s">
        <v>38</v>
      </c>
      <c r="L138">
        <v>1</v>
      </c>
      <c r="M138">
        <v>649</v>
      </c>
      <c r="N138">
        <v>129.80000000000001</v>
      </c>
      <c r="O138">
        <v>0</v>
      </c>
      <c r="P138">
        <v>649</v>
      </c>
      <c r="Q138">
        <v>519.20000000000005</v>
      </c>
      <c r="R138" t="s">
        <v>112</v>
      </c>
      <c r="S138" t="s">
        <v>31</v>
      </c>
      <c r="T138" t="s">
        <v>32</v>
      </c>
      <c r="U138">
        <v>63</v>
      </c>
      <c r="V138">
        <v>3.8</v>
      </c>
      <c r="W138">
        <f>Table2[[#This Row],[Quantity]]*Table2[[#This Row],[Item_Price]]</f>
        <v>649</v>
      </c>
    </row>
    <row r="139" spans="1:23" x14ac:dyDescent="0.25">
      <c r="A139" t="s">
        <v>233</v>
      </c>
      <c r="B139" s="1">
        <v>45667</v>
      </c>
      <c r="C139" t="s">
        <v>23</v>
      </c>
      <c r="D139">
        <v>1</v>
      </c>
      <c r="E139">
        <v>10</v>
      </c>
      <c r="F139" t="s">
        <v>114</v>
      </c>
      <c r="G139" t="s">
        <v>115</v>
      </c>
      <c r="H139" t="s">
        <v>56</v>
      </c>
      <c r="I139" t="s">
        <v>49</v>
      </c>
      <c r="J139" t="s">
        <v>123</v>
      </c>
      <c r="K139" t="s">
        <v>45</v>
      </c>
      <c r="L139">
        <v>1</v>
      </c>
      <c r="M139">
        <v>689</v>
      </c>
      <c r="N139">
        <v>68.900000000000006</v>
      </c>
      <c r="O139">
        <v>0</v>
      </c>
      <c r="P139">
        <v>689</v>
      </c>
      <c r="Q139">
        <v>620.1</v>
      </c>
      <c r="R139" t="s">
        <v>75</v>
      </c>
      <c r="S139" t="s">
        <v>46</v>
      </c>
      <c r="T139" t="s">
        <v>40</v>
      </c>
      <c r="U139">
        <v>27</v>
      </c>
      <c r="W139">
        <f>Table2[[#This Row],[Quantity]]*Table2[[#This Row],[Item_Price]]</f>
        <v>689</v>
      </c>
    </row>
    <row r="140" spans="1:23" x14ac:dyDescent="0.25">
      <c r="A140" t="s">
        <v>234</v>
      </c>
      <c r="B140" s="1">
        <v>45667</v>
      </c>
      <c r="C140" t="s">
        <v>23</v>
      </c>
      <c r="D140">
        <v>1</v>
      </c>
      <c r="E140">
        <v>10</v>
      </c>
      <c r="F140" t="s">
        <v>114</v>
      </c>
      <c r="G140" t="s">
        <v>34</v>
      </c>
      <c r="H140" t="s">
        <v>26</v>
      </c>
      <c r="I140" t="s">
        <v>85</v>
      </c>
      <c r="J140" t="s">
        <v>53</v>
      </c>
      <c r="K140" t="s">
        <v>38</v>
      </c>
      <c r="L140">
        <v>2</v>
      </c>
      <c r="M140">
        <v>877</v>
      </c>
      <c r="N140">
        <v>87.7</v>
      </c>
      <c r="O140">
        <v>30</v>
      </c>
      <c r="P140">
        <v>1754</v>
      </c>
      <c r="Q140">
        <v>1696.3</v>
      </c>
      <c r="R140" t="s">
        <v>39</v>
      </c>
      <c r="S140" t="s">
        <v>31</v>
      </c>
      <c r="T140" t="s">
        <v>40</v>
      </c>
      <c r="U140">
        <v>18</v>
      </c>
      <c r="V140">
        <v>3.9</v>
      </c>
      <c r="W140">
        <f>Table2[[#This Row],[Quantity]]*Table2[[#This Row],[Item_Price]]</f>
        <v>1754</v>
      </c>
    </row>
    <row r="141" spans="1:23" x14ac:dyDescent="0.25">
      <c r="A141" t="s">
        <v>235</v>
      </c>
      <c r="B141" s="1">
        <v>45668</v>
      </c>
      <c r="C141" t="s">
        <v>23</v>
      </c>
      <c r="D141">
        <v>1</v>
      </c>
      <c r="E141">
        <v>11</v>
      </c>
      <c r="F141" t="s">
        <v>134</v>
      </c>
      <c r="G141" t="s">
        <v>25</v>
      </c>
      <c r="H141" t="s">
        <v>108</v>
      </c>
      <c r="I141" t="s">
        <v>69</v>
      </c>
      <c r="J141" t="s">
        <v>123</v>
      </c>
      <c r="K141" t="s">
        <v>38</v>
      </c>
      <c r="L141">
        <v>1</v>
      </c>
      <c r="M141">
        <v>596</v>
      </c>
      <c r="N141">
        <v>89.4</v>
      </c>
      <c r="O141">
        <v>0</v>
      </c>
      <c r="P141">
        <v>596</v>
      </c>
      <c r="Q141">
        <v>506.6</v>
      </c>
      <c r="R141" t="s">
        <v>75</v>
      </c>
      <c r="S141" t="s">
        <v>110</v>
      </c>
      <c r="T141" t="s">
        <v>40</v>
      </c>
      <c r="U141">
        <v>32</v>
      </c>
      <c r="W141">
        <f>Table2[[#This Row],[Quantity]]*Table2[[#This Row],[Item_Price]]</f>
        <v>596</v>
      </c>
    </row>
    <row r="142" spans="1:23" x14ac:dyDescent="0.25">
      <c r="A142" t="s">
        <v>236</v>
      </c>
      <c r="B142" s="1">
        <v>45668</v>
      </c>
      <c r="C142" t="s">
        <v>23</v>
      </c>
      <c r="D142">
        <v>1</v>
      </c>
      <c r="E142">
        <v>11</v>
      </c>
      <c r="F142" t="s">
        <v>134</v>
      </c>
      <c r="G142" t="s">
        <v>34</v>
      </c>
      <c r="H142" t="s">
        <v>139</v>
      </c>
      <c r="I142" t="s">
        <v>103</v>
      </c>
      <c r="J142" t="s">
        <v>78</v>
      </c>
      <c r="K142" t="s">
        <v>29</v>
      </c>
      <c r="L142">
        <v>3</v>
      </c>
      <c r="M142">
        <v>593</v>
      </c>
      <c r="N142">
        <v>59.3</v>
      </c>
      <c r="O142">
        <v>50</v>
      </c>
      <c r="P142">
        <v>1779</v>
      </c>
      <c r="Q142">
        <v>1769.7</v>
      </c>
      <c r="R142" t="s">
        <v>39</v>
      </c>
      <c r="S142" t="s">
        <v>91</v>
      </c>
      <c r="T142" t="s">
        <v>32</v>
      </c>
      <c r="U142">
        <v>70</v>
      </c>
      <c r="W142">
        <f>Table2[[#This Row],[Quantity]]*Table2[[#This Row],[Item_Price]]</f>
        <v>1779</v>
      </c>
    </row>
    <row r="143" spans="1:23" x14ac:dyDescent="0.25">
      <c r="A143" t="s">
        <v>237</v>
      </c>
      <c r="B143" s="1">
        <v>45668</v>
      </c>
      <c r="C143" t="s">
        <v>23</v>
      </c>
      <c r="D143">
        <v>1</v>
      </c>
      <c r="E143">
        <v>11</v>
      </c>
      <c r="F143" t="s">
        <v>134</v>
      </c>
      <c r="G143" t="s">
        <v>64</v>
      </c>
      <c r="H143" t="s">
        <v>35</v>
      </c>
      <c r="I143" t="s">
        <v>61</v>
      </c>
      <c r="J143" t="s">
        <v>119</v>
      </c>
      <c r="K143" t="s">
        <v>38</v>
      </c>
      <c r="L143">
        <v>3</v>
      </c>
      <c r="M143">
        <v>204</v>
      </c>
      <c r="N143">
        <v>20.399999999999999</v>
      </c>
      <c r="O143">
        <v>40</v>
      </c>
      <c r="P143">
        <v>612</v>
      </c>
      <c r="Q143">
        <v>631.6</v>
      </c>
      <c r="R143" t="s">
        <v>39</v>
      </c>
      <c r="S143" t="s">
        <v>31</v>
      </c>
      <c r="T143" t="s">
        <v>40</v>
      </c>
      <c r="U143">
        <v>62</v>
      </c>
      <c r="V143">
        <v>5</v>
      </c>
      <c r="W143">
        <f>Table2[[#This Row],[Quantity]]*Table2[[#This Row],[Item_Price]]</f>
        <v>612</v>
      </c>
    </row>
    <row r="144" spans="1:23" x14ac:dyDescent="0.25">
      <c r="A144" t="s">
        <v>238</v>
      </c>
      <c r="B144" s="1">
        <v>45668</v>
      </c>
      <c r="C144" t="s">
        <v>23</v>
      </c>
      <c r="D144">
        <v>1</v>
      </c>
      <c r="E144">
        <v>11</v>
      </c>
      <c r="F144" t="s">
        <v>134</v>
      </c>
      <c r="G144" t="s">
        <v>55</v>
      </c>
      <c r="H144" t="s">
        <v>60</v>
      </c>
      <c r="I144" t="s">
        <v>57</v>
      </c>
      <c r="J144" t="s">
        <v>123</v>
      </c>
      <c r="K144" t="s">
        <v>29</v>
      </c>
      <c r="L144">
        <v>1</v>
      </c>
      <c r="M144">
        <v>556</v>
      </c>
      <c r="N144">
        <v>111.2</v>
      </c>
      <c r="O144">
        <v>20</v>
      </c>
      <c r="P144">
        <v>556</v>
      </c>
      <c r="Q144">
        <v>464.8</v>
      </c>
      <c r="R144" t="s">
        <v>39</v>
      </c>
      <c r="S144" t="s">
        <v>31</v>
      </c>
      <c r="T144" t="s">
        <v>40</v>
      </c>
      <c r="U144">
        <v>66</v>
      </c>
      <c r="V144">
        <v>4.4000000000000004</v>
      </c>
      <c r="W144">
        <f>Table2[[#This Row],[Quantity]]*Table2[[#This Row],[Item_Price]]</f>
        <v>556</v>
      </c>
    </row>
    <row r="145" spans="1:23" x14ac:dyDescent="0.25">
      <c r="A145" t="s">
        <v>239</v>
      </c>
      <c r="B145" s="1">
        <v>45668</v>
      </c>
      <c r="C145" t="s">
        <v>23</v>
      </c>
      <c r="D145">
        <v>1</v>
      </c>
      <c r="E145">
        <v>11</v>
      </c>
      <c r="F145" t="s">
        <v>134</v>
      </c>
      <c r="G145" t="s">
        <v>90</v>
      </c>
      <c r="H145" t="s">
        <v>42</v>
      </c>
      <c r="I145" t="s">
        <v>61</v>
      </c>
      <c r="J145" t="s">
        <v>78</v>
      </c>
      <c r="K145" t="s">
        <v>38</v>
      </c>
      <c r="L145">
        <v>2</v>
      </c>
      <c r="M145">
        <v>641</v>
      </c>
      <c r="N145">
        <v>0</v>
      </c>
      <c r="O145">
        <v>20</v>
      </c>
      <c r="P145">
        <v>1282</v>
      </c>
      <c r="Q145">
        <v>1302</v>
      </c>
      <c r="R145" t="s">
        <v>30</v>
      </c>
      <c r="S145" t="s">
        <v>31</v>
      </c>
      <c r="T145" t="s">
        <v>40</v>
      </c>
      <c r="U145">
        <v>49</v>
      </c>
      <c r="V145">
        <v>5</v>
      </c>
      <c r="W145">
        <f>Table2[[#This Row],[Quantity]]*Table2[[#This Row],[Item_Price]]</f>
        <v>1282</v>
      </c>
    </row>
    <row r="146" spans="1:23" x14ac:dyDescent="0.25">
      <c r="A146" t="s">
        <v>240</v>
      </c>
      <c r="B146" s="1">
        <v>45668</v>
      </c>
      <c r="C146" t="s">
        <v>23</v>
      </c>
      <c r="D146">
        <v>1</v>
      </c>
      <c r="E146">
        <v>11</v>
      </c>
      <c r="F146" t="s">
        <v>134</v>
      </c>
      <c r="G146" t="s">
        <v>73</v>
      </c>
      <c r="H146" t="s">
        <v>68</v>
      </c>
      <c r="I146" t="s">
        <v>85</v>
      </c>
      <c r="J146" t="s">
        <v>62</v>
      </c>
      <c r="K146" t="s">
        <v>38</v>
      </c>
      <c r="L146">
        <v>3</v>
      </c>
      <c r="M146">
        <v>516</v>
      </c>
      <c r="N146">
        <v>77.400000000000006</v>
      </c>
      <c r="O146">
        <v>50</v>
      </c>
      <c r="P146">
        <v>1548</v>
      </c>
      <c r="Q146">
        <v>1520.6</v>
      </c>
      <c r="R146" t="s">
        <v>39</v>
      </c>
      <c r="S146" t="s">
        <v>31</v>
      </c>
      <c r="T146" t="s">
        <v>32</v>
      </c>
      <c r="U146">
        <v>45</v>
      </c>
      <c r="V146">
        <v>4</v>
      </c>
      <c r="W146">
        <f>Table2[[#This Row],[Quantity]]*Table2[[#This Row],[Item_Price]]</f>
        <v>1548</v>
      </c>
    </row>
    <row r="147" spans="1:23" x14ac:dyDescent="0.25">
      <c r="A147" t="s">
        <v>241</v>
      </c>
      <c r="B147" s="1">
        <v>45668</v>
      </c>
      <c r="C147" t="s">
        <v>23</v>
      </c>
      <c r="D147">
        <v>1</v>
      </c>
      <c r="E147">
        <v>11</v>
      </c>
      <c r="F147" t="s">
        <v>134</v>
      </c>
      <c r="G147" t="s">
        <v>73</v>
      </c>
      <c r="H147" t="s">
        <v>56</v>
      </c>
      <c r="I147" t="s">
        <v>49</v>
      </c>
      <c r="J147" t="s">
        <v>123</v>
      </c>
      <c r="K147" t="s">
        <v>38</v>
      </c>
      <c r="L147">
        <v>1</v>
      </c>
      <c r="M147">
        <v>631</v>
      </c>
      <c r="N147">
        <v>31.55</v>
      </c>
      <c r="O147">
        <v>50</v>
      </c>
      <c r="P147">
        <v>631</v>
      </c>
      <c r="Q147">
        <v>649.45000000000005</v>
      </c>
      <c r="R147" t="s">
        <v>39</v>
      </c>
      <c r="S147" t="s">
        <v>46</v>
      </c>
      <c r="T147" t="s">
        <v>32</v>
      </c>
      <c r="U147">
        <v>59</v>
      </c>
      <c r="W147">
        <f>Table2[[#This Row],[Quantity]]*Table2[[#This Row],[Item_Price]]</f>
        <v>631</v>
      </c>
    </row>
    <row r="148" spans="1:23" x14ac:dyDescent="0.25">
      <c r="A148" t="s">
        <v>242</v>
      </c>
      <c r="B148" s="1">
        <v>45668</v>
      </c>
      <c r="C148" t="s">
        <v>23</v>
      </c>
      <c r="D148">
        <v>1</v>
      </c>
      <c r="E148">
        <v>11</v>
      </c>
      <c r="F148" t="s">
        <v>134</v>
      </c>
      <c r="G148" t="s">
        <v>55</v>
      </c>
      <c r="H148" t="s">
        <v>135</v>
      </c>
      <c r="I148" t="s">
        <v>43</v>
      </c>
      <c r="J148" t="s">
        <v>62</v>
      </c>
      <c r="K148" t="s">
        <v>45</v>
      </c>
      <c r="L148">
        <v>1</v>
      </c>
      <c r="M148">
        <v>642</v>
      </c>
      <c r="N148">
        <v>32.1</v>
      </c>
      <c r="O148">
        <v>0</v>
      </c>
      <c r="P148">
        <v>642</v>
      </c>
      <c r="Q148">
        <v>609.9</v>
      </c>
      <c r="R148" t="s">
        <v>112</v>
      </c>
      <c r="S148" t="s">
        <v>110</v>
      </c>
      <c r="T148" t="s">
        <v>32</v>
      </c>
      <c r="U148">
        <v>36</v>
      </c>
      <c r="W148">
        <f>Table2[[#This Row],[Quantity]]*Table2[[#This Row],[Item_Price]]</f>
        <v>642</v>
      </c>
    </row>
    <row r="149" spans="1:23" x14ac:dyDescent="0.25">
      <c r="A149" t="s">
        <v>243</v>
      </c>
      <c r="B149" s="1">
        <v>45668</v>
      </c>
      <c r="C149" t="s">
        <v>23</v>
      </c>
      <c r="D149">
        <v>1</v>
      </c>
      <c r="E149">
        <v>11</v>
      </c>
      <c r="F149" t="s">
        <v>134</v>
      </c>
      <c r="G149" t="s">
        <v>34</v>
      </c>
      <c r="H149" t="s">
        <v>135</v>
      </c>
      <c r="I149" t="s">
        <v>43</v>
      </c>
      <c r="J149" t="s">
        <v>74</v>
      </c>
      <c r="K149" t="s">
        <v>38</v>
      </c>
      <c r="L149">
        <v>1</v>
      </c>
      <c r="M149">
        <v>227</v>
      </c>
      <c r="N149">
        <v>34.049999999999997</v>
      </c>
      <c r="O149">
        <v>0</v>
      </c>
      <c r="P149">
        <v>227</v>
      </c>
      <c r="Q149">
        <v>192.95</v>
      </c>
      <c r="R149" t="s">
        <v>39</v>
      </c>
      <c r="S149" t="s">
        <v>31</v>
      </c>
      <c r="T149" t="s">
        <v>40</v>
      </c>
      <c r="U149">
        <v>25</v>
      </c>
      <c r="V149">
        <v>4</v>
      </c>
      <c r="W149">
        <f>Table2[[#This Row],[Quantity]]*Table2[[#This Row],[Item_Price]]</f>
        <v>227</v>
      </c>
    </row>
    <row r="150" spans="1:23" x14ac:dyDescent="0.25">
      <c r="A150" t="s">
        <v>244</v>
      </c>
      <c r="B150" s="1">
        <v>45668</v>
      </c>
      <c r="C150" t="s">
        <v>23</v>
      </c>
      <c r="D150">
        <v>1</v>
      </c>
      <c r="E150">
        <v>11</v>
      </c>
      <c r="F150" t="s">
        <v>134</v>
      </c>
      <c r="G150" t="s">
        <v>80</v>
      </c>
      <c r="H150" t="s">
        <v>65</v>
      </c>
      <c r="I150" t="s">
        <v>61</v>
      </c>
      <c r="J150" t="s">
        <v>119</v>
      </c>
      <c r="K150" t="s">
        <v>29</v>
      </c>
      <c r="L150">
        <v>2</v>
      </c>
      <c r="M150">
        <v>292</v>
      </c>
      <c r="N150">
        <v>29.2</v>
      </c>
      <c r="O150">
        <v>60</v>
      </c>
      <c r="P150">
        <v>584</v>
      </c>
      <c r="Q150">
        <v>614.79999999999995</v>
      </c>
      <c r="R150" t="s">
        <v>39</v>
      </c>
      <c r="S150" t="s">
        <v>31</v>
      </c>
      <c r="T150" t="s">
        <v>32</v>
      </c>
      <c r="U150">
        <v>41</v>
      </c>
      <c r="V150">
        <v>4</v>
      </c>
      <c r="W150">
        <f>Table2[[#This Row],[Quantity]]*Table2[[#This Row],[Item_Price]]</f>
        <v>584</v>
      </c>
    </row>
    <row r="151" spans="1:23" x14ac:dyDescent="0.25">
      <c r="A151" t="s">
        <v>245</v>
      </c>
      <c r="B151" s="1">
        <v>45668</v>
      </c>
      <c r="C151" t="s">
        <v>23</v>
      </c>
      <c r="D151">
        <v>1</v>
      </c>
      <c r="E151">
        <v>11</v>
      </c>
      <c r="F151" t="s">
        <v>134</v>
      </c>
      <c r="G151" t="s">
        <v>80</v>
      </c>
      <c r="H151" t="s">
        <v>105</v>
      </c>
      <c r="I151" t="s">
        <v>69</v>
      </c>
      <c r="J151" t="s">
        <v>70</v>
      </c>
      <c r="K151" t="s">
        <v>45</v>
      </c>
      <c r="L151">
        <v>2</v>
      </c>
      <c r="M151">
        <v>326</v>
      </c>
      <c r="N151">
        <v>32.6</v>
      </c>
      <c r="O151">
        <v>0</v>
      </c>
      <c r="P151">
        <v>652</v>
      </c>
      <c r="Q151">
        <v>619.4</v>
      </c>
      <c r="R151" t="s">
        <v>75</v>
      </c>
      <c r="S151" t="s">
        <v>31</v>
      </c>
      <c r="T151" t="s">
        <v>40</v>
      </c>
      <c r="U151">
        <v>56</v>
      </c>
      <c r="V151">
        <v>3.6</v>
      </c>
      <c r="W151">
        <f>Table2[[#This Row],[Quantity]]*Table2[[#This Row],[Item_Price]]</f>
        <v>652</v>
      </c>
    </row>
    <row r="152" spans="1:23" x14ac:dyDescent="0.25">
      <c r="A152" t="s">
        <v>246</v>
      </c>
      <c r="B152" s="1">
        <v>45669</v>
      </c>
      <c r="C152" t="s">
        <v>23</v>
      </c>
      <c r="D152">
        <v>1</v>
      </c>
      <c r="E152">
        <v>12</v>
      </c>
      <c r="F152" t="s">
        <v>149</v>
      </c>
      <c r="G152" t="s">
        <v>25</v>
      </c>
      <c r="H152" t="s">
        <v>135</v>
      </c>
      <c r="I152" t="s">
        <v>97</v>
      </c>
      <c r="J152" t="s">
        <v>66</v>
      </c>
      <c r="K152" t="s">
        <v>38</v>
      </c>
      <c r="L152">
        <v>1</v>
      </c>
      <c r="M152">
        <v>233</v>
      </c>
      <c r="N152">
        <v>11.65</v>
      </c>
      <c r="O152">
        <v>40</v>
      </c>
      <c r="P152">
        <v>233</v>
      </c>
      <c r="Q152">
        <v>261.35000000000002</v>
      </c>
      <c r="R152" t="s">
        <v>39</v>
      </c>
      <c r="S152" t="s">
        <v>31</v>
      </c>
      <c r="T152" t="s">
        <v>40</v>
      </c>
      <c r="U152">
        <v>30</v>
      </c>
      <c r="V152">
        <v>4</v>
      </c>
      <c r="W152">
        <f>Table2[[#This Row],[Quantity]]*Table2[[#This Row],[Item_Price]]</f>
        <v>233</v>
      </c>
    </row>
    <row r="153" spans="1:23" x14ac:dyDescent="0.25">
      <c r="A153" t="s">
        <v>247</v>
      </c>
      <c r="B153" s="1">
        <v>45669</v>
      </c>
      <c r="C153" t="s">
        <v>23</v>
      </c>
      <c r="D153">
        <v>1</v>
      </c>
      <c r="E153">
        <v>12</v>
      </c>
      <c r="F153" t="s">
        <v>149</v>
      </c>
      <c r="G153" t="s">
        <v>25</v>
      </c>
      <c r="H153" t="s">
        <v>26</v>
      </c>
      <c r="I153" t="s">
        <v>97</v>
      </c>
      <c r="J153" t="s">
        <v>94</v>
      </c>
      <c r="K153" t="s">
        <v>38</v>
      </c>
      <c r="L153">
        <v>1</v>
      </c>
      <c r="M153">
        <v>833</v>
      </c>
      <c r="N153">
        <v>0</v>
      </c>
      <c r="O153">
        <v>20</v>
      </c>
      <c r="P153">
        <v>833</v>
      </c>
      <c r="Q153">
        <v>853</v>
      </c>
      <c r="R153" t="s">
        <v>39</v>
      </c>
      <c r="S153" t="s">
        <v>31</v>
      </c>
      <c r="T153" t="s">
        <v>40</v>
      </c>
      <c r="U153">
        <v>45</v>
      </c>
      <c r="V153">
        <v>3.7</v>
      </c>
      <c r="W153">
        <f>Table2[[#This Row],[Quantity]]*Table2[[#This Row],[Item_Price]]</f>
        <v>833</v>
      </c>
    </row>
    <row r="154" spans="1:23" x14ac:dyDescent="0.25">
      <c r="A154" t="s">
        <v>248</v>
      </c>
      <c r="B154" s="1">
        <v>45669</v>
      </c>
      <c r="C154" t="s">
        <v>23</v>
      </c>
      <c r="D154">
        <v>1</v>
      </c>
      <c r="E154">
        <v>12</v>
      </c>
      <c r="F154" t="s">
        <v>149</v>
      </c>
      <c r="G154" t="s">
        <v>84</v>
      </c>
      <c r="H154" t="s">
        <v>60</v>
      </c>
      <c r="I154" t="s">
        <v>49</v>
      </c>
      <c r="J154" t="s">
        <v>94</v>
      </c>
      <c r="K154" t="s">
        <v>38</v>
      </c>
      <c r="L154">
        <v>1</v>
      </c>
      <c r="M154">
        <v>865</v>
      </c>
      <c r="N154">
        <v>43.25</v>
      </c>
      <c r="O154">
        <v>50</v>
      </c>
      <c r="P154">
        <v>865</v>
      </c>
      <c r="Q154">
        <v>871.75</v>
      </c>
      <c r="R154" t="s">
        <v>39</v>
      </c>
      <c r="S154" t="s">
        <v>31</v>
      </c>
      <c r="T154" t="s">
        <v>40</v>
      </c>
      <c r="U154">
        <v>39</v>
      </c>
      <c r="V154">
        <v>3.9</v>
      </c>
      <c r="W154">
        <f>Table2[[#This Row],[Quantity]]*Table2[[#This Row],[Item_Price]]</f>
        <v>865</v>
      </c>
    </row>
    <row r="155" spans="1:23" x14ac:dyDescent="0.25">
      <c r="A155" t="s">
        <v>249</v>
      </c>
      <c r="B155" s="1">
        <v>45669</v>
      </c>
      <c r="C155" t="s">
        <v>23</v>
      </c>
      <c r="D155">
        <v>1</v>
      </c>
      <c r="E155">
        <v>12</v>
      </c>
      <c r="F155" t="s">
        <v>149</v>
      </c>
      <c r="G155" t="s">
        <v>34</v>
      </c>
      <c r="H155" t="s">
        <v>135</v>
      </c>
      <c r="I155" t="s">
        <v>43</v>
      </c>
      <c r="J155" t="s">
        <v>44</v>
      </c>
      <c r="K155" t="s">
        <v>29</v>
      </c>
      <c r="L155">
        <v>2</v>
      </c>
      <c r="M155">
        <v>671</v>
      </c>
      <c r="N155">
        <v>100.65</v>
      </c>
      <c r="O155">
        <v>30</v>
      </c>
      <c r="P155">
        <v>1342</v>
      </c>
      <c r="Q155">
        <v>1271.3499999999999</v>
      </c>
      <c r="R155" t="s">
        <v>30</v>
      </c>
      <c r="S155" t="s">
        <v>31</v>
      </c>
      <c r="T155" t="s">
        <v>40</v>
      </c>
      <c r="U155">
        <v>63</v>
      </c>
      <c r="V155">
        <v>4.0999999999999996</v>
      </c>
      <c r="W155">
        <f>Table2[[#This Row],[Quantity]]*Table2[[#This Row],[Item_Price]]</f>
        <v>1342</v>
      </c>
    </row>
    <row r="156" spans="1:23" x14ac:dyDescent="0.25">
      <c r="A156" t="s">
        <v>250</v>
      </c>
      <c r="B156" s="1">
        <v>45669</v>
      </c>
      <c r="C156" t="s">
        <v>23</v>
      </c>
      <c r="D156">
        <v>1</v>
      </c>
      <c r="E156">
        <v>12</v>
      </c>
      <c r="F156" t="s">
        <v>149</v>
      </c>
      <c r="G156" t="s">
        <v>115</v>
      </c>
      <c r="H156" t="s">
        <v>48</v>
      </c>
      <c r="I156" t="s">
        <v>85</v>
      </c>
      <c r="J156" t="s">
        <v>94</v>
      </c>
      <c r="K156" t="s">
        <v>45</v>
      </c>
      <c r="L156">
        <v>1</v>
      </c>
      <c r="M156">
        <v>160</v>
      </c>
      <c r="N156">
        <v>16</v>
      </c>
      <c r="O156">
        <v>30</v>
      </c>
      <c r="P156">
        <v>160</v>
      </c>
      <c r="Q156">
        <v>174</v>
      </c>
      <c r="R156" t="s">
        <v>98</v>
      </c>
      <c r="S156" t="s">
        <v>31</v>
      </c>
      <c r="T156" t="s">
        <v>40</v>
      </c>
      <c r="U156">
        <v>51</v>
      </c>
      <c r="V156">
        <v>4.5</v>
      </c>
      <c r="W156">
        <f>Table2[[#This Row],[Quantity]]*Table2[[#This Row],[Item_Price]]</f>
        <v>160</v>
      </c>
    </row>
    <row r="157" spans="1:23" x14ac:dyDescent="0.25">
      <c r="A157" t="s">
        <v>251</v>
      </c>
      <c r="B157" s="1">
        <v>45669</v>
      </c>
      <c r="C157" t="s">
        <v>23</v>
      </c>
      <c r="D157">
        <v>1</v>
      </c>
      <c r="E157">
        <v>12</v>
      </c>
      <c r="F157" t="s">
        <v>149</v>
      </c>
      <c r="G157" t="s">
        <v>96</v>
      </c>
      <c r="H157" t="s">
        <v>139</v>
      </c>
      <c r="I157" t="s">
        <v>69</v>
      </c>
      <c r="J157" t="s">
        <v>101</v>
      </c>
      <c r="K157" t="s">
        <v>38</v>
      </c>
      <c r="L157">
        <v>1</v>
      </c>
      <c r="M157">
        <v>760</v>
      </c>
      <c r="N157">
        <v>38</v>
      </c>
      <c r="O157">
        <v>0</v>
      </c>
      <c r="P157">
        <v>760</v>
      </c>
      <c r="Q157">
        <v>722</v>
      </c>
      <c r="R157" t="s">
        <v>39</v>
      </c>
      <c r="S157" t="s">
        <v>31</v>
      </c>
      <c r="T157" t="s">
        <v>40</v>
      </c>
      <c r="U157">
        <v>26</v>
      </c>
      <c r="V157">
        <v>3.6</v>
      </c>
      <c r="W157">
        <f>Table2[[#This Row],[Quantity]]*Table2[[#This Row],[Item_Price]]</f>
        <v>760</v>
      </c>
    </row>
    <row r="158" spans="1:23" x14ac:dyDescent="0.25">
      <c r="A158" t="s">
        <v>252</v>
      </c>
      <c r="B158" s="1">
        <v>45669</v>
      </c>
      <c r="C158" t="s">
        <v>23</v>
      </c>
      <c r="D158">
        <v>1</v>
      </c>
      <c r="E158">
        <v>12</v>
      </c>
      <c r="F158" t="s">
        <v>149</v>
      </c>
      <c r="G158" t="s">
        <v>84</v>
      </c>
      <c r="H158" t="s">
        <v>48</v>
      </c>
      <c r="I158" t="s">
        <v>27</v>
      </c>
      <c r="J158" t="s">
        <v>82</v>
      </c>
      <c r="K158" t="s">
        <v>38</v>
      </c>
      <c r="L158">
        <v>2</v>
      </c>
      <c r="M158">
        <v>860</v>
      </c>
      <c r="N158">
        <v>86</v>
      </c>
      <c r="O158">
        <v>0</v>
      </c>
      <c r="P158">
        <v>1720</v>
      </c>
      <c r="Q158">
        <v>1634</v>
      </c>
      <c r="R158" t="s">
        <v>75</v>
      </c>
      <c r="S158" t="s">
        <v>31</v>
      </c>
      <c r="T158" t="s">
        <v>40</v>
      </c>
      <c r="U158">
        <v>25</v>
      </c>
      <c r="V158">
        <v>4.7</v>
      </c>
      <c r="W158">
        <f>Table2[[#This Row],[Quantity]]*Table2[[#This Row],[Item_Price]]</f>
        <v>1720</v>
      </c>
    </row>
    <row r="159" spans="1:23" x14ac:dyDescent="0.25">
      <c r="A159" t="s">
        <v>253</v>
      </c>
      <c r="B159" s="1">
        <v>45669</v>
      </c>
      <c r="C159" t="s">
        <v>23</v>
      </c>
      <c r="D159">
        <v>1</v>
      </c>
      <c r="E159">
        <v>12</v>
      </c>
      <c r="F159" t="s">
        <v>149</v>
      </c>
      <c r="G159" t="s">
        <v>73</v>
      </c>
      <c r="H159" t="s">
        <v>52</v>
      </c>
      <c r="I159" t="s">
        <v>61</v>
      </c>
      <c r="J159" t="s">
        <v>70</v>
      </c>
      <c r="K159" t="s">
        <v>38</v>
      </c>
      <c r="L159">
        <v>1</v>
      </c>
      <c r="M159">
        <v>245</v>
      </c>
      <c r="N159">
        <v>12.25</v>
      </c>
      <c r="O159">
        <v>60</v>
      </c>
      <c r="P159">
        <v>245</v>
      </c>
      <c r="Q159">
        <v>292.75</v>
      </c>
      <c r="R159" t="s">
        <v>30</v>
      </c>
      <c r="S159" t="s">
        <v>31</v>
      </c>
      <c r="T159" t="s">
        <v>40</v>
      </c>
      <c r="U159">
        <v>50</v>
      </c>
      <c r="V159">
        <v>3.9</v>
      </c>
      <c r="W159">
        <f>Table2[[#This Row],[Quantity]]*Table2[[#This Row],[Item_Price]]</f>
        <v>245</v>
      </c>
    </row>
    <row r="160" spans="1:23" x14ac:dyDescent="0.25">
      <c r="A160" t="s">
        <v>254</v>
      </c>
      <c r="B160" s="1">
        <v>45669</v>
      </c>
      <c r="C160" t="s">
        <v>23</v>
      </c>
      <c r="D160">
        <v>1</v>
      </c>
      <c r="E160">
        <v>12</v>
      </c>
      <c r="F160" t="s">
        <v>149</v>
      </c>
      <c r="G160" t="s">
        <v>80</v>
      </c>
      <c r="H160" t="s">
        <v>135</v>
      </c>
      <c r="I160" t="s">
        <v>103</v>
      </c>
      <c r="J160" t="s">
        <v>66</v>
      </c>
      <c r="K160" t="s">
        <v>45</v>
      </c>
      <c r="L160">
        <v>1</v>
      </c>
      <c r="M160">
        <v>525</v>
      </c>
      <c r="N160">
        <v>26.25</v>
      </c>
      <c r="O160">
        <v>50</v>
      </c>
      <c r="P160">
        <v>525</v>
      </c>
      <c r="Q160">
        <v>548.75</v>
      </c>
      <c r="R160" t="s">
        <v>39</v>
      </c>
      <c r="S160" t="s">
        <v>31</v>
      </c>
      <c r="T160" t="s">
        <v>32</v>
      </c>
      <c r="U160">
        <v>36</v>
      </c>
      <c r="V160">
        <v>3.8</v>
      </c>
      <c r="W160">
        <f>Table2[[#This Row],[Quantity]]*Table2[[#This Row],[Item_Price]]</f>
        <v>525</v>
      </c>
    </row>
    <row r="161" spans="1:23" x14ac:dyDescent="0.25">
      <c r="A161" t="s">
        <v>255</v>
      </c>
      <c r="B161" s="1">
        <v>45669</v>
      </c>
      <c r="C161" t="s">
        <v>23</v>
      </c>
      <c r="D161">
        <v>1</v>
      </c>
      <c r="E161">
        <v>12</v>
      </c>
      <c r="F161" t="s">
        <v>149</v>
      </c>
      <c r="G161" t="s">
        <v>96</v>
      </c>
      <c r="H161" t="s">
        <v>68</v>
      </c>
      <c r="I161" t="s">
        <v>103</v>
      </c>
      <c r="J161" t="s">
        <v>119</v>
      </c>
      <c r="K161" t="s">
        <v>38</v>
      </c>
      <c r="L161">
        <v>3</v>
      </c>
      <c r="M161">
        <v>627</v>
      </c>
      <c r="N161">
        <v>62.7</v>
      </c>
      <c r="O161">
        <v>30</v>
      </c>
      <c r="P161">
        <v>1881</v>
      </c>
      <c r="Q161">
        <v>1848.3</v>
      </c>
      <c r="R161" t="s">
        <v>39</v>
      </c>
      <c r="S161" t="s">
        <v>31</v>
      </c>
      <c r="T161" t="s">
        <v>40</v>
      </c>
      <c r="U161">
        <v>30</v>
      </c>
      <c r="V161">
        <v>4.2</v>
      </c>
      <c r="W161">
        <f>Table2[[#This Row],[Quantity]]*Table2[[#This Row],[Item_Price]]</f>
        <v>1881</v>
      </c>
    </row>
    <row r="162" spans="1:23" x14ac:dyDescent="0.25">
      <c r="A162" t="s">
        <v>256</v>
      </c>
      <c r="B162" s="1">
        <v>45669</v>
      </c>
      <c r="C162" t="s">
        <v>23</v>
      </c>
      <c r="D162">
        <v>1</v>
      </c>
      <c r="E162">
        <v>12</v>
      </c>
      <c r="F162" t="s">
        <v>149</v>
      </c>
      <c r="G162" t="s">
        <v>25</v>
      </c>
      <c r="H162" t="s">
        <v>135</v>
      </c>
      <c r="I162" t="s">
        <v>57</v>
      </c>
      <c r="J162" t="s">
        <v>62</v>
      </c>
      <c r="K162" t="s">
        <v>45</v>
      </c>
      <c r="L162">
        <v>2</v>
      </c>
      <c r="M162">
        <v>598</v>
      </c>
      <c r="N162">
        <v>89.7</v>
      </c>
      <c r="O162">
        <v>50</v>
      </c>
      <c r="P162">
        <v>1196</v>
      </c>
      <c r="Q162">
        <v>1156.3</v>
      </c>
      <c r="R162" t="s">
        <v>39</v>
      </c>
      <c r="S162" t="s">
        <v>31</v>
      </c>
      <c r="T162" t="s">
        <v>40</v>
      </c>
      <c r="U162">
        <v>44</v>
      </c>
      <c r="V162">
        <v>3.4</v>
      </c>
      <c r="W162">
        <f>Table2[[#This Row],[Quantity]]*Table2[[#This Row],[Item_Price]]</f>
        <v>1196</v>
      </c>
    </row>
    <row r="163" spans="1:23" x14ac:dyDescent="0.25">
      <c r="A163" t="s">
        <v>257</v>
      </c>
      <c r="B163" s="1">
        <v>45669</v>
      </c>
      <c r="C163" t="s">
        <v>23</v>
      </c>
      <c r="D163">
        <v>1</v>
      </c>
      <c r="E163">
        <v>12</v>
      </c>
      <c r="F163" t="s">
        <v>149</v>
      </c>
      <c r="G163" t="s">
        <v>25</v>
      </c>
      <c r="H163" t="s">
        <v>77</v>
      </c>
      <c r="I163" t="s">
        <v>103</v>
      </c>
      <c r="J163" t="s">
        <v>94</v>
      </c>
      <c r="K163" t="s">
        <v>38</v>
      </c>
      <c r="L163">
        <v>1</v>
      </c>
      <c r="M163">
        <v>208</v>
      </c>
      <c r="N163">
        <v>10.4</v>
      </c>
      <c r="O163">
        <v>50</v>
      </c>
      <c r="P163">
        <v>208</v>
      </c>
      <c r="Q163">
        <v>247.6</v>
      </c>
      <c r="R163" t="s">
        <v>75</v>
      </c>
      <c r="S163" t="s">
        <v>31</v>
      </c>
      <c r="T163" t="s">
        <v>32</v>
      </c>
      <c r="U163">
        <v>33</v>
      </c>
      <c r="V163">
        <v>4.9000000000000004</v>
      </c>
      <c r="W163">
        <f>Table2[[#This Row],[Quantity]]*Table2[[#This Row],[Item_Price]]</f>
        <v>208</v>
      </c>
    </row>
    <row r="164" spans="1:23" x14ac:dyDescent="0.25">
      <c r="A164" t="s">
        <v>258</v>
      </c>
      <c r="B164" s="1">
        <v>45669</v>
      </c>
      <c r="C164" t="s">
        <v>23</v>
      </c>
      <c r="D164">
        <v>1</v>
      </c>
      <c r="E164">
        <v>12</v>
      </c>
      <c r="F164" t="s">
        <v>149</v>
      </c>
      <c r="G164" t="s">
        <v>25</v>
      </c>
      <c r="H164" t="s">
        <v>35</v>
      </c>
      <c r="I164" t="s">
        <v>49</v>
      </c>
      <c r="J164" t="s">
        <v>172</v>
      </c>
      <c r="K164" t="s">
        <v>29</v>
      </c>
      <c r="L164">
        <v>3</v>
      </c>
      <c r="M164">
        <v>457</v>
      </c>
      <c r="N164">
        <v>68.55</v>
      </c>
      <c r="O164">
        <v>30</v>
      </c>
      <c r="P164">
        <v>1371</v>
      </c>
      <c r="Q164">
        <v>1332.45</v>
      </c>
      <c r="R164" t="s">
        <v>30</v>
      </c>
      <c r="S164" t="s">
        <v>31</v>
      </c>
      <c r="T164" t="s">
        <v>40</v>
      </c>
      <c r="U164">
        <v>58</v>
      </c>
      <c r="V164">
        <v>4</v>
      </c>
      <c r="W164">
        <f>Table2[[#This Row],[Quantity]]*Table2[[#This Row],[Item_Price]]</f>
        <v>1371</v>
      </c>
    </row>
    <row r="165" spans="1:23" x14ac:dyDescent="0.25">
      <c r="A165" t="s">
        <v>259</v>
      </c>
      <c r="B165" s="1">
        <v>45669</v>
      </c>
      <c r="C165" t="s">
        <v>23</v>
      </c>
      <c r="D165">
        <v>1</v>
      </c>
      <c r="E165">
        <v>12</v>
      </c>
      <c r="F165" t="s">
        <v>149</v>
      </c>
      <c r="G165" t="s">
        <v>64</v>
      </c>
      <c r="H165" t="s">
        <v>35</v>
      </c>
      <c r="I165" t="s">
        <v>27</v>
      </c>
      <c r="J165" t="s">
        <v>82</v>
      </c>
      <c r="K165" t="s">
        <v>45</v>
      </c>
      <c r="L165">
        <v>2</v>
      </c>
      <c r="M165">
        <v>542</v>
      </c>
      <c r="N165">
        <v>54.2</v>
      </c>
      <c r="O165">
        <v>0</v>
      </c>
      <c r="P165">
        <v>1084</v>
      </c>
      <c r="Q165">
        <v>1029.8</v>
      </c>
      <c r="R165" t="s">
        <v>30</v>
      </c>
      <c r="S165" t="s">
        <v>31</v>
      </c>
      <c r="T165" t="s">
        <v>32</v>
      </c>
      <c r="U165">
        <v>23</v>
      </c>
      <c r="V165">
        <v>4.5999999999999996</v>
      </c>
      <c r="W165">
        <f>Table2[[#This Row],[Quantity]]*Table2[[#This Row],[Item_Price]]</f>
        <v>1084</v>
      </c>
    </row>
    <row r="166" spans="1:23" x14ac:dyDescent="0.25">
      <c r="A166" t="s">
        <v>260</v>
      </c>
      <c r="B166" s="1">
        <v>45669</v>
      </c>
      <c r="C166" t="s">
        <v>23</v>
      </c>
      <c r="D166">
        <v>1</v>
      </c>
      <c r="E166">
        <v>12</v>
      </c>
      <c r="F166" t="s">
        <v>149</v>
      </c>
      <c r="G166" t="s">
        <v>80</v>
      </c>
      <c r="H166" t="s">
        <v>135</v>
      </c>
      <c r="I166" t="s">
        <v>27</v>
      </c>
      <c r="J166" t="s">
        <v>74</v>
      </c>
      <c r="K166" t="s">
        <v>38</v>
      </c>
      <c r="L166">
        <v>1</v>
      </c>
      <c r="M166">
        <v>802</v>
      </c>
      <c r="N166">
        <v>40.1</v>
      </c>
      <c r="O166">
        <v>30</v>
      </c>
      <c r="P166">
        <v>802</v>
      </c>
      <c r="Q166">
        <v>791.9</v>
      </c>
      <c r="R166" t="s">
        <v>39</v>
      </c>
      <c r="S166" t="s">
        <v>31</v>
      </c>
      <c r="T166" t="s">
        <v>40</v>
      </c>
      <c r="U166">
        <v>23</v>
      </c>
      <c r="V166">
        <v>3</v>
      </c>
      <c r="W166">
        <f>Table2[[#This Row],[Quantity]]*Table2[[#This Row],[Item_Price]]</f>
        <v>802</v>
      </c>
    </row>
    <row r="167" spans="1:23" x14ac:dyDescent="0.25">
      <c r="A167" t="s">
        <v>261</v>
      </c>
      <c r="B167" s="1">
        <v>45669</v>
      </c>
      <c r="C167" t="s">
        <v>23</v>
      </c>
      <c r="D167">
        <v>1</v>
      </c>
      <c r="E167">
        <v>12</v>
      </c>
      <c r="F167" t="s">
        <v>149</v>
      </c>
      <c r="G167" t="s">
        <v>80</v>
      </c>
      <c r="H167" t="s">
        <v>135</v>
      </c>
      <c r="I167" t="s">
        <v>27</v>
      </c>
      <c r="J167" t="s">
        <v>74</v>
      </c>
      <c r="K167" t="s">
        <v>29</v>
      </c>
      <c r="L167">
        <v>1</v>
      </c>
      <c r="M167">
        <v>253</v>
      </c>
      <c r="N167">
        <v>0</v>
      </c>
      <c r="O167">
        <v>70</v>
      </c>
      <c r="P167">
        <v>253</v>
      </c>
      <c r="Q167">
        <v>323</v>
      </c>
      <c r="R167" t="s">
        <v>39</v>
      </c>
      <c r="S167" t="s">
        <v>31</v>
      </c>
      <c r="T167" t="s">
        <v>40</v>
      </c>
      <c r="U167">
        <v>54</v>
      </c>
      <c r="V167">
        <v>3</v>
      </c>
      <c r="W167">
        <f>Table2[[#This Row],[Quantity]]*Table2[[#This Row],[Item_Price]]</f>
        <v>253</v>
      </c>
    </row>
    <row r="168" spans="1:23" x14ac:dyDescent="0.25">
      <c r="A168" t="s">
        <v>262</v>
      </c>
      <c r="B168" s="1">
        <v>45669</v>
      </c>
      <c r="C168" t="s">
        <v>23</v>
      </c>
      <c r="D168">
        <v>1</v>
      </c>
      <c r="E168">
        <v>12</v>
      </c>
      <c r="F168" t="s">
        <v>149</v>
      </c>
      <c r="G168" t="s">
        <v>73</v>
      </c>
      <c r="H168" t="s">
        <v>35</v>
      </c>
      <c r="I168" t="s">
        <v>103</v>
      </c>
      <c r="J168" t="s">
        <v>74</v>
      </c>
      <c r="K168" t="s">
        <v>38</v>
      </c>
      <c r="L168">
        <v>1</v>
      </c>
      <c r="M168">
        <v>176</v>
      </c>
      <c r="N168">
        <v>44</v>
      </c>
      <c r="O168">
        <v>40</v>
      </c>
      <c r="P168">
        <v>176</v>
      </c>
      <c r="Q168">
        <v>172</v>
      </c>
      <c r="R168" t="s">
        <v>39</v>
      </c>
      <c r="S168" t="s">
        <v>31</v>
      </c>
      <c r="T168" t="s">
        <v>40</v>
      </c>
      <c r="U168">
        <v>31</v>
      </c>
      <c r="V168">
        <v>3.8</v>
      </c>
      <c r="W168">
        <f>Table2[[#This Row],[Quantity]]*Table2[[#This Row],[Item_Price]]</f>
        <v>176</v>
      </c>
    </row>
    <row r="169" spans="1:23" x14ac:dyDescent="0.25">
      <c r="A169" t="s">
        <v>263</v>
      </c>
      <c r="B169" s="1">
        <v>45669</v>
      </c>
      <c r="C169" t="s">
        <v>23</v>
      </c>
      <c r="D169">
        <v>1</v>
      </c>
      <c r="E169">
        <v>12</v>
      </c>
      <c r="F169" t="s">
        <v>149</v>
      </c>
      <c r="G169" t="s">
        <v>34</v>
      </c>
      <c r="H169" t="s">
        <v>42</v>
      </c>
      <c r="I169" t="s">
        <v>27</v>
      </c>
      <c r="J169" t="s">
        <v>119</v>
      </c>
      <c r="K169" t="s">
        <v>38</v>
      </c>
      <c r="L169">
        <v>3</v>
      </c>
      <c r="M169">
        <v>737</v>
      </c>
      <c r="N169">
        <v>73.7</v>
      </c>
      <c r="O169">
        <v>60</v>
      </c>
      <c r="P169">
        <v>2211</v>
      </c>
      <c r="Q169">
        <v>2197.3000000000002</v>
      </c>
      <c r="R169" t="s">
        <v>30</v>
      </c>
      <c r="S169" t="s">
        <v>31</v>
      </c>
      <c r="T169" t="s">
        <v>32</v>
      </c>
      <c r="U169">
        <v>39</v>
      </c>
      <c r="V169">
        <v>4.3</v>
      </c>
      <c r="W169">
        <f>Table2[[#This Row],[Quantity]]*Table2[[#This Row],[Item_Price]]</f>
        <v>2211</v>
      </c>
    </row>
    <row r="170" spans="1:23" x14ac:dyDescent="0.25">
      <c r="A170" t="s">
        <v>264</v>
      </c>
      <c r="B170" s="1">
        <v>45669</v>
      </c>
      <c r="C170" t="s">
        <v>23</v>
      </c>
      <c r="D170">
        <v>1</v>
      </c>
      <c r="E170">
        <v>12</v>
      </c>
      <c r="F170" t="s">
        <v>149</v>
      </c>
      <c r="G170" t="s">
        <v>64</v>
      </c>
      <c r="H170" t="s">
        <v>105</v>
      </c>
      <c r="I170" t="s">
        <v>57</v>
      </c>
      <c r="J170" t="s">
        <v>28</v>
      </c>
      <c r="K170" t="s">
        <v>38</v>
      </c>
      <c r="L170">
        <v>1</v>
      </c>
      <c r="M170">
        <v>343</v>
      </c>
      <c r="N170">
        <v>34.299999999999997</v>
      </c>
      <c r="O170">
        <v>30</v>
      </c>
      <c r="P170">
        <v>343</v>
      </c>
      <c r="Q170">
        <v>338.7</v>
      </c>
      <c r="R170" t="s">
        <v>75</v>
      </c>
      <c r="S170" t="s">
        <v>31</v>
      </c>
      <c r="T170" t="s">
        <v>40</v>
      </c>
      <c r="U170">
        <v>63</v>
      </c>
      <c r="V170">
        <v>5</v>
      </c>
      <c r="W170">
        <f>Table2[[#This Row],[Quantity]]*Table2[[#This Row],[Item_Price]]</f>
        <v>343</v>
      </c>
    </row>
    <row r="171" spans="1:23" x14ac:dyDescent="0.25">
      <c r="A171" t="s">
        <v>265</v>
      </c>
      <c r="B171" s="1">
        <v>45669</v>
      </c>
      <c r="C171" t="s">
        <v>23</v>
      </c>
      <c r="D171">
        <v>1</v>
      </c>
      <c r="E171">
        <v>12</v>
      </c>
      <c r="F171" t="s">
        <v>149</v>
      </c>
      <c r="G171" t="s">
        <v>64</v>
      </c>
      <c r="H171" t="s">
        <v>135</v>
      </c>
      <c r="I171" t="s">
        <v>27</v>
      </c>
      <c r="J171" t="s">
        <v>78</v>
      </c>
      <c r="K171" t="s">
        <v>38</v>
      </c>
      <c r="L171">
        <v>1</v>
      </c>
      <c r="M171">
        <v>412</v>
      </c>
      <c r="N171">
        <v>61.8</v>
      </c>
      <c r="O171">
        <v>60</v>
      </c>
      <c r="P171">
        <v>412</v>
      </c>
      <c r="Q171">
        <v>410.2</v>
      </c>
      <c r="R171" t="s">
        <v>98</v>
      </c>
      <c r="S171" t="s">
        <v>31</v>
      </c>
      <c r="T171" t="s">
        <v>40</v>
      </c>
      <c r="U171">
        <v>28</v>
      </c>
      <c r="V171">
        <v>3.3</v>
      </c>
      <c r="W171">
        <f>Table2[[#This Row],[Quantity]]*Table2[[#This Row],[Item_Price]]</f>
        <v>412</v>
      </c>
    </row>
    <row r="172" spans="1:23" x14ac:dyDescent="0.25">
      <c r="A172" t="s">
        <v>266</v>
      </c>
      <c r="B172" s="1">
        <v>45669</v>
      </c>
      <c r="C172" t="s">
        <v>23</v>
      </c>
      <c r="D172">
        <v>1</v>
      </c>
      <c r="E172">
        <v>12</v>
      </c>
      <c r="F172" t="s">
        <v>149</v>
      </c>
      <c r="G172" t="s">
        <v>64</v>
      </c>
      <c r="H172" t="s">
        <v>77</v>
      </c>
      <c r="I172" t="s">
        <v>85</v>
      </c>
      <c r="J172" t="s">
        <v>62</v>
      </c>
      <c r="K172" t="s">
        <v>38</v>
      </c>
      <c r="L172">
        <v>1</v>
      </c>
      <c r="M172">
        <v>604</v>
      </c>
      <c r="N172">
        <v>151</v>
      </c>
      <c r="O172">
        <v>50</v>
      </c>
      <c r="P172">
        <v>604</v>
      </c>
      <c r="Q172">
        <v>503</v>
      </c>
      <c r="R172" t="s">
        <v>75</v>
      </c>
      <c r="S172" t="s">
        <v>91</v>
      </c>
      <c r="T172" t="s">
        <v>40</v>
      </c>
      <c r="U172">
        <v>56</v>
      </c>
      <c r="W172">
        <f>Table2[[#This Row],[Quantity]]*Table2[[#This Row],[Item_Price]]</f>
        <v>604</v>
      </c>
    </row>
    <row r="173" spans="1:23" x14ac:dyDescent="0.25">
      <c r="A173" t="s">
        <v>267</v>
      </c>
      <c r="B173" s="1">
        <v>45670</v>
      </c>
      <c r="C173" t="s">
        <v>23</v>
      </c>
      <c r="D173">
        <v>1</v>
      </c>
      <c r="E173">
        <v>13</v>
      </c>
      <c r="F173" t="s">
        <v>168</v>
      </c>
      <c r="G173" t="s">
        <v>34</v>
      </c>
      <c r="H173" t="s">
        <v>68</v>
      </c>
      <c r="I173" t="s">
        <v>27</v>
      </c>
      <c r="J173" t="s">
        <v>50</v>
      </c>
      <c r="K173" t="s">
        <v>38</v>
      </c>
      <c r="L173">
        <v>3</v>
      </c>
      <c r="M173">
        <v>529</v>
      </c>
      <c r="N173">
        <v>105.8</v>
      </c>
      <c r="O173">
        <v>30</v>
      </c>
      <c r="P173">
        <v>1587</v>
      </c>
      <c r="Q173">
        <v>1511.2</v>
      </c>
      <c r="R173" t="s">
        <v>39</v>
      </c>
      <c r="S173" t="s">
        <v>31</v>
      </c>
      <c r="T173" t="s">
        <v>32</v>
      </c>
      <c r="U173">
        <v>68</v>
      </c>
      <c r="V173">
        <v>5</v>
      </c>
      <c r="W173">
        <f>Table2[[#This Row],[Quantity]]*Table2[[#This Row],[Item_Price]]</f>
        <v>1587</v>
      </c>
    </row>
    <row r="174" spans="1:23" x14ac:dyDescent="0.25">
      <c r="A174" t="s">
        <v>268</v>
      </c>
      <c r="B174" s="1">
        <v>45670</v>
      </c>
      <c r="C174" t="s">
        <v>23</v>
      </c>
      <c r="D174">
        <v>1</v>
      </c>
      <c r="E174">
        <v>13</v>
      </c>
      <c r="F174" t="s">
        <v>168</v>
      </c>
      <c r="G174" t="s">
        <v>73</v>
      </c>
      <c r="H174" t="s">
        <v>77</v>
      </c>
      <c r="I174" t="s">
        <v>69</v>
      </c>
      <c r="J174" t="s">
        <v>74</v>
      </c>
      <c r="K174" t="s">
        <v>38</v>
      </c>
      <c r="L174">
        <v>1</v>
      </c>
      <c r="M174">
        <v>579</v>
      </c>
      <c r="N174">
        <v>115.8</v>
      </c>
      <c r="O174">
        <v>40</v>
      </c>
      <c r="P174">
        <v>579</v>
      </c>
      <c r="Q174">
        <v>503.2</v>
      </c>
      <c r="R174" t="s">
        <v>112</v>
      </c>
      <c r="S174" t="s">
        <v>31</v>
      </c>
      <c r="T174" t="s">
        <v>40</v>
      </c>
      <c r="U174">
        <v>61</v>
      </c>
      <c r="V174">
        <v>4.8</v>
      </c>
      <c r="W174">
        <f>Table2[[#This Row],[Quantity]]*Table2[[#This Row],[Item_Price]]</f>
        <v>579</v>
      </c>
    </row>
    <row r="175" spans="1:23" x14ac:dyDescent="0.25">
      <c r="A175" t="s">
        <v>269</v>
      </c>
      <c r="B175" s="1">
        <v>45670</v>
      </c>
      <c r="C175" t="s">
        <v>23</v>
      </c>
      <c r="D175">
        <v>1</v>
      </c>
      <c r="E175">
        <v>13</v>
      </c>
      <c r="F175" t="s">
        <v>168</v>
      </c>
      <c r="G175" t="s">
        <v>25</v>
      </c>
      <c r="H175" t="s">
        <v>135</v>
      </c>
      <c r="I175" t="s">
        <v>27</v>
      </c>
      <c r="J175" t="s">
        <v>123</v>
      </c>
      <c r="K175" t="s">
        <v>38</v>
      </c>
      <c r="L175">
        <v>2</v>
      </c>
      <c r="M175">
        <v>793</v>
      </c>
      <c r="N175">
        <v>158.6</v>
      </c>
      <c r="O175">
        <v>70</v>
      </c>
      <c r="P175">
        <v>1586</v>
      </c>
      <c r="Q175">
        <v>1497.4</v>
      </c>
      <c r="R175" t="s">
        <v>75</v>
      </c>
      <c r="S175" t="s">
        <v>31</v>
      </c>
      <c r="T175" t="s">
        <v>40</v>
      </c>
      <c r="U175">
        <v>70</v>
      </c>
      <c r="V175">
        <v>4.8</v>
      </c>
      <c r="W175">
        <f>Table2[[#This Row],[Quantity]]*Table2[[#This Row],[Item_Price]]</f>
        <v>1586</v>
      </c>
    </row>
    <row r="176" spans="1:23" x14ac:dyDescent="0.25">
      <c r="A176" t="s">
        <v>270</v>
      </c>
      <c r="B176" s="1">
        <v>45670</v>
      </c>
      <c r="C176" t="s">
        <v>23</v>
      </c>
      <c r="D176">
        <v>1</v>
      </c>
      <c r="E176">
        <v>13</v>
      </c>
      <c r="F176" t="s">
        <v>168</v>
      </c>
      <c r="G176" t="s">
        <v>55</v>
      </c>
      <c r="H176" t="s">
        <v>77</v>
      </c>
      <c r="I176" t="s">
        <v>36</v>
      </c>
      <c r="J176" t="s">
        <v>37</v>
      </c>
      <c r="K176" t="s">
        <v>38</v>
      </c>
      <c r="L176">
        <v>3</v>
      </c>
      <c r="M176">
        <v>483</v>
      </c>
      <c r="N176">
        <v>0</v>
      </c>
      <c r="O176">
        <v>50</v>
      </c>
      <c r="P176">
        <v>1449</v>
      </c>
      <c r="Q176">
        <v>1499</v>
      </c>
      <c r="R176" t="s">
        <v>75</v>
      </c>
      <c r="S176" t="s">
        <v>31</v>
      </c>
      <c r="T176" t="s">
        <v>40</v>
      </c>
      <c r="U176">
        <v>46</v>
      </c>
      <c r="V176">
        <v>4.5</v>
      </c>
      <c r="W176">
        <f>Table2[[#This Row],[Quantity]]*Table2[[#This Row],[Item_Price]]</f>
        <v>1449</v>
      </c>
    </row>
    <row r="177" spans="1:23" x14ac:dyDescent="0.25">
      <c r="A177" t="s">
        <v>271</v>
      </c>
      <c r="B177" s="1">
        <v>45670</v>
      </c>
      <c r="C177" t="s">
        <v>23</v>
      </c>
      <c r="D177">
        <v>1</v>
      </c>
      <c r="E177">
        <v>13</v>
      </c>
      <c r="F177" t="s">
        <v>168</v>
      </c>
      <c r="G177" t="s">
        <v>84</v>
      </c>
      <c r="H177" t="s">
        <v>81</v>
      </c>
      <c r="I177" t="s">
        <v>43</v>
      </c>
      <c r="J177" t="s">
        <v>53</v>
      </c>
      <c r="K177" t="s">
        <v>38</v>
      </c>
      <c r="L177">
        <v>1</v>
      </c>
      <c r="M177">
        <v>828</v>
      </c>
      <c r="N177">
        <v>41.4</v>
      </c>
      <c r="O177">
        <v>50</v>
      </c>
      <c r="P177">
        <v>828</v>
      </c>
      <c r="Q177">
        <v>836.6</v>
      </c>
      <c r="R177" t="s">
        <v>39</v>
      </c>
      <c r="S177" t="s">
        <v>31</v>
      </c>
      <c r="T177" t="s">
        <v>32</v>
      </c>
      <c r="U177">
        <v>48</v>
      </c>
      <c r="V177">
        <v>4.9000000000000004</v>
      </c>
      <c r="W177">
        <f>Table2[[#This Row],[Quantity]]*Table2[[#This Row],[Item_Price]]</f>
        <v>828</v>
      </c>
    </row>
    <row r="178" spans="1:23" x14ac:dyDescent="0.25">
      <c r="A178" t="s">
        <v>272</v>
      </c>
      <c r="B178" s="1">
        <v>45670</v>
      </c>
      <c r="C178" t="s">
        <v>23</v>
      </c>
      <c r="D178">
        <v>1</v>
      </c>
      <c r="E178">
        <v>13</v>
      </c>
      <c r="F178" t="s">
        <v>168</v>
      </c>
      <c r="G178" t="s">
        <v>96</v>
      </c>
      <c r="H178" t="s">
        <v>139</v>
      </c>
      <c r="I178" t="s">
        <v>57</v>
      </c>
      <c r="J178" t="s">
        <v>44</v>
      </c>
      <c r="K178" t="s">
        <v>38</v>
      </c>
      <c r="L178">
        <v>1</v>
      </c>
      <c r="M178">
        <v>241</v>
      </c>
      <c r="N178">
        <v>24.1</v>
      </c>
      <c r="O178">
        <v>60</v>
      </c>
      <c r="P178">
        <v>241</v>
      </c>
      <c r="Q178">
        <v>276.89999999999998</v>
      </c>
      <c r="R178" t="s">
        <v>98</v>
      </c>
      <c r="S178" t="s">
        <v>31</v>
      </c>
      <c r="T178" t="s">
        <v>40</v>
      </c>
      <c r="U178">
        <v>55</v>
      </c>
      <c r="V178">
        <v>3.5</v>
      </c>
      <c r="W178">
        <f>Table2[[#This Row],[Quantity]]*Table2[[#This Row],[Item_Price]]</f>
        <v>241</v>
      </c>
    </row>
    <row r="179" spans="1:23" x14ac:dyDescent="0.25">
      <c r="A179" t="s">
        <v>273</v>
      </c>
      <c r="B179" s="1">
        <v>45670</v>
      </c>
      <c r="C179" t="s">
        <v>23</v>
      </c>
      <c r="D179">
        <v>1</v>
      </c>
      <c r="E179">
        <v>13</v>
      </c>
      <c r="F179" t="s">
        <v>168</v>
      </c>
      <c r="G179" t="s">
        <v>84</v>
      </c>
      <c r="H179" t="s">
        <v>48</v>
      </c>
      <c r="I179" t="s">
        <v>61</v>
      </c>
      <c r="J179" t="s">
        <v>123</v>
      </c>
      <c r="K179" t="s">
        <v>38</v>
      </c>
      <c r="L179">
        <v>2</v>
      </c>
      <c r="M179">
        <v>556</v>
      </c>
      <c r="N179">
        <v>55.6</v>
      </c>
      <c r="O179">
        <v>60</v>
      </c>
      <c r="P179">
        <v>1112</v>
      </c>
      <c r="Q179">
        <v>1116.4000000000001</v>
      </c>
      <c r="R179" t="s">
        <v>75</v>
      </c>
      <c r="S179" t="s">
        <v>31</v>
      </c>
      <c r="T179" t="s">
        <v>40</v>
      </c>
      <c r="U179">
        <v>45</v>
      </c>
      <c r="V179">
        <v>3.8</v>
      </c>
      <c r="W179">
        <f>Table2[[#This Row],[Quantity]]*Table2[[#This Row],[Item_Price]]</f>
        <v>1112</v>
      </c>
    </row>
    <row r="180" spans="1:23" x14ac:dyDescent="0.25">
      <c r="A180" t="s">
        <v>274</v>
      </c>
      <c r="B180" s="1">
        <v>45670</v>
      </c>
      <c r="C180" t="s">
        <v>23</v>
      </c>
      <c r="D180">
        <v>1</v>
      </c>
      <c r="E180">
        <v>13</v>
      </c>
      <c r="F180" t="s">
        <v>168</v>
      </c>
      <c r="G180" t="s">
        <v>80</v>
      </c>
      <c r="H180" t="s">
        <v>56</v>
      </c>
      <c r="I180" t="s">
        <v>27</v>
      </c>
      <c r="J180" t="s">
        <v>74</v>
      </c>
      <c r="K180" t="s">
        <v>38</v>
      </c>
      <c r="L180">
        <v>2</v>
      </c>
      <c r="M180">
        <v>369</v>
      </c>
      <c r="N180">
        <v>73.8</v>
      </c>
      <c r="O180">
        <v>0</v>
      </c>
      <c r="P180">
        <v>738</v>
      </c>
      <c r="Q180">
        <v>664.2</v>
      </c>
      <c r="R180" t="s">
        <v>112</v>
      </c>
      <c r="S180" t="s">
        <v>31</v>
      </c>
      <c r="T180" t="s">
        <v>32</v>
      </c>
      <c r="U180">
        <v>45</v>
      </c>
      <c r="V180">
        <v>4.3</v>
      </c>
      <c r="W180">
        <f>Table2[[#This Row],[Quantity]]*Table2[[#This Row],[Item_Price]]</f>
        <v>738</v>
      </c>
    </row>
    <row r="181" spans="1:23" x14ac:dyDescent="0.25">
      <c r="A181" t="s">
        <v>275</v>
      </c>
      <c r="B181" s="1">
        <v>45670</v>
      </c>
      <c r="C181" t="s">
        <v>23</v>
      </c>
      <c r="D181">
        <v>1</v>
      </c>
      <c r="E181">
        <v>13</v>
      </c>
      <c r="F181" t="s">
        <v>168</v>
      </c>
      <c r="G181" t="s">
        <v>34</v>
      </c>
      <c r="H181" t="s">
        <v>105</v>
      </c>
      <c r="I181" t="s">
        <v>57</v>
      </c>
      <c r="J181" t="s">
        <v>123</v>
      </c>
      <c r="K181" t="s">
        <v>38</v>
      </c>
      <c r="L181">
        <v>1</v>
      </c>
      <c r="M181">
        <v>736</v>
      </c>
      <c r="N181">
        <v>147.19999999999999</v>
      </c>
      <c r="O181">
        <v>0</v>
      </c>
      <c r="P181">
        <v>736</v>
      </c>
      <c r="Q181">
        <v>588.79999999999995</v>
      </c>
      <c r="R181" t="s">
        <v>112</v>
      </c>
      <c r="S181" t="s">
        <v>31</v>
      </c>
      <c r="T181" t="s">
        <v>32</v>
      </c>
      <c r="U181">
        <v>19</v>
      </c>
      <c r="V181">
        <v>4.8</v>
      </c>
      <c r="W181">
        <f>Table2[[#This Row],[Quantity]]*Table2[[#This Row],[Item_Price]]</f>
        <v>736</v>
      </c>
    </row>
    <row r="182" spans="1:23" x14ac:dyDescent="0.25">
      <c r="A182" t="s">
        <v>276</v>
      </c>
      <c r="B182" s="1">
        <v>45670</v>
      </c>
      <c r="C182" t="s">
        <v>23</v>
      </c>
      <c r="D182">
        <v>1</v>
      </c>
      <c r="E182">
        <v>13</v>
      </c>
      <c r="F182" t="s">
        <v>168</v>
      </c>
      <c r="G182" t="s">
        <v>25</v>
      </c>
      <c r="H182" t="s">
        <v>65</v>
      </c>
      <c r="I182" t="s">
        <v>43</v>
      </c>
      <c r="J182" t="s">
        <v>82</v>
      </c>
      <c r="K182" t="s">
        <v>38</v>
      </c>
      <c r="L182">
        <v>1</v>
      </c>
      <c r="M182">
        <v>466</v>
      </c>
      <c r="N182">
        <v>116.5</v>
      </c>
      <c r="O182">
        <v>0</v>
      </c>
      <c r="P182">
        <v>466</v>
      </c>
      <c r="Q182">
        <v>349.5</v>
      </c>
      <c r="R182" t="s">
        <v>39</v>
      </c>
      <c r="S182" t="s">
        <v>31</v>
      </c>
      <c r="T182" t="s">
        <v>40</v>
      </c>
      <c r="U182">
        <v>51</v>
      </c>
      <c r="V182">
        <v>4.7</v>
      </c>
      <c r="W182">
        <f>Table2[[#This Row],[Quantity]]*Table2[[#This Row],[Item_Price]]</f>
        <v>466</v>
      </c>
    </row>
    <row r="183" spans="1:23" x14ac:dyDescent="0.25">
      <c r="A183" t="s">
        <v>277</v>
      </c>
      <c r="B183" s="1">
        <v>45670</v>
      </c>
      <c r="C183" t="s">
        <v>23</v>
      </c>
      <c r="D183">
        <v>1</v>
      </c>
      <c r="E183">
        <v>13</v>
      </c>
      <c r="F183" t="s">
        <v>168</v>
      </c>
      <c r="G183" t="s">
        <v>84</v>
      </c>
      <c r="H183" t="s">
        <v>68</v>
      </c>
      <c r="I183" t="s">
        <v>97</v>
      </c>
      <c r="J183" t="s">
        <v>119</v>
      </c>
      <c r="K183" t="s">
        <v>38</v>
      </c>
      <c r="L183">
        <v>1</v>
      </c>
      <c r="M183">
        <v>452</v>
      </c>
      <c r="N183">
        <v>67.8</v>
      </c>
      <c r="O183">
        <v>20</v>
      </c>
      <c r="P183">
        <v>452</v>
      </c>
      <c r="Q183">
        <v>404.2</v>
      </c>
      <c r="R183" t="s">
        <v>75</v>
      </c>
      <c r="S183" t="s">
        <v>91</v>
      </c>
      <c r="T183" t="s">
        <v>40</v>
      </c>
      <c r="U183">
        <v>67</v>
      </c>
      <c r="W183">
        <f>Table2[[#This Row],[Quantity]]*Table2[[#This Row],[Item_Price]]</f>
        <v>452</v>
      </c>
    </row>
    <row r="184" spans="1:23" x14ac:dyDescent="0.25">
      <c r="A184" t="s">
        <v>278</v>
      </c>
      <c r="B184" s="1">
        <v>45670</v>
      </c>
      <c r="C184" t="s">
        <v>23</v>
      </c>
      <c r="D184">
        <v>1</v>
      </c>
      <c r="E184">
        <v>13</v>
      </c>
      <c r="F184" t="s">
        <v>168</v>
      </c>
      <c r="G184" t="s">
        <v>64</v>
      </c>
      <c r="H184" t="s">
        <v>60</v>
      </c>
      <c r="I184" t="s">
        <v>103</v>
      </c>
      <c r="J184" t="s">
        <v>78</v>
      </c>
      <c r="K184" t="s">
        <v>45</v>
      </c>
      <c r="L184">
        <v>1</v>
      </c>
      <c r="M184">
        <v>160</v>
      </c>
      <c r="N184">
        <v>24</v>
      </c>
      <c r="O184">
        <v>0</v>
      </c>
      <c r="P184">
        <v>160</v>
      </c>
      <c r="Q184">
        <v>136</v>
      </c>
      <c r="R184" t="s">
        <v>39</v>
      </c>
      <c r="S184" t="s">
        <v>31</v>
      </c>
      <c r="T184" t="s">
        <v>32</v>
      </c>
      <c r="U184">
        <v>49</v>
      </c>
      <c r="V184">
        <v>4.2</v>
      </c>
      <c r="W184">
        <f>Table2[[#This Row],[Quantity]]*Table2[[#This Row],[Item_Price]]</f>
        <v>160</v>
      </c>
    </row>
    <row r="185" spans="1:23" x14ac:dyDescent="0.25">
      <c r="A185" t="s">
        <v>279</v>
      </c>
      <c r="B185" s="1">
        <v>45670</v>
      </c>
      <c r="C185" t="s">
        <v>23</v>
      </c>
      <c r="D185">
        <v>1</v>
      </c>
      <c r="E185">
        <v>13</v>
      </c>
      <c r="F185" t="s">
        <v>168</v>
      </c>
      <c r="G185" t="s">
        <v>96</v>
      </c>
      <c r="H185" t="s">
        <v>139</v>
      </c>
      <c r="I185" t="s">
        <v>103</v>
      </c>
      <c r="J185" t="s">
        <v>53</v>
      </c>
      <c r="K185" t="s">
        <v>38</v>
      </c>
      <c r="L185">
        <v>1</v>
      </c>
      <c r="M185">
        <v>303</v>
      </c>
      <c r="N185">
        <v>15.15</v>
      </c>
      <c r="O185">
        <v>50</v>
      </c>
      <c r="P185">
        <v>303</v>
      </c>
      <c r="Q185">
        <v>337.85</v>
      </c>
      <c r="R185" t="s">
        <v>75</v>
      </c>
      <c r="S185" t="s">
        <v>31</v>
      </c>
      <c r="T185" t="s">
        <v>32</v>
      </c>
      <c r="U185">
        <v>60</v>
      </c>
      <c r="V185">
        <v>3.9</v>
      </c>
      <c r="W185">
        <f>Table2[[#This Row],[Quantity]]*Table2[[#This Row],[Item_Price]]</f>
        <v>303</v>
      </c>
    </row>
    <row r="186" spans="1:23" x14ac:dyDescent="0.25">
      <c r="A186" t="s">
        <v>280</v>
      </c>
      <c r="B186" s="1">
        <v>45670</v>
      </c>
      <c r="C186" t="s">
        <v>23</v>
      </c>
      <c r="D186">
        <v>1</v>
      </c>
      <c r="E186">
        <v>13</v>
      </c>
      <c r="F186" t="s">
        <v>168</v>
      </c>
      <c r="G186" t="s">
        <v>115</v>
      </c>
      <c r="H186" t="s">
        <v>42</v>
      </c>
      <c r="I186" t="s">
        <v>61</v>
      </c>
      <c r="J186" t="s">
        <v>123</v>
      </c>
      <c r="K186" t="s">
        <v>38</v>
      </c>
      <c r="L186">
        <v>2</v>
      </c>
      <c r="M186">
        <v>334</v>
      </c>
      <c r="N186">
        <v>66.8</v>
      </c>
      <c r="O186">
        <v>50</v>
      </c>
      <c r="P186">
        <v>668</v>
      </c>
      <c r="Q186">
        <v>651.20000000000005</v>
      </c>
      <c r="R186" t="s">
        <v>30</v>
      </c>
      <c r="S186" t="s">
        <v>31</v>
      </c>
      <c r="T186" t="s">
        <v>40</v>
      </c>
      <c r="U186">
        <v>69</v>
      </c>
      <c r="V186">
        <v>4.5</v>
      </c>
      <c r="W186">
        <f>Table2[[#This Row],[Quantity]]*Table2[[#This Row],[Item_Price]]</f>
        <v>668</v>
      </c>
    </row>
    <row r="187" spans="1:23" x14ac:dyDescent="0.25">
      <c r="A187" t="s">
        <v>281</v>
      </c>
      <c r="B187" s="1">
        <v>45670</v>
      </c>
      <c r="C187" t="s">
        <v>23</v>
      </c>
      <c r="D187">
        <v>1</v>
      </c>
      <c r="E187">
        <v>13</v>
      </c>
      <c r="F187" t="s">
        <v>168</v>
      </c>
      <c r="G187" t="s">
        <v>64</v>
      </c>
      <c r="H187" t="s">
        <v>68</v>
      </c>
      <c r="I187" t="s">
        <v>97</v>
      </c>
      <c r="J187" t="s">
        <v>119</v>
      </c>
      <c r="K187" t="s">
        <v>38</v>
      </c>
      <c r="L187">
        <v>3</v>
      </c>
      <c r="M187">
        <v>799</v>
      </c>
      <c r="N187">
        <v>119.85</v>
      </c>
      <c r="O187">
        <v>30</v>
      </c>
      <c r="P187">
        <v>2397</v>
      </c>
      <c r="Q187">
        <v>2307.15</v>
      </c>
      <c r="R187" t="s">
        <v>39</v>
      </c>
      <c r="S187" t="s">
        <v>31</v>
      </c>
      <c r="T187" t="s">
        <v>40</v>
      </c>
      <c r="U187">
        <v>49</v>
      </c>
      <c r="V187">
        <v>3.9</v>
      </c>
      <c r="W187">
        <f>Table2[[#This Row],[Quantity]]*Table2[[#This Row],[Item_Price]]</f>
        <v>2397</v>
      </c>
    </row>
    <row r="188" spans="1:23" x14ac:dyDescent="0.25">
      <c r="A188" t="s">
        <v>282</v>
      </c>
      <c r="B188" s="1">
        <v>45670</v>
      </c>
      <c r="C188" t="s">
        <v>23</v>
      </c>
      <c r="D188">
        <v>1</v>
      </c>
      <c r="E188">
        <v>13</v>
      </c>
      <c r="F188" t="s">
        <v>168</v>
      </c>
      <c r="G188" t="s">
        <v>80</v>
      </c>
      <c r="H188" t="s">
        <v>35</v>
      </c>
      <c r="I188" t="s">
        <v>69</v>
      </c>
      <c r="J188" t="s">
        <v>74</v>
      </c>
      <c r="K188" t="s">
        <v>38</v>
      </c>
      <c r="L188">
        <v>2</v>
      </c>
      <c r="M188">
        <v>399</v>
      </c>
      <c r="N188">
        <v>99.75</v>
      </c>
      <c r="O188">
        <v>40</v>
      </c>
      <c r="P188">
        <v>798</v>
      </c>
      <c r="Q188">
        <v>738.25</v>
      </c>
      <c r="R188" t="s">
        <v>39</v>
      </c>
      <c r="S188" t="s">
        <v>31</v>
      </c>
      <c r="T188" t="s">
        <v>40</v>
      </c>
      <c r="U188">
        <v>32</v>
      </c>
      <c r="V188">
        <v>3.3</v>
      </c>
      <c r="W188">
        <f>Table2[[#This Row],[Quantity]]*Table2[[#This Row],[Item_Price]]</f>
        <v>798</v>
      </c>
    </row>
    <row r="189" spans="1:23" x14ac:dyDescent="0.25">
      <c r="A189" t="s">
        <v>283</v>
      </c>
      <c r="B189" s="1">
        <v>45671</v>
      </c>
      <c r="C189" t="s">
        <v>23</v>
      </c>
      <c r="D189">
        <v>1</v>
      </c>
      <c r="E189">
        <v>14</v>
      </c>
      <c r="F189" t="s">
        <v>178</v>
      </c>
      <c r="G189" t="s">
        <v>80</v>
      </c>
      <c r="H189" t="s">
        <v>77</v>
      </c>
      <c r="I189" t="s">
        <v>85</v>
      </c>
      <c r="J189" t="s">
        <v>123</v>
      </c>
      <c r="K189" t="s">
        <v>29</v>
      </c>
      <c r="L189">
        <v>2</v>
      </c>
      <c r="M189">
        <v>228</v>
      </c>
      <c r="N189">
        <v>34.200000000000003</v>
      </c>
      <c r="O189">
        <v>60</v>
      </c>
      <c r="P189">
        <v>456</v>
      </c>
      <c r="Q189">
        <v>481.8</v>
      </c>
      <c r="R189" t="s">
        <v>112</v>
      </c>
      <c r="S189" t="s">
        <v>31</v>
      </c>
      <c r="T189" t="s">
        <v>32</v>
      </c>
      <c r="U189">
        <v>61</v>
      </c>
      <c r="V189">
        <v>3.1</v>
      </c>
      <c r="W189">
        <f>Table2[[#This Row],[Quantity]]*Table2[[#This Row],[Item_Price]]</f>
        <v>456</v>
      </c>
    </row>
    <row r="190" spans="1:23" x14ac:dyDescent="0.25">
      <c r="A190" t="s">
        <v>284</v>
      </c>
      <c r="B190" s="1">
        <v>45671</v>
      </c>
      <c r="C190" t="s">
        <v>23</v>
      </c>
      <c r="D190">
        <v>1</v>
      </c>
      <c r="E190">
        <v>14</v>
      </c>
      <c r="F190" t="s">
        <v>178</v>
      </c>
      <c r="G190" t="s">
        <v>73</v>
      </c>
      <c r="H190" t="s">
        <v>77</v>
      </c>
      <c r="I190" t="s">
        <v>36</v>
      </c>
      <c r="J190" t="s">
        <v>101</v>
      </c>
      <c r="K190" t="s">
        <v>38</v>
      </c>
      <c r="L190">
        <v>3</v>
      </c>
      <c r="M190">
        <v>371</v>
      </c>
      <c r="N190">
        <v>55.65</v>
      </c>
      <c r="O190">
        <v>40</v>
      </c>
      <c r="P190">
        <v>1113</v>
      </c>
      <c r="Q190">
        <v>1097.3499999999999</v>
      </c>
      <c r="R190" t="s">
        <v>112</v>
      </c>
      <c r="S190" t="s">
        <v>31</v>
      </c>
      <c r="T190" t="s">
        <v>40</v>
      </c>
      <c r="U190">
        <v>44</v>
      </c>
      <c r="V190">
        <v>4.9000000000000004</v>
      </c>
      <c r="W190">
        <f>Table2[[#This Row],[Quantity]]*Table2[[#This Row],[Item_Price]]</f>
        <v>1113</v>
      </c>
    </row>
    <row r="191" spans="1:23" x14ac:dyDescent="0.25">
      <c r="A191" t="s">
        <v>285</v>
      </c>
      <c r="B191" s="1">
        <v>45671</v>
      </c>
      <c r="C191" t="s">
        <v>23</v>
      </c>
      <c r="D191">
        <v>1</v>
      </c>
      <c r="E191">
        <v>14</v>
      </c>
      <c r="F191" t="s">
        <v>178</v>
      </c>
      <c r="G191" t="s">
        <v>64</v>
      </c>
      <c r="H191" t="s">
        <v>65</v>
      </c>
      <c r="I191" t="s">
        <v>97</v>
      </c>
      <c r="J191" t="s">
        <v>28</v>
      </c>
      <c r="K191" t="s">
        <v>38</v>
      </c>
      <c r="L191">
        <v>1</v>
      </c>
      <c r="M191">
        <v>215</v>
      </c>
      <c r="N191">
        <v>53.75</v>
      </c>
      <c r="O191">
        <v>50</v>
      </c>
      <c r="P191">
        <v>215</v>
      </c>
      <c r="Q191">
        <v>211.25</v>
      </c>
      <c r="R191" t="s">
        <v>98</v>
      </c>
      <c r="S191" t="s">
        <v>31</v>
      </c>
      <c r="T191" t="s">
        <v>40</v>
      </c>
      <c r="U191">
        <v>33</v>
      </c>
      <c r="V191">
        <v>3.8</v>
      </c>
      <c r="W191">
        <f>Table2[[#This Row],[Quantity]]*Table2[[#This Row],[Item_Price]]</f>
        <v>215</v>
      </c>
    </row>
    <row r="192" spans="1:23" x14ac:dyDescent="0.25">
      <c r="A192" t="s">
        <v>286</v>
      </c>
      <c r="B192" s="1">
        <v>45671</v>
      </c>
      <c r="C192" t="s">
        <v>23</v>
      </c>
      <c r="D192">
        <v>1</v>
      </c>
      <c r="E192">
        <v>14</v>
      </c>
      <c r="F192" t="s">
        <v>178</v>
      </c>
      <c r="G192" t="s">
        <v>80</v>
      </c>
      <c r="H192" t="s">
        <v>48</v>
      </c>
      <c r="I192" t="s">
        <v>69</v>
      </c>
      <c r="J192" t="s">
        <v>70</v>
      </c>
      <c r="K192" t="s">
        <v>38</v>
      </c>
      <c r="L192">
        <v>1</v>
      </c>
      <c r="M192">
        <v>631</v>
      </c>
      <c r="N192">
        <v>0</v>
      </c>
      <c r="O192">
        <v>20</v>
      </c>
      <c r="P192">
        <v>631</v>
      </c>
      <c r="Q192">
        <v>651</v>
      </c>
      <c r="R192" t="s">
        <v>75</v>
      </c>
      <c r="S192" t="s">
        <v>110</v>
      </c>
      <c r="T192" t="s">
        <v>32</v>
      </c>
      <c r="U192">
        <v>20</v>
      </c>
      <c r="W192">
        <f>Table2[[#This Row],[Quantity]]*Table2[[#This Row],[Item_Price]]</f>
        <v>631</v>
      </c>
    </row>
    <row r="193" spans="1:23" x14ac:dyDescent="0.25">
      <c r="A193" t="s">
        <v>287</v>
      </c>
      <c r="B193" s="1">
        <v>45671</v>
      </c>
      <c r="C193" t="s">
        <v>23</v>
      </c>
      <c r="D193">
        <v>1</v>
      </c>
      <c r="E193">
        <v>14</v>
      </c>
      <c r="F193" t="s">
        <v>178</v>
      </c>
      <c r="G193" t="s">
        <v>64</v>
      </c>
      <c r="H193" t="s">
        <v>135</v>
      </c>
      <c r="I193" t="s">
        <v>97</v>
      </c>
      <c r="J193" t="s">
        <v>82</v>
      </c>
      <c r="K193" t="s">
        <v>38</v>
      </c>
      <c r="L193">
        <v>3</v>
      </c>
      <c r="M193">
        <v>610</v>
      </c>
      <c r="N193">
        <v>122</v>
      </c>
      <c r="O193">
        <v>30</v>
      </c>
      <c r="P193">
        <v>1830</v>
      </c>
      <c r="Q193">
        <v>1738</v>
      </c>
      <c r="R193" t="s">
        <v>75</v>
      </c>
      <c r="S193" t="s">
        <v>31</v>
      </c>
      <c r="T193" t="s">
        <v>40</v>
      </c>
      <c r="U193">
        <v>42</v>
      </c>
      <c r="V193">
        <v>4</v>
      </c>
      <c r="W193">
        <f>Table2[[#This Row],[Quantity]]*Table2[[#This Row],[Item_Price]]</f>
        <v>1830</v>
      </c>
    </row>
    <row r="194" spans="1:23" x14ac:dyDescent="0.25">
      <c r="A194" t="s">
        <v>288</v>
      </c>
      <c r="B194" s="1">
        <v>45671</v>
      </c>
      <c r="C194" t="s">
        <v>23</v>
      </c>
      <c r="D194">
        <v>1</v>
      </c>
      <c r="E194">
        <v>14</v>
      </c>
      <c r="F194" t="s">
        <v>178</v>
      </c>
      <c r="G194" t="s">
        <v>115</v>
      </c>
      <c r="H194" t="s">
        <v>68</v>
      </c>
      <c r="I194" t="s">
        <v>36</v>
      </c>
      <c r="J194" t="s">
        <v>44</v>
      </c>
      <c r="K194" t="s">
        <v>38</v>
      </c>
      <c r="L194">
        <v>1</v>
      </c>
      <c r="M194">
        <v>419</v>
      </c>
      <c r="N194">
        <v>20.95</v>
      </c>
      <c r="O194">
        <v>30</v>
      </c>
      <c r="P194">
        <v>419</v>
      </c>
      <c r="Q194">
        <v>428.05</v>
      </c>
      <c r="R194" t="s">
        <v>39</v>
      </c>
      <c r="S194" t="s">
        <v>31</v>
      </c>
      <c r="T194" t="s">
        <v>40</v>
      </c>
      <c r="U194">
        <v>63</v>
      </c>
      <c r="V194">
        <v>4.5999999999999996</v>
      </c>
      <c r="W194">
        <f>Table2[[#This Row],[Quantity]]*Table2[[#This Row],[Item_Price]]</f>
        <v>419</v>
      </c>
    </row>
    <row r="195" spans="1:23" x14ac:dyDescent="0.25">
      <c r="A195" t="s">
        <v>289</v>
      </c>
      <c r="B195" s="1">
        <v>45671</v>
      </c>
      <c r="C195" t="s">
        <v>23</v>
      </c>
      <c r="D195">
        <v>1</v>
      </c>
      <c r="E195">
        <v>14</v>
      </c>
      <c r="F195" t="s">
        <v>178</v>
      </c>
      <c r="G195" t="s">
        <v>115</v>
      </c>
      <c r="H195" t="s">
        <v>81</v>
      </c>
      <c r="I195" t="s">
        <v>85</v>
      </c>
      <c r="J195" t="s">
        <v>94</v>
      </c>
      <c r="K195" t="s">
        <v>45</v>
      </c>
      <c r="L195">
        <v>1</v>
      </c>
      <c r="M195">
        <v>404</v>
      </c>
      <c r="N195">
        <v>60.6</v>
      </c>
      <c r="O195">
        <v>50</v>
      </c>
      <c r="P195">
        <v>404</v>
      </c>
      <c r="Q195">
        <v>393.4</v>
      </c>
      <c r="R195" t="s">
        <v>30</v>
      </c>
      <c r="S195" t="s">
        <v>31</v>
      </c>
      <c r="T195" t="s">
        <v>40</v>
      </c>
      <c r="U195">
        <v>46</v>
      </c>
      <c r="V195">
        <v>3.9</v>
      </c>
      <c r="W195">
        <f>Table2[[#This Row],[Quantity]]*Table2[[#This Row],[Item_Price]]</f>
        <v>404</v>
      </c>
    </row>
    <row r="196" spans="1:23" x14ac:dyDescent="0.25">
      <c r="A196" t="s">
        <v>290</v>
      </c>
      <c r="B196" s="1">
        <v>45671</v>
      </c>
      <c r="C196" t="s">
        <v>23</v>
      </c>
      <c r="D196">
        <v>1</v>
      </c>
      <c r="E196">
        <v>14</v>
      </c>
      <c r="F196" t="s">
        <v>178</v>
      </c>
      <c r="G196" t="s">
        <v>64</v>
      </c>
      <c r="H196" t="s">
        <v>135</v>
      </c>
      <c r="I196" t="s">
        <v>103</v>
      </c>
      <c r="J196" t="s">
        <v>28</v>
      </c>
      <c r="K196" t="s">
        <v>38</v>
      </c>
      <c r="L196">
        <v>3</v>
      </c>
      <c r="M196">
        <v>494</v>
      </c>
      <c r="N196">
        <v>0</v>
      </c>
      <c r="O196">
        <v>40</v>
      </c>
      <c r="P196">
        <v>1482</v>
      </c>
      <c r="Q196">
        <v>1522</v>
      </c>
      <c r="R196" t="s">
        <v>112</v>
      </c>
      <c r="S196" t="s">
        <v>31</v>
      </c>
      <c r="T196" t="s">
        <v>32</v>
      </c>
      <c r="U196">
        <v>60</v>
      </c>
      <c r="V196">
        <v>5</v>
      </c>
      <c r="W196">
        <f>Table2[[#This Row],[Quantity]]*Table2[[#This Row],[Item_Price]]</f>
        <v>1482</v>
      </c>
    </row>
    <row r="197" spans="1:23" x14ac:dyDescent="0.25">
      <c r="A197" t="s">
        <v>291</v>
      </c>
      <c r="B197" s="1">
        <v>45671</v>
      </c>
      <c r="C197" t="s">
        <v>23</v>
      </c>
      <c r="D197">
        <v>1</v>
      </c>
      <c r="E197">
        <v>14</v>
      </c>
      <c r="F197" t="s">
        <v>178</v>
      </c>
      <c r="G197" t="s">
        <v>25</v>
      </c>
      <c r="H197" t="s">
        <v>65</v>
      </c>
      <c r="I197" t="s">
        <v>43</v>
      </c>
      <c r="J197" t="s">
        <v>28</v>
      </c>
      <c r="K197" t="s">
        <v>38</v>
      </c>
      <c r="L197">
        <v>2</v>
      </c>
      <c r="M197">
        <v>359</v>
      </c>
      <c r="N197">
        <v>89.75</v>
      </c>
      <c r="O197">
        <v>30</v>
      </c>
      <c r="P197">
        <v>718</v>
      </c>
      <c r="Q197">
        <v>658.25</v>
      </c>
      <c r="R197" t="s">
        <v>98</v>
      </c>
      <c r="S197" t="s">
        <v>31</v>
      </c>
      <c r="T197" t="s">
        <v>40</v>
      </c>
      <c r="U197">
        <v>54</v>
      </c>
      <c r="V197">
        <v>3.2</v>
      </c>
      <c r="W197">
        <f>Table2[[#This Row],[Quantity]]*Table2[[#This Row],[Item_Price]]</f>
        <v>718</v>
      </c>
    </row>
    <row r="198" spans="1:23" x14ac:dyDescent="0.25">
      <c r="A198" t="s">
        <v>292</v>
      </c>
      <c r="B198" s="1">
        <v>45671</v>
      </c>
      <c r="C198" t="s">
        <v>23</v>
      </c>
      <c r="D198">
        <v>1</v>
      </c>
      <c r="E198">
        <v>14</v>
      </c>
      <c r="F198" t="s">
        <v>178</v>
      </c>
      <c r="G198" t="s">
        <v>90</v>
      </c>
      <c r="H198" t="s">
        <v>139</v>
      </c>
      <c r="I198" t="s">
        <v>43</v>
      </c>
      <c r="J198" t="s">
        <v>28</v>
      </c>
      <c r="K198" t="s">
        <v>58</v>
      </c>
      <c r="L198">
        <v>2</v>
      </c>
      <c r="M198">
        <v>823</v>
      </c>
      <c r="N198">
        <v>123.45</v>
      </c>
      <c r="O198">
        <v>50</v>
      </c>
      <c r="P198">
        <v>1646</v>
      </c>
      <c r="Q198">
        <v>1572.55</v>
      </c>
      <c r="R198" t="s">
        <v>75</v>
      </c>
      <c r="S198" t="s">
        <v>31</v>
      </c>
      <c r="T198" t="s">
        <v>40</v>
      </c>
      <c r="U198">
        <v>63</v>
      </c>
      <c r="V198">
        <v>4.4000000000000004</v>
      </c>
      <c r="W198">
        <f>Table2[[#This Row],[Quantity]]*Table2[[#This Row],[Item_Price]]</f>
        <v>1646</v>
      </c>
    </row>
    <row r="199" spans="1:23" x14ac:dyDescent="0.25">
      <c r="A199" t="s">
        <v>293</v>
      </c>
      <c r="B199" s="1">
        <v>45671</v>
      </c>
      <c r="C199" t="s">
        <v>23</v>
      </c>
      <c r="D199">
        <v>1</v>
      </c>
      <c r="E199">
        <v>14</v>
      </c>
      <c r="F199" t="s">
        <v>178</v>
      </c>
      <c r="G199" t="s">
        <v>96</v>
      </c>
      <c r="H199" t="s">
        <v>77</v>
      </c>
      <c r="I199" t="s">
        <v>61</v>
      </c>
      <c r="J199" t="s">
        <v>37</v>
      </c>
      <c r="K199" t="s">
        <v>38</v>
      </c>
      <c r="L199">
        <v>2</v>
      </c>
      <c r="M199">
        <v>596</v>
      </c>
      <c r="N199">
        <v>149</v>
      </c>
      <c r="O199">
        <v>50</v>
      </c>
      <c r="P199">
        <v>1192</v>
      </c>
      <c r="Q199">
        <v>1093</v>
      </c>
      <c r="R199" t="s">
        <v>112</v>
      </c>
      <c r="S199" t="s">
        <v>31</v>
      </c>
      <c r="T199" t="s">
        <v>40</v>
      </c>
      <c r="U199">
        <v>18</v>
      </c>
      <c r="V199">
        <v>3.2</v>
      </c>
      <c r="W199">
        <f>Table2[[#This Row],[Quantity]]*Table2[[#This Row],[Item_Price]]</f>
        <v>1192</v>
      </c>
    </row>
    <row r="200" spans="1:23" x14ac:dyDescent="0.25">
      <c r="A200" t="s">
        <v>294</v>
      </c>
      <c r="B200" s="1">
        <v>45671</v>
      </c>
      <c r="C200" t="s">
        <v>23</v>
      </c>
      <c r="D200">
        <v>1</v>
      </c>
      <c r="E200">
        <v>14</v>
      </c>
      <c r="F200" t="s">
        <v>178</v>
      </c>
      <c r="G200" t="s">
        <v>64</v>
      </c>
      <c r="H200" t="s">
        <v>60</v>
      </c>
      <c r="I200" t="s">
        <v>36</v>
      </c>
      <c r="J200" t="s">
        <v>101</v>
      </c>
      <c r="K200" t="s">
        <v>38</v>
      </c>
      <c r="L200">
        <v>2</v>
      </c>
      <c r="M200">
        <v>899</v>
      </c>
      <c r="N200">
        <v>134.85</v>
      </c>
      <c r="O200">
        <v>40</v>
      </c>
      <c r="P200">
        <v>1798</v>
      </c>
      <c r="Q200">
        <v>1703.15</v>
      </c>
      <c r="R200" t="s">
        <v>30</v>
      </c>
      <c r="S200" t="s">
        <v>31</v>
      </c>
      <c r="T200" t="s">
        <v>40</v>
      </c>
      <c r="U200">
        <v>49</v>
      </c>
      <c r="V200">
        <v>4.7</v>
      </c>
      <c r="W200">
        <f>Table2[[#This Row],[Quantity]]*Table2[[#This Row],[Item_Price]]</f>
        <v>1798</v>
      </c>
    </row>
    <row r="201" spans="1:23" x14ac:dyDescent="0.25">
      <c r="A201" t="s">
        <v>295</v>
      </c>
      <c r="B201" s="1">
        <v>45671</v>
      </c>
      <c r="C201" t="s">
        <v>23</v>
      </c>
      <c r="D201">
        <v>1</v>
      </c>
      <c r="E201">
        <v>14</v>
      </c>
      <c r="F201" t="s">
        <v>178</v>
      </c>
      <c r="G201" t="s">
        <v>90</v>
      </c>
      <c r="H201" t="s">
        <v>56</v>
      </c>
      <c r="I201" t="s">
        <v>36</v>
      </c>
      <c r="J201" t="s">
        <v>172</v>
      </c>
      <c r="K201" t="s">
        <v>38</v>
      </c>
      <c r="L201">
        <v>1</v>
      </c>
      <c r="M201">
        <v>584</v>
      </c>
      <c r="N201">
        <v>58.4</v>
      </c>
      <c r="O201">
        <v>20</v>
      </c>
      <c r="P201">
        <v>584</v>
      </c>
      <c r="Q201">
        <v>545.6</v>
      </c>
      <c r="R201" t="s">
        <v>30</v>
      </c>
      <c r="S201" t="s">
        <v>31</v>
      </c>
      <c r="T201" t="s">
        <v>32</v>
      </c>
      <c r="U201">
        <v>68</v>
      </c>
      <c r="V201">
        <v>3.7</v>
      </c>
      <c r="W201">
        <f>Table2[[#This Row],[Quantity]]*Table2[[#This Row],[Item_Price]]</f>
        <v>584</v>
      </c>
    </row>
    <row r="202" spans="1:23" x14ac:dyDescent="0.25">
      <c r="A202" t="s">
        <v>296</v>
      </c>
      <c r="B202" s="1">
        <v>45671</v>
      </c>
      <c r="C202" t="s">
        <v>23</v>
      </c>
      <c r="D202">
        <v>1</v>
      </c>
      <c r="E202">
        <v>14</v>
      </c>
      <c r="F202" t="s">
        <v>178</v>
      </c>
      <c r="G202" t="s">
        <v>25</v>
      </c>
      <c r="H202" t="s">
        <v>60</v>
      </c>
      <c r="I202" t="s">
        <v>85</v>
      </c>
      <c r="J202" t="s">
        <v>78</v>
      </c>
      <c r="K202" t="s">
        <v>38</v>
      </c>
      <c r="L202">
        <v>2</v>
      </c>
      <c r="M202">
        <v>256</v>
      </c>
      <c r="N202">
        <v>38.4</v>
      </c>
      <c r="O202">
        <v>20</v>
      </c>
      <c r="P202">
        <v>512</v>
      </c>
      <c r="Q202">
        <v>493.6</v>
      </c>
      <c r="R202" t="s">
        <v>39</v>
      </c>
      <c r="S202" t="s">
        <v>110</v>
      </c>
      <c r="T202" t="s">
        <v>40</v>
      </c>
      <c r="U202">
        <v>25</v>
      </c>
      <c r="W202">
        <f>Table2[[#This Row],[Quantity]]*Table2[[#This Row],[Item_Price]]</f>
        <v>512</v>
      </c>
    </row>
    <row r="203" spans="1:23" x14ac:dyDescent="0.25">
      <c r="A203" t="s">
        <v>297</v>
      </c>
      <c r="B203" s="1">
        <v>45671</v>
      </c>
      <c r="C203" t="s">
        <v>23</v>
      </c>
      <c r="D203">
        <v>1</v>
      </c>
      <c r="E203">
        <v>14</v>
      </c>
      <c r="F203" t="s">
        <v>178</v>
      </c>
      <c r="G203" t="s">
        <v>84</v>
      </c>
      <c r="H203" t="s">
        <v>52</v>
      </c>
      <c r="I203" t="s">
        <v>103</v>
      </c>
      <c r="J203" t="s">
        <v>74</v>
      </c>
      <c r="K203" t="s">
        <v>58</v>
      </c>
      <c r="L203">
        <v>2</v>
      </c>
      <c r="M203">
        <v>168</v>
      </c>
      <c r="N203">
        <v>25.2</v>
      </c>
      <c r="O203">
        <v>0</v>
      </c>
      <c r="P203">
        <v>336</v>
      </c>
      <c r="Q203">
        <v>310.8</v>
      </c>
      <c r="R203" t="s">
        <v>98</v>
      </c>
      <c r="S203" t="s">
        <v>31</v>
      </c>
      <c r="T203" t="s">
        <v>32</v>
      </c>
      <c r="U203">
        <v>32</v>
      </c>
      <c r="V203">
        <v>3.8</v>
      </c>
      <c r="W203">
        <f>Table2[[#This Row],[Quantity]]*Table2[[#This Row],[Item_Price]]</f>
        <v>336</v>
      </c>
    </row>
    <row r="204" spans="1:23" x14ac:dyDescent="0.25">
      <c r="A204" t="s">
        <v>298</v>
      </c>
      <c r="B204" s="1">
        <v>45671</v>
      </c>
      <c r="C204" t="s">
        <v>23</v>
      </c>
      <c r="D204">
        <v>1</v>
      </c>
      <c r="E204">
        <v>14</v>
      </c>
      <c r="F204" t="s">
        <v>178</v>
      </c>
      <c r="G204" t="s">
        <v>55</v>
      </c>
      <c r="H204" t="s">
        <v>60</v>
      </c>
      <c r="I204" t="s">
        <v>36</v>
      </c>
      <c r="J204" t="s">
        <v>101</v>
      </c>
      <c r="K204" t="s">
        <v>38</v>
      </c>
      <c r="L204">
        <v>1</v>
      </c>
      <c r="M204">
        <v>455</v>
      </c>
      <c r="N204">
        <v>22.75</v>
      </c>
      <c r="O204">
        <v>30</v>
      </c>
      <c r="P204">
        <v>455</v>
      </c>
      <c r="Q204">
        <v>462.25</v>
      </c>
      <c r="R204" t="s">
        <v>39</v>
      </c>
      <c r="S204" t="s">
        <v>31</v>
      </c>
      <c r="T204" t="s">
        <v>40</v>
      </c>
      <c r="U204">
        <v>24</v>
      </c>
      <c r="V204">
        <v>3.9</v>
      </c>
      <c r="W204">
        <f>Table2[[#This Row],[Quantity]]*Table2[[#This Row],[Item_Price]]</f>
        <v>455</v>
      </c>
    </row>
    <row r="205" spans="1:23" x14ac:dyDescent="0.25">
      <c r="A205" t="s">
        <v>299</v>
      </c>
      <c r="B205" s="1">
        <v>45671</v>
      </c>
      <c r="C205" t="s">
        <v>23</v>
      </c>
      <c r="D205">
        <v>1</v>
      </c>
      <c r="E205">
        <v>14</v>
      </c>
      <c r="F205" t="s">
        <v>178</v>
      </c>
      <c r="G205" t="s">
        <v>64</v>
      </c>
      <c r="H205" t="s">
        <v>42</v>
      </c>
      <c r="I205" t="s">
        <v>85</v>
      </c>
      <c r="J205" t="s">
        <v>50</v>
      </c>
      <c r="K205" t="s">
        <v>38</v>
      </c>
      <c r="L205">
        <v>1</v>
      </c>
      <c r="M205">
        <v>165</v>
      </c>
      <c r="N205">
        <v>33</v>
      </c>
      <c r="O205">
        <v>30</v>
      </c>
      <c r="P205">
        <v>165</v>
      </c>
      <c r="Q205">
        <v>162</v>
      </c>
      <c r="R205" t="s">
        <v>112</v>
      </c>
      <c r="S205" t="s">
        <v>91</v>
      </c>
      <c r="T205" t="s">
        <v>32</v>
      </c>
      <c r="U205">
        <v>62</v>
      </c>
      <c r="W205">
        <f>Table2[[#This Row],[Quantity]]*Table2[[#This Row],[Item_Price]]</f>
        <v>165</v>
      </c>
    </row>
    <row r="206" spans="1:23" x14ac:dyDescent="0.25">
      <c r="A206" t="s">
        <v>300</v>
      </c>
      <c r="B206" s="1">
        <v>45672</v>
      </c>
      <c r="C206" t="s">
        <v>23</v>
      </c>
      <c r="D206">
        <v>1</v>
      </c>
      <c r="E206">
        <v>15</v>
      </c>
      <c r="F206" t="s">
        <v>24</v>
      </c>
      <c r="G206" t="s">
        <v>73</v>
      </c>
      <c r="H206" t="s">
        <v>65</v>
      </c>
      <c r="I206" t="s">
        <v>69</v>
      </c>
      <c r="J206" t="s">
        <v>74</v>
      </c>
      <c r="K206" t="s">
        <v>38</v>
      </c>
      <c r="L206">
        <v>3</v>
      </c>
      <c r="M206">
        <v>714</v>
      </c>
      <c r="N206">
        <v>142.80000000000001</v>
      </c>
      <c r="O206">
        <v>30</v>
      </c>
      <c r="P206">
        <v>2142</v>
      </c>
      <c r="Q206">
        <v>2029.2</v>
      </c>
      <c r="R206" t="s">
        <v>39</v>
      </c>
      <c r="S206" t="s">
        <v>31</v>
      </c>
      <c r="T206" t="s">
        <v>32</v>
      </c>
      <c r="U206">
        <v>68</v>
      </c>
      <c r="V206">
        <v>3.4</v>
      </c>
      <c r="W206">
        <f>Table2[[#This Row],[Quantity]]*Table2[[#This Row],[Item_Price]]</f>
        <v>2142</v>
      </c>
    </row>
    <row r="207" spans="1:23" x14ac:dyDescent="0.25">
      <c r="A207" t="s">
        <v>301</v>
      </c>
      <c r="B207" s="1">
        <v>45672</v>
      </c>
      <c r="C207" t="s">
        <v>23</v>
      </c>
      <c r="D207">
        <v>1</v>
      </c>
      <c r="E207">
        <v>15</v>
      </c>
      <c r="F207" t="s">
        <v>24</v>
      </c>
      <c r="G207" t="s">
        <v>73</v>
      </c>
      <c r="H207" t="s">
        <v>48</v>
      </c>
      <c r="I207" t="s">
        <v>97</v>
      </c>
      <c r="J207" t="s">
        <v>101</v>
      </c>
      <c r="K207" t="s">
        <v>38</v>
      </c>
      <c r="L207">
        <v>3</v>
      </c>
      <c r="M207">
        <v>800</v>
      </c>
      <c r="N207">
        <v>40</v>
      </c>
      <c r="O207">
        <v>60</v>
      </c>
      <c r="P207">
        <v>2400</v>
      </c>
      <c r="Q207">
        <v>2420</v>
      </c>
      <c r="R207" t="s">
        <v>39</v>
      </c>
      <c r="S207" t="s">
        <v>31</v>
      </c>
      <c r="T207" t="s">
        <v>40</v>
      </c>
      <c r="U207">
        <v>43</v>
      </c>
      <c r="V207">
        <v>4</v>
      </c>
      <c r="W207">
        <f>Table2[[#This Row],[Quantity]]*Table2[[#This Row],[Item_Price]]</f>
        <v>2400</v>
      </c>
    </row>
    <row r="208" spans="1:23" x14ac:dyDescent="0.25">
      <c r="A208" t="s">
        <v>302</v>
      </c>
      <c r="B208" s="1">
        <v>45672</v>
      </c>
      <c r="C208" t="s">
        <v>23</v>
      </c>
      <c r="D208">
        <v>1</v>
      </c>
      <c r="E208">
        <v>15</v>
      </c>
      <c r="F208" t="s">
        <v>24</v>
      </c>
      <c r="G208" t="s">
        <v>115</v>
      </c>
      <c r="H208" t="s">
        <v>81</v>
      </c>
      <c r="I208" t="s">
        <v>69</v>
      </c>
      <c r="J208" t="s">
        <v>44</v>
      </c>
      <c r="K208" t="s">
        <v>29</v>
      </c>
      <c r="L208">
        <v>3</v>
      </c>
      <c r="M208">
        <v>485</v>
      </c>
      <c r="N208">
        <v>97</v>
      </c>
      <c r="O208">
        <v>20</v>
      </c>
      <c r="P208">
        <v>1455</v>
      </c>
      <c r="Q208">
        <v>1378</v>
      </c>
      <c r="R208" t="s">
        <v>39</v>
      </c>
      <c r="S208" t="s">
        <v>46</v>
      </c>
      <c r="T208" t="s">
        <v>40</v>
      </c>
      <c r="U208">
        <v>37</v>
      </c>
      <c r="W208">
        <f>Table2[[#This Row],[Quantity]]*Table2[[#This Row],[Item_Price]]</f>
        <v>1455</v>
      </c>
    </row>
    <row r="209" spans="1:23" x14ac:dyDescent="0.25">
      <c r="A209" t="s">
        <v>303</v>
      </c>
      <c r="B209" s="1">
        <v>45672</v>
      </c>
      <c r="C209" t="s">
        <v>23</v>
      </c>
      <c r="D209">
        <v>1</v>
      </c>
      <c r="E209">
        <v>15</v>
      </c>
      <c r="F209" t="s">
        <v>24</v>
      </c>
      <c r="G209" t="s">
        <v>73</v>
      </c>
      <c r="H209" t="s">
        <v>135</v>
      </c>
      <c r="I209" t="s">
        <v>97</v>
      </c>
      <c r="J209" t="s">
        <v>53</v>
      </c>
      <c r="K209" t="s">
        <v>38</v>
      </c>
      <c r="L209">
        <v>1</v>
      </c>
      <c r="M209">
        <v>736</v>
      </c>
      <c r="N209">
        <v>36.799999999999997</v>
      </c>
      <c r="O209">
        <v>0</v>
      </c>
      <c r="P209">
        <v>736</v>
      </c>
      <c r="Q209">
        <v>699.2</v>
      </c>
      <c r="R209" t="s">
        <v>112</v>
      </c>
      <c r="S209" t="s">
        <v>31</v>
      </c>
      <c r="T209" t="s">
        <v>40</v>
      </c>
      <c r="U209">
        <v>67</v>
      </c>
      <c r="V209">
        <v>3.6</v>
      </c>
      <c r="W209">
        <f>Table2[[#This Row],[Quantity]]*Table2[[#This Row],[Item_Price]]</f>
        <v>736</v>
      </c>
    </row>
    <row r="210" spans="1:23" x14ac:dyDescent="0.25">
      <c r="A210" t="s">
        <v>304</v>
      </c>
      <c r="B210" s="1">
        <v>45672</v>
      </c>
      <c r="C210" t="s">
        <v>23</v>
      </c>
      <c r="D210">
        <v>1</v>
      </c>
      <c r="E210">
        <v>15</v>
      </c>
      <c r="F210" t="s">
        <v>24</v>
      </c>
      <c r="G210" t="s">
        <v>34</v>
      </c>
      <c r="H210" t="s">
        <v>108</v>
      </c>
      <c r="I210" t="s">
        <v>27</v>
      </c>
      <c r="J210" t="s">
        <v>94</v>
      </c>
      <c r="K210" t="s">
        <v>38</v>
      </c>
      <c r="L210">
        <v>2</v>
      </c>
      <c r="M210">
        <v>805</v>
      </c>
      <c r="N210">
        <v>161</v>
      </c>
      <c r="O210">
        <v>50</v>
      </c>
      <c r="P210">
        <v>1610</v>
      </c>
      <c r="Q210">
        <v>1499</v>
      </c>
      <c r="R210" t="s">
        <v>112</v>
      </c>
      <c r="S210" t="s">
        <v>31</v>
      </c>
      <c r="T210" t="s">
        <v>40</v>
      </c>
      <c r="U210">
        <v>48</v>
      </c>
      <c r="V210">
        <v>4.8</v>
      </c>
      <c r="W210">
        <f>Table2[[#This Row],[Quantity]]*Table2[[#This Row],[Item_Price]]</f>
        <v>1610</v>
      </c>
    </row>
    <row r="211" spans="1:23" x14ac:dyDescent="0.25">
      <c r="A211" t="s">
        <v>305</v>
      </c>
      <c r="B211" s="1">
        <v>45672</v>
      </c>
      <c r="C211" t="s">
        <v>23</v>
      </c>
      <c r="D211">
        <v>1</v>
      </c>
      <c r="E211">
        <v>15</v>
      </c>
      <c r="F211" t="s">
        <v>24</v>
      </c>
      <c r="G211" t="s">
        <v>25</v>
      </c>
      <c r="H211" t="s">
        <v>105</v>
      </c>
      <c r="I211" t="s">
        <v>36</v>
      </c>
      <c r="J211" t="s">
        <v>53</v>
      </c>
      <c r="K211" t="s">
        <v>45</v>
      </c>
      <c r="L211">
        <v>2</v>
      </c>
      <c r="M211">
        <v>487</v>
      </c>
      <c r="N211">
        <v>48.7</v>
      </c>
      <c r="O211">
        <v>30</v>
      </c>
      <c r="P211">
        <v>974</v>
      </c>
      <c r="Q211">
        <v>955.3</v>
      </c>
      <c r="R211" t="s">
        <v>75</v>
      </c>
      <c r="S211" t="s">
        <v>110</v>
      </c>
      <c r="T211" t="s">
        <v>40</v>
      </c>
      <c r="U211">
        <v>63</v>
      </c>
      <c r="W211">
        <f>Table2[[#This Row],[Quantity]]*Table2[[#This Row],[Item_Price]]</f>
        <v>974</v>
      </c>
    </row>
    <row r="212" spans="1:23" x14ac:dyDescent="0.25">
      <c r="A212" t="s">
        <v>306</v>
      </c>
      <c r="B212" s="1">
        <v>45672</v>
      </c>
      <c r="C212" t="s">
        <v>23</v>
      </c>
      <c r="D212">
        <v>1</v>
      </c>
      <c r="E212">
        <v>15</v>
      </c>
      <c r="F212" t="s">
        <v>24</v>
      </c>
      <c r="G212" t="s">
        <v>64</v>
      </c>
      <c r="H212" t="s">
        <v>26</v>
      </c>
      <c r="I212" t="s">
        <v>103</v>
      </c>
      <c r="J212" t="s">
        <v>50</v>
      </c>
      <c r="K212" t="s">
        <v>45</v>
      </c>
      <c r="L212">
        <v>1</v>
      </c>
      <c r="M212">
        <v>814</v>
      </c>
      <c r="N212">
        <v>81.400000000000006</v>
      </c>
      <c r="O212">
        <v>20</v>
      </c>
      <c r="P212">
        <v>814</v>
      </c>
      <c r="Q212">
        <v>752.6</v>
      </c>
      <c r="R212" t="s">
        <v>39</v>
      </c>
      <c r="S212" t="s">
        <v>31</v>
      </c>
      <c r="T212" t="s">
        <v>32</v>
      </c>
      <c r="U212">
        <v>58</v>
      </c>
      <c r="V212">
        <v>3.8</v>
      </c>
      <c r="W212">
        <f>Table2[[#This Row],[Quantity]]*Table2[[#This Row],[Item_Price]]</f>
        <v>814</v>
      </c>
    </row>
    <row r="213" spans="1:23" x14ac:dyDescent="0.25">
      <c r="A213" t="s">
        <v>307</v>
      </c>
      <c r="B213" s="1">
        <v>45672</v>
      </c>
      <c r="C213" t="s">
        <v>23</v>
      </c>
      <c r="D213">
        <v>1</v>
      </c>
      <c r="E213">
        <v>15</v>
      </c>
      <c r="F213" t="s">
        <v>24</v>
      </c>
      <c r="G213" t="s">
        <v>25</v>
      </c>
      <c r="H213" t="s">
        <v>60</v>
      </c>
      <c r="I213" t="s">
        <v>43</v>
      </c>
      <c r="J213" t="s">
        <v>119</v>
      </c>
      <c r="K213" t="s">
        <v>38</v>
      </c>
      <c r="L213">
        <v>2</v>
      </c>
      <c r="M213">
        <v>244</v>
      </c>
      <c r="N213">
        <v>48.8</v>
      </c>
      <c r="O213">
        <v>30</v>
      </c>
      <c r="P213">
        <v>488</v>
      </c>
      <c r="Q213">
        <v>469.2</v>
      </c>
      <c r="R213" t="s">
        <v>39</v>
      </c>
      <c r="S213" t="s">
        <v>31</v>
      </c>
      <c r="T213" t="s">
        <v>40</v>
      </c>
      <c r="U213">
        <v>64</v>
      </c>
      <c r="V213">
        <v>4.7</v>
      </c>
      <c r="W213">
        <f>Table2[[#This Row],[Quantity]]*Table2[[#This Row],[Item_Price]]</f>
        <v>488</v>
      </c>
    </row>
    <row r="214" spans="1:23" x14ac:dyDescent="0.25">
      <c r="A214" t="s">
        <v>308</v>
      </c>
      <c r="B214" s="1">
        <v>45672</v>
      </c>
      <c r="C214" t="s">
        <v>23</v>
      </c>
      <c r="D214">
        <v>1</v>
      </c>
      <c r="E214">
        <v>15</v>
      </c>
      <c r="F214" t="s">
        <v>24</v>
      </c>
      <c r="G214" t="s">
        <v>25</v>
      </c>
      <c r="H214" t="s">
        <v>77</v>
      </c>
      <c r="I214" t="s">
        <v>49</v>
      </c>
      <c r="J214" t="s">
        <v>123</v>
      </c>
      <c r="K214" t="s">
        <v>58</v>
      </c>
      <c r="L214">
        <v>2</v>
      </c>
      <c r="M214">
        <v>844</v>
      </c>
      <c r="N214">
        <v>84.4</v>
      </c>
      <c r="O214">
        <v>0</v>
      </c>
      <c r="P214">
        <v>1688</v>
      </c>
      <c r="Q214">
        <v>1603.6</v>
      </c>
      <c r="R214" t="s">
        <v>39</v>
      </c>
      <c r="S214" t="s">
        <v>31</v>
      </c>
      <c r="T214" t="s">
        <v>32</v>
      </c>
      <c r="U214">
        <v>22</v>
      </c>
      <c r="V214">
        <v>3.8</v>
      </c>
      <c r="W214">
        <f>Table2[[#This Row],[Quantity]]*Table2[[#This Row],[Item_Price]]</f>
        <v>1688</v>
      </c>
    </row>
    <row r="215" spans="1:23" x14ac:dyDescent="0.25">
      <c r="A215" t="s">
        <v>309</v>
      </c>
      <c r="B215" s="1">
        <v>45672</v>
      </c>
      <c r="C215" t="s">
        <v>23</v>
      </c>
      <c r="D215">
        <v>1</v>
      </c>
      <c r="E215">
        <v>15</v>
      </c>
      <c r="F215" t="s">
        <v>24</v>
      </c>
      <c r="G215" t="s">
        <v>73</v>
      </c>
      <c r="H215" t="s">
        <v>135</v>
      </c>
      <c r="I215" t="s">
        <v>61</v>
      </c>
      <c r="J215" t="s">
        <v>44</v>
      </c>
      <c r="K215" t="s">
        <v>38</v>
      </c>
      <c r="L215">
        <v>1</v>
      </c>
      <c r="M215">
        <v>616</v>
      </c>
      <c r="N215">
        <v>0</v>
      </c>
      <c r="O215">
        <v>30</v>
      </c>
      <c r="P215">
        <v>616</v>
      </c>
      <c r="Q215">
        <v>646</v>
      </c>
      <c r="R215" t="s">
        <v>39</v>
      </c>
      <c r="S215" t="s">
        <v>31</v>
      </c>
      <c r="T215" t="s">
        <v>32</v>
      </c>
      <c r="U215">
        <v>46</v>
      </c>
      <c r="V215">
        <v>3.6</v>
      </c>
      <c r="W215">
        <f>Table2[[#This Row],[Quantity]]*Table2[[#This Row],[Item_Price]]</f>
        <v>616</v>
      </c>
    </row>
    <row r="216" spans="1:23" x14ac:dyDescent="0.25">
      <c r="A216" t="s">
        <v>310</v>
      </c>
      <c r="B216" s="1">
        <v>45673</v>
      </c>
      <c r="C216" t="s">
        <v>23</v>
      </c>
      <c r="D216">
        <v>1</v>
      </c>
      <c r="E216">
        <v>16</v>
      </c>
      <c r="F216" t="s">
        <v>88</v>
      </c>
      <c r="G216" t="s">
        <v>80</v>
      </c>
      <c r="H216" t="s">
        <v>108</v>
      </c>
      <c r="I216" t="s">
        <v>36</v>
      </c>
      <c r="J216" t="s">
        <v>70</v>
      </c>
      <c r="K216" t="s">
        <v>38</v>
      </c>
      <c r="L216">
        <v>3</v>
      </c>
      <c r="M216">
        <v>886</v>
      </c>
      <c r="N216">
        <v>44.3</v>
      </c>
      <c r="O216">
        <v>30</v>
      </c>
      <c r="P216">
        <v>2658</v>
      </c>
      <c r="Q216">
        <v>2643.7</v>
      </c>
      <c r="R216" t="s">
        <v>75</v>
      </c>
      <c r="S216" t="s">
        <v>31</v>
      </c>
      <c r="T216" t="s">
        <v>40</v>
      </c>
      <c r="U216">
        <v>65</v>
      </c>
      <c r="V216">
        <v>3.5</v>
      </c>
      <c r="W216">
        <f>Table2[[#This Row],[Quantity]]*Table2[[#This Row],[Item_Price]]</f>
        <v>2658</v>
      </c>
    </row>
    <row r="217" spans="1:23" x14ac:dyDescent="0.25">
      <c r="A217" t="s">
        <v>311</v>
      </c>
      <c r="B217" s="1">
        <v>45673</v>
      </c>
      <c r="C217" t="s">
        <v>23</v>
      </c>
      <c r="D217">
        <v>1</v>
      </c>
      <c r="E217">
        <v>16</v>
      </c>
      <c r="F217" t="s">
        <v>88</v>
      </c>
      <c r="G217" t="s">
        <v>115</v>
      </c>
      <c r="H217" t="s">
        <v>48</v>
      </c>
      <c r="I217" t="s">
        <v>49</v>
      </c>
      <c r="J217" t="s">
        <v>62</v>
      </c>
      <c r="K217" t="s">
        <v>29</v>
      </c>
      <c r="L217">
        <v>1</v>
      </c>
      <c r="M217">
        <v>789</v>
      </c>
      <c r="N217">
        <v>78.900000000000006</v>
      </c>
      <c r="O217">
        <v>30</v>
      </c>
      <c r="P217">
        <v>789</v>
      </c>
      <c r="Q217">
        <v>740.1</v>
      </c>
      <c r="R217" t="s">
        <v>39</v>
      </c>
      <c r="S217" t="s">
        <v>91</v>
      </c>
      <c r="T217" t="s">
        <v>40</v>
      </c>
      <c r="U217">
        <v>48</v>
      </c>
      <c r="W217">
        <f>Table2[[#This Row],[Quantity]]*Table2[[#This Row],[Item_Price]]</f>
        <v>789</v>
      </c>
    </row>
    <row r="218" spans="1:23" x14ac:dyDescent="0.25">
      <c r="A218" t="s">
        <v>312</v>
      </c>
      <c r="B218" s="1">
        <v>45673</v>
      </c>
      <c r="C218" t="s">
        <v>23</v>
      </c>
      <c r="D218">
        <v>1</v>
      </c>
      <c r="E218">
        <v>16</v>
      </c>
      <c r="F218" t="s">
        <v>88</v>
      </c>
      <c r="G218" t="s">
        <v>90</v>
      </c>
      <c r="H218" t="s">
        <v>135</v>
      </c>
      <c r="I218" t="s">
        <v>103</v>
      </c>
      <c r="J218" t="s">
        <v>50</v>
      </c>
      <c r="K218" t="s">
        <v>38</v>
      </c>
      <c r="L218">
        <v>2</v>
      </c>
      <c r="M218">
        <v>522</v>
      </c>
      <c r="N218">
        <v>52.2</v>
      </c>
      <c r="O218">
        <v>40</v>
      </c>
      <c r="P218">
        <v>1044</v>
      </c>
      <c r="Q218">
        <v>1031.8</v>
      </c>
      <c r="R218" t="s">
        <v>112</v>
      </c>
      <c r="S218" t="s">
        <v>31</v>
      </c>
      <c r="T218" t="s">
        <v>40</v>
      </c>
      <c r="U218">
        <v>61</v>
      </c>
      <c r="V218">
        <v>2.8</v>
      </c>
      <c r="W218">
        <f>Table2[[#This Row],[Quantity]]*Table2[[#This Row],[Item_Price]]</f>
        <v>1044</v>
      </c>
    </row>
    <row r="219" spans="1:23" x14ac:dyDescent="0.25">
      <c r="A219" t="s">
        <v>313</v>
      </c>
      <c r="B219" s="1">
        <v>45673</v>
      </c>
      <c r="C219" t="s">
        <v>23</v>
      </c>
      <c r="D219">
        <v>1</v>
      </c>
      <c r="E219">
        <v>16</v>
      </c>
      <c r="F219" t="s">
        <v>88</v>
      </c>
      <c r="G219" t="s">
        <v>64</v>
      </c>
      <c r="H219" t="s">
        <v>68</v>
      </c>
      <c r="I219" t="s">
        <v>85</v>
      </c>
      <c r="J219" t="s">
        <v>53</v>
      </c>
      <c r="K219" t="s">
        <v>58</v>
      </c>
      <c r="L219">
        <v>2</v>
      </c>
      <c r="M219">
        <v>667</v>
      </c>
      <c r="N219">
        <v>100.05</v>
      </c>
      <c r="O219">
        <v>70</v>
      </c>
      <c r="P219">
        <v>1334</v>
      </c>
      <c r="Q219">
        <v>1303.95</v>
      </c>
      <c r="R219" t="s">
        <v>39</v>
      </c>
      <c r="S219" t="s">
        <v>31</v>
      </c>
      <c r="T219" t="s">
        <v>32</v>
      </c>
      <c r="U219">
        <v>55</v>
      </c>
      <c r="V219">
        <v>3.4</v>
      </c>
      <c r="W219">
        <f>Table2[[#This Row],[Quantity]]*Table2[[#This Row],[Item_Price]]</f>
        <v>1334</v>
      </c>
    </row>
    <row r="220" spans="1:23" x14ac:dyDescent="0.25">
      <c r="A220" t="s">
        <v>314</v>
      </c>
      <c r="B220" s="1">
        <v>45673</v>
      </c>
      <c r="C220" t="s">
        <v>23</v>
      </c>
      <c r="D220">
        <v>1</v>
      </c>
      <c r="E220">
        <v>16</v>
      </c>
      <c r="F220" t="s">
        <v>88</v>
      </c>
      <c r="G220" t="s">
        <v>115</v>
      </c>
      <c r="H220" t="s">
        <v>42</v>
      </c>
      <c r="I220" t="s">
        <v>27</v>
      </c>
      <c r="J220" t="s">
        <v>172</v>
      </c>
      <c r="K220" t="s">
        <v>38</v>
      </c>
      <c r="L220">
        <v>1</v>
      </c>
      <c r="M220">
        <v>328</v>
      </c>
      <c r="N220">
        <v>65.599999999999994</v>
      </c>
      <c r="O220">
        <v>20</v>
      </c>
      <c r="P220">
        <v>328</v>
      </c>
      <c r="Q220">
        <v>282.39999999999998</v>
      </c>
      <c r="R220" t="s">
        <v>39</v>
      </c>
      <c r="S220" t="s">
        <v>31</v>
      </c>
      <c r="T220" t="s">
        <v>32</v>
      </c>
      <c r="U220">
        <v>33</v>
      </c>
      <c r="V220">
        <v>4.0999999999999996</v>
      </c>
      <c r="W220">
        <f>Table2[[#This Row],[Quantity]]*Table2[[#This Row],[Item_Price]]</f>
        <v>328</v>
      </c>
    </row>
    <row r="221" spans="1:23" x14ac:dyDescent="0.25">
      <c r="A221" t="s">
        <v>315</v>
      </c>
      <c r="B221" s="1">
        <v>45673</v>
      </c>
      <c r="C221" t="s">
        <v>23</v>
      </c>
      <c r="D221">
        <v>1</v>
      </c>
      <c r="E221">
        <v>16</v>
      </c>
      <c r="F221" t="s">
        <v>88</v>
      </c>
      <c r="G221" t="s">
        <v>115</v>
      </c>
      <c r="H221" t="s">
        <v>56</v>
      </c>
      <c r="I221" t="s">
        <v>43</v>
      </c>
      <c r="J221" t="s">
        <v>74</v>
      </c>
      <c r="K221" t="s">
        <v>45</v>
      </c>
      <c r="L221">
        <v>1</v>
      </c>
      <c r="M221">
        <v>222</v>
      </c>
      <c r="N221">
        <v>0</v>
      </c>
      <c r="O221">
        <v>30</v>
      </c>
      <c r="P221">
        <v>222</v>
      </c>
      <c r="Q221">
        <v>252</v>
      </c>
      <c r="R221" t="s">
        <v>98</v>
      </c>
      <c r="S221" t="s">
        <v>31</v>
      </c>
      <c r="T221" t="s">
        <v>32</v>
      </c>
      <c r="U221">
        <v>41</v>
      </c>
      <c r="V221">
        <v>3.6</v>
      </c>
      <c r="W221">
        <f>Table2[[#This Row],[Quantity]]*Table2[[#This Row],[Item_Price]]</f>
        <v>222</v>
      </c>
    </row>
    <row r="222" spans="1:23" x14ac:dyDescent="0.25">
      <c r="A222" t="s">
        <v>316</v>
      </c>
      <c r="B222" s="1">
        <v>45673</v>
      </c>
      <c r="C222" t="s">
        <v>23</v>
      </c>
      <c r="D222">
        <v>1</v>
      </c>
      <c r="E222">
        <v>16</v>
      </c>
      <c r="F222" t="s">
        <v>88</v>
      </c>
      <c r="G222" t="s">
        <v>80</v>
      </c>
      <c r="H222" t="s">
        <v>77</v>
      </c>
      <c r="I222" t="s">
        <v>49</v>
      </c>
      <c r="J222" t="s">
        <v>119</v>
      </c>
      <c r="K222" t="s">
        <v>38</v>
      </c>
      <c r="L222">
        <v>2</v>
      </c>
      <c r="M222">
        <v>380</v>
      </c>
      <c r="N222">
        <v>0</v>
      </c>
      <c r="O222">
        <v>30</v>
      </c>
      <c r="P222">
        <v>760</v>
      </c>
      <c r="Q222">
        <v>790</v>
      </c>
      <c r="R222" t="s">
        <v>39</v>
      </c>
      <c r="S222" t="s">
        <v>31</v>
      </c>
      <c r="T222" t="s">
        <v>32</v>
      </c>
      <c r="U222">
        <v>68</v>
      </c>
      <c r="V222">
        <v>3.9</v>
      </c>
      <c r="W222">
        <f>Table2[[#This Row],[Quantity]]*Table2[[#This Row],[Item_Price]]</f>
        <v>760</v>
      </c>
    </row>
    <row r="223" spans="1:23" x14ac:dyDescent="0.25">
      <c r="A223" t="s">
        <v>317</v>
      </c>
      <c r="B223" s="1">
        <v>45673</v>
      </c>
      <c r="C223" t="s">
        <v>23</v>
      </c>
      <c r="D223">
        <v>1</v>
      </c>
      <c r="E223">
        <v>16</v>
      </c>
      <c r="F223" t="s">
        <v>88</v>
      </c>
      <c r="G223" t="s">
        <v>73</v>
      </c>
      <c r="H223" t="s">
        <v>42</v>
      </c>
      <c r="I223" t="s">
        <v>97</v>
      </c>
      <c r="J223" t="s">
        <v>28</v>
      </c>
      <c r="K223" t="s">
        <v>38</v>
      </c>
      <c r="L223">
        <v>1</v>
      </c>
      <c r="M223">
        <v>627</v>
      </c>
      <c r="N223">
        <v>62.7</v>
      </c>
      <c r="O223">
        <v>50</v>
      </c>
      <c r="P223">
        <v>627</v>
      </c>
      <c r="Q223">
        <v>614.29999999999995</v>
      </c>
      <c r="R223" t="s">
        <v>75</v>
      </c>
      <c r="S223" t="s">
        <v>91</v>
      </c>
      <c r="T223" t="s">
        <v>40</v>
      </c>
      <c r="U223">
        <v>56</v>
      </c>
      <c r="W223">
        <f>Table2[[#This Row],[Quantity]]*Table2[[#This Row],[Item_Price]]</f>
        <v>627</v>
      </c>
    </row>
    <row r="224" spans="1:23" x14ac:dyDescent="0.25">
      <c r="A224" t="s">
        <v>318</v>
      </c>
      <c r="B224" s="1">
        <v>45673</v>
      </c>
      <c r="C224" t="s">
        <v>23</v>
      </c>
      <c r="D224">
        <v>1</v>
      </c>
      <c r="E224">
        <v>16</v>
      </c>
      <c r="F224" t="s">
        <v>88</v>
      </c>
      <c r="G224" t="s">
        <v>115</v>
      </c>
      <c r="H224" t="s">
        <v>52</v>
      </c>
      <c r="I224" t="s">
        <v>69</v>
      </c>
      <c r="J224" t="s">
        <v>94</v>
      </c>
      <c r="K224" t="s">
        <v>38</v>
      </c>
      <c r="L224">
        <v>2</v>
      </c>
      <c r="M224">
        <v>486</v>
      </c>
      <c r="N224">
        <v>0</v>
      </c>
      <c r="O224">
        <v>40</v>
      </c>
      <c r="P224">
        <v>972</v>
      </c>
      <c r="Q224">
        <v>1012</v>
      </c>
      <c r="R224" t="s">
        <v>39</v>
      </c>
      <c r="S224" t="s">
        <v>31</v>
      </c>
      <c r="T224" t="s">
        <v>40</v>
      </c>
      <c r="U224">
        <v>41</v>
      </c>
      <c r="V224">
        <v>3.4</v>
      </c>
      <c r="W224">
        <f>Table2[[#This Row],[Quantity]]*Table2[[#This Row],[Item_Price]]</f>
        <v>972</v>
      </c>
    </row>
    <row r="225" spans="1:23" x14ac:dyDescent="0.25">
      <c r="A225" t="s">
        <v>319</v>
      </c>
      <c r="B225" s="1">
        <v>45673</v>
      </c>
      <c r="C225" t="s">
        <v>23</v>
      </c>
      <c r="D225">
        <v>1</v>
      </c>
      <c r="E225">
        <v>16</v>
      </c>
      <c r="F225" t="s">
        <v>88</v>
      </c>
      <c r="G225" t="s">
        <v>25</v>
      </c>
      <c r="H225" t="s">
        <v>65</v>
      </c>
      <c r="I225" t="s">
        <v>43</v>
      </c>
      <c r="J225" t="s">
        <v>50</v>
      </c>
      <c r="K225" t="s">
        <v>45</v>
      </c>
      <c r="L225">
        <v>2</v>
      </c>
      <c r="M225">
        <v>552</v>
      </c>
      <c r="N225">
        <v>82.8</v>
      </c>
      <c r="O225">
        <v>20</v>
      </c>
      <c r="P225">
        <v>1104</v>
      </c>
      <c r="Q225">
        <v>1041.2</v>
      </c>
      <c r="R225" t="s">
        <v>39</v>
      </c>
      <c r="S225" t="s">
        <v>31</v>
      </c>
      <c r="T225" t="s">
        <v>32</v>
      </c>
      <c r="U225">
        <v>50</v>
      </c>
      <c r="V225">
        <v>4.7</v>
      </c>
      <c r="W225">
        <f>Table2[[#This Row],[Quantity]]*Table2[[#This Row],[Item_Price]]</f>
        <v>1104</v>
      </c>
    </row>
    <row r="226" spans="1:23" x14ac:dyDescent="0.25">
      <c r="A226" t="s">
        <v>320</v>
      </c>
      <c r="B226" s="1">
        <v>45673</v>
      </c>
      <c r="C226" t="s">
        <v>23</v>
      </c>
      <c r="D226">
        <v>1</v>
      </c>
      <c r="E226">
        <v>16</v>
      </c>
      <c r="F226" t="s">
        <v>88</v>
      </c>
      <c r="G226" t="s">
        <v>84</v>
      </c>
      <c r="H226" t="s">
        <v>77</v>
      </c>
      <c r="I226" t="s">
        <v>97</v>
      </c>
      <c r="J226" t="s">
        <v>123</v>
      </c>
      <c r="K226" t="s">
        <v>38</v>
      </c>
      <c r="L226">
        <v>2</v>
      </c>
      <c r="M226">
        <v>456</v>
      </c>
      <c r="N226">
        <v>22.8</v>
      </c>
      <c r="O226">
        <v>60</v>
      </c>
      <c r="P226">
        <v>912</v>
      </c>
      <c r="Q226">
        <v>949.2</v>
      </c>
      <c r="R226" t="s">
        <v>112</v>
      </c>
      <c r="S226" t="s">
        <v>31</v>
      </c>
      <c r="T226" t="s">
        <v>40</v>
      </c>
      <c r="U226">
        <v>42</v>
      </c>
      <c r="V226">
        <v>4.2</v>
      </c>
      <c r="W226">
        <f>Table2[[#This Row],[Quantity]]*Table2[[#This Row],[Item_Price]]</f>
        <v>912</v>
      </c>
    </row>
    <row r="227" spans="1:23" x14ac:dyDescent="0.25">
      <c r="A227" t="s">
        <v>321</v>
      </c>
      <c r="B227" s="1">
        <v>45674</v>
      </c>
      <c r="C227" t="s">
        <v>23</v>
      </c>
      <c r="D227">
        <v>1</v>
      </c>
      <c r="E227">
        <v>17</v>
      </c>
      <c r="F227" t="s">
        <v>114</v>
      </c>
      <c r="G227" t="s">
        <v>64</v>
      </c>
      <c r="H227" t="s">
        <v>42</v>
      </c>
      <c r="I227" t="s">
        <v>85</v>
      </c>
      <c r="J227" t="s">
        <v>123</v>
      </c>
      <c r="K227" t="s">
        <v>58</v>
      </c>
      <c r="L227">
        <v>1</v>
      </c>
      <c r="M227">
        <v>340</v>
      </c>
      <c r="N227">
        <v>51</v>
      </c>
      <c r="O227">
        <v>20</v>
      </c>
      <c r="P227">
        <v>340</v>
      </c>
      <c r="Q227">
        <v>309</v>
      </c>
      <c r="R227" t="s">
        <v>39</v>
      </c>
      <c r="S227" t="s">
        <v>31</v>
      </c>
      <c r="T227" t="s">
        <v>40</v>
      </c>
      <c r="U227">
        <v>19</v>
      </c>
      <c r="V227">
        <v>5</v>
      </c>
      <c r="W227">
        <f>Table2[[#This Row],[Quantity]]*Table2[[#This Row],[Item_Price]]</f>
        <v>340</v>
      </c>
    </row>
    <row r="228" spans="1:23" x14ac:dyDescent="0.25">
      <c r="A228" t="s">
        <v>322</v>
      </c>
      <c r="B228" s="1">
        <v>45674</v>
      </c>
      <c r="C228" t="s">
        <v>23</v>
      </c>
      <c r="D228">
        <v>1</v>
      </c>
      <c r="E228">
        <v>17</v>
      </c>
      <c r="F228" t="s">
        <v>114</v>
      </c>
      <c r="G228" t="s">
        <v>96</v>
      </c>
      <c r="H228" t="s">
        <v>139</v>
      </c>
      <c r="I228" t="s">
        <v>103</v>
      </c>
      <c r="J228" t="s">
        <v>62</v>
      </c>
      <c r="K228" t="s">
        <v>58</v>
      </c>
      <c r="L228">
        <v>1</v>
      </c>
      <c r="M228">
        <v>434</v>
      </c>
      <c r="N228">
        <v>65.099999999999994</v>
      </c>
      <c r="O228">
        <v>40</v>
      </c>
      <c r="P228">
        <v>434</v>
      </c>
      <c r="Q228">
        <v>408.9</v>
      </c>
      <c r="R228" t="s">
        <v>75</v>
      </c>
      <c r="S228" t="s">
        <v>31</v>
      </c>
      <c r="T228" t="s">
        <v>40</v>
      </c>
      <c r="U228">
        <v>34</v>
      </c>
      <c r="V228">
        <v>4.0999999999999996</v>
      </c>
      <c r="W228">
        <f>Table2[[#This Row],[Quantity]]*Table2[[#This Row],[Item_Price]]</f>
        <v>434</v>
      </c>
    </row>
    <row r="229" spans="1:23" x14ac:dyDescent="0.25">
      <c r="A229" t="s">
        <v>323</v>
      </c>
      <c r="B229" s="1">
        <v>45674</v>
      </c>
      <c r="C229" t="s">
        <v>23</v>
      </c>
      <c r="D229">
        <v>1</v>
      </c>
      <c r="E229">
        <v>17</v>
      </c>
      <c r="F229" t="s">
        <v>114</v>
      </c>
      <c r="G229" t="s">
        <v>80</v>
      </c>
      <c r="H229" t="s">
        <v>105</v>
      </c>
      <c r="I229" t="s">
        <v>57</v>
      </c>
      <c r="J229" t="s">
        <v>101</v>
      </c>
      <c r="K229" t="s">
        <v>58</v>
      </c>
      <c r="L229">
        <v>2</v>
      </c>
      <c r="M229">
        <v>336</v>
      </c>
      <c r="N229">
        <v>33.6</v>
      </c>
      <c r="O229">
        <v>50</v>
      </c>
      <c r="P229">
        <v>672</v>
      </c>
      <c r="Q229">
        <v>688.4</v>
      </c>
      <c r="R229" t="s">
        <v>30</v>
      </c>
      <c r="S229" t="s">
        <v>31</v>
      </c>
      <c r="T229" t="s">
        <v>32</v>
      </c>
      <c r="U229">
        <v>48</v>
      </c>
      <c r="V229">
        <v>4.3</v>
      </c>
      <c r="W229">
        <f>Table2[[#This Row],[Quantity]]*Table2[[#This Row],[Item_Price]]</f>
        <v>672</v>
      </c>
    </row>
    <row r="230" spans="1:23" x14ac:dyDescent="0.25">
      <c r="A230" t="s">
        <v>324</v>
      </c>
      <c r="B230" s="1">
        <v>45674</v>
      </c>
      <c r="C230" t="s">
        <v>23</v>
      </c>
      <c r="D230">
        <v>1</v>
      </c>
      <c r="E230">
        <v>17</v>
      </c>
      <c r="F230" t="s">
        <v>114</v>
      </c>
      <c r="G230" t="s">
        <v>25</v>
      </c>
      <c r="H230" t="s">
        <v>105</v>
      </c>
      <c r="I230" t="s">
        <v>97</v>
      </c>
      <c r="J230" t="s">
        <v>37</v>
      </c>
      <c r="K230" t="s">
        <v>38</v>
      </c>
      <c r="L230">
        <v>1</v>
      </c>
      <c r="M230">
        <v>801</v>
      </c>
      <c r="N230">
        <v>0</v>
      </c>
      <c r="O230">
        <v>60</v>
      </c>
      <c r="P230">
        <v>801</v>
      </c>
      <c r="Q230">
        <v>861</v>
      </c>
      <c r="R230" t="s">
        <v>39</v>
      </c>
      <c r="S230" t="s">
        <v>31</v>
      </c>
      <c r="T230" t="s">
        <v>40</v>
      </c>
      <c r="U230">
        <v>49</v>
      </c>
      <c r="V230">
        <v>4.4000000000000004</v>
      </c>
      <c r="W230">
        <f>Table2[[#This Row],[Quantity]]*Table2[[#This Row],[Item_Price]]</f>
        <v>801</v>
      </c>
    </row>
    <row r="231" spans="1:23" x14ac:dyDescent="0.25">
      <c r="A231" t="s">
        <v>325</v>
      </c>
      <c r="B231" s="1">
        <v>45674</v>
      </c>
      <c r="C231" t="s">
        <v>23</v>
      </c>
      <c r="D231">
        <v>1</v>
      </c>
      <c r="E231">
        <v>17</v>
      </c>
      <c r="F231" t="s">
        <v>114</v>
      </c>
      <c r="G231" t="s">
        <v>80</v>
      </c>
      <c r="H231" t="s">
        <v>42</v>
      </c>
      <c r="I231" t="s">
        <v>69</v>
      </c>
      <c r="J231" t="s">
        <v>44</v>
      </c>
      <c r="K231" t="s">
        <v>58</v>
      </c>
      <c r="L231">
        <v>1</v>
      </c>
      <c r="M231">
        <v>358</v>
      </c>
      <c r="N231">
        <v>53.7</v>
      </c>
      <c r="O231">
        <v>60</v>
      </c>
      <c r="P231">
        <v>358</v>
      </c>
      <c r="Q231">
        <v>364.3</v>
      </c>
      <c r="R231" t="s">
        <v>112</v>
      </c>
      <c r="S231" t="s">
        <v>31</v>
      </c>
      <c r="T231" t="s">
        <v>32</v>
      </c>
      <c r="U231">
        <v>41</v>
      </c>
      <c r="V231">
        <v>3.6</v>
      </c>
      <c r="W231">
        <f>Table2[[#This Row],[Quantity]]*Table2[[#This Row],[Item_Price]]</f>
        <v>358</v>
      </c>
    </row>
    <row r="232" spans="1:23" x14ac:dyDescent="0.25">
      <c r="A232" t="s">
        <v>326</v>
      </c>
      <c r="B232" s="1">
        <v>45674</v>
      </c>
      <c r="C232" t="s">
        <v>23</v>
      </c>
      <c r="D232">
        <v>1</v>
      </c>
      <c r="E232">
        <v>17</v>
      </c>
      <c r="F232" t="s">
        <v>114</v>
      </c>
      <c r="G232" t="s">
        <v>64</v>
      </c>
      <c r="H232" t="s">
        <v>60</v>
      </c>
      <c r="I232" t="s">
        <v>49</v>
      </c>
      <c r="J232" t="s">
        <v>62</v>
      </c>
      <c r="K232" t="s">
        <v>38</v>
      </c>
      <c r="L232">
        <v>1</v>
      </c>
      <c r="M232">
        <v>395</v>
      </c>
      <c r="N232">
        <v>19.75</v>
      </c>
      <c r="O232">
        <v>50</v>
      </c>
      <c r="P232">
        <v>395</v>
      </c>
      <c r="Q232">
        <v>425.25</v>
      </c>
      <c r="R232" t="s">
        <v>75</v>
      </c>
      <c r="S232" t="s">
        <v>31</v>
      </c>
      <c r="T232" t="s">
        <v>40</v>
      </c>
      <c r="U232">
        <v>62</v>
      </c>
      <c r="V232">
        <v>5</v>
      </c>
      <c r="W232">
        <f>Table2[[#This Row],[Quantity]]*Table2[[#This Row],[Item_Price]]</f>
        <v>395</v>
      </c>
    </row>
    <row r="233" spans="1:23" x14ac:dyDescent="0.25">
      <c r="A233" t="s">
        <v>327</v>
      </c>
      <c r="B233" s="1">
        <v>45674</v>
      </c>
      <c r="C233" t="s">
        <v>23</v>
      </c>
      <c r="D233">
        <v>1</v>
      </c>
      <c r="E233">
        <v>17</v>
      </c>
      <c r="F233" t="s">
        <v>114</v>
      </c>
      <c r="G233" t="s">
        <v>80</v>
      </c>
      <c r="H233" t="s">
        <v>48</v>
      </c>
      <c r="I233" t="s">
        <v>103</v>
      </c>
      <c r="J233" t="s">
        <v>62</v>
      </c>
      <c r="K233" t="s">
        <v>38</v>
      </c>
      <c r="L233">
        <v>3</v>
      </c>
      <c r="M233">
        <v>576</v>
      </c>
      <c r="N233">
        <v>86.4</v>
      </c>
      <c r="O233">
        <v>50</v>
      </c>
      <c r="P233">
        <v>1728</v>
      </c>
      <c r="Q233">
        <v>1691.6</v>
      </c>
      <c r="R233" t="s">
        <v>39</v>
      </c>
      <c r="S233" t="s">
        <v>31</v>
      </c>
      <c r="T233" t="s">
        <v>32</v>
      </c>
      <c r="U233">
        <v>31</v>
      </c>
      <c r="V233">
        <v>4.5</v>
      </c>
      <c r="W233">
        <f>Table2[[#This Row],[Quantity]]*Table2[[#This Row],[Item_Price]]</f>
        <v>1728</v>
      </c>
    </row>
    <row r="234" spans="1:23" x14ac:dyDescent="0.25">
      <c r="A234" t="s">
        <v>328</v>
      </c>
      <c r="B234" s="1">
        <v>45674</v>
      </c>
      <c r="C234" t="s">
        <v>23</v>
      </c>
      <c r="D234">
        <v>1</v>
      </c>
      <c r="E234">
        <v>17</v>
      </c>
      <c r="F234" t="s">
        <v>114</v>
      </c>
      <c r="G234" t="s">
        <v>84</v>
      </c>
      <c r="H234" t="s">
        <v>48</v>
      </c>
      <c r="I234" t="s">
        <v>69</v>
      </c>
      <c r="J234" t="s">
        <v>101</v>
      </c>
      <c r="K234" t="s">
        <v>45</v>
      </c>
      <c r="L234">
        <v>2</v>
      </c>
      <c r="M234">
        <v>597</v>
      </c>
      <c r="N234">
        <v>119.4</v>
      </c>
      <c r="O234">
        <v>50</v>
      </c>
      <c r="P234">
        <v>1194</v>
      </c>
      <c r="Q234">
        <v>1124.5999999999999</v>
      </c>
      <c r="R234" t="s">
        <v>112</v>
      </c>
      <c r="S234" t="s">
        <v>31</v>
      </c>
      <c r="T234" t="s">
        <v>40</v>
      </c>
      <c r="U234">
        <v>69</v>
      </c>
      <c r="V234">
        <v>4.0999999999999996</v>
      </c>
      <c r="W234">
        <f>Table2[[#This Row],[Quantity]]*Table2[[#This Row],[Item_Price]]</f>
        <v>1194</v>
      </c>
    </row>
    <row r="235" spans="1:23" x14ac:dyDescent="0.25">
      <c r="A235" t="s">
        <v>329</v>
      </c>
      <c r="B235" s="1">
        <v>45674</v>
      </c>
      <c r="C235" t="s">
        <v>23</v>
      </c>
      <c r="D235">
        <v>1</v>
      </c>
      <c r="E235">
        <v>17</v>
      </c>
      <c r="F235" t="s">
        <v>114</v>
      </c>
      <c r="G235" t="s">
        <v>64</v>
      </c>
      <c r="H235" t="s">
        <v>108</v>
      </c>
      <c r="I235" t="s">
        <v>61</v>
      </c>
      <c r="J235" t="s">
        <v>66</v>
      </c>
      <c r="K235" t="s">
        <v>38</v>
      </c>
      <c r="L235">
        <v>2</v>
      </c>
      <c r="M235">
        <v>165</v>
      </c>
      <c r="N235">
        <v>16.5</v>
      </c>
      <c r="O235">
        <v>70</v>
      </c>
      <c r="P235">
        <v>330</v>
      </c>
      <c r="Q235">
        <v>383.5</v>
      </c>
      <c r="R235" t="s">
        <v>39</v>
      </c>
      <c r="S235" t="s">
        <v>31</v>
      </c>
      <c r="T235" t="s">
        <v>40</v>
      </c>
      <c r="U235">
        <v>59</v>
      </c>
      <c r="V235">
        <v>5</v>
      </c>
      <c r="W235">
        <f>Table2[[#This Row],[Quantity]]*Table2[[#This Row],[Item_Price]]</f>
        <v>330</v>
      </c>
    </row>
    <row r="236" spans="1:23" x14ac:dyDescent="0.25">
      <c r="A236" t="s">
        <v>330</v>
      </c>
      <c r="B236" s="1">
        <v>45674</v>
      </c>
      <c r="C236" t="s">
        <v>23</v>
      </c>
      <c r="D236">
        <v>1</v>
      </c>
      <c r="E236">
        <v>17</v>
      </c>
      <c r="F236" t="s">
        <v>114</v>
      </c>
      <c r="G236" t="s">
        <v>84</v>
      </c>
      <c r="H236" t="s">
        <v>35</v>
      </c>
      <c r="I236" t="s">
        <v>57</v>
      </c>
      <c r="J236" t="s">
        <v>94</v>
      </c>
      <c r="K236" t="s">
        <v>58</v>
      </c>
      <c r="L236">
        <v>1</v>
      </c>
      <c r="M236">
        <v>650</v>
      </c>
      <c r="N236">
        <v>162.5</v>
      </c>
      <c r="O236">
        <v>0</v>
      </c>
      <c r="P236">
        <v>650</v>
      </c>
      <c r="Q236">
        <v>487.5</v>
      </c>
      <c r="R236" t="s">
        <v>75</v>
      </c>
      <c r="S236" t="s">
        <v>31</v>
      </c>
      <c r="T236" t="s">
        <v>32</v>
      </c>
      <c r="U236">
        <v>69</v>
      </c>
      <c r="V236">
        <v>4.5</v>
      </c>
      <c r="W236">
        <f>Table2[[#This Row],[Quantity]]*Table2[[#This Row],[Item_Price]]</f>
        <v>650</v>
      </c>
    </row>
    <row r="237" spans="1:23" x14ac:dyDescent="0.25">
      <c r="A237" t="s">
        <v>331</v>
      </c>
      <c r="B237" s="1">
        <v>45674</v>
      </c>
      <c r="C237" t="s">
        <v>23</v>
      </c>
      <c r="D237">
        <v>1</v>
      </c>
      <c r="E237">
        <v>17</v>
      </c>
      <c r="F237" t="s">
        <v>114</v>
      </c>
      <c r="G237" t="s">
        <v>55</v>
      </c>
      <c r="H237" t="s">
        <v>65</v>
      </c>
      <c r="I237" t="s">
        <v>61</v>
      </c>
      <c r="J237" t="s">
        <v>70</v>
      </c>
      <c r="K237" t="s">
        <v>45</v>
      </c>
      <c r="L237">
        <v>2</v>
      </c>
      <c r="M237">
        <v>269</v>
      </c>
      <c r="N237">
        <v>0</v>
      </c>
      <c r="O237">
        <v>50</v>
      </c>
      <c r="P237">
        <v>538</v>
      </c>
      <c r="Q237">
        <v>588</v>
      </c>
      <c r="R237" t="s">
        <v>30</v>
      </c>
      <c r="S237" t="s">
        <v>110</v>
      </c>
      <c r="T237" t="s">
        <v>40</v>
      </c>
      <c r="U237">
        <v>27</v>
      </c>
      <c r="W237">
        <f>Table2[[#This Row],[Quantity]]*Table2[[#This Row],[Item_Price]]</f>
        <v>538</v>
      </c>
    </row>
    <row r="238" spans="1:23" x14ac:dyDescent="0.25">
      <c r="A238" t="s">
        <v>332</v>
      </c>
      <c r="B238" s="1">
        <v>45674</v>
      </c>
      <c r="C238" t="s">
        <v>23</v>
      </c>
      <c r="D238">
        <v>1</v>
      </c>
      <c r="E238">
        <v>17</v>
      </c>
      <c r="F238" t="s">
        <v>114</v>
      </c>
      <c r="G238" t="s">
        <v>55</v>
      </c>
      <c r="H238" t="s">
        <v>42</v>
      </c>
      <c r="I238" t="s">
        <v>27</v>
      </c>
      <c r="J238" t="s">
        <v>66</v>
      </c>
      <c r="K238" t="s">
        <v>58</v>
      </c>
      <c r="L238">
        <v>1</v>
      </c>
      <c r="M238">
        <v>815</v>
      </c>
      <c r="N238">
        <v>122.25</v>
      </c>
      <c r="O238">
        <v>70</v>
      </c>
      <c r="P238">
        <v>815</v>
      </c>
      <c r="Q238">
        <v>762.75</v>
      </c>
      <c r="R238" t="s">
        <v>30</v>
      </c>
      <c r="S238" t="s">
        <v>91</v>
      </c>
      <c r="T238" t="s">
        <v>40</v>
      </c>
      <c r="U238">
        <v>61</v>
      </c>
      <c r="W238">
        <f>Table2[[#This Row],[Quantity]]*Table2[[#This Row],[Item_Price]]</f>
        <v>815</v>
      </c>
    </row>
    <row r="239" spans="1:23" x14ac:dyDescent="0.25">
      <c r="A239" t="s">
        <v>333</v>
      </c>
      <c r="B239" s="1">
        <v>45674</v>
      </c>
      <c r="C239" t="s">
        <v>23</v>
      </c>
      <c r="D239">
        <v>1</v>
      </c>
      <c r="E239">
        <v>17</v>
      </c>
      <c r="F239" t="s">
        <v>114</v>
      </c>
      <c r="G239" t="s">
        <v>34</v>
      </c>
      <c r="H239" t="s">
        <v>81</v>
      </c>
      <c r="I239" t="s">
        <v>85</v>
      </c>
      <c r="J239" t="s">
        <v>50</v>
      </c>
      <c r="K239" t="s">
        <v>38</v>
      </c>
      <c r="L239">
        <v>1</v>
      </c>
      <c r="M239">
        <v>322</v>
      </c>
      <c r="N239">
        <v>48.3</v>
      </c>
      <c r="O239">
        <v>40</v>
      </c>
      <c r="P239">
        <v>322</v>
      </c>
      <c r="Q239">
        <v>313.7</v>
      </c>
      <c r="R239" t="s">
        <v>39</v>
      </c>
      <c r="S239" t="s">
        <v>31</v>
      </c>
      <c r="T239" t="s">
        <v>40</v>
      </c>
      <c r="U239">
        <v>28</v>
      </c>
      <c r="V239">
        <v>4.3</v>
      </c>
      <c r="W239">
        <f>Table2[[#This Row],[Quantity]]*Table2[[#This Row],[Item_Price]]</f>
        <v>322</v>
      </c>
    </row>
    <row r="240" spans="1:23" x14ac:dyDescent="0.25">
      <c r="A240" t="s">
        <v>334</v>
      </c>
      <c r="B240" s="1">
        <v>45674</v>
      </c>
      <c r="C240" t="s">
        <v>23</v>
      </c>
      <c r="D240">
        <v>1</v>
      </c>
      <c r="E240">
        <v>17</v>
      </c>
      <c r="F240" t="s">
        <v>114</v>
      </c>
      <c r="G240" t="s">
        <v>25</v>
      </c>
      <c r="H240" t="s">
        <v>42</v>
      </c>
      <c r="I240" t="s">
        <v>57</v>
      </c>
      <c r="J240" t="s">
        <v>119</v>
      </c>
      <c r="K240" t="s">
        <v>45</v>
      </c>
      <c r="L240">
        <v>3</v>
      </c>
      <c r="M240">
        <v>777</v>
      </c>
      <c r="N240">
        <v>194.25</v>
      </c>
      <c r="O240">
        <v>0</v>
      </c>
      <c r="P240">
        <v>2331</v>
      </c>
      <c r="Q240">
        <v>2136.75</v>
      </c>
      <c r="R240" t="s">
        <v>39</v>
      </c>
      <c r="S240" t="s">
        <v>31</v>
      </c>
      <c r="T240" t="s">
        <v>32</v>
      </c>
      <c r="U240">
        <v>32</v>
      </c>
      <c r="V240">
        <v>3.9</v>
      </c>
      <c r="W240">
        <f>Table2[[#This Row],[Quantity]]*Table2[[#This Row],[Item_Price]]</f>
        <v>2331</v>
      </c>
    </row>
    <row r="241" spans="1:23" x14ac:dyDescent="0.25">
      <c r="A241" t="s">
        <v>335</v>
      </c>
      <c r="B241" s="1">
        <v>45674</v>
      </c>
      <c r="C241" t="s">
        <v>23</v>
      </c>
      <c r="D241">
        <v>1</v>
      </c>
      <c r="E241">
        <v>17</v>
      </c>
      <c r="F241" t="s">
        <v>114</v>
      </c>
      <c r="G241" t="s">
        <v>64</v>
      </c>
      <c r="H241" t="s">
        <v>60</v>
      </c>
      <c r="I241" t="s">
        <v>36</v>
      </c>
      <c r="J241" t="s">
        <v>66</v>
      </c>
      <c r="K241" t="s">
        <v>45</v>
      </c>
      <c r="L241">
        <v>2</v>
      </c>
      <c r="M241">
        <v>433</v>
      </c>
      <c r="N241">
        <v>0</v>
      </c>
      <c r="O241">
        <v>20</v>
      </c>
      <c r="P241">
        <v>866</v>
      </c>
      <c r="Q241">
        <v>886</v>
      </c>
      <c r="R241" t="s">
        <v>39</v>
      </c>
      <c r="S241" t="s">
        <v>31</v>
      </c>
      <c r="T241" t="s">
        <v>32</v>
      </c>
      <c r="U241">
        <v>67</v>
      </c>
      <c r="V241">
        <v>4.5</v>
      </c>
      <c r="W241">
        <f>Table2[[#This Row],[Quantity]]*Table2[[#This Row],[Item_Price]]</f>
        <v>866</v>
      </c>
    </row>
    <row r="242" spans="1:23" x14ac:dyDescent="0.25">
      <c r="A242" t="s">
        <v>336</v>
      </c>
      <c r="B242" s="1">
        <v>45674</v>
      </c>
      <c r="C242" t="s">
        <v>23</v>
      </c>
      <c r="D242">
        <v>1</v>
      </c>
      <c r="E242">
        <v>17</v>
      </c>
      <c r="F242" t="s">
        <v>114</v>
      </c>
      <c r="G242" t="s">
        <v>34</v>
      </c>
      <c r="H242" t="s">
        <v>108</v>
      </c>
      <c r="I242" t="s">
        <v>61</v>
      </c>
      <c r="J242" t="s">
        <v>74</v>
      </c>
      <c r="K242" t="s">
        <v>45</v>
      </c>
      <c r="L242">
        <v>2</v>
      </c>
      <c r="M242">
        <v>320</v>
      </c>
      <c r="N242">
        <v>32</v>
      </c>
      <c r="O242">
        <v>0</v>
      </c>
      <c r="P242">
        <v>640</v>
      </c>
      <c r="Q242">
        <v>608</v>
      </c>
      <c r="R242" t="s">
        <v>39</v>
      </c>
      <c r="S242" t="s">
        <v>31</v>
      </c>
      <c r="T242" t="s">
        <v>40</v>
      </c>
      <c r="U242">
        <v>24</v>
      </c>
      <c r="V242">
        <v>3.8</v>
      </c>
      <c r="W242">
        <f>Table2[[#This Row],[Quantity]]*Table2[[#This Row],[Item_Price]]</f>
        <v>640</v>
      </c>
    </row>
    <row r="243" spans="1:23" x14ac:dyDescent="0.25">
      <c r="A243" t="s">
        <v>337</v>
      </c>
      <c r="B243" s="1">
        <v>45674</v>
      </c>
      <c r="C243" t="s">
        <v>23</v>
      </c>
      <c r="D243">
        <v>1</v>
      </c>
      <c r="E243">
        <v>17</v>
      </c>
      <c r="F243" t="s">
        <v>114</v>
      </c>
      <c r="G243" t="s">
        <v>90</v>
      </c>
      <c r="H243" t="s">
        <v>42</v>
      </c>
      <c r="I243" t="s">
        <v>49</v>
      </c>
      <c r="J243" t="s">
        <v>119</v>
      </c>
      <c r="K243" t="s">
        <v>38</v>
      </c>
      <c r="L243">
        <v>1</v>
      </c>
      <c r="M243">
        <v>484</v>
      </c>
      <c r="N243">
        <v>0</v>
      </c>
      <c r="O243">
        <v>20</v>
      </c>
      <c r="P243">
        <v>484</v>
      </c>
      <c r="Q243">
        <v>504</v>
      </c>
      <c r="R243" t="s">
        <v>39</v>
      </c>
      <c r="S243" t="s">
        <v>31</v>
      </c>
      <c r="T243" t="s">
        <v>40</v>
      </c>
      <c r="U243">
        <v>65</v>
      </c>
      <c r="V243">
        <v>4.7</v>
      </c>
      <c r="W243">
        <f>Table2[[#This Row],[Quantity]]*Table2[[#This Row],[Item_Price]]</f>
        <v>484</v>
      </c>
    </row>
    <row r="244" spans="1:23" x14ac:dyDescent="0.25">
      <c r="A244" t="s">
        <v>338</v>
      </c>
      <c r="B244" s="1">
        <v>45674</v>
      </c>
      <c r="C244" t="s">
        <v>23</v>
      </c>
      <c r="D244">
        <v>1</v>
      </c>
      <c r="E244">
        <v>17</v>
      </c>
      <c r="F244" t="s">
        <v>114</v>
      </c>
      <c r="G244" t="s">
        <v>80</v>
      </c>
      <c r="H244" t="s">
        <v>68</v>
      </c>
      <c r="I244" t="s">
        <v>85</v>
      </c>
      <c r="J244" t="s">
        <v>123</v>
      </c>
      <c r="K244" t="s">
        <v>38</v>
      </c>
      <c r="L244">
        <v>2</v>
      </c>
      <c r="M244">
        <v>175</v>
      </c>
      <c r="N244">
        <v>26.25</v>
      </c>
      <c r="O244">
        <v>30</v>
      </c>
      <c r="P244">
        <v>350</v>
      </c>
      <c r="Q244">
        <v>353.75</v>
      </c>
      <c r="R244" t="s">
        <v>39</v>
      </c>
      <c r="S244" t="s">
        <v>31</v>
      </c>
      <c r="T244" t="s">
        <v>40</v>
      </c>
      <c r="U244">
        <v>43</v>
      </c>
      <c r="V244">
        <v>4.5</v>
      </c>
      <c r="W244">
        <f>Table2[[#This Row],[Quantity]]*Table2[[#This Row],[Item_Price]]</f>
        <v>350</v>
      </c>
    </row>
    <row r="245" spans="1:23" x14ac:dyDescent="0.25">
      <c r="A245" t="s">
        <v>339</v>
      </c>
      <c r="B245" s="1">
        <v>45675</v>
      </c>
      <c r="C245" t="s">
        <v>23</v>
      </c>
      <c r="D245">
        <v>1</v>
      </c>
      <c r="E245">
        <v>18</v>
      </c>
      <c r="F245" t="s">
        <v>134</v>
      </c>
      <c r="G245" t="s">
        <v>90</v>
      </c>
      <c r="H245" t="s">
        <v>77</v>
      </c>
      <c r="I245" t="s">
        <v>49</v>
      </c>
      <c r="J245" t="s">
        <v>62</v>
      </c>
      <c r="K245" t="s">
        <v>38</v>
      </c>
      <c r="L245">
        <v>2</v>
      </c>
      <c r="M245">
        <v>139</v>
      </c>
      <c r="N245">
        <v>6.95</v>
      </c>
      <c r="O245">
        <v>20</v>
      </c>
      <c r="P245">
        <v>278</v>
      </c>
      <c r="Q245">
        <v>291.05</v>
      </c>
      <c r="R245" t="s">
        <v>39</v>
      </c>
      <c r="S245" t="s">
        <v>31</v>
      </c>
      <c r="T245" t="s">
        <v>40</v>
      </c>
      <c r="U245">
        <v>47</v>
      </c>
      <c r="V245">
        <v>4.7</v>
      </c>
      <c r="W245">
        <f>Table2[[#This Row],[Quantity]]*Table2[[#This Row],[Item_Price]]</f>
        <v>278</v>
      </c>
    </row>
    <row r="246" spans="1:23" x14ac:dyDescent="0.25">
      <c r="A246" t="s">
        <v>340</v>
      </c>
      <c r="B246" s="1">
        <v>45675</v>
      </c>
      <c r="C246" t="s">
        <v>23</v>
      </c>
      <c r="D246">
        <v>1</v>
      </c>
      <c r="E246">
        <v>18</v>
      </c>
      <c r="F246" t="s">
        <v>134</v>
      </c>
      <c r="G246" t="s">
        <v>96</v>
      </c>
      <c r="H246" t="s">
        <v>77</v>
      </c>
      <c r="I246" t="s">
        <v>43</v>
      </c>
      <c r="J246" t="s">
        <v>37</v>
      </c>
      <c r="K246" t="s">
        <v>38</v>
      </c>
      <c r="L246">
        <v>3</v>
      </c>
      <c r="M246">
        <v>881</v>
      </c>
      <c r="N246">
        <v>44.05</v>
      </c>
      <c r="O246">
        <v>50</v>
      </c>
      <c r="P246">
        <v>2643</v>
      </c>
      <c r="Q246">
        <v>2648.95</v>
      </c>
      <c r="R246" t="s">
        <v>39</v>
      </c>
      <c r="S246" t="s">
        <v>31</v>
      </c>
      <c r="T246" t="s">
        <v>32</v>
      </c>
      <c r="U246">
        <v>70</v>
      </c>
      <c r="V246">
        <v>3.5</v>
      </c>
      <c r="W246">
        <f>Table2[[#This Row],[Quantity]]*Table2[[#This Row],[Item_Price]]</f>
        <v>2643</v>
      </c>
    </row>
    <row r="247" spans="1:23" x14ac:dyDescent="0.25">
      <c r="A247" t="s">
        <v>341</v>
      </c>
      <c r="B247" s="1">
        <v>45675</v>
      </c>
      <c r="C247" t="s">
        <v>23</v>
      </c>
      <c r="D247">
        <v>1</v>
      </c>
      <c r="E247">
        <v>18</v>
      </c>
      <c r="F247" t="s">
        <v>134</v>
      </c>
      <c r="G247" t="s">
        <v>80</v>
      </c>
      <c r="H247" t="s">
        <v>68</v>
      </c>
      <c r="I247" t="s">
        <v>103</v>
      </c>
      <c r="J247" t="s">
        <v>82</v>
      </c>
      <c r="K247" t="s">
        <v>38</v>
      </c>
      <c r="L247">
        <v>3</v>
      </c>
      <c r="M247">
        <v>167</v>
      </c>
      <c r="N247">
        <v>33.4</v>
      </c>
      <c r="O247">
        <v>30</v>
      </c>
      <c r="P247">
        <v>501</v>
      </c>
      <c r="Q247">
        <v>497.6</v>
      </c>
      <c r="R247" t="s">
        <v>75</v>
      </c>
      <c r="S247" t="s">
        <v>31</v>
      </c>
      <c r="T247" t="s">
        <v>40</v>
      </c>
      <c r="U247">
        <v>40</v>
      </c>
      <c r="V247">
        <v>4.3</v>
      </c>
      <c r="W247">
        <f>Table2[[#This Row],[Quantity]]*Table2[[#This Row],[Item_Price]]</f>
        <v>501</v>
      </c>
    </row>
    <row r="248" spans="1:23" x14ac:dyDescent="0.25">
      <c r="A248" t="s">
        <v>342</v>
      </c>
      <c r="B248" s="1">
        <v>45675</v>
      </c>
      <c r="C248" t="s">
        <v>23</v>
      </c>
      <c r="D248">
        <v>1</v>
      </c>
      <c r="E248">
        <v>18</v>
      </c>
      <c r="F248" t="s">
        <v>134</v>
      </c>
      <c r="G248" t="s">
        <v>115</v>
      </c>
      <c r="H248" t="s">
        <v>60</v>
      </c>
      <c r="I248" t="s">
        <v>85</v>
      </c>
      <c r="J248" t="s">
        <v>44</v>
      </c>
      <c r="K248" t="s">
        <v>45</v>
      </c>
      <c r="L248">
        <v>2</v>
      </c>
      <c r="M248">
        <v>196</v>
      </c>
      <c r="N248">
        <v>29.4</v>
      </c>
      <c r="O248">
        <v>60</v>
      </c>
      <c r="P248">
        <v>392</v>
      </c>
      <c r="Q248">
        <v>422.6</v>
      </c>
      <c r="R248" t="s">
        <v>39</v>
      </c>
      <c r="S248" t="s">
        <v>46</v>
      </c>
      <c r="T248" t="s">
        <v>40</v>
      </c>
      <c r="U248">
        <v>68</v>
      </c>
      <c r="W248">
        <f>Table2[[#This Row],[Quantity]]*Table2[[#This Row],[Item_Price]]</f>
        <v>392</v>
      </c>
    </row>
    <row r="249" spans="1:23" x14ac:dyDescent="0.25">
      <c r="A249" t="s">
        <v>343</v>
      </c>
      <c r="B249" s="1">
        <v>45675</v>
      </c>
      <c r="C249" t="s">
        <v>23</v>
      </c>
      <c r="D249">
        <v>1</v>
      </c>
      <c r="E249">
        <v>18</v>
      </c>
      <c r="F249" t="s">
        <v>134</v>
      </c>
      <c r="G249" t="s">
        <v>90</v>
      </c>
      <c r="H249" t="s">
        <v>77</v>
      </c>
      <c r="I249" t="s">
        <v>61</v>
      </c>
      <c r="J249" t="s">
        <v>66</v>
      </c>
      <c r="K249" t="s">
        <v>45</v>
      </c>
      <c r="L249">
        <v>2</v>
      </c>
      <c r="M249">
        <v>399</v>
      </c>
      <c r="N249">
        <v>39.9</v>
      </c>
      <c r="O249">
        <v>60</v>
      </c>
      <c r="P249">
        <v>798</v>
      </c>
      <c r="Q249">
        <v>818.1</v>
      </c>
      <c r="R249" t="s">
        <v>30</v>
      </c>
      <c r="S249" t="s">
        <v>31</v>
      </c>
      <c r="T249" t="s">
        <v>40</v>
      </c>
      <c r="U249">
        <v>58</v>
      </c>
      <c r="V249">
        <v>3.6</v>
      </c>
      <c r="W249">
        <f>Table2[[#This Row],[Quantity]]*Table2[[#This Row],[Item_Price]]</f>
        <v>798</v>
      </c>
    </row>
    <row r="250" spans="1:23" x14ac:dyDescent="0.25">
      <c r="A250" t="s">
        <v>344</v>
      </c>
      <c r="B250" s="1">
        <v>45675</v>
      </c>
      <c r="C250" t="s">
        <v>23</v>
      </c>
      <c r="D250">
        <v>1</v>
      </c>
      <c r="E250">
        <v>18</v>
      </c>
      <c r="F250" t="s">
        <v>134</v>
      </c>
      <c r="G250" t="s">
        <v>73</v>
      </c>
      <c r="H250" t="s">
        <v>81</v>
      </c>
      <c r="I250" t="s">
        <v>103</v>
      </c>
      <c r="J250" t="s">
        <v>44</v>
      </c>
      <c r="K250" t="s">
        <v>38</v>
      </c>
      <c r="L250">
        <v>2</v>
      </c>
      <c r="M250">
        <v>707</v>
      </c>
      <c r="N250">
        <v>35.35</v>
      </c>
      <c r="O250">
        <v>30</v>
      </c>
      <c r="P250">
        <v>1414</v>
      </c>
      <c r="Q250">
        <v>1408.65</v>
      </c>
      <c r="R250" t="s">
        <v>30</v>
      </c>
      <c r="S250" t="s">
        <v>31</v>
      </c>
      <c r="T250" t="s">
        <v>32</v>
      </c>
      <c r="U250">
        <v>49</v>
      </c>
      <c r="V250">
        <v>3.6</v>
      </c>
      <c r="W250">
        <f>Table2[[#This Row],[Quantity]]*Table2[[#This Row],[Item_Price]]</f>
        <v>1414</v>
      </c>
    </row>
    <row r="251" spans="1:23" x14ac:dyDescent="0.25">
      <c r="A251" t="s">
        <v>345</v>
      </c>
      <c r="B251" s="1">
        <v>45676</v>
      </c>
      <c r="C251" t="s">
        <v>23</v>
      </c>
      <c r="D251">
        <v>1</v>
      </c>
      <c r="E251">
        <v>19</v>
      </c>
      <c r="F251" t="s">
        <v>149</v>
      </c>
      <c r="G251" t="s">
        <v>34</v>
      </c>
      <c r="H251" t="s">
        <v>48</v>
      </c>
      <c r="I251" t="s">
        <v>43</v>
      </c>
      <c r="J251" t="s">
        <v>78</v>
      </c>
      <c r="K251" t="s">
        <v>38</v>
      </c>
      <c r="L251">
        <v>2</v>
      </c>
      <c r="M251">
        <v>683</v>
      </c>
      <c r="N251">
        <v>68.3</v>
      </c>
      <c r="O251">
        <v>50</v>
      </c>
      <c r="P251">
        <v>1366</v>
      </c>
      <c r="Q251">
        <v>1347.7</v>
      </c>
      <c r="R251" t="s">
        <v>39</v>
      </c>
      <c r="S251" t="s">
        <v>31</v>
      </c>
      <c r="T251" t="s">
        <v>40</v>
      </c>
      <c r="U251">
        <v>55</v>
      </c>
      <c r="V251">
        <v>4.3</v>
      </c>
      <c r="W251">
        <f>Table2[[#This Row],[Quantity]]*Table2[[#This Row],[Item_Price]]</f>
        <v>1366</v>
      </c>
    </row>
    <row r="252" spans="1:23" x14ac:dyDescent="0.25">
      <c r="A252" t="s">
        <v>346</v>
      </c>
      <c r="B252" s="1">
        <v>45676</v>
      </c>
      <c r="C252" t="s">
        <v>23</v>
      </c>
      <c r="D252">
        <v>1</v>
      </c>
      <c r="E252">
        <v>19</v>
      </c>
      <c r="F252" t="s">
        <v>149</v>
      </c>
      <c r="G252" t="s">
        <v>64</v>
      </c>
      <c r="H252" t="s">
        <v>56</v>
      </c>
      <c r="I252" t="s">
        <v>49</v>
      </c>
      <c r="J252" t="s">
        <v>123</v>
      </c>
      <c r="K252" t="s">
        <v>29</v>
      </c>
      <c r="L252">
        <v>1</v>
      </c>
      <c r="M252">
        <v>579</v>
      </c>
      <c r="N252">
        <v>28.95</v>
      </c>
      <c r="O252">
        <v>40</v>
      </c>
      <c r="P252">
        <v>579</v>
      </c>
      <c r="Q252">
        <v>590.04999999999995</v>
      </c>
      <c r="R252" t="s">
        <v>75</v>
      </c>
      <c r="S252" t="s">
        <v>31</v>
      </c>
      <c r="T252" t="s">
        <v>32</v>
      </c>
      <c r="U252">
        <v>18</v>
      </c>
      <c r="V252">
        <v>4.2</v>
      </c>
      <c r="W252">
        <f>Table2[[#This Row],[Quantity]]*Table2[[#This Row],[Item_Price]]</f>
        <v>579</v>
      </c>
    </row>
    <row r="253" spans="1:23" x14ac:dyDescent="0.25">
      <c r="A253" t="s">
        <v>347</v>
      </c>
      <c r="B253" s="1">
        <v>45676</v>
      </c>
      <c r="C253" t="s">
        <v>23</v>
      </c>
      <c r="D253">
        <v>1</v>
      </c>
      <c r="E253">
        <v>19</v>
      </c>
      <c r="F253" t="s">
        <v>149</v>
      </c>
      <c r="G253" t="s">
        <v>55</v>
      </c>
      <c r="H253" t="s">
        <v>42</v>
      </c>
      <c r="I253" t="s">
        <v>61</v>
      </c>
      <c r="J253" t="s">
        <v>74</v>
      </c>
      <c r="K253" t="s">
        <v>38</v>
      </c>
      <c r="L253">
        <v>2</v>
      </c>
      <c r="M253">
        <v>672</v>
      </c>
      <c r="N253">
        <v>33.6</v>
      </c>
      <c r="O253">
        <v>0</v>
      </c>
      <c r="P253">
        <v>1344</v>
      </c>
      <c r="Q253">
        <v>1310.4000000000001</v>
      </c>
      <c r="R253" t="s">
        <v>30</v>
      </c>
      <c r="S253" t="s">
        <v>31</v>
      </c>
      <c r="T253" t="s">
        <v>40</v>
      </c>
      <c r="U253">
        <v>63</v>
      </c>
      <c r="V253">
        <v>3.6</v>
      </c>
      <c r="W253">
        <f>Table2[[#This Row],[Quantity]]*Table2[[#This Row],[Item_Price]]</f>
        <v>1344</v>
      </c>
    </row>
    <row r="254" spans="1:23" x14ac:dyDescent="0.25">
      <c r="A254" t="s">
        <v>348</v>
      </c>
      <c r="B254" s="1">
        <v>45676</v>
      </c>
      <c r="C254" t="s">
        <v>23</v>
      </c>
      <c r="D254">
        <v>1</v>
      </c>
      <c r="E254">
        <v>19</v>
      </c>
      <c r="F254" t="s">
        <v>149</v>
      </c>
      <c r="G254" t="s">
        <v>34</v>
      </c>
      <c r="H254" t="s">
        <v>65</v>
      </c>
      <c r="I254" t="s">
        <v>85</v>
      </c>
      <c r="J254" t="s">
        <v>62</v>
      </c>
      <c r="K254" t="s">
        <v>38</v>
      </c>
      <c r="L254">
        <v>1</v>
      </c>
      <c r="M254">
        <v>858</v>
      </c>
      <c r="N254">
        <v>85.8</v>
      </c>
      <c r="O254">
        <v>20</v>
      </c>
      <c r="P254">
        <v>858</v>
      </c>
      <c r="Q254">
        <v>792.2</v>
      </c>
      <c r="R254" t="s">
        <v>30</v>
      </c>
      <c r="S254" t="s">
        <v>31</v>
      </c>
      <c r="T254" t="s">
        <v>32</v>
      </c>
      <c r="U254">
        <v>55</v>
      </c>
      <c r="V254">
        <v>4</v>
      </c>
      <c r="W254">
        <f>Table2[[#This Row],[Quantity]]*Table2[[#This Row],[Item_Price]]</f>
        <v>858</v>
      </c>
    </row>
    <row r="255" spans="1:23" x14ac:dyDescent="0.25">
      <c r="A255" t="s">
        <v>349</v>
      </c>
      <c r="B255" s="1">
        <v>45676</v>
      </c>
      <c r="C255" t="s">
        <v>23</v>
      </c>
      <c r="D255">
        <v>1</v>
      </c>
      <c r="E255">
        <v>19</v>
      </c>
      <c r="F255" t="s">
        <v>149</v>
      </c>
      <c r="G255" t="s">
        <v>115</v>
      </c>
      <c r="H255" t="s">
        <v>48</v>
      </c>
      <c r="I255" t="s">
        <v>69</v>
      </c>
      <c r="J255" t="s">
        <v>50</v>
      </c>
      <c r="K255" t="s">
        <v>38</v>
      </c>
      <c r="L255">
        <v>2</v>
      </c>
      <c r="M255">
        <v>215</v>
      </c>
      <c r="N255">
        <v>0</v>
      </c>
      <c r="O255">
        <v>40</v>
      </c>
      <c r="P255">
        <v>430</v>
      </c>
      <c r="Q255">
        <v>470</v>
      </c>
      <c r="R255" t="s">
        <v>30</v>
      </c>
      <c r="S255" t="s">
        <v>91</v>
      </c>
      <c r="T255" t="s">
        <v>40</v>
      </c>
      <c r="U255">
        <v>31</v>
      </c>
      <c r="W255">
        <f>Table2[[#This Row],[Quantity]]*Table2[[#This Row],[Item_Price]]</f>
        <v>430</v>
      </c>
    </row>
    <row r="256" spans="1:23" x14ac:dyDescent="0.25">
      <c r="A256" t="s">
        <v>350</v>
      </c>
      <c r="B256" s="1">
        <v>45676</v>
      </c>
      <c r="C256" t="s">
        <v>23</v>
      </c>
      <c r="D256">
        <v>1</v>
      </c>
      <c r="E256">
        <v>19</v>
      </c>
      <c r="F256" t="s">
        <v>149</v>
      </c>
      <c r="G256" t="s">
        <v>90</v>
      </c>
      <c r="H256" t="s">
        <v>81</v>
      </c>
      <c r="I256" t="s">
        <v>27</v>
      </c>
      <c r="J256" t="s">
        <v>66</v>
      </c>
      <c r="K256" t="s">
        <v>45</v>
      </c>
      <c r="L256">
        <v>1</v>
      </c>
      <c r="M256">
        <v>527</v>
      </c>
      <c r="N256">
        <v>26.35</v>
      </c>
      <c r="O256">
        <v>20</v>
      </c>
      <c r="P256">
        <v>527</v>
      </c>
      <c r="Q256">
        <v>520.65</v>
      </c>
      <c r="R256" t="s">
        <v>30</v>
      </c>
      <c r="S256" t="s">
        <v>31</v>
      </c>
      <c r="T256" t="s">
        <v>40</v>
      </c>
      <c r="U256">
        <v>57</v>
      </c>
      <c r="V256">
        <v>4.9000000000000004</v>
      </c>
      <c r="W256">
        <f>Table2[[#This Row],[Quantity]]*Table2[[#This Row],[Item_Price]]</f>
        <v>527</v>
      </c>
    </row>
    <row r="257" spans="1:23" x14ac:dyDescent="0.25">
      <c r="A257" t="s">
        <v>351</v>
      </c>
      <c r="B257" s="1">
        <v>45676</v>
      </c>
      <c r="C257" t="s">
        <v>23</v>
      </c>
      <c r="D257">
        <v>1</v>
      </c>
      <c r="E257">
        <v>19</v>
      </c>
      <c r="F257" t="s">
        <v>149</v>
      </c>
      <c r="G257" t="s">
        <v>34</v>
      </c>
      <c r="H257" t="s">
        <v>135</v>
      </c>
      <c r="I257" t="s">
        <v>43</v>
      </c>
      <c r="J257" t="s">
        <v>74</v>
      </c>
      <c r="K257" t="s">
        <v>38</v>
      </c>
      <c r="L257">
        <v>3</v>
      </c>
      <c r="M257">
        <v>610</v>
      </c>
      <c r="N257">
        <v>91.5</v>
      </c>
      <c r="O257">
        <v>70</v>
      </c>
      <c r="P257">
        <v>1830</v>
      </c>
      <c r="Q257">
        <v>1808.5</v>
      </c>
      <c r="R257" t="s">
        <v>112</v>
      </c>
      <c r="S257" t="s">
        <v>31</v>
      </c>
      <c r="T257" t="s">
        <v>32</v>
      </c>
      <c r="U257">
        <v>49</v>
      </c>
      <c r="V257">
        <v>4.3</v>
      </c>
      <c r="W257">
        <f>Table2[[#This Row],[Quantity]]*Table2[[#This Row],[Item_Price]]</f>
        <v>1830</v>
      </c>
    </row>
    <row r="258" spans="1:23" x14ac:dyDescent="0.25">
      <c r="A258" t="s">
        <v>352</v>
      </c>
      <c r="B258" s="1">
        <v>45676</v>
      </c>
      <c r="C258" t="s">
        <v>23</v>
      </c>
      <c r="D258">
        <v>1</v>
      </c>
      <c r="E258">
        <v>19</v>
      </c>
      <c r="F258" t="s">
        <v>149</v>
      </c>
      <c r="G258" t="s">
        <v>64</v>
      </c>
      <c r="H258" t="s">
        <v>81</v>
      </c>
      <c r="I258" t="s">
        <v>49</v>
      </c>
      <c r="J258" t="s">
        <v>53</v>
      </c>
      <c r="K258" t="s">
        <v>29</v>
      </c>
      <c r="L258">
        <v>1</v>
      </c>
      <c r="M258">
        <v>398</v>
      </c>
      <c r="N258">
        <v>79.599999999999994</v>
      </c>
      <c r="O258">
        <v>0</v>
      </c>
      <c r="P258">
        <v>398</v>
      </c>
      <c r="Q258">
        <v>318.39999999999998</v>
      </c>
      <c r="R258" t="s">
        <v>39</v>
      </c>
      <c r="S258" t="s">
        <v>31</v>
      </c>
      <c r="T258" t="s">
        <v>40</v>
      </c>
      <c r="U258">
        <v>67</v>
      </c>
      <c r="V258">
        <v>4.5</v>
      </c>
      <c r="W258">
        <f>Table2[[#This Row],[Quantity]]*Table2[[#This Row],[Item_Price]]</f>
        <v>398</v>
      </c>
    </row>
    <row r="259" spans="1:23" x14ac:dyDescent="0.25">
      <c r="A259" t="s">
        <v>353</v>
      </c>
      <c r="B259" s="1">
        <v>45676</v>
      </c>
      <c r="C259" t="s">
        <v>23</v>
      </c>
      <c r="D259">
        <v>1</v>
      </c>
      <c r="E259">
        <v>19</v>
      </c>
      <c r="F259" t="s">
        <v>149</v>
      </c>
      <c r="G259" t="s">
        <v>73</v>
      </c>
      <c r="H259" t="s">
        <v>42</v>
      </c>
      <c r="I259" t="s">
        <v>61</v>
      </c>
      <c r="J259" t="s">
        <v>53</v>
      </c>
      <c r="K259" t="s">
        <v>38</v>
      </c>
      <c r="L259">
        <v>1</v>
      </c>
      <c r="M259">
        <v>361</v>
      </c>
      <c r="N259">
        <v>18.05</v>
      </c>
      <c r="O259">
        <v>50</v>
      </c>
      <c r="P259">
        <v>361</v>
      </c>
      <c r="Q259">
        <v>392.95</v>
      </c>
      <c r="R259" t="s">
        <v>39</v>
      </c>
      <c r="S259" t="s">
        <v>91</v>
      </c>
      <c r="T259" t="s">
        <v>40</v>
      </c>
      <c r="U259">
        <v>34</v>
      </c>
      <c r="W259">
        <f>Table2[[#This Row],[Quantity]]*Table2[[#This Row],[Item_Price]]</f>
        <v>361</v>
      </c>
    </row>
    <row r="260" spans="1:23" x14ac:dyDescent="0.25">
      <c r="A260" t="s">
        <v>354</v>
      </c>
      <c r="B260" s="1">
        <v>45676</v>
      </c>
      <c r="C260" t="s">
        <v>23</v>
      </c>
      <c r="D260">
        <v>1</v>
      </c>
      <c r="E260">
        <v>19</v>
      </c>
      <c r="F260" t="s">
        <v>149</v>
      </c>
      <c r="G260" t="s">
        <v>90</v>
      </c>
      <c r="H260" t="s">
        <v>56</v>
      </c>
      <c r="I260" t="s">
        <v>85</v>
      </c>
      <c r="J260" t="s">
        <v>70</v>
      </c>
      <c r="K260" t="s">
        <v>45</v>
      </c>
      <c r="L260">
        <v>2</v>
      </c>
      <c r="M260">
        <v>853</v>
      </c>
      <c r="N260">
        <v>42.65</v>
      </c>
      <c r="O260">
        <v>70</v>
      </c>
      <c r="P260">
        <v>1706</v>
      </c>
      <c r="Q260">
        <v>1733.35</v>
      </c>
      <c r="R260" t="s">
        <v>39</v>
      </c>
      <c r="S260" t="s">
        <v>31</v>
      </c>
      <c r="T260" t="s">
        <v>32</v>
      </c>
      <c r="U260">
        <v>65</v>
      </c>
      <c r="V260">
        <v>3.9</v>
      </c>
      <c r="W260">
        <f>Table2[[#This Row],[Quantity]]*Table2[[#This Row],[Item_Price]]</f>
        <v>1706</v>
      </c>
    </row>
    <row r="261" spans="1:23" x14ac:dyDescent="0.25">
      <c r="A261" t="s">
        <v>355</v>
      </c>
      <c r="B261" s="1">
        <v>45676</v>
      </c>
      <c r="C261" t="s">
        <v>23</v>
      </c>
      <c r="D261">
        <v>1</v>
      </c>
      <c r="E261">
        <v>19</v>
      </c>
      <c r="F261" t="s">
        <v>149</v>
      </c>
      <c r="G261" t="s">
        <v>73</v>
      </c>
      <c r="H261" t="s">
        <v>135</v>
      </c>
      <c r="I261" t="s">
        <v>69</v>
      </c>
      <c r="J261" t="s">
        <v>50</v>
      </c>
      <c r="K261" t="s">
        <v>38</v>
      </c>
      <c r="L261">
        <v>1</v>
      </c>
      <c r="M261">
        <v>327</v>
      </c>
      <c r="N261">
        <v>32.700000000000003</v>
      </c>
      <c r="O261">
        <v>0</v>
      </c>
      <c r="P261">
        <v>327</v>
      </c>
      <c r="Q261">
        <v>294.3</v>
      </c>
      <c r="R261" t="s">
        <v>39</v>
      </c>
      <c r="S261" t="s">
        <v>110</v>
      </c>
      <c r="T261" t="s">
        <v>32</v>
      </c>
      <c r="U261">
        <v>46</v>
      </c>
      <c r="W261">
        <f>Table2[[#This Row],[Quantity]]*Table2[[#This Row],[Item_Price]]</f>
        <v>327</v>
      </c>
    </row>
    <row r="262" spans="1:23" x14ac:dyDescent="0.25">
      <c r="A262" t="s">
        <v>356</v>
      </c>
      <c r="B262" s="1">
        <v>45676</v>
      </c>
      <c r="C262" t="s">
        <v>23</v>
      </c>
      <c r="D262">
        <v>1</v>
      </c>
      <c r="E262">
        <v>19</v>
      </c>
      <c r="F262" t="s">
        <v>149</v>
      </c>
      <c r="G262" t="s">
        <v>55</v>
      </c>
      <c r="H262" t="s">
        <v>105</v>
      </c>
      <c r="I262" t="s">
        <v>49</v>
      </c>
      <c r="J262" t="s">
        <v>74</v>
      </c>
      <c r="K262" t="s">
        <v>38</v>
      </c>
      <c r="L262">
        <v>2</v>
      </c>
      <c r="M262">
        <v>505</v>
      </c>
      <c r="N262">
        <v>0</v>
      </c>
      <c r="O262">
        <v>0</v>
      </c>
      <c r="P262">
        <v>1010</v>
      </c>
      <c r="Q262">
        <v>1010</v>
      </c>
      <c r="R262" t="s">
        <v>75</v>
      </c>
      <c r="S262" t="s">
        <v>31</v>
      </c>
      <c r="T262" t="s">
        <v>32</v>
      </c>
      <c r="U262">
        <v>55</v>
      </c>
      <c r="V262">
        <v>3.9</v>
      </c>
      <c r="W262">
        <f>Table2[[#This Row],[Quantity]]*Table2[[#This Row],[Item_Price]]</f>
        <v>1010</v>
      </c>
    </row>
    <row r="263" spans="1:23" x14ac:dyDescent="0.25">
      <c r="A263" t="s">
        <v>357</v>
      </c>
      <c r="B263" s="1">
        <v>45676</v>
      </c>
      <c r="C263" t="s">
        <v>23</v>
      </c>
      <c r="D263">
        <v>1</v>
      </c>
      <c r="E263">
        <v>19</v>
      </c>
      <c r="F263" t="s">
        <v>149</v>
      </c>
      <c r="G263" t="s">
        <v>64</v>
      </c>
      <c r="H263" t="s">
        <v>42</v>
      </c>
      <c r="I263" t="s">
        <v>61</v>
      </c>
      <c r="J263" t="s">
        <v>62</v>
      </c>
      <c r="K263" t="s">
        <v>38</v>
      </c>
      <c r="L263">
        <v>1</v>
      </c>
      <c r="M263">
        <v>416</v>
      </c>
      <c r="N263">
        <v>83.2</v>
      </c>
      <c r="O263">
        <v>40</v>
      </c>
      <c r="P263">
        <v>416</v>
      </c>
      <c r="Q263">
        <v>372.8</v>
      </c>
      <c r="R263" t="s">
        <v>75</v>
      </c>
      <c r="S263" t="s">
        <v>31</v>
      </c>
      <c r="T263" t="s">
        <v>40</v>
      </c>
      <c r="U263">
        <v>27</v>
      </c>
      <c r="V263">
        <v>4.2</v>
      </c>
      <c r="W263">
        <f>Table2[[#This Row],[Quantity]]*Table2[[#This Row],[Item_Price]]</f>
        <v>416</v>
      </c>
    </row>
    <row r="264" spans="1:23" x14ac:dyDescent="0.25">
      <c r="A264" t="s">
        <v>358</v>
      </c>
      <c r="B264" s="1">
        <v>45676</v>
      </c>
      <c r="C264" t="s">
        <v>23</v>
      </c>
      <c r="D264">
        <v>1</v>
      </c>
      <c r="E264">
        <v>19</v>
      </c>
      <c r="F264" t="s">
        <v>149</v>
      </c>
      <c r="G264" t="s">
        <v>34</v>
      </c>
      <c r="H264" t="s">
        <v>77</v>
      </c>
      <c r="I264" t="s">
        <v>97</v>
      </c>
      <c r="J264" t="s">
        <v>74</v>
      </c>
      <c r="K264" t="s">
        <v>38</v>
      </c>
      <c r="L264">
        <v>1</v>
      </c>
      <c r="M264">
        <v>140</v>
      </c>
      <c r="N264">
        <v>35</v>
      </c>
      <c r="O264">
        <v>70</v>
      </c>
      <c r="P264">
        <v>140</v>
      </c>
      <c r="Q264">
        <v>175</v>
      </c>
      <c r="R264" t="s">
        <v>39</v>
      </c>
      <c r="S264" t="s">
        <v>31</v>
      </c>
      <c r="T264" t="s">
        <v>32</v>
      </c>
      <c r="U264">
        <v>57</v>
      </c>
      <c r="V264">
        <v>3.2</v>
      </c>
      <c r="W264">
        <f>Table2[[#This Row],[Quantity]]*Table2[[#This Row],[Item_Price]]</f>
        <v>140</v>
      </c>
    </row>
    <row r="265" spans="1:23" x14ac:dyDescent="0.25">
      <c r="A265" t="s">
        <v>359</v>
      </c>
      <c r="B265" s="1">
        <v>45677</v>
      </c>
      <c r="C265" t="s">
        <v>23</v>
      </c>
      <c r="D265">
        <v>1</v>
      </c>
      <c r="E265">
        <v>20</v>
      </c>
      <c r="F265" t="s">
        <v>168</v>
      </c>
      <c r="G265" t="s">
        <v>80</v>
      </c>
      <c r="H265" t="s">
        <v>135</v>
      </c>
      <c r="I265" t="s">
        <v>27</v>
      </c>
      <c r="J265" t="s">
        <v>123</v>
      </c>
      <c r="K265" t="s">
        <v>45</v>
      </c>
      <c r="L265">
        <v>1</v>
      </c>
      <c r="M265">
        <v>411</v>
      </c>
      <c r="N265">
        <v>20.55</v>
      </c>
      <c r="O265">
        <v>0</v>
      </c>
      <c r="P265">
        <v>411</v>
      </c>
      <c r="Q265">
        <v>390.45</v>
      </c>
      <c r="R265" t="s">
        <v>112</v>
      </c>
      <c r="S265" t="s">
        <v>31</v>
      </c>
      <c r="T265" t="s">
        <v>32</v>
      </c>
      <c r="U265">
        <v>29</v>
      </c>
      <c r="V265">
        <v>3</v>
      </c>
      <c r="W265">
        <f>Table2[[#This Row],[Quantity]]*Table2[[#This Row],[Item_Price]]</f>
        <v>411</v>
      </c>
    </row>
    <row r="266" spans="1:23" x14ac:dyDescent="0.25">
      <c r="A266" t="s">
        <v>360</v>
      </c>
      <c r="B266" s="1">
        <v>45677</v>
      </c>
      <c r="C266" t="s">
        <v>23</v>
      </c>
      <c r="D266">
        <v>1</v>
      </c>
      <c r="E266">
        <v>20</v>
      </c>
      <c r="F266" t="s">
        <v>168</v>
      </c>
      <c r="G266" t="s">
        <v>55</v>
      </c>
      <c r="H266" t="s">
        <v>42</v>
      </c>
      <c r="I266" t="s">
        <v>69</v>
      </c>
      <c r="J266" t="s">
        <v>123</v>
      </c>
      <c r="K266" t="s">
        <v>45</v>
      </c>
      <c r="L266">
        <v>2</v>
      </c>
      <c r="M266">
        <v>864</v>
      </c>
      <c r="N266">
        <v>0</v>
      </c>
      <c r="O266">
        <v>40</v>
      </c>
      <c r="P266">
        <v>1728</v>
      </c>
      <c r="Q266">
        <v>1768</v>
      </c>
      <c r="R266" t="s">
        <v>39</v>
      </c>
      <c r="S266" t="s">
        <v>31</v>
      </c>
      <c r="T266" t="s">
        <v>32</v>
      </c>
      <c r="U266">
        <v>36</v>
      </c>
      <c r="V266">
        <v>4.8</v>
      </c>
      <c r="W266">
        <f>Table2[[#This Row],[Quantity]]*Table2[[#This Row],[Item_Price]]</f>
        <v>1728</v>
      </c>
    </row>
    <row r="267" spans="1:23" x14ac:dyDescent="0.25">
      <c r="A267" t="s">
        <v>361</v>
      </c>
      <c r="B267" s="1">
        <v>45677</v>
      </c>
      <c r="C267" t="s">
        <v>23</v>
      </c>
      <c r="D267">
        <v>1</v>
      </c>
      <c r="E267">
        <v>20</v>
      </c>
      <c r="F267" t="s">
        <v>168</v>
      </c>
      <c r="G267" t="s">
        <v>34</v>
      </c>
      <c r="H267" t="s">
        <v>48</v>
      </c>
      <c r="I267" t="s">
        <v>43</v>
      </c>
      <c r="J267" t="s">
        <v>50</v>
      </c>
      <c r="K267" t="s">
        <v>38</v>
      </c>
      <c r="L267">
        <v>2</v>
      </c>
      <c r="M267">
        <v>383</v>
      </c>
      <c r="N267">
        <v>57.45</v>
      </c>
      <c r="O267">
        <v>50</v>
      </c>
      <c r="P267">
        <v>766</v>
      </c>
      <c r="Q267">
        <v>758.55</v>
      </c>
      <c r="R267" t="s">
        <v>39</v>
      </c>
      <c r="S267" t="s">
        <v>31</v>
      </c>
      <c r="T267" t="s">
        <v>32</v>
      </c>
      <c r="U267">
        <v>29</v>
      </c>
      <c r="V267">
        <v>4.9000000000000004</v>
      </c>
      <c r="W267">
        <f>Table2[[#This Row],[Quantity]]*Table2[[#This Row],[Item_Price]]</f>
        <v>766</v>
      </c>
    </row>
    <row r="268" spans="1:23" x14ac:dyDescent="0.25">
      <c r="A268" t="s">
        <v>362</v>
      </c>
      <c r="B268" s="1">
        <v>45677</v>
      </c>
      <c r="C268" t="s">
        <v>23</v>
      </c>
      <c r="D268">
        <v>1</v>
      </c>
      <c r="E268">
        <v>20</v>
      </c>
      <c r="F268" t="s">
        <v>168</v>
      </c>
      <c r="G268" t="s">
        <v>115</v>
      </c>
      <c r="H268" t="s">
        <v>135</v>
      </c>
      <c r="I268" t="s">
        <v>43</v>
      </c>
      <c r="J268" t="s">
        <v>78</v>
      </c>
      <c r="K268" t="s">
        <v>38</v>
      </c>
      <c r="L268">
        <v>1</v>
      </c>
      <c r="M268">
        <v>677</v>
      </c>
      <c r="N268">
        <v>135.4</v>
      </c>
      <c r="O268">
        <v>50</v>
      </c>
      <c r="P268">
        <v>677</v>
      </c>
      <c r="Q268">
        <v>591.6</v>
      </c>
      <c r="R268" t="s">
        <v>75</v>
      </c>
      <c r="S268" t="s">
        <v>31</v>
      </c>
      <c r="T268" t="s">
        <v>32</v>
      </c>
      <c r="U268">
        <v>59</v>
      </c>
      <c r="V268">
        <v>5</v>
      </c>
      <c r="W268">
        <f>Table2[[#This Row],[Quantity]]*Table2[[#This Row],[Item_Price]]</f>
        <v>677</v>
      </c>
    </row>
    <row r="269" spans="1:23" x14ac:dyDescent="0.25">
      <c r="A269" t="s">
        <v>363</v>
      </c>
      <c r="B269" s="1">
        <v>45677</v>
      </c>
      <c r="C269" t="s">
        <v>23</v>
      </c>
      <c r="D269">
        <v>1</v>
      </c>
      <c r="E269">
        <v>20</v>
      </c>
      <c r="F269" t="s">
        <v>168</v>
      </c>
      <c r="G269" t="s">
        <v>80</v>
      </c>
      <c r="H269" t="s">
        <v>42</v>
      </c>
      <c r="I269" t="s">
        <v>43</v>
      </c>
      <c r="J269" t="s">
        <v>74</v>
      </c>
      <c r="K269" t="s">
        <v>38</v>
      </c>
      <c r="L269">
        <v>2</v>
      </c>
      <c r="M269">
        <v>771</v>
      </c>
      <c r="N269">
        <v>77.099999999999994</v>
      </c>
      <c r="O269">
        <v>40</v>
      </c>
      <c r="P269">
        <v>1542</v>
      </c>
      <c r="Q269">
        <v>1504.9</v>
      </c>
      <c r="R269" t="s">
        <v>39</v>
      </c>
      <c r="S269" t="s">
        <v>110</v>
      </c>
      <c r="T269" t="s">
        <v>32</v>
      </c>
      <c r="U269">
        <v>69</v>
      </c>
      <c r="W269">
        <f>Table2[[#This Row],[Quantity]]*Table2[[#This Row],[Item_Price]]</f>
        <v>1542</v>
      </c>
    </row>
    <row r="270" spans="1:23" x14ac:dyDescent="0.25">
      <c r="A270" t="s">
        <v>364</v>
      </c>
      <c r="B270" s="1">
        <v>45677</v>
      </c>
      <c r="C270" t="s">
        <v>23</v>
      </c>
      <c r="D270">
        <v>1</v>
      </c>
      <c r="E270">
        <v>20</v>
      </c>
      <c r="F270" t="s">
        <v>168</v>
      </c>
      <c r="G270" t="s">
        <v>84</v>
      </c>
      <c r="H270" t="s">
        <v>135</v>
      </c>
      <c r="I270" t="s">
        <v>97</v>
      </c>
      <c r="J270" t="s">
        <v>101</v>
      </c>
      <c r="K270" t="s">
        <v>38</v>
      </c>
      <c r="L270">
        <v>2</v>
      </c>
      <c r="M270">
        <v>389</v>
      </c>
      <c r="N270">
        <v>77.8</v>
      </c>
      <c r="O270">
        <v>30</v>
      </c>
      <c r="P270">
        <v>778</v>
      </c>
      <c r="Q270">
        <v>730.2</v>
      </c>
      <c r="R270" t="s">
        <v>39</v>
      </c>
      <c r="S270" t="s">
        <v>31</v>
      </c>
      <c r="T270" t="s">
        <v>32</v>
      </c>
      <c r="U270">
        <v>24</v>
      </c>
      <c r="V270">
        <v>3.9</v>
      </c>
      <c r="W270">
        <f>Table2[[#This Row],[Quantity]]*Table2[[#This Row],[Item_Price]]</f>
        <v>778</v>
      </c>
    </row>
    <row r="271" spans="1:23" x14ac:dyDescent="0.25">
      <c r="A271" t="s">
        <v>365</v>
      </c>
      <c r="B271" s="1">
        <v>45677</v>
      </c>
      <c r="C271" t="s">
        <v>23</v>
      </c>
      <c r="D271">
        <v>1</v>
      </c>
      <c r="E271">
        <v>20</v>
      </c>
      <c r="F271" t="s">
        <v>168</v>
      </c>
      <c r="G271" t="s">
        <v>34</v>
      </c>
      <c r="H271" t="s">
        <v>139</v>
      </c>
      <c r="I271" t="s">
        <v>103</v>
      </c>
      <c r="J271" t="s">
        <v>37</v>
      </c>
      <c r="K271" t="s">
        <v>38</v>
      </c>
      <c r="L271">
        <v>2</v>
      </c>
      <c r="M271">
        <v>765</v>
      </c>
      <c r="N271">
        <v>76.5</v>
      </c>
      <c r="O271">
        <v>40</v>
      </c>
      <c r="P271">
        <v>1530</v>
      </c>
      <c r="Q271">
        <v>1493.5</v>
      </c>
      <c r="R271" t="s">
        <v>39</v>
      </c>
      <c r="S271" t="s">
        <v>31</v>
      </c>
      <c r="T271" t="s">
        <v>32</v>
      </c>
      <c r="U271">
        <v>26</v>
      </c>
      <c r="V271">
        <v>4.0999999999999996</v>
      </c>
      <c r="W271">
        <f>Table2[[#This Row],[Quantity]]*Table2[[#This Row],[Item_Price]]</f>
        <v>1530</v>
      </c>
    </row>
    <row r="272" spans="1:23" x14ac:dyDescent="0.25">
      <c r="A272" t="s">
        <v>366</v>
      </c>
      <c r="B272" s="1">
        <v>45677</v>
      </c>
      <c r="C272" t="s">
        <v>23</v>
      </c>
      <c r="D272">
        <v>1</v>
      </c>
      <c r="E272">
        <v>20</v>
      </c>
      <c r="F272" t="s">
        <v>168</v>
      </c>
      <c r="G272" t="s">
        <v>73</v>
      </c>
      <c r="H272" t="s">
        <v>26</v>
      </c>
      <c r="I272" t="s">
        <v>97</v>
      </c>
      <c r="J272" t="s">
        <v>50</v>
      </c>
      <c r="K272" t="s">
        <v>38</v>
      </c>
      <c r="L272">
        <v>1</v>
      </c>
      <c r="M272">
        <v>467</v>
      </c>
      <c r="N272">
        <v>0</v>
      </c>
      <c r="O272">
        <v>40</v>
      </c>
      <c r="P272">
        <v>467</v>
      </c>
      <c r="Q272">
        <v>507</v>
      </c>
      <c r="R272" t="s">
        <v>98</v>
      </c>
      <c r="S272" t="s">
        <v>91</v>
      </c>
      <c r="T272" t="s">
        <v>40</v>
      </c>
      <c r="U272">
        <v>63</v>
      </c>
      <c r="W272">
        <f>Table2[[#This Row],[Quantity]]*Table2[[#This Row],[Item_Price]]</f>
        <v>467</v>
      </c>
    </row>
    <row r="273" spans="1:23" x14ac:dyDescent="0.25">
      <c r="A273" t="s">
        <v>367</v>
      </c>
      <c r="B273" s="1">
        <v>45677</v>
      </c>
      <c r="C273" t="s">
        <v>23</v>
      </c>
      <c r="D273">
        <v>1</v>
      </c>
      <c r="E273">
        <v>20</v>
      </c>
      <c r="F273" t="s">
        <v>168</v>
      </c>
      <c r="G273" t="s">
        <v>64</v>
      </c>
      <c r="H273" t="s">
        <v>52</v>
      </c>
      <c r="I273" t="s">
        <v>57</v>
      </c>
      <c r="J273" t="s">
        <v>172</v>
      </c>
      <c r="K273" t="s">
        <v>38</v>
      </c>
      <c r="L273">
        <v>2</v>
      </c>
      <c r="M273">
        <v>429</v>
      </c>
      <c r="N273">
        <v>21.45</v>
      </c>
      <c r="O273">
        <v>30</v>
      </c>
      <c r="P273">
        <v>858</v>
      </c>
      <c r="Q273">
        <v>866.55</v>
      </c>
      <c r="R273" t="s">
        <v>39</v>
      </c>
      <c r="S273" t="s">
        <v>31</v>
      </c>
      <c r="T273" t="s">
        <v>32</v>
      </c>
      <c r="U273">
        <v>43</v>
      </c>
      <c r="V273">
        <v>4.5999999999999996</v>
      </c>
      <c r="W273">
        <f>Table2[[#This Row],[Quantity]]*Table2[[#This Row],[Item_Price]]</f>
        <v>858</v>
      </c>
    </row>
    <row r="274" spans="1:23" x14ac:dyDescent="0.25">
      <c r="A274" t="s">
        <v>368</v>
      </c>
      <c r="B274" s="1">
        <v>45677</v>
      </c>
      <c r="C274" t="s">
        <v>23</v>
      </c>
      <c r="D274">
        <v>1</v>
      </c>
      <c r="E274">
        <v>20</v>
      </c>
      <c r="F274" t="s">
        <v>168</v>
      </c>
      <c r="G274" t="s">
        <v>34</v>
      </c>
      <c r="H274" t="s">
        <v>108</v>
      </c>
      <c r="I274" t="s">
        <v>49</v>
      </c>
      <c r="J274" t="s">
        <v>53</v>
      </c>
      <c r="K274" t="s">
        <v>58</v>
      </c>
      <c r="L274">
        <v>2</v>
      </c>
      <c r="M274">
        <v>756</v>
      </c>
      <c r="N274">
        <v>113.4</v>
      </c>
      <c r="O274">
        <v>50</v>
      </c>
      <c r="P274">
        <v>1512</v>
      </c>
      <c r="Q274">
        <v>1448.6</v>
      </c>
      <c r="R274" t="s">
        <v>30</v>
      </c>
      <c r="S274" t="s">
        <v>31</v>
      </c>
      <c r="T274" t="s">
        <v>40</v>
      </c>
      <c r="U274">
        <v>60</v>
      </c>
      <c r="V274">
        <v>4.8</v>
      </c>
      <c r="W274">
        <f>Table2[[#This Row],[Quantity]]*Table2[[#This Row],[Item_Price]]</f>
        <v>1512</v>
      </c>
    </row>
    <row r="275" spans="1:23" x14ac:dyDescent="0.25">
      <c r="A275" t="s">
        <v>369</v>
      </c>
      <c r="B275" s="1">
        <v>45677</v>
      </c>
      <c r="C275" t="s">
        <v>23</v>
      </c>
      <c r="D275">
        <v>1</v>
      </c>
      <c r="E275">
        <v>20</v>
      </c>
      <c r="F275" t="s">
        <v>168</v>
      </c>
      <c r="G275" t="s">
        <v>25</v>
      </c>
      <c r="H275" t="s">
        <v>105</v>
      </c>
      <c r="I275" t="s">
        <v>27</v>
      </c>
      <c r="J275" t="s">
        <v>37</v>
      </c>
      <c r="K275" t="s">
        <v>38</v>
      </c>
      <c r="L275">
        <v>2</v>
      </c>
      <c r="M275">
        <v>200</v>
      </c>
      <c r="N275">
        <v>0</v>
      </c>
      <c r="O275">
        <v>50</v>
      </c>
      <c r="P275">
        <v>400</v>
      </c>
      <c r="Q275">
        <v>450</v>
      </c>
      <c r="R275" t="s">
        <v>75</v>
      </c>
      <c r="S275" t="s">
        <v>31</v>
      </c>
      <c r="T275" t="s">
        <v>32</v>
      </c>
      <c r="U275">
        <v>23</v>
      </c>
      <c r="V275">
        <v>3.4</v>
      </c>
      <c r="W275">
        <f>Table2[[#This Row],[Quantity]]*Table2[[#This Row],[Item_Price]]</f>
        <v>400</v>
      </c>
    </row>
    <row r="276" spans="1:23" x14ac:dyDescent="0.25">
      <c r="A276" t="s">
        <v>370</v>
      </c>
      <c r="B276" s="1">
        <v>45677</v>
      </c>
      <c r="C276" t="s">
        <v>23</v>
      </c>
      <c r="D276">
        <v>1</v>
      </c>
      <c r="E276">
        <v>20</v>
      </c>
      <c r="F276" t="s">
        <v>168</v>
      </c>
      <c r="G276" t="s">
        <v>73</v>
      </c>
      <c r="H276" t="s">
        <v>35</v>
      </c>
      <c r="I276" t="s">
        <v>49</v>
      </c>
      <c r="J276" t="s">
        <v>28</v>
      </c>
      <c r="K276" t="s">
        <v>38</v>
      </c>
      <c r="L276">
        <v>3</v>
      </c>
      <c r="M276">
        <v>577</v>
      </c>
      <c r="N276">
        <v>86.55</v>
      </c>
      <c r="O276">
        <v>30</v>
      </c>
      <c r="P276">
        <v>1731</v>
      </c>
      <c r="Q276">
        <v>1674.45</v>
      </c>
      <c r="R276" t="s">
        <v>39</v>
      </c>
      <c r="S276" t="s">
        <v>110</v>
      </c>
      <c r="T276" t="s">
        <v>40</v>
      </c>
      <c r="U276">
        <v>57</v>
      </c>
      <c r="W276">
        <f>Table2[[#This Row],[Quantity]]*Table2[[#This Row],[Item_Price]]</f>
        <v>1731</v>
      </c>
    </row>
    <row r="277" spans="1:23" x14ac:dyDescent="0.25">
      <c r="A277" t="s">
        <v>371</v>
      </c>
      <c r="B277" s="1">
        <v>45677</v>
      </c>
      <c r="C277" t="s">
        <v>23</v>
      </c>
      <c r="D277">
        <v>1</v>
      </c>
      <c r="E277">
        <v>20</v>
      </c>
      <c r="F277" t="s">
        <v>168</v>
      </c>
      <c r="G277" t="s">
        <v>34</v>
      </c>
      <c r="H277" t="s">
        <v>68</v>
      </c>
      <c r="I277" t="s">
        <v>36</v>
      </c>
      <c r="J277" t="s">
        <v>28</v>
      </c>
      <c r="K277" t="s">
        <v>45</v>
      </c>
      <c r="L277">
        <v>1</v>
      </c>
      <c r="M277">
        <v>869</v>
      </c>
      <c r="N277">
        <v>130.35</v>
      </c>
      <c r="O277">
        <v>20</v>
      </c>
      <c r="P277">
        <v>869</v>
      </c>
      <c r="Q277">
        <v>758.65</v>
      </c>
      <c r="R277" t="s">
        <v>98</v>
      </c>
      <c r="S277" t="s">
        <v>31</v>
      </c>
      <c r="T277" t="s">
        <v>40</v>
      </c>
      <c r="U277">
        <v>25</v>
      </c>
      <c r="V277">
        <v>5</v>
      </c>
      <c r="W277">
        <f>Table2[[#This Row],[Quantity]]*Table2[[#This Row],[Item_Price]]</f>
        <v>869</v>
      </c>
    </row>
    <row r="278" spans="1:23" x14ac:dyDescent="0.25">
      <c r="A278" t="s">
        <v>372</v>
      </c>
      <c r="B278" s="1">
        <v>45677</v>
      </c>
      <c r="C278" t="s">
        <v>23</v>
      </c>
      <c r="D278">
        <v>1</v>
      </c>
      <c r="E278">
        <v>20</v>
      </c>
      <c r="F278" t="s">
        <v>168</v>
      </c>
      <c r="G278" t="s">
        <v>80</v>
      </c>
      <c r="H278" t="s">
        <v>77</v>
      </c>
      <c r="I278" t="s">
        <v>103</v>
      </c>
      <c r="J278" t="s">
        <v>101</v>
      </c>
      <c r="K278" t="s">
        <v>38</v>
      </c>
      <c r="L278">
        <v>3</v>
      </c>
      <c r="M278">
        <v>370</v>
      </c>
      <c r="N278">
        <v>37</v>
      </c>
      <c r="O278">
        <v>50</v>
      </c>
      <c r="P278">
        <v>1110</v>
      </c>
      <c r="Q278">
        <v>1123</v>
      </c>
      <c r="R278" t="s">
        <v>39</v>
      </c>
      <c r="S278" t="s">
        <v>31</v>
      </c>
      <c r="T278" t="s">
        <v>40</v>
      </c>
      <c r="U278">
        <v>54</v>
      </c>
      <c r="V278">
        <v>3.5</v>
      </c>
      <c r="W278">
        <f>Table2[[#This Row],[Quantity]]*Table2[[#This Row],[Item_Price]]</f>
        <v>1110</v>
      </c>
    </row>
    <row r="279" spans="1:23" x14ac:dyDescent="0.25">
      <c r="A279" t="s">
        <v>373</v>
      </c>
      <c r="B279" s="1">
        <v>45677</v>
      </c>
      <c r="C279" t="s">
        <v>23</v>
      </c>
      <c r="D279">
        <v>1</v>
      </c>
      <c r="E279">
        <v>20</v>
      </c>
      <c r="F279" t="s">
        <v>168</v>
      </c>
      <c r="G279" t="s">
        <v>80</v>
      </c>
      <c r="H279" t="s">
        <v>42</v>
      </c>
      <c r="I279" t="s">
        <v>49</v>
      </c>
      <c r="J279" t="s">
        <v>62</v>
      </c>
      <c r="K279" t="s">
        <v>45</v>
      </c>
      <c r="L279">
        <v>1</v>
      </c>
      <c r="M279">
        <v>488</v>
      </c>
      <c r="N279">
        <v>24.4</v>
      </c>
      <c r="O279">
        <v>30</v>
      </c>
      <c r="P279">
        <v>488</v>
      </c>
      <c r="Q279">
        <v>493.6</v>
      </c>
      <c r="R279" t="s">
        <v>112</v>
      </c>
      <c r="S279" t="s">
        <v>31</v>
      </c>
      <c r="T279" t="s">
        <v>32</v>
      </c>
      <c r="U279">
        <v>68</v>
      </c>
      <c r="V279">
        <v>4.3</v>
      </c>
      <c r="W279">
        <f>Table2[[#This Row],[Quantity]]*Table2[[#This Row],[Item_Price]]</f>
        <v>488</v>
      </c>
    </row>
    <row r="280" spans="1:23" x14ac:dyDescent="0.25">
      <c r="A280" t="s">
        <v>374</v>
      </c>
      <c r="B280" s="1">
        <v>45677</v>
      </c>
      <c r="C280" t="s">
        <v>23</v>
      </c>
      <c r="D280">
        <v>1</v>
      </c>
      <c r="E280">
        <v>20</v>
      </c>
      <c r="F280" t="s">
        <v>168</v>
      </c>
      <c r="G280" t="s">
        <v>115</v>
      </c>
      <c r="H280" t="s">
        <v>108</v>
      </c>
      <c r="I280" t="s">
        <v>49</v>
      </c>
      <c r="J280" t="s">
        <v>44</v>
      </c>
      <c r="K280" t="s">
        <v>38</v>
      </c>
      <c r="L280">
        <v>2</v>
      </c>
      <c r="M280">
        <v>835</v>
      </c>
      <c r="N280">
        <v>41.75</v>
      </c>
      <c r="O280">
        <v>20</v>
      </c>
      <c r="P280">
        <v>1670</v>
      </c>
      <c r="Q280">
        <v>1648.25</v>
      </c>
      <c r="R280" t="s">
        <v>75</v>
      </c>
      <c r="S280" t="s">
        <v>31</v>
      </c>
      <c r="T280" t="s">
        <v>40</v>
      </c>
      <c r="U280">
        <v>49</v>
      </c>
      <c r="V280">
        <v>4</v>
      </c>
      <c r="W280">
        <f>Table2[[#This Row],[Quantity]]*Table2[[#This Row],[Item_Price]]</f>
        <v>1670</v>
      </c>
    </row>
    <row r="281" spans="1:23" x14ac:dyDescent="0.25">
      <c r="A281" t="s">
        <v>375</v>
      </c>
      <c r="B281" s="1">
        <v>45678</v>
      </c>
      <c r="C281" t="s">
        <v>23</v>
      </c>
      <c r="D281">
        <v>1</v>
      </c>
      <c r="E281">
        <v>21</v>
      </c>
      <c r="F281" t="s">
        <v>178</v>
      </c>
      <c r="G281" t="s">
        <v>64</v>
      </c>
      <c r="H281" t="s">
        <v>77</v>
      </c>
      <c r="I281" t="s">
        <v>43</v>
      </c>
      <c r="J281" t="s">
        <v>66</v>
      </c>
      <c r="K281" t="s">
        <v>38</v>
      </c>
      <c r="L281">
        <v>1</v>
      </c>
      <c r="M281">
        <v>182</v>
      </c>
      <c r="N281">
        <v>45.5</v>
      </c>
      <c r="O281">
        <v>60</v>
      </c>
      <c r="P281">
        <v>182</v>
      </c>
      <c r="Q281">
        <v>196.5</v>
      </c>
      <c r="R281" t="s">
        <v>39</v>
      </c>
      <c r="S281" t="s">
        <v>31</v>
      </c>
      <c r="T281" t="s">
        <v>40</v>
      </c>
      <c r="U281">
        <v>53</v>
      </c>
      <c r="V281">
        <v>4.0999999999999996</v>
      </c>
      <c r="W281">
        <f>Table2[[#This Row],[Quantity]]*Table2[[#This Row],[Item_Price]]</f>
        <v>182</v>
      </c>
    </row>
    <row r="282" spans="1:23" x14ac:dyDescent="0.25">
      <c r="A282" t="s">
        <v>376</v>
      </c>
      <c r="B282" s="1">
        <v>45678</v>
      </c>
      <c r="C282" t="s">
        <v>23</v>
      </c>
      <c r="D282">
        <v>1</v>
      </c>
      <c r="E282">
        <v>21</v>
      </c>
      <c r="F282" t="s">
        <v>178</v>
      </c>
      <c r="G282" t="s">
        <v>115</v>
      </c>
      <c r="H282" t="s">
        <v>77</v>
      </c>
      <c r="I282" t="s">
        <v>69</v>
      </c>
      <c r="J282" t="s">
        <v>82</v>
      </c>
      <c r="K282" t="s">
        <v>58</v>
      </c>
      <c r="L282">
        <v>1</v>
      </c>
      <c r="M282">
        <v>759</v>
      </c>
      <c r="N282">
        <v>189.75</v>
      </c>
      <c r="O282">
        <v>60</v>
      </c>
      <c r="P282">
        <v>759</v>
      </c>
      <c r="Q282">
        <v>629.25</v>
      </c>
      <c r="R282" t="s">
        <v>39</v>
      </c>
      <c r="S282" t="s">
        <v>31</v>
      </c>
      <c r="T282" t="s">
        <v>40</v>
      </c>
      <c r="U282">
        <v>23</v>
      </c>
      <c r="V282">
        <v>2.2999999999999998</v>
      </c>
      <c r="W282">
        <f>Table2[[#This Row],[Quantity]]*Table2[[#This Row],[Item_Price]]</f>
        <v>759</v>
      </c>
    </row>
    <row r="283" spans="1:23" x14ac:dyDescent="0.25">
      <c r="A283" t="s">
        <v>377</v>
      </c>
      <c r="B283" s="1">
        <v>45678</v>
      </c>
      <c r="C283" t="s">
        <v>23</v>
      </c>
      <c r="D283">
        <v>1</v>
      </c>
      <c r="E283">
        <v>21</v>
      </c>
      <c r="F283" t="s">
        <v>178</v>
      </c>
      <c r="G283" t="s">
        <v>55</v>
      </c>
      <c r="H283" t="s">
        <v>26</v>
      </c>
      <c r="I283" t="s">
        <v>61</v>
      </c>
      <c r="J283" t="s">
        <v>44</v>
      </c>
      <c r="K283" t="s">
        <v>38</v>
      </c>
      <c r="L283">
        <v>1</v>
      </c>
      <c r="M283">
        <v>857</v>
      </c>
      <c r="N283">
        <v>171.4</v>
      </c>
      <c r="O283">
        <v>70</v>
      </c>
      <c r="P283">
        <v>857</v>
      </c>
      <c r="Q283">
        <v>755.6</v>
      </c>
      <c r="R283" t="s">
        <v>30</v>
      </c>
      <c r="S283" t="s">
        <v>31</v>
      </c>
      <c r="T283" t="s">
        <v>40</v>
      </c>
      <c r="U283">
        <v>22</v>
      </c>
      <c r="V283">
        <v>5</v>
      </c>
      <c r="W283">
        <f>Table2[[#This Row],[Quantity]]*Table2[[#This Row],[Item_Price]]</f>
        <v>857</v>
      </c>
    </row>
    <row r="284" spans="1:23" x14ac:dyDescent="0.25">
      <c r="A284" t="s">
        <v>378</v>
      </c>
      <c r="B284" s="1">
        <v>45678</v>
      </c>
      <c r="C284" t="s">
        <v>23</v>
      </c>
      <c r="D284">
        <v>1</v>
      </c>
      <c r="E284">
        <v>21</v>
      </c>
      <c r="F284" t="s">
        <v>178</v>
      </c>
      <c r="G284" t="s">
        <v>80</v>
      </c>
      <c r="H284" t="s">
        <v>26</v>
      </c>
      <c r="I284" t="s">
        <v>27</v>
      </c>
      <c r="J284" t="s">
        <v>28</v>
      </c>
      <c r="K284" t="s">
        <v>45</v>
      </c>
      <c r="L284">
        <v>1</v>
      </c>
      <c r="M284">
        <v>201</v>
      </c>
      <c r="N284">
        <v>20.100000000000001</v>
      </c>
      <c r="O284">
        <v>60</v>
      </c>
      <c r="P284">
        <v>201</v>
      </c>
      <c r="Q284">
        <v>240.9</v>
      </c>
      <c r="R284" t="s">
        <v>30</v>
      </c>
      <c r="S284" t="s">
        <v>31</v>
      </c>
      <c r="T284" t="s">
        <v>40</v>
      </c>
      <c r="U284">
        <v>22</v>
      </c>
      <c r="V284">
        <v>3.6</v>
      </c>
      <c r="W284">
        <f>Table2[[#This Row],[Quantity]]*Table2[[#This Row],[Item_Price]]</f>
        <v>201</v>
      </c>
    </row>
    <row r="285" spans="1:23" x14ac:dyDescent="0.25">
      <c r="A285" t="s">
        <v>379</v>
      </c>
      <c r="B285" s="1">
        <v>45678</v>
      </c>
      <c r="C285" t="s">
        <v>23</v>
      </c>
      <c r="D285">
        <v>1</v>
      </c>
      <c r="E285">
        <v>21</v>
      </c>
      <c r="F285" t="s">
        <v>178</v>
      </c>
      <c r="G285" t="s">
        <v>64</v>
      </c>
      <c r="H285" t="s">
        <v>52</v>
      </c>
      <c r="I285" t="s">
        <v>85</v>
      </c>
      <c r="J285" t="s">
        <v>62</v>
      </c>
      <c r="K285" t="s">
        <v>58</v>
      </c>
      <c r="L285">
        <v>1</v>
      </c>
      <c r="M285">
        <v>357</v>
      </c>
      <c r="N285">
        <v>17.850000000000001</v>
      </c>
      <c r="O285">
        <v>40</v>
      </c>
      <c r="P285">
        <v>357</v>
      </c>
      <c r="Q285">
        <v>379.15</v>
      </c>
      <c r="R285" t="s">
        <v>39</v>
      </c>
      <c r="S285" t="s">
        <v>46</v>
      </c>
      <c r="T285" t="s">
        <v>32</v>
      </c>
      <c r="U285">
        <v>51</v>
      </c>
      <c r="W285">
        <f>Table2[[#This Row],[Quantity]]*Table2[[#This Row],[Item_Price]]</f>
        <v>357</v>
      </c>
    </row>
    <row r="286" spans="1:23" x14ac:dyDescent="0.25">
      <c r="A286" t="s">
        <v>380</v>
      </c>
      <c r="B286" s="1">
        <v>45678</v>
      </c>
      <c r="C286" t="s">
        <v>23</v>
      </c>
      <c r="D286">
        <v>1</v>
      </c>
      <c r="E286">
        <v>21</v>
      </c>
      <c r="F286" t="s">
        <v>178</v>
      </c>
      <c r="G286" t="s">
        <v>115</v>
      </c>
      <c r="H286" t="s">
        <v>68</v>
      </c>
      <c r="I286" t="s">
        <v>69</v>
      </c>
      <c r="J286" t="s">
        <v>44</v>
      </c>
      <c r="K286" t="s">
        <v>38</v>
      </c>
      <c r="L286">
        <v>3</v>
      </c>
      <c r="M286">
        <v>294</v>
      </c>
      <c r="N286">
        <v>58.8</v>
      </c>
      <c r="O286">
        <v>30</v>
      </c>
      <c r="P286">
        <v>882</v>
      </c>
      <c r="Q286">
        <v>853.2</v>
      </c>
      <c r="R286" t="s">
        <v>39</v>
      </c>
      <c r="S286" t="s">
        <v>31</v>
      </c>
      <c r="T286" t="s">
        <v>40</v>
      </c>
      <c r="U286">
        <v>44</v>
      </c>
      <c r="V286">
        <v>4</v>
      </c>
      <c r="W286">
        <f>Table2[[#This Row],[Quantity]]*Table2[[#This Row],[Item_Price]]</f>
        <v>882</v>
      </c>
    </row>
    <row r="287" spans="1:23" x14ac:dyDescent="0.25">
      <c r="A287" t="s">
        <v>381</v>
      </c>
      <c r="B287" s="1">
        <v>45678</v>
      </c>
      <c r="C287" t="s">
        <v>23</v>
      </c>
      <c r="D287">
        <v>1</v>
      </c>
      <c r="E287">
        <v>21</v>
      </c>
      <c r="F287" t="s">
        <v>178</v>
      </c>
      <c r="G287" t="s">
        <v>34</v>
      </c>
      <c r="H287" t="s">
        <v>60</v>
      </c>
      <c r="I287" t="s">
        <v>49</v>
      </c>
      <c r="J287" t="s">
        <v>74</v>
      </c>
      <c r="K287" t="s">
        <v>38</v>
      </c>
      <c r="L287">
        <v>2</v>
      </c>
      <c r="M287">
        <v>150</v>
      </c>
      <c r="N287">
        <v>37.5</v>
      </c>
      <c r="O287">
        <v>70</v>
      </c>
      <c r="P287">
        <v>300</v>
      </c>
      <c r="Q287">
        <v>332.5</v>
      </c>
      <c r="R287" t="s">
        <v>30</v>
      </c>
      <c r="S287" t="s">
        <v>31</v>
      </c>
      <c r="T287" t="s">
        <v>32</v>
      </c>
      <c r="U287">
        <v>27</v>
      </c>
      <c r="V287">
        <v>4.3</v>
      </c>
      <c r="W287">
        <f>Table2[[#This Row],[Quantity]]*Table2[[#This Row],[Item_Price]]</f>
        <v>300</v>
      </c>
    </row>
    <row r="288" spans="1:23" x14ac:dyDescent="0.25">
      <c r="A288" t="s">
        <v>382</v>
      </c>
      <c r="B288" s="1">
        <v>45678</v>
      </c>
      <c r="C288" t="s">
        <v>23</v>
      </c>
      <c r="D288">
        <v>1</v>
      </c>
      <c r="E288">
        <v>21</v>
      </c>
      <c r="F288" t="s">
        <v>178</v>
      </c>
      <c r="G288" t="s">
        <v>73</v>
      </c>
      <c r="H288" t="s">
        <v>68</v>
      </c>
      <c r="I288" t="s">
        <v>97</v>
      </c>
      <c r="J288" t="s">
        <v>78</v>
      </c>
      <c r="K288" t="s">
        <v>38</v>
      </c>
      <c r="L288">
        <v>2</v>
      </c>
      <c r="M288">
        <v>480</v>
      </c>
      <c r="N288">
        <v>48</v>
      </c>
      <c r="O288">
        <v>40</v>
      </c>
      <c r="P288">
        <v>960</v>
      </c>
      <c r="Q288">
        <v>952</v>
      </c>
      <c r="R288" t="s">
        <v>75</v>
      </c>
      <c r="S288" t="s">
        <v>46</v>
      </c>
      <c r="T288" t="s">
        <v>40</v>
      </c>
      <c r="U288">
        <v>19</v>
      </c>
      <c r="W288">
        <f>Table2[[#This Row],[Quantity]]*Table2[[#This Row],[Item_Price]]</f>
        <v>960</v>
      </c>
    </row>
    <row r="289" spans="1:23" x14ac:dyDescent="0.25">
      <c r="A289" t="s">
        <v>383</v>
      </c>
      <c r="B289" s="1">
        <v>45678</v>
      </c>
      <c r="C289" t="s">
        <v>23</v>
      </c>
      <c r="D289">
        <v>1</v>
      </c>
      <c r="E289">
        <v>21</v>
      </c>
      <c r="F289" t="s">
        <v>178</v>
      </c>
      <c r="G289" t="s">
        <v>34</v>
      </c>
      <c r="H289" t="s">
        <v>77</v>
      </c>
      <c r="I289" t="s">
        <v>97</v>
      </c>
      <c r="J289" t="s">
        <v>74</v>
      </c>
      <c r="K289" t="s">
        <v>38</v>
      </c>
      <c r="L289">
        <v>1</v>
      </c>
      <c r="M289">
        <v>120</v>
      </c>
      <c r="N289">
        <v>6</v>
      </c>
      <c r="O289">
        <v>60</v>
      </c>
      <c r="P289">
        <v>120</v>
      </c>
      <c r="Q289">
        <v>174</v>
      </c>
      <c r="R289" t="s">
        <v>39</v>
      </c>
      <c r="S289" t="s">
        <v>31</v>
      </c>
      <c r="T289" t="s">
        <v>40</v>
      </c>
      <c r="U289">
        <v>31</v>
      </c>
      <c r="V289">
        <v>4.4000000000000004</v>
      </c>
      <c r="W289">
        <f>Table2[[#This Row],[Quantity]]*Table2[[#This Row],[Item_Price]]</f>
        <v>120</v>
      </c>
    </row>
    <row r="290" spans="1:23" x14ac:dyDescent="0.25">
      <c r="A290" t="s">
        <v>384</v>
      </c>
      <c r="B290" s="1">
        <v>45678</v>
      </c>
      <c r="C290" t="s">
        <v>23</v>
      </c>
      <c r="D290">
        <v>1</v>
      </c>
      <c r="E290">
        <v>21</v>
      </c>
      <c r="F290" t="s">
        <v>178</v>
      </c>
      <c r="G290" t="s">
        <v>64</v>
      </c>
      <c r="H290" t="s">
        <v>26</v>
      </c>
      <c r="I290" t="s">
        <v>43</v>
      </c>
      <c r="J290" t="s">
        <v>78</v>
      </c>
      <c r="K290" t="s">
        <v>38</v>
      </c>
      <c r="L290">
        <v>3</v>
      </c>
      <c r="M290">
        <v>169</v>
      </c>
      <c r="N290">
        <v>25.35</v>
      </c>
      <c r="O290">
        <v>50</v>
      </c>
      <c r="P290">
        <v>507</v>
      </c>
      <c r="Q290">
        <v>531.65</v>
      </c>
      <c r="R290" t="s">
        <v>30</v>
      </c>
      <c r="S290" t="s">
        <v>31</v>
      </c>
      <c r="T290" t="s">
        <v>40</v>
      </c>
      <c r="U290">
        <v>47</v>
      </c>
      <c r="V290">
        <v>2.9</v>
      </c>
      <c r="W290">
        <f>Table2[[#This Row],[Quantity]]*Table2[[#This Row],[Item_Price]]</f>
        <v>507</v>
      </c>
    </row>
    <row r="291" spans="1:23" x14ac:dyDescent="0.25">
      <c r="A291" t="s">
        <v>385</v>
      </c>
      <c r="B291" s="1">
        <v>45678</v>
      </c>
      <c r="C291" t="s">
        <v>23</v>
      </c>
      <c r="D291">
        <v>1</v>
      </c>
      <c r="E291">
        <v>21</v>
      </c>
      <c r="F291" t="s">
        <v>178</v>
      </c>
      <c r="G291" t="s">
        <v>25</v>
      </c>
      <c r="H291" t="s">
        <v>68</v>
      </c>
      <c r="I291" t="s">
        <v>43</v>
      </c>
      <c r="J291" t="s">
        <v>28</v>
      </c>
      <c r="K291" t="s">
        <v>58</v>
      </c>
      <c r="L291">
        <v>3</v>
      </c>
      <c r="M291">
        <v>170</v>
      </c>
      <c r="N291">
        <v>25.5</v>
      </c>
      <c r="O291">
        <v>30</v>
      </c>
      <c r="P291">
        <v>510</v>
      </c>
      <c r="Q291">
        <v>514.5</v>
      </c>
      <c r="R291" t="s">
        <v>75</v>
      </c>
      <c r="S291" t="s">
        <v>31</v>
      </c>
      <c r="T291" t="s">
        <v>32</v>
      </c>
      <c r="U291">
        <v>26</v>
      </c>
      <c r="V291">
        <v>5</v>
      </c>
      <c r="W291">
        <f>Table2[[#This Row],[Quantity]]*Table2[[#This Row],[Item_Price]]</f>
        <v>510</v>
      </c>
    </row>
    <row r="292" spans="1:23" x14ac:dyDescent="0.25">
      <c r="A292" t="s">
        <v>386</v>
      </c>
      <c r="B292" s="1">
        <v>45678</v>
      </c>
      <c r="C292" t="s">
        <v>23</v>
      </c>
      <c r="D292">
        <v>1</v>
      </c>
      <c r="E292">
        <v>21</v>
      </c>
      <c r="F292" t="s">
        <v>178</v>
      </c>
      <c r="G292" t="s">
        <v>55</v>
      </c>
      <c r="H292" t="s">
        <v>42</v>
      </c>
      <c r="I292" t="s">
        <v>57</v>
      </c>
      <c r="J292" t="s">
        <v>66</v>
      </c>
      <c r="K292" t="s">
        <v>38</v>
      </c>
      <c r="L292">
        <v>1</v>
      </c>
      <c r="M292">
        <v>201</v>
      </c>
      <c r="N292">
        <v>0</v>
      </c>
      <c r="O292">
        <v>20</v>
      </c>
      <c r="P292">
        <v>201</v>
      </c>
      <c r="Q292">
        <v>221</v>
      </c>
      <c r="R292" t="s">
        <v>30</v>
      </c>
      <c r="S292" t="s">
        <v>91</v>
      </c>
      <c r="T292" t="s">
        <v>40</v>
      </c>
      <c r="U292">
        <v>31</v>
      </c>
      <c r="W292">
        <f>Table2[[#This Row],[Quantity]]*Table2[[#This Row],[Item_Price]]</f>
        <v>201</v>
      </c>
    </row>
    <row r="293" spans="1:23" x14ac:dyDescent="0.25">
      <c r="A293" t="s">
        <v>387</v>
      </c>
      <c r="B293" s="1">
        <v>45678</v>
      </c>
      <c r="C293" t="s">
        <v>23</v>
      </c>
      <c r="D293">
        <v>1</v>
      </c>
      <c r="E293">
        <v>21</v>
      </c>
      <c r="F293" t="s">
        <v>178</v>
      </c>
      <c r="G293" t="s">
        <v>115</v>
      </c>
      <c r="H293" t="s">
        <v>105</v>
      </c>
      <c r="I293" t="s">
        <v>69</v>
      </c>
      <c r="J293" t="s">
        <v>28</v>
      </c>
      <c r="K293" t="s">
        <v>29</v>
      </c>
      <c r="L293">
        <v>2</v>
      </c>
      <c r="M293">
        <v>692</v>
      </c>
      <c r="N293">
        <v>138.4</v>
      </c>
      <c r="O293">
        <v>40</v>
      </c>
      <c r="P293">
        <v>1384</v>
      </c>
      <c r="Q293">
        <v>1285.5999999999999</v>
      </c>
      <c r="R293" t="s">
        <v>39</v>
      </c>
      <c r="S293" t="s">
        <v>31</v>
      </c>
      <c r="T293" t="s">
        <v>40</v>
      </c>
      <c r="U293">
        <v>60</v>
      </c>
      <c r="V293">
        <v>4</v>
      </c>
      <c r="W293">
        <f>Table2[[#This Row],[Quantity]]*Table2[[#This Row],[Item_Price]]</f>
        <v>1384</v>
      </c>
    </row>
    <row r="294" spans="1:23" x14ac:dyDescent="0.25">
      <c r="A294" t="s">
        <v>388</v>
      </c>
      <c r="B294" s="1">
        <v>45678</v>
      </c>
      <c r="C294" t="s">
        <v>23</v>
      </c>
      <c r="D294">
        <v>1</v>
      </c>
      <c r="E294">
        <v>21</v>
      </c>
      <c r="F294" t="s">
        <v>178</v>
      </c>
      <c r="G294" t="s">
        <v>25</v>
      </c>
      <c r="H294" t="s">
        <v>81</v>
      </c>
      <c r="I294" t="s">
        <v>36</v>
      </c>
      <c r="J294" t="s">
        <v>123</v>
      </c>
      <c r="K294" t="s">
        <v>38</v>
      </c>
      <c r="L294">
        <v>3</v>
      </c>
      <c r="M294">
        <v>751</v>
      </c>
      <c r="N294">
        <v>112.65</v>
      </c>
      <c r="O294">
        <v>40</v>
      </c>
      <c r="P294">
        <v>2253</v>
      </c>
      <c r="Q294">
        <v>2180.35</v>
      </c>
      <c r="R294" t="s">
        <v>30</v>
      </c>
      <c r="S294" t="s">
        <v>31</v>
      </c>
      <c r="T294" t="s">
        <v>40</v>
      </c>
      <c r="U294">
        <v>19</v>
      </c>
      <c r="V294">
        <v>5</v>
      </c>
      <c r="W294">
        <f>Table2[[#This Row],[Quantity]]*Table2[[#This Row],[Item_Price]]</f>
        <v>2253</v>
      </c>
    </row>
    <row r="295" spans="1:23" x14ac:dyDescent="0.25">
      <c r="A295" t="s">
        <v>389</v>
      </c>
      <c r="B295" s="1">
        <v>45678</v>
      </c>
      <c r="C295" t="s">
        <v>23</v>
      </c>
      <c r="D295">
        <v>1</v>
      </c>
      <c r="E295">
        <v>21</v>
      </c>
      <c r="F295" t="s">
        <v>178</v>
      </c>
      <c r="G295" t="s">
        <v>84</v>
      </c>
      <c r="H295" t="s">
        <v>56</v>
      </c>
      <c r="I295" t="s">
        <v>61</v>
      </c>
      <c r="J295" t="s">
        <v>172</v>
      </c>
      <c r="K295" t="s">
        <v>38</v>
      </c>
      <c r="L295">
        <v>2</v>
      </c>
      <c r="M295">
        <v>136</v>
      </c>
      <c r="N295">
        <v>20.399999999999999</v>
      </c>
      <c r="O295">
        <v>30</v>
      </c>
      <c r="P295">
        <v>272</v>
      </c>
      <c r="Q295">
        <v>281.60000000000002</v>
      </c>
      <c r="R295" t="s">
        <v>39</v>
      </c>
      <c r="S295" t="s">
        <v>31</v>
      </c>
      <c r="T295" t="s">
        <v>40</v>
      </c>
      <c r="U295">
        <v>43</v>
      </c>
      <c r="V295">
        <v>3.2</v>
      </c>
      <c r="W295">
        <f>Table2[[#This Row],[Quantity]]*Table2[[#This Row],[Item_Price]]</f>
        <v>272</v>
      </c>
    </row>
    <row r="296" spans="1:23" x14ac:dyDescent="0.25">
      <c r="A296" t="s">
        <v>390</v>
      </c>
      <c r="B296" s="1">
        <v>45678</v>
      </c>
      <c r="C296" t="s">
        <v>23</v>
      </c>
      <c r="D296">
        <v>1</v>
      </c>
      <c r="E296">
        <v>21</v>
      </c>
      <c r="F296" t="s">
        <v>178</v>
      </c>
      <c r="G296" t="s">
        <v>64</v>
      </c>
      <c r="H296" t="s">
        <v>68</v>
      </c>
      <c r="I296" t="s">
        <v>61</v>
      </c>
      <c r="J296" t="s">
        <v>70</v>
      </c>
      <c r="K296" t="s">
        <v>29</v>
      </c>
      <c r="L296">
        <v>1</v>
      </c>
      <c r="M296">
        <v>535</v>
      </c>
      <c r="N296">
        <v>107</v>
      </c>
      <c r="O296">
        <v>40</v>
      </c>
      <c r="P296">
        <v>535</v>
      </c>
      <c r="Q296">
        <v>468</v>
      </c>
      <c r="R296" t="s">
        <v>39</v>
      </c>
      <c r="S296" t="s">
        <v>31</v>
      </c>
      <c r="T296" t="s">
        <v>40</v>
      </c>
      <c r="U296">
        <v>36</v>
      </c>
      <c r="V296">
        <v>4.5</v>
      </c>
      <c r="W296">
        <f>Table2[[#This Row],[Quantity]]*Table2[[#This Row],[Item_Price]]</f>
        <v>535</v>
      </c>
    </row>
    <row r="297" spans="1:23" x14ac:dyDescent="0.25">
      <c r="A297" t="s">
        <v>391</v>
      </c>
      <c r="B297" s="1">
        <v>45679</v>
      </c>
      <c r="C297" t="s">
        <v>23</v>
      </c>
      <c r="D297">
        <v>1</v>
      </c>
      <c r="E297">
        <v>22</v>
      </c>
      <c r="F297" t="s">
        <v>24</v>
      </c>
      <c r="G297" t="s">
        <v>55</v>
      </c>
      <c r="H297" t="s">
        <v>35</v>
      </c>
      <c r="I297" t="s">
        <v>36</v>
      </c>
      <c r="J297" t="s">
        <v>50</v>
      </c>
      <c r="K297" t="s">
        <v>38</v>
      </c>
      <c r="L297">
        <v>1</v>
      </c>
      <c r="M297">
        <v>821</v>
      </c>
      <c r="N297">
        <v>0</v>
      </c>
      <c r="O297">
        <v>50</v>
      </c>
      <c r="P297">
        <v>821</v>
      </c>
      <c r="Q297">
        <v>871</v>
      </c>
      <c r="R297" t="s">
        <v>112</v>
      </c>
      <c r="S297" t="s">
        <v>31</v>
      </c>
      <c r="T297" t="s">
        <v>40</v>
      </c>
      <c r="U297">
        <v>61</v>
      </c>
      <c r="V297">
        <v>5</v>
      </c>
      <c r="W297">
        <f>Table2[[#This Row],[Quantity]]*Table2[[#This Row],[Item_Price]]</f>
        <v>821</v>
      </c>
    </row>
    <row r="298" spans="1:23" x14ac:dyDescent="0.25">
      <c r="A298" t="s">
        <v>392</v>
      </c>
      <c r="B298" s="1">
        <v>45679</v>
      </c>
      <c r="C298" t="s">
        <v>23</v>
      </c>
      <c r="D298">
        <v>1</v>
      </c>
      <c r="E298">
        <v>22</v>
      </c>
      <c r="F298" t="s">
        <v>24</v>
      </c>
      <c r="G298" t="s">
        <v>73</v>
      </c>
      <c r="H298" t="s">
        <v>26</v>
      </c>
      <c r="I298" t="s">
        <v>57</v>
      </c>
      <c r="J298" t="s">
        <v>44</v>
      </c>
      <c r="K298" t="s">
        <v>38</v>
      </c>
      <c r="L298">
        <v>1</v>
      </c>
      <c r="M298">
        <v>224</v>
      </c>
      <c r="N298">
        <v>22.4</v>
      </c>
      <c r="O298">
        <v>20</v>
      </c>
      <c r="P298">
        <v>224</v>
      </c>
      <c r="Q298">
        <v>221.6</v>
      </c>
      <c r="R298" t="s">
        <v>39</v>
      </c>
      <c r="S298" t="s">
        <v>31</v>
      </c>
      <c r="T298" t="s">
        <v>32</v>
      </c>
      <c r="U298">
        <v>60</v>
      </c>
      <c r="V298">
        <v>4.3</v>
      </c>
      <c r="W298">
        <f>Table2[[#This Row],[Quantity]]*Table2[[#This Row],[Item_Price]]</f>
        <v>224</v>
      </c>
    </row>
    <row r="299" spans="1:23" x14ac:dyDescent="0.25">
      <c r="A299" t="s">
        <v>393</v>
      </c>
      <c r="B299" s="1">
        <v>45679</v>
      </c>
      <c r="C299" t="s">
        <v>23</v>
      </c>
      <c r="D299">
        <v>1</v>
      </c>
      <c r="E299">
        <v>22</v>
      </c>
      <c r="F299" t="s">
        <v>24</v>
      </c>
      <c r="G299" t="s">
        <v>73</v>
      </c>
      <c r="H299" t="s">
        <v>42</v>
      </c>
      <c r="I299" t="s">
        <v>69</v>
      </c>
      <c r="J299" t="s">
        <v>28</v>
      </c>
      <c r="K299" t="s">
        <v>58</v>
      </c>
      <c r="L299">
        <v>2</v>
      </c>
      <c r="M299">
        <v>351</v>
      </c>
      <c r="N299">
        <v>17.55</v>
      </c>
      <c r="O299">
        <v>40</v>
      </c>
      <c r="P299">
        <v>702</v>
      </c>
      <c r="Q299">
        <v>724.45</v>
      </c>
      <c r="R299" t="s">
        <v>75</v>
      </c>
      <c r="S299" t="s">
        <v>91</v>
      </c>
      <c r="T299" t="s">
        <v>32</v>
      </c>
      <c r="U299">
        <v>41</v>
      </c>
      <c r="W299">
        <f>Table2[[#This Row],[Quantity]]*Table2[[#This Row],[Item_Price]]</f>
        <v>702</v>
      </c>
    </row>
    <row r="300" spans="1:23" x14ac:dyDescent="0.25">
      <c r="A300" t="s">
        <v>394</v>
      </c>
      <c r="B300" s="1">
        <v>45679</v>
      </c>
      <c r="C300" t="s">
        <v>23</v>
      </c>
      <c r="D300">
        <v>1</v>
      </c>
      <c r="E300">
        <v>22</v>
      </c>
      <c r="F300" t="s">
        <v>24</v>
      </c>
      <c r="G300" t="s">
        <v>34</v>
      </c>
      <c r="H300" t="s">
        <v>81</v>
      </c>
      <c r="I300" t="s">
        <v>57</v>
      </c>
      <c r="J300" t="s">
        <v>50</v>
      </c>
      <c r="K300" t="s">
        <v>38</v>
      </c>
      <c r="L300">
        <v>3</v>
      </c>
      <c r="M300">
        <v>893</v>
      </c>
      <c r="N300">
        <v>89.3</v>
      </c>
      <c r="O300">
        <v>0</v>
      </c>
      <c r="P300">
        <v>2679</v>
      </c>
      <c r="Q300">
        <v>2589.6999999999998</v>
      </c>
      <c r="R300" t="s">
        <v>39</v>
      </c>
      <c r="S300" t="s">
        <v>31</v>
      </c>
      <c r="T300" t="s">
        <v>40</v>
      </c>
      <c r="U300">
        <v>67</v>
      </c>
      <c r="V300">
        <v>3.2</v>
      </c>
      <c r="W300">
        <f>Table2[[#This Row],[Quantity]]*Table2[[#This Row],[Item_Price]]</f>
        <v>2679</v>
      </c>
    </row>
    <row r="301" spans="1:23" x14ac:dyDescent="0.25">
      <c r="A301" t="s">
        <v>395</v>
      </c>
      <c r="B301" s="1">
        <v>45679</v>
      </c>
      <c r="C301" t="s">
        <v>23</v>
      </c>
      <c r="D301">
        <v>1</v>
      </c>
      <c r="E301">
        <v>22</v>
      </c>
      <c r="F301" t="s">
        <v>24</v>
      </c>
      <c r="G301" t="s">
        <v>25</v>
      </c>
      <c r="H301" t="s">
        <v>105</v>
      </c>
      <c r="I301" t="s">
        <v>36</v>
      </c>
      <c r="J301" t="s">
        <v>28</v>
      </c>
      <c r="K301" t="s">
        <v>38</v>
      </c>
      <c r="L301">
        <v>1</v>
      </c>
      <c r="M301">
        <v>305</v>
      </c>
      <c r="N301">
        <v>45.75</v>
      </c>
      <c r="O301">
        <v>20</v>
      </c>
      <c r="P301">
        <v>305</v>
      </c>
      <c r="Q301">
        <v>279.25</v>
      </c>
      <c r="R301" t="s">
        <v>39</v>
      </c>
      <c r="S301" t="s">
        <v>31</v>
      </c>
      <c r="T301" t="s">
        <v>32</v>
      </c>
      <c r="U301">
        <v>21</v>
      </c>
      <c r="V301">
        <v>2.9</v>
      </c>
      <c r="W301">
        <f>Table2[[#This Row],[Quantity]]*Table2[[#This Row],[Item_Price]]</f>
        <v>305</v>
      </c>
    </row>
    <row r="302" spans="1:23" x14ac:dyDescent="0.25">
      <c r="A302" t="s">
        <v>396</v>
      </c>
      <c r="B302" s="1">
        <v>45679</v>
      </c>
      <c r="C302" t="s">
        <v>23</v>
      </c>
      <c r="D302">
        <v>1</v>
      </c>
      <c r="E302">
        <v>22</v>
      </c>
      <c r="F302" t="s">
        <v>24</v>
      </c>
      <c r="G302" t="s">
        <v>55</v>
      </c>
      <c r="H302" t="s">
        <v>52</v>
      </c>
      <c r="I302" t="s">
        <v>27</v>
      </c>
      <c r="J302" t="s">
        <v>74</v>
      </c>
      <c r="K302" t="s">
        <v>38</v>
      </c>
      <c r="L302">
        <v>2</v>
      </c>
      <c r="M302">
        <v>792</v>
      </c>
      <c r="N302">
        <v>118.8</v>
      </c>
      <c r="O302">
        <v>50</v>
      </c>
      <c r="P302">
        <v>1584</v>
      </c>
      <c r="Q302">
        <v>1515.2</v>
      </c>
      <c r="R302" t="s">
        <v>98</v>
      </c>
      <c r="S302" t="s">
        <v>31</v>
      </c>
      <c r="T302" t="s">
        <v>40</v>
      </c>
      <c r="U302">
        <v>29</v>
      </c>
      <c r="V302">
        <v>4.2</v>
      </c>
      <c r="W302">
        <f>Table2[[#This Row],[Quantity]]*Table2[[#This Row],[Item_Price]]</f>
        <v>1584</v>
      </c>
    </row>
    <row r="303" spans="1:23" x14ac:dyDescent="0.25">
      <c r="A303" t="s">
        <v>397</v>
      </c>
      <c r="B303" s="1">
        <v>45679</v>
      </c>
      <c r="C303" t="s">
        <v>23</v>
      </c>
      <c r="D303">
        <v>1</v>
      </c>
      <c r="E303">
        <v>22</v>
      </c>
      <c r="F303" t="s">
        <v>24</v>
      </c>
      <c r="G303" t="s">
        <v>84</v>
      </c>
      <c r="H303" t="s">
        <v>48</v>
      </c>
      <c r="I303" t="s">
        <v>69</v>
      </c>
      <c r="J303" t="s">
        <v>82</v>
      </c>
      <c r="K303" t="s">
        <v>38</v>
      </c>
      <c r="L303">
        <v>3</v>
      </c>
      <c r="M303">
        <v>175</v>
      </c>
      <c r="N303">
        <v>0</v>
      </c>
      <c r="O303">
        <v>0</v>
      </c>
      <c r="P303">
        <v>525</v>
      </c>
      <c r="Q303">
        <v>525</v>
      </c>
      <c r="R303" t="s">
        <v>75</v>
      </c>
      <c r="S303" t="s">
        <v>31</v>
      </c>
      <c r="T303" t="s">
        <v>32</v>
      </c>
      <c r="U303">
        <v>26</v>
      </c>
      <c r="V303">
        <v>3.7</v>
      </c>
      <c r="W303">
        <f>Table2[[#This Row],[Quantity]]*Table2[[#This Row],[Item_Price]]</f>
        <v>525</v>
      </c>
    </row>
    <row r="304" spans="1:23" x14ac:dyDescent="0.25">
      <c r="A304" t="s">
        <v>398</v>
      </c>
      <c r="B304" s="1">
        <v>45679</v>
      </c>
      <c r="C304" t="s">
        <v>23</v>
      </c>
      <c r="D304">
        <v>1</v>
      </c>
      <c r="E304">
        <v>22</v>
      </c>
      <c r="F304" t="s">
        <v>24</v>
      </c>
      <c r="G304" t="s">
        <v>84</v>
      </c>
      <c r="H304" t="s">
        <v>77</v>
      </c>
      <c r="I304" t="s">
        <v>97</v>
      </c>
      <c r="J304" t="s">
        <v>82</v>
      </c>
      <c r="K304" t="s">
        <v>38</v>
      </c>
      <c r="L304">
        <v>3</v>
      </c>
      <c r="M304">
        <v>678</v>
      </c>
      <c r="N304">
        <v>0</v>
      </c>
      <c r="O304">
        <v>30</v>
      </c>
      <c r="P304">
        <v>2034</v>
      </c>
      <c r="Q304">
        <v>2064</v>
      </c>
      <c r="R304" t="s">
        <v>75</v>
      </c>
      <c r="S304" t="s">
        <v>31</v>
      </c>
      <c r="T304" t="s">
        <v>32</v>
      </c>
      <c r="U304">
        <v>68</v>
      </c>
      <c r="V304">
        <v>3.1</v>
      </c>
      <c r="W304">
        <f>Table2[[#This Row],[Quantity]]*Table2[[#This Row],[Item_Price]]</f>
        <v>2034</v>
      </c>
    </row>
    <row r="305" spans="1:23" x14ac:dyDescent="0.25">
      <c r="A305" t="s">
        <v>399</v>
      </c>
      <c r="B305" s="1">
        <v>45679</v>
      </c>
      <c r="C305" t="s">
        <v>23</v>
      </c>
      <c r="D305">
        <v>1</v>
      </c>
      <c r="E305">
        <v>22</v>
      </c>
      <c r="F305" t="s">
        <v>24</v>
      </c>
      <c r="G305" t="s">
        <v>115</v>
      </c>
      <c r="H305" t="s">
        <v>68</v>
      </c>
      <c r="I305" t="s">
        <v>43</v>
      </c>
      <c r="J305" t="s">
        <v>50</v>
      </c>
      <c r="K305" t="s">
        <v>38</v>
      </c>
      <c r="L305">
        <v>2</v>
      </c>
      <c r="M305">
        <v>458</v>
      </c>
      <c r="N305">
        <v>68.7</v>
      </c>
      <c r="O305">
        <v>40</v>
      </c>
      <c r="P305">
        <v>916</v>
      </c>
      <c r="Q305">
        <v>887.3</v>
      </c>
      <c r="R305" t="s">
        <v>39</v>
      </c>
      <c r="S305" t="s">
        <v>31</v>
      </c>
      <c r="T305" t="s">
        <v>40</v>
      </c>
      <c r="U305">
        <v>25</v>
      </c>
      <c r="V305">
        <v>3.8</v>
      </c>
      <c r="W305">
        <f>Table2[[#This Row],[Quantity]]*Table2[[#This Row],[Item_Price]]</f>
        <v>916</v>
      </c>
    </row>
    <row r="306" spans="1:23" x14ac:dyDescent="0.25">
      <c r="A306" t="s">
        <v>400</v>
      </c>
      <c r="B306" s="1">
        <v>45679</v>
      </c>
      <c r="C306" t="s">
        <v>23</v>
      </c>
      <c r="D306">
        <v>1</v>
      </c>
      <c r="E306">
        <v>22</v>
      </c>
      <c r="F306" t="s">
        <v>24</v>
      </c>
      <c r="G306" t="s">
        <v>25</v>
      </c>
      <c r="H306" t="s">
        <v>60</v>
      </c>
      <c r="I306" t="s">
        <v>36</v>
      </c>
      <c r="J306" t="s">
        <v>44</v>
      </c>
      <c r="K306" t="s">
        <v>45</v>
      </c>
      <c r="L306">
        <v>3</v>
      </c>
      <c r="M306">
        <v>286</v>
      </c>
      <c r="N306">
        <v>42.9</v>
      </c>
      <c r="O306">
        <v>40</v>
      </c>
      <c r="P306">
        <v>858</v>
      </c>
      <c r="Q306">
        <v>855.1</v>
      </c>
      <c r="R306" t="s">
        <v>39</v>
      </c>
      <c r="S306" t="s">
        <v>31</v>
      </c>
      <c r="T306" t="s">
        <v>32</v>
      </c>
      <c r="U306">
        <v>47</v>
      </c>
      <c r="V306">
        <v>4.9000000000000004</v>
      </c>
      <c r="W306">
        <f>Table2[[#This Row],[Quantity]]*Table2[[#This Row],[Item_Price]]</f>
        <v>858</v>
      </c>
    </row>
    <row r="307" spans="1:23" x14ac:dyDescent="0.25">
      <c r="A307" t="s">
        <v>401</v>
      </c>
      <c r="B307" s="1">
        <v>45679</v>
      </c>
      <c r="C307" t="s">
        <v>23</v>
      </c>
      <c r="D307">
        <v>1</v>
      </c>
      <c r="E307">
        <v>22</v>
      </c>
      <c r="F307" t="s">
        <v>24</v>
      </c>
      <c r="G307" t="s">
        <v>80</v>
      </c>
      <c r="H307" t="s">
        <v>60</v>
      </c>
      <c r="I307" t="s">
        <v>69</v>
      </c>
      <c r="J307" t="s">
        <v>82</v>
      </c>
      <c r="K307" t="s">
        <v>38</v>
      </c>
      <c r="L307">
        <v>2</v>
      </c>
      <c r="M307">
        <v>680</v>
      </c>
      <c r="N307">
        <v>102</v>
      </c>
      <c r="O307">
        <v>40</v>
      </c>
      <c r="P307">
        <v>1360</v>
      </c>
      <c r="Q307">
        <v>1298</v>
      </c>
      <c r="R307" t="s">
        <v>39</v>
      </c>
      <c r="S307" t="s">
        <v>110</v>
      </c>
      <c r="T307" t="s">
        <v>40</v>
      </c>
      <c r="U307">
        <v>36</v>
      </c>
      <c r="W307">
        <f>Table2[[#This Row],[Quantity]]*Table2[[#This Row],[Item_Price]]</f>
        <v>1360</v>
      </c>
    </row>
    <row r="308" spans="1:23" x14ac:dyDescent="0.25">
      <c r="A308" t="s">
        <v>402</v>
      </c>
      <c r="B308" s="1">
        <v>45679</v>
      </c>
      <c r="C308" t="s">
        <v>23</v>
      </c>
      <c r="D308">
        <v>1</v>
      </c>
      <c r="E308">
        <v>22</v>
      </c>
      <c r="F308" t="s">
        <v>24</v>
      </c>
      <c r="G308" t="s">
        <v>90</v>
      </c>
      <c r="H308" t="s">
        <v>65</v>
      </c>
      <c r="I308" t="s">
        <v>97</v>
      </c>
      <c r="J308" t="s">
        <v>78</v>
      </c>
      <c r="K308" t="s">
        <v>38</v>
      </c>
      <c r="L308">
        <v>1</v>
      </c>
      <c r="M308">
        <v>337</v>
      </c>
      <c r="N308">
        <v>33.700000000000003</v>
      </c>
      <c r="O308">
        <v>20</v>
      </c>
      <c r="P308">
        <v>337</v>
      </c>
      <c r="Q308">
        <v>323.3</v>
      </c>
      <c r="R308" t="s">
        <v>75</v>
      </c>
      <c r="S308" t="s">
        <v>31</v>
      </c>
      <c r="T308" t="s">
        <v>40</v>
      </c>
      <c r="U308">
        <v>50</v>
      </c>
      <c r="V308">
        <v>5</v>
      </c>
      <c r="W308">
        <f>Table2[[#This Row],[Quantity]]*Table2[[#This Row],[Item_Price]]</f>
        <v>337</v>
      </c>
    </row>
    <row r="309" spans="1:23" x14ac:dyDescent="0.25">
      <c r="A309" t="s">
        <v>403</v>
      </c>
      <c r="B309" s="1">
        <v>45679</v>
      </c>
      <c r="C309" t="s">
        <v>23</v>
      </c>
      <c r="D309">
        <v>1</v>
      </c>
      <c r="E309">
        <v>22</v>
      </c>
      <c r="F309" t="s">
        <v>24</v>
      </c>
      <c r="G309" t="s">
        <v>73</v>
      </c>
      <c r="H309" t="s">
        <v>60</v>
      </c>
      <c r="I309" t="s">
        <v>69</v>
      </c>
      <c r="J309" t="s">
        <v>101</v>
      </c>
      <c r="K309" t="s">
        <v>38</v>
      </c>
      <c r="L309">
        <v>1</v>
      </c>
      <c r="M309">
        <v>216</v>
      </c>
      <c r="N309">
        <v>54</v>
      </c>
      <c r="O309">
        <v>0</v>
      </c>
      <c r="P309">
        <v>216</v>
      </c>
      <c r="Q309">
        <v>162</v>
      </c>
      <c r="R309" t="s">
        <v>39</v>
      </c>
      <c r="S309" t="s">
        <v>31</v>
      </c>
      <c r="T309" t="s">
        <v>32</v>
      </c>
      <c r="U309">
        <v>45</v>
      </c>
      <c r="V309">
        <v>4.9000000000000004</v>
      </c>
      <c r="W309">
        <f>Table2[[#This Row],[Quantity]]*Table2[[#This Row],[Item_Price]]</f>
        <v>216</v>
      </c>
    </row>
    <row r="310" spans="1:23" x14ac:dyDescent="0.25">
      <c r="A310" t="s">
        <v>404</v>
      </c>
      <c r="B310" s="1">
        <v>45679</v>
      </c>
      <c r="C310" t="s">
        <v>23</v>
      </c>
      <c r="D310">
        <v>1</v>
      </c>
      <c r="E310">
        <v>22</v>
      </c>
      <c r="F310" t="s">
        <v>24</v>
      </c>
      <c r="G310" t="s">
        <v>34</v>
      </c>
      <c r="H310" t="s">
        <v>105</v>
      </c>
      <c r="I310" t="s">
        <v>97</v>
      </c>
      <c r="J310" t="s">
        <v>37</v>
      </c>
      <c r="K310" t="s">
        <v>38</v>
      </c>
      <c r="L310">
        <v>1</v>
      </c>
      <c r="M310">
        <v>236</v>
      </c>
      <c r="N310">
        <v>47.2</v>
      </c>
      <c r="O310">
        <v>30</v>
      </c>
      <c r="P310">
        <v>236</v>
      </c>
      <c r="Q310">
        <v>218.8</v>
      </c>
      <c r="R310" t="s">
        <v>39</v>
      </c>
      <c r="S310" t="s">
        <v>31</v>
      </c>
      <c r="T310" t="s">
        <v>40</v>
      </c>
      <c r="U310">
        <v>44</v>
      </c>
      <c r="V310">
        <v>4</v>
      </c>
      <c r="W310">
        <f>Table2[[#This Row],[Quantity]]*Table2[[#This Row],[Item_Price]]</f>
        <v>236</v>
      </c>
    </row>
    <row r="311" spans="1:23" x14ac:dyDescent="0.25">
      <c r="A311" t="s">
        <v>405</v>
      </c>
      <c r="B311" s="1">
        <v>45679</v>
      </c>
      <c r="C311" t="s">
        <v>23</v>
      </c>
      <c r="D311">
        <v>1</v>
      </c>
      <c r="E311">
        <v>22</v>
      </c>
      <c r="F311" t="s">
        <v>24</v>
      </c>
      <c r="G311" t="s">
        <v>64</v>
      </c>
      <c r="H311" t="s">
        <v>35</v>
      </c>
      <c r="I311" t="s">
        <v>43</v>
      </c>
      <c r="J311" t="s">
        <v>123</v>
      </c>
      <c r="K311" t="s">
        <v>38</v>
      </c>
      <c r="L311">
        <v>1</v>
      </c>
      <c r="M311">
        <v>372</v>
      </c>
      <c r="N311">
        <v>55.8</v>
      </c>
      <c r="O311">
        <v>40</v>
      </c>
      <c r="P311">
        <v>372</v>
      </c>
      <c r="Q311">
        <v>356.2</v>
      </c>
      <c r="R311" t="s">
        <v>112</v>
      </c>
      <c r="S311" t="s">
        <v>31</v>
      </c>
      <c r="T311" t="s">
        <v>40</v>
      </c>
      <c r="U311">
        <v>35</v>
      </c>
      <c r="V311">
        <v>3.7</v>
      </c>
      <c r="W311">
        <f>Table2[[#This Row],[Quantity]]*Table2[[#This Row],[Item_Price]]</f>
        <v>372</v>
      </c>
    </row>
    <row r="312" spans="1:23" x14ac:dyDescent="0.25">
      <c r="A312" t="s">
        <v>406</v>
      </c>
      <c r="B312" s="1">
        <v>45680</v>
      </c>
      <c r="C312" t="s">
        <v>23</v>
      </c>
      <c r="D312">
        <v>1</v>
      </c>
      <c r="E312">
        <v>23</v>
      </c>
      <c r="F312" t="s">
        <v>88</v>
      </c>
      <c r="G312" t="s">
        <v>25</v>
      </c>
      <c r="H312" t="s">
        <v>60</v>
      </c>
      <c r="I312" t="s">
        <v>69</v>
      </c>
      <c r="J312" t="s">
        <v>37</v>
      </c>
      <c r="K312" t="s">
        <v>38</v>
      </c>
      <c r="L312">
        <v>1</v>
      </c>
      <c r="M312">
        <v>468</v>
      </c>
      <c r="N312">
        <v>46.8</v>
      </c>
      <c r="O312">
        <v>40</v>
      </c>
      <c r="P312">
        <v>468</v>
      </c>
      <c r="Q312">
        <v>461.2</v>
      </c>
      <c r="R312" t="s">
        <v>112</v>
      </c>
      <c r="S312" t="s">
        <v>31</v>
      </c>
      <c r="T312" t="s">
        <v>40</v>
      </c>
      <c r="U312">
        <v>68</v>
      </c>
      <c r="V312">
        <v>4.3</v>
      </c>
      <c r="W312">
        <f>Table2[[#This Row],[Quantity]]*Table2[[#This Row],[Item_Price]]</f>
        <v>468</v>
      </c>
    </row>
    <row r="313" spans="1:23" x14ac:dyDescent="0.25">
      <c r="A313" t="s">
        <v>407</v>
      </c>
      <c r="B313" s="1">
        <v>45680</v>
      </c>
      <c r="C313" t="s">
        <v>23</v>
      </c>
      <c r="D313">
        <v>1</v>
      </c>
      <c r="E313">
        <v>23</v>
      </c>
      <c r="F313" t="s">
        <v>88</v>
      </c>
      <c r="G313" t="s">
        <v>115</v>
      </c>
      <c r="H313" t="s">
        <v>42</v>
      </c>
      <c r="I313" t="s">
        <v>97</v>
      </c>
      <c r="J313" t="s">
        <v>78</v>
      </c>
      <c r="K313" t="s">
        <v>38</v>
      </c>
      <c r="L313">
        <v>1</v>
      </c>
      <c r="M313">
        <v>390</v>
      </c>
      <c r="N313">
        <v>97.5</v>
      </c>
      <c r="O313">
        <v>40</v>
      </c>
      <c r="P313">
        <v>390</v>
      </c>
      <c r="Q313">
        <v>332.5</v>
      </c>
      <c r="R313" t="s">
        <v>39</v>
      </c>
      <c r="S313" t="s">
        <v>31</v>
      </c>
      <c r="T313" t="s">
        <v>40</v>
      </c>
      <c r="U313">
        <v>27</v>
      </c>
      <c r="V313">
        <v>3.9</v>
      </c>
      <c r="W313">
        <f>Table2[[#This Row],[Quantity]]*Table2[[#This Row],[Item_Price]]</f>
        <v>390</v>
      </c>
    </row>
    <row r="314" spans="1:23" x14ac:dyDescent="0.25">
      <c r="A314" t="s">
        <v>408</v>
      </c>
      <c r="B314" s="1">
        <v>45680</v>
      </c>
      <c r="C314" t="s">
        <v>23</v>
      </c>
      <c r="D314">
        <v>1</v>
      </c>
      <c r="E314">
        <v>23</v>
      </c>
      <c r="F314" t="s">
        <v>88</v>
      </c>
      <c r="G314" t="s">
        <v>115</v>
      </c>
      <c r="H314" t="s">
        <v>56</v>
      </c>
      <c r="I314" t="s">
        <v>57</v>
      </c>
      <c r="J314" t="s">
        <v>94</v>
      </c>
      <c r="K314" t="s">
        <v>45</v>
      </c>
      <c r="L314">
        <v>1</v>
      </c>
      <c r="M314">
        <v>312</v>
      </c>
      <c r="N314">
        <v>62.4</v>
      </c>
      <c r="O314">
        <v>30</v>
      </c>
      <c r="P314">
        <v>312</v>
      </c>
      <c r="Q314">
        <v>279.60000000000002</v>
      </c>
      <c r="R314" t="s">
        <v>112</v>
      </c>
      <c r="S314" t="s">
        <v>110</v>
      </c>
      <c r="T314" t="s">
        <v>32</v>
      </c>
      <c r="U314">
        <v>20</v>
      </c>
      <c r="W314">
        <f>Table2[[#This Row],[Quantity]]*Table2[[#This Row],[Item_Price]]</f>
        <v>312</v>
      </c>
    </row>
    <row r="315" spans="1:23" x14ac:dyDescent="0.25">
      <c r="A315" t="s">
        <v>409</v>
      </c>
      <c r="B315" s="1">
        <v>45680</v>
      </c>
      <c r="C315" t="s">
        <v>23</v>
      </c>
      <c r="D315">
        <v>1</v>
      </c>
      <c r="E315">
        <v>23</v>
      </c>
      <c r="F315" t="s">
        <v>88</v>
      </c>
      <c r="G315" t="s">
        <v>25</v>
      </c>
      <c r="H315" t="s">
        <v>135</v>
      </c>
      <c r="I315" t="s">
        <v>27</v>
      </c>
      <c r="J315" t="s">
        <v>74</v>
      </c>
      <c r="K315" t="s">
        <v>38</v>
      </c>
      <c r="L315">
        <v>1</v>
      </c>
      <c r="M315">
        <v>379</v>
      </c>
      <c r="N315">
        <v>18.95</v>
      </c>
      <c r="O315">
        <v>60</v>
      </c>
      <c r="P315">
        <v>379</v>
      </c>
      <c r="Q315">
        <v>420.05</v>
      </c>
      <c r="R315" t="s">
        <v>75</v>
      </c>
      <c r="S315" t="s">
        <v>31</v>
      </c>
      <c r="T315" t="s">
        <v>40</v>
      </c>
      <c r="U315">
        <v>32</v>
      </c>
      <c r="V315">
        <v>4.4000000000000004</v>
      </c>
      <c r="W315">
        <f>Table2[[#This Row],[Quantity]]*Table2[[#This Row],[Item_Price]]</f>
        <v>379</v>
      </c>
    </row>
    <row r="316" spans="1:23" x14ac:dyDescent="0.25">
      <c r="A316" t="s">
        <v>410</v>
      </c>
      <c r="B316" s="1">
        <v>45680</v>
      </c>
      <c r="C316" t="s">
        <v>23</v>
      </c>
      <c r="D316">
        <v>1</v>
      </c>
      <c r="E316">
        <v>23</v>
      </c>
      <c r="F316" t="s">
        <v>88</v>
      </c>
      <c r="G316" t="s">
        <v>115</v>
      </c>
      <c r="H316" t="s">
        <v>139</v>
      </c>
      <c r="I316" t="s">
        <v>36</v>
      </c>
      <c r="J316" t="s">
        <v>53</v>
      </c>
      <c r="K316" t="s">
        <v>38</v>
      </c>
      <c r="L316">
        <v>2</v>
      </c>
      <c r="M316">
        <v>840</v>
      </c>
      <c r="N316">
        <v>0</v>
      </c>
      <c r="O316">
        <v>30</v>
      </c>
      <c r="P316">
        <v>1680</v>
      </c>
      <c r="Q316">
        <v>1710</v>
      </c>
      <c r="R316" t="s">
        <v>30</v>
      </c>
      <c r="S316" t="s">
        <v>31</v>
      </c>
      <c r="T316" t="s">
        <v>40</v>
      </c>
      <c r="U316">
        <v>21</v>
      </c>
      <c r="V316">
        <v>4</v>
      </c>
      <c r="W316">
        <f>Table2[[#This Row],[Quantity]]*Table2[[#This Row],[Item_Price]]</f>
        <v>1680</v>
      </c>
    </row>
    <row r="317" spans="1:23" x14ac:dyDescent="0.25">
      <c r="A317" t="s">
        <v>411</v>
      </c>
      <c r="B317" s="1">
        <v>45680</v>
      </c>
      <c r="C317" t="s">
        <v>23</v>
      </c>
      <c r="D317">
        <v>1</v>
      </c>
      <c r="E317">
        <v>23</v>
      </c>
      <c r="F317" t="s">
        <v>88</v>
      </c>
      <c r="G317" t="s">
        <v>64</v>
      </c>
      <c r="H317" t="s">
        <v>135</v>
      </c>
      <c r="I317" t="s">
        <v>27</v>
      </c>
      <c r="J317" t="s">
        <v>123</v>
      </c>
      <c r="K317" t="s">
        <v>45</v>
      </c>
      <c r="L317">
        <v>2</v>
      </c>
      <c r="M317">
        <v>892</v>
      </c>
      <c r="N317">
        <v>178.4</v>
      </c>
      <c r="O317">
        <v>30</v>
      </c>
      <c r="P317">
        <v>1784</v>
      </c>
      <c r="Q317">
        <v>1635.6</v>
      </c>
      <c r="R317" t="s">
        <v>98</v>
      </c>
      <c r="S317" t="s">
        <v>31</v>
      </c>
      <c r="T317" t="s">
        <v>32</v>
      </c>
      <c r="U317">
        <v>26</v>
      </c>
      <c r="V317">
        <v>3.9</v>
      </c>
      <c r="W317">
        <f>Table2[[#This Row],[Quantity]]*Table2[[#This Row],[Item_Price]]</f>
        <v>1784</v>
      </c>
    </row>
    <row r="318" spans="1:23" x14ac:dyDescent="0.25">
      <c r="A318" t="s">
        <v>412</v>
      </c>
      <c r="B318" s="1">
        <v>45680</v>
      </c>
      <c r="C318" t="s">
        <v>23</v>
      </c>
      <c r="D318">
        <v>1</v>
      </c>
      <c r="E318">
        <v>23</v>
      </c>
      <c r="F318" t="s">
        <v>88</v>
      </c>
      <c r="G318" t="s">
        <v>73</v>
      </c>
      <c r="H318" t="s">
        <v>35</v>
      </c>
      <c r="I318" t="s">
        <v>97</v>
      </c>
      <c r="J318" t="s">
        <v>82</v>
      </c>
      <c r="K318" t="s">
        <v>38</v>
      </c>
      <c r="L318">
        <v>1</v>
      </c>
      <c r="M318">
        <v>166</v>
      </c>
      <c r="N318">
        <v>33.200000000000003</v>
      </c>
      <c r="O318">
        <v>60</v>
      </c>
      <c r="P318">
        <v>166</v>
      </c>
      <c r="Q318">
        <v>192.8</v>
      </c>
      <c r="R318" t="s">
        <v>75</v>
      </c>
      <c r="S318" t="s">
        <v>31</v>
      </c>
      <c r="T318" t="s">
        <v>40</v>
      </c>
      <c r="U318">
        <v>32</v>
      </c>
      <c r="V318">
        <v>3.4</v>
      </c>
      <c r="W318">
        <f>Table2[[#This Row],[Quantity]]*Table2[[#This Row],[Item_Price]]</f>
        <v>166</v>
      </c>
    </row>
    <row r="319" spans="1:23" x14ac:dyDescent="0.25">
      <c r="A319" t="s">
        <v>413</v>
      </c>
      <c r="B319" s="1">
        <v>45680</v>
      </c>
      <c r="C319" t="s">
        <v>23</v>
      </c>
      <c r="D319">
        <v>1</v>
      </c>
      <c r="E319">
        <v>23</v>
      </c>
      <c r="F319" t="s">
        <v>88</v>
      </c>
      <c r="G319" t="s">
        <v>90</v>
      </c>
      <c r="H319" t="s">
        <v>65</v>
      </c>
      <c r="I319" t="s">
        <v>103</v>
      </c>
      <c r="J319" t="s">
        <v>101</v>
      </c>
      <c r="K319" t="s">
        <v>38</v>
      </c>
      <c r="L319">
        <v>1</v>
      </c>
      <c r="M319">
        <v>711</v>
      </c>
      <c r="N319">
        <v>106.65</v>
      </c>
      <c r="O319">
        <v>20</v>
      </c>
      <c r="P319">
        <v>711</v>
      </c>
      <c r="Q319">
        <v>624.35</v>
      </c>
      <c r="R319" t="s">
        <v>112</v>
      </c>
      <c r="S319" t="s">
        <v>31</v>
      </c>
      <c r="T319" t="s">
        <v>40</v>
      </c>
      <c r="U319">
        <v>58</v>
      </c>
      <c r="V319">
        <v>4</v>
      </c>
      <c r="W319">
        <f>Table2[[#This Row],[Quantity]]*Table2[[#This Row],[Item_Price]]</f>
        <v>711</v>
      </c>
    </row>
    <row r="320" spans="1:23" x14ac:dyDescent="0.25">
      <c r="A320" t="s">
        <v>414</v>
      </c>
      <c r="B320" s="1">
        <v>45680</v>
      </c>
      <c r="C320" t="s">
        <v>23</v>
      </c>
      <c r="D320">
        <v>1</v>
      </c>
      <c r="E320">
        <v>23</v>
      </c>
      <c r="F320" t="s">
        <v>88</v>
      </c>
      <c r="G320" t="s">
        <v>115</v>
      </c>
      <c r="H320" t="s">
        <v>48</v>
      </c>
      <c r="I320" t="s">
        <v>85</v>
      </c>
      <c r="J320" t="s">
        <v>37</v>
      </c>
      <c r="K320" t="s">
        <v>38</v>
      </c>
      <c r="L320">
        <v>1</v>
      </c>
      <c r="M320">
        <v>430</v>
      </c>
      <c r="N320">
        <v>43</v>
      </c>
      <c r="O320">
        <v>30</v>
      </c>
      <c r="P320">
        <v>430</v>
      </c>
      <c r="Q320">
        <v>417</v>
      </c>
      <c r="R320" t="s">
        <v>39</v>
      </c>
      <c r="S320" t="s">
        <v>31</v>
      </c>
      <c r="T320" t="s">
        <v>40</v>
      </c>
      <c r="U320">
        <v>18</v>
      </c>
      <c r="V320">
        <v>3.5</v>
      </c>
      <c r="W320">
        <f>Table2[[#This Row],[Quantity]]*Table2[[#This Row],[Item_Price]]</f>
        <v>430</v>
      </c>
    </row>
    <row r="321" spans="1:23" x14ac:dyDescent="0.25">
      <c r="A321" t="s">
        <v>415</v>
      </c>
      <c r="B321" s="1">
        <v>45680</v>
      </c>
      <c r="C321" t="s">
        <v>23</v>
      </c>
      <c r="D321">
        <v>1</v>
      </c>
      <c r="E321">
        <v>23</v>
      </c>
      <c r="F321" t="s">
        <v>88</v>
      </c>
      <c r="G321" t="s">
        <v>80</v>
      </c>
      <c r="H321" t="s">
        <v>139</v>
      </c>
      <c r="I321" t="s">
        <v>97</v>
      </c>
      <c r="J321" t="s">
        <v>53</v>
      </c>
      <c r="K321" t="s">
        <v>38</v>
      </c>
      <c r="L321">
        <v>2</v>
      </c>
      <c r="M321">
        <v>318</v>
      </c>
      <c r="N321">
        <v>31.8</v>
      </c>
      <c r="O321">
        <v>0</v>
      </c>
      <c r="P321">
        <v>636</v>
      </c>
      <c r="Q321">
        <v>604.20000000000005</v>
      </c>
      <c r="R321" t="s">
        <v>75</v>
      </c>
      <c r="S321" t="s">
        <v>31</v>
      </c>
      <c r="T321" t="s">
        <v>40</v>
      </c>
      <c r="U321">
        <v>42</v>
      </c>
      <c r="V321">
        <v>4.5999999999999996</v>
      </c>
      <c r="W321">
        <f>Table2[[#This Row],[Quantity]]*Table2[[#This Row],[Item_Price]]</f>
        <v>636</v>
      </c>
    </row>
    <row r="322" spans="1:23" x14ac:dyDescent="0.25">
      <c r="A322" t="s">
        <v>416</v>
      </c>
      <c r="B322" s="1">
        <v>45680</v>
      </c>
      <c r="C322" t="s">
        <v>23</v>
      </c>
      <c r="D322">
        <v>1</v>
      </c>
      <c r="E322">
        <v>23</v>
      </c>
      <c r="F322" t="s">
        <v>88</v>
      </c>
      <c r="G322" t="s">
        <v>115</v>
      </c>
      <c r="H322" t="s">
        <v>65</v>
      </c>
      <c r="I322" t="s">
        <v>97</v>
      </c>
      <c r="J322" t="s">
        <v>94</v>
      </c>
      <c r="K322" t="s">
        <v>45</v>
      </c>
      <c r="L322">
        <v>1</v>
      </c>
      <c r="M322">
        <v>693</v>
      </c>
      <c r="N322">
        <v>138.6</v>
      </c>
      <c r="O322">
        <v>30</v>
      </c>
      <c r="P322">
        <v>693</v>
      </c>
      <c r="Q322">
        <v>584.4</v>
      </c>
      <c r="R322" t="s">
        <v>39</v>
      </c>
      <c r="S322" t="s">
        <v>31</v>
      </c>
      <c r="T322" t="s">
        <v>40</v>
      </c>
      <c r="U322">
        <v>37</v>
      </c>
      <c r="V322">
        <v>4.2</v>
      </c>
      <c r="W322">
        <f>Table2[[#This Row],[Quantity]]*Table2[[#This Row],[Item_Price]]</f>
        <v>693</v>
      </c>
    </row>
    <row r="323" spans="1:23" x14ac:dyDescent="0.25">
      <c r="A323" t="s">
        <v>417</v>
      </c>
      <c r="B323" s="1">
        <v>45681</v>
      </c>
      <c r="C323" t="s">
        <v>23</v>
      </c>
      <c r="D323">
        <v>1</v>
      </c>
      <c r="E323">
        <v>24</v>
      </c>
      <c r="F323" t="s">
        <v>114</v>
      </c>
      <c r="G323" t="s">
        <v>55</v>
      </c>
      <c r="H323" t="s">
        <v>77</v>
      </c>
      <c r="I323" t="s">
        <v>103</v>
      </c>
      <c r="J323" t="s">
        <v>37</v>
      </c>
      <c r="K323" t="s">
        <v>38</v>
      </c>
      <c r="L323">
        <v>2</v>
      </c>
      <c r="M323">
        <v>740</v>
      </c>
      <c r="N323">
        <v>111</v>
      </c>
      <c r="O323">
        <v>50</v>
      </c>
      <c r="P323">
        <v>1480</v>
      </c>
      <c r="Q323">
        <v>1419</v>
      </c>
      <c r="R323" t="s">
        <v>39</v>
      </c>
      <c r="S323" t="s">
        <v>31</v>
      </c>
      <c r="T323" t="s">
        <v>40</v>
      </c>
      <c r="U323">
        <v>48</v>
      </c>
      <c r="V323">
        <v>4.4000000000000004</v>
      </c>
      <c r="W323">
        <f>Table2[[#This Row],[Quantity]]*Table2[[#This Row],[Item_Price]]</f>
        <v>1480</v>
      </c>
    </row>
    <row r="324" spans="1:23" x14ac:dyDescent="0.25">
      <c r="A324" t="s">
        <v>418</v>
      </c>
      <c r="B324" s="1">
        <v>45681</v>
      </c>
      <c r="C324" t="s">
        <v>23</v>
      </c>
      <c r="D324">
        <v>1</v>
      </c>
      <c r="E324">
        <v>24</v>
      </c>
      <c r="F324" t="s">
        <v>114</v>
      </c>
      <c r="G324" t="s">
        <v>90</v>
      </c>
      <c r="H324" t="s">
        <v>135</v>
      </c>
      <c r="I324" t="s">
        <v>57</v>
      </c>
      <c r="J324" t="s">
        <v>53</v>
      </c>
      <c r="K324" t="s">
        <v>29</v>
      </c>
      <c r="L324">
        <v>1</v>
      </c>
      <c r="M324">
        <v>175</v>
      </c>
      <c r="N324">
        <v>0</v>
      </c>
      <c r="O324">
        <v>0</v>
      </c>
      <c r="P324">
        <v>175</v>
      </c>
      <c r="Q324">
        <v>175</v>
      </c>
      <c r="R324" t="s">
        <v>39</v>
      </c>
      <c r="S324" t="s">
        <v>31</v>
      </c>
      <c r="T324" t="s">
        <v>40</v>
      </c>
      <c r="U324">
        <v>49</v>
      </c>
      <c r="V324">
        <v>2.9</v>
      </c>
      <c r="W324">
        <f>Table2[[#This Row],[Quantity]]*Table2[[#This Row],[Item_Price]]</f>
        <v>175</v>
      </c>
    </row>
    <row r="325" spans="1:23" x14ac:dyDescent="0.25">
      <c r="A325" t="s">
        <v>419</v>
      </c>
      <c r="B325" s="1">
        <v>45681</v>
      </c>
      <c r="C325" t="s">
        <v>23</v>
      </c>
      <c r="D325">
        <v>1</v>
      </c>
      <c r="E325">
        <v>24</v>
      </c>
      <c r="F325" t="s">
        <v>114</v>
      </c>
      <c r="G325" t="s">
        <v>64</v>
      </c>
      <c r="H325" t="s">
        <v>42</v>
      </c>
      <c r="I325" t="s">
        <v>97</v>
      </c>
      <c r="J325" t="s">
        <v>37</v>
      </c>
      <c r="K325" t="s">
        <v>45</v>
      </c>
      <c r="L325">
        <v>1</v>
      </c>
      <c r="M325">
        <v>810</v>
      </c>
      <c r="N325">
        <v>81</v>
      </c>
      <c r="O325">
        <v>0</v>
      </c>
      <c r="P325">
        <v>810</v>
      </c>
      <c r="Q325">
        <v>729</v>
      </c>
      <c r="R325" t="s">
        <v>39</v>
      </c>
      <c r="S325" t="s">
        <v>46</v>
      </c>
      <c r="T325" t="s">
        <v>40</v>
      </c>
      <c r="U325">
        <v>65</v>
      </c>
      <c r="W325">
        <f>Table2[[#This Row],[Quantity]]*Table2[[#This Row],[Item_Price]]</f>
        <v>810</v>
      </c>
    </row>
    <row r="326" spans="1:23" x14ac:dyDescent="0.25">
      <c r="A326" t="s">
        <v>420</v>
      </c>
      <c r="B326" s="1">
        <v>45681</v>
      </c>
      <c r="C326" t="s">
        <v>23</v>
      </c>
      <c r="D326">
        <v>1</v>
      </c>
      <c r="E326">
        <v>24</v>
      </c>
      <c r="F326" t="s">
        <v>114</v>
      </c>
      <c r="G326" t="s">
        <v>73</v>
      </c>
      <c r="H326" t="s">
        <v>81</v>
      </c>
      <c r="I326" t="s">
        <v>57</v>
      </c>
      <c r="J326" t="s">
        <v>119</v>
      </c>
      <c r="K326" t="s">
        <v>45</v>
      </c>
      <c r="L326">
        <v>1</v>
      </c>
      <c r="M326">
        <v>742</v>
      </c>
      <c r="N326">
        <v>0</v>
      </c>
      <c r="O326">
        <v>40</v>
      </c>
      <c r="P326">
        <v>742</v>
      </c>
      <c r="Q326">
        <v>782</v>
      </c>
      <c r="R326" t="s">
        <v>39</v>
      </c>
      <c r="S326" t="s">
        <v>31</v>
      </c>
      <c r="T326" t="s">
        <v>40</v>
      </c>
      <c r="U326">
        <v>61</v>
      </c>
      <c r="V326">
        <v>3.9</v>
      </c>
      <c r="W326">
        <f>Table2[[#This Row],[Quantity]]*Table2[[#This Row],[Item_Price]]</f>
        <v>742</v>
      </c>
    </row>
    <row r="327" spans="1:23" x14ac:dyDescent="0.25">
      <c r="A327" t="s">
        <v>421</v>
      </c>
      <c r="B327" s="1">
        <v>45681</v>
      </c>
      <c r="C327" t="s">
        <v>23</v>
      </c>
      <c r="D327">
        <v>1</v>
      </c>
      <c r="E327">
        <v>24</v>
      </c>
      <c r="F327" t="s">
        <v>114</v>
      </c>
      <c r="G327" t="s">
        <v>73</v>
      </c>
      <c r="H327" t="s">
        <v>52</v>
      </c>
      <c r="I327" t="s">
        <v>97</v>
      </c>
      <c r="J327" t="s">
        <v>53</v>
      </c>
      <c r="K327" t="s">
        <v>38</v>
      </c>
      <c r="L327">
        <v>1</v>
      </c>
      <c r="M327">
        <v>543</v>
      </c>
      <c r="N327">
        <v>81.45</v>
      </c>
      <c r="O327">
        <v>0</v>
      </c>
      <c r="P327">
        <v>543</v>
      </c>
      <c r="Q327">
        <v>461.55</v>
      </c>
      <c r="R327" t="s">
        <v>112</v>
      </c>
      <c r="S327" t="s">
        <v>31</v>
      </c>
      <c r="T327" t="s">
        <v>40</v>
      </c>
      <c r="U327">
        <v>51</v>
      </c>
      <c r="V327">
        <v>3.8</v>
      </c>
      <c r="W327">
        <f>Table2[[#This Row],[Quantity]]*Table2[[#This Row],[Item_Price]]</f>
        <v>543</v>
      </c>
    </row>
    <row r="328" spans="1:23" x14ac:dyDescent="0.25">
      <c r="A328" t="s">
        <v>422</v>
      </c>
      <c r="B328" s="1">
        <v>45681</v>
      </c>
      <c r="C328" t="s">
        <v>23</v>
      </c>
      <c r="D328">
        <v>1</v>
      </c>
      <c r="E328">
        <v>24</v>
      </c>
      <c r="F328" t="s">
        <v>114</v>
      </c>
      <c r="G328" t="s">
        <v>80</v>
      </c>
      <c r="H328" t="s">
        <v>35</v>
      </c>
      <c r="I328" t="s">
        <v>36</v>
      </c>
      <c r="J328" t="s">
        <v>44</v>
      </c>
      <c r="K328" t="s">
        <v>29</v>
      </c>
      <c r="L328">
        <v>3</v>
      </c>
      <c r="M328">
        <v>407</v>
      </c>
      <c r="N328">
        <v>81.400000000000006</v>
      </c>
      <c r="O328">
        <v>40</v>
      </c>
      <c r="P328">
        <v>1221</v>
      </c>
      <c r="Q328">
        <v>1179.5999999999999</v>
      </c>
      <c r="R328" t="s">
        <v>98</v>
      </c>
      <c r="S328" t="s">
        <v>31</v>
      </c>
      <c r="T328" t="s">
        <v>32</v>
      </c>
      <c r="U328">
        <v>59</v>
      </c>
      <c r="V328">
        <v>3.8</v>
      </c>
      <c r="W328">
        <f>Table2[[#This Row],[Quantity]]*Table2[[#This Row],[Item_Price]]</f>
        <v>1221</v>
      </c>
    </row>
    <row r="329" spans="1:23" x14ac:dyDescent="0.25">
      <c r="A329" t="s">
        <v>423</v>
      </c>
      <c r="B329" s="1">
        <v>45681</v>
      </c>
      <c r="C329" t="s">
        <v>23</v>
      </c>
      <c r="D329">
        <v>1</v>
      </c>
      <c r="E329">
        <v>24</v>
      </c>
      <c r="F329" t="s">
        <v>114</v>
      </c>
      <c r="G329" t="s">
        <v>80</v>
      </c>
      <c r="H329" t="s">
        <v>77</v>
      </c>
      <c r="I329" t="s">
        <v>103</v>
      </c>
      <c r="J329" t="s">
        <v>66</v>
      </c>
      <c r="K329" t="s">
        <v>38</v>
      </c>
      <c r="L329">
        <v>1</v>
      </c>
      <c r="M329">
        <v>242</v>
      </c>
      <c r="N329">
        <v>36.299999999999997</v>
      </c>
      <c r="O329">
        <v>30</v>
      </c>
      <c r="P329">
        <v>242</v>
      </c>
      <c r="Q329">
        <v>235.7</v>
      </c>
      <c r="R329" t="s">
        <v>39</v>
      </c>
      <c r="S329" t="s">
        <v>31</v>
      </c>
      <c r="T329" t="s">
        <v>32</v>
      </c>
      <c r="U329">
        <v>23</v>
      </c>
      <c r="V329">
        <v>3.6</v>
      </c>
      <c r="W329">
        <f>Table2[[#This Row],[Quantity]]*Table2[[#This Row],[Item_Price]]</f>
        <v>242</v>
      </c>
    </row>
    <row r="330" spans="1:23" x14ac:dyDescent="0.25">
      <c r="A330" t="s">
        <v>424</v>
      </c>
      <c r="B330" s="1">
        <v>45681</v>
      </c>
      <c r="C330" t="s">
        <v>23</v>
      </c>
      <c r="D330">
        <v>1</v>
      </c>
      <c r="E330">
        <v>24</v>
      </c>
      <c r="F330" t="s">
        <v>114</v>
      </c>
      <c r="G330" t="s">
        <v>34</v>
      </c>
      <c r="H330" t="s">
        <v>56</v>
      </c>
      <c r="I330" t="s">
        <v>57</v>
      </c>
      <c r="J330" t="s">
        <v>101</v>
      </c>
      <c r="K330" t="s">
        <v>38</v>
      </c>
      <c r="L330">
        <v>2</v>
      </c>
      <c r="M330">
        <v>869</v>
      </c>
      <c r="N330">
        <v>173.8</v>
      </c>
      <c r="O330">
        <v>40</v>
      </c>
      <c r="P330">
        <v>1738</v>
      </c>
      <c r="Q330">
        <v>1604.2</v>
      </c>
      <c r="R330" t="s">
        <v>75</v>
      </c>
      <c r="S330" t="s">
        <v>31</v>
      </c>
      <c r="T330" t="s">
        <v>32</v>
      </c>
      <c r="U330">
        <v>24</v>
      </c>
      <c r="V330">
        <v>4.7</v>
      </c>
      <c r="W330">
        <f>Table2[[#This Row],[Quantity]]*Table2[[#This Row],[Item_Price]]</f>
        <v>1738</v>
      </c>
    </row>
    <row r="331" spans="1:23" x14ac:dyDescent="0.25">
      <c r="A331" t="s">
        <v>425</v>
      </c>
      <c r="B331" s="1">
        <v>45682</v>
      </c>
      <c r="C331" t="s">
        <v>23</v>
      </c>
      <c r="D331">
        <v>1</v>
      </c>
      <c r="E331">
        <v>25</v>
      </c>
      <c r="F331" t="s">
        <v>134</v>
      </c>
      <c r="G331" t="s">
        <v>34</v>
      </c>
      <c r="H331" t="s">
        <v>68</v>
      </c>
      <c r="I331" t="s">
        <v>27</v>
      </c>
      <c r="J331" t="s">
        <v>82</v>
      </c>
      <c r="K331" t="s">
        <v>38</v>
      </c>
      <c r="L331">
        <v>1</v>
      </c>
      <c r="M331">
        <v>780</v>
      </c>
      <c r="N331">
        <v>156</v>
      </c>
      <c r="O331">
        <v>40</v>
      </c>
      <c r="P331">
        <v>780</v>
      </c>
      <c r="Q331">
        <v>664</v>
      </c>
      <c r="R331" t="s">
        <v>39</v>
      </c>
      <c r="S331" t="s">
        <v>91</v>
      </c>
      <c r="T331" t="s">
        <v>32</v>
      </c>
      <c r="U331">
        <v>32</v>
      </c>
      <c r="W331">
        <f>Table2[[#This Row],[Quantity]]*Table2[[#This Row],[Item_Price]]</f>
        <v>780</v>
      </c>
    </row>
    <row r="332" spans="1:23" x14ac:dyDescent="0.25">
      <c r="A332" t="s">
        <v>426</v>
      </c>
      <c r="B332" s="1">
        <v>45682</v>
      </c>
      <c r="C332" t="s">
        <v>23</v>
      </c>
      <c r="D332">
        <v>1</v>
      </c>
      <c r="E332">
        <v>25</v>
      </c>
      <c r="F332" t="s">
        <v>134</v>
      </c>
      <c r="G332" t="s">
        <v>80</v>
      </c>
      <c r="H332" t="s">
        <v>56</v>
      </c>
      <c r="I332" t="s">
        <v>49</v>
      </c>
      <c r="J332" t="s">
        <v>66</v>
      </c>
      <c r="K332" t="s">
        <v>38</v>
      </c>
      <c r="L332">
        <v>3</v>
      </c>
      <c r="M332">
        <v>581</v>
      </c>
      <c r="N332">
        <v>145.25</v>
      </c>
      <c r="O332">
        <v>30</v>
      </c>
      <c r="P332">
        <v>1743</v>
      </c>
      <c r="Q332">
        <v>1627.75</v>
      </c>
      <c r="R332" t="s">
        <v>39</v>
      </c>
      <c r="S332" t="s">
        <v>31</v>
      </c>
      <c r="T332" t="s">
        <v>32</v>
      </c>
      <c r="U332">
        <v>21</v>
      </c>
      <c r="V332">
        <v>3.2</v>
      </c>
      <c r="W332">
        <f>Table2[[#This Row],[Quantity]]*Table2[[#This Row],[Item_Price]]</f>
        <v>1743</v>
      </c>
    </row>
    <row r="333" spans="1:23" x14ac:dyDescent="0.25">
      <c r="A333" t="s">
        <v>427</v>
      </c>
      <c r="B333" s="1">
        <v>45682</v>
      </c>
      <c r="C333" t="s">
        <v>23</v>
      </c>
      <c r="D333">
        <v>1</v>
      </c>
      <c r="E333">
        <v>25</v>
      </c>
      <c r="F333" t="s">
        <v>134</v>
      </c>
      <c r="G333" t="s">
        <v>25</v>
      </c>
      <c r="H333" t="s">
        <v>108</v>
      </c>
      <c r="I333" t="s">
        <v>49</v>
      </c>
      <c r="J333" t="s">
        <v>172</v>
      </c>
      <c r="K333" t="s">
        <v>38</v>
      </c>
      <c r="L333">
        <v>2</v>
      </c>
      <c r="M333">
        <v>724</v>
      </c>
      <c r="N333">
        <v>72.400000000000006</v>
      </c>
      <c r="O333">
        <v>40</v>
      </c>
      <c r="P333">
        <v>1448</v>
      </c>
      <c r="Q333">
        <v>1415.6</v>
      </c>
      <c r="R333" t="s">
        <v>98</v>
      </c>
      <c r="S333" t="s">
        <v>31</v>
      </c>
      <c r="T333" t="s">
        <v>32</v>
      </c>
      <c r="U333">
        <v>40</v>
      </c>
      <c r="V333">
        <v>4.8</v>
      </c>
      <c r="W333">
        <f>Table2[[#This Row],[Quantity]]*Table2[[#This Row],[Item_Price]]</f>
        <v>1448</v>
      </c>
    </row>
    <row r="334" spans="1:23" x14ac:dyDescent="0.25">
      <c r="A334" t="s">
        <v>428</v>
      </c>
      <c r="B334" s="1">
        <v>45682</v>
      </c>
      <c r="C334" t="s">
        <v>23</v>
      </c>
      <c r="D334">
        <v>1</v>
      </c>
      <c r="E334">
        <v>25</v>
      </c>
      <c r="F334" t="s">
        <v>134</v>
      </c>
      <c r="G334" t="s">
        <v>55</v>
      </c>
      <c r="H334" t="s">
        <v>135</v>
      </c>
      <c r="I334" t="s">
        <v>43</v>
      </c>
      <c r="J334" t="s">
        <v>82</v>
      </c>
      <c r="K334" t="s">
        <v>38</v>
      </c>
      <c r="L334">
        <v>3</v>
      </c>
      <c r="M334">
        <v>869</v>
      </c>
      <c r="N334">
        <v>43.45</v>
      </c>
      <c r="O334">
        <v>0</v>
      </c>
      <c r="P334">
        <v>2607</v>
      </c>
      <c r="Q334">
        <v>2563.5500000000002</v>
      </c>
      <c r="R334" t="s">
        <v>39</v>
      </c>
      <c r="S334" t="s">
        <v>31</v>
      </c>
      <c r="T334" t="s">
        <v>40</v>
      </c>
      <c r="U334">
        <v>60</v>
      </c>
      <c r="V334">
        <v>4.2</v>
      </c>
      <c r="W334">
        <f>Table2[[#This Row],[Quantity]]*Table2[[#This Row],[Item_Price]]</f>
        <v>2607</v>
      </c>
    </row>
    <row r="335" spans="1:23" x14ac:dyDescent="0.25">
      <c r="A335" t="s">
        <v>429</v>
      </c>
      <c r="B335" s="1">
        <v>45682</v>
      </c>
      <c r="C335" t="s">
        <v>23</v>
      </c>
      <c r="D335">
        <v>1</v>
      </c>
      <c r="E335">
        <v>25</v>
      </c>
      <c r="F335" t="s">
        <v>134</v>
      </c>
      <c r="G335" t="s">
        <v>64</v>
      </c>
      <c r="H335" t="s">
        <v>35</v>
      </c>
      <c r="I335" t="s">
        <v>97</v>
      </c>
      <c r="J335" t="s">
        <v>44</v>
      </c>
      <c r="K335" t="s">
        <v>38</v>
      </c>
      <c r="L335">
        <v>3</v>
      </c>
      <c r="M335">
        <v>414</v>
      </c>
      <c r="N335">
        <v>20.7</v>
      </c>
      <c r="O335">
        <v>40</v>
      </c>
      <c r="P335">
        <v>1242</v>
      </c>
      <c r="Q335">
        <v>1261.3</v>
      </c>
      <c r="R335" t="s">
        <v>30</v>
      </c>
      <c r="S335" t="s">
        <v>31</v>
      </c>
      <c r="T335" t="s">
        <v>40</v>
      </c>
      <c r="U335">
        <v>35</v>
      </c>
      <c r="V335">
        <v>5</v>
      </c>
      <c r="W335">
        <f>Table2[[#This Row],[Quantity]]*Table2[[#This Row],[Item_Price]]</f>
        <v>1242</v>
      </c>
    </row>
    <row r="336" spans="1:23" x14ac:dyDescent="0.25">
      <c r="A336" t="s">
        <v>430</v>
      </c>
      <c r="B336" s="1">
        <v>45682</v>
      </c>
      <c r="C336" t="s">
        <v>23</v>
      </c>
      <c r="D336">
        <v>1</v>
      </c>
      <c r="E336">
        <v>25</v>
      </c>
      <c r="F336" t="s">
        <v>134</v>
      </c>
      <c r="G336" t="s">
        <v>25</v>
      </c>
      <c r="H336" t="s">
        <v>60</v>
      </c>
      <c r="I336" t="s">
        <v>61</v>
      </c>
      <c r="J336" t="s">
        <v>62</v>
      </c>
      <c r="K336" t="s">
        <v>38</v>
      </c>
      <c r="L336">
        <v>1</v>
      </c>
      <c r="M336">
        <v>512</v>
      </c>
      <c r="N336">
        <v>102.4</v>
      </c>
      <c r="O336">
        <v>40</v>
      </c>
      <c r="P336">
        <v>512</v>
      </c>
      <c r="Q336">
        <v>449.6</v>
      </c>
      <c r="R336" t="s">
        <v>30</v>
      </c>
      <c r="S336" t="s">
        <v>31</v>
      </c>
      <c r="T336" t="s">
        <v>32</v>
      </c>
      <c r="U336">
        <v>50</v>
      </c>
      <c r="V336">
        <v>5</v>
      </c>
      <c r="W336">
        <f>Table2[[#This Row],[Quantity]]*Table2[[#This Row],[Item_Price]]</f>
        <v>512</v>
      </c>
    </row>
    <row r="337" spans="1:23" x14ac:dyDescent="0.25">
      <c r="A337" t="s">
        <v>431</v>
      </c>
      <c r="B337" s="1">
        <v>45682</v>
      </c>
      <c r="C337" t="s">
        <v>23</v>
      </c>
      <c r="D337">
        <v>1</v>
      </c>
      <c r="E337">
        <v>25</v>
      </c>
      <c r="F337" t="s">
        <v>134</v>
      </c>
      <c r="G337" t="s">
        <v>73</v>
      </c>
      <c r="H337" t="s">
        <v>60</v>
      </c>
      <c r="I337" t="s">
        <v>57</v>
      </c>
      <c r="J337" t="s">
        <v>62</v>
      </c>
      <c r="K337" t="s">
        <v>45</v>
      </c>
      <c r="L337">
        <v>3</v>
      </c>
      <c r="M337">
        <v>270</v>
      </c>
      <c r="N337">
        <v>67.5</v>
      </c>
      <c r="O337">
        <v>20</v>
      </c>
      <c r="P337">
        <v>810</v>
      </c>
      <c r="Q337">
        <v>762.5</v>
      </c>
      <c r="R337" t="s">
        <v>30</v>
      </c>
      <c r="S337" t="s">
        <v>31</v>
      </c>
      <c r="T337" t="s">
        <v>32</v>
      </c>
      <c r="U337">
        <v>46</v>
      </c>
      <c r="V337">
        <v>3.6</v>
      </c>
      <c r="W337">
        <f>Table2[[#This Row],[Quantity]]*Table2[[#This Row],[Item_Price]]</f>
        <v>810</v>
      </c>
    </row>
    <row r="338" spans="1:23" x14ac:dyDescent="0.25">
      <c r="A338" t="s">
        <v>432</v>
      </c>
      <c r="B338" s="1">
        <v>45682</v>
      </c>
      <c r="C338" t="s">
        <v>23</v>
      </c>
      <c r="D338">
        <v>1</v>
      </c>
      <c r="E338">
        <v>25</v>
      </c>
      <c r="F338" t="s">
        <v>134</v>
      </c>
      <c r="G338" t="s">
        <v>73</v>
      </c>
      <c r="H338" t="s">
        <v>65</v>
      </c>
      <c r="I338" t="s">
        <v>69</v>
      </c>
      <c r="J338" t="s">
        <v>70</v>
      </c>
      <c r="K338" t="s">
        <v>38</v>
      </c>
      <c r="L338">
        <v>1</v>
      </c>
      <c r="M338">
        <v>455</v>
      </c>
      <c r="N338">
        <v>22.75</v>
      </c>
      <c r="O338">
        <v>50</v>
      </c>
      <c r="P338">
        <v>455</v>
      </c>
      <c r="Q338">
        <v>482.25</v>
      </c>
      <c r="R338" t="s">
        <v>98</v>
      </c>
      <c r="S338" t="s">
        <v>31</v>
      </c>
      <c r="T338" t="s">
        <v>40</v>
      </c>
      <c r="U338">
        <v>68</v>
      </c>
      <c r="V338">
        <v>3.8</v>
      </c>
      <c r="W338">
        <f>Table2[[#This Row],[Quantity]]*Table2[[#This Row],[Item_Price]]</f>
        <v>455</v>
      </c>
    </row>
    <row r="339" spans="1:23" x14ac:dyDescent="0.25">
      <c r="A339" t="s">
        <v>433</v>
      </c>
      <c r="B339" s="1">
        <v>45682</v>
      </c>
      <c r="C339" t="s">
        <v>23</v>
      </c>
      <c r="D339">
        <v>1</v>
      </c>
      <c r="E339">
        <v>25</v>
      </c>
      <c r="F339" t="s">
        <v>134</v>
      </c>
      <c r="G339" t="s">
        <v>55</v>
      </c>
      <c r="H339" t="s">
        <v>135</v>
      </c>
      <c r="I339" t="s">
        <v>27</v>
      </c>
      <c r="J339" t="s">
        <v>62</v>
      </c>
      <c r="K339" t="s">
        <v>58</v>
      </c>
      <c r="L339">
        <v>3</v>
      </c>
      <c r="M339">
        <v>361</v>
      </c>
      <c r="N339">
        <v>72.2</v>
      </c>
      <c r="O339">
        <v>50</v>
      </c>
      <c r="P339">
        <v>1083</v>
      </c>
      <c r="Q339">
        <v>1060.8</v>
      </c>
      <c r="R339" t="s">
        <v>39</v>
      </c>
      <c r="S339" t="s">
        <v>110</v>
      </c>
      <c r="T339" t="s">
        <v>40</v>
      </c>
      <c r="U339">
        <v>52</v>
      </c>
      <c r="W339">
        <f>Table2[[#This Row],[Quantity]]*Table2[[#This Row],[Item_Price]]</f>
        <v>1083</v>
      </c>
    </row>
    <row r="340" spans="1:23" x14ac:dyDescent="0.25">
      <c r="A340" t="s">
        <v>434</v>
      </c>
      <c r="B340" s="1">
        <v>45682</v>
      </c>
      <c r="C340" t="s">
        <v>23</v>
      </c>
      <c r="D340">
        <v>1</v>
      </c>
      <c r="E340">
        <v>25</v>
      </c>
      <c r="F340" t="s">
        <v>134</v>
      </c>
      <c r="G340" t="s">
        <v>115</v>
      </c>
      <c r="H340" t="s">
        <v>135</v>
      </c>
      <c r="I340" t="s">
        <v>103</v>
      </c>
      <c r="J340" t="s">
        <v>74</v>
      </c>
      <c r="K340" t="s">
        <v>38</v>
      </c>
      <c r="L340">
        <v>2</v>
      </c>
      <c r="M340">
        <v>633</v>
      </c>
      <c r="N340">
        <v>126.6</v>
      </c>
      <c r="O340">
        <v>60</v>
      </c>
      <c r="P340">
        <v>1266</v>
      </c>
      <c r="Q340">
        <v>1199.4000000000001</v>
      </c>
      <c r="R340" t="s">
        <v>112</v>
      </c>
      <c r="S340" t="s">
        <v>31</v>
      </c>
      <c r="T340" t="s">
        <v>40</v>
      </c>
      <c r="U340">
        <v>27</v>
      </c>
      <c r="V340">
        <v>4.4000000000000004</v>
      </c>
      <c r="W340">
        <f>Table2[[#This Row],[Quantity]]*Table2[[#This Row],[Item_Price]]</f>
        <v>1266</v>
      </c>
    </row>
    <row r="341" spans="1:23" x14ac:dyDescent="0.25">
      <c r="A341" t="s">
        <v>435</v>
      </c>
      <c r="B341" s="1">
        <v>45682</v>
      </c>
      <c r="C341" t="s">
        <v>23</v>
      </c>
      <c r="D341">
        <v>1</v>
      </c>
      <c r="E341">
        <v>25</v>
      </c>
      <c r="F341" t="s">
        <v>134</v>
      </c>
      <c r="G341" t="s">
        <v>80</v>
      </c>
      <c r="H341" t="s">
        <v>42</v>
      </c>
      <c r="I341" t="s">
        <v>49</v>
      </c>
      <c r="J341" t="s">
        <v>94</v>
      </c>
      <c r="K341" t="s">
        <v>38</v>
      </c>
      <c r="L341">
        <v>2</v>
      </c>
      <c r="M341">
        <v>308</v>
      </c>
      <c r="N341">
        <v>0</v>
      </c>
      <c r="O341">
        <v>70</v>
      </c>
      <c r="P341">
        <v>616</v>
      </c>
      <c r="Q341">
        <v>686</v>
      </c>
      <c r="R341" t="s">
        <v>39</v>
      </c>
      <c r="S341" t="s">
        <v>31</v>
      </c>
      <c r="T341" t="s">
        <v>40</v>
      </c>
      <c r="U341">
        <v>55</v>
      </c>
      <c r="V341">
        <v>2.9</v>
      </c>
      <c r="W341">
        <f>Table2[[#This Row],[Quantity]]*Table2[[#This Row],[Item_Price]]</f>
        <v>616</v>
      </c>
    </row>
    <row r="342" spans="1:23" x14ac:dyDescent="0.25">
      <c r="A342" t="s">
        <v>436</v>
      </c>
      <c r="B342" s="1">
        <v>45682</v>
      </c>
      <c r="C342" t="s">
        <v>23</v>
      </c>
      <c r="D342">
        <v>1</v>
      </c>
      <c r="E342">
        <v>25</v>
      </c>
      <c r="F342" t="s">
        <v>134</v>
      </c>
      <c r="G342" t="s">
        <v>73</v>
      </c>
      <c r="H342" t="s">
        <v>77</v>
      </c>
      <c r="I342" t="s">
        <v>69</v>
      </c>
      <c r="J342" t="s">
        <v>70</v>
      </c>
      <c r="K342" t="s">
        <v>38</v>
      </c>
      <c r="L342">
        <v>1</v>
      </c>
      <c r="M342">
        <v>802</v>
      </c>
      <c r="N342">
        <v>160.4</v>
      </c>
      <c r="O342">
        <v>0</v>
      </c>
      <c r="P342">
        <v>802</v>
      </c>
      <c r="Q342">
        <v>641.6</v>
      </c>
      <c r="R342" t="s">
        <v>75</v>
      </c>
      <c r="S342" t="s">
        <v>31</v>
      </c>
      <c r="T342" t="s">
        <v>40</v>
      </c>
      <c r="U342">
        <v>57</v>
      </c>
      <c r="V342">
        <v>2.9</v>
      </c>
      <c r="W342">
        <f>Table2[[#This Row],[Quantity]]*Table2[[#This Row],[Item_Price]]</f>
        <v>802</v>
      </c>
    </row>
    <row r="343" spans="1:23" x14ac:dyDescent="0.25">
      <c r="A343" t="s">
        <v>437</v>
      </c>
      <c r="B343" s="1">
        <v>45682</v>
      </c>
      <c r="C343" t="s">
        <v>23</v>
      </c>
      <c r="D343">
        <v>1</v>
      </c>
      <c r="E343">
        <v>25</v>
      </c>
      <c r="F343" t="s">
        <v>134</v>
      </c>
      <c r="G343" t="s">
        <v>84</v>
      </c>
      <c r="H343" t="s">
        <v>60</v>
      </c>
      <c r="I343" t="s">
        <v>57</v>
      </c>
      <c r="J343" t="s">
        <v>74</v>
      </c>
      <c r="K343" t="s">
        <v>38</v>
      </c>
      <c r="L343">
        <v>2</v>
      </c>
      <c r="M343">
        <v>209</v>
      </c>
      <c r="N343">
        <v>31.35</v>
      </c>
      <c r="O343">
        <v>30</v>
      </c>
      <c r="P343">
        <v>418</v>
      </c>
      <c r="Q343">
        <v>416.65</v>
      </c>
      <c r="R343" t="s">
        <v>39</v>
      </c>
      <c r="S343" t="s">
        <v>31</v>
      </c>
      <c r="T343" t="s">
        <v>40</v>
      </c>
      <c r="U343">
        <v>54</v>
      </c>
      <c r="V343">
        <v>4.3</v>
      </c>
      <c r="W343">
        <f>Table2[[#This Row],[Quantity]]*Table2[[#This Row],[Item_Price]]</f>
        <v>418</v>
      </c>
    </row>
    <row r="344" spans="1:23" x14ac:dyDescent="0.25">
      <c r="A344" t="s">
        <v>438</v>
      </c>
      <c r="B344" s="1">
        <v>45682</v>
      </c>
      <c r="C344" t="s">
        <v>23</v>
      </c>
      <c r="D344">
        <v>1</v>
      </c>
      <c r="E344">
        <v>25</v>
      </c>
      <c r="F344" t="s">
        <v>134</v>
      </c>
      <c r="G344" t="s">
        <v>80</v>
      </c>
      <c r="H344" t="s">
        <v>135</v>
      </c>
      <c r="I344" t="s">
        <v>57</v>
      </c>
      <c r="J344" t="s">
        <v>101</v>
      </c>
      <c r="K344" t="s">
        <v>29</v>
      </c>
      <c r="L344">
        <v>3</v>
      </c>
      <c r="M344">
        <v>745</v>
      </c>
      <c r="N344">
        <v>186.25</v>
      </c>
      <c r="O344">
        <v>0</v>
      </c>
      <c r="P344">
        <v>2235</v>
      </c>
      <c r="Q344">
        <v>2048.75</v>
      </c>
      <c r="R344" t="s">
        <v>39</v>
      </c>
      <c r="S344" t="s">
        <v>31</v>
      </c>
      <c r="T344" t="s">
        <v>40</v>
      </c>
      <c r="U344">
        <v>38</v>
      </c>
      <c r="V344">
        <v>3.7</v>
      </c>
      <c r="W344">
        <f>Table2[[#This Row],[Quantity]]*Table2[[#This Row],[Item_Price]]</f>
        <v>2235</v>
      </c>
    </row>
    <row r="345" spans="1:23" x14ac:dyDescent="0.25">
      <c r="A345" t="s">
        <v>439</v>
      </c>
      <c r="B345" s="1">
        <v>45682</v>
      </c>
      <c r="C345" t="s">
        <v>23</v>
      </c>
      <c r="D345">
        <v>1</v>
      </c>
      <c r="E345">
        <v>25</v>
      </c>
      <c r="F345" t="s">
        <v>134</v>
      </c>
      <c r="G345" t="s">
        <v>115</v>
      </c>
      <c r="H345" t="s">
        <v>52</v>
      </c>
      <c r="I345" t="s">
        <v>27</v>
      </c>
      <c r="J345" t="s">
        <v>78</v>
      </c>
      <c r="K345" t="s">
        <v>38</v>
      </c>
      <c r="L345">
        <v>3</v>
      </c>
      <c r="M345">
        <v>760</v>
      </c>
      <c r="N345">
        <v>0</v>
      </c>
      <c r="O345">
        <v>30</v>
      </c>
      <c r="P345">
        <v>2280</v>
      </c>
      <c r="Q345">
        <v>2310</v>
      </c>
      <c r="R345" t="s">
        <v>30</v>
      </c>
      <c r="S345" t="s">
        <v>31</v>
      </c>
      <c r="T345" t="s">
        <v>32</v>
      </c>
      <c r="U345">
        <v>65</v>
      </c>
      <c r="V345">
        <v>4</v>
      </c>
      <c r="W345">
        <f>Table2[[#This Row],[Quantity]]*Table2[[#This Row],[Item_Price]]</f>
        <v>2280</v>
      </c>
    </row>
    <row r="346" spans="1:23" x14ac:dyDescent="0.25">
      <c r="A346" t="s">
        <v>440</v>
      </c>
      <c r="B346" s="1">
        <v>45682</v>
      </c>
      <c r="C346" t="s">
        <v>23</v>
      </c>
      <c r="D346">
        <v>1</v>
      </c>
      <c r="E346">
        <v>25</v>
      </c>
      <c r="F346" t="s">
        <v>134</v>
      </c>
      <c r="G346" t="s">
        <v>73</v>
      </c>
      <c r="H346" t="s">
        <v>26</v>
      </c>
      <c r="I346" t="s">
        <v>36</v>
      </c>
      <c r="J346" t="s">
        <v>94</v>
      </c>
      <c r="K346" t="s">
        <v>38</v>
      </c>
      <c r="L346">
        <v>1</v>
      </c>
      <c r="M346">
        <v>704</v>
      </c>
      <c r="N346">
        <v>140.80000000000001</v>
      </c>
      <c r="O346">
        <v>0</v>
      </c>
      <c r="P346">
        <v>704</v>
      </c>
      <c r="Q346">
        <v>563.20000000000005</v>
      </c>
      <c r="R346" t="s">
        <v>98</v>
      </c>
      <c r="S346" t="s">
        <v>91</v>
      </c>
      <c r="T346" t="s">
        <v>32</v>
      </c>
      <c r="U346">
        <v>41</v>
      </c>
      <c r="W346">
        <f>Table2[[#This Row],[Quantity]]*Table2[[#This Row],[Item_Price]]</f>
        <v>704</v>
      </c>
    </row>
    <row r="347" spans="1:23" x14ac:dyDescent="0.25">
      <c r="A347" t="s">
        <v>441</v>
      </c>
      <c r="B347" s="1">
        <v>45682</v>
      </c>
      <c r="C347" t="s">
        <v>23</v>
      </c>
      <c r="D347">
        <v>1</v>
      </c>
      <c r="E347">
        <v>25</v>
      </c>
      <c r="F347" t="s">
        <v>134</v>
      </c>
      <c r="G347" t="s">
        <v>80</v>
      </c>
      <c r="H347" t="s">
        <v>105</v>
      </c>
      <c r="I347" t="s">
        <v>85</v>
      </c>
      <c r="J347" t="s">
        <v>123</v>
      </c>
      <c r="K347" t="s">
        <v>29</v>
      </c>
      <c r="L347">
        <v>2</v>
      </c>
      <c r="M347">
        <v>713</v>
      </c>
      <c r="N347">
        <v>35.65</v>
      </c>
      <c r="O347">
        <v>30</v>
      </c>
      <c r="P347">
        <v>1426</v>
      </c>
      <c r="Q347">
        <v>1420.35</v>
      </c>
      <c r="R347" t="s">
        <v>30</v>
      </c>
      <c r="S347" t="s">
        <v>31</v>
      </c>
      <c r="T347" t="s">
        <v>40</v>
      </c>
      <c r="U347">
        <v>56</v>
      </c>
      <c r="V347">
        <v>4.5999999999999996</v>
      </c>
      <c r="W347">
        <f>Table2[[#This Row],[Quantity]]*Table2[[#This Row],[Item_Price]]</f>
        <v>1426</v>
      </c>
    </row>
    <row r="348" spans="1:23" x14ac:dyDescent="0.25">
      <c r="A348" t="s">
        <v>442</v>
      </c>
      <c r="B348" s="1">
        <v>45682</v>
      </c>
      <c r="C348" t="s">
        <v>23</v>
      </c>
      <c r="D348">
        <v>1</v>
      </c>
      <c r="E348">
        <v>25</v>
      </c>
      <c r="F348" t="s">
        <v>134</v>
      </c>
      <c r="G348" t="s">
        <v>96</v>
      </c>
      <c r="H348" t="s">
        <v>42</v>
      </c>
      <c r="I348" t="s">
        <v>97</v>
      </c>
      <c r="J348" t="s">
        <v>70</v>
      </c>
      <c r="K348" t="s">
        <v>38</v>
      </c>
      <c r="L348">
        <v>3</v>
      </c>
      <c r="M348">
        <v>685</v>
      </c>
      <c r="N348">
        <v>68.5</v>
      </c>
      <c r="O348">
        <v>40</v>
      </c>
      <c r="P348">
        <v>2055</v>
      </c>
      <c r="Q348">
        <v>2026.5</v>
      </c>
      <c r="R348" t="s">
        <v>39</v>
      </c>
      <c r="S348" t="s">
        <v>31</v>
      </c>
      <c r="T348" t="s">
        <v>32</v>
      </c>
      <c r="U348">
        <v>18</v>
      </c>
      <c r="V348">
        <v>3.7</v>
      </c>
      <c r="W348">
        <f>Table2[[#This Row],[Quantity]]*Table2[[#This Row],[Item_Price]]</f>
        <v>2055</v>
      </c>
    </row>
    <row r="349" spans="1:23" x14ac:dyDescent="0.25">
      <c r="A349" t="s">
        <v>443</v>
      </c>
      <c r="B349" s="1">
        <v>45682</v>
      </c>
      <c r="C349" t="s">
        <v>23</v>
      </c>
      <c r="D349">
        <v>1</v>
      </c>
      <c r="E349">
        <v>25</v>
      </c>
      <c r="F349" t="s">
        <v>134</v>
      </c>
      <c r="G349" t="s">
        <v>55</v>
      </c>
      <c r="H349" t="s">
        <v>108</v>
      </c>
      <c r="I349" t="s">
        <v>69</v>
      </c>
      <c r="J349" t="s">
        <v>101</v>
      </c>
      <c r="K349" t="s">
        <v>38</v>
      </c>
      <c r="L349">
        <v>1</v>
      </c>
      <c r="M349">
        <v>380</v>
      </c>
      <c r="N349">
        <v>76</v>
      </c>
      <c r="O349">
        <v>30</v>
      </c>
      <c r="P349">
        <v>380</v>
      </c>
      <c r="Q349">
        <v>334</v>
      </c>
      <c r="R349" t="s">
        <v>30</v>
      </c>
      <c r="S349" t="s">
        <v>31</v>
      </c>
      <c r="T349" t="s">
        <v>40</v>
      </c>
      <c r="U349">
        <v>60</v>
      </c>
      <c r="V349">
        <v>3.2</v>
      </c>
      <c r="W349">
        <f>Table2[[#This Row],[Quantity]]*Table2[[#This Row],[Item_Price]]</f>
        <v>380</v>
      </c>
    </row>
    <row r="350" spans="1:23" x14ac:dyDescent="0.25">
      <c r="A350" t="s">
        <v>444</v>
      </c>
      <c r="B350" s="1">
        <v>45682</v>
      </c>
      <c r="C350" t="s">
        <v>23</v>
      </c>
      <c r="D350">
        <v>1</v>
      </c>
      <c r="E350">
        <v>25</v>
      </c>
      <c r="F350" t="s">
        <v>134</v>
      </c>
      <c r="G350" t="s">
        <v>96</v>
      </c>
      <c r="H350" t="s">
        <v>35</v>
      </c>
      <c r="I350" t="s">
        <v>69</v>
      </c>
      <c r="J350" t="s">
        <v>74</v>
      </c>
      <c r="K350" t="s">
        <v>38</v>
      </c>
      <c r="L350">
        <v>1</v>
      </c>
      <c r="M350">
        <v>888</v>
      </c>
      <c r="N350">
        <v>88.8</v>
      </c>
      <c r="O350">
        <v>50</v>
      </c>
      <c r="P350">
        <v>888</v>
      </c>
      <c r="Q350">
        <v>849.2</v>
      </c>
      <c r="R350" t="s">
        <v>112</v>
      </c>
      <c r="S350" t="s">
        <v>46</v>
      </c>
      <c r="T350" t="s">
        <v>40</v>
      </c>
      <c r="U350">
        <v>47</v>
      </c>
      <c r="W350">
        <f>Table2[[#This Row],[Quantity]]*Table2[[#This Row],[Item_Price]]</f>
        <v>888</v>
      </c>
    </row>
    <row r="351" spans="1:23" x14ac:dyDescent="0.25">
      <c r="A351" t="s">
        <v>445</v>
      </c>
      <c r="B351" s="1">
        <v>45683</v>
      </c>
      <c r="C351" t="s">
        <v>23</v>
      </c>
      <c r="D351">
        <v>1</v>
      </c>
      <c r="E351">
        <v>26</v>
      </c>
      <c r="F351" t="s">
        <v>149</v>
      </c>
      <c r="G351" t="s">
        <v>80</v>
      </c>
      <c r="H351" t="s">
        <v>48</v>
      </c>
      <c r="I351" t="s">
        <v>43</v>
      </c>
      <c r="J351" t="s">
        <v>70</v>
      </c>
      <c r="K351" t="s">
        <v>38</v>
      </c>
      <c r="L351">
        <v>1</v>
      </c>
      <c r="M351">
        <v>273</v>
      </c>
      <c r="N351">
        <v>27.3</v>
      </c>
      <c r="O351">
        <v>60</v>
      </c>
      <c r="P351">
        <v>273</v>
      </c>
      <c r="Q351">
        <v>305.7</v>
      </c>
      <c r="R351" t="s">
        <v>30</v>
      </c>
      <c r="S351" t="s">
        <v>31</v>
      </c>
      <c r="T351" t="s">
        <v>32</v>
      </c>
      <c r="U351">
        <v>45</v>
      </c>
      <c r="V351">
        <v>4.4000000000000004</v>
      </c>
      <c r="W351">
        <f>Table2[[#This Row],[Quantity]]*Table2[[#This Row],[Item_Price]]</f>
        <v>273</v>
      </c>
    </row>
    <row r="352" spans="1:23" x14ac:dyDescent="0.25">
      <c r="A352" t="s">
        <v>446</v>
      </c>
      <c r="B352" s="1">
        <v>45683</v>
      </c>
      <c r="C352" t="s">
        <v>23</v>
      </c>
      <c r="D352">
        <v>1</v>
      </c>
      <c r="E352">
        <v>26</v>
      </c>
      <c r="F352" t="s">
        <v>149</v>
      </c>
      <c r="G352" t="s">
        <v>90</v>
      </c>
      <c r="H352" t="s">
        <v>68</v>
      </c>
      <c r="I352" t="s">
        <v>69</v>
      </c>
      <c r="J352" t="s">
        <v>74</v>
      </c>
      <c r="K352" t="s">
        <v>38</v>
      </c>
      <c r="L352">
        <v>2</v>
      </c>
      <c r="M352">
        <v>286</v>
      </c>
      <c r="N352">
        <v>0</v>
      </c>
      <c r="O352">
        <v>40</v>
      </c>
      <c r="P352">
        <v>572</v>
      </c>
      <c r="Q352">
        <v>612</v>
      </c>
      <c r="R352" t="s">
        <v>39</v>
      </c>
      <c r="S352" t="s">
        <v>31</v>
      </c>
      <c r="T352" t="s">
        <v>40</v>
      </c>
      <c r="U352">
        <v>62</v>
      </c>
      <c r="V352">
        <v>4.2</v>
      </c>
      <c r="W352">
        <f>Table2[[#This Row],[Quantity]]*Table2[[#This Row],[Item_Price]]</f>
        <v>572</v>
      </c>
    </row>
    <row r="353" spans="1:23" x14ac:dyDescent="0.25">
      <c r="A353" t="s">
        <v>447</v>
      </c>
      <c r="B353" s="1">
        <v>45683</v>
      </c>
      <c r="C353" t="s">
        <v>23</v>
      </c>
      <c r="D353">
        <v>1</v>
      </c>
      <c r="E353">
        <v>26</v>
      </c>
      <c r="F353" t="s">
        <v>149</v>
      </c>
      <c r="G353" t="s">
        <v>55</v>
      </c>
      <c r="H353" t="s">
        <v>68</v>
      </c>
      <c r="I353" t="s">
        <v>27</v>
      </c>
      <c r="J353" t="s">
        <v>70</v>
      </c>
      <c r="K353" t="s">
        <v>58</v>
      </c>
      <c r="L353">
        <v>1</v>
      </c>
      <c r="M353">
        <v>336</v>
      </c>
      <c r="N353">
        <v>0</v>
      </c>
      <c r="O353">
        <v>20</v>
      </c>
      <c r="P353">
        <v>336</v>
      </c>
      <c r="Q353">
        <v>356</v>
      </c>
      <c r="R353" t="s">
        <v>98</v>
      </c>
      <c r="S353" t="s">
        <v>31</v>
      </c>
      <c r="T353" t="s">
        <v>40</v>
      </c>
      <c r="U353">
        <v>25</v>
      </c>
      <c r="V353">
        <v>4.8</v>
      </c>
      <c r="W353">
        <f>Table2[[#This Row],[Quantity]]*Table2[[#This Row],[Item_Price]]</f>
        <v>336</v>
      </c>
    </row>
    <row r="354" spans="1:23" x14ac:dyDescent="0.25">
      <c r="A354" t="s">
        <v>448</v>
      </c>
      <c r="B354" s="1">
        <v>45683</v>
      </c>
      <c r="C354" t="s">
        <v>23</v>
      </c>
      <c r="D354">
        <v>1</v>
      </c>
      <c r="E354">
        <v>26</v>
      </c>
      <c r="F354" t="s">
        <v>149</v>
      </c>
      <c r="G354" t="s">
        <v>84</v>
      </c>
      <c r="H354" t="s">
        <v>77</v>
      </c>
      <c r="I354" t="s">
        <v>57</v>
      </c>
      <c r="J354" t="s">
        <v>101</v>
      </c>
      <c r="K354" t="s">
        <v>38</v>
      </c>
      <c r="L354">
        <v>1</v>
      </c>
      <c r="M354">
        <v>765</v>
      </c>
      <c r="N354">
        <v>38.25</v>
      </c>
      <c r="O354">
        <v>40</v>
      </c>
      <c r="P354">
        <v>765</v>
      </c>
      <c r="Q354">
        <v>766.75</v>
      </c>
      <c r="R354" t="s">
        <v>75</v>
      </c>
      <c r="S354" t="s">
        <v>31</v>
      </c>
      <c r="T354" t="s">
        <v>40</v>
      </c>
      <c r="U354">
        <v>59</v>
      </c>
      <c r="V354">
        <v>3.6</v>
      </c>
      <c r="W354">
        <f>Table2[[#This Row],[Quantity]]*Table2[[#This Row],[Item_Price]]</f>
        <v>765</v>
      </c>
    </row>
    <row r="355" spans="1:23" x14ac:dyDescent="0.25">
      <c r="A355" t="s">
        <v>449</v>
      </c>
      <c r="B355" s="1">
        <v>45683</v>
      </c>
      <c r="C355" t="s">
        <v>23</v>
      </c>
      <c r="D355">
        <v>1</v>
      </c>
      <c r="E355">
        <v>26</v>
      </c>
      <c r="F355" t="s">
        <v>149</v>
      </c>
      <c r="G355" t="s">
        <v>25</v>
      </c>
      <c r="H355" t="s">
        <v>77</v>
      </c>
      <c r="I355" t="s">
        <v>85</v>
      </c>
      <c r="J355" t="s">
        <v>101</v>
      </c>
      <c r="K355" t="s">
        <v>38</v>
      </c>
      <c r="L355">
        <v>1</v>
      </c>
      <c r="M355">
        <v>183</v>
      </c>
      <c r="N355">
        <v>18.3</v>
      </c>
      <c r="O355">
        <v>50</v>
      </c>
      <c r="P355">
        <v>183</v>
      </c>
      <c r="Q355">
        <v>214.7</v>
      </c>
      <c r="R355" t="s">
        <v>112</v>
      </c>
      <c r="S355" t="s">
        <v>31</v>
      </c>
      <c r="T355" t="s">
        <v>40</v>
      </c>
      <c r="U355">
        <v>55</v>
      </c>
      <c r="V355">
        <v>4.5999999999999996</v>
      </c>
      <c r="W355">
        <f>Table2[[#This Row],[Quantity]]*Table2[[#This Row],[Item_Price]]</f>
        <v>183</v>
      </c>
    </row>
    <row r="356" spans="1:23" x14ac:dyDescent="0.25">
      <c r="A356" t="s">
        <v>450</v>
      </c>
      <c r="B356" s="1">
        <v>45683</v>
      </c>
      <c r="C356" t="s">
        <v>23</v>
      </c>
      <c r="D356">
        <v>1</v>
      </c>
      <c r="E356">
        <v>26</v>
      </c>
      <c r="F356" t="s">
        <v>149</v>
      </c>
      <c r="G356" t="s">
        <v>55</v>
      </c>
      <c r="H356" t="s">
        <v>108</v>
      </c>
      <c r="I356" t="s">
        <v>61</v>
      </c>
      <c r="J356" t="s">
        <v>44</v>
      </c>
      <c r="K356" t="s">
        <v>45</v>
      </c>
      <c r="L356">
        <v>2</v>
      </c>
      <c r="M356">
        <v>843</v>
      </c>
      <c r="N356">
        <v>84.3</v>
      </c>
      <c r="O356">
        <v>30</v>
      </c>
      <c r="P356">
        <v>1686</v>
      </c>
      <c r="Q356">
        <v>1631.7</v>
      </c>
      <c r="R356" t="s">
        <v>39</v>
      </c>
      <c r="S356" t="s">
        <v>31</v>
      </c>
      <c r="T356" t="s">
        <v>32</v>
      </c>
      <c r="U356">
        <v>47</v>
      </c>
      <c r="V356">
        <v>3.3</v>
      </c>
      <c r="W356">
        <f>Table2[[#This Row],[Quantity]]*Table2[[#This Row],[Item_Price]]</f>
        <v>1686</v>
      </c>
    </row>
    <row r="357" spans="1:23" x14ac:dyDescent="0.25">
      <c r="A357" t="s">
        <v>451</v>
      </c>
      <c r="B357" s="1">
        <v>45683</v>
      </c>
      <c r="C357" t="s">
        <v>23</v>
      </c>
      <c r="D357">
        <v>1</v>
      </c>
      <c r="E357">
        <v>26</v>
      </c>
      <c r="F357" t="s">
        <v>149</v>
      </c>
      <c r="G357" t="s">
        <v>34</v>
      </c>
      <c r="H357" t="s">
        <v>68</v>
      </c>
      <c r="I357" t="s">
        <v>43</v>
      </c>
      <c r="J357" t="s">
        <v>119</v>
      </c>
      <c r="K357" t="s">
        <v>38</v>
      </c>
      <c r="L357">
        <v>1</v>
      </c>
      <c r="M357">
        <v>391</v>
      </c>
      <c r="N357">
        <v>19.55</v>
      </c>
      <c r="O357">
        <v>30</v>
      </c>
      <c r="P357">
        <v>391</v>
      </c>
      <c r="Q357">
        <v>401.45</v>
      </c>
      <c r="R357" t="s">
        <v>112</v>
      </c>
      <c r="S357" t="s">
        <v>31</v>
      </c>
      <c r="T357" t="s">
        <v>32</v>
      </c>
      <c r="U357">
        <v>39</v>
      </c>
      <c r="V357">
        <v>3.5</v>
      </c>
      <c r="W357">
        <f>Table2[[#This Row],[Quantity]]*Table2[[#This Row],[Item_Price]]</f>
        <v>391</v>
      </c>
    </row>
    <row r="358" spans="1:23" x14ac:dyDescent="0.25">
      <c r="A358" t="s">
        <v>452</v>
      </c>
      <c r="B358" s="1">
        <v>45683</v>
      </c>
      <c r="C358" t="s">
        <v>23</v>
      </c>
      <c r="D358">
        <v>1</v>
      </c>
      <c r="E358">
        <v>26</v>
      </c>
      <c r="F358" t="s">
        <v>149</v>
      </c>
      <c r="G358" t="s">
        <v>34</v>
      </c>
      <c r="H358" t="s">
        <v>139</v>
      </c>
      <c r="I358" t="s">
        <v>97</v>
      </c>
      <c r="J358" t="s">
        <v>123</v>
      </c>
      <c r="K358" t="s">
        <v>38</v>
      </c>
      <c r="L358">
        <v>2</v>
      </c>
      <c r="M358">
        <v>725</v>
      </c>
      <c r="N358">
        <v>145</v>
      </c>
      <c r="O358">
        <v>30</v>
      </c>
      <c r="P358">
        <v>1450</v>
      </c>
      <c r="Q358">
        <v>1335</v>
      </c>
      <c r="R358" t="s">
        <v>75</v>
      </c>
      <c r="S358" t="s">
        <v>31</v>
      </c>
      <c r="T358" t="s">
        <v>40</v>
      </c>
      <c r="U358">
        <v>50</v>
      </c>
      <c r="V358">
        <v>4</v>
      </c>
      <c r="W358">
        <f>Table2[[#This Row],[Quantity]]*Table2[[#This Row],[Item_Price]]</f>
        <v>1450</v>
      </c>
    </row>
    <row r="359" spans="1:23" x14ac:dyDescent="0.25">
      <c r="A359" t="s">
        <v>453</v>
      </c>
      <c r="B359" s="1">
        <v>45683</v>
      </c>
      <c r="C359" t="s">
        <v>23</v>
      </c>
      <c r="D359">
        <v>1</v>
      </c>
      <c r="E359">
        <v>26</v>
      </c>
      <c r="F359" t="s">
        <v>149</v>
      </c>
      <c r="G359" t="s">
        <v>73</v>
      </c>
      <c r="H359" t="s">
        <v>139</v>
      </c>
      <c r="I359" t="s">
        <v>97</v>
      </c>
      <c r="J359" t="s">
        <v>94</v>
      </c>
      <c r="K359" t="s">
        <v>29</v>
      </c>
      <c r="L359">
        <v>2</v>
      </c>
      <c r="M359">
        <v>859</v>
      </c>
      <c r="N359">
        <v>42.95</v>
      </c>
      <c r="O359">
        <v>40</v>
      </c>
      <c r="P359">
        <v>1718</v>
      </c>
      <c r="Q359">
        <v>1715.05</v>
      </c>
      <c r="R359" t="s">
        <v>75</v>
      </c>
      <c r="S359" t="s">
        <v>46</v>
      </c>
      <c r="T359" t="s">
        <v>32</v>
      </c>
      <c r="U359">
        <v>60</v>
      </c>
      <c r="W359">
        <f>Table2[[#This Row],[Quantity]]*Table2[[#This Row],[Item_Price]]</f>
        <v>1718</v>
      </c>
    </row>
    <row r="360" spans="1:23" x14ac:dyDescent="0.25">
      <c r="A360" t="s">
        <v>454</v>
      </c>
      <c r="B360" s="1">
        <v>45683</v>
      </c>
      <c r="C360" t="s">
        <v>23</v>
      </c>
      <c r="D360">
        <v>1</v>
      </c>
      <c r="E360">
        <v>26</v>
      </c>
      <c r="F360" t="s">
        <v>149</v>
      </c>
      <c r="G360" t="s">
        <v>73</v>
      </c>
      <c r="H360" t="s">
        <v>42</v>
      </c>
      <c r="I360" t="s">
        <v>69</v>
      </c>
      <c r="J360" t="s">
        <v>28</v>
      </c>
      <c r="K360" t="s">
        <v>38</v>
      </c>
      <c r="L360">
        <v>2</v>
      </c>
      <c r="M360">
        <v>204</v>
      </c>
      <c r="N360">
        <v>20.399999999999999</v>
      </c>
      <c r="O360">
        <v>50</v>
      </c>
      <c r="P360">
        <v>408</v>
      </c>
      <c r="Q360">
        <v>437.6</v>
      </c>
      <c r="R360" t="s">
        <v>98</v>
      </c>
      <c r="S360" t="s">
        <v>31</v>
      </c>
      <c r="T360" t="s">
        <v>40</v>
      </c>
      <c r="U360">
        <v>49</v>
      </c>
      <c r="V360">
        <v>4</v>
      </c>
      <c r="W360">
        <f>Table2[[#This Row],[Quantity]]*Table2[[#This Row],[Item_Price]]</f>
        <v>408</v>
      </c>
    </row>
    <row r="361" spans="1:23" x14ac:dyDescent="0.25">
      <c r="A361" t="s">
        <v>455</v>
      </c>
      <c r="B361" s="1">
        <v>45683</v>
      </c>
      <c r="C361" t="s">
        <v>23</v>
      </c>
      <c r="D361">
        <v>1</v>
      </c>
      <c r="E361">
        <v>26</v>
      </c>
      <c r="F361" t="s">
        <v>149</v>
      </c>
      <c r="G361" t="s">
        <v>25</v>
      </c>
      <c r="H361" t="s">
        <v>139</v>
      </c>
      <c r="I361" t="s">
        <v>27</v>
      </c>
      <c r="J361" t="s">
        <v>50</v>
      </c>
      <c r="K361" t="s">
        <v>38</v>
      </c>
      <c r="L361">
        <v>1</v>
      </c>
      <c r="M361">
        <v>854</v>
      </c>
      <c r="N361">
        <v>85.4</v>
      </c>
      <c r="O361">
        <v>0</v>
      </c>
      <c r="P361">
        <v>854</v>
      </c>
      <c r="Q361">
        <v>768.6</v>
      </c>
      <c r="R361" t="s">
        <v>30</v>
      </c>
      <c r="S361" t="s">
        <v>31</v>
      </c>
      <c r="T361" t="s">
        <v>40</v>
      </c>
      <c r="U361">
        <v>69</v>
      </c>
      <c r="V361">
        <v>3.6</v>
      </c>
      <c r="W361">
        <f>Table2[[#This Row],[Quantity]]*Table2[[#This Row],[Item_Price]]</f>
        <v>854</v>
      </c>
    </row>
    <row r="362" spans="1:23" x14ac:dyDescent="0.25">
      <c r="A362" t="s">
        <v>456</v>
      </c>
      <c r="B362" s="1">
        <v>45684</v>
      </c>
      <c r="C362" t="s">
        <v>23</v>
      </c>
      <c r="D362">
        <v>1</v>
      </c>
      <c r="E362">
        <v>27</v>
      </c>
      <c r="F362" t="s">
        <v>168</v>
      </c>
      <c r="G362" t="s">
        <v>80</v>
      </c>
      <c r="H362" t="s">
        <v>26</v>
      </c>
      <c r="I362" t="s">
        <v>27</v>
      </c>
      <c r="J362" t="s">
        <v>62</v>
      </c>
      <c r="K362" t="s">
        <v>45</v>
      </c>
      <c r="L362">
        <v>3</v>
      </c>
      <c r="M362">
        <v>766</v>
      </c>
      <c r="N362">
        <v>191.5</v>
      </c>
      <c r="O362">
        <v>40</v>
      </c>
      <c r="P362">
        <v>2298</v>
      </c>
      <c r="Q362">
        <v>2146.5</v>
      </c>
      <c r="R362" t="s">
        <v>39</v>
      </c>
      <c r="S362" t="s">
        <v>31</v>
      </c>
      <c r="T362" t="s">
        <v>32</v>
      </c>
      <c r="U362">
        <v>41</v>
      </c>
      <c r="V362">
        <v>4.2</v>
      </c>
      <c r="W362">
        <f>Table2[[#This Row],[Quantity]]*Table2[[#This Row],[Item_Price]]</f>
        <v>2298</v>
      </c>
    </row>
    <row r="363" spans="1:23" x14ac:dyDescent="0.25">
      <c r="A363" t="s">
        <v>457</v>
      </c>
      <c r="B363" s="1">
        <v>45684</v>
      </c>
      <c r="C363" t="s">
        <v>23</v>
      </c>
      <c r="D363">
        <v>1</v>
      </c>
      <c r="E363">
        <v>27</v>
      </c>
      <c r="F363" t="s">
        <v>168</v>
      </c>
      <c r="G363" t="s">
        <v>80</v>
      </c>
      <c r="H363" t="s">
        <v>139</v>
      </c>
      <c r="I363" t="s">
        <v>57</v>
      </c>
      <c r="J363" t="s">
        <v>172</v>
      </c>
      <c r="K363" t="s">
        <v>38</v>
      </c>
      <c r="L363">
        <v>2</v>
      </c>
      <c r="M363">
        <v>515</v>
      </c>
      <c r="N363">
        <v>77.25</v>
      </c>
      <c r="O363">
        <v>30</v>
      </c>
      <c r="P363">
        <v>1030</v>
      </c>
      <c r="Q363">
        <v>982.75</v>
      </c>
      <c r="R363" t="s">
        <v>39</v>
      </c>
      <c r="S363" t="s">
        <v>31</v>
      </c>
      <c r="T363" t="s">
        <v>32</v>
      </c>
      <c r="U363">
        <v>47</v>
      </c>
      <c r="V363">
        <v>3.6</v>
      </c>
      <c r="W363">
        <f>Table2[[#This Row],[Quantity]]*Table2[[#This Row],[Item_Price]]</f>
        <v>1030</v>
      </c>
    </row>
    <row r="364" spans="1:23" x14ac:dyDescent="0.25">
      <c r="A364" t="s">
        <v>458</v>
      </c>
      <c r="B364" s="1">
        <v>45684</v>
      </c>
      <c r="C364" t="s">
        <v>23</v>
      </c>
      <c r="D364">
        <v>1</v>
      </c>
      <c r="E364">
        <v>27</v>
      </c>
      <c r="F364" t="s">
        <v>168</v>
      </c>
      <c r="G364" t="s">
        <v>80</v>
      </c>
      <c r="H364" t="s">
        <v>56</v>
      </c>
      <c r="I364" t="s">
        <v>85</v>
      </c>
      <c r="J364" t="s">
        <v>28</v>
      </c>
      <c r="K364" t="s">
        <v>38</v>
      </c>
      <c r="L364">
        <v>2</v>
      </c>
      <c r="M364">
        <v>571</v>
      </c>
      <c r="N364">
        <v>85.65</v>
      </c>
      <c r="O364">
        <v>0</v>
      </c>
      <c r="P364">
        <v>1142</v>
      </c>
      <c r="Q364">
        <v>1056.3499999999999</v>
      </c>
      <c r="R364" t="s">
        <v>39</v>
      </c>
      <c r="S364" t="s">
        <v>31</v>
      </c>
      <c r="T364" t="s">
        <v>32</v>
      </c>
      <c r="U364">
        <v>46</v>
      </c>
      <c r="V364">
        <v>3.8</v>
      </c>
      <c r="W364">
        <f>Table2[[#This Row],[Quantity]]*Table2[[#This Row],[Item_Price]]</f>
        <v>1142</v>
      </c>
    </row>
    <row r="365" spans="1:23" x14ac:dyDescent="0.25">
      <c r="A365" t="s">
        <v>459</v>
      </c>
      <c r="B365" s="1">
        <v>45684</v>
      </c>
      <c r="C365" t="s">
        <v>23</v>
      </c>
      <c r="D365">
        <v>1</v>
      </c>
      <c r="E365">
        <v>27</v>
      </c>
      <c r="F365" t="s">
        <v>168</v>
      </c>
      <c r="G365" t="s">
        <v>73</v>
      </c>
      <c r="H365" t="s">
        <v>65</v>
      </c>
      <c r="I365" t="s">
        <v>49</v>
      </c>
      <c r="J365" t="s">
        <v>101</v>
      </c>
      <c r="K365" t="s">
        <v>45</v>
      </c>
      <c r="L365">
        <v>1</v>
      </c>
      <c r="M365">
        <v>470</v>
      </c>
      <c r="N365">
        <v>0</v>
      </c>
      <c r="O365">
        <v>20</v>
      </c>
      <c r="P365">
        <v>470</v>
      </c>
      <c r="Q365">
        <v>490</v>
      </c>
      <c r="R365" t="s">
        <v>39</v>
      </c>
      <c r="S365" t="s">
        <v>31</v>
      </c>
      <c r="T365" t="s">
        <v>40</v>
      </c>
      <c r="U365">
        <v>22</v>
      </c>
      <c r="V365">
        <v>3.6</v>
      </c>
      <c r="W365">
        <f>Table2[[#This Row],[Quantity]]*Table2[[#This Row],[Item_Price]]</f>
        <v>470</v>
      </c>
    </row>
    <row r="366" spans="1:23" x14ac:dyDescent="0.25">
      <c r="A366" t="s">
        <v>460</v>
      </c>
      <c r="B366" s="1">
        <v>45684</v>
      </c>
      <c r="C366" t="s">
        <v>23</v>
      </c>
      <c r="D366">
        <v>1</v>
      </c>
      <c r="E366">
        <v>27</v>
      </c>
      <c r="F366" t="s">
        <v>168</v>
      </c>
      <c r="G366" t="s">
        <v>115</v>
      </c>
      <c r="H366" t="s">
        <v>56</v>
      </c>
      <c r="I366" t="s">
        <v>49</v>
      </c>
      <c r="J366" t="s">
        <v>101</v>
      </c>
      <c r="K366" t="s">
        <v>45</v>
      </c>
      <c r="L366">
        <v>3</v>
      </c>
      <c r="M366">
        <v>859</v>
      </c>
      <c r="N366">
        <v>128.85</v>
      </c>
      <c r="O366">
        <v>20</v>
      </c>
      <c r="P366">
        <v>2577</v>
      </c>
      <c r="Q366">
        <v>2468.15</v>
      </c>
      <c r="R366" t="s">
        <v>39</v>
      </c>
      <c r="S366" t="s">
        <v>31</v>
      </c>
      <c r="T366" t="s">
        <v>40</v>
      </c>
      <c r="U366">
        <v>52</v>
      </c>
      <c r="V366">
        <v>4</v>
      </c>
      <c r="W366">
        <f>Table2[[#This Row],[Quantity]]*Table2[[#This Row],[Item_Price]]</f>
        <v>2577</v>
      </c>
    </row>
    <row r="367" spans="1:23" x14ac:dyDescent="0.25">
      <c r="A367" t="s">
        <v>461</v>
      </c>
      <c r="B367" s="1">
        <v>45684</v>
      </c>
      <c r="C367" t="s">
        <v>23</v>
      </c>
      <c r="D367">
        <v>1</v>
      </c>
      <c r="E367">
        <v>27</v>
      </c>
      <c r="F367" t="s">
        <v>168</v>
      </c>
      <c r="G367" t="s">
        <v>80</v>
      </c>
      <c r="H367" t="s">
        <v>60</v>
      </c>
      <c r="I367" t="s">
        <v>61</v>
      </c>
      <c r="J367" t="s">
        <v>37</v>
      </c>
      <c r="K367" t="s">
        <v>38</v>
      </c>
      <c r="L367">
        <v>1</v>
      </c>
      <c r="M367">
        <v>310</v>
      </c>
      <c r="N367">
        <v>46.5</v>
      </c>
      <c r="O367">
        <v>50</v>
      </c>
      <c r="P367">
        <v>310</v>
      </c>
      <c r="Q367">
        <v>313.5</v>
      </c>
      <c r="R367" t="s">
        <v>39</v>
      </c>
      <c r="S367" t="s">
        <v>31</v>
      </c>
      <c r="T367" t="s">
        <v>40</v>
      </c>
      <c r="U367">
        <v>32</v>
      </c>
      <c r="V367">
        <v>4.4000000000000004</v>
      </c>
      <c r="W367">
        <f>Table2[[#This Row],[Quantity]]*Table2[[#This Row],[Item_Price]]</f>
        <v>310</v>
      </c>
    </row>
    <row r="368" spans="1:23" x14ac:dyDescent="0.25">
      <c r="A368" t="s">
        <v>462</v>
      </c>
      <c r="B368" s="1">
        <v>45684</v>
      </c>
      <c r="C368" t="s">
        <v>23</v>
      </c>
      <c r="D368">
        <v>1</v>
      </c>
      <c r="E368">
        <v>27</v>
      </c>
      <c r="F368" t="s">
        <v>168</v>
      </c>
      <c r="G368" t="s">
        <v>64</v>
      </c>
      <c r="H368" t="s">
        <v>26</v>
      </c>
      <c r="I368" t="s">
        <v>36</v>
      </c>
      <c r="J368" t="s">
        <v>44</v>
      </c>
      <c r="K368" t="s">
        <v>45</v>
      </c>
      <c r="L368">
        <v>1</v>
      </c>
      <c r="M368">
        <v>304</v>
      </c>
      <c r="N368">
        <v>0</v>
      </c>
      <c r="O368">
        <v>40</v>
      </c>
      <c r="P368">
        <v>304</v>
      </c>
      <c r="Q368">
        <v>344</v>
      </c>
      <c r="R368" t="s">
        <v>75</v>
      </c>
      <c r="S368" t="s">
        <v>31</v>
      </c>
      <c r="T368" t="s">
        <v>32</v>
      </c>
      <c r="U368">
        <v>31</v>
      </c>
      <c r="V368">
        <v>4.2</v>
      </c>
      <c r="W368">
        <f>Table2[[#This Row],[Quantity]]*Table2[[#This Row],[Item_Price]]</f>
        <v>304</v>
      </c>
    </row>
    <row r="369" spans="1:23" x14ac:dyDescent="0.25">
      <c r="A369" t="s">
        <v>463</v>
      </c>
      <c r="B369" s="1">
        <v>45684</v>
      </c>
      <c r="C369" t="s">
        <v>23</v>
      </c>
      <c r="D369">
        <v>1</v>
      </c>
      <c r="E369">
        <v>27</v>
      </c>
      <c r="F369" t="s">
        <v>168</v>
      </c>
      <c r="G369" t="s">
        <v>34</v>
      </c>
      <c r="H369" t="s">
        <v>81</v>
      </c>
      <c r="I369" t="s">
        <v>85</v>
      </c>
      <c r="J369" t="s">
        <v>53</v>
      </c>
      <c r="K369" t="s">
        <v>38</v>
      </c>
      <c r="L369">
        <v>2</v>
      </c>
      <c r="M369">
        <v>239</v>
      </c>
      <c r="N369">
        <v>23.9</v>
      </c>
      <c r="O369">
        <v>30</v>
      </c>
      <c r="P369">
        <v>478</v>
      </c>
      <c r="Q369">
        <v>484.1</v>
      </c>
      <c r="R369" t="s">
        <v>112</v>
      </c>
      <c r="S369" t="s">
        <v>31</v>
      </c>
      <c r="T369" t="s">
        <v>40</v>
      </c>
      <c r="U369">
        <v>25</v>
      </c>
      <c r="V369">
        <v>4.5999999999999996</v>
      </c>
      <c r="W369">
        <f>Table2[[#This Row],[Quantity]]*Table2[[#This Row],[Item_Price]]</f>
        <v>478</v>
      </c>
    </row>
    <row r="370" spans="1:23" x14ac:dyDescent="0.25">
      <c r="A370" t="s">
        <v>464</v>
      </c>
      <c r="B370" s="1">
        <v>45684</v>
      </c>
      <c r="C370" t="s">
        <v>23</v>
      </c>
      <c r="D370">
        <v>1</v>
      </c>
      <c r="E370">
        <v>27</v>
      </c>
      <c r="F370" t="s">
        <v>168</v>
      </c>
      <c r="G370" t="s">
        <v>25</v>
      </c>
      <c r="H370" t="s">
        <v>135</v>
      </c>
      <c r="I370" t="s">
        <v>36</v>
      </c>
      <c r="J370" t="s">
        <v>53</v>
      </c>
      <c r="K370" t="s">
        <v>38</v>
      </c>
      <c r="L370">
        <v>3</v>
      </c>
      <c r="M370">
        <v>428</v>
      </c>
      <c r="N370">
        <v>64.2</v>
      </c>
      <c r="O370">
        <v>20</v>
      </c>
      <c r="P370">
        <v>1284</v>
      </c>
      <c r="Q370">
        <v>1239.8</v>
      </c>
      <c r="R370" t="s">
        <v>75</v>
      </c>
      <c r="S370" t="s">
        <v>91</v>
      </c>
      <c r="T370" t="s">
        <v>40</v>
      </c>
      <c r="U370">
        <v>33</v>
      </c>
      <c r="W370">
        <f>Table2[[#This Row],[Quantity]]*Table2[[#This Row],[Item_Price]]</f>
        <v>1284</v>
      </c>
    </row>
    <row r="371" spans="1:23" x14ac:dyDescent="0.25">
      <c r="A371" t="s">
        <v>465</v>
      </c>
      <c r="B371" s="1">
        <v>45685</v>
      </c>
      <c r="C371" t="s">
        <v>23</v>
      </c>
      <c r="D371">
        <v>1</v>
      </c>
      <c r="E371">
        <v>28</v>
      </c>
      <c r="F371" t="s">
        <v>178</v>
      </c>
      <c r="G371" t="s">
        <v>55</v>
      </c>
      <c r="H371" t="s">
        <v>52</v>
      </c>
      <c r="I371" t="s">
        <v>27</v>
      </c>
      <c r="J371" t="s">
        <v>70</v>
      </c>
      <c r="K371" t="s">
        <v>45</v>
      </c>
      <c r="L371">
        <v>2</v>
      </c>
      <c r="M371">
        <v>600</v>
      </c>
      <c r="N371">
        <v>90</v>
      </c>
      <c r="O371">
        <v>30</v>
      </c>
      <c r="P371">
        <v>1200</v>
      </c>
      <c r="Q371">
        <v>1140</v>
      </c>
      <c r="R371" t="s">
        <v>98</v>
      </c>
      <c r="S371" t="s">
        <v>110</v>
      </c>
      <c r="T371" t="s">
        <v>40</v>
      </c>
      <c r="U371">
        <v>43</v>
      </c>
      <c r="W371">
        <f>Table2[[#This Row],[Quantity]]*Table2[[#This Row],[Item_Price]]</f>
        <v>1200</v>
      </c>
    </row>
    <row r="372" spans="1:23" x14ac:dyDescent="0.25">
      <c r="A372" t="s">
        <v>466</v>
      </c>
      <c r="B372" s="1">
        <v>45685</v>
      </c>
      <c r="C372" t="s">
        <v>23</v>
      </c>
      <c r="D372">
        <v>1</v>
      </c>
      <c r="E372">
        <v>28</v>
      </c>
      <c r="F372" t="s">
        <v>178</v>
      </c>
      <c r="G372" t="s">
        <v>90</v>
      </c>
      <c r="H372" t="s">
        <v>60</v>
      </c>
      <c r="I372" t="s">
        <v>43</v>
      </c>
      <c r="J372" t="s">
        <v>94</v>
      </c>
      <c r="K372" t="s">
        <v>38</v>
      </c>
      <c r="L372">
        <v>1</v>
      </c>
      <c r="M372">
        <v>167</v>
      </c>
      <c r="N372">
        <v>16.7</v>
      </c>
      <c r="O372">
        <v>60</v>
      </c>
      <c r="P372">
        <v>167</v>
      </c>
      <c r="Q372">
        <v>210.3</v>
      </c>
      <c r="R372" t="s">
        <v>39</v>
      </c>
      <c r="S372" t="s">
        <v>31</v>
      </c>
      <c r="T372" t="s">
        <v>40</v>
      </c>
      <c r="U372">
        <v>69</v>
      </c>
      <c r="V372">
        <v>5</v>
      </c>
      <c r="W372">
        <f>Table2[[#This Row],[Quantity]]*Table2[[#This Row],[Item_Price]]</f>
        <v>167</v>
      </c>
    </row>
    <row r="373" spans="1:23" x14ac:dyDescent="0.25">
      <c r="A373" t="s">
        <v>467</v>
      </c>
      <c r="B373" s="1">
        <v>45685</v>
      </c>
      <c r="C373" t="s">
        <v>23</v>
      </c>
      <c r="D373">
        <v>1</v>
      </c>
      <c r="E373">
        <v>28</v>
      </c>
      <c r="F373" t="s">
        <v>178</v>
      </c>
      <c r="G373" t="s">
        <v>115</v>
      </c>
      <c r="H373" t="s">
        <v>35</v>
      </c>
      <c r="I373" t="s">
        <v>43</v>
      </c>
      <c r="J373" t="s">
        <v>66</v>
      </c>
      <c r="K373" t="s">
        <v>38</v>
      </c>
      <c r="L373">
        <v>3</v>
      </c>
      <c r="M373">
        <v>524</v>
      </c>
      <c r="N373">
        <v>104.8</v>
      </c>
      <c r="O373">
        <v>40</v>
      </c>
      <c r="P373">
        <v>1572</v>
      </c>
      <c r="Q373">
        <v>1507.2</v>
      </c>
      <c r="R373" t="s">
        <v>30</v>
      </c>
      <c r="S373" t="s">
        <v>31</v>
      </c>
      <c r="T373" t="s">
        <v>40</v>
      </c>
      <c r="U373">
        <v>53</v>
      </c>
      <c r="V373">
        <v>3</v>
      </c>
      <c r="W373">
        <f>Table2[[#This Row],[Quantity]]*Table2[[#This Row],[Item_Price]]</f>
        <v>1572</v>
      </c>
    </row>
    <row r="374" spans="1:23" x14ac:dyDescent="0.25">
      <c r="A374" t="s">
        <v>468</v>
      </c>
      <c r="B374" s="1">
        <v>45685</v>
      </c>
      <c r="C374" t="s">
        <v>23</v>
      </c>
      <c r="D374">
        <v>1</v>
      </c>
      <c r="E374">
        <v>28</v>
      </c>
      <c r="F374" t="s">
        <v>178</v>
      </c>
      <c r="G374" t="s">
        <v>73</v>
      </c>
      <c r="H374" t="s">
        <v>139</v>
      </c>
      <c r="I374" t="s">
        <v>61</v>
      </c>
      <c r="J374" t="s">
        <v>119</v>
      </c>
      <c r="K374" t="s">
        <v>38</v>
      </c>
      <c r="L374">
        <v>1</v>
      </c>
      <c r="M374">
        <v>845</v>
      </c>
      <c r="N374">
        <v>126.75</v>
      </c>
      <c r="O374">
        <v>50</v>
      </c>
      <c r="P374">
        <v>845</v>
      </c>
      <c r="Q374">
        <v>768.25</v>
      </c>
      <c r="R374" t="s">
        <v>98</v>
      </c>
      <c r="S374" t="s">
        <v>31</v>
      </c>
      <c r="T374" t="s">
        <v>40</v>
      </c>
      <c r="U374">
        <v>51</v>
      </c>
      <c r="V374">
        <v>5</v>
      </c>
      <c r="W374">
        <f>Table2[[#This Row],[Quantity]]*Table2[[#This Row],[Item_Price]]</f>
        <v>845</v>
      </c>
    </row>
    <row r="375" spans="1:23" x14ac:dyDescent="0.25">
      <c r="A375" t="s">
        <v>469</v>
      </c>
      <c r="B375" s="1">
        <v>45685</v>
      </c>
      <c r="C375" t="s">
        <v>23</v>
      </c>
      <c r="D375">
        <v>1</v>
      </c>
      <c r="E375">
        <v>28</v>
      </c>
      <c r="F375" t="s">
        <v>178</v>
      </c>
      <c r="G375" t="s">
        <v>25</v>
      </c>
      <c r="H375" t="s">
        <v>35</v>
      </c>
      <c r="I375" t="s">
        <v>85</v>
      </c>
      <c r="J375" t="s">
        <v>101</v>
      </c>
      <c r="K375" t="s">
        <v>38</v>
      </c>
      <c r="L375">
        <v>3</v>
      </c>
      <c r="M375">
        <v>750</v>
      </c>
      <c r="N375">
        <v>75</v>
      </c>
      <c r="O375">
        <v>40</v>
      </c>
      <c r="P375">
        <v>2250</v>
      </c>
      <c r="Q375">
        <v>2215</v>
      </c>
      <c r="R375" t="s">
        <v>39</v>
      </c>
      <c r="S375" t="s">
        <v>31</v>
      </c>
      <c r="T375" t="s">
        <v>40</v>
      </c>
      <c r="U375">
        <v>27</v>
      </c>
      <c r="V375">
        <v>3.7</v>
      </c>
      <c r="W375">
        <f>Table2[[#This Row],[Quantity]]*Table2[[#This Row],[Item_Price]]</f>
        <v>2250</v>
      </c>
    </row>
    <row r="376" spans="1:23" x14ac:dyDescent="0.25">
      <c r="A376" t="s">
        <v>470</v>
      </c>
      <c r="B376" s="1">
        <v>45685</v>
      </c>
      <c r="C376" t="s">
        <v>23</v>
      </c>
      <c r="D376">
        <v>1</v>
      </c>
      <c r="E376">
        <v>28</v>
      </c>
      <c r="F376" t="s">
        <v>178</v>
      </c>
      <c r="G376" t="s">
        <v>25</v>
      </c>
      <c r="H376" t="s">
        <v>68</v>
      </c>
      <c r="I376" t="s">
        <v>49</v>
      </c>
      <c r="J376" t="s">
        <v>94</v>
      </c>
      <c r="K376" t="s">
        <v>38</v>
      </c>
      <c r="L376">
        <v>1</v>
      </c>
      <c r="M376">
        <v>288</v>
      </c>
      <c r="N376">
        <v>72</v>
      </c>
      <c r="O376">
        <v>0</v>
      </c>
      <c r="P376">
        <v>288</v>
      </c>
      <c r="Q376">
        <v>216</v>
      </c>
      <c r="R376" t="s">
        <v>39</v>
      </c>
      <c r="S376" t="s">
        <v>31</v>
      </c>
      <c r="T376" t="s">
        <v>40</v>
      </c>
      <c r="U376">
        <v>46</v>
      </c>
      <c r="V376">
        <v>3.9</v>
      </c>
      <c r="W376">
        <f>Table2[[#This Row],[Quantity]]*Table2[[#This Row],[Item_Price]]</f>
        <v>288</v>
      </c>
    </row>
    <row r="377" spans="1:23" x14ac:dyDescent="0.25">
      <c r="A377" t="s">
        <v>471</v>
      </c>
      <c r="B377" s="1">
        <v>45685</v>
      </c>
      <c r="C377" t="s">
        <v>23</v>
      </c>
      <c r="D377">
        <v>1</v>
      </c>
      <c r="E377">
        <v>28</v>
      </c>
      <c r="F377" t="s">
        <v>178</v>
      </c>
      <c r="G377" t="s">
        <v>34</v>
      </c>
      <c r="H377" t="s">
        <v>77</v>
      </c>
      <c r="I377" t="s">
        <v>97</v>
      </c>
      <c r="J377" t="s">
        <v>94</v>
      </c>
      <c r="K377" t="s">
        <v>58</v>
      </c>
      <c r="L377">
        <v>1</v>
      </c>
      <c r="M377">
        <v>409</v>
      </c>
      <c r="N377">
        <v>61.35</v>
      </c>
      <c r="O377">
        <v>40</v>
      </c>
      <c r="P377">
        <v>409</v>
      </c>
      <c r="Q377">
        <v>387.65</v>
      </c>
      <c r="R377" t="s">
        <v>39</v>
      </c>
      <c r="S377" t="s">
        <v>31</v>
      </c>
      <c r="T377" t="s">
        <v>32</v>
      </c>
      <c r="U377">
        <v>51</v>
      </c>
      <c r="V377">
        <v>4.7</v>
      </c>
      <c r="W377">
        <f>Table2[[#This Row],[Quantity]]*Table2[[#This Row],[Item_Price]]</f>
        <v>409</v>
      </c>
    </row>
    <row r="378" spans="1:23" x14ac:dyDescent="0.25">
      <c r="A378" t="s">
        <v>472</v>
      </c>
      <c r="B378" s="1">
        <v>45685</v>
      </c>
      <c r="C378" t="s">
        <v>23</v>
      </c>
      <c r="D378">
        <v>1</v>
      </c>
      <c r="E378">
        <v>28</v>
      </c>
      <c r="F378" t="s">
        <v>178</v>
      </c>
      <c r="G378" t="s">
        <v>90</v>
      </c>
      <c r="H378" t="s">
        <v>77</v>
      </c>
      <c r="I378" t="s">
        <v>36</v>
      </c>
      <c r="J378" t="s">
        <v>119</v>
      </c>
      <c r="K378" t="s">
        <v>38</v>
      </c>
      <c r="L378">
        <v>1</v>
      </c>
      <c r="M378">
        <v>804</v>
      </c>
      <c r="N378">
        <v>120.6</v>
      </c>
      <c r="O378">
        <v>40</v>
      </c>
      <c r="P378">
        <v>804</v>
      </c>
      <c r="Q378">
        <v>723.4</v>
      </c>
      <c r="R378" t="s">
        <v>98</v>
      </c>
      <c r="S378" t="s">
        <v>31</v>
      </c>
      <c r="T378" t="s">
        <v>32</v>
      </c>
      <c r="U378">
        <v>55</v>
      </c>
      <c r="V378">
        <v>3.9</v>
      </c>
      <c r="W378">
        <f>Table2[[#This Row],[Quantity]]*Table2[[#This Row],[Item_Price]]</f>
        <v>804</v>
      </c>
    </row>
    <row r="379" spans="1:23" x14ac:dyDescent="0.25">
      <c r="A379" t="s">
        <v>473</v>
      </c>
      <c r="B379" s="1">
        <v>45685</v>
      </c>
      <c r="C379" t="s">
        <v>23</v>
      </c>
      <c r="D379">
        <v>1</v>
      </c>
      <c r="E379">
        <v>28</v>
      </c>
      <c r="F379" t="s">
        <v>178</v>
      </c>
      <c r="G379" t="s">
        <v>64</v>
      </c>
      <c r="H379" t="s">
        <v>65</v>
      </c>
      <c r="I379" t="s">
        <v>69</v>
      </c>
      <c r="J379" t="s">
        <v>66</v>
      </c>
      <c r="K379" t="s">
        <v>45</v>
      </c>
      <c r="L379">
        <v>2</v>
      </c>
      <c r="M379">
        <v>605</v>
      </c>
      <c r="N379">
        <v>90.75</v>
      </c>
      <c r="O379">
        <v>30</v>
      </c>
      <c r="P379">
        <v>1210</v>
      </c>
      <c r="Q379">
        <v>1149.25</v>
      </c>
      <c r="R379" t="s">
        <v>75</v>
      </c>
      <c r="S379" t="s">
        <v>31</v>
      </c>
      <c r="T379" t="s">
        <v>40</v>
      </c>
      <c r="U379">
        <v>46</v>
      </c>
      <c r="V379">
        <v>4.2</v>
      </c>
      <c r="W379">
        <f>Table2[[#This Row],[Quantity]]*Table2[[#This Row],[Item_Price]]</f>
        <v>1210</v>
      </c>
    </row>
    <row r="380" spans="1:23" x14ac:dyDescent="0.25">
      <c r="A380" t="s">
        <v>474</v>
      </c>
      <c r="B380" s="1">
        <v>45685</v>
      </c>
      <c r="C380" t="s">
        <v>23</v>
      </c>
      <c r="D380">
        <v>1</v>
      </c>
      <c r="E380">
        <v>28</v>
      </c>
      <c r="F380" t="s">
        <v>178</v>
      </c>
      <c r="G380" t="s">
        <v>34</v>
      </c>
      <c r="H380" t="s">
        <v>135</v>
      </c>
      <c r="I380" t="s">
        <v>43</v>
      </c>
      <c r="J380" t="s">
        <v>37</v>
      </c>
      <c r="K380" t="s">
        <v>38</v>
      </c>
      <c r="L380">
        <v>1</v>
      </c>
      <c r="M380">
        <v>325</v>
      </c>
      <c r="N380">
        <v>65</v>
      </c>
      <c r="O380">
        <v>60</v>
      </c>
      <c r="P380">
        <v>325</v>
      </c>
      <c r="Q380">
        <v>320</v>
      </c>
      <c r="R380" t="s">
        <v>98</v>
      </c>
      <c r="S380" t="s">
        <v>31</v>
      </c>
      <c r="T380" t="s">
        <v>32</v>
      </c>
      <c r="U380">
        <v>61</v>
      </c>
      <c r="V380">
        <v>3.5</v>
      </c>
      <c r="W380">
        <f>Table2[[#This Row],[Quantity]]*Table2[[#This Row],[Item_Price]]</f>
        <v>325</v>
      </c>
    </row>
    <row r="381" spans="1:23" x14ac:dyDescent="0.25">
      <c r="A381" t="s">
        <v>475</v>
      </c>
      <c r="B381" s="1">
        <v>45685</v>
      </c>
      <c r="C381" t="s">
        <v>23</v>
      </c>
      <c r="D381">
        <v>1</v>
      </c>
      <c r="E381">
        <v>28</v>
      </c>
      <c r="F381" t="s">
        <v>178</v>
      </c>
      <c r="G381" t="s">
        <v>73</v>
      </c>
      <c r="H381" t="s">
        <v>81</v>
      </c>
      <c r="I381" t="s">
        <v>57</v>
      </c>
      <c r="J381" t="s">
        <v>82</v>
      </c>
      <c r="K381" t="s">
        <v>38</v>
      </c>
      <c r="L381">
        <v>3</v>
      </c>
      <c r="M381">
        <v>848</v>
      </c>
      <c r="N381">
        <v>42.4</v>
      </c>
      <c r="O381">
        <v>40</v>
      </c>
      <c r="P381">
        <v>2544</v>
      </c>
      <c r="Q381">
        <v>2541.6</v>
      </c>
      <c r="R381" t="s">
        <v>112</v>
      </c>
      <c r="S381" t="s">
        <v>31</v>
      </c>
      <c r="T381" t="s">
        <v>40</v>
      </c>
      <c r="U381">
        <v>21</v>
      </c>
      <c r="V381">
        <v>4.5</v>
      </c>
      <c r="W381">
        <f>Table2[[#This Row],[Quantity]]*Table2[[#This Row],[Item_Price]]</f>
        <v>2544</v>
      </c>
    </row>
    <row r="382" spans="1:23" x14ac:dyDescent="0.25">
      <c r="A382" t="s">
        <v>476</v>
      </c>
      <c r="B382" s="1">
        <v>45685</v>
      </c>
      <c r="C382" t="s">
        <v>23</v>
      </c>
      <c r="D382">
        <v>1</v>
      </c>
      <c r="E382">
        <v>28</v>
      </c>
      <c r="F382" t="s">
        <v>178</v>
      </c>
      <c r="G382" t="s">
        <v>73</v>
      </c>
      <c r="H382" t="s">
        <v>35</v>
      </c>
      <c r="I382" t="s">
        <v>85</v>
      </c>
      <c r="J382" t="s">
        <v>172</v>
      </c>
      <c r="K382" t="s">
        <v>38</v>
      </c>
      <c r="L382">
        <v>2</v>
      </c>
      <c r="M382">
        <v>782</v>
      </c>
      <c r="N382">
        <v>117.3</v>
      </c>
      <c r="O382">
        <v>20</v>
      </c>
      <c r="P382">
        <v>1564</v>
      </c>
      <c r="Q382">
        <v>1466.7</v>
      </c>
      <c r="R382" t="s">
        <v>112</v>
      </c>
      <c r="S382" t="s">
        <v>31</v>
      </c>
      <c r="T382" t="s">
        <v>32</v>
      </c>
      <c r="U382">
        <v>62</v>
      </c>
      <c r="V382">
        <v>4</v>
      </c>
      <c r="W382">
        <f>Table2[[#This Row],[Quantity]]*Table2[[#This Row],[Item_Price]]</f>
        <v>1564</v>
      </c>
    </row>
    <row r="383" spans="1:23" x14ac:dyDescent="0.25">
      <c r="A383" t="s">
        <v>477</v>
      </c>
      <c r="B383" s="1">
        <v>45685</v>
      </c>
      <c r="C383" t="s">
        <v>23</v>
      </c>
      <c r="D383">
        <v>1</v>
      </c>
      <c r="E383">
        <v>28</v>
      </c>
      <c r="F383" t="s">
        <v>178</v>
      </c>
      <c r="G383" t="s">
        <v>80</v>
      </c>
      <c r="H383" t="s">
        <v>35</v>
      </c>
      <c r="I383" t="s">
        <v>69</v>
      </c>
      <c r="J383" t="s">
        <v>78</v>
      </c>
      <c r="K383" t="s">
        <v>38</v>
      </c>
      <c r="L383">
        <v>1</v>
      </c>
      <c r="M383">
        <v>664</v>
      </c>
      <c r="N383">
        <v>66.400000000000006</v>
      </c>
      <c r="O383">
        <v>60</v>
      </c>
      <c r="P383">
        <v>664</v>
      </c>
      <c r="Q383">
        <v>657.6</v>
      </c>
      <c r="R383" t="s">
        <v>39</v>
      </c>
      <c r="S383" t="s">
        <v>31</v>
      </c>
      <c r="T383" t="s">
        <v>40</v>
      </c>
      <c r="U383">
        <v>63</v>
      </c>
      <c r="V383">
        <v>3.9</v>
      </c>
      <c r="W383">
        <f>Table2[[#This Row],[Quantity]]*Table2[[#This Row],[Item_Price]]</f>
        <v>664</v>
      </c>
    </row>
    <row r="384" spans="1:23" x14ac:dyDescent="0.25">
      <c r="A384" t="s">
        <v>478</v>
      </c>
      <c r="B384" s="1">
        <v>45685</v>
      </c>
      <c r="C384" t="s">
        <v>23</v>
      </c>
      <c r="D384">
        <v>1</v>
      </c>
      <c r="E384">
        <v>28</v>
      </c>
      <c r="F384" t="s">
        <v>178</v>
      </c>
      <c r="G384" t="s">
        <v>55</v>
      </c>
      <c r="H384" t="s">
        <v>42</v>
      </c>
      <c r="I384" t="s">
        <v>85</v>
      </c>
      <c r="J384" t="s">
        <v>70</v>
      </c>
      <c r="K384" t="s">
        <v>45</v>
      </c>
      <c r="L384">
        <v>1</v>
      </c>
      <c r="M384">
        <v>708</v>
      </c>
      <c r="N384">
        <v>141.6</v>
      </c>
      <c r="O384">
        <v>30</v>
      </c>
      <c r="P384">
        <v>708</v>
      </c>
      <c r="Q384">
        <v>596.4</v>
      </c>
      <c r="R384" t="s">
        <v>75</v>
      </c>
      <c r="S384" t="s">
        <v>91</v>
      </c>
      <c r="T384" t="s">
        <v>32</v>
      </c>
      <c r="U384">
        <v>20</v>
      </c>
      <c r="W384">
        <f>Table2[[#This Row],[Quantity]]*Table2[[#This Row],[Item_Price]]</f>
        <v>708</v>
      </c>
    </row>
    <row r="385" spans="1:23" x14ac:dyDescent="0.25">
      <c r="A385" t="s">
        <v>479</v>
      </c>
      <c r="B385" s="1">
        <v>45685</v>
      </c>
      <c r="C385" t="s">
        <v>23</v>
      </c>
      <c r="D385">
        <v>1</v>
      </c>
      <c r="E385">
        <v>28</v>
      </c>
      <c r="F385" t="s">
        <v>178</v>
      </c>
      <c r="G385" t="s">
        <v>55</v>
      </c>
      <c r="H385" t="s">
        <v>108</v>
      </c>
      <c r="I385" t="s">
        <v>97</v>
      </c>
      <c r="J385" t="s">
        <v>44</v>
      </c>
      <c r="K385" t="s">
        <v>38</v>
      </c>
      <c r="L385">
        <v>2</v>
      </c>
      <c r="M385">
        <v>270</v>
      </c>
      <c r="N385">
        <v>27</v>
      </c>
      <c r="O385">
        <v>20</v>
      </c>
      <c r="P385">
        <v>540</v>
      </c>
      <c r="Q385">
        <v>533</v>
      </c>
      <c r="R385" t="s">
        <v>39</v>
      </c>
      <c r="S385" t="s">
        <v>31</v>
      </c>
      <c r="T385" t="s">
        <v>40</v>
      </c>
      <c r="U385">
        <v>19</v>
      </c>
      <c r="V385">
        <v>4.8</v>
      </c>
      <c r="W385">
        <f>Table2[[#This Row],[Quantity]]*Table2[[#This Row],[Item_Price]]</f>
        <v>540</v>
      </c>
    </row>
    <row r="386" spans="1:23" x14ac:dyDescent="0.25">
      <c r="A386" t="s">
        <v>480</v>
      </c>
      <c r="B386" s="1">
        <v>45685</v>
      </c>
      <c r="C386" t="s">
        <v>23</v>
      </c>
      <c r="D386">
        <v>1</v>
      </c>
      <c r="E386">
        <v>28</v>
      </c>
      <c r="F386" t="s">
        <v>178</v>
      </c>
      <c r="G386" t="s">
        <v>64</v>
      </c>
      <c r="H386" t="s">
        <v>35</v>
      </c>
      <c r="I386" t="s">
        <v>69</v>
      </c>
      <c r="J386" t="s">
        <v>70</v>
      </c>
      <c r="K386" t="s">
        <v>38</v>
      </c>
      <c r="L386">
        <v>1</v>
      </c>
      <c r="M386">
        <v>722</v>
      </c>
      <c r="N386">
        <v>108.3</v>
      </c>
      <c r="O386">
        <v>20</v>
      </c>
      <c r="P386">
        <v>722</v>
      </c>
      <c r="Q386">
        <v>633.70000000000005</v>
      </c>
      <c r="R386" t="s">
        <v>112</v>
      </c>
      <c r="S386" t="s">
        <v>31</v>
      </c>
      <c r="T386" t="s">
        <v>32</v>
      </c>
      <c r="U386">
        <v>24</v>
      </c>
      <c r="V386">
        <v>3.7</v>
      </c>
      <c r="W386">
        <f>Table2[[#This Row],[Quantity]]*Table2[[#This Row],[Item_Price]]</f>
        <v>722</v>
      </c>
    </row>
    <row r="387" spans="1:23" x14ac:dyDescent="0.25">
      <c r="A387" t="s">
        <v>481</v>
      </c>
      <c r="B387" s="1">
        <v>45685</v>
      </c>
      <c r="C387" t="s">
        <v>23</v>
      </c>
      <c r="D387">
        <v>1</v>
      </c>
      <c r="E387">
        <v>28</v>
      </c>
      <c r="F387" t="s">
        <v>178</v>
      </c>
      <c r="G387" t="s">
        <v>34</v>
      </c>
      <c r="H387" t="s">
        <v>135</v>
      </c>
      <c r="I387" t="s">
        <v>103</v>
      </c>
      <c r="J387" t="s">
        <v>70</v>
      </c>
      <c r="K387" t="s">
        <v>38</v>
      </c>
      <c r="L387">
        <v>1</v>
      </c>
      <c r="M387">
        <v>655</v>
      </c>
      <c r="N387">
        <v>65.5</v>
      </c>
      <c r="O387">
        <v>30</v>
      </c>
      <c r="P387">
        <v>655</v>
      </c>
      <c r="Q387">
        <v>619.5</v>
      </c>
      <c r="R387" t="s">
        <v>39</v>
      </c>
      <c r="S387" t="s">
        <v>31</v>
      </c>
      <c r="T387" t="s">
        <v>40</v>
      </c>
      <c r="U387">
        <v>20</v>
      </c>
      <c r="V387">
        <v>3.8</v>
      </c>
      <c r="W387">
        <f>Table2[[#This Row],[Quantity]]*Table2[[#This Row],[Item_Price]]</f>
        <v>655</v>
      </c>
    </row>
    <row r="388" spans="1:23" x14ac:dyDescent="0.25">
      <c r="A388" t="s">
        <v>482</v>
      </c>
      <c r="B388" s="1">
        <v>45686</v>
      </c>
      <c r="C388" t="s">
        <v>23</v>
      </c>
      <c r="D388">
        <v>1</v>
      </c>
      <c r="E388">
        <v>29</v>
      </c>
      <c r="F388" t="s">
        <v>24</v>
      </c>
      <c r="G388" t="s">
        <v>64</v>
      </c>
      <c r="H388" t="s">
        <v>60</v>
      </c>
      <c r="I388" t="s">
        <v>97</v>
      </c>
      <c r="J388" t="s">
        <v>28</v>
      </c>
      <c r="K388" t="s">
        <v>38</v>
      </c>
      <c r="L388">
        <v>1</v>
      </c>
      <c r="M388">
        <v>640</v>
      </c>
      <c r="N388">
        <v>0</v>
      </c>
      <c r="O388">
        <v>30</v>
      </c>
      <c r="P388">
        <v>640</v>
      </c>
      <c r="Q388">
        <v>670</v>
      </c>
      <c r="R388" t="s">
        <v>98</v>
      </c>
      <c r="S388" t="s">
        <v>31</v>
      </c>
      <c r="T388" t="s">
        <v>40</v>
      </c>
      <c r="U388">
        <v>67</v>
      </c>
      <c r="V388">
        <v>3.4</v>
      </c>
      <c r="W388">
        <f>Table2[[#This Row],[Quantity]]*Table2[[#This Row],[Item_Price]]</f>
        <v>640</v>
      </c>
    </row>
    <row r="389" spans="1:23" x14ac:dyDescent="0.25">
      <c r="A389" t="s">
        <v>483</v>
      </c>
      <c r="B389" s="1">
        <v>45686</v>
      </c>
      <c r="C389" t="s">
        <v>23</v>
      </c>
      <c r="D389">
        <v>1</v>
      </c>
      <c r="E389">
        <v>29</v>
      </c>
      <c r="F389" t="s">
        <v>24</v>
      </c>
      <c r="G389" t="s">
        <v>115</v>
      </c>
      <c r="H389" t="s">
        <v>35</v>
      </c>
      <c r="I389" t="s">
        <v>69</v>
      </c>
      <c r="J389" t="s">
        <v>50</v>
      </c>
      <c r="K389" t="s">
        <v>38</v>
      </c>
      <c r="L389">
        <v>1</v>
      </c>
      <c r="M389">
        <v>729</v>
      </c>
      <c r="N389">
        <v>182.25</v>
      </c>
      <c r="O389">
        <v>50</v>
      </c>
      <c r="P389">
        <v>729</v>
      </c>
      <c r="Q389">
        <v>596.75</v>
      </c>
      <c r="R389" t="s">
        <v>112</v>
      </c>
      <c r="S389" t="s">
        <v>31</v>
      </c>
      <c r="T389" t="s">
        <v>32</v>
      </c>
      <c r="U389">
        <v>65</v>
      </c>
      <c r="V389">
        <v>3.4</v>
      </c>
      <c r="W389">
        <f>Table2[[#This Row],[Quantity]]*Table2[[#This Row],[Item_Price]]</f>
        <v>729</v>
      </c>
    </row>
    <row r="390" spans="1:23" x14ac:dyDescent="0.25">
      <c r="A390" t="s">
        <v>484</v>
      </c>
      <c r="B390" s="1">
        <v>45686</v>
      </c>
      <c r="C390" t="s">
        <v>23</v>
      </c>
      <c r="D390">
        <v>1</v>
      </c>
      <c r="E390">
        <v>29</v>
      </c>
      <c r="F390" t="s">
        <v>24</v>
      </c>
      <c r="G390" t="s">
        <v>64</v>
      </c>
      <c r="H390" t="s">
        <v>68</v>
      </c>
      <c r="I390" t="s">
        <v>85</v>
      </c>
      <c r="J390" t="s">
        <v>28</v>
      </c>
      <c r="K390" t="s">
        <v>38</v>
      </c>
      <c r="L390">
        <v>2</v>
      </c>
      <c r="M390">
        <v>704</v>
      </c>
      <c r="N390">
        <v>105.6</v>
      </c>
      <c r="O390">
        <v>0</v>
      </c>
      <c r="P390">
        <v>1408</v>
      </c>
      <c r="Q390">
        <v>1302.4000000000001</v>
      </c>
      <c r="R390" t="s">
        <v>30</v>
      </c>
      <c r="S390" t="s">
        <v>31</v>
      </c>
      <c r="T390" t="s">
        <v>40</v>
      </c>
      <c r="U390">
        <v>53</v>
      </c>
      <c r="V390">
        <v>3.4</v>
      </c>
      <c r="W390">
        <f>Table2[[#This Row],[Quantity]]*Table2[[#This Row],[Item_Price]]</f>
        <v>1408</v>
      </c>
    </row>
    <row r="391" spans="1:23" x14ac:dyDescent="0.25">
      <c r="A391" t="s">
        <v>485</v>
      </c>
      <c r="B391" s="1">
        <v>45686</v>
      </c>
      <c r="C391" t="s">
        <v>23</v>
      </c>
      <c r="D391">
        <v>1</v>
      </c>
      <c r="E391">
        <v>29</v>
      </c>
      <c r="F391" t="s">
        <v>24</v>
      </c>
      <c r="G391" t="s">
        <v>80</v>
      </c>
      <c r="H391" t="s">
        <v>105</v>
      </c>
      <c r="I391" t="s">
        <v>69</v>
      </c>
      <c r="J391" t="s">
        <v>50</v>
      </c>
      <c r="K391" t="s">
        <v>38</v>
      </c>
      <c r="L391">
        <v>2</v>
      </c>
      <c r="M391">
        <v>176</v>
      </c>
      <c r="N391">
        <v>17.600000000000001</v>
      </c>
      <c r="O391">
        <v>50</v>
      </c>
      <c r="P391">
        <v>352</v>
      </c>
      <c r="Q391">
        <v>384.4</v>
      </c>
      <c r="R391" t="s">
        <v>39</v>
      </c>
      <c r="S391" t="s">
        <v>110</v>
      </c>
      <c r="T391" t="s">
        <v>40</v>
      </c>
      <c r="U391">
        <v>41</v>
      </c>
      <c r="W391">
        <f>Table2[[#This Row],[Quantity]]*Table2[[#This Row],[Item_Price]]</f>
        <v>352</v>
      </c>
    </row>
    <row r="392" spans="1:23" x14ac:dyDescent="0.25">
      <c r="A392" t="s">
        <v>486</v>
      </c>
      <c r="B392" s="1">
        <v>45686</v>
      </c>
      <c r="C392" t="s">
        <v>23</v>
      </c>
      <c r="D392">
        <v>1</v>
      </c>
      <c r="E392">
        <v>29</v>
      </c>
      <c r="F392" t="s">
        <v>24</v>
      </c>
      <c r="G392" t="s">
        <v>84</v>
      </c>
      <c r="H392" t="s">
        <v>60</v>
      </c>
      <c r="I392" t="s">
        <v>85</v>
      </c>
      <c r="J392" t="s">
        <v>37</v>
      </c>
      <c r="K392" t="s">
        <v>38</v>
      </c>
      <c r="L392">
        <v>3</v>
      </c>
      <c r="M392">
        <v>844</v>
      </c>
      <c r="N392">
        <v>211</v>
      </c>
      <c r="O392">
        <v>0</v>
      </c>
      <c r="P392">
        <v>2532</v>
      </c>
      <c r="Q392">
        <v>2321</v>
      </c>
      <c r="R392" t="s">
        <v>30</v>
      </c>
      <c r="S392" t="s">
        <v>91</v>
      </c>
      <c r="T392" t="s">
        <v>32</v>
      </c>
      <c r="U392">
        <v>56</v>
      </c>
      <c r="W392">
        <f>Table2[[#This Row],[Quantity]]*Table2[[#This Row],[Item_Price]]</f>
        <v>2532</v>
      </c>
    </row>
    <row r="393" spans="1:23" x14ac:dyDescent="0.25">
      <c r="A393" t="s">
        <v>487</v>
      </c>
      <c r="B393" s="1">
        <v>45686</v>
      </c>
      <c r="C393" t="s">
        <v>23</v>
      </c>
      <c r="D393">
        <v>1</v>
      </c>
      <c r="E393">
        <v>29</v>
      </c>
      <c r="F393" t="s">
        <v>24</v>
      </c>
      <c r="G393" t="s">
        <v>90</v>
      </c>
      <c r="H393" t="s">
        <v>108</v>
      </c>
      <c r="I393" t="s">
        <v>27</v>
      </c>
      <c r="J393" t="s">
        <v>123</v>
      </c>
      <c r="K393" t="s">
        <v>38</v>
      </c>
      <c r="L393">
        <v>1</v>
      </c>
      <c r="M393">
        <v>872</v>
      </c>
      <c r="N393">
        <v>87.2</v>
      </c>
      <c r="O393">
        <v>60</v>
      </c>
      <c r="P393">
        <v>872</v>
      </c>
      <c r="Q393">
        <v>844.8</v>
      </c>
      <c r="R393" t="s">
        <v>98</v>
      </c>
      <c r="S393" t="s">
        <v>31</v>
      </c>
      <c r="T393" t="s">
        <v>32</v>
      </c>
      <c r="U393">
        <v>37</v>
      </c>
      <c r="V393">
        <v>4.3</v>
      </c>
      <c r="W393">
        <f>Table2[[#This Row],[Quantity]]*Table2[[#This Row],[Item_Price]]</f>
        <v>872</v>
      </c>
    </row>
    <row r="394" spans="1:23" x14ac:dyDescent="0.25">
      <c r="A394" t="s">
        <v>488</v>
      </c>
      <c r="B394" s="1">
        <v>45686</v>
      </c>
      <c r="C394" t="s">
        <v>23</v>
      </c>
      <c r="D394">
        <v>1</v>
      </c>
      <c r="E394">
        <v>29</v>
      </c>
      <c r="F394" t="s">
        <v>24</v>
      </c>
      <c r="G394" t="s">
        <v>34</v>
      </c>
      <c r="H394" t="s">
        <v>60</v>
      </c>
      <c r="I394" t="s">
        <v>103</v>
      </c>
      <c r="J394" t="s">
        <v>82</v>
      </c>
      <c r="K394" t="s">
        <v>29</v>
      </c>
      <c r="L394">
        <v>1</v>
      </c>
      <c r="M394">
        <v>251</v>
      </c>
      <c r="N394">
        <v>50.2</v>
      </c>
      <c r="O394">
        <v>40</v>
      </c>
      <c r="P394">
        <v>251</v>
      </c>
      <c r="Q394">
        <v>240.8</v>
      </c>
      <c r="R394" t="s">
        <v>30</v>
      </c>
      <c r="S394" t="s">
        <v>31</v>
      </c>
      <c r="T394" t="s">
        <v>32</v>
      </c>
      <c r="U394">
        <v>20</v>
      </c>
      <c r="V394">
        <v>4.3</v>
      </c>
      <c r="W394">
        <f>Table2[[#This Row],[Quantity]]*Table2[[#This Row],[Item_Price]]</f>
        <v>251</v>
      </c>
    </row>
    <row r="395" spans="1:23" x14ac:dyDescent="0.25">
      <c r="A395" t="s">
        <v>489</v>
      </c>
      <c r="B395" s="1">
        <v>45686</v>
      </c>
      <c r="C395" t="s">
        <v>23</v>
      </c>
      <c r="D395">
        <v>1</v>
      </c>
      <c r="E395">
        <v>29</v>
      </c>
      <c r="F395" t="s">
        <v>24</v>
      </c>
      <c r="G395" t="s">
        <v>55</v>
      </c>
      <c r="H395" t="s">
        <v>42</v>
      </c>
      <c r="I395" t="s">
        <v>43</v>
      </c>
      <c r="J395" t="s">
        <v>119</v>
      </c>
      <c r="K395" t="s">
        <v>38</v>
      </c>
      <c r="L395">
        <v>2</v>
      </c>
      <c r="M395">
        <v>157</v>
      </c>
      <c r="N395">
        <v>31.4</v>
      </c>
      <c r="O395">
        <v>30</v>
      </c>
      <c r="P395">
        <v>314</v>
      </c>
      <c r="Q395">
        <v>312.60000000000002</v>
      </c>
      <c r="R395" t="s">
        <v>39</v>
      </c>
      <c r="S395" t="s">
        <v>91</v>
      </c>
      <c r="T395" t="s">
        <v>40</v>
      </c>
      <c r="U395">
        <v>38</v>
      </c>
      <c r="W395">
        <f>Table2[[#This Row],[Quantity]]*Table2[[#This Row],[Item_Price]]</f>
        <v>314</v>
      </c>
    </row>
    <row r="396" spans="1:23" x14ac:dyDescent="0.25">
      <c r="A396" t="s">
        <v>490</v>
      </c>
      <c r="B396" s="1">
        <v>45686</v>
      </c>
      <c r="C396" t="s">
        <v>23</v>
      </c>
      <c r="D396">
        <v>1</v>
      </c>
      <c r="E396">
        <v>29</v>
      </c>
      <c r="F396" t="s">
        <v>24</v>
      </c>
      <c r="G396" t="s">
        <v>55</v>
      </c>
      <c r="H396" t="s">
        <v>56</v>
      </c>
      <c r="I396" t="s">
        <v>69</v>
      </c>
      <c r="J396" t="s">
        <v>94</v>
      </c>
      <c r="K396" t="s">
        <v>38</v>
      </c>
      <c r="L396">
        <v>2</v>
      </c>
      <c r="M396">
        <v>305</v>
      </c>
      <c r="N396">
        <v>15.25</v>
      </c>
      <c r="O396">
        <v>30</v>
      </c>
      <c r="P396">
        <v>610</v>
      </c>
      <c r="Q396">
        <v>624.75</v>
      </c>
      <c r="R396" t="s">
        <v>30</v>
      </c>
      <c r="S396" t="s">
        <v>31</v>
      </c>
      <c r="T396" t="s">
        <v>32</v>
      </c>
      <c r="U396">
        <v>29</v>
      </c>
      <c r="V396">
        <v>3.9</v>
      </c>
      <c r="W396">
        <f>Table2[[#This Row],[Quantity]]*Table2[[#This Row],[Item_Price]]</f>
        <v>610</v>
      </c>
    </row>
    <row r="397" spans="1:23" x14ac:dyDescent="0.25">
      <c r="A397" t="s">
        <v>491</v>
      </c>
      <c r="B397" s="1">
        <v>45686</v>
      </c>
      <c r="C397" t="s">
        <v>23</v>
      </c>
      <c r="D397">
        <v>1</v>
      </c>
      <c r="E397">
        <v>29</v>
      </c>
      <c r="F397" t="s">
        <v>24</v>
      </c>
      <c r="G397" t="s">
        <v>80</v>
      </c>
      <c r="H397" t="s">
        <v>105</v>
      </c>
      <c r="I397" t="s">
        <v>57</v>
      </c>
      <c r="J397" t="s">
        <v>74</v>
      </c>
      <c r="K397" t="s">
        <v>45</v>
      </c>
      <c r="L397">
        <v>3</v>
      </c>
      <c r="M397">
        <v>709</v>
      </c>
      <c r="N397">
        <v>0</v>
      </c>
      <c r="O397">
        <v>60</v>
      </c>
      <c r="P397">
        <v>2127</v>
      </c>
      <c r="Q397">
        <v>2187</v>
      </c>
      <c r="R397" t="s">
        <v>39</v>
      </c>
      <c r="S397" t="s">
        <v>91</v>
      </c>
      <c r="T397" t="s">
        <v>40</v>
      </c>
      <c r="U397">
        <v>34</v>
      </c>
      <c r="W397">
        <f>Table2[[#This Row],[Quantity]]*Table2[[#This Row],[Item_Price]]</f>
        <v>2127</v>
      </c>
    </row>
    <row r="398" spans="1:23" x14ac:dyDescent="0.25">
      <c r="A398" t="s">
        <v>492</v>
      </c>
      <c r="B398" s="1">
        <v>45686</v>
      </c>
      <c r="C398" t="s">
        <v>23</v>
      </c>
      <c r="D398">
        <v>1</v>
      </c>
      <c r="E398">
        <v>29</v>
      </c>
      <c r="F398" t="s">
        <v>24</v>
      </c>
      <c r="G398" t="s">
        <v>34</v>
      </c>
      <c r="H398" t="s">
        <v>139</v>
      </c>
      <c r="I398" t="s">
        <v>97</v>
      </c>
      <c r="J398" t="s">
        <v>123</v>
      </c>
      <c r="K398" t="s">
        <v>45</v>
      </c>
      <c r="L398">
        <v>1</v>
      </c>
      <c r="M398">
        <v>403</v>
      </c>
      <c r="N398">
        <v>80.599999999999994</v>
      </c>
      <c r="O398">
        <v>30</v>
      </c>
      <c r="P398">
        <v>403</v>
      </c>
      <c r="Q398">
        <v>352.4</v>
      </c>
      <c r="R398" t="s">
        <v>98</v>
      </c>
      <c r="S398" t="s">
        <v>31</v>
      </c>
      <c r="T398" t="s">
        <v>32</v>
      </c>
      <c r="U398">
        <v>61</v>
      </c>
      <c r="V398">
        <v>4</v>
      </c>
      <c r="W398">
        <f>Table2[[#This Row],[Quantity]]*Table2[[#This Row],[Item_Price]]</f>
        <v>403</v>
      </c>
    </row>
    <row r="399" spans="1:23" x14ac:dyDescent="0.25">
      <c r="A399" t="s">
        <v>493</v>
      </c>
      <c r="B399" s="1">
        <v>45686</v>
      </c>
      <c r="C399" t="s">
        <v>23</v>
      </c>
      <c r="D399">
        <v>1</v>
      </c>
      <c r="E399">
        <v>29</v>
      </c>
      <c r="F399" t="s">
        <v>24</v>
      </c>
      <c r="G399" t="s">
        <v>73</v>
      </c>
      <c r="H399" t="s">
        <v>42</v>
      </c>
      <c r="I399" t="s">
        <v>85</v>
      </c>
      <c r="J399" t="s">
        <v>119</v>
      </c>
      <c r="K399" t="s">
        <v>45</v>
      </c>
      <c r="L399">
        <v>3</v>
      </c>
      <c r="M399">
        <v>760</v>
      </c>
      <c r="N399">
        <v>114</v>
      </c>
      <c r="O399">
        <v>50</v>
      </c>
      <c r="P399">
        <v>2280</v>
      </c>
      <c r="Q399">
        <v>2216</v>
      </c>
      <c r="R399" t="s">
        <v>39</v>
      </c>
      <c r="S399" t="s">
        <v>31</v>
      </c>
      <c r="T399" t="s">
        <v>40</v>
      </c>
      <c r="U399">
        <v>39</v>
      </c>
      <c r="V399">
        <v>5</v>
      </c>
      <c r="W399">
        <f>Table2[[#This Row],[Quantity]]*Table2[[#This Row],[Item_Price]]</f>
        <v>2280</v>
      </c>
    </row>
    <row r="400" spans="1:23" x14ac:dyDescent="0.25">
      <c r="A400" t="s">
        <v>494</v>
      </c>
      <c r="B400" s="1">
        <v>45686</v>
      </c>
      <c r="C400" t="s">
        <v>23</v>
      </c>
      <c r="D400">
        <v>1</v>
      </c>
      <c r="E400">
        <v>29</v>
      </c>
      <c r="F400" t="s">
        <v>24</v>
      </c>
      <c r="G400" t="s">
        <v>80</v>
      </c>
      <c r="H400" t="s">
        <v>56</v>
      </c>
      <c r="I400" t="s">
        <v>36</v>
      </c>
      <c r="J400" t="s">
        <v>62</v>
      </c>
      <c r="K400" t="s">
        <v>38</v>
      </c>
      <c r="L400">
        <v>1</v>
      </c>
      <c r="M400">
        <v>551</v>
      </c>
      <c r="N400">
        <v>55.1</v>
      </c>
      <c r="O400">
        <v>0</v>
      </c>
      <c r="P400">
        <v>551</v>
      </c>
      <c r="Q400">
        <v>495.9</v>
      </c>
      <c r="R400" t="s">
        <v>39</v>
      </c>
      <c r="S400" t="s">
        <v>31</v>
      </c>
      <c r="T400" t="s">
        <v>32</v>
      </c>
      <c r="U400">
        <v>56</v>
      </c>
      <c r="V400">
        <v>5</v>
      </c>
      <c r="W400">
        <f>Table2[[#This Row],[Quantity]]*Table2[[#This Row],[Item_Price]]</f>
        <v>551</v>
      </c>
    </row>
    <row r="401" spans="1:23" x14ac:dyDescent="0.25">
      <c r="A401" t="s">
        <v>495</v>
      </c>
      <c r="B401" s="1">
        <v>45686</v>
      </c>
      <c r="C401" t="s">
        <v>23</v>
      </c>
      <c r="D401">
        <v>1</v>
      </c>
      <c r="E401">
        <v>29</v>
      </c>
      <c r="F401" t="s">
        <v>24</v>
      </c>
      <c r="G401" t="s">
        <v>34</v>
      </c>
      <c r="H401" t="s">
        <v>68</v>
      </c>
      <c r="I401" t="s">
        <v>36</v>
      </c>
      <c r="J401" t="s">
        <v>62</v>
      </c>
      <c r="K401" t="s">
        <v>38</v>
      </c>
      <c r="L401">
        <v>1</v>
      </c>
      <c r="M401">
        <v>223</v>
      </c>
      <c r="N401">
        <v>33.450000000000003</v>
      </c>
      <c r="O401">
        <v>30</v>
      </c>
      <c r="P401">
        <v>223</v>
      </c>
      <c r="Q401">
        <v>219.55</v>
      </c>
      <c r="R401" t="s">
        <v>39</v>
      </c>
      <c r="S401" t="s">
        <v>31</v>
      </c>
      <c r="T401" t="s">
        <v>40</v>
      </c>
      <c r="U401">
        <v>41</v>
      </c>
      <c r="V401">
        <v>3.3</v>
      </c>
      <c r="W401">
        <f>Table2[[#This Row],[Quantity]]*Table2[[#This Row],[Item_Price]]</f>
        <v>223</v>
      </c>
    </row>
    <row r="402" spans="1:23" x14ac:dyDescent="0.25">
      <c r="A402" t="s">
        <v>496</v>
      </c>
      <c r="B402" s="1">
        <v>45686</v>
      </c>
      <c r="C402" t="s">
        <v>23</v>
      </c>
      <c r="D402">
        <v>1</v>
      </c>
      <c r="E402">
        <v>29</v>
      </c>
      <c r="F402" t="s">
        <v>24</v>
      </c>
      <c r="G402" t="s">
        <v>73</v>
      </c>
      <c r="H402" t="s">
        <v>42</v>
      </c>
      <c r="I402" t="s">
        <v>85</v>
      </c>
      <c r="J402" t="s">
        <v>78</v>
      </c>
      <c r="K402" t="s">
        <v>38</v>
      </c>
      <c r="L402">
        <v>2</v>
      </c>
      <c r="M402">
        <v>220</v>
      </c>
      <c r="N402">
        <v>11</v>
      </c>
      <c r="O402">
        <v>40</v>
      </c>
      <c r="P402">
        <v>440</v>
      </c>
      <c r="Q402">
        <v>469</v>
      </c>
      <c r="R402" t="s">
        <v>39</v>
      </c>
      <c r="S402" t="s">
        <v>46</v>
      </c>
      <c r="T402" t="s">
        <v>40</v>
      </c>
      <c r="U402">
        <v>20</v>
      </c>
      <c r="W402">
        <f>Table2[[#This Row],[Quantity]]*Table2[[#This Row],[Item_Price]]</f>
        <v>440</v>
      </c>
    </row>
    <row r="403" spans="1:23" x14ac:dyDescent="0.25">
      <c r="A403" t="s">
        <v>497</v>
      </c>
      <c r="B403" s="1">
        <v>45686</v>
      </c>
      <c r="C403" t="s">
        <v>23</v>
      </c>
      <c r="D403">
        <v>1</v>
      </c>
      <c r="E403">
        <v>29</v>
      </c>
      <c r="F403" t="s">
        <v>24</v>
      </c>
      <c r="G403" t="s">
        <v>64</v>
      </c>
      <c r="H403" t="s">
        <v>42</v>
      </c>
      <c r="I403" t="s">
        <v>43</v>
      </c>
      <c r="J403" t="s">
        <v>44</v>
      </c>
      <c r="K403" t="s">
        <v>45</v>
      </c>
      <c r="L403">
        <v>1</v>
      </c>
      <c r="M403">
        <v>543</v>
      </c>
      <c r="N403">
        <v>108.6</v>
      </c>
      <c r="O403">
        <v>30</v>
      </c>
      <c r="P403">
        <v>543</v>
      </c>
      <c r="Q403">
        <v>464.4</v>
      </c>
      <c r="R403" t="s">
        <v>75</v>
      </c>
      <c r="S403" t="s">
        <v>31</v>
      </c>
      <c r="T403" t="s">
        <v>32</v>
      </c>
      <c r="U403">
        <v>61</v>
      </c>
      <c r="V403">
        <v>3.9</v>
      </c>
      <c r="W403">
        <f>Table2[[#This Row],[Quantity]]*Table2[[#This Row],[Item_Price]]</f>
        <v>543</v>
      </c>
    </row>
    <row r="404" spans="1:23" x14ac:dyDescent="0.25">
      <c r="A404" t="s">
        <v>498</v>
      </c>
      <c r="B404" s="1">
        <v>45687</v>
      </c>
      <c r="C404" t="s">
        <v>23</v>
      </c>
      <c r="D404">
        <v>1</v>
      </c>
      <c r="E404">
        <v>30</v>
      </c>
      <c r="F404" t="s">
        <v>88</v>
      </c>
      <c r="G404" t="s">
        <v>73</v>
      </c>
      <c r="H404" t="s">
        <v>139</v>
      </c>
      <c r="I404" t="s">
        <v>43</v>
      </c>
      <c r="J404" t="s">
        <v>123</v>
      </c>
      <c r="K404" t="s">
        <v>38</v>
      </c>
      <c r="L404">
        <v>2</v>
      </c>
      <c r="M404">
        <v>765</v>
      </c>
      <c r="N404">
        <v>153</v>
      </c>
      <c r="O404">
        <v>50</v>
      </c>
      <c r="P404">
        <v>1530</v>
      </c>
      <c r="Q404">
        <v>1427</v>
      </c>
      <c r="R404" t="s">
        <v>39</v>
      </c>
      <c r="S404" t="s">
        <v>31</v>
      </c>
      <c r="T404" t="s">
        <v>40</v>
      </c>
      <c r="U404">
        <v>50</v>
      </c>
      <c r="V404">
        <v>3.5</v>
      </c>
      <c r="W404">
        <f>Table2[[#This Row],[Quantity]]*Table2[[#This Row],[Item_Price]]</f>
        <v>1530</v>
      </c>
    </row>
    <row r="405" spans="1:23" x14ac:dyDescent="0.25">
      <c r="A405" t="s">
        <v>499</v>
      </c>
      <c r="B405" s="1">
        <v>45687</v>
      </c>
      <c r="C405" t="s">
        <v>23</v>
      </c>
      <c r="D405">
        <v>1</v>
      </c>
      <c r="E405">
        <v>30</v>
      </c>
      <c r="F405" t="s">
        <v>88</v>
      </c>
      <c r="G405" t="s">
        <v>73</v>
      </c>
      <c r="H405" t="s">
        <v>139</v>
      </c>
      <c r="I405" t="s">
        <v>43</v>
      </c>
      <c r="J405" t="s">
        <v>66</v>
      </c>
      <c r="K405" t="s">
        <v>38</v>
      </c>
      <c r="L405">
        <v>1</v>
      </c>
      <c r="M405">
        <v>551</v>
      </c>
      <c r="N405">
        <v>55.1</v>
      </c>
      <c r="O405">
        <v>30</v>
      </c>
      <c r="P405">
        <v>551</v>
      </c>
      <c r="Q405">
        <v>525.9</v>
      </c>
      <c r="R405" t="s">
        <v>112</v>
      </c>
      <c r="S405" t="s">
        <v>31</v>
      </c>
      <c r="T405" t="s">
        <v>40</v>
      </c>
      <c r="U405">
        <v>62</v>
      </c>
      <c r="V405">
        <v>4.2</v>
      </c>
      <c r="W405">
        <f>Table2[[#This Row],[Quantity]]*Table2[[#This Row],[Item_Price]]</f>
        <v>551</v>
      </c>
    </row>
    <row r="406" spans="1:23" x14ac:dyDescent="0.25">
      <c r="A406" t="s">
        <v>500</v>
      </c>
      <c r="B406" s="1">
        <v>45687</v>
      </c>
      <c r="C406" t="s">
        <v>23</v>
      </c>
      <c r="D406">
        <v>1</v>
      </c>
      <c r="E406">
        <v>30</v>
      </c>
      <c r="F406" t="s">
        <v>88</v>
      </c>
      <c r="G406" t="s">
        <v>64</v>
      </c>
      <c r="H406" t="s">
        <v>60</v>
      </c>
      <c r="I406" t="s">
        <v>85</v>
      </c>
      <c r="J406" t="s">
        <v>70</v>
      </c>
      <c r="K406" t="s">
        <v>38</v>
      </c>
      <c r="L406">
        <v>1</v>
      </c>
      <c r="M406">
        <v>163</v>
      </c>
      <c r="N406">
        <v>24.45</v>
      </c>
      <c r="O406">
        <v>40</v>
      </c>
      <c r="P406">
        <v>163</v>
      </c>
      <c r="Q406">
        <v>178.55</v>
      </c>
      <c r="R406" t="s">
        <v>30</v>
      </c>
      <c r="S406" t="s">
        <v>31</v>
      </c>
      <c r="T406" t="s">
        <v>40</v>
      </c>
      <c r="U406">
        <v>23</v>
      </c>
      <c r="V406">
        <v>3.6</v>
      </c>
      <c r="W406">
        <f>Table2[[#This Row],[Quantity]]*Table2[[#This Row],[Item_Price]]</f>
        <v>163</v>
      </c>
    </row>
    <row r="407" spans="1:23" x14ac:dyDescent="0.25">
      <c r="A407" t="s">
        <v>501</v>
      </c>
      <c r="B407" s="1">
        <v>45687</v>
      </c>
      <c r="C407" t="s">
        <v>23</v>
      </c>
      <c r="D407">
        <v>1</v>
      </c>
      <c r="E407">
        <v>30</v>
      </c>
      <c r="F407" t="s">
        <v>88</v>
      </c>
      <c r="G407" t="s">
        <v>34</v>
      </c>
      <c r="H407" t="s">
        <v>68</v>
      </c>
      <c r="I407" t="s">
        <v>97</v>
      </c>
      <c r="J407" t="s">
        <v>74</v>
      </c>
      <c r="K407" t="s">
        <v>38</v>
      </c>
      <c r="L407">
        <v>1</v>
      </c>
      <c r="M407">
        <v>198</v>
      </c>
      <c r="N407">
        <v>0</v>
      </c>
      <c r="O407">
        <v>30</v>
      </c>
      <c r="P407">
        <v>198</v>
      </c>
      <c r="Q407">
        <v>228</v>
      </c>
      <c r="R407" t="s">
        <v>75</v>
      </c>
      <c r="S407" t="s">
        <v>31</v>
      </c>
      <c r="T407" t="s">
        <v>40</v>
      </c>
      <c r="U407">
        <v>62</v>
      </c>
      <c r="V407">
        <v>4</v>
      </c>
      <c r="W407">
        <f>Table2[[#This Row],[Quantity]]*Table2[[#This Row],[Item_Price]]</f>
        <v>198</v>
      </c>
    </row>
    <row r="408" spans="1:23" x14ac:dyDescent="0.25">
      <c r="A408" t="s">
        <v>502</v>
      </c>
      <c r="B408" s="1">
        <v>45687</v>
      </c>
      <c r="C408" t="s">
        <v>23</v>
      </c>
      <c r="D408">
        <v>1</v>
      </c>
      <c r="E408">
        <v>30</v>
      </c>
      <c r="F408" t="s">
        <v>88</v>
      </c>
      <c r="G408" t="s">
        <v>25</v>
      </c>
      <c r="H408" t="s">
        <v>139</v>
      </c>
      <c r="I408" t="s">
        <v>57</v>
      </c>
      <c r="J408" t="s">
        <v>74</v>
      </c>
      <c r="K408" t="s">
        <v>38</v>
      </c>
      <c r="L408">
        <v>1</v>
      </c>
      <c r="M408">
        <v>248</v>
      </c>
      <c r="N408">
        <v>37.200000000000003</v>
      </c>
      <c r="O408">
        <v>70</v>
      </c>
      <c r="P408">
        <v>248</v>
      </c>
      <c r="Q408">
        <v>280.8</v>
      </c>
      <c r="R408" t="s">
        <v>30</v>
      </c>
      <c r="S408" t="s">
        <v>31</v>
      </c>
      <c r="T408" t="s">
        <v>40</v>
      </c>
      <c r="U408">
        <v>66</v>
      </c>
      <c r="V408">
        <v>3.8</v>
      </c>
      <c r="W408">
        <f>Table2[[#This Row],[Quantity]]*Table2[[#This Row],[Item_Price]]</f>
        <v>248</v>
      </c>
    </row>
    <row r="409" spans="1:23" x14ac:dyDescent="0.25">
      <c r="A409" t="s">
        <v>503</v>
      </c>
      <c r="B409" s="1">
        <v>45687</v>
      </c>
      <c r="C409" t="s">
        <v>23</v>
      </c>
      <c r="D409">
        <v>1</v>
      </c>
      <c r="E409">
        <v>30</v>
      </c>
      <c r="F409" t="s">
        <v>88</v>
      </c>
      <c r="G409" t="s">
        <v>90</v>
      </c>
      <c r="H409" t="s">
        <v>42</v>
      </c>
      <c r="I409" t="s">
        <v>27</v>
      </c>
      <c r="J409" t="s">
        <v>50</v>
      </c>
      <c r="K409" t="s">
        <v>45</v>
      </c>
      <c r="L409">
        <v>1</v>
      </c>
      <c r="M409">
        <v>160</v>
      </c>
      <c r="N409">
        <v>16</v>
      </c>
      <c r="O409">
        <v>20</v>
      </c>
      <c r="P409">
        <v>160</v>
      </c>
      <c r="Q409">
        <v>164</v>
      </c>
      <c r="R409" t="s">
        <v>75</v>
      </c>
      <c r="S409" t="s">
        <v>31</v>
      </c>
      <c r="T409" t="s">
        <v>32</v>
      </c>
      <c r="U409">
        <v>20</v>
      </c>
      <c r="V409">
        <v>4.5999999999999996</v>
      </c>
      <c r="W409">
        <f>Table2[[#This Row],[Quantity]]*Table2[[#This Row],[Item_Price]]</f>
        <v>160</v>
      </c>
    </row>
    <row r="410" spans="1:23" x14ac:dyDescent="0.25">
      <c r="A410" t="s">
        <v>504</v>
      </c>
      <c r="B410" s="1">
        <v>45687</v>
      </c>
      <c r="C410" t="s">
        <v>23</v>
      </c>
      <c r="D410">
        <v>1</v>
      </c>
      <c r="E410">
        <v>30</v>
      </c>
      <c r="F410" t="s">
        <v>88</v>
      </c>
      <c r="G410" t="s">
        <v>55</v>
      </c>
      <c r="H410" t="s">
        <v>108</v>
      </c>
      <c r="I410" t="s">
        <v>69</v>
      </c>
      <c r="J410" t="s">
        <v>53</v>
      </c>
      <c r="K410" t="s">
        <v>38</v>
      </c>
      <c r="L410">
        <v>2</v>
      </c>
      <c r="M410">
        <v>881</v>
      </c>
      <c r="N410">
        <v>132.15</v>
      </c>
      <c r="O410">
        <v>30</v>
      </c>
      <c r="P410">
        <v>1762</v>
      </c>
      <c r="Q410">
        <v>1659.85</v>
      </c>
      <c r="R410" t="s">
        <v>39</v>
      </c>
      <c r="S410" t="s">
        <v>31</v>
      </c>
      <c r="T410" t="s">
        <v>40</v>
      </c>
      <c r="U410">
        <v>52</v>
      </c>
      <c r="V410">
        <v>3.5</v>
      </c>
      <c r="W410">
        <f>Table2[[#This Row],[Quantity]]*Table2[[#This Row],[Item_Price]]</f>
        <v>1762</v>
      </c>
    </row>
    <row r="411" spans="1:23" x14ac:dyDescent="0.25">
      <c r="A411" t="s">
        <v>505</v>
      </c>
      <c r="B411" s="1">
        <v>45687</v>
      </c>
      <c r="C411" t="s">
        <v>23</v>
      </c>
      <c r="D411">
        <v>1</v>
      </c>
      <c r="E411">
        <v>30</v>
      </c>
      <c r="F411" t="s">
        <v>88</v>
      </c>
      <c r="G411" t="s">
        <v>64</v>
      </c>
      <c r="H411" t="s">
        <v>65</v>
      </c>
      <c r="I411" t="s">
        <v>43</v>
      </c>
      <c r="J411" t="s">
        <v>28</v>
      </c>
      <c r="K411" t="s">
        <v>38</v>
      </c>
      <c r="L411">
        <v>2</v>
      </c>
      <c r="M411">
        <v>540</v>
      </c>
      <c r="N411">
        <v>54</v>
      </c>
      <c r="O411">
        <v>0</v>
      </c>
      <c r="P411">
        <v>1080</v>
      </c>
      <c r="Q411">
        <v>1026</v>
      </c>
      <c r="R411" t="s">
        <v>39</v>
      </c>
      <c r="S411" t="s">
        <v>46</v>
      </c>
      <c r="T411" t="s">
        <v>40</v>
      </c>
      <c r="U411">
        <v>29</v>
      </c>
      <c r="W411">
        <f>Table2[[#This Row],[Quantity]]*Table2[[#This Row],[Item_Price]]</f>
        <v>1080</v>
      </c>
    </row>
    <row r="412" spans="1:23" x14ac:dyDescent="0.25">
      <c r="A412" t="s">
        <v>506</v>
      </c>
      <c r="B412" s="1">
        <v>45687</v>
      </c>
      <c r="C412" t="s">
        <v>23</v>
      </c>
      <c r="D412">
        <v>1</v>
      </c>
      <c r="E412">
        <v>30</v>
      </c>
      <c r="F412" t="s">
        <v>88</v>
      </c>
      <c r="G412" t="s">
        <v>84</v>
      </c>
      <c r="H412" t="s">
        <v>52</v>
      </c>
      <c r="I412" t="s">
        <v>49</v>
      </c>
      <c r="J412" t="s">
        <v>78</v>
      </c>
      <c r="K412" t="s">
        <v>38</v>
      </c>
      <c r="L412">
        <v>3</v>
      </c>
      <c r="M412">
        <v>613</v>
      </c>
      <c r="N412">
        <v>61.3</v>
      </c>
      <c r="O412">
        <v>30</v>
      </c>
      <c r="P412">
        <v>1839</v>
      </c>
      <c r="Q412">
        <v>1807.7</v>
      </c>
      <c r="R412" t="s">
        <v>75</v>
      </c>
      <c r="S412" t="s">
        <v>31</v>
      </c>
      <c r="T412" t="s">
        <v>32</v>
      </c>
      <c r="U412">
        <v>46</v>
      </c>
      <c r="V412">
        <v>3.3</v>
      </c>
      <c r="W412">
        <f>Table2[[#This Row],[Quantity]]*Table2[[#This Row],[Item_Price]]</f>
        <v>1839</v>
      </c>
    </row>
    <row r="413" spans="1:23" x14ac:dyDescent="0.25">
      <c r="A413" t="s">
        <v>507</v>
      </c>
      <c r="B413" s="1">
        <v>45687</v>
      </c>
      <c r="C413" t="s">
        <v>23</v>
      </c>
      <c r="D413">
        <v>1</v>
      </c>
      <c r="E413">
        <v>30</v>
      </c>
      <c r="F413" t="s">
        <v>88</v>
      </c>
      <c r="G413" t="s">
        <v>115</v>
      </c>
      <c r="H413" t="s">
        <v>108</v>
      </c>
      <c r="I413" t="s">
        <v>69</v>
      </c>
      <c r="J413" t="s">
        <v>66</v>
      </c>
      <c r="K413" t="s">
        <v>38</v>
      </c>
      <c r="L413">
        <v>1</v>
      </c>
      <c r="M413">
        <v>651</v>
      </c>
      <c r="N413">
        <v>32.549999999999997</v>
      </c>
      <c r="O413">
        <v>30</v>
      </c>
      <c r="P413">
        <v>651</v>
      </c>
      <c r="Q413">
        <v>648.45000000000005</v>
      </c>
      <c r="R413" t="s">
        <v>112</v>
      </c>
      <c r="S413" t="s">
        <v>110</v>
      </c>
      <c r="T413" t="s">
        <v>40</v>
      </c>
      <c r="U413">
        <v>48</v>
      </c>
      <c r="W413">
        <f>Table2[[#This Row],[Quantity]]*Table2[[#This Row],[Item_Price]]</f>
        <v>651</v>
      </c>
    </row>
    <row r="414" spans="1:23" x14ac:dyDescent="0.25">
      <c r="A414" t="s">
        <v>508</v>
      </c>
      <c r="B414" s="1">
        <v>45687</v>
      </c>
      <c r="C414" t="s">
        <v>23</v>
      </c>
      <c r="D414">
        <v>1</v>
      </c>
      <c r="E414">
        <v>30</v>
      </c>
      <c r="F414" t="s">
        <v>88</v>
      </c>
      <c r="G414" t="s">
        <v>84</v>
      </c>
      <c r="H414" t="s">
        <v>81</v>
      </c>
      <c r="I414" t="s">
        <v>27</v>
      </c>
      <c r="J414" t="s">
        <v>94</v>
      </c>
      <c r="K414" t="s">
        <v>38</v>
      </c>
      <c r="L414">
        <v>2</v>
      </c>
      <c r="M414">
        <v>349</v>
      </c>
      <c r="N414">
        <v>34.9</v>
      </c>
      <c r="O414">
        <v>50</v>
      </c>
      <c r="P414">
        <v>698</v>
      </c>
      <c r="Q414">
        <v>713.1</v>
      </c>
      <c r="R414" t="s">
        <v>112</v>
      </c>
      <c r="S414" t="s">
        <v>31</v>
      </c>
      <c r="T414" t="s">
        <v>32</v>
      </c>
      <c r="U414">
        <v>50</v>
      </c>
      <c r="V414">
        <v>2.9</v>
      </c>
      <c r="W414">
        <f>Table2[[#This Row],[Quantity]]*Table2[[#This Row],[Item_Price]]</f>
        <v>698</v>
      </c>
    </row>
    <row r="415" spans="1:23" x14ac:dyDescent="0.25">
      <c r="A415" t="s">
        <v>509</v>
      </c>
      <c r="B415" s="1">
        <v>45688</v>
      </c>
      <c r="C415" t="s">
        <v>23</v>
      </c>
      <c r="D415">
        <v>1</v>
      </c>
      <c r="E415">
        <v>31</v>
      </c>
      <c r="F415" t="s">
        <v>114</v>
      </c>
      <c r="G415" t="s">
        <v>115</v>
      </c>
      <c r="H415" t="s">
        <v>60</v>
      </c>
      <c r="I415" t="s">
        <v>69</v>
      </c>
      <c r="J415" t="s">
        <v>62</v>
      </c>
      <c r="K415" t="s">
        <v>38</v>
      </c>
      <c r="L415">
        <v>2</v>
      </c>
      <c r="M415">
        <v>874</v>
      </c>
      <c r="N415">
        <v>87.4</v>
      </c>
      <c r="O415">
        <v>50</v>
      </c>
      <c r="P415">
        <v>1748</v>
      </c>
      <c r="Q415">
        <v>1710.6</v>
      </c>
      <c r="R415" t="s">
        <v>39</v>
      </c>
      <c r="S415" t="s">
        <v>31</v>
      </c>
      <c r="T415" t="s">
        <v>40</v>
      </c>
      <c r="U415">
        <v>34</v>
      </c>
      <c r="V415">
        <v>4.5999999999999996</v>
      </c>
      <c r="W415">
        <f>Table2[[#This Row],[Quantity]]*Table2[[#This Row],[Item_Price]]</f>
        <v>1748</v>
      </c>
    </row>
    <row r="416" spans="1:23" x14ac:dyDescent="0.25">
      <c r="A416" t="s">
        <v>510</v>
      </c>
      <c r="B416" s="1">
        <v>45688</v>
      </c>
      <c r="C416" t="s">
        <v>23</v>
      </c>
      <c r="D416">
        <v>1</v>
      </c>
      <c r="E416">
        <v>31</v>
      </c>
      <c r="F416" t="s">
        <v>114</v>
      </c>
      <c r="G416" t="s">
        <v>80</v>
      </c>
      <c r="H416" t="s">
        <v>135</v>
      </c>
      <c r="I416" t="s">
        <v>97</v>
      </c>
      <c r="J416" t="s">
        <v>74</v>
      </c>
      <c r="K416" t="s">
        <v>38</v>
      </c>
      <c r="L416">
        <v>1</v>
      </c>
      <c r="M416">
        <v>671</v>
      </c>
      <c r="N416">
        <v>67.099999999999994</v>
      </c>
      <c r="O416">
        <v>40</v>
      </c>
      <c r="P416">
        <v>671</v>
      </c>
      <c r="Q416">
        <v>643.9</v>
      </c>
      <c r="R416" t="s">
        <v>112</v>
      </c>
      <c r="S416" t="s">
        <v>31</v>
      </c>
      <c r="T416" t="s">
        <v>40</v>
      </c>
      <c r="U416">
        <v>23</v>
      </c>
      <c r="V416">
        <v>3.8</v>
      </c>
      <c r="W416">
        <f>Table2[[#This Row],[Quantity]]*Table2[[#This Row],[Item_Price]]</f>
        <v>671</v>
      </c>
    </row>
    <row r="417" spans="1:23" x14ac:dyDescent="0.25">
      <c r="A417" t="s">
        <v>511</v>
      </c>
      <c r="B417" s="1">
        <v>45688</v>
      </c>
      <c r="C417" t="s">
        <v>23</v>
      </c>
      <c r="D417">
        <v>1</v>
      </c>
      <c r="E417">
        <v>31</v>
      </c>
      <c r="F417" t="s">
        <v>114</v>
      </c>
      <c r="G417" t="s">
        <v>115</v>
      </c>
      <c r="H417" t="s">
        <v>56</v>
      </c>
      <c r="I417" t="s">
        <v>49</v>
      </c>
      <c r="J417" t="s">
        <v>82</v>
      </c>
      <c r="K417" t="s">
        <v>38</v>
      </c>
      <c r="L417">
        <v>1</v>
      </c>
      <c r="M417">
        <v>738</v>
      </c>
      <c r="N417">
        <v>110.7</v>
      </c>
      <c r="O417">
        <v>30</v>
      </c>
      <c r="P417">
        <v>738</v>
      </c>
      <c r="Q417">
        <v>657.3</v>
      </c>
      <c r="R417" t="s">
        <v>39</v>
      </c>
      <c r="S417" t="s">
        <v>31</v>
      </c>
      <c r="T417" t="s">
        <v>40</v>
      </c>
      <c r="U417">
        <v>61</v>
      </c>
      <c r="V417">
        <v>4.4000000000000004</v>
      </c>
      <c r="W417">
        <f>Table2[[#This Row],[Quantity]]*Table2[[#This Row],[Item_Price]]</f>
        <v>738</v>
      </c>
    </row>
    <row r="418" spans="1:23" x14ac:dyDescent="0.25">
      <c r="A418" t="s">
        <v>512</v>
      </c>
      <c r="B418" s="1">
        <v>45688</v>
      </c>
      <c r="C418" t="s">
        <v>23</v>
      </c>
      <c r="D418">
        <v>1</v>
      </c>
      <c r="E418">
        <v>31</v>
      </c>
      <c r="F418" t="s">
        <v>114</v>
      </c>
      <c r="G418" t="s">
        <v>55</v>
      </c>
      <c r="H418" t="s">
        <v>108</v>
      </c>
      <c r="I418" t="s">
        <v>103</v>
      </c>
      <c r="J418" t="s">
        <v>62</v>
      </c>
      <c r="K418" t="s">
        <v>38</v>
      </c>
      <c r="L418">
        <v>1</v>
      </c>
      <c r="M418">
        <v>632</v>
      </c>
      <c r="N418">
        <v>158</v>
      </c>
      <c r="O418">
        <v>0</v>
      </c>
      <c r="P418">
        <v>632</v>
      </c>
      <c r="Q418">
        <v>474</v>
      </c>
      <c r="R418" t="s">
        <v>112</v>
      </c>
      <c r="S418" t="s">
        <v>31</v>
      </c>
      <c r="T418" t="s">
        <v>40</v>
      </c>
      <c r="U418">
        <v>52</v>
      </c>
      <c r="V418">
        <v>3.7</v>
      </c>
      <c r="W418">
        <f>Table2[[#This Row],[Quantity]]*Table2[[#This Row],[Item_Price]]</f>
        <v>632</v>
      </c>
    </row>
    <row r="419" spans="1:23" x14ac:dyDescent="0.25">
      <c r="A419" t="s">
        <v>513</v>
      </c>
      <c r="B419" s="1">
        <v>45688</v>
      </c>
      <c r="C419" t="s">
        <v>23</v>
      </c>
      <c r="D419">
        <v>1</v>
      </c>
      <c r="E419">
        <v>31</v>
      </c>
      <c r="F419" t="s">
        <v>114</v>
      </c>
      <c r="G419" t="s">
        <v>55</v>
      </c>
      <c r="H419" t="s">
        <v>81</v>
      </c>
      <c r="I419" t="s">
        <v>36</v>
      </c>
      <c r="J419" t="s">
        <v>94</v>
      </c>
      <c r="K419" t="s">
        <v>38</v>
      </c>
      <c r="L419">
        <v>2</v>
      </c>
      <c r="M419">
        <v>701</v>
      </c>
      <c r="N419">
        <v>140.19999999999999</v>
      </c>
      <c r="O419">
        <v>60</v>
      </c>
      <c r="P419">
        <v>1402</v>
      </c>
      <c r="Q419">
        <v>1321.8</v>
      </c>
      <c r="R419" t="s">
        <v>112</v>
      </c>
      <c r="S419" t="s">
        <v>31</v>
      </c>
      <c r="T419" t="s">
        <v>32</v>
      </c>
      <c r="U419">
        <v>43</v>
      </c>
      <c r="V419">
        <v>5</v>
      </c>
      <c r="W419">
        <f>Table2[[#This Row],[Quantity]]*Table2[[#This Row],[Item_Price]]</f>
        <v>1402</v>
      </c>
    </row>
    <row r="420" spans="1:23" x14ac:dyDescent="0.25">
      <c r="A420" t="s">
        <v>514</v>
      </c>
      <c r="B420" s="1">
        <v>45688</v>
      </c>
      <c r="C420" t="s">
        <v>23</v>
      </c>
      <c r="D420">
        <v>1</v>
      </c>
      <c r="E420">
        <v>31</v>
      </c>
      <c r="F420" t="s">
        <v>114</v>
      </c>
      <c r="G420" t="s">
        <v>84</v>
      </c>
      <c r="H420" t="s">
        <v>139</v>
      </c>
      <c r="I420" t="s">
        <v>36</v>
      </c>
      <c r="J420" t="s">
        <v>62</v>
      </c>
      <c r="K420" t="s">
        <v>45</v>
      </c>
      <c r="L420">
        <v>1</v>
      </c>
      <c r="M420">
        <v>396</v>
      </c>
      <c r="N420">
        <v>0</v>
      </c>
      <c r="O420">
        <v>30</v>
      </c>
      <c r="P420">
        <v>396</v>
      </c>
      <c r="Q420">
        <v>426</v>
      </c>
      <c r="R420" t="s">
        <v>30</v>
      </c>
      <c r="S420" t="s">
        <v>31</v>
      </c>
      <c r="T420" t="s">
        <v>40</v>
      </c>
      <c r="U420">
        <v>49</v>
      </c>
      <c r="V420">
        <v>4</v>
      </c>
      <c r="W420">
        <f>Table2[[#This Row],[Quantity]]*Table2[[#This Row],[Item_Price]]</f>
        <v>396</v>
      </c>
    </row>
    <row r="421" spans="1:23" x14ac:dyDescent="0.25">
      <c r="A421" t="s">
        <v>515</v>
      </c>
      <c r="B421" s="1">
        <v>45688</v>
      </c>
      <c r="C421" t="s">
        <v>23</v>
      </c>
      <c r="D421">
        <v>1</v>
      </c>
      <c r="E421">
        <v>31</v>
      </c>
      <c r="F421" t="s">
        <v>114</v>
      </c>
      <c r="G421" t="s">
        <v>84</v>
      </c>
      <c r="H421" t="s">
        <v>139</v>
      </c>
      <c r="I421" t="s">
        <v>69</v>
      </c>
      <c r="J421" t="s">
        <v>66</v>
      </c>
      <c r="K421" t="s">
        <v>38</v>
      </c>
      <c r="L421">
        <v>1</v>
      </c>
      <c r="M421">
        <v>508</v>
      </c>
      <c r="N421">
        <v>50.8</v>
      </c>
      <c r="O421">
        <v>20</v>
      </c>
      <c r="P421">
        <v>508</v>
      </c>
      <c r="Q421">
        <v>477.2</v>
      </c>
      <c r="R421" t="s">
        <v>39</v>
      </c>
      <c r="S421" t="s">
        <v>31</v>
      </c>
      <c r="T421" t="s">
        <v>32</v>
      </c>
      <c r="U421">
        <v>23</v>
      </c>
      <c r="V421">
        <v>4.7</v>
      </c>
      <c r="W421">
        <f>Table2[[#This Row],[Quantity]]*Table2[[#This Row],[Item_Price]]</f>
        <v>508</v>
      </c>
    </row>
    <row r="422" spans="1:23" x14ac:dyDescent="0.25">
      <c r="A422" t="s">
        <v>516</v>
      </c>
      <c r="B422" s="1">
        <v>45689</v>
      </c>
      <c r="C422" t="s">
        <v>517</v>
      </c>
      <c r="D422">
        <v>2</v>
      </c>
      <c r="E422">
        <v>1</v>
      </c>
      <c r="F422" t="s">
        <v>134</v>
      </c>
      <c r="G422" t="s">
        <v>25</v>
      </c>
      <c r="H422" t="s">
        <v>105</v>
      </c>
      <c r="I422" t="s">
        <v>61</v>
      </c>
      <c r="J422" t="s">
        <v>66</v>
      </c>
      <c r="K422" t="s">
        <v>38</v>
      </c>
      <c r="L422">
        <v>3</v>
      </c>
      <c r="M422">
        <v>748</v>
      </c>
      <c r="N422">
        <v>74.8</v>
      </c>
      <c r="O422">
        <v>30</v>
      </c>
      <c r="P422">
        <v>2244</v>
      </c>
      <c r="Q422">
        <v>2199.1999999999998</v>
      </c>
      <c r="R422" t="s">
        <v>30</v>
      </c>
      <c r="S422" t="s">
        <v>31</v>
      </c>
      <c r="T422" t="s">
        <v>32</v>
      </c>
      <c r="U422">
        <v>20</v>
      </c>
      <c r="V422">
        <v>4.3</v>
      </c>
      <c r="W422">
        <f>Table2[[#This Row],[Quantity]]*Table2[[#This Row],[Item_Price]]</f>
        <v>2244</v>
      </c>
    </row>
    <row r="423" spans="1:23" x14ac:dyDescent="0.25">
      <c r="A423" t="s">
        <v>518</v>
      </c>
      <c r="B423" s="1">
        <v>45689</v>
      </c>
      <c r="C423" t="s">
        <v>517</v>
      </c>
      <c r="D423">
        <v>2</v>
      </c>
      <c r="E423">
        <v>1</v>
      </c>
      <c r="F423" t="s">
        <v>134</v>
      </c>
      <c r="G423" t="s">
        <v>96</v>
      </c>
      <c r="H423" t="s">
        <v>81</v>
      </c>
      <c r="I423" t="s">
        <v>103</v>
      </c>
      <c r="J423" t="s">
        <v>53</v>
      </c>
      <c r="K423" t="s">
        <v>38</v>
      </c>
      <c r="L423">
        <v>3</v>
      </c>
      <c r="M423">
        <v>476</v>
      </c>
      <c r="N423">
        <v>47.6</v>
      </c>
      <c r="O423">
        <v>0</v>
      </c>
      <c r="P423">
        <v>1428</v>
      </c>
      <c r="Q423">
        <v>1380.4</v>
      </c>
      <c r="R423" t="s">
        <v>39</v>
      </c>
      <c r="S423" t="s">
        <v>31</v>
      </c>
      <c r="T423" t="s">
        <v>40</v>
      </c>
      <c r="U423">
        <v>53</v>
      </c>
      <c r="V423">
        <v>4.5</v>
      </c>
      <c r="W423">
        <f>Table2[[#This Row],[Quantity]]*Table2[[#This Row],[Item_Price]]</f>
        <v>1428</v>
      </c>
    </row>
    <row r="424" spans="1:23" x14ac:dyDescent="0.25">
      <c r="A424" t="s">
        <v>519</v>
      </c>
      <c r="B424" s="1">
        <v>45689</v>
      </c>
      <c r="C424" t="s">
        <v>517</v>
      </c>
      <c r="D424">
        <v>2</v>
      </c>
      <c r="E424">
        <v>1</v>
      </c>
      <c r="F424" t="s">
        <v>134</v>
      </c>
      <c r="G424" t="s">
        <v>84</v>
      </c>
      <c r="H424" t="s">
        <v>77</v>
      </c>
      <c r="I424" t="s">
        <v>36</v>
      </c>
      <c r="J424" t="s">
        <v>78</v>
      </c>
      <c r="K424" t="s">
        <v>38</v>
      </c>
      <c r="L424">
        <v>3</v>
      </c>
      <c r="M424">
        <v>831</v>
      </c>
      <c r="N424">
        <v>83.1</v>
      </c>
      <c r="O424">
        <v>70</v>
      </c>
      <c r="P424">
        <v>2493</v>
      </c>
      <c r="Q424">
        <v>2479.9</v>
      </c>
      <c r="R424" t="s">
        <v>39</v>
      </c>
      <c r="S424" t="s">
        <v>46</v>
      </c>
      <c r="T424" t="s">
        <v>40</v>
      </c>
      <c r="U424">
        <v>61</v>
      </c>
      <c r="W424">
        <f>Table2[[#This Row],[Quantity]]*Table2[[#This Row],[Item_Price]]</f>
        <v>2493</v>
      </c>
    </row>
    <row r="425" spans="1:23" x14ac:dyDescent="0.25">
      <c r="A425" t="s">
        <v>520</v>
      </c>
      <c r="B425" s="1">
        <v>45689</v>
      </c>
      <c r="C425" t="s">
        <v>517</v>
      </c>
      <c r="D425">
        <v>2</v>
      </c>
      <c r="E425">
        <v>1</v>
      </c>
      <c r="F425" t="s">
        <v>134</v>
      </c>
      <c r="G425" t="s">
        <v>73</v>
      </c>
      <c r="H425" t="s">
        <v>68</v>
      </c>
      <c r="I425" t="s">
        <v>61</v>
      </c>
      <c r="J425" t="s">
        <v>28</v>
      </c>
      <c r="K425" t="s">
        <v>38</v>
      </c>
      <c r="L425">
        <v>1</v>
      </c>
      <c r="M425">
        <v>224</v>
      </c>
      <c r="N425">
        <v>11.2</v>
      </c>
      <c r="O425">
        <v>30</v>
      </c>
      <c r="P425">
        <v>224</v>
      </c>
      <c r="Q425">
        <v>242.8</v>
      </c>
      <c r="R425" t="s">
        <v>39</v>
      </c>
      <c r="S425" t="s">
        <v>31</v>
      </c>
      <c r="T425" t="s">
        <v>40</v>
      </c>
      <c r="U425">
        <v>44</v>
      </c>
      <c r="V425">
        <v>4.0999999999999996</v>
      </c>
      <c r="W425">
        <f>Table2[[#This Row],[Quantity]]*Table2[[#This Row],[Item_Price]]</f>
        <v>224</v>
      </c>
    </row>
    <row r="426" spans="1:23" x14ac:dyDescent="0.25">
      <c r="A426" t="s">
        <v>521</v>
      </c>
      <c r="B426" s="1">
        <v>45689</v>
      </c>
      <c r="C426" t="s">
        <v>517</v>
      </c>
      <c r="D426">
        <v>2</v>
      </c>
      <c r="E426">
        <v>1</v>
      </c>
      <c r="F426" t="s">
        <v>134</v>
      </c>
      <c r="G426" t="s">
        <v>90</v>
      </c>
      <c r="H426" t="s">
        <v>105</v>
      </c>
      <c r="I426" t="s">
        <v>61</v>
      </c>
      <c r="J426" t="s">
        <v>62</v>
      </c>
      <c r="K426" t="s">
        <v>38</v>
      </c>
      <c r="L426">
        <v>1</v>
      </c>
      <c r="M426">
        <v>553</v>
      </c>
      <c r="N426">
        <v>55.3</v>
      </c>
      <c r="O426">
        <v>0</v>
      </c>
      <c r="P426">
        <v>553</v>
      </c>
      <c r="Q426">
        <v>497.7</v>
      </c>
      <c r="R426" t="s">
        <v>30</v>
      </c>
      <c r="S426" t="s">
        <v>31</v>
      </c>
      <c r="T426" t="s">
        <v>40</v>
      </c>
      <c r="U426">
        <v>23</v>
      </c>
      <c r="V426">
        <v>4.5</v>
      </c>
      <c r="W426">
        <f>Table2[[#This Row],[Quantity]]*Table2[[#This Row],[Item_Price]]</f>
        <v>553</v>
      </c>
    </row>
    <row r="427" spans="1:23" x14ac:dyDescent="0.25">
      <c r="A427" t="s">
        <v>522</v>
      </c>
      <c r="B427" s="1">
        <v>45689</v>
      </c>
      <c r="C427" t="s">
        <v>517</v>
      </c>
      <c r="D427">
        <v>2</v>
      </c>
      <c r="E427">
        <v>1</v>
      </c>
      <c r="F427" t="s">
        <v>134</v>
      </c>
      <c r="G427" t="s">
        <v>115</v>
      </c>
      <c r="H427" t="s">
        <v>108</v>
      </c>
      <c r="I427" t="s">
        <v>103</v>
      </c>
      <c r="J427" t="s">
        <v>74</v>
      </c>
      <c r="K427" t="s">
        <v>38</v>
      </c>
      <c r="L427">
        <v>1</v>
      </c>
      <c r="M427">
        <v>443</v>
      </c>
      <c r="N427">
        <v>66.45</v>
      </c>
      <c r="O427">
        <v>0</v>
      </c>
      <c r="P427">
        <v>443</v>
      </c>
      <c r="Q427">
        <v>376.55</v>
      </c>
      <c r="R427" t="s">
        <v>30</v>
      </c>
      <c r="S427" t="s">
        <v>31</v>
      </c>
      <c r="T427" t="s">
        <v>40</v>
      </c>
      <c r="U427">
        <v>22</v>
      </c>
      <c r="V427">
        <v>4</v>
      </c>
      <c r="W427">
        <f>Table2[[#This Row],[Quantity]]*Table2[[#This Row],[Item_Price]]</f>
        <v>443</v>
      </c>
    </row>
    <row r="428" spans="1:23" x14ac:dyDescent="0.25">
      <c r="A428" t="s">
        <v>523</v>
      </c>
      <c r="B428" s="1">
        <v>45689</v>
      </c>
      <c r="C428" t="s">
        <v>517</v>
      </c>
      <c r="D428">
        <v>2</v>
      </c>
      <c r="E428">
        <v>1</v>
      </c>
      <c r="F428" t="s">
        <v>134</v>
      </c>
      <c r="G428" t="s">
        <v>80</v>
      </c>
      <c r="H428" t="s">
        <v>105</v>
      </c>
      <c r="I428" t="s">
        <v>49</v>
      </c>
      <c r="J428" t="s">
        <v>123</v>
      </c>
      <c r="K428" t="s">
        <v>38</v>
      </c>
      <c r="L428">
        <v>1</v>
      </c>
      <c r="M428">
        <v>403</v>
      </c>
      <c r="N428">
        <v>80.599999999999994</v>
      </c>
      <c r="O428">
        <v>50</v>
      </c>
      <c r="P428">
        <v>403</v>
      </c>
      <c r="Q428">
        <v>372.4</v>
      </c>
      <c r="R428" t="s">
        <v>30</v>
      </c>
      <c r="S428" t="s">
        <v>31</v>
      </c>
      <c r="T428" t="s">
        <v>40</v>
      </c>
      <c r="U428">
        <v>63</v>
      </c>
      <c r="V428">
        <v>4.0999999999999996</v>
      </c>
      <c r="W428">
        <f>Table2[[#This Row],[Quantity]]*Table2[[#This Row],[Item_Price]]</f>
        <v>403</v>
      </c>
    </row>
    <row r="429" spans="1:23" x14ac:dyDescent="0.25">
      <c r="A429" t="s">
        <v>524</v>
      </c>
      <c r="B429" s="1">
        <v>45689</v>
      </c>
      <c r="C429" t="s">
        <v>517</v>
      </c>
      <c r="D429">
        <v>2</v>
      </c>
      <c r="E429">
        <v>1</v>
      </c>
      <c r="F429" t="s">
        <v>134</v>
      </c>
      <c r="G429" t="s">
        <v>64</v>
      </c>
      <c r="H429" t="s">
        <v>60</v>
      </c>
      <c r="I429" t="s">
        <v>85</v>
      </c>
      <c r="J429" t="s">
        <v>78</v>
      </c>
      <c r="K429" t="s">
        <v>38</v>
      </c>
      <c r="L429">
        <v>2</v>
      </c>
      <c r="M429">
        <v>178</v>
      </c>
      <c r="N429">
        <v>17.8</v>
      </c>
      <c r="O429">
        <v>50</v>
      </c>
      <c r="P429">
        <v>356</v>
      </c>
      <c r="Q429">
        <v>388.2</v>
      </c>
      <c r="R429" t="s">
        <v>39</v>
      </c>
      <c r="S429" t="s">
        <v>31</v>
      </c>
      <c r="T429" t="s">
        <v>40</v>
      </c>
      <c r="U429">
        <v>39</v>
      </c>
      <c r="V429">
        <v>4.5999999999999996</v>
      </c>
      <c r="W429">
        <f>Table2[[#This Row],[Quantity]]*Table2[[#This Row],[Item_Price]]</f>
        <v>356</v>
      </c>
    </row>
    <row r="430" spans="1:23" x14ac:dyDescent="0.25">
      <c r="A430" t="s">
        <v>525</v>
      </c>
      <c r="B430" s="1">
        <v>45689</v>
      </c>
      <c r="C430" t="s">
        <v>517</v>
      </c>
      <c r="D430">
        <v>2</v>
      </c>
      <c r="E430">
        <v>1</v>
      </c>
      <c r="F430" t="s">
        <v>134</v>
      </c>
      <c r="G430" t="s">
        <v>64</v>
      </c>
      <c r="H430" t="s">
        <v>77</v>
      </c>
      <c r="I430" t="s">
        <v>49</v>
      </c>
      <c r="J430" t="s">
        <v>70</v>
      </c>
      <c r="K430" t="s">
        <v>29</v>
      </c>
      <c r="L430">
        <v>3</v>
      </c>
      <c r="M430">
        <v>681</v>
      </c>
      <c r="N430">
        <v>102.15</v>
      </c>
      <c r="O430">
        <v>40</v>
      </c>
      <c r="P430">
        <v>2043</v>
      </c>
      <c r="Q430">
        <v>1980.85</v>
      </c>
      <c r="R430" t="s">
        <v>112</v>
      </c>
      <c r="S430" t="s">
        <v>31</v>
      </c>
      <c r="T430" t="s">
        <v>40</v>
      </c>
      <c r="U430">
        <v>50</v>
      </c>
      <c r="V430">
        <v>3.2</v>
      </c>
      <c r="W430">
        <f>Table2[[#This Row],[Quantity]]*Table2[[#This Row],[Item_Price]]</f>
        <v>2043</v>
      </c>
    </row>
    <row r="431" spans="1:23" x14ac:dyDescent="0.25">
      <c r="A431" t="s">
        <v>526</v>
      </c>
      <c r="B431" s="1">
        <v>45690</v>
      </c>
      <c r="C431" t="s">
        <v>517</v>
      </c>
      <c r="D431">
        <v>2</v>
      </c>
      <c r="E431">
        <v>2</v>
      </c>
      <c r="F431" t="s">
        <v>149</v>
      </c>
      <c r="G431" t="s">
        <v>34</v>
      </c>
      <c r="H431" t="s">
        <v>105</v>
      </c>
      <c r="I431" t="s">
        <v>85</v>
      </c>
      <c r="J431" t="s">
        <v>78</v>
      </c>
      <c r="K431" t="s">
        <v>38</v>
      </c>
      <c r="L431">
        <v>2</v>
      </c>
      <c r="M431">
        <v>304</v>
      </c>
      <c r="N431">
        <v>60.8</v>
      </c>
      <c r="O431">
        <v>60</v>
      </c>
      <c r="P431">
        <v>608</v>
      </c>
      <c r="Q431">
        <v>607.20000000000005</v>
      </c>
      <c r="R431" t="s">
        <v>30</v>
      </c>
      <c r="S431" t="s">
        <v>31</v>
      </c>
      <c r="T431" t="s">
        <v>32</v>
      </c>
      <c r="U431">
        <v>62</v>
      </c>
      <c r="V431">
        <v>4.3</v>
      </c>
      <c r="W431">
        <f>Table2[[#This Row],[Quantity]]*Table2[[#This Row],[Item_Price]]</f>
        <v>608</v>
      </c>
    </row>
    <row r="432" spans="1:23" x14ac:dyDescent="0.25">
      <c r="A432" t="s">
        <v>527</v>
      </c>
      <c r="B432" s="1">
        <v>45690</v>
      </c>
      <c r="C432" t="s">
        <v>517</v>
      </c>
      <c r="D432">
        <v>2</v>
      </c>
      <c r="E432">
        <v>2</v>
      </c>
      <c r="F432" t="s">
        <v>149</v>
      </c>
      <c r="G432" t="s">
        <v>34</v>
      </c>
      <c r="H432" t="s">
        <v>108</v>
      </c>
      <c r="I432" t="s">
        <v>49</v>
      </c>
      <c r="J432" t="s">
        <v>50</v>
      </c>
      <c r="K432" t="s">
        <v>38</v>
      </c>
      <c r="L432">
        <v>3</v>
      </c>
      <c r="M432">
        <v>569</v>
      </c>
      <c r="N432">
        <v>113.8</v>
      </c>
      <c r="O432">
        <v>0</v>
      </c>
      <c r="P432">
        <v>1707</v>
      </c>
      <c r="Q432">
        <v>1593.2</v>
      </c>
      <c r="R432" t="s">
        <v>39</v>
      </c>
      <c r="S432" t="s">
        <v>31</v>
      </c>
      <c r="T432" t="s">
        <v>40</v>
      </c>
      <c r="U432">
        <v>69</v>
      </c>
      <c r="V432">
        <v>4.4000000000000004</v>
      </c>
      <c r="W432">
        <f>Table2[[#This Row],[Quantity]]*Table2[[#This Row],[Item_Price]]</f>
        <v>1707</v>
      </c>
    </row>
    <row r="433" spans="1:23" x14ac:dyDescent="0.25">
      <c r="A433" t="s">
        <v>528</v>
      </c>
      <c r="B433" s="1">
        <v>45690</v>
      </c>
      <c r="C433" t="s">
        <v>517</v>
      </c>
      <c r="D433">
        <v>2</v>
      </c>
      <c r="E433">
        <v>2</v>
      </c>
      <c r="F433" t="s">
        <v>149</v>
      </c>
      <c r="G433" t="s">
        <v>80</v>
      </c>
      <c r="H433" t="s">
        <v>81</v>
      </c>
      <c r="I433" t="s">
        <v>43</v>
      </c>
      <c r="J433" t="s">
        <v>44</v>
      </c>
      <c r="K433" t="s">
        <v>38</v>
      </c>
      <c r="L433">
        <v>3</v>
      </c>
      <c r="M433">
        <v>709</v>
      </c>
      <c r="N433">
        <v>177.25</v>
      </c>
      <c r="O433">
        <v>60</v>
      </c>
      <c r="P433">
        <v>2127</v>
      </c>
      <c r="Q433">
        <v>2009.75</v>
      </c>
      <c r="R433" t="s">
        <v>39</v>
      </c>
      <c r="S433" t="s">
        <v>31</v>
      </c>
      <c r="T433" t="s">
        <v>40</v>
      </c>
      <c r="U433">
        <v>24</v>
      </c>
      <c r="V433">
        <v>3.2</v>
      </c>
      <c r="W433">
        <f>Table2[[#This Row],[Quantity]]*Table2[[#This Row],[Item_Price]]</f>
        <v>2127</v>
      </c>
    </row>
    <row r="434" spans="1:23" x14ac:dyDescent="0.25">
      <c r="A434" t="s">
        <v>529</v>
      </c>
      <c r="B434" s="1">
        <v>45690</v>
      </c>
      <c r="C434" t="s">
        <v>517</v>
      </c>
      <c r="D434">
        <v>2</v>
      </c>
      <c r="E434">
        <v>2</v>
      </c>
      <c r="F434" t="s">
        <v>149</v>
      </c>
      <c r="G434" t="s">
        <v>80</v>
      </c>
      <c r="H434" t="s">
        <v>68</v>
      </c>
      <c r="I434" t="s">
        <v>103</v>
      </c>
      <c r="J434" t="s">
        <v>62</v>
      </c>
      <c r="K434" t="s">
        <v>38</v>
      </c>
      <c r="L434">
        <v>3</v>
      </c>
      <c r="M434">
        <v>532</v>
      </c>
      <c r="N434">
        <v>26.6</v>
      </c>
      <c r="O434">
        <v>30</v>
      </c>
      <c r="P434">
        <v>1596</v>
      </c>
      <c r="Q434">
        <v>1599.4</v>
      </c>
      <c r="R434" t="s">
        <v>39</v>
      </c>
      <c r="S434" t="s">
        <v>110</v>
      </c>
      <c r="T434" t="s">
        <v>40</v>
      </c>
      <c r="U434">
        <v>65</v>
      </c>
      <c r="W434">
        <f>Table2[[#This Row],[Quantity]]*Table2[[#This Row],[Item_Price]]</f>
        <v>1596</v>
      </c>
    </row>
    <row r="435" spans="1:23" x14ac:dyDescent="0.25">
      <c r="A435" t="s">
        <v>530</v>
      </c>
      <c r="B435" s="1">
        <v>45690</v>
      </c>
      <c r="C435" t="s">
        <v>517</v>
      </c>
      <c r="D435">
        <v>2</v>
      </c>
      <c r="E435">
        <v>2</v>
      </c>
      <c r="F435" t="s">
        <v>149</v>
      </c>
      <c r="G435" t="s">
        <v>64</v>
      </c>
      <c r="H435" t="s">
        <v>108</v>
      </c>
      <c r="I435" t="s">
        <v>57</v>
      </c>
      <c r="J435" t="s">
        <v>44</v>
      </c>
      <c r="K435" t="s">
        <v>38</v>
      </c>
      <c r="L435">
        <v>3</v>
      </c>
      <c r="M435">
        <v>746</v>
      </c>
      <c r="N435">
        <v>74.599999999999994</v>
      </c>
      <c r="O435">
        <v>50</v>
      </c>
      <c r="P435">
        <v>2238</v>
      </c>
      <c r="Q435">
        <v>2213.4</v>
      </c>
      <c r="R435" t="s">
        <v>39</v>
      </c>
      <c r="S435" t="s">
        <v>110</v>
      </c>
      <c r="T435" t="s">
        <v>40</v>
      </c>
      <c r="U435">
        <v>68</v>
      </c>
      <c r="W435">
        <f>Table2[[#This Row],[Quantity]]*Table2[[#This Row],[Item_Price]]</f>
        <v>2238</v>
      </c>
    </row>
    <row r="436" spans="1:23" x14ac:dyDescent="0.25">
      <c r="A436" t="s">
        <v>531</v>
      </c>
      <c r="B436" s="1">
        <v>45690</v>
      </c>
      <c r="C436" t="s">
        <v>517</v>
      </c>
      <c r="D436">
        <v>2</v>
      </c>
      <c r="E436">
        <v>2</v>
      </c>
      <c r="F436" t="s">
        <v>149</v>
      </c>
      <c r="G436" t="s">
        <v>64</v>
      </c>
      <c r="H436" t="s">
        <v>77</v>
      </c>
      <c r="I436" t="s">
        <v>27</v>
      </c>
      <c r="J436" t="s">
        <v>62</v>
      </c>
      <c r="K436" t="s">
        <v>45</v>
      </c>
      <c r="L436">
        <v>2</v>
      </c>
      <c r="M436">
        <v>700</v>
      </c>
      <c r="N436">
        <v>175</v>
      </c>
      <c r="O436">
        <v>0</v>
      </c>
      <c r="P436">
        <v>1400</v>
      </c>
      <c r="Q436">
        <v>1225</v>
      </c>
      <c r="R436" t="s">
        <v>39</v>
      </c>
      <c r="S436" t="s">
        <v>31</v>
      </c>
      <c r="T436" t="s">
        <v>40</v>
      </c>
      <c r="U436">
        <v>65</v>
      </c>
      <c r="V436">
        <v>3.8</v>
      </c>
      <c r="W436">
        <f>Table2[[#This Row],[Quantity]]*Table2[[#This Row],[Item_Price]]</f>
        <v>1400</v>
      </c>
    </row>
    <row r="437" spans="1:23" x14ac:dyDescent="0.25">
      <c r="A437" t="s">
        <v>532</v>
      </c>
      <c r="B437" s="1">
        <v>45691</v>
      </c>
      <c r="C437" t="s">
        <v>517</v>
      </c>
      <c r="D437">
        <v>2</v>
      </c>
      <c r="E437">
        <v>3</v>
      </c>
      <c r="F437" t="s">
        <v>168</v>
      </c>
      <c r="G437" t="s">
        <v>80</v>
      </c>
      <c r="H437" t="s">
        <v>77</v>
      </c>
      <c r="I437" t="s">
        <v>85</v>
      </c>
      <c r="J437" t="s">
        <v>62</v>
      </c>
      <c r="K437" t="s">
        <v>38</v>
      </c>
      <c r="L437">
        <v>2</v>
      </c>
      <c r="M437">
        <v>223</v>
      </c>
      <c r="N437">
        <v>44.6</v>
      </c>
      <c r="O437">
        <v>0</v>
      </c>
      <c r="P437">
        <v>446</v>
      </c>
      <c r="Q437">
        <v>401.4</v>
      </c>
      <c r="R437" t="s">
        <v>98</v>
      </c>
      <c r="S437" t="s">
        <v>31</v>
      </c>
      <c r="T437" t="s">
        <v>40</v>
      </c>
      <c r="U437">
        <v>53</v>
      </c>
      <c r="V437">
        <v>3.4</v>
      </c>
      <c r="W437">
        <f>Table2[[#This Row],[Quantity]]*Table2[[#This Row],[Item_Price]]</f>
        <v>446</v>
      </c>
    </row>
    <row r="438" spans="1:23" x14ac:dyDescent="0.25">
      <c r="A438" t="s">
        <v>533</v>
      </c>
      <c r="B438" s="1">
        <v>45691</v>
      </c>
      <c r="C438" t="s">
        <v>517</v>
      </c>
      <c r="D438">
        <v>2</v>
      </c>
      <c r="E438">
        <v>3</v>
      </c>
      <c r="F438" t="s">
        <v>168</v>
      </c>
      <c r="G438" t="s">
        <v>25</v>
      </c>
      <c r="H438" t="s">
        <v>81</v>
      </c>
      <c r="I438" t="s">
        <v>61</v>
      </c>
      <c r="J438" t="s">
        <v>70</v>
      </c>
      <c r="K438" t="s">
        <v>38</v>
      </c>
      <c r="L438">
        <v>3</v>
      </c>
      <c r="M438">
        <v>862</v>
      </c>
      <c r="N438">
        <v>215.5</v>
      </c>
      <c r="O438">
        <v>60</v>
      </c>
      <c r="P438">
        <v>2586</v>
      </c>
      <c r="Q438">
        <v>2430.5</v>
      </c>
      <c r="R438" t="s">
        <v>39</v>
      </c>
      <c r="S438" t="s">
        <v>31</v>
      </c>
      <c r="T438" t="s">
        <v>32</v>
      </c>
      <c r="U438">
        <v>30</v>
      </c>
      <c r="V438">
        <v>3.6</v>
      </c>
      <c r="W438">
        <f>Table2[[#This Row],[Quantity]]*Table2[[#This Row],[Item_Price]]</f>
        <v>2586</v>
      </c>
    </row>
    <row r="439" spans="1:23" x14ac:dyDescent="0.25">
      <c r="A439" t="s">
        <v>534</v>
      </c>
      <c r="B439" s="1">
        <v>45691</v>
      </c>
      <c r="C439" t="s">
        <v>517</v>
      </c>
      <c r="D439">
        <v>2</v>
      </c>
      <c r="E439">
        <v>3</v>
      </c>
      <c r="F439" t="s">
        <v>168</v>
      </c>
      <c r="G439" t="s">
        <v>73</v>
      </c>
      <c r="H439" t="s">
        <v>26</v>
      </c>
      <c r="I439" t="s">
        <v>27</v>
      </c>
      <c r="J439" t="s">
        <v>50</v>
      </c>
      <c r="K439" t="s">
        <v>45</v>
      </c>
      <c r="L439">
        <v>1</v>
      </c>
      <c r="M439">
        <v>308</v>
      </c>
      <c r="N439">
        <v>61.6</v>
      </c>
      <c r="O439">
        <v>40</v>
      </c>
      <c r="P439">
        <v>308</v>
      </c>
      <c r="Q439">
        <v>286.39999999999998</v>
      </c>
      <c r="R439" t="s">
        <v>39</v>
      </c>
      <c r="S439" t="s">
        <v>31</v>
      </c>
      <c r="T439" t="s">
        <v>40</v>
      </c>
      <c r="U439">
        <v>42</v>
      </c>
      <c r="V439">
        <v>3.1</v>
      </c>
      <c r="W439">
        <f>Table2[[#This Row],[Quantity]]*Table2[[#This Row],[Item_Price]]</f>
        <v>308</v>
      </c>
    </row>
    <row r="440" spans="1:23" x14ac:dyDescent="0.25">
      <c r="A440" t="s">
        <v>535</v>
      </c>
      <c r="B440" s="1">
        <v>45691</v>
      </c>
      <c r="C440" t="s">
        <v>517</v>
      </c>
      <c r="D440">
        <v>2</v>
      </c>
      <c r="E440">
        <v>3</v>
      </c>
      <c r="F440" t="s">
        <v>168</v>
      </c>
      <c r="G440" t="s">
        <v>84</v>
      </c>
      <c r="H440" t="s">
        <v>105</v>
      </c>
      <c r="I440" t="s">
        <v>85</v>
      </c>
      <c r="J440" t="s">
        <v>172</v>
      </c>
      <c r="K440" t="s">
        <v>45</v>
      </c>
      <c r="L440">
        <v>1</v>
      </c>
      <c r="M440">
        <v>362</v>
      </c>
      <c r="N440">
        <v>90.5</v>
      </c>
      <c r="O440">
        <v>40</v>
      </c>
      <c r="P440">
        <v>362</v>
      </c>
      <c r="Q440">
        <v>311.5</v>
      </c>
      <c r="R440" t="s">
        <v>75</v>
      </c>
      <c r="S440" t="s">
        <v>31</v>
      </c>
      <c r="T440" t="s">
        <v>32</v>
      </c>
      <c r="U440">
        <v>59</v>
      </c>
      <c r="V440">
        <v>4.2</v>
      </c>
      <c r="W440">
        <f>Table2[[#This Row],[Quantity]]*Table2[[#This Row],[Item_Price]]</f>
        <v>362</v>
      </c>
    </row>
    <row r="441" spans="1:23" x14ac:dyDescent="0.25">
      <c r="A441" t="s">
        <v>536</v>
      </c>
      <c r="B441" s="1">
        <v>45691</v>
      </c>
      <c r="C441" t="s">
        <v>517</v>
      </c>
      <c r="D441">
        <v>2</v>
      </c>
      <c r="E441">
        <v>3</v>
      </c>
      <c r="F441" t="s">
        <v>168</v>
      </c>
      <c r="G441" t="s">
        <v>34</v>
      </c>
      <c r="H441" t="s">
        <v>135</v>
      </c>
      <c r="I441" t="s">
        <v>27</v>
      </c>
      <c r="J441" t="s">
        <v>66</v>
      </c>
      <c r="K441" t="s">
        <v>38</v>
      </c>
      <c r="L441">
        <v>1</v>
      </c>
      <c r="M441">
        <v>782</v>
      </c>
      <c r="N441">
        <v>39.1</v>
      </c>
      <c r="O441">
        <v>60</v>
      </c>
      <c r="P441">
        <v>782</v>
      </c>
      <c r="Q441">
        <v>802.9</v>
      </c>
      <c r="R441" t="s">
        <v>39</v>
      </c>
      <c r="S441" t="s">
        <v>110</v>
      </c>
      <c r="T441" t="s">
        <v>40</v>
      </c>
      <c r="U441">
        <v>52</v>
      </c>
      <c r="W441">
        <f>Table2[[#This Row],[Quantity]]*Table2[[#This Row],[Item_Price]]</f>
        <v>782</v>
      </c>
    </row>
    <row r="442" spans="1:23" x14ac:dyDescent="0.25">
      <c r="A442" t="s">
        <v>537</v>
      </c>
      <c r="B442" s="1">
        <v>45691</v>
      </c>
      <c r="C442" t="s">
        <v>517</v>
      </c>
      <c r="D442">
        <v>2</v>
      </c>
      <c r="E442">
        <v>3</v>
      </c>
      <c r="F442" t="s">
        <v>168</v>
      </c>
      <c r="G442" t="s">
        <v>64</v>
      </c>
      <c r="H442" t="s">
        <v>35</v>
      </c>
      <c r="I442" t="s">
        <v>43</v>
      </c>
      <c r="J442" t="s">
        <v>28</v>
      </c>
      <c r="K442" t="s">
        <v>45</v>
      </c>
      <c r="L442">
        <v>1</v>
      </c>
      <c r="M442">
        <v>816</v>
      </c>
      <c r="N442">
        <v>81.599999999999994</v>
      </c>
      <c r="O442">
        <v>60</v>
      </c>
      <c r="P442">
        <v>816</v>
      </c>
      <c r="Q442">
        <v>794.4</v>
      </c>
      <c r="R442" t="s">
        <v>39</v>
      </c>
      <c r="S442" t="s">
        <v>31</v>
      </c>
      <c r="T442" t="s">
        <v>40</v>
      </c>
      <c r="U442">
        <v>48</v>
      </c>
      <c r="V442">
        <v>3.7</v>
      </c>
      <c r="W442">
        <f>Table2[[#This Row],[Quantity]]*Table2[[#This Row],[Item_Price]]</f>
        <v>816</v>
      </c>
    </row>
    <row r="443" spans="1:23" x14ac:dyDescent="0.25">
      <c r="A443" t="s">
        <v>538</v>
      </c>
      <c r="B443" s="1">
        <v>45691</v>
      </c>
      <c r="C443" t="s">
        <v>517</v>
      </c>
      <c r="D443">
        <v>2</v>
      </c>
      <c r="E443">
        <v>3</v>
      </c>
      <c r="F443" t="s">
        <v>168</v>
      </c>
      <c r="G443" t="s">
        <v>64</v>
      </c>
      <c r="H443" t="s">
        <v>65</v>
      </c>
      <c r="I443" t="s">
        <v>103</v>
      </c>
      <c r="J443" t="s">
        <v>123</v>
      </c>
      <c r="K443" t="s">
        <v>38</v>
      </c>
      <c r="L443">
        <v>3</v>
      </c>
      <c r="M443">
        <v>509</v>
      </c>
      <c r="N443">
        <v>101.8</v>
      </c>
      <c r="O443">
        <v>30</v>
      </c>
      <c r="P443">
        <v>1527</v>
      </c>
      <c r="Q443">
        <v>1455.2</v>
      </c>
      <c r="R443" t="s">
        <v>98</v>
      </c>
      <c r="S443" t="s">
        <v>31</v>
      </c>
      <c r="T443" t="s">
        <v>40</v>
      </c>
      <c r="U443">
        <v>43</v>
      </c>
      <c r="V443">
        <v>3.8</v>
      </c>
      <c r="W443">
        <f>Table2[[#This Row],[Quantity]]*Table2[[#This Row],[Item_Price]]</f>
        <v>1527</v>
      </c>
    </row>
    <row r="444" spans="1:23" x14ac:dyDescent="0.25">
      <c r="A444" t="s">
        <v>539</v>
      </c>
      <c r="B444" s="1">
        <v>45691</v>
      </c>
      <c r="C444" t="s">
        <v>517</v>
      </c>
      <c r="D444">
        <v>2</v>
      </c>
      <c r="E444">
        <v>3</v>
      </c>
      <c r="F444" t="s">
        <v>168</v>
      </c>
      <c r="G444" t="s">
        <v>34</v>
      </c>
      <c r="H444" t="s">
        <v>65</v>
      </c>
      <c r="I444" t="s">
        <v>85</v>
      </c>
      <c r="J444" t="s">
        <v>119</v>
      </c>
      <c r="K444" t="s">
        <v>29</v>
      </c>
      <c r="L444">
        <v>2</v>
      </c>
      <c r="M444">
        <v>190</v>
      </c>
      <c r="N444">
        <v>47.5</v>
      </c>
      <c r="O444">
        <v>0</v>
      </c>
      <c r="P444">
        <v>380</v>
      </c>
      <c r="Q444">
        <v>332.5</v>
      </c>
      <c r="R444" t="s">
        <v>98</v>
      </c>
      <c r="S444" t="s">
        <v>31</v>
      </c>
      <c r="T444" t="s">
        <v>40</v>
      </c>
      <c r="U444">
        <v>62</v>
      </c>
      <c r="V444">
        <v>4.9000000000000004</v>
      </c>
      <c r="W444">
        <f>Table2[[#This Row],[Quantity]]*Table2[[#This Row],[Item_Price]]</f>
        <v>380</v>
      </c>
    </row>
    <row r="445" spans="1:23" x14ac:dyDescent="0.25">
      <c r="A445" t="s">
        <v>540</v>
      </c>
      <c r="B445" s="1">
        <v>45691</v>
      </c>
      <c r="C445" t="s">
        <v>517</v>
      </c>
      <c r="D445">
        <v>2</v>
      </c>
      <c r="E445">
        <v>3</v>
      </c>
      <c r="F445" t="s">
        <v>168</v>
      </c>
      <c r="G445" t="s">
        <v>55</v>
      </c>
      <c r="H445" t="s">
        <v>68</v>
      </c>
      <c r="I445" t="s">
        <v>69</v>
      </c>
      <c r="J445" t="s">
        <v>172</v>
      </c>
      <c r="K445" t="s">
        <v>38</v>
      </c>
      <c r="L445">
        <v>1</v>
      </c>
      <c r="M445">
        <v>647</v>
      </c>
      <c r="N445">
        <v>64.7</v>
      </c>
      <c r="O445">
        <v>30</v>
      </c>
      <c r="P445">
        <v>647</v>
      </c>
      <c r="Q445">
        <v>612.29999999999995</v>
      </c>
      <c r="R445" t="s">
        <v>39</v>
      </c>
      <c r="S445" t="s">
        <v>110</v>
      </c>
      <c r="T445" t="s">
        <v>40</v>
      </c>
      <c r="U445">
        <v>47</v>
      </c>
      <c r="W445">
        <f>Table2[[#This Row],[Quantity]]*Table2[[#This Row],[Item_Price]]</f>
        <v>647</v>
      </c>
    </row>
    <row r="446" spans="1:23" x14ac:dyDescent="0.25">
      <c r="A446" t="s">
        <v>541</v>
      </c>
      <c r="B446" s="1">
        <v>45692</v>
      </c>
      <c r="C446" t="s">
        <v>517</v>
      </c>
      <c r="D446">
        <v>2</v>
      </c>
      <c r="E446">
        <v>4</v>
      </c>
      <c r="F446" t="s">
        <v>178</v>
      </c>
      <c r="G446" t="s">
        <v>34</v>
      </c>
      <c r="H446" t="s">
        <v>139</v>
      </c>
      <c r="I446" t="s">
        <v>69</v>
      </c>
      <c r="J446" t="s">
        <v>123</v>
      </c>
      <c r="K446" t="s">
        <v>45</v>
      </c>
      <c r="L446">
        <v>1</v>
      </c>
      <c r="M446">
        <v>520</v>
      </c>
      <c r="N446">
        <v>130</v>
      </c>
      <c r="O446">
        <v>50</v>
      </c>
      <c r="P446">
        <v>520</v>
      </c>
      <c r="Q446">
        <v>440</v>
      </c>
      <c r="R446" t="s">
        <v>39</v>
      </c>
      <c r="S446" t="s">
        <v>31</v>
      </c>
      <c r="T446" t="s">
        <v>40</v>
      </c>
      <c r="U446">
        <v>42</v>
      </c>
      <c r="V446">
        <v>4.2</v>
      </c>
      <c r="W446">
        <f>Table2[[#This Row],[Quantity]]*Table2[[#This Row],[Item_Price]]</f>
        <v>520</v>
      </c>
    </row>
    <row r="447" spans="1:23" x14ac:dyDescent="0.25">
      <c r="A447" t="s">
        <v>542</v>
      </c>
      <c r="B447" s="1">
        <v>45692</v>
      </c>
      <c r="C447" t="s">
        <v>517</v>
      </c>
      <c r="D447">
        <v>2</v>
      </c>
      <c r="E447">
        <v>4</v>
      </c>
      <c r="F447" t="s">
        <v>178</v>
      </c>
      <c r="G447" t="s">
        <v>84</v>
      </c>
      <c r="H447" t="s">
        <v>81</v>
      </c>
      <c r="I447" t="s">
        <v>49</v>
      </c>
      <c r="J447" t="s">
        <v>37</v>
      </c>
      <c r="K447" t="s">
        <v>38</v>
      </c>
      <c r="L447">
        <v>1</v>
      </c>
      <c r="M447">
        <v>299</v>
      </c>
      <c r="N447">
        <v>59.8</v>
      </c>
      <c r="O447">
        <v>60</v>
      </c>
      <c r="P447">
        <v>299</v>
      </c>
      <c r="Q447">
        <v>299.2</v>
      </c>
      <c r="R447" t="s">
        <v>112</v>
      </c>
      <c r="S447" t="s">
        <v>31</v>
      </c>
      <c r="T447" t="s">
        <v>32</v>
      </c>
      <c r="U447">
        <v>49</v>
      </c>
      <c r="V447">
        <v>4.0999999999999996</v>
      </c>
      <c r="W447">
        <f>Table2[[#This Row],[Quantity]]*Table2[[#This Row],[Item_Price]]</f>
        <v>299</v>
      </c>
    </row>
    <row r="448" spans="1:23" x14ac:dyDescent="0.25">
      <c r="A448" t="s">
        <v>543</v>
      </c>
      <c r="B448" s="1">
        <v>45692</v>
      </c>
      <c r="C448" t="s">
        <v>517</v>
      </c>
      <c r="D448">
        <v>2</v>
      </c>
      <c r="E448">
        <v>4</v>
      </c>
      <c r="F448" t="s">
        <v>178</v>
      </c>
      <c r="G448" t="s">
        <v>25</v>
      </c>
      <c r="H448" t="s">
        <v>60</v>
      </c>
      <c r="I448" t="s">
        <v>43</v>
      </c>
      <c r="J448" t="s">
        <v>53</v>
      </c>
      <c r="K448" t="s">
        <v>38</v>
      </c>
      <c r="L448">
        <v>1</v>
      </c>
      <c r="M448">
        <v>383</v>
      </c>
      <c r="N448">
        <v>76.599999999999994</v>
      </c>
      <c r="O448">
        <v>70</v>
      </c>
      <c r="P448">
        <v>383</v>
      </c>
      <c r="Q448">
        <v>376.4</v>
      </c>
      <c r="R448" t="s">
        <v>39</v>
      </c>
      <c r="S448" t="s">
        <v>110</v>
      </c>
      <c r="T448" t="s">
        <v>40</v>
      </c>
      <c r="U448">
        <v>50</v>
      </c>
      <c r="W448">
        <f>Table2[[#This Row],[Quantity]]*Table2[[#This Row],[Item_Price]]</f>
        <v>383</v>
      </c>
    </row>
    <row r="449" spans="1:23" x14ac:dyDescent="0.25">
      <c r="A449" t="s">
        <v>544</v>
      </c>
      <c r="B449" s="1">
        <v>45692</v>
      </c>
      <c r="C449" t="s">
        <v>517</v>
      </c>
      <c r="D449">
        <v>2</v>
      </c>
      <c r="E449">
        <v>4</v>
      </c>
      <c r="F449" t="s">
        <v>178</v>
      </c>
      <c r="G449" t="s">
        <v>73</v>
      </c>
      <c r="H449" t="s">
        <v>35</v>
      </c>
      <c r="I449" t="s">
        <v>103</v>
      </c>
      <c r="J449" t="s">
        <v>53</v>
      </c>
      <c r="K449" t="s">
        <v>45</v>
      </c>
      <c r="L449">
        <v>1</v>
      </c>
      <c r="M449">
        <v>441</v>
      </c>
      <c r="N449">
        <v>44.1</v>
      </c>
      <c r="O449">
        <v>60</v>
      </c>
      <c r="P449">
        <v>441</v>
      </c>
      <c r="Q449">
        <v>456.9</v>
      </c>
      <c r="R449" t="s">
        <v>98</v>
      </c>
      <c r="S449" t="s">
        <v>31</v>
      </c>
      <c r="T449" t="s">
        <v>32</v>
      </c>
      <c r="U449">
        <v>47</v>
      </c>
      <c r="V449">
        <v>3.2</v>
      </c>
      <c r="W449">
        <f>Table2[[#This Row],[Quantity]]*Table2[[#This Row],[Item_Price]]</f>
        <v>441</v>
      </c>
    </row>
    <row r="450" spans="1:23" x14ac:dyDescent="0.25">
      <c r="A450" t="s">
        <v>545</v>
      </c>
      <c r="B450" s="1">
        <v>45692</v>
      </c>
      <c r="C450" t="s">
        <v>517</v>
      </c>
      <c r="D450">
        <v>2</v>
      </c>
      <c r="E450">
        <v>4</v>
      </c>
      <c r="F450" t="s">
        <v>178</v>
      </c>
      <c r="G450" t="s">
        <v>115</v>
      </c>
      <c r="H450" t="s">
        <v>48</v>
      </c>
      <c r="I450" t="s">
        <v>69</v>
      </c>
      <c r="J450" t="s">
        <v>28</v>
      </c>
      <c r="K450" t="s">
        <v>38</v>
      </c>
      <c r="L450">
        <v>1</v>
      </c>
      <c r="M450">
        <v>873</v>
      </c>
      <c r="N450">
        <v>43.65</v>
      </c>
      <c r="O450">
        <v>50</v>
      </c>
      <c r="P450">
        <v>873</v>
      </c>
      <c r="Q450">
        <v>879.35</v>
      </c>
      <c r="R450" t="s">
        <v>112</v>
      </c>
      <c r="S450" t="s">
        <v>31</v>
      </c>
      <c r="T450" t="s">
        <v>40</v>
      </c>
      <c r="U450">
        <v>46</v>
      </c>
      <c r="V450">
        <v>5</v>
      </c>
      <c r="W450">
        <f>Table2[[#This Row],[Quantity]]*Table2[[#This Row],[Item_Price]]</f>
        <v>873</v>
      </c>
    </row>
    <row r="451" spans="1:23" x14ac:dyDescent="0.25">
      <c r="A451" t="s">
        <v>546</v>
      </c>
      <c r="B451" s="1">
        <v>45692</v>
      </c>
      <c r="C451" t="s">
        <v>517</v>
      </c>
      <c r="D451">
        <v>2</v>
      </c>
      <c r="E451">
        <v>4</v>
      </c>
      <c r="F451" t="s">
        <v>178</v>
      </c>
      <c r="G451" t="s">
        <v>80</v>
      </c>
      <c r="H451" t="s">
        <v>105</v>
      </c>
      <c r="I451" t="s">
        <v>97</v>
      </c>
      <c r="J451" t="s">
        <v>37</v>
      </c>
      <c r="K451" t="s">
        <v>38</v>
      </c>
      <c r="L451">
        <v>3</v>
      </c>
      <c r="M451">
        <v>555</v>
      </c>
      <c r="N451">
        <v>55.5</v>
      </c>
      <c r="O451">
        <v>60</v>
      </c>
      <c r="P451">
        <v>1665</v>
      </c>
      <c r="Q451">
        <v>1669.5</v>
      </c>
      <c r="R451" t="s">
        <v>30</v>
      </c>
      <c r="S451" t="s">
        <v>31</v>
      </c>
      <c r="T451" t="s">
        <v>32</v>
      </c>
      <c r="U451">
        <v>26</v>
      </c>
      <c r="V451">
        <v>4.9000000000000004</v>
      </c>
      <c r="W451">
        <f>Table2[[#This Row],[Quantity]]*Table2[[#This Row],[Item_Price]]</f>
        <v>1665</v>
      </c>
    </row>
    <row r="452" spans="1:23" x14ac:dyDescent="0.25">
      <c r="A452" t="s">
        <v>547</v>
      </c>
      <c r="B452" s="1">
        <v>45692</v>
      </c>
      <c r="C452" t="s">
        <v>517</v>
      </c>
      <c r="D452">
        <v>2</v>
      </c>
      <c r="E452">
        <v>4</v>
      </c>
      <c r="F452" t="s">
        <v>178</v>
      </c>
      <c r="G452" t="s">
        <v>34</v>
      </c>
      <c r="H452" t="s">
        <v>60</v>
      </c>
      <c r="I452" t="s">
        <v>43</v>
      </c>
      <c r="J452" t="s">
        <v>28</v>
      </c>
      <c r="K452" t="s">
        <v>38</v>
      </c>
      <c r="L452">
        <v>1</v>
      </c>
      <c r="M452">
        <v>347</v>
      </c>
      <c r="N452">
        <v>69.400000000000006</v>
      </c>
      <c r="O452">
        <v>50</v>
      </c>
      <c r="P452">
        <v>347</v>
      </c>
      <c r="Q452">
        <v>327.60000000000002</v>
      </c>
      <c r="R452" t="s">
        <v>39</v>
      </c>
      <c r="S452" t="s">
        <v>46</v>
      </c>
      <c r="T452" t="s">
        <v>40</v>
      </c>
      <c r="U452">
        <v>21</v>
      </c>
      <c r="W452">
        <f>Table2[[#This Row],[Quantity]]*Table2[[#This Row],[Item_Price]]</f>
        <v>347</v>
      </c>
    </row>
    <row r="453" spans="1:23" x14ac:dyDescent="0.25">
      <c r="A453" t="s">
        <v>548</v>
      </c>
      <c r="B453" s="1">
        <v>45692</v>
      </c>
      <c r="C453" t="s">
        <v>517</v>
      </c>
      <c r="D453">
        <v>2</v>
      </c>
      <c r="E453">
        <v>4</v>
      </c>
      <c r="F453" t="s">
        <v>178</v>
      </c>
      <c r="G453" t="s">
        <v>73</v>
      </c>
      <c r="H453" t="s">
        <v>60</v>
      </c>
      <c r="I453" t="s">
        <v>43</v>
      </c>
      <c r="J453" t="s">
        <v>44</v>
      </c>
      <c r="K453" t="s">
        <v>38</v>
      </c>
      <c r="L453">
        <v>1</v>
      </c>
      <c r="M453">
        <v>889</v>
      </c>
      <c r="N453">
        <v>222.25</v>
      </c>
      <c r="O453">
        <v>40</v>
      </c>
      <c r="P453">
        <v>889</v>
      </c>
      <c r="Q453">
        <v>706.75</v>
      </c>
      <c r="R453" t="s">
        <v>30</v>
      </c>
      <c r="S453" t="s">
        <v>31</v>
      </c>
      <c r="T453" t="s">
        <v>40</v>
      </c>
      <c r="U453">
        <v>41</v>
      </c>
      <c r="V453">
        <v>3.6</v>
      </c>
      <c r="W453">
        <f>Table2[[#This Row],[Quantity]]*Table2[[#This Row],[Item_Price]]</f>
        <v>889</v>
      </c>
    </row>
    <row r="454" spans="1:23" x14ac:dyDescent="0.25">
      <c r="A454" t="s">
        <v>549</v>
      </c>
      <c r="B454" s="1">
        <v>45692</v>
      </c>
      <c r="C454" t="s">
        <v>517</v>
      </c>
      <c r="D454">
        <v>2</v>
      </c>
      <c r="E454">
        <v>4</v>
      </c>
      <c r="F454" t="s">
        <v>178</v>
      </c>
      <c r="G454" t="s">
        <v>64</v>
      </c>
      <c r="H454" t="s">
        <v>135</v>
      </c>
      <c r="I454" t="s">
        <v>36</v>
      </c>
      <c r="J454" t="s">
        <v>78</v>
      </c>
      <c r="K454" t="s">
        <v>38</v>
      </c>
      <c r="L454">
        <v>3</v>
      </c>
      <c r="M454">
        <v>259</v>
      </c>
      <c r="N454">
        <v>38.85</v>
      </c>
      <c r="O454">
        <v>30</v>
      </c>
      <c r="P454">
        <v>777</v>
      </c>
      <c r="Q454">
        <v>768.15</v>
      </c>
      <c r="R454" t="s">
        <v>39</v>
      </c>
      <c r="S454" t="s">
        <v>31</v>
      </c>
      <c r="T454" t="s">
        <v>32</v>
      </c>
      <c r="U454">
        <v>28</v>
      </c>
      <c r="V454">
        <v>3.9</v>
      </c>
      <c r="W454">
        <f>Table2[[#This Row],[Quantity]]*Table2[[#This Row],[Item_Price]]</f>
        <v>777</v>
      </c>
    </row>
    <row r="455" spans="1:23" x14ac:dyDescent="0.25">
      <c r="A455" t="s">
        <v>550</v>
      </c>
      <c r="B455" s="1">
        <v>45692</v>
      </c>
      <c r="C455" t="s">
        <v>517</v>
      </c>
      <c r="D455">
        <v>2</v>
      </c>
      <c r="E455">
        <v>4</v>
      </c>
      <c r="F455" t="s">
        <v>178</v>
      </c>
      <c r="G455" t="s">
        <v>115</v>
      </c>
      <c r="H455" t="s">
        <v>65</v>
      </c>
      <c r="I455" t="s">
        <v>69</v>
      </c>
      <c r="J455" t="s">
        <v>101</v>
      </c>
      <c r="K455" t="s">
        <v>38</v>
      </c>
      <c r="L455">
        <v>3</v>
      </c>
      <c r="M455">
        <v>893</v>
      </c>
      <c r="N455">
        <v>89.3</v>
      </c>
      <c r="O455">
        <v>30</v>
      </c>
      <c r="P455">
        <v>2679</v>
      </c>
      <c r="Q455">
        <v>2619.6999999999998</v>
      </c>
      <c r="R455" t="s">
        <v>112</v>
      </c>
      <c r="S455" t="s">
        <v>91</v>
      </c>
      <c r="T455" t="s">
        <v>40</v>
      </c>
      <c r="U455">
        <v>26</v>
      </c>
      <c r="W455">
        <f>Table2[[#This Row],[Quantity]]*Table2[[#This Row],[Item_Price]]</f>
        <v>2679</v>
      </c>
    </row>
    <row r="456" spans="1:23" x14ac:dyDescent="0.25">
      <c r="A456" t="s">
        <v>551</v>
      </c>
      <c r="B456" s="1">
        <v>45692</v>
      </c>
      <c r="C456" t="s">
        <v>517</v>
      </c>
      <c r="D456">
        <v>2</v>
      </c>
      <c r="E456">
        <v>4</v>
      </c>
      <c r="F456" t="s">
        <v>178</v>
      </c>
      <c r="G456" t="s">
        <v>80</v>
      </c>
      <c r="H456" t="s">
        <v>135</v>
      </c>
      <c r="I456" t="s">
        <v>49</v>
      </c>
      <c r="J456" t="s">
        <v>94</v>
      </c>
      <c r="K456" t="s">
        <v>29</v>
      </c>
      <c r="L456">
        <v>2</v>
      </c>
      <c r="M456">
        <v>364</v>
      </c>
      <c r="N456">
        <v>36.4</v>
      </c>
      <c r="O456">
        <v>40</v>
      </c>
      <c r="P456">
        <v>728</v>
      </c>
      <c r="Q456">
        <v>731.6</v>
      </c>
      <c r="R456" t="s">
        <v>39</v>
      </c>
      <c r="S456" t="s">
        <v>31</v>
      </c>
      <c r="T456" t="s">
        <v>32</v>
      </c>
      <c r="U456">
        <v>34</v>
      </c>
      <c r="V456">
        <v>4.7</v>
      </c>
      <c r="W456">
        <f>Table2[[#This Row],[Quantity]]*Table2[[#This Row],[Item_Price]]</f>
        <v>728</v>
      </c>
    </row>
    <row r="457" spans="1:23" x14ac:dyDescent="0.25">
      <c r="A457" t="s">
        <v>552</v>
      </c>
      <c r="B457" s="1">
        <v>45692</v>
      </c>
      <c r="C457" t="s">
        <v>517</v>
      </c>
      <c r="D457">
        <v>2</v>
      </c>
      <c r="E457">
        <v>4</v>
      </c>
      <c r="F457" t="s">
        <v>178</v>
      </c>
      <c r="G457" t="s">
        <v>115</v>
      </c>
      <c r="H457" t="s">
        <v>105</v>
      </c>
      <c r="I457" t="s">
        <v>85</v>
      </c>
      <c r="J457" t="s">
        <v>172</v>
      </c>
      <c r="K457" t="s">
        <v>38</v>
      </c>
      <c r="L457">
        <v>1</v>
      </c>
      <c r="M457">
        <v>397</v>
      </c>
      <c r="N457">
        <v>79.400000000000006</v>
      </c>
      <c r="O457">
        <v>0</v>
      </c>
      <c r="P457">
        <v>397</v>
      </c>
      <c r="Q457">
        <v>317.60000000000002</v>
      </c>
      <c r="R457" t="s">
        <v>39</v>
      </c>
      <c r="S457" t="s">
        <v>46</v>
      </c>
      <c r="T457" t="s">
        <v>32</v>
      </c>
      <c r="U457">
        <v>38</v>
      </c>
      <c r="W457">
        <f>Table2[[#This Row],[Quantity]]*Table2[[#This Row],[Item_Price]]</f>
        <v>397</v>
      </c>
    </row>
    <row r="458" spans="1:23" x14ac:dyDescent="0.25">
      <c r="A458" t="s">
        <v>553</v>
      </c>
      <c r="B458" s="1">
        <v>45692</v>
      </c>
      <c r="C458" t="s">
        <v>517</v>
      </c>
      <c r="D458">
        <v>2</v>
      </c>
      <c r="E458">
        <v>4</v>
      </c>
      <c r="F458" t="s">
        <v>178</v>
      </c>
      <c r="G458" t="s">
        <v>115</v>
      </c>
      <c r="H458" t="s">
        <v>60</v>
      </c>
      <c r="I458" t="s">
        <v>97</v>
      </c>
      <c r="J458" t="s">
        <v>78</v>
      </c>
      <c r="K458" t="s">
        <v>45</v>
      </c>
      <c r="L458">
        <v>1</v>
      </c>
      <c r="M458">
        <v>812</v>
      </c>
      <c r="N458">
        <v>40.6</v>
      </c>
      <c r="O458">
        <v>20</v>
      </c>
      <c r="P458">
        <v>812</v>
      </c>
      <c r="Q458">
        <v>791.4</v>
      </c>
      <c r="R458" t="s">
        <v>75</v>
      </c>
      <c r="S458" t="s">
        <v>91</v>
      </c>
      <c r="T458" t="s">
        <v>40</v>
      </c>
      <c r="U458">
        <v>69</v>
      </c>
      <c r="W458">
        <f>Table2[[#This Row],[Quantity]]*Table2[[#This Row],[Item_Price]]</f>
        <v>812</v>
      </c>
    </row>
    <row r="459" spans="1:23" x14ac:dyDescent="0.25">
      <c r="A459" t="s">
        <v>554</v>
      </c>
      <c r="B459" s="1">
        <v>45692</v>
      </c>
      <c r="C459" t="s">
        <v>517</v>
      </c>
      <c r="D459">
        <v>2</v>
      </c>
      <c r="E459">
        <v>4</v>
      </c>
      <c r="F459" t="s">
        <v>178</v>
      </c>
      <c r="G459" t="s">
        <v>34</v>
      </c>
      <c r="H459" t="s">
        <v>139</v>
      </c>
      <c r="I459" t="s">
        <v>61</v>
      </c>
      <c r="J459" t="s">
        <v>78</v>
      </c>
      <c r="K459" t="s">
        <v>38</v>
      </c>
      <c r="L459">
        <v>2</v>
      </c>
      <c r="M459">
        <v>685</v>
      </c>
      <c r="N459">
        <v>68.5</v>
      </c>
      <c r="O459">
        <v>30</v>
      </c>
      <c r="P459">
        <v>1370</v>
      </c>
      <c r="Q459">
        <v>1331.5</v>
      </c>
      <c r="R459" t="s">
        <v>75</v>
      </c>
      <c r="S459" t="s">
        <v>31</v>
      </c>
      <c r="T459" t="s">
        <v>32</v>
      </c>
      <c r="U459">
        <v>44</v>
      </c>
      <c r="V459">
        <v>4.0999999999999996</v>
      </c>
      <c r="W459">
        <f>Table2[[#This Row],[Quantity]]*Table2[[#This Row],[Item_Price]]</f>
        <v>1370</v>
      </c>
    </row>
    <row r="460" spans="1:23" x14ac:dyDescent="0.25">
      <c r="A460" t="s">
        <v>555</v>
      </c>
      <c r="B460" s="1">
        <v>45692</v>
      </c>
      <c r="C460" t="s">
        <v>517</v>
      </c>
      <c r="D460">
        <v>2</v>
      </c>
      <c r="E460">
        <v>4</v>
      </c>
      <c r="F460" t="s">
        <v>178</v>
      </c>
      <c r="G460" t="s">
        <v>55</v>
      </c>
      <c r="H460" t="s">
        <v>105</v>
      </c>
      <c r="I460" t="s">
        <v>85</v>
      </c>
      <c r="J460" t="s">
        <v>50</v>
      </c>
      <c r="K460" t="s">
        <v>38</v>
      </c>
      <c r="L460">
        <v>1</v>
      </c>
      <c r="M460">
        <v>782</v>
      </c>
      <c r="N460">
        <v>78.2</v>
      </c>
      <c r="O460">
        <v>50</v>
      </c>
      <c r="P460">
        <v>782</v>
      </c>
      <c r="Q460">
        <v>753.8</v>
      </c>
      <c r="R460" t="s">
        <v>112</v>
      </c>
      <c r="S460" t="s">
        <v>31</v>
      </c>
      <c r="T460" t="s">
        <v>40</v>
      </c>
      <c r="U460">
        <v>69</v>
      </c>
      <c r="V460">
        <v>4.0999999999999996</v>
      </c>
      <c r="W460">
        <f>Table2[[#This Row],[Quantity]]*Table2[[#This Row],[Item_Price]]</f>
        <v>782</v>
      </c>
    </row>
    <row r="461" spans="1:23" x14ac:dyDescent="0.25">
      <c r="A461" t="s">
        <v>556</v>
      </c>
      <c r="B461" s="1">
        <v>45692</v>
      </c>
      <c r="C461" t="s">
        <v>517</v>
      </c>
      <c r="D461">
        <v>2</v>
      </c>
      <c r="E461">
        <v>4</v>
      </c>
      <c r="F461" t="s">
        <v>178</v>
      </c>
      <c r="G461" t="s">
        <v>34</v>
      </c>
      <c r="H461" t="s">
        <v>56</v>
      </c>
      <c r="I461" t="s">
        <v>69</v>
      </c>
      <c r="J461" t="s">
        <v>62</v>
      </c>
      <c r="K461" t="s">
        <v>38</v>
      </c>
      <c r="L461">
        <v>1</v>
      </c>
      <c r="M461">
        <v>874</v>
      </c>
      <c r="N461">
        <v>0</v>
      </c>
      <c r="O461">
        <v>40</v>
      </c>
      <c r="P461">
        <v>874</v>
      </c>
      <c r="Q461">
        <v>914</v>
      </c>
      <c r="R461" t="s">
        <v>112</v>
      </c>
      <c r="S461" t="s">
        <v>46</v>
      </c>
      <c r="T461" t="s">
        <v>40</v>
      </c>
      <c r="U461">
        <v>63</v>
      </c>
      <c r="W461">
        <f>Table2[[#This Row],[Quantity]]*Table2[[#This Row],[Item_Price]]</f>
        <v>874</v>
      </c>
    </row>
    <row r="462" spans="1:23" x14ac:dyDescent="0.25">
      <c r="A462" t="s">
        <v>557</v>
      </c>
      <c r="B462" s="1">
        <v>45693</v>
      </c>
      <c r="C462" t="s">
        <v>517</v>
      </c>
      <c r="D462">
        <v>2</v>
      </c>
      <c r="E462">
        <v>5</v>
      </c>
      <c r="F462" t="s">
        <v>24</v>
      </c>
      <c r="G462" t="s">
        <v>34</v>
      </c>
      <c r="H462" t="s">
        <v>26</v>
      </c>
      <c r="I462" t="s">
        <v>27</v>
      </c>
      <c r="J462" t="s">
        <v>94</v>
      </c>
      <c r="K462" t="s">
        <v>38</v>
      </c>
      <c r="L462">
        <v>2</v>
      </c>
      <c r="M462">
        <v>808</v>
      </c>
      <c r="N462">
        <v>40.4</v>
      </c>
      <c r="O462">
        <v>0</v>
      </c>
      <c r="P462">
        <v>1616</v>
      </c>
      <c r="Q462">
        <v>1575.6</v>
      </c>
      <c r="R462" t="s">
        <v>30</v>
      </c>
      <c r="S462" t="s">
        <v>31</v>
      </c>
      <c r="T462" t="s">
        <v>40</v>
      </c>
      <c r="U462">
        <v>67</v>
      </c>
      <c r="V462">
        <v>4.0999999999999996</v>
      </c>
      <c r="W462">
        <f>Table2[[#This Row],[Quantity]]*Table2[[#This Row],[Item_Price]]</f>
        <v>1616</v>
      </c>
    </row>
    <row r="463" spans="1:23" x14ac:dyDescent="0.25">
      <c r="A463" t="s">
        <v>558</v>
      </c>
      <c r="B463" s="1">
        <v>45693</v>
      </c>
      <c r="C463" t="s">
        <v>517</v>
      </c>
      <c r="D463">
        <v>2</v>
      </c>
      <c r="E463">
        <v>5</v>
      </c>
      <c r="F463" t="s">
        <v>24</v>
      </c>
      <c r="G463" t="s">
        <v>80</v>
      </c>
      <c r="H463" t="s">
        <v>56</v>
      </c>
      <c r="I463" t="s">
        <v>43</v>
      </c>
      <c r="J463" t="s">
        <v>37</v>
      </c>
      <c r="K463" t="s">
        <v>38</v>
      </c>
      <c r="L463">
        <v>2</v>
      </c>
      <c r="M463">
        <v>265</v>
      </c>
      <c r="N463">
        <v>0</v>
      </c>
      <c r="O463">
        <v>60</v>
      </c>
      <c r="P463">
        <v>530</v>
      </c>
      <c r="Q463">
        <v>590</v>
      </c>
      <c r="R463" t="s">
        <v>98</v>
      </c>
      <c r="S463" t="s">
        <v>31</v>
      </c>
      <c r="T463" t="s">
        <v>40</v>
      </c>
      <c r="U463">
        <v>46</v>
      </c>
      <c r="V463">
        <v>2.6</v>
      </c>
      <c r="W463">
        <f>Table2[[#This Row],[Quantity]]*Table2[[#This Row],[Item_Price]]</f>
        <v>530</v>
      </c>
    </row>
    <row r="464" spans="1:23" x14ac:dyDescent="0.25">
      <c r="A464" t="s">
        <v>559</v>
      </c>
      <c r="B464" s="1">
        <v>45693</v>
      </c>
      <c r="C464" t="s">
        <v>517</v>
      </c>
      <c r="D464">
        <v>2</v>
      </c>
      <c r="E464">
        <v>5</v>
      </c>
      <c r="F464" t="s">
        <v>24</v>
      </c>
      <c r="G464" t="s">
        <v>64</v>
      </c>
      <c r="H464" t="s">
        <v>108</v>
      </c>
      <c r="I464" t="s">
        <v>97</v>
      </c>
      <c r="J464" t="s">
        <v>119</v>
      </c>
      <c r="K464" t="s">
        <v>58</v>
      </c>
      <c r="L464">
        <v>2</v>
      </c>
      <c r="M464">
        <v>150</v>
      </c>
      <c r="N464">
        <v>15</v>
      </c>
      <c r="O464">
        <v>40</v>
      </c>
      <c r="P464">
        <v>300</v>
      </c>
      <c r="Q464">
        <v>325</v>
      </c>
      <c r="R464" t="s">
        <v>39</v>
      </c>
      <c r="S464" t="s">
        <v>31</v>
      </c>
      <c r="T464" t="s">
        <v>40</v>
      </c>
      <c r="U464">
        <v>46</v>
      </c>
      <c r="V464">
        <v>4.5999999999999996</v>
      </c>
      <c r="W464">
        <f>Table2[[#This Row],[Quantity]]*Table2[[#This Row],[Item_Price]]</f>
        <v>300</v>
      </c>
    </row>
    <row r="465" spans="1:23" x14ac:dyDescent="0.25">
      <c r="A465" t="s">
        <v>560</v>
      </c>
      <c r="B465" s="1">
        <v>45693</v>
      </c>
      <c r="C465" t="s">
        <v>517</v>
      </c>
      <c r="D465">
        <v>2</v>
      </c>
      <c r="E465">
        <v>5</v>
      </c>
      <c r="F465" t="s">
        <v>24</v>
      </c>
      <c r="G465" t="s">
        <v>55</v>
      </c>
      <c r="H465" t="s">
        <v>77</v>
      </c>
      <c r="I465" t="s">
        <v>103</v>
      </c>
      <c r="J465" t="s">
        <v>62</v>
      </c>
      <c r="K465" t="s">
        <v>38</v>
      </c>
      <c r="L465">
        <v>1</v>
      </c>
      <c r="M465">
        <v>507</v>
      </c>
      <c r="N465">
        <v>76.05</v>
      </c>
      <c r="O465">
        <v>30</v>
      </c>
      <c r="P465">
        <v>507</v>
      </c>
      <c r="Q465">
        <v>460.95</v>
      </c>
      <c r="R465" t="s">
        <v>39</v>
      </c>
      <c r="S465" t="s">
        <v>31</v>
      </c>
      <c r="T465" t="s">
        <v>32</v>
      </c>
      <c r="U465">
        <v>21</v>
      </c>
      <c r="V465">
        <v>4.5999999999999996</v>
      </c>
      <c r="W465">
        <f>Table2[[#This Row],[Quantity]]*Table2[[#This Row],[Item_Price]]</f>
        <v>507</v>
      </c>
    </row>
    <row r="466" spans="1:23" x14ac:dyDescent="0.25">
      <c r="A466" t="s">
        <v>561</v>
      </c>
      <c r="B466" s="1">
        <v>45693</v>
      </c>
      <c r="C466" t="s">
        <v>517</v>
      </c>
      <c r="D466">
        <v>2</v>
      </c>
      <c r="E466">
        <v>5</v>
      </c>
      <c r="F466" t="s">
        <v>24</v>
      </c>
      <c r="G466" t="s">
        <v>64</v>
      </c>
      <c r="H466" t="s">
        <v>26</v>
      </c>
      <c r="I466" t="s">
        <v>43</v>
      </c>
      <c r="J466" t="s">
        <v>78</v>
      </c>
      <c r="K466" t="s">
        <v>38</v>
      </c>
      <c r="L466">
        <v>2</v>
      </c>
      <c r="M466">
        <v>573</v>
      </c>
      <c r="N466">
        <v>57.3</v>
      </c>
      <c r="O466">
        <v>60</v>
      </c>
      <c r="P466">
        <v>1146</v>
      </c>
      <c r="Q466">
        <v>1148.7</v>
      </c>
      <c r="R466" t="s">
        <v>30</v>
      </c>
      <c r="S466" t="s">
        <v>91</v>
      </c>
      <c r="T466" t="s">
        <v>40</v>
      </c>
      <c r="U466">
        <v>32</v>
      </c>
      <c r="W466">
        <f>Table2[[#This Row],[Quantity]]*Table2[[#This Row],[Item_Price]]</f>
        <v>1146</v>
      </c>
    </row>
    <row r="467" spans="1:23" x14ac:dyDescent="0.25">
      <c r="A467" t="s">
        <v>562</v>
      </c>
      <c r="B467" s="1">
        <v>45693</v>
      </c>
      <c r="C467" t="s">
        <v>517</v>
      </c>
      <c r="D467">
        <v>2</v>
      </c>
      <c r="E467">
        <v>5</v>
      </c>
      <c r="F467" t="s">
        <v>24</v>
      </c>
      <c r="G467" t="s">
        <v>55</v>
      </c>
      <c r="H467" t="s">
        <v>108</v>
      </c>
      <c r="I467" t="s">
        <v>103</v>
      </c>
      <c r="J467" t="s">
        <v>101</v>
      </c>
      <c r="K467" t="s">
        <v>29</v>
      </c>
      <c r="L467">
        <v>1</v>
      </c>
      <c r="M467">
        <v>489</v>
      </c>
      <c r="N467">
        <v>0</v>
      </c>
      <c r="O467">
        <v>20</v>
      </c>
      <c r="P467">
        <v>489</v>
      </c>
      <c r="Q467">
        <v>509</v>
      </c>
      <c r="R467" t="s">
        <v>39</v>
      </c>
      <c r="S467" t="s">
        <v>31</v>
      </c>
      <c r="T467" t="s">
        <v>32</v>
      </c>
      <c r="U467">
        <v>59</v>
      </c>
      <c r="V467">
        <v>4.2</v>
      </c>
      <c r="W467">
        <f>Table2[[#This Row],[Quantity]]*Table2[[#This Row],[Item_Price]]</f>
        <v>489</v>
      </c>
    </row>
    <row r="468" spans="1:23" x14ac:dyDescent="0.25">
      <c r="A468" t="s">
        <v>563</v>
      </c>
      <c r="B468" s="1">
        <v>45693</v>
      </c>
      <c r="C468" t="s">
        <v>517</v>
      </c>
      <c r="D468">
        <v>2</v>
      </c>
      <c r="E468">
        <v>5</v>
      </c>
      <c r="F468" t="s">
        <v>24</v>
      </c>
      <c r="G468" t="s">
        <v>64</v>
      </c>
      <c r="H468" t="s">
        <v>35</v>
      </c>
      <c r="I468" t="s">
        <v>57</v>
      </c>
      <c r="J468" t="s">
        <v>62</v>
      </c>
      <c r="K468" t="s">
        <v>38</v>
      </c>
      <c r="L468">
        <v>3</v>
      </c>
      <c r="M468">
        <v>502</v>
      </c>
      <c r="N468">
        <v>25.1</v>
      </c>
      <c r="O468">
        <v>40</v>
      </c>
      <c r="P468">
        <v>1506</v>
      </c>
      <c r="Q468">
        <v>1520.9</v>
      </c>
      <c r="R468" t="s">
        <v>30</v>
      </c>
      <c r="S468" t="s">
        <v>31</v>
      </c>
      <c r="T468" t="s">
        <v>40</v>
      </c>
      <c r="U468">
        <v>37</v>
      </c>
      <c r="V468">
        <v>3.8</v>
      </c>
      <c r="W468">
        <f>Table2[[#This Row],[Quantity]]*Table2[[#This Row],[Item_Price]]</f>
        <v>1506</v>
      </c>
    </row>
    <row r="469" spans="1:23" x14ac:dyDescent="0.25">
      <c r="A469" t="s">
        <v>564</v>
      </c>
      <c r="B469" s="1">
        <v>45693</v>
      </c>
      <c r="C469" t="s">
        <v>517</v>
      </c>
      <c r="D469">
        <v>2</v>
      </c>
      <c r="E469">
        <v>5</v>
      </c>
      <c r="F469" t="s">
        <v>24</v>
      </c>
      <c r="G469" t="s">
        <v>73</v>
      </c>
      <c r="H469" t="s">
        <v>60</v>
      </c>
      <c r="I469" t="s">
        <v>49</v>
      </c>
      <c r="J469" t="s">
        <v>74</v>
      </c>
      <c r="K469" t="s">
        <v>38</v>
      </c>
      <c r="L469">
        <v>1</v>
      </c>
      <c r="M469">
        <v>863</v>
      </c>
      <c r="N469">
        <v>0</v>
      </c>
      <c r="O469">
        <v>60</v>
      </c>
      <c r="P469">
        <v>863</v>
      </c>
      <c r="Q469">
        <v>923</v>
      </c>
      <c r="R469" t="s">
        <v>30</v>
      </c>
      <c r="S469" t="s">
        <v>91</v>
      </c>
      <c r="T469" t="s">
        <v>32</v>
      </c>
      <c r="U469">
        <v>49</v>
      </c>
      <c r="W469">
        <f>Table2[[#This Row],[Quantity]]*Table2[[#This Row],[Item_Price]]</f>
        <v>863</v>
      </c>
    </row>
    <row r="470" spans="1:23" x14ac:dyDescent="0.25">
      <c r="A470" t="s">
        <v>565</v>
      </c>
      <c r="B470" s="1">
        <v>45693</v>
      </c>
      <c r="C470" t="s">
        <v>517</v>
      </c>
      <c r="D470">
        <v>2</v>
      </c>
      <c r="E470">
        <v>5</v>
      </c>
      <c r="F470" t="s">
        <v>24</v>
      </c>
      <c r="G470" t="s">
        <v>73</v>
      </c>
      <c r="H470" t="s">
        <v>68</v>
      </c>
      <c r="I470" t="s">
        <v>57</v>
      </c>
      <c r="J470" t="s">
        <v>119</v>
      </c>
      <c r="K470" t="s">
        <v>58</v>
      </c>
      <c r="L470">
        <v>2</v>
      </c>
      <c r="M470">
        <v>240</v>
      </c>
      <c r="N470">
        <v>24</v>
      </c>
      <c r="O470">
        <v>50</v>
      </c>
      <c r="P470">
        <v>480</v>
      </c>
      <c r="Q470">
        <v>506</v>
      </c>
      <c r="R470" t="s">
        <v>75</v>
      </c>
      <c r="S470" t="s">
        <v>31</v>
      </c>
      <c r="T470" t="s">
        <v>40</v>
      </c>
      <c r="U470">
        <v>25</v>
      </c>
      <c r="V470">
        <v>4.2</v>
      </c>
      <c r="W470">
        <f>Table2[[#This Row],[Quantity]]*Table2[[#This Row],[Item_Price]]</f>
        <v>480</v>
      </c>
    </row>
    <row r="471" spans="1:23" x14ac:dyDescent="0.25">
      <c r="A471" t="s">
        <v>566</v>
      </c>
      <c r="B471" s="1">
        <v>45693</v>
      </c>
      <c r="C471" t="s">
        <v>517</v>
      </c>
      <c r="D471">
        <v>2</v>
      </c>
      <c r="E471">
        <v>5</v>
      </c>
      <c r="F471" t="s">
        <v>24</v>
      </c>
      <c r="G471" t="s">
        <v>64</v>
      </c>
      <c r="H471" t="s">
        <v>81</v>
      </c>
      <c r="I471" t="s">
        <v>69</v>
      </c>
      <c r="J471" t="s">
        <v>53</v>
      </c>
      <c r="K471" t="s">
        <v>38</v>
      </c>
      <c r="L471">
        <v>1</v>
      </c>
      <c r="M471">
        <v>866</v>
      </c>
      <c r="N471">
        <v>129.9</v>
      </c>
      <c r="O471">
        <v>50</v>
      </c>
      <c r="P471">
        <v>866</v>
      </c>
      <c r="Q471">
        <v>786.1</v>
      </c>
      <c r="R471" t="s">
        <v>75</v>
      </c>
      <c r="S471" t="s">
        <v>31</v>
      </c>
      <c r="T471" t="s">
        <v>40</v>
      </c>
      <c r="U471">
        <v>68</v>
      </c>
      <c r="V471">
        <v>3.8</v>
      </c>
      <c r="W471">
        <f>Table2[[#This Row],[Quantity]]*Table2[[#This Row],[Item_Price]]</f>
        <v>866</v>
      </c>
    </row>
    <row r="472" spans="1:23" x14ac:dyDescent="0.25">
      <c r="A472" t="s">
        <v>567</v>
      </c>
      <c r="B472" s="1">
        <v>45693</v>
      </c>
      <c r="C472" t="s">
        <v>517</v>
      </c>
      <c r="D472">
        <v>2</v>
      </c>
      <c r="E472">
        <v>5</v>
      </c>
      <c r="F472" t="s">
        <v>24</v>
      </c>
      <c r="G472" t="s">
        <v>73</v>
      </c>
      <c r="H472" t="s">
        <v>26</v>
      </c>
      <c r="I472" t="s">
        <v>61</v>
      </c>
      <c r="J472" t="s">
        <v>101</v>
      </c>
      <c r="K472" t="s">
        <v>58</v>
      </c>
      <c r="L472">
        <v>1</v>
      </c>
      <c r="M472">
        <v>670</v>
      </c>
      <c r="N472">
        <v>67</v>
      </c>
      <c r="O472">
        <v>70</v>
      </c>
      <c r="P472">
        <v>670</v>
      </c>
      <c r="Q472">
        <v>673</v>
      </c>
      <c r="R472" t="s">
        <v>75</v>
      </c>
      <c r="S472" t="s">
        <v>31</v>
      </c>
      <c r="T472" t="s">
        <v>40</v>
      </c>
      <c r="U472">
        <v>34</v>
      </c>
      <c r="V472">
        <v>4.2</v>
      </c>
      <c r="W472">
        <f>Table2[[#This Row],[Quantity]]*Table2[[#This Row],[Item_Price]]</f>
        <v>670</v>
      </c>
    </row>
    <row r="473" spans="1:23" x14ac:dyDescent="0.25">
      <c r="A473" t="s">
        <v>568</v>
      </c>
      <c r="B473" s="1">
        <v>45693</v>
      </c>
      <c r="C473" t="s">
        <v>517</v>
      </c>
      <c r="D473">
        <v>2</v>
      </c>
      <c r="E473">
        <v>5</v>
      </c>
      <c r="F473" t="s">
        <v>24</v>
      </c>
      <c r="G473" t="s">
        <v>34</v>
      </c>
      <c r="H473" t="s">
        <v>105</v>
      </c>
      <c r="I473" t="s">
        <v>85</v>
      </c>
      <c r="J473" t="s">
        <v>172</v>
      </c>
      <c r="K473" t="s">
        <v>45</v>
      </c>
      <c r="L473">
        <v>1</v>
      </c>
      <c r="M473">
        <v>665</v>
      </c>
      <c r="N473">
        <v>133</v>
      </c>
      <c r="O473">
        <v>30</v>
      </c>
      <c r="P473">
        <v>665</v>
      </c>
      <c r="Q473">
        <v>562</v>
      </c>
      <c r="R473" t="s">
        <v>112</v>
      </c>
      <c r="S473" t="s">
        <v>31</v>
      </c>
      <c r="T473" t="s">
        <v>32</v>
      </c>
      <c r="U473">
        <v>43</v>
      </c>
      <c r="V473">
        <v>4.4000000000000004</v>
      </c>
      <c r="W473">
        <f>Table2[[#This Row],[Quantity]]*Table2[[#This Row],[Item_Price]]</f>
        <v>665</v>
      </c>
    </row>
    <row r="474" spans="1:23" x14ac:dyDescent="0.25">
      <c r="A474" t="s">
        <v>569</v>
      </c>
      <c r="B474" s="1">
        <v>45694</v>
      </c>
      <c r="C474" t="s">
        <v>517</v>
      </c>
      <c r="D474">
        <v>2</v>
      </c>
      <c r="E474">
        <v>6</v>
      </c>
      <c r="F474" t="s">
        <v>88</v>
      </c>
      <c r="G474" t="s">
        <v>90</v>
      </c>
      <c r="H474" t="s">
        <v>56</v>
      </c>
      <c r="I474" t="s">
        <v>49</v>
      </c>
      <c r="J474" t="s">
        <v>82</v>
      </c>
      <c r="K474" t="s">
        <v>38</v>
      </c>
      <c r="L474">
        <v>3</v>
      </c>
      <c r="M474">
        <v>736</v>
      </c>
      <c r="N474">
        <v>147.19999999999999</v>
      </c>
      <c r="O474">
        <v>20</v>
      </c>
      <c r="P474">
        <v>2208</v>
      </c>
      <c r="Q474">
        <v>2080.8000000000002</v>
      </c>
      <c r="R474" t="s">
        <v>112</v>
      </c>
      <c r="S474" t="s">
        <v>31</v>
      </c>
      <c r="T474" t="s">
        <v>40</v>
      </c>
      <c r="U474">
        <v>42</v>
      </c>
      <c r="V474">
        <v>3.7</v>
      </c>
      <c r="W474">
        <f>Table2[[#This Row],[Quantity]]*Table2[[#This Row],[Item_Price]]</f>
        <v>2208</v>
      </c>
    </row>
    <row r="475" spans="1:23" x14ac:dyDescent="0.25">
      <c r="A475" t="s">
        <v>570</v>
      </c>
      <c r="B475" s="1">
        <v>45694</v>
      </c>
      <c r="C475" t="s">
        <v>517</v>
      </c>
      <c r="D475">
        <v>2</v>
      </c>
      <c r="E475">
        <v>6</v>
      </c>
      <c r="F475" t="s">
        <v>88</v>
      </c>
      <c r="G475" t="s">
        <v>64</v>
      </c>
      <c r="H475" t="s">
        <v>135</v>
      </c>
      <c r="I475" t="s">
        <v>36</v>
      </c>
      <c r="J475" t="s">
        <v>62</v>
      </c>
      <c r="K475" t="s">
        <v>38</v>
      </c>
      <c r="L475">
        <v>1</v>
      </c>
      <c r="M475">
        <v>293</v>
      </c>
      <c r="N475">
        <v>0</v>
      </c>
      <c r="O475">
        <v>30</v>
      </c>
      <c r="P475">
        <v>293</v>
      </c>
      <c r="Q475">
        <v>323</v>
      </c>
      <c r="R475" t="s">
        <v>39</v>
      </c>
      <c r="S475" t="s">
        <v>31</v>
      </c>
      <c r="T475" t="s">
        <v>40</v>
      </c>
      <c r="U475">
        <v>28</v>
      </c>
      <c r="V475">
        <v>4.5999999999999996</v>
      </c>
      <c r="W475">
        <f>Table2[[#This Row],[Quantity]]*Table2[[#This Row],[Item_Price]]</f>
        <v>293</v>
      </c>
    </row>
    <row r="476" spans="1:23" x14ac:dyDescent="0.25">
      <c r="A476" t="s">
        <v>571</v>
      </c>
      <c r="B476" s="1">
        <v>45694</v>
      </c>
      <c r="C476" t="s">
        <v>517</v>
      </c>
      <c r="D476">
        <v>2</v>
      </c>
      <c r="E476">
        <v>6</v>
      </c>
      <c r="F476" t="s">
        <v>88</v>
      </c>
      <c r="G476" t="s">
        <v>73</v>
      </c>
      <c r="H476" t="s">
        <v>26</v>
      </c>
      <c r="I476" t="s">
        <v>36</v>
      </c>
      <c r="J476" t="s">
        <v>28</v>
      </c>
      <c r="K476" t="s">
        <v>38</v>
      </c>
      <c r="L476">
        <v>2</v>
      </c>
      <c r="M476">
        <v>355</v>
      </c>
      <c r="N476">
        <v>35.5</v>
      </c>
      <c r="O476">
        <v>20</v>
      </c>
      <c r="P476">
        <v>710</v>
      </c>
      <c r="Q476">
        <v>694.5</v>
      </c>
      <c r="R476" t="s">
        <v>39</v>
      </c>
      <c r="S476" t="s">
        <v>31</v>
      </c>
      <c r="T476" t="s">
        <v>40</v>
      </c>
      <c r="U476">
        <v>35</v>
      </c>
      <c r="V476">
        <v>3.9</v>
      </c>
      <c r="W476">
        <f>Table2[[#This Row],[Quantity]]*Table2[[#This Row],[Item_Price]]</f>
        <v>710</v>
      </c>
    </row>
    <row r="477" spans="1:23" x14ac:dyDescent="0.25">
      <c r="A477" t="s">
        <v>572</v>
      </c>
      <c r="B477" s="1">
        <v>45694</v>
      </c>
      <c r="C477" t="s">
        <v>517</v>
      </c>
      <c r="D477">
        <v>2</v>
      </c>
      <c r="E477">
        <v>6</v>
      </c>
      <c r="F477" t="s">
        <v>88</v>
      </c>
      <c r="G477" t="s">
        <v>34</v>
      </c>
      <c r="H477" t="s">
        <v>108</v>
      </c>
      <c r="I477" t="s">
        <v>103</v>
      </c>
      <c r="J477" t="s">
        <v>94</v>
      </c>
      <c r="K477" t="s">
        <v>29</v>
      </c>
      <c r="L477">
        <v>1</v>
      </c>
      <c r="M477">
        <v>381</v>
      </c>
      <c r="N477">
        <v>38.1</v>
      </c>
      <c r="O477">
        <v>50</v>
      </c>
      <c r="P477">
        <v>381</v>
      </c>
      <c r="Q477">
        <v>392.9</v>
      </c>
      <c r="R477" t="s">
        <v>75</v>
      </c>
      <c r="S477" t="s">
        <v>110</v>
      </c>
      <c r="T477" t="s">
        <v>40</v>
      </c>
      <c r="U477">
        <v>34</v>
      </c>
      <c r="W477">
        <f>Table2[[#This Row],[Quantity]]*Table2[[#This Row],[Item_Price]]</f>
        <v>381</v>
      </c>
    </row>
    <row r="478" spans="1:23" x14ac:dyDescent="0.25">
      <c r="A478" t="s">
        <v>573</v>
      </c>
      <c r="B478" s="1">
        <v>45694</v>
      </c>
      <c r="C478" t="s">
        <v>517</v>
      </c>
      <c r="D478">
        <v>2</v>
      </c>
      <c r="E478">
        <v>6</v>
      </c>
      <c r="F478" t="s">
        <v>88</v>
      </c>
      <c r="G478" t="s">
        <v>73</v>
      </c>
      <c r="H478" t="s">
        <v>65</v>
      </c>
      <c r="I478" t="s">
        <v>49</v>
      </c>
      <c r="J478" t="s">
        <v>53</v>
      </c>
      <c r="K478" t="s">
        <v>38</v>
      </c>
      <c r="L478">
        <v>1</v>
      </c>
      <c r="M478">
        <v>585</v>
      </c>
      <c r="N478">
        <v>87.75</v>
      </c>
      <c r="O478">
        <v>30</v>
      </c>
      <c r="P478">
        <v>585</v>
      </c>
      <c r="Q478">
        <v>527.25</v>
      </c>
      <c r="R478" t="s">
        <v>39</v>
      </c>
      <c r="S478" t="s">
        <v>31</v>
      </c>
      <c r="T478" t="s">
        <v>40</v>
      </c>
      <c r="U478">
        <v>61</v>
      </c>
      <c r="V478">
        <v>3.8</v>
      </c>
      <c r="W478">
        <f>Table2[[#This Row],[Quantity]]*Table2[[#This Row],[Item_Price]]</f>
        <v>585</v>
      </c>
    </row>
    <row r="479" spans="1:23" x14ac:dyDescent="0.25">
      <c r="A479" t="s">
        <v>574</v>
      </c>
      <c r="B479" s="1">
        <v>45694</v>
      </c>
      <c r="C479" t="s">
        <v>517</v>
      </c>
      <c r="D479">
        <v>2</v>
      </c>
      <c r="E479">
        <v>6</v>
      </c>
      <c r="F479" t="s">
        <v>88</v>
      </c>
      <c r="G479" t="s">
        <v>96</v>
      </c>
      <c r="H479" t="s">
        <v>68</v>
      </c>
      <c r="I479" t="s">
        <v>97</v>
      </c>
      <c r="J479" t="s">
        <v>101</v>
      </c>
      <c r="K479" t="s">
        <v>38</v>
      </c>
      <c r="L479">
        <v>1</v>
      </c>
      <c r="M479">
        <v>878</v>
      </c>
      <c r="N479">
        <v>175.6</v>
      </c>
      <c r="O479">
        <v>30</v>
      </c>
      <c r="P479">
        <v>878</v>
      </c>
      <c r="Q479">
        <v>732.4</v>
      </c>
      <c r="R479" t="s">
        <v>39</v>
      </c>
      <c r="S479" t="s">
        <v>31</v>
      </c>
      <c r="T479" t="s">
        <v>32</v>
      </c>
      <c r="U479">
        <v>29</v>
      </c>
      <c r="V479">
        <v>3.8</v>
      </c>
      <c r="W479">
        <f>Table2[[#This Row],[Quantity]]*Table2[[#This Row],[Item_Price]]</f>
        <v>878</v>
      </c>
    </row>
    <row r="480" spans="1:23" x14ac:dyDescent="0.25">
      <c r="A480" t="s">
        <v>575</v>
      </c>
      <c r="B480" s="1">
        <v>45694</v>
      </c>
      <c r="C480" t="s">
        <v>517</v>
      </c>
      <c r="D480">
        <v>2</v>
      </c>
      <c r="E480">
        <v>6</v>
      </c>
      <c r="F480" t="s">
        <v>88</v>
      </c>
      <c r="G480" t="s">
        <v>80</v>
      </c>
      <c r="H480" t="s">
        <v>26</v>
      </c>
      <c r="I480" t="s">
        <v>97</v>
      </c>
      <c r="J480" t="s">
        <v>62</v>
      </c>
      <c r="K480" t="s">
        <v>38</v>
      </c>
      <c r="L480">
        <v>3</v>
      </c>
      <c r="M480">
        <v>221</v>
      </c>
      <c r="N480">
        <v>22.1</v>
      </c>
      <c r="O480">
        <v>70</v>
      </c>
      <c r="P480">
        <v>663</v>
      </c>
      <c r="Q480">
        <v>710.9</v>
      </c>
      <c r="R480" t="s">
        <v>98</v>
      </c>
      <c r="S480" t="s">
        <v>31</v>
      </c>
      <c r="T480" t="s">
        <v>32</v>
      </c>
      <c r="U480">
        <v>40</v>
      </c>
      <c r="V480">
        <v>4.0999999999999996</v>
      </c>
      <c r="W480">
        <f>Table2[[#This Row],[Quantity]]*Table2[[#This Row],[Item_Price]]</f>
        <v>663</v>
      </c>
    </row>
    <row r="481" spans="1:23" x14ac:dyDescent="0.25">
      <c r="A481" t="s">
        <v>576</v>
      </c>
      <c r="B481" s="1">
        <v>45694</v>
      </c>
      <c r="C481" t="s">
        <v>517</v>
      </c>
      <c r="D481">
        <v>2</v>
      </c>
      <c r="E481">
        <v>6</v>
      </c>
      <c r="F481" t="s">
        <v>88</v>
      </c>
      <c r="G481" t="s">
        <v>25</v>
      </c>
      <c r="H481" t="s">
        <v>35</v>
      </c>
      <c r="I481" t="s">
        <v>85</v>
      </c>
      <c r="J481" t="s">
        <v>78</v>
      </c>
      <c r="K481" t="s">
        <v>58</v>
      </c>
      <c r="L481">
        <v>2</v>
      </c>
      <c r="M481">
        <v>247</v>
      </c>
      <c r="N481">
        <v>12.35</v>
      </c>
      <c r="O481">
        <v>20</v>
      </c>
      <c r="P481">
        <v>494</v>
      </c>
      <c r="Q481">
        <v>501.65</v>
      </c>
      <c r="R481" t="s">
        <v>39</v>
      </c>
      <c r="S481" t="s">
        <v>110</v>
      </c>
      <c r="T481" t="s">
        <v>32</v>
      </c>
      <c r="U481">
        <v>27</v>
      </c>
      <c r="W481">
        <f>Table2[[#This Row],[Quantity]]*Table2[[#This Row],[Item_Price]]</f>
        <v>494</v>
      </c>
    </row>
    <row r="482" spans="1:23" x14ac:dyDescent="0.25">
      <c r="A482" t="s">
        <v>577</v>
      </c>
      <c r="B482" s="1">
        <v>45694</v>
      </c>
      <c r="C482" t="s">
        <v>517</v>
      </c>
      <c r="D482">
        <v>2</v>
      </c>
      <c r="E482">
        <v>6</v>
      </c>
      <c r="F482" t="s">
        <v>88</v>
      </c>
      <c r="G482" t="s">
        <v>64</v>
      </c>
      <c r="H482" t="s">
        <v>56</v>
      </c>
      <c r="I482" t="s">
        <v>43</v>
      </c>
      <c r="J482" t="s">
        <v>123</v>
      </c>
      <c r="K482" t="s">
        <v>38</v>
      </c>
      <c r="L482">
        <v>2</v>
      </c>
      <c r="M482">
        <v>653</v>
      </c>
      <c r="N482">
        <v>97.95</v>
      </c>
      <c r="O482">
        <v>30</v>
      </c>
      <c r="P482">
        <v>1306</v>
      </c>
      <c r="Q482">
        <v>1238.05</v>
      </c>
      <c r="R482" t="s">
        <v>39</v>
      </c>
      <c r="S482" t="s">
        <v>31</v>
      </c>
      <c r="T482" t="s">
        <v>40</v>
      </c>
      <c r="U482">
        <v>48</v>
      </c>
      <c r="V482">
        <v>4.0999999999999996</v>
      </c>
      <c r="W482">
        <f>Table2[[#This Row],[Quantity]]*Table2[[#This Row],[Item_Price]]</f>
        <v>1306</v>
      </c>
    </row>
    <row r="483" spans="1:23" x14ac:dyDescent="0.25">
      <c r="A483" t="s">
        <v>578</v>
      </c>
      <c r="B483" s="1">
        <v>45694</v>
      </c>
      <c r="C483" t="s">
        <v>517</v>
      </c>
      <c r="D483">
        <v>2</v>
      </c>
      <c r="E483">
        <v>6</v>
      </c>
      <c r="F483" t="s">
        <v>88</v>
      </c>
      <c r="G483" t="s">
        <v>90</v>
      </c>
      <c r="H483" t="s">
        <v>105</v>
      </c>
      <c r="I483" t="s">
        <v>97</v>
      </c>
      <c r="J483" t="s">
        <v>28</v>
      </c>
      <c r="K483" t="s">
        <v>38</v>
      </c>
      <c r="L483">
        <v>1</v>
      </c>
      <c r="M483">
        <v>693</v>
      </c>
      <c r="N483">
        <v>34.65</v>
      </c>
      <c r="O483">
        <v>50</v>
      </c>
      <c r="P483">
        <v>693</v>
      </c>
      <c r="Q483">
        <v>708.35</v>
      </c>
      <c r="R483" t="s">
        <v>98</v>
      </c>
      <c r="S483" t="s">
        <v>31</v>
      </c>
      <c r="T483" t="s">
        <v>40</v>
      </c>
      <c r="U483">
        <v>30</v>
      </c>
      <c r="V483">
        <v>4</v>
      </c>
      <c r="W483">
        <f>Table2[[#This Row],[Quantity]]*Table2[[#This Row],[Item_Price]]</f>
        <v>693</v>
      </c>
    </row>
    <row r="484" spans="1:23" x14ac:dyDescent="0.25">
      <c r="A484" t="s">
        <v>579</v>
      </c>
      <c r="B484" s="1">
        <v>45694</v>
      </c>
      <c r="C484" t="s">
        <v>517</v>
      </c>
      <c r="D484">
        <v>2</v>
      </c>
      <c r="E484">
        <v>6</v>
      </c>
      <c r="F484" t="s">
        <v>88</v>
      </c>
      <c r="G484" t="s">
        <v>55</v>
      </c>
      <c r="H484" t="s">
        <v>35</v>
      </c>
      <c r="I484" t="s">
        <v>103</v>
      </c>
      <c r="J484" t="s">
        <v>44</v>
      </c>
      <c r="K484" t="s">
        <v>29</v>
      </c>
      <c r="L484">
        <v>2</v>
      </c>
      <c r="M484">
        <v>301</v>
      </c>
      <c r="N484">
        <v>0</v>
      </c>
      <c r="O484">
        <v>50</v>
      </c>
      <c r="P484">
        <v>602</v>
      </c>
      <c r="Q484">
        <v>652</v>
      </c>
      <c r="R484" t="s">
        <v>75</v>
      </c>
      <c r="S484" t="s">
        <v>46</v>
      </c>
      <c r="T484" t="s">
        <v>32</v>
      </c>
      <c r="U484">
        <v>21</v>
      </c>
      <c r="W484">
        <f>Table2[[#This Row],[Quantity]]*Table2[[#This Row],[Item_Price]]</f>
        <v>602</v>
      </c>
    </row>
    <row r="485" spans="1:23" x14ac:dyDescent="0.25">
      <c r="A485" t="s">
        <v>580</v>
      </c>
      <c r="B485" s="1">
        <v>45694</v>
      </c>
      <c r="C485" t="s">
        <v>517</v>
      </c>
      <c r="D485">
        <v>2</v>
      </c>
      <c r="E485">
        <v>6</v>
      </c>
      <c r="F485" t="s">
        <v>88</v>
      </c>
      <c r="G485" t="s">
        <v>115</v>
      </c>
      <c r="H485" t="s">
        <v>81</v>
      </c>
      <c r="I485" t="s">
        <v>49</v>
      </c>
      <c r="J485" t="s">
        <v>101</v>
      </c>
      <c r="K485" t="s">
        <v>38</v>
      </c>
      <c r="L485">
        <v>2</v>
      </c>
      <c r="M485">
        <v>488</v>
      </c>
      <c r="N485">
        <v>48.8</v>
      </c>
      <c r="O485">
        <v>0</v>
      </c>
      <c r="P485">
        <v>976</v>
      </c>
      <c r="Q485">
        <v>927.2</v>
      </c>
      <c r="R485" t="s">
        <v>30</v>
      </c>
      <c r="S485" t="s">
        <v>31</v>
      </c>
      <c r="T485" t="s">
        <v>40</v>
      </c>
      <c r="U485">
        <v>38</v>
      </c>
      <c r="V485">
        <v>4.2</v>
      </c>
      <c r="W485">
        <f>Table2[[#This Row],[Quantity]]*Table2[[#This Row],[Item_Price]]</f>
        <v>976</v>
      </c>
    </row>
    <row r="486" spans="1:23" x14ac:dyDescent="0.25">
      <c r="A486" t="s">
        <v>581</v>
      </c>
      <c r="B486" s="1">
        <v>45695</v>
      </c>
      <c r="C486" t="s">
        <v>517</v>
      </c>
      <c r="D486">
        <v>2</v>
      </c>
      <c r="E486">
        <v>7</v>
      </c>
      <c r="F486" t="s">
        <v>114</v>
      </c>
      <c r="G486" t="s">
        <v>64</v>
      </c>
      <c r="H486" t="s">
        <v>56</v>
      </c>
      <c r="I486" t="s">
        <v>43</v>
      </c>
      <c r="J486" t="s">
        <v>28</v>
      </c>
      <c r="K486" t="s">
        <v>58</v>
      </c>
      <c r="L486">
        <v>1</v>
      </c>
      <c r="M486">
        <v>538</v>
      </c>
      <c r="N486">
        <v>53.8</v>
      </c>
      <c r="O486">
        <v>0</v>
      </c>
      <c r="P486">
        <v>538</v>
      </c>
      <c r="Q486">
        <v>484.2</v>
      </c>
      <c r="R486" t="s">
        <v>30</v>
      </c>
      <c r="S486" t="s">
        <v>31</v>
      </c>
      <c r="T486" t="s">
        <v>40</v>
      </c>
      <c r="U486">
        <v>39</v>
      </c>
      <c r="V486">
        <v>4.2</v>
      </c>
      <c r="W486">
        <f>Table2[[#This Row],[Quantity]]*Table2[[#This Row],[Item_Price]]</f>
        <v>538</v>
      </c>
    </row>
    <row r="487" spans="1:23" x14ac:dyDescent="0.25">
      <c r="A487" t="s">
        <v>582</v>
      </c>
      <c r="B487" s="1">
        <v>45695</v>
      </c>
      <c r="C487" t="s">
        <v>517</v>
      </c>
      <c r="D487">
        <v>2</v>
      </c>
      <c r="E487">
        <v>7</v>
      </c>
      <c r="F487" t="s">
        <v>114</v>
      </c>
      <c r="G487" t="s">
        <v>64</v>
      </c>
      <c r="H487" t="s">
        <v>105</v>
      </c>
      <c r="I487" t="s">
        <v>27</v>
      </c>
      <c r="J487" t="s">
        <v>74</v>
      </c>
      <c r="K487" t="s">
        <v>29</v>
      </c>
      <c r="L487">
        <v>2</v>
      </c>
      <c r="M487">
        <v>267</v>
      </c>
      <c r="N487">
        <v>53.4</v>
      </c>
      <c r="O487">
        <v>20</v>
      </c>
      <c r="P487">
        <v>534</v>
      </c>
      <c r="Q487">
        <v>500.6</v>
      </c>
      <c r="R487" t="s">
        <v>112</v>
      </c>
      <c r="S487" t="s">
        <v>31</v>
      </c>
      <c r="T487" t="s">
        <v>40</v>
      </c>
      <c r="U487">
        <v>19</v>
      </c>
      <c r="V487">
        <v>2.9</v>
      </c>
      <c r="W487">
        <f>Table2[[#This Row],[Quantity]]*Table2[[#This Row],[Item_Price]]</f>
        <v>534</v>
      </c>
    </row>
    <row r="488" spans="1:23" x14ac:dyDescent="0.25">
      <c r="A488" t="s">
        <v>583</v>
      </c>
      <c r="B488" s="1">
        <v>45695</v>
      </c>
      <c r="C488" t="s">
        <v>517</v>
      </c>
      <c r="D488">
        <v>2</v>
      </c>
      <c r="E488">
        <v>7</v>
      </c>
      <c r="F488" t="s">
        <v>114</v>
      </c>
      <c r="G488" t="s">
        <v>73</v>
      </c>
      <c r="H488" t="s">
        <v>65</v>
      </c>
      <c r="I488" t="s">
        <v>36</v>
      </c>
      <c r="J488" t="s">
        <v>74</v>
      </c>
      <c r="K488" t="s">
        <v>38</v>
      </c>
      <c r="L488">
        <v>2</v>
      </c>
      <c r="M488">
        <v>564</v>
      </c>
      <c r="N488">
        <v>112.8</v>
      </c>
      <c r="O488">
        <v>20</v>
      </c>
      <c r="P488">
        <v>1128</v>
      </c>
      <c r="Q488">
        <v>1035.2</v>
      </c>
      <c r="R488" t="s">
        <v>112</v>
      </c>
      <c r="S488" t="s">
        <v>31</v>
      </c>
      <c r="T488" t="s">
        <v>40</v>
      </c>
      <c r="U488">
        <v>58</v>
      </c>
      <c r="V488">
        <v>4.4000000000000004</v>
      </c>
      <c r="W488">
        <f>Table2[[#This Row],[Quantity]]*Table2[[#This Row],[Item_Price]]</f>
        <v>1128</v>
      </c>
    </row>
    <row r="489" spans="1:23" x14ac:dyDescent="0.25">
      <c r="A489" t="s">
        <v>584</v>
      </c>
      <c r="B489" s="1">
        <v>45695</v>
      </c>
      <c r="C489" t="s">
        <v>517</v>
      </c>
      <c r="D489">
        <v>2</v>
      </c>
      <c r="E489">
        <v>7</v>
      </c>
      <c r="F489" t="s">
        <v>114</v>
      </c>
      <c r="G489" t="s">
        <v>25</v>
      </c>
      <c r="H489" t="s">
        <v>48</v>
      </c>
      <c r="I489" t="s">
        <v>36</v>
      </c>
      <c r="J489" t="s">
        <v>44</v>
      </c>
      <c r="K489" t="s">
        <v>38</v>
      </c>
      <c r="L489">
        <v>2</v>
      </c>
      <c r="M489">
        <v>468</v>
      </c>
      <c r="N489">
        <v>46.8</v>
      </c>
      <c r="O489">
        <v>50</v>
      </c>
      <c r="P489">
        <v>936</v>
      </c>
      <c r="Q489">
        <v>939.2</v>
      </c>
      <c r="R489" t="s">
        <v>75</v>
      </c>
      <c r="S489" t="s">
        <v>31</v>
      </c>
      <c r="T489" t="s">
        <v>40</v>
      </c>
      <c r="U489">
        <v>34</v>
      </c>
      <c r="V489">
        <v>3.6</v>
      </c>
      <c r="W489">
        <f>Table2[[#This Row],[Quantity]]*Table2[[#This Row],[Item_Price]]</f>
        <v>936</v>
      </c>
    </row>
    <row r="490" spans="1:23" x14ac:dyDescent="0.25">
      <c r="A490" t="s">
        <v>585</v>
      </c>
      <c r="B490" s="1">
        <v>45695</v>
      </c>
      <c r="C490" t="s">
        <v>517</v>
      </c>
      <c r="D490">
        <v>2</v>
      </c>
      <c r="E490">
        <v>7</v>
      </c>
      <c r="F490" t="s">
        <v>114</v>
      </c>
      <c r="G490" t="s">
        <v>84</v>
      </c>
      <c r="H490" t="s">
        <v>139</v>
      </c>
      <c r="I490" t="s">
        <v>27</v>
      </c>
      <c r="J490" t="s">
        <v>172</v>
      </c>
      <c r="K490" t="s">
        <v>45</v>
      </c>
      <c r="L490">
        <v>2</v>
      </c>
      <c r="M490">
        <v>436</v>
      </c>
      <c r="N490">
        <v>65.400000000000006</v>
      </c>
      <c r="O490">
        <v>40</v>
      </c>
      <c r="P490">
        <v>872</v>
      </c>
      <c r="Q490">
        <v>846.6</v>
      </c>
      <c r="R490" t="s">
        <v>39</v>
      </c>
      <c r="S490" t="s">
        <v>31</v>
      </c>
      <c r="T490" t="s">
        <v>32</v>
      </c>
      <c r="U490">
        <v>55</v>
      </c>
      <c r="V490">
        <v>3.9</v>
      </c>
      <c r="W490">
        <f>Table2[[#This Row],[Quantity]]*Table2[[#This Row],[Item_Price]]</f>
        <v>872</v>
      </c>
    </row>
    <row r="491" spans="1:23" x14ac:dyDescent="0.25">
      <c r="A491" t="s">
        <v>586</v>
      </c>
      <c r="B491" s="1">
        <v>45695</v>
      </c>
      <c r="C491" t="s">
        <v>517</v>
      </c>
      <c r="D491">
        <v>2</v>
      </c>
      <c r="E491">
        <v>7</v>
      </c>
      <c r="F491" t="s">
        <v>114</v>
      </c>
      <c r="G491" t="s">
        <v>73</v>
      </c>
      <c r="H491" t="s">
        <v>26</v>
      </c>
      <c r="I491" t="s">
        <v>61</v>
      </c>
      <c r="J491" t="s">
        <v>50</v>
      </c>
      <c r="K491" t="s">
        <v>38</v>
      </c>
      <c r="L491">
        <v>2</v>
      </c>
      <c r="M491">
        <v>164</v>
      </c>
      <c r="N491">
        <v>32.799999999999997</v>
      </c>
      <c r="O491">
        <v>70</v>
      </c>
      <c r="P491">
        <v>328</v>
      </c>
      <c r="Q491">
        <v>365.2</v>
      </c>
      <c r="R491" t="s">
        <v>39</v>
      </c>
      <c r="S491" t="s">
        <v>31</v>
      </c>
      <c r="T491" t="s">
        <v>40</v>
      </c>
      <c r="U491">
        <v>63</v>
      </c>
      <c r="V491">
        <v>4.2</v>
      </c>
      <c r="W491">
        <f>Table2[[#This Row],[Quantity]]*Table2[[#This Row],[Item_Price]]</f>
        <v>328</v>
      </c>
    </row>
    <row r="492" spans="1:23" x14ac:dyDescent="0.25">
      <c r="A492" t="s">
        <v>587</v>
      </c>
      <c r="B492" s="1">
        <v>45695</v>
      </c>
      <c r="C492" t="s">
        <v>517</v>
      </c>
      <c r="D492">
        <v>2</v>
      </c>
      <c r="E492">
        <v>7</v>
      </c>
      <c r="F492" t="s">
        <v>114</v>
      </c>
      <c r="G492" t="s">
        <v>34</v>
      </c>
      <c r="H492" t="s">
        <v>65</v>
      </c>
      <c r="I492" t="s">
        <v>85</v>
      </c>
      <c r="J492" t="s">
        <v>44</v>
      </c>
      <c r="K492" t="s">
        <v>38</v>
      </c>
      <c r="L492">
        <v>2</v>
      </c>
      <c r="M492">
        <v>149</v>
      </c>
      <c r="N492">
        <v>22.35</v>
      </c>
      <c r="O492">
        <v>70</v>
      </c>
      <c r="P492">
        <v>298</v>
      </c>
      <c r="Q492">
        <v>345.65</v>
      </c>
      <c r="R492" t="s">
        <v>75</v>
      </c>
      <c r="S492" t="s">
        <v>31</v>
      </c>
      <c r="T492" t="s">
        <v>40</v>
      </c>
      <c r="U492">
        <v>51</v>
      </c>
      <c r="V492">
        <v>4</v>
      </c>
      <c r="W492">
        <f>Table2[[#This Row],[Quantity]]*Table2[[#This Row],[Item_Price]]</f>
        <v>298</v>
      </c>
    </row>
    <row r="493" spans="1:23" x14ac:dyDescent="0.25">
      <c r="A493" t="s">
        <v>588</v>
      </c>
      <c r="B493" s="1">
        <v>45695</v>
      </c>
      <c r="C493" t="s">
        <v>517</v>
      </c>
      <c r="D493">
        <v>2</v>
      </c>
      <c r="E493">
        <v>7</v>
      </c>
      <c r="F493" t="s">
        <v>114</v>
      </c>
      <c r="G493" t="s">
        <v>80</v>
      </c>
      <c r="H493" t="s">
        <v>108</v>
      </c>
      <c r="I493" t="s">
        <v>97</v>
      </c>
      <c r="J493" t="s">
        <v>74</v>
      </c>
      <c r="K493" t="s">
        <v>45</v>
      </c>
      <c r="L493">
        <v>1</v>
      </c>
      <c r="M493">
        <v>318</v>
      </c>
      <c r="N493">
        <v>0</v>
      </c>
      <c r="O493">
        <v>70</v>
      </c>
      <c r="P493">
        <v>318</v>
      </c>
      <c r="Q493">
        <v>388</v>
      </c>
      <c r="R493" t="s">
        <v>112</v>
      </c>
      <c r="S493" t="s">
        <v>31</v>
      </c>
      <c r="T493" t="s">
        <v>32</v>
      </c>
      <c r="U493">
        <v>30</v>
      </c>
      <c r="V493">
        <v>3.1</v>
      </c>
      <c r="W493">
        <f>Table2[[#This Row],[Quantity]]*Table2[[#This Row],[Item_Price]]</f>
        <v>318</v>
      </c>
    </row>
    <row r="494" spans="1:23" x14ac:dyDescent="0.25">
      <c r="A494" t="s">
        <v>589</v>
      </c>
      <c r="B494" s="1">
        <v>45695</v>
      </c>
      <c r="C494" t="s">
        <v>517</v>
      </c>
      <c r="D494">
        <v>2</v>
      </c>
      <c r="E494">
        <v>7</v>
      </c>
      <c r="F494" t="s">
        <v>114</v>
      </c>
      <c r="G494" t="s">
        <v>80</v>
      </c>
      <c r="H494" t="s">
        <v>65</v>
      </c>
      <c r="I494" t="s">
        <v>69</v>
      </c>
      <c r="J494" t="s">
        <v>28</v>
      </c>
      <c r="K494" t="s">
        <v>38</v>
      </c>
      <c r="L494">
        <v>2</v>
      </c>
      <c r="M494">
        <v>699</v>
      </c>
      <c r="N494">
        <v>104.85</v>
      </c>
      <c r="O494">
        <v>50</v>
      </c>
      <c r="P494">
        <v>1398</v>
      </c>
      <c r="Q494">
        <v>1343.15</v>
      </c>
      <c r="R494" t="s">
        <v>112</v>
      </c>
      <c r="S494" t="s">
        <v>31</v>
      </c>
      <c r="T494" t="s">
        <v>40</v>
      </c>
      <c r="U494">
        <v>25</v>
      </c>
      <c r="V494">
        <v>4.3</v>
      </c>
      <c r="W494">
        <f>Table2[[#This Row],[Quantity]]*Table2[[#This Row],[Item_Price]]</f>
        <v>1398</v>
      </c>
    </row>
    <row r="495" spans="1:23" x14ac:dyDescent="0.25">
      <c r="A495" t="s">
        <v>590</v>
      </c>
      <c r="B495" s="1">
        <v>45695</v>
      </c>
      <c r="C495" t="s">
        <v>517</v>
      </c>
      <c r="D495">
        <v>2</v>
      </c>
      <c r="E495">
        <v>7</v>
      </c>
      <c r="F495" t="s">
        <v>114</v>
      </c>
      <c r="G495" t="s">
        <v>90</v>
      </c>
      <c r="H495" t="s">
        <v>77</v>
      </c>
      <c r="I495" t="s">
        <v>69</v>
      </c>
      <c r="J495" t="s">
        <v>28</v>
      </c>
      <c r="K495" t="s">
        <v>58</v>
      </c>
      <c r="L495">
        <v>1</v>
      </c>
      <c r="M495">
        <v>198</v>
      </c>
      <c r="N495">
        <v>0</v>
      </c>
      <c r="O495">
        <v>40</v>
      </c>
      <c r="P495">
        <v>198</v>
      </c>
      <c r="Q495">
        <v>238</v>
      </c>
      <c r="R495" t="s">
        <v>39</v>
      </c>
      <c r="S495" t="s">
        <v>31</v>
      </c>
      <c r="T495" t="s">
        <v>32</v>
      </c>
      <c r="U495">
        <v>54</v>
      </c>
      <c r="V495">
        <v>3.2</v>
      </c>
      <c r="W495">
        <f>Table2[[#This Row],[Quantity]]*Table2[[#This Row],[Item_Price]]</f>
        <v>198</v>
      </c>
    </row>
    <row r="496" spans="1:23" x14ac:dyDescent="0.25">
      <c r="A496" t="s">
        <v>591</v>
      </c>
      <c r="B496" s="1">
        <v>45695</v>
      </c>
      <c r="C496" t="s">
        <v>517</v>
      </c>
      <c r="D496">
        <v>2</v>
      </c>
      <c r="E496">
        <v>7</v>
      </c>
      <c r="F496" t="s">
        <v>114</v>
      </c>
      <c r="G496" t="s">
        <v>64</v>
      </c>
      <c r="H496" t="s">
        <v>26</v>
      </c>
      <c r="I496" t="s">
        <v>27</v>
      </c>
      <c r="J496" t="s">
        <v>70</v>
      </c>
      <c r="K496" t="s">
        <v>38</v>
      </c>
      <c r="L496">
        <v>1</v>
      </c>
      <c r="M496">
        <v>507</v>
      </c>
      <c r="N496">
        <v>0</v>
      </c>
      <c r="O496">
        <v>50</v>
      </c>
      <c r="P496">
        <v>507</v>
      </c>
      <c r="Q496">
        <v>557</v>
      </c>
      <c r="R496" t="s">
        <v>112</v>
      </c>
      <c r="S496" t="s">
        <v>31</v>
      </c>
      <c r="T496" t="s">
        <v>32</v>
      </c>
      <c r="U496">
        <v>66</v>
      </c>
      <c r="V496">
        <v>3.2</v>
      </c>
      <c r="W496">
        <f>Table2[[#This Row],[Quantity]]*Table2[[#This Row],[Item_Price]]</f>
        <v>507</v>
      </c>
    </row>
    <row r="497" spans="1:23" x14ac:dyDescent="0.25">
      <c r="A497" t="s">
        <v>592</v>
      </c>
      <c r="B497" s="1">
        <v>45695</v>
      </c>
      <c r="C497" t="s">
        <v>517</v>
      </c>
      <c r="D497">
        <v>2</v>
      </c>
      <c r="E497">
        <v>7</v>
      </c>
      <c r="F497" t="s">
        <v>114</v>
      </c>
      <c r="G497" t="s">
        <v>115</v>
      </c>
      <c r="H497" t="s">
        <v>65</v>
      </c>
      <c r="I497" t="s">
        <v>36</v>
      </c>
      <c r="J497" t="s">
        <v>44</v>
      </c>
      <c r="K497" t="s">
        <v>38</v>
      </c>
      <c r="L497">
        <v>1</v>
      </c>
      <c r="M497">
        <v>730</v>
      </c>
      <c r="N497">
        <v>36.5</v>
      </c>
      <c r="O497">
        <v>30</v>
      </c>
      <c r="P497">
        <v>730</v>
      </c>
      <c r="Q497">
        <v>723.5</v>
      </c>
      <c r="R497" t="s">
        <v>39</v>
      </c>
      <c r="S497" t="s">
        <v>31</v>
      </c>
      <c r="T497" t="s">
        <v>32</v>
      </c>
      <c r="U497">
        <v>70</v>
      </c>
      <c r="V497">
        <v>3.9</v>
      </c>
      <c r="W497">
        <f>Table2[[#This Row],[Quantity]]*Table2[[#This Row],[Item_Price]]</f>
        <v>730</v>
      </c>
    </row>
    <row r="498" spans="1:23" x14ac:dyDescent="0.25">
      <c r="A498" t="s">
        <v>593</v>
      </c>
      <c r="B498" s="1">
        <v>45695</v>
      </c>
      <c r="C498" t="s">
        <v>517</v>
      </c>
      <c r="D498">
        <v>2</v>
      </c>
      <c r="E498">
        <v>7</v>
      </c>
      <c r="F498" t="s">
        <v>114</v>
      </c>
      <c r="G498" t="s">
        <v>55</v>
      </c>
      <c r="H498" t="s">
        <v>105</v>
      </c>
      <c r="I498" t="s">
        <v>85</v>
      </c>
      <c r="J498" t="s">
        <v>123</v>
      </c>
      <c r="K498" t="s">
        <v>38</v>
      </c>
      <c r="L498">
        <v>2</v>
      </c>
      <c r="M498">
        <v>304</v>
      </c>
      <c r="N498">
        <v>30.4</v>
      </c>
      <c r="O498">
        <v>30</v>
      </c>
      <c r="P498">
        <v>608</v>
      </c>
      <c r="Q498">
        <v>607.6</v>
      </c>
      <c r="R498" t="s">
        <v>39</v>
      </c>
      <c r="S498" t="s">
        <v>91</v>
      </c>
      <c r="T498" t="s">
        <v>40</v>
      </c>
      <c r="U498">
        <v>48</v>
      </c>
      <c r="W498">
        <f>Table2[[#This Row],[Quantity]]*Table2[[#This Row],[Item_Price]]</f>
        <v>608</v>
      </c>
    </row>
    <row r="499" spans="1:23" x14ac:dyDescent="0.25">
      <c r="A499" t="s">
        <v>594</v>
      </c>
      <c r="B499" s="1">
        <v>45695</v>
      </c>
      <c r="C499" t="s">
        <v>517</v>
      </c>
      <c r="D499">
        <v>2</v>
      </c>
      <c r="E499">
        <v>7</v>
      </c>
      <c r="F499" t="s">
        <v>114</v>
      </c>
      <c r="G499" t="s">
        <v>64</v>
      </c>
      <c r="H499" t="s">
        <v>139</v>
      </c>
      <c r="I499" t="s">
        <v>27</v>
      </c>
      <c r="J499" t="s">
        <v>44</v>
      </c>
      <c r="K499" t="s">
        <v>38</v>
      </c>
      <c r="L499">
        <v>1</v>
      </c>
      <c r="M499">
        <v>251</v>
      </c>
      <c r="N499">
        <v>0</v>
      </c>
      <c r="O499">
        <v>0</v>
      </c>
      <c r="P499">
        <v>251</v>
      </c>
      <c r="Q499">
        <v>251</v>
      </c>
      <c r="R499" t="s">
        <v>75</v>
      </c>
      <c r="S499" t="s">
        <v>31</v>
      </c>
      <c r="T499" t="s">
        <v>40</v>
      </c>
      <c r="U499">
        <v>45</v>
      </c>
      <c r="V499">
        <v>4.3</v>
      </c>
      <c r="W499">
        <f>Table2[[#This Row],[Quantity]]*Table2[[#This Row],[Item_Price]]</f>
        <v>251</v>
      </c>
    </row>
    <row r="500" spans="1:23" x14ac:dyDescent="0.25">
      <c r="A500" t="s">
        <v>595</v>
      </c>
      <c r="B500" s="1">
        <v>45695</v>
      </c>
      <c r="C500" t="s">
        <v>517</v>
      </c>
      <c r="D500">
        <v>2</v>
      </c>
      <c r="E500">
        <v>7</v>
      </c>
      <c r="F500" t="s">
        <v>114</v>
      </c>
      <c r="G500" t="s">
        <v>25</v>
      </c>
      <c r="H500" t="s">
        <v>135</v>
      </c>
      <c r="I500" t="s">
        <v>49</v>
      </c>
      <c r="J500" t="s">
        <v>44</v>
      </c>
      <c r="K500" t="s">
        <v>38</v>
      </c>
      <c r="L500">
        <v>1</v>
      </c>
      <c r="M500">
        <v>179</v>
      </c>
      <c r="N500">
        <v>8.9499999999999993</v>
      </c>
      <c r="O500">
        <v>30</v>
      </c>
      <c r="P500">
        <v>179</v>
      </c>
      <c r="Q500">
        <v>200.05</v>
      </c>
      <c r="R500" t="s">
        <v>39</v>
      </c>
      <c r="S500" t="s">
        <v>31</v>
      </c>
      <c r="T500" t="s">
        <v>40</v>
      </c>
      <c r="U500">
        <v>60</v>
      </c>
      <c r="V500">
        <v>4.3</v>
      </c>
      <c r="W500">
        <f>Table2[[#This Row],[Quantity]]*Table2[[#This Row],[Item_Price]]</f>
        <v>179</v>
      </c>
    </row>
    <row r="501" spans="1:23" x14ac:dyDescent="0.25">
      <c r="A501" t="s">
        <v>596</v>
      </c>
      <c r="B501" s="1">
        <v>45696</v>
      </c>
      <c r="C501" t="s">
        <v>517</v>
      </c>
      <c r="D501">
        <v>2</v>
      </c>
      <c r="E501">
        <v>8</v>
      </c>
      <c r="F501" t="s">
        <v>134</v>
      </c>
      <c r="G501" t="s">
        <v>25</v>
      </c>
      <c r="H501" t="s">
        <v>108</v>
      </c>
      <c r="I501" t="s">
        <v>69</v>
      </c>
      <c r="J501" t="s">
        <v>66</v>
      </c>
      <c r="K501" t="s">
        <v>38</v>
      </c>
      <c r="L501">
        <v>3</v>
      </c>
      <c r="M501">
        <v>628</v>
      </c>
      <c r="N501">
        <v>0</v>
      </c>
      <c r="O501">
        <v>20</v>
      </c>
      <c r="P501">
        <v>1884</v>
      </c>
      <c r="Q501">
        <v>1904</v>
      </c>
      <c r="R501" t="s">
        <v>112</v>
      </c>
      <c r="S501" t="s">
        <v>110</v>
      </c>
      <c r="T501" t="s">
        <v>40</v>
      </c>
      <c r="U501">
        <v>29</v>
      </c>
      <c r="W501">
        <f>Table2[[#This Row],[Quantity]]*Table2[[#This Row],[Item_Price]]</f>
        <v>1884</v>
      </c>
    </row>
    <row r="502" spans="1:23" x14ac:dyDescent="0.25">
      <c r="A502" t="s">
        <v>597</v>
      </c>
      <c r="B502" s="1">
        <v>45696</v>
      </c>
      <c r="C502" t="s">
        <v>517</v>
      </c>
      <c r="D502">
        <v>2</v>
      </c>
      <c r="E502">
        <v>8</v>
      </c>
      <c r="F502" t="s">
        <v>134</v>
      </c>
      <c r="G502" t="s">
        <v>84</v>
      </c>
      <c r="H502" t="s">
        <v>139</v>
      </c>
      <c r="I502" t="s">
        <v>49</v>
      </c>
      <c r="J502" t="s">
        <v>70</v>
      </c>
      <c r="K502" t="s">
        <v>38</v>
      </c>
      <c r="L502">
        <v>1</v>
      </c>
      <c r="M502">
        <v>879</v>
      </c>
      <c r="N502">
        <v>219.75</v>
      </c>
      <c r="O502">
        <v>20</v>
      </c>
      <c r="P502">
        <v>879</v>
      </c>
      <c r="Q502">
        <v>679.25</v>
      </c>
      <c r="R502" t="s">
        <v>30</v>
      </c>
      <c r="S502" t="s">
        <v>31</v>
      </c>
      <c r="T502" t="s">
        <v>40</v>
      </c>
      <c r="U502">
        <v>33</v>
      </c>
      <c r="V502">
        <v>4.3</v>
      </c>
      <c r="W502">
        <f>Table2[[#This Row],[Quantity]]*Table2[[#This Row],[Item_Price]]</f>
        <v>879</v>
      </c>
    </row>
    <row r="503" spans="1:23" x14ac:dyDescent="0.25">
      <c r="A503" t="s">
        <v>598</v>
      </c>
      <c r="B503" s="1">
        <v>45696</v>
      </c>
      <c r="C503" t="s">
        <v>517</v>
      </c>
      <c r="D503">
        <v>2</v>
      </c>
      <c r="E503">
        <v>8</v>
      </c>
      <c r="F503" t="s">
        <v>134</v>
      </c>
      <c r="G503" t="s">
        <v>73</v>
      </c>
      <c r="H503" t="s">
        <v>48</v>
      </c>
      <c r="I503" t="s">
        <v>49</v>
      </c>
      <c r="J503" t="s">
        <v>101</v>
      </c>
      <c r="K503" t="s">
        <v>38</v>
      </c>
      <c r="L503">
        <v>1</v>
      </c>
      <c r="M503">
        <v>596</v>
      </c>
      <c r="N503">
        <v>59.6</v>
      </c>
      <c r="O503">
        <v>40</v>
      </c>
      <c r="P503">
        <v>596</v>
      </c>
      <c r="Q503">
        <v>576.4</v>
      </c>
      <c r="R503" t="s">
        <v>39</v>
      </c>
      <c r="S503" t="s">
        <v>31</v>
      </c>
      <c r="T503" t="s">
        <v>40</v>
      </c>
      <c r="U503">
        <v>33</v>
      </c>
      <c r="V503">
        <v>4.7</v>
      </c>
      <c r="W503">
        <f>Table2[[#This Row],[Quantity]]*Table2[[#This Row],[Item_Price]]</f>
        <v>596</v>
      </c>
    </row>
    <row r="504" spans="1:23" x14ac:dyDescent="0.25">
      <c r="A504" t="s">
        <v>599</v>
      </c>
      <c r="B504" s="1">
        <v>45696</v>
      </c>
      <c r="C504" t="s">
        <v>517</v>
      </c>
      <c r="D504">
        <v>2</v>
      </c>
      <c r="E504">
        <v>8</v>
      </c>
      <c r="F504" t="s">
        <v>134</v>
      </c>
      <c r="G504" t="s">
        <v>115</v>
      </c>
      <c r="H504" t="s">
        <v>35</v>
      </c>
      <c r="I504" t="s">
        <v>103</v>
      </c>
      <c r="J504" t="s">
        <v>82</v>
      </c>
      <c r="K504" t="s">
        <v>45</v>
      </c>
      <c r="L504">
        <v>1</v>
      </c>
      <c r="M504">
        <v>254</v>
      </c>
      <c r="N504">
        <v>0</v>
      </c>
      <c r="O504">
        <v>50</v>
      </c>
      <c r="P504">
        <v>254</v>
      </c>
      <c r="Q504">
        <v>304</v>
      </c>
      <c r="R504" t="s">
        <v>98</v>
      </c>
      <c r="S504" t="s">
        <v>31</v>
      </c>
      <c r="T504" t="s">
        <v>40</v>
      </c>
      <c r="U504">
        <v>25</v>
      </c>
      <c r="V504">
        <v>4</v>
      </c>
      <c r="W504">
        <f>Table2[[#This Row],[Quantity]]*Table2[[#This Row],[Item_Price]]</f>
        <v>254</v>
      </c>
    </row>
    <row r="505" spans="1:23" x14ac:dyDescent="0.25">
      <c r="A505" t="s">
        <v>600</v>
      </c>
      <c r="B505" s="1">
        <v>45696</v>
      </c>
      <c r="C505" t="s">
        <v>517</v>
      </c>
      <c r="D505">
        <v>2</v>
      </c>
      <c r="E505">
        <v>8</v>
      </c>
      <c r="F505" t="s">
        <v>134</v>
      </c>
      <c r="G505" t="s">
        <v>96</v>
      </c>
      <c r="H505" t="s">
        <v>139</v>
      </c>
      <c r="I505" t="s">
        <v>97</v>
      </c>
      <c r="J505" t="s">
        <v>37</v>
      </c>
      <c r="K505" t="s">
        <v>38</v>
      </c>
      <c r="L505">
        <v>2</v>
      </c>
      <c r="M505">
        <v>859</v>
      </c>
      <c r="N505">
        <v>128.85</v>
      </c>
      <c r="O505">
        <v>40</v>
      </c>
      <c r="P505">
        <v>1718</v>
      </c>
      <c r="Q505">
        <v>1629.15</v>
      </c>
      <c r="R505" t="s">
        <v>112</v>
      </c>
      <c r="S505" t="s">
        <v>31</v>
      </c>
      <c r="T505" t="s">
        <v>40</v>
      </c>
      <c r="U505">
        <v>38</v>
      </c>
      <c r="V505">
        <v>5</v>
      </c>
      <c r="W505">
        <f>Table2[[#This Row],[Quantity]]*Table2[[#This Row],[Item_Price]]</f>
        <v>1718</v>
      </c>
    </row>
    <row r="506" spans="1:23" x14ac:dyDescent="0.25">
      <c r="A506" t="s">
        <v>601</v>
      </c>
      <c r="B506" s="1">
        <v>45696</v>
      </c>
      <c r="C506" t="s">
        <v>517</v>
      </c>
      <c r="D506">
        <v>2</v>
      </c>
      <c r="E506">
        <v>8</v>
      </c>
      <c r="F506" t="s">
        <v>134</v>
      </c>
      <c r="G506" t="s">
        <v>34</v>
      </c>
      <c r="H506" t="s">
        <v>35</v>
      </c>
      <c r="I506" t="s">
        <v>69</v>
      </c>
      <c r="J506" t="s">
        <v>172</v>
      </c>
      <c r="K506" t="s">
        <v>45</v>
      </c>
      <c r="L506">
        <v>2</v>
      </c>
      <c r="M506">
        <v>675</v>
      </c>
      <c r="N506">
        <v>67.5</v>
      </c>
      <c r="O506">
        <v>30</v>
      </c>
      <c r="P506">
        <v>1350</v>
      </c>
      <c r="Q506">
        <v>1312.5</v>
      </c>
      <c r="R506" t="s">
        <v>112</v>
      </c>
      <c r="S506" t="s">
        <v>31</v>
      </c>
      <c r="T506" t="s">
        <v>40</v>
      </c>
      <c r="U506">
        <v>19</v>
      </c>
      <c r="V506">
        <v>3.3</v>
      </c>
      <c r="W506">
        <f>Table2[[#This Row],[Quantity]]*Table2[[#This Row],[Item_Price]]</f>
        <v>1350</v>
      </c>
    </row>
    <row r="507" spans="1:23" x14ac:dyDescent="0.25">
      <c r="A507" t="s">
        <v>602</v>
      </c>
      <c r="B507" s="1">
        <v>45696</v>
      </c>
      <c r="C507" t="s">
        <v>517</v>
      </c>
      <c r="D507">
        <v>2</v>
      </c>
      <c r="E507">
        <v>8</v>
      </c>
      <c r="F507" t="s">
        <v>134</v>
      </c>
      <c r="G507" t="s">
        <v>64</v>
      </c>
      <c r="H507" t="s">
        <v>56</v>
      </c>
      <c r="I507" t="s">
        <v>103</v>
      </c>
      <c r="J507" t="s">
        <v>53</v>
      </c>
      <c r="K507" t="s">
        <v>38</v>
      </c>
      <c r="L507">
        <v>2</v>
      </c>
      <c r="M507">
        <v>451</v>
      </c>
      <c r="N507">
        <v>90.2</v>
      </c>
      <c r="O507">
        <v>30</v>
      </c>
      <c r="P507">
        <v>902</v>
      </c>
      <c r="Q507">
        <v>841.8</v>
      </c>
      <c r="R507" t="s">
        <v>98</v>
      </c>
      <c r="S507" t="s">
        <v>31</v>
      </c>
      <c r="T507" t="s">
        <v>40</v>
      </c>
      <c r="U507">
        <v>24</v>
      </c>
      <c r="V507">
        <v>4.4000000000000004</v>
      </c>
      <c r="W507">
        <f>Table2[[#This Row],[Quantity]]*Table2[[#This Row],[Item_Price]]</f>
        <v>902</v>
      </c>
    </row>
    <row r="508" spans="1:23" x14ac:dyDescent="0.25">
      <c r="A508" t="s">
        <v>603</v>
      </c>
      <c r="B508" s="1">
        <v>45696</v>
      </c>
      <c r="C508" t="s">
        <v>517</v>
      </c>
      <c r="D508">
        <v>2</v>
      </c>
      <c r="E508">
        <v>8</v>
      </c>
      <c r="F508" t="s">
        <v>134</v>
      </c>
      <c r="G508" t="s">
        <v>25</v>
      </c>
      <c r="H508" t="s">
        <v>65</v>
      </c>
      <c r="I508" t="s">
        <v>103</v>
      </c>
      <c r="J508" t="s">
        <v>44</v>
      </c>
      <c r="K508" t="s">
        <v>38</v>
      </c>
      <c r="L508">
        <v>1</v>
      </c>
      <c r="M508">
        <v>744</v>
      </c>
      <c r="N508">
        <v>111.6</v>
      </c>
      <c r="O508">
        <v>30</v>
      </c>
      <c r="P508">
        <v>744</v>
      </c>
      <c r="Q508">
        <v>662.4</v>
      </c>
      <c r="R508" t="s">
        <v>75</v>
      </c>
      <c r="S508" t="s">
        <v>31</v>
      </c>
      <c r="T508" t="s">
        <v>40</v>
      </c>
      <c r="U508">
        <v>30</v>
      </c>
      <c r="V508">
        <v>4.5999999999999996</v>
      </c>
      <c r="W508">
        <f>Table2[[#This Row],[Quantity]]*Table2[[#This Row],[Item_Price]]</f>
        <v>744</v>
      </c>
    </row>
    <row r="509" spans="1:23" x14ac:dyDescent="0.25">
      <c r="A509" t="s">
        <v>604</v>
      </c>
      <c r="B509" s="1">
        <v>45696</v>
      </c>
      <c r="C509" t="s">
        <v>517</v>
      </c>
      <c r="D509">
        <v>2</v>
      </c>
      <c r="E509">
        <v>8</v>
      </c>
      <c r="F509" t="s">
        <v>134</v>
      </c>
      <c r="G509" t="s">
        <v>25</v>
      </c>
      <c r="H509" t="s">
        <v>42</v>
      </c>
      <c r="I509" t="s">
        <v>69</v>
      </c>
      <c r="J509" t="s">
        <v>44</v>
      </c>
      <c r="K509" t="s">
        <v>45</v>
      </c>
      <c r="L509">
        <v>3</v>
      </c>
      <c r="M509">
        <v>137</v>
      </c>
      <c r="N509">
        <v>13.7</v>
      </c>
      <c r="O509">
        <v>30</v>
      </c>
      <c r="P509">
        <v>411</v>
      </c>
      <c r="Q509">
        <v>427.3</v>
      </c>
      <c r="R509" t="s">
        <v>39</v>
      </c>
      <c r="S509" t="s">
        <v>31</v>
      </c>
      <c r="T509" t="s">
        <v>32</v>
      </c>
      <c r="U509">
        <v>50</v>
      </c>
      <c r="V509">
        <v>4.7</v>
      </c>
      <c r="W509">
        <f>Table2[[#This Row],[Quantity]]*Table2[[#This Row],[Item_Price]]</f>
        <v>411</v>
      </c>
    </row>
    <row r="510" spans="1:23" x14ac:dyDescent="0.25">
      <c r="A510" t="s">
        <v>605</v>
      </c>
      <c r="B510" s="1">
        <v>45696</v>
      </c>
      <c r="C510" t="s">
        <v>517</v>
      </c>
      <c r="D510">
        <v>2</v>
      </c>
      <c r="E510">
        <v>8</v>
      </c>
      <c r="F510" t="s">
        <v>134</v>
      </c>
      <c r="G510" t="s">
        <v>84</v>
      </c>
      <c r="H510" t="s">
        <v>139</v>
      </c>
      <c r="I510" t="s">
        <v>43</v>
      </c>
      <c r="J510" t="s">
        <v>53</v>
      </c>
      <c r="K510" t="s">
        <v>38</v>
      </c>
      <c r="L510">
        <v>3</v>
      </c>
      <c r="M510">
        <v>453</v>
      </c>
      <c r="N510">
        <v>22.65</v>
      </c>
      <c r="O510">
        <v>30</v>
      </c>
      <c r="P510">
        <v>1359</v>
      </c>
      <c r="Q510">
        <v>1366.35</v>
      </c>
      <c r="R510" t="s">
        <v>39</v>
      </c>
      <c r="S510" t="s">
        <v>31</v>
      </c>
      <c r="T510" t="s">
        <v>32</v>
      </c>
      <c r="U510">
        <v>43</v>
      </c>
      <c r="V510">
        <v>4.3</v>
      </c>
      <c r="W510">
        <f>Table2[[#This Row],[Quantity]]*Table2[[#This Row],[Item_Price]]</f>
        <v>1359</v>
      </c>
    </row>
    <row r="511" spans="1:23" x14ac:dyDescent="0.25">
      <c r="A511" t="s">
        <v>606</v>
      </c>
      <c r="B511" s="1">
        <v>45696</v>
      </c>
      <c r="C511" t="s">
        <v>517</v>
      </c>
      <c r="D511">
        <v>2</v>
      </c>
      <c r="E511">
        <v>8</v>
      </c>
      <c r="F511" t="s">
        <v>134</v>
      </c>
      <c r="G511" t="s">
        <v>96</v>
      </c>
      <c r="H511" t="s">
        <v>48</v>
      </c>
      <c r="I511" t="s">
        <v>43</v>
      </c>
      <c r="J511" t="s">
        <v>74</v>
      </c>
      <c r="K511" t="s">
        <v>38</v>
      </c>
      <c r="L511">
        <v>2</v>
      </c>
      <c r="M511">
        <v>891</v>
      </c>
      <c r="N511">
        <v>222.75</v>
      </c>
      <c r="O511">
        <v>40</v>
      </c>
      <c r="P511">
        <v>1782</v>
      </c>
      <c r="Q511">
        <v>1599.25</v>
      </c>
      <c r="R511" t="s">
        <v>75</v>
      </c>
      <c r="S511" t="s">
        <v>91</v>
      </c>
      <c r="T511" t="s">
        <v>32</v>
      </c>
      <c r="U511">
        <v>54</v>
      </c>
      <c r="W511">
        <f>Table2[[#This Row],[Quantity]]*Table2[[#This Row],[Item_Price]]</f>
        <v>1782</v>
      </c>
    </row>
    <row r="512" spans="1:23" x14ac:dyDescent="0.25">
      <c r="A512" t="s">
        <v>607</v>
      </c>
      <c r="B512" s="1">
        <v>45696</v>
      </c>
      <c r="C512" t="s">
        <v>517</v>
      </c>
      <c r="D512">
        <v>2</v>
      </c>
      <c r="E512">
        <v>8</v>
      </c>
      <c r="F512" t="s">
        <v>134</v>
      </c>
      <c r="G512" t="s">
        <v>115</v>
      </c>
      <c r="H512" t="s">
        <v>77</v>
      </c>
      <c r="I512" t="s">
        <v>43</v>
      </c>
      <c r="J512" t="s">
        <v>74</v>
      </c>
      <c r="K512" t="s">
        <v>58</v>
      </c>
      <c r="L512">
        <v>2</v>
      </c>
      <c r="M512">
        <v>822</v>
      </c>
      <c r="N512">
        <v>0</v>
      </c>
      <c r="O512">
        <v>20</v>
      </c>
      <c r="P512">
        <v>1644</v>
      </c>
      <c r="Q512">
        <v>1664</v>
      </c>
      <c r="R512" t="s">
        <v>39</v>
      </c>
      <c r="S512" t="s">
        <v>31</v>
      </c>
      <c r="T512" t="s">
        <v>40</v>
      </c>
      <c r="U512">
        <v>46</v>
      </c>
      <c r="V512">
        <v>4.7</v>
      </c>
      <c r="W512">
        <f>Table2[[#This Row],[Quantity]]*Table2[[#This Row],[Item_Price]]</f>
        <v>1644</v>
      </c>
    </row>
    <row r="513" spans="1:23" x14ac:dyDescent="0.25">
      <c r="A513" t="s">
        <v>608</v>
      </c>
      <c r="B513" s="1">
        <v>45696</v>
      </c>
      <c r="C513" t="s">
        <v>517</v>
      </c>
      <c r="D513">
        <v>2</v>
      </c>
      <c r="E513">
        <v>8</v>
      </c>
      <c r="F513" t="s">
        <v>134</v>
      </c>
      <c r="G513" t="s">
        <v>25</v>
      </c>
      <c r="H513" t="s">
        <v>77</v>
      </c>
      <c r="I513" t="s">
        <v>27</v>
      </c>
      <c r="J513" t="s">
        <v>28</v>
      </c>
      <c r="K513" t="s">
        <v>58</v>
      </c>
      <c r="L513">
        <v>2</v>
      </c>
      <c r="M513">
        <v>808</v>
      </c>
      <c r="N513">
        <v>80.8</v>
      </c>
      <c r="O513">
        <v>30</v>
      </c>
      <c r="P513">
        <v>1616</v>
      </c>
      <c r="Q513">
        <v>1565.2</v>
      </c>
      <c r="R513" t="s">
        <v>39</v>
      </c>
      <c r="S513" t="s">
        <v>31</v>
      </c>
      <c r="T513" t="s">
        <v>40</v>
      </c>
      <c r="U513">
        <v>68</v>
      </c>
      <c r="V513">
        <v>2.8</v>
      </c>
      <c r="W513">
        <f>Table2[[#This Row],[Quantity]]*Table2[[#This Row],[Item_Price]]</f>
        <v>1616</v>
      </c>
    </row>
    <row r="514" spans="1:23" x14ac:dyDescent="0.25">
      <c r="A514" t="s">
        <v>609</v>
      </c>
      <c r="B514" s="1">
        <v>45696</v>
      </c>
      <c r="C514" t="s">
        <v>517</v>
      </c>
      <c r="D514">
        <v>2</v>
      </c>
      <c r="E514">
        <v>8</v>
      </c>
      <c r="F514" t="s">
        <v>134</v>
      </c>
      <c r="G514" t="s">
        <v>34</v>
      </c>
      <c r="H514" t="s">
        <v>81</v>
      </c>
      <c r="I514" t="s">
        <v>103</v>
      </c>
      <c r="J514" t="s">
        <v>74</v>
      </c>
      <c r="K514" t="s">
        <v>38</v>
      </c>
      <c r="L514">
        <v>3</v>
      </c>
      <c r="M514">
        <v>596</v>
      </c>
      <c r="N514">
        <v>0</v>
      </c>
      <c r="O514">
        <v>20</v>
      </c>
      <c r="P514">
        <v>1788</v>
      </c>
      <c r="Q514">
        <v>1808</v>
      </c>
      <c r="R514" t="s">
        <v>39</v>
      </c>
      <c r="S514" t="s">
        <v>91</v>
      </c>
      <c r="T514" t="s">
        <v>40</v>
      </c>
      <c r="U514">
        <v>44</v>
      </c>
      <c r="W514">
        <f>Table2[[#This Row],[Quantity]]*Table2[[#This Row],[Item_Price]]</f>
        <v>1788</v>
      </c>
    </row>
    <row r="515" spans="1:23" x14ac:dyDescent="0.25">
      <c r="A515" t="s">
        <v>610</v>
      </c>
      <c r="B515" s="1">
        <v>45696</v>
      </c>
      <c r="C515" t="s">
        <v>517</v>
      </c>
      <c r="D515">
        <v>2</v>
      </c>
      <c r="E515">
        <v>8</v>
      </c>
      <c r="F515" t="s">
        <v>134</v>
      </c>
      <c r="G515" t="s">
        <v>80</v>
      </c>
      <c r="H515" t="s">
        <v>105</v>
      </c>
      <c r="I515" t="s">
        <v>85</v>
      </c>
      <c r="J515" t="s">
        <v>44</v>
      </c>
      <c r="K515" t="s">
        <v>38</v>
      </c>
      <c r="L515">
        <v>3</v>
      </c>
      <c r="M515">
        <v>556</v>
      </c>
      <c r="N515">
        <v>139</v>
      </c>
      <c r="O515">
        <v>30</v>
      </c>
      <c r="P515">
        <v>1668</v>
      </c>
      <c r="Q515">
        <v>1559</v>
      </c>
      <c r="R515" t="s">
        <v>98</v>
      </c>
      <c r="S515" t="s">
        <v>31</v>
      </c>
      <c r="T515" t="s">
        <v>32</v>
      </c>
      <c r="U515">
        <v>62</v>
      </c>
      <c r="V515">
        <v>3.4</v>
      </c>
      <c r="W515">
        <f>Table2[[#This Row],[Quantity]]*Table2[[#This Row],[Item_Price]]</f>
        <v>1668</v>
      </c>
    </row>
    <row r="516" spans="1:23" x14ac:dyDescent="0.25">
      <c r="A516" t="s">
        <v>611</v>
      </c>
      <c r="B516" s="1">
        <v>45696</v>
      </c>
      <c r="C516" t="s">
        <v>517</v>
      </c>
      <c r="D516">
        <v>2</v>
      </c>
      <c r="E516">
        <v>8</v>
      </c>
      <c r="F516" t="s">
        <v>134</v>
      </c>
      <c r="G516" t="s">
        <v>64</v>
      </c>
      <c r="H516" t="s">
        <v>77</v>
      </c>
      <c r="I516" t="s">
        <v>49</v>
      </c>
      <c r="J516" t="s">
        <v>82</v>
      </c>
      <c r="K516" t="s">
        <v>38</v>
      </c>
      <c r="L516">
        <v>3</v>
      </c>
      <c r="M516">
        <v>329</v>
      </c>
      <c r="N516">
        <v>82.25</v>
      </c>
      <c r="O516">
        <v>0</v>
      </c>
      <c r="P516">
        <v>987</v>
      </c>
      <c r="Q516">
        <v>904.75</v>
      </c>
      <c r="R516" t="s">
        <v>39</v>
      </c>
      <c r="S516" t="s">
        <v>31</v>
      </c>
      <c r="T516" t="s">
        <v>32</v>
      </c>
      <c r="U516">
        <v>48</v>
      </c>
      <c r="V516">
        <v>4.8</v>
      </c>
      <c r="W516">
        <f>Table2[[#This Row],[Quantity]]*Table2[[#This Row],[Item_Price]]</f>
        <v>987</v>
      </c>
    </row>
    <row r="517" spans="1:23" x14ac:dyDescent="0.25">
      <c r="A517" t="s">
        <v>612</v>
      </c>
      <c r="B517" s="1">
        <v>45696</v>
      </c>
      <c r="C517" t="s">
        <v>517</v>
      </c>
      <c r="D517">
        <v>2</v>
      </c>
      <c r="E517">
        <v>8</v>
      </c>
      <c r="F517" t="s">
        <v>134</v>
      </c>
      <c r="G517" t="s">
        <v>55</v>
      </c>
      <c r="H517" t="s">
        <v>139</v>
      </c>
      <c r="I517" t="s">
        <v>85</v>
      </c>
      <c r="J517" t="s">
        <v>44</v>
      </c>
      <c r="K517" t="s">
        <v>45</v>
      </c>
      <c r="L517">
        <v>2</v>
      </c>
      <c r="M517">
        <v>636</v>
      </c>
      <c r="N517">
        <v>31.8</v>
      </c>
      <c r="O517">
        <v>40</v>
      </c>
      <c r="P517">
        <v>1272</v>
      </c>
      <c r="Q517">
        <v>1280.2</v>
      </c>
      <c r="R517" t="s">
        <v>39</v>
      </c>
      <c r="S517" t="s">
        <v>31</v>
      </c>
      <c r="T517" t="s">
        <v>40</v>
      </c>
      <c r="U517">
        <v>34</v>
      </c>
      <c r="V517">
        <v>4</v>
      </c>
      <c r="W517">
        <f>Table2[[#This Row],[Quantity]]*Table2[[#This Row],[Item_Price]]</f>
        <v>1272</v>
      </c>
    </row>
    <row r="518" spans="1:23" x14ac:dyDescent="0.25">
      <c r="A518" t="s">
        <v>613</v>
      </c>
      <c r="B518" s="1">
        <v>45696</v>
      </c>
      <c r="C518" t="s">
        <v>517</v>
      </c>
      <c r="D518">
        <v>2</v>
      </c>
      <c r="E518">
        <v>8</v>
      </c>
      <c r="F518" t="s">
        <v>134</v>
      </c>
      <c r="G518" t="s">
        <v>73</v>
      </c>
      <c r="H518" t="s">
        <v>56</v>
      </c>
      <c r="I518" t="s">
        <v>103</v>
      </c>
      <c r="J518" t="s">
        <v>94</v>
      </c>
      <c r="K518" t="s">
        <v>45</v>
      </c>
      <c r="L518">
        <v>1</v>
      </c>
      <c r="M518">
        <v>610</v>
      </c>
      <c r="N518">
        <v>61</v>
      </c>
      <c r="O518">
        <v>30</v>
      </c>
      <c r="P518">
        <v>610</v>
      </c>
      <c r="Q518">
        <v>579</v>
      </c>
      <c r="R518" t="s">
        <v>39</v>
      </c>
      <c r="S518" t="s">
        <v>110</v>
      </c>
      <c r="T518" t="s">
        <v>40</v>
      </c>
      <c r="U518">
        <v>27</v>
      </c>
      <c r="W518">
        <f>Table2[[#This Row],[Quantity]]*Table2[[#This Row],[Item_Price]]</f>
        <v>610</v>
      </c>
    </row>
    <row r="519" spans="1:23" x14ac:dyDescent="0.25">
      <c r="A519" t="s">
        <v>614</v>
      </c>
      <c r="B519" s="1">
        <v>45696</v>
      </c>
      <c r="C519" t="s">
        <v>517</v>
      </c>
      <c r="D519">
        <v>2</v>
      </c>
      <c r="E519">
        <v>8</v>
      </c>
      <c r="F519" t="s">
        <v>134</v>
      </c>
      <c r="G519" t="s">
        <v>90</v>
      </c>
      <c r="H519" t="s">
        <v>48</v>
      </c>
      <c r="I519" t="s">
        <v>49</v>
      </c>
      <c r="J519" t="s">
        <v>119</v>
      </c>
      <c r="K519" t="s">
        <v>38</v>
      </c>
      <c r="L519">
        <v>3</v>
      </c>
      <c r="M519">
        <v>793</v>
      </c>
      <c r="N519">
        <v>118.95</v>
      </c>
      <c r="O519">
        <v>40</v>
      </c>
      <c r="P519">
        <v>2379</v>
      </c>
      <c r="Q519">
        <v>2300.0500000000002</v>
      </c>
      <c r="R519" t="s">
        <v>98</v>
      </c>
      <c r="S519" t="s">
        <v>31</v>
      </c>
      <c r="T519" t="s">
        <v>32</v>
      </c>
      <c r="U519">
        <v>55</v>
      </c>
      <c r="V519">
        <v>5</v>
      </c>
      <c r="W519">
        <f>Table2[[#This Row],[Quantity]]*Table2[[#This Row],[Item_Price]]</f>
        <v>2379</v>
      </c>
    </row>
    <row r="520" spans="1:23" x14ac:dyDescent="0.25">
      <c r="A520" t="s">
        <v>615</v>
      </c>
      <c r="B520" s="1">
        <v>45696</v>
      </c>
      <c r="C520" t="s">
        <v>517</v>
      </c>
      <c r="D520">
        <v>2</v>
      </c>
      <c r="E520">
        <v>8</v>
      </c>
      <c r="F520" t="s">
        <v>134</v>
      </c>
      <c r="G520" t="s">
        <v>115</v>
      </c>
      <c r="H520" t="s">
        <v>56</v>
      </c>
      <c r="I520" t="s">
        <v>85</v>
      </c>
      <c r="J520" t="s">
        <v>44</v>
      </c>
      <c r="K520" t="s">
        <v>38</v>
      </c>
      <c r="L520">
        <v>1</v>
      </c>
      <c r="M520">
        <v>229</v>
      </c>
      <c r="N520">
        <v>57.25</v>
      </c>
      <c r="O520">
        <v>20</v>
      </c>
      <c r="P520">
        <v>229</v>
      </c>
      <c r="Q520">
        <v>191.75</v>
      </c>
      <c r="R520" t="s">
        <v>39</v>
      </c>
      <c r="S520" t="s">
        <v>46</v>
      </c>
      <c r="T520" t="s">
        <v>40</v>
      </c>
      <c r="U520">
        <v>42</v>
      </c>
      <c r="W520">
        <f>Table2[[#This Row],[Quantity]]*Table2[[#This Row],[Item_Price]]</f>
        <v>229</v>
      </c>
    </row>
    <row r="521" spans="1:23" x14ac:dyDescent="0.25">
      <c r="A521" t="s">
        <v>616</v>
      </c>
      <c r="B521" s="1">
        <v>45696</v>
      </c>
      <c r="C521" t="s">
        <v>517</v>
      </c>
      <c r="D521">
        <v>2</v>
      </c>
      <c r="E521">
        <v>8</v>
      </c>
      <c r="F521" t="s">
        <v>134</v>
      </c>
      <c r="G521" t="s">
        <v>115</v>
      </c>
      <c r="H521" t="s">
        <v>35</v>
      </c>
      <c r="I521" t="s">
        <v>43</v>
      </c>
      <c r="J521" t="s">
        <v>50</v>
      </c>
      <c r="K521" t="s">
        <v>29</v>
      </c>
      <c r="L521">
        <v>3</v>
      </c>
      <c r="M521">
        <v>338</v>
      </c>
      <c r="N521">
        <v>67.599999999999994</v>
      </c>
      <c r="O521">
        <v>40</v>
      </c>
      <c r="P521">
        <v>1014</v>
      </c>
      <c r="Q521">
        <v>986.4</v>
      </c>
      <c r="R521" t="s">
        <v>112</v>
      </c>
      <c r="S521" t="s">
        <v>31</v>
      </c>
      <c r="T521" t="s">
        <v>32</v>
      </c>
      <c r="U521">
        <v>59</v>
      </c>
      <c r="V521">
        <v>3.1</v>
      </c>
      <c r="W521">
        <f>Table2[[#This Row],[Quantity]]*Table2[[#This Row],[Item_Price]]</f>
        <v>1014</v>
      </c>
    </row>
    <row r="522" spans="1:23" x14ac:dyDescent="0.25">
      <c r="A522" t="s">
        <v>617</v>
      </c>
      <c r="B522" s="1">
        <v>45696</v>
      </c>
      <c r="C522" t="s">
        <v>517</v>
      </c>
      <c r="D522">
        <v>2</v>
      </c>
      <c r="E522">
        <v>8</v>
      </c>
      <c r="F522" t="s">
        <v>134</v>
      </c>
      <c r="G522" t="s">
        <v>80</v>
      </c>
      <c r="H522" t="s">
        <v>108</v>
      </c>
      <c r="I522" t="s">
        <v>61</v>
      </c>
      <c r="J522" t="s">
        <v>94</v>
      </c>
      <c r="K522" t="s">
        <v>38</v>
      </c>
      <c r="L522">
        <v>2</v>
      </c>
      <c r="M522">
        <v>751</v>
      </c>
      <c r="N522">
        <v>75.099999999999994</v>
      </c>
      <c r="O522">
        <v>0</v>
      </c>
      <c r="P522">
        <v>1502</v>
      </c>
      <c r="Q522">
        <v>1426.9</v>
      </c>
      <c r="R522" t="s">
        <v>39</v>
      </c>
      <c r="S522" t="s">
        <v>31</v>
      </c>
      <c r="T522" t="s">
        <v>40</v>
      </c>
      <c r="U522">
        <v>58</v>
      </c>
      <c r="V522">
        <v>3.7</v>
      </c>
      <c r="W522">
        <f>Table2[[#This Row],[Quantity]]*Table2[[#This Row],[Item_Price]]</f>
        <v>1502</v>
      </c>
    </row>
    <row r="523" spans="1:23" x14ac:dyDescent="0.25">
      <c r="A523" t="s">
        <v>618</v>
      </c>
      <c r="B523" s="1">
        <v>45696</v>
      </c>
      <c r="C523" t="s">
        <v>517</v>
      </c>
      <c r="D523">
        <v>2</v>
      </c>
      <c r="E523">
        <v>8</v>
      </c>
      <c r="F523" t="s">
        <v>134</v>
      </c>
      <c r="G523" t="s">
        <v>25</v>
      </c>
      <c r="H523" t="s">
        <v>135</v>
      </c>
      <c r="I523" t="s">
        <v>49</v>
      </c>
      <c r="J523" t="s">
        <v>66</v>
      </c>
      <c r="K523" t="s">
        <v>38</v>
      </c>
      <c r="L523">
        <v>2</v>
      </c>
      <c r="M523">
        <v>273</v>
      </c>
      <c r="N523">
        <v>27.3</v>
      </c>
      <c r="O523">
        <v>40</v>
      </c>
      <c r="P523">
        <v>546</v>
      </c>
      <c r="Q523">
        <v>558.70000000000005</v>
      </c>
      <c r="R523" t="s">
        <v>75</v>
      </c>
      <c r="S523" t="s">
        <v>31</v>
      </c>
      <c r="T523" t="s">
        <v>40</v>
      </c>
      <c r="U523">
        <v>23</v>
      </c>
      <c r="V523">
        <v>4</v>
      </c>
      <c r="W523">
        <f>Table2[[#This Row],[Quantity]]*Table2[[#This Row],[Item_Price]]</f>
        <v>546</v>
      </c>
    </row>
    <row r="524" spans="1:23" x14ac:dyDescent="0.25">
      <c r="A524" t="s">
        <v>619</v>
      </c>
      <c r="B524" s="1">
        <v>45697</v>
      </c>
      <c r="C524" t="s">
        <v>517</v>
      </c>
      <c r="D524">
        <v>2</v>
      </c>
      <c r="E524">
        <v>9</v>
      </c>
      <c r="F524" t="s">
        <v>149</v>
      </c>
      <c r="G524" t="s">
        <v>115</v>
      </c>
      <c r="H524" t="s">
        <v>35</v>
      </c>
      <c r="I524" t="s">
        <v>36</v>
      </c>
      <c r="J524" t="s">
        <v>66</v>
      </c>
      <c r="K524" t="s">
        <v>38</v>
      </c>
      <c r="L524">
        <v>3</v>
      </c>
      <c r="M524">
        <v>238</v>
      </c>
      <c r="N524">
        <v>23.8</v>
      </c>
      <c r="O524">
        <v>40</v>
      </c>
      <c r="P524">
        <v>714</v>
      </c>
      <c r="Q524">
        <v>730.2</v>
      </c>
      <c r="R524" t="s">
        <v>112</v>
      </c>
      <c r="S524" t="s">
        <v>31</v>
      </c>
      <c r="T524" t="s">
        <v>40</v>
      </c>
      <c r="U524">
        <v>45</v>
      </c>
      <c r="V524">
        <v>4.3</v>
      </c>
      <c r="W524">
        <f>Table2[[#This Row],[Quantity]]*Table2[[#This Row],[Item_Price]]</f>
        <v>714</v>
      </c>
    </row>
    <row r="525" spans="1:23" x14ac:dyDescent="0.25">
      <c r="A525" t="s">
        <v>620</v>
      </c>
      <c r="B525" s="1">
        <v>45697</v>
      </c>
      <c r="C525" t="s">
        <v>517</v>
      </c>
      <c r="D525">
        <v>2</v>
      </c>
      <c r="E525">
        <v>9</v>
      </c>
      <c r="F525" t="s">
        <v>149</v>
      </c>
      <c r="G525" t="s">
        <v>34</v>
      </c>
      <c r="H525" t="s">
        <v>81</v>
      </c>
      <c r="I525" t="s">
        <v>103</v>
      </c>
      <c r="J525" t="s">
        <v>28</v>
      </c>
      <c r="K525" t="s">
        <v>45</v>
      </c>
      <c r="L525">
        <v>1</v>
      </c>
      <c r="M525">
        <v>368</v>
      </c>
      <c r="N525">
        <v>36.799999999999997</v>
      </c>
      <c r="O525">
        <v>40</v>
      </c>
      <c r="P525">
        <v>368</v>
      </c>
      <c r="Q525">
        <v>371.2</v>
      </c>
      <c r="R525" t="s">
        <v>39</v>
      </c>
      <c r="S525" t="s">
        <v>91</v>
      </c>
      <c r="T525" t="s">
        <v>40</v>
      </c>
      <c r="U525">
        <v>34</v>
      </c>
      <c r="W525">
        <f>Table2[[#This Row],[Quantity]]*Table2[[#This Row],[Item_Price]]</f>
        <v>368</v>
      </c>
    </row>
    <row r="526" spans="1:23" x14ac:dyDescent="0.25">
      <c r="A526" t="s">
        <v>621</v>
      </c>
      <c r="B526" s="1">
        <v>45697</v>
      </c>
      <c r="C526" t="s">
        <v>517</v>
      </c>
      <c r="D526">
        <v>2</v>
      </c>
      <c r="E526">
        <v>9</v>
      </c>
      <c r="F526" t="s">
        <v>149</v>
      </c>
      <c r="G526" t="s">
        <v>73</v>
      </c>
      <c r="H526" t="s">
        <v>56</v>
      </c>
      <c r="I526" t="s">
        <v>49</v>
      </c>
      <c r="J526" t="s">
        <v>28</v>
      </c>
      <c r="K526" t="s">
        <v>38</v>
      </c>
      <c r="L526">
        <v>1</v>
      </c>
      <c r="M526">
        <v>802</v>
      </c>
      <c r="N526">
        <v>40.1</v>
      </c>
      <c r="O526">
        <v>20</v>
      </c>
      <c r="P526">
        <v>802</v>
      </c>
      <c r="Q526">
        <v>781.9</v>
      </c>
      <c r="R526" t="s">
        <v>30</v>
      </c>
      <c r="S526" t="s">
        <v>31</v>
      </c>
      <c r="T526" t="s">
        <v>40</v>
      </c>
      <c r="U526">
        <v>40</v>
      </c>
      <c r="V526">
        <v>4.2</v>
      </c>
      <c r="W526">
        <f>Table2[[#This Row],[Quantity]]*Table2[[#This Row],[Item_Price]]</f>
        <v>802</v>
      </c>
    </row>
    <row r="527" spans="1:23" x14ac:dyDescent="0.25">
      <c r="A527" t="s">
        <v>622</v>
      </c>
      <c r="B527" s="1">
        <v>45697</v>
      </c>
      <c r="C527" t="s">
        <v>517</v>
      </c>
      <c r="D527">
        <v>2</v>
      </c>
      <c r="E527">
        <v>9</v>
      </c>
      <c r="F527" t="s">
        <v>149</v>
      </c>
      <c r="G527" t="s">
        <v>34</v>
      </c>
      <c r="H527" t="s">
        <v>26</v>
      </c>
      <c r="I527" t="s">
        <v>97</v>
      </c>
      <c r="J527" t="s">
        <v>44</v>
      </c>
      <c r="K527" t="s">
        <v>45</v>
      </c>
      <c r="L527">
        <v>2</v>
      </c>
      <c r="M527">
        <v>575</v>
      </c>
      <c r="N527">
        <v>57.5</v>
      </c>
      <c r="O527">
        <v>50</v>
      </c>
      <c r="P527">
        <v>1150</v>
      </c>
      <c r="Q527">
        <v>1142.5</v>
      </c>
      <c r="R527" t="s">
        <v>112</v>
      </c>
      <c r="S527" t="s">
        <v>31</v>
      </c>
      <c r="T527" t="s">
        <v>40</v>
      </c>
      <c r="U527">
        <v>19</v>
      </c>
      <c r="V527">
        <v>3.9</v>
      </c>
      <c r="W527">
        <f>Table2[[#This Row],[Quantity]]*Table2[[#This Row],[Item_Price]]</f>
        <v>1150</v>
      </c>
    </row>
    <row r="528" spans="1:23" x14ac:dyDescent="0.25">
      <c r="A528" t="s">
        <v>623</v>
      </c>
      <c r="B528" s="1">
        <v>45697</v>
      </c>
      <c r="C528" t="s">
        <v>517</v>
      </c>
      <c r="D528">
        <v>2</v>
      </c>
      <c r="E528">
        <v>9</v>
      </c>
      <c r="F528" t="s">
        <v>149</v>
      </c>
      <c r="G528" t="s">
        <v>115</v>
      </c>
      <c r="H528" t="s">
        <v>77</v>
      </c>
      <c r="I528" t="s">
        <v>57</v>
      </c>
      <c r="J528" t="s">
        <v>82</v>
      </c>
      <c r="K528" t="s">
        <v>38</v>
      </c>
      <c r="L528">
        <v>1</v>
      </c>
      <c r="M528">
        <v>482</v>
      </c>
      <c r="N528">
        <v>96.4</v>
      </c>
      <c r="O528">
        <v>40</v>
      </c>
      <c r="P528">
        <v>482</v>
      </c>
      <c r="Q528">
        <v>425.6</v>
      </c>
      <c r="R528" t="s">
        <v>98</v>
      </c>
      <c r="S528" t="s">
        <v>31</v>
      </c>
      <c r="T528" t="s">
        <v>32</v>
      </c>
      <c r="U528">
        <v>58</v>
      </c>
      <c r="V528">
        <v>5</v>
      </c>
      <c r="W528">
        <f>Table2[[#This Row],[Quantity]]*Table2[[#This Row],[Item_Price]]</f>
        <v>482</v>
      </c>
    </row>
    <row r="529" spans="1:23" x14ac:dyDescent="0.25">
      <c r="A529" t="s">
        <v>624</v>
      </c>
      <c r="B529" s="1">
        <v>45697</v>
      </c>
      <c r="C529" t="s">
        <v>517</v>
      </c>
      <c r="D529">
        <v>2</v>
      </c>
      <c r="E529">
        <v>9</v>
      </c>
      <c r="F529" t="s">
        <v>149</v>
      </c>
      <c r="G529" t="s">
        <v>64</v>
      </c>
      <c r="H529" t="s">
        <v>56</v>
      </c>
      <c r="I529" t="s">
        <v>97</v>
      </c>
      <c r="J529" t="s">
        <v>74</v>
      </c>
      <c r="K529" t="s">
        <v>45</v>
      </c>
      <c r="L529">
        <v>1</v>
      </c>
      <c r="M529">
        <v>862</v>
      </c>
      <c r="N529">
        <v>172.4</v>
      </c>
      <c r="O529">
        <v>50</v>
      </c>
      <c r="P529">
        <v>862</v>
      </c>
      <c r="Q529">
        <v>739.6</v>
      </c>
      <c r="R529" t="s">
        <v>112</v>
      </c>
      <c r="S529" t="s">
        <v>31</v>
      </c>
      <c r="T529" t="s">
        <v>40</v>
      </c>
      <c r="U529">
        <v>68</v>
      </c>
      <c r="V529">
        <v>5</v>
      </c>
      <c r="W529">
        <f>Table2[[#This Row],[Quantity]]*Table2[[#This Row],[Item_Price]]</f>
        <v>862</v>
      </c>
    </row>
    <row r="530" spans="1:23" x14ac:dyDescent="0.25">
      <c r="A530" t="s">
        <v>625</v>
      </c>
      <c r="B530" s="1">
        <v>45697</v>
      </c>
      <c r="C530" t="s">
        <v>517</v>
      </c>
      <c r="D530">
        <v>2</v>
      </c>
      <c r="E530">
        <v>9</v>
      </c>
      <c r="F530" t="s">
        <v>149</v>
      </c>
      <c r="G530" t="s">
        <v>34</v>
      </c>
      <c r="H530" t="s">
        <v>42</v>
      </c>
      <c r="I530" t="s">
        <v>43</v>
      </c>
      <c r="J530" t="s">
        <v>28</v>
      </c>
      <c r="K530" t="s">
        <v>38</v>
      </c>
      <c r="L530">
        <v>1</v>
      </c>
      <c r="M530">
        <v>863</v>
      </c>
      <c r="N530">
        <v>43.15</v>
      </c>
      <c r="O530">
        <v>50</v>
      </c>
      <c r="P530">
        <v>863</v>
      </c>
      <c r="Q530">
        <v>869.85</v>
      </c>
      <c r="R530" t="s">
        <v>75</v>
      </c>
      <c r="S530" t="s">
        <v>31</v>
      </c>
      <c r="T530" t="s">
        <v>40</v>
      </c>
      <c r="U530">
        <v>64</v>
      </c>
      <c r="V530">
        <v>4.0999999999999996</v>
      </c>
      <c r="W530">
        <f>Table2[[#This Row],[Quantity]]*Table2[[#This Row],[Item_Price]]</f>
        <v>863</v>
      </c>
    </row>
    <row r="531" spans="1:23" x14ac:dyDescent="0.25">
      <c r="A531" t="s">
        <v>626</v>
      </c>
      <c r="B531" s="1">
        <v>45697</v>
      </c>
      <c r="C531" t="s">
        <v>517</v>
      </c>
      <c r="D531">
        <v>2</v>
      </c>
      <c r="E531">
        <v>9</v>
      </c>
      <c r="F531" t="s">
        <v>149</v>
      </c>
      <c r="G531" t="s">
        <v>34</v>
      </c>
      <c r="H531" t="s">
        <v>65</v>
      </c>
      <c r="I531" t="s">
        <v>103</v>
      </c>
      <c r="J531" t="s">
        <v>53</v>
      </c>
      <c r="K531" t="s">
        <v>38</v>
      </c>
      <c r="L531">
        <v>1</v>
      </c>
      <c r="M531">
        <v>138</v>
      </c>
      <c r="N531">
        <v>27.6</v>
      </c>
      <c r="O531">
        <v>60</v>
      </c>
      <c r="P531">
        <v>138</v>
      </c>
      <c r="Q531">
        <v>170.4</v>
      </c>
      <c r="R531" t="s">
        <v>39</v>
      </c>
      <c r="S531" t="s">
        <v>46</v>
      </c>
      <c r="T531" t="s">
        <v>40</v>
      </c>
      <c r="U531">
        <v>38</v>
      </c>
      <c r="W531">
        <f>Table2[[#This Row],[Quantity]]*Table2[[#This Row],[Item_Price]]</f>
        <v>138</v>
      </c>
    </row>
    <row r="532" spans="1:23" x14ac:dyDescent="0.25">
      <c r="A532" t="s">
        <v>627</v>
      </c>
      <c r="B532" s="1">
        <v>45697</v>
      </c>
      <c r="C532" t="s">
        <v>517</v>
      </c>
      <c r="D532">
        <v>2</v>
      </c>
      <c r="E532">
        <v>9</v>
      </c>
      <c r="F532" t="s">
        <v>149</v>
      </c>
      <c r="G532" t="s">
        <v>64</v>
      </c>
      <c r="H532" t="s">
        <v>42</v>
      </c>
      <c r="I532" t="s">
        <v>97</v>
      </c>
      <c r="J532" t="s">
        <v>172</v>
      </c>
      <c r="K532" t="s">
        <v>38</v>
      </c>
      <c r="L532">
        <v>2</v>
      </c>
      <c r="M532">
        <v>174</v>
      </c>
      <c r="N532">
        <v>17.399999999999999</v>
      </c>
      <c r="O532">
        <v>0</v>
      </c>
      <c r="P532">
        <v>348</v>
      </c>
      <c r="Q532">
        <v>330.6</v>
      </c>
      <c r="R532" t="s">
        <v>75</v>
      </c>
      <c r="S532" t="s">
        <v>31</v>
      </c>
      <c r="T532" t="s">
        <v>32</v>
      </c>
      <c r="U532">
        <v>35</v>
      </c>
      <c r="V532">
        <v>3.7</v>
      </c>
      <c r="W532">
        <f>Table2[[#This Row],[Quantity]]*Table2[[#This Row],[Item_Price]]</f>
        <v>348</v>
      </c>
    </row>
    <row r="533" spans="1:23" x14ac:dyDescent="0.25">
      <c r="A533" t="s">
        <v>628</v>
      </c>
      <c r="B533" s="1">
        <v>45697</v>
      </c>
      <c r="C533" t="s">
        <v>517</v>
      </c>
      <c r="D533">
        <v>2</v>
      </c>
      <c r="E533">
        <v>9</v>
      </c>
      <c r="F533" t="s">
        <v>149</v>
      </c>
      <c r="G533" t="s">
        <v>80</v>
      </c>
      <c r="H533" t="s">
        <v>77</v>
      </c>
      <c r="I533" t="s">
        <v>61</v>
      </c>
      <c r="J533" t="s">
        <v>50</v>
      </c>
      <c r="K533" t="s">
        <v>38</v>
      </c>
      <c r="L533">
        <v>1</v>
      </c>
      <c r="M533">
        <v>545</v>
      </c>
      <c r="N533">
        <v>27.25</v>
      </c>
      <c r="O533">
        <v>50</v>
      </c>
      <c r="P533">
        <v>545</v>
      </c>
      <c r="Q533">
        <v>567.75</v>
      </c>
      <c r="R533" t="s">
        <v>75</v>
      </c>
      <c r="S533" t="s">
        <v>46</v>
      </c>
      <c r="T533" t="s">
        <v>32</v>
      </c>
      <c r="U533">
        <v>59</v>
      </c>
      <c r="W533">
        <f>Table2[[#This Row],[Quantity]]*Table2[[#This Row],[Item_Price]]</f>
        <v>545</v>
      </c>
    </row>
    <row r="534" spans="1:23" x14ac:dyDescent="0.25">
      <c r="A534" t="s">
        <v>629</v>
      </c>
      <c r="B534" s="1">
        <v>45697</v>
      </c>
      <c r="C534" t="s">
        <v>517</v>
      </c>
      <c r="D534">
        <v>2</v>
      </c>
      <c r="E534">
        <v>9</v>
      </c>
      <c r="F534" t="s">
        <v>149</v>
      </c>
      <c r="G534" t="s">
        <v>96</v>
      </c>
      <c r="H534" t="s">
        <v>26</v>
      </c>
      <c r="I534" t="s">
        <v>36</v>
      </c>
      <c r="J534" t="s">
        <v>44</v>
      </c>
      <c r="K534" t="s">
        <v>45</v>
      </c>
      <c r="L534">
        <v>1</v>
      </c>
      <c r="M534">
        <v>232</v>
      </c>
      <c r="N534">
        <v>0</v>
      </c>
      <c r="O534">
        <v>40</v>
      </c>
      <c r="P534">
        <v>232</v>
      </c>
      <c r="Q534">
        <v>272</v>
      </c>
      <c r="R534" t="s">
        <v>112</v>
      </c>
      <c r="S534" t="s">
        <v>91</v>
      </c>
      <c r="T534" t="s">
        <v>40</v>
      </c>
      <c r="U534">
        <v>21</v>
      </c>
      <c r="W534">
        <f>Table2[[#This Row],[Quantity]]*Table2[[#This Row],[Item_Price]]</f>
        <v>232</v>
      </c>
    </row>
    <row r="535" spans="1:23" x14ac:dyDescent="0.25">
      <c r="A535" t="s">
        <v>630</v>
      </c>
      <c r="B535" s="1">
        <v>45697</v>
      </c>
      <c r="C535" t="s">
        <v>517</v>
      </c>
      <c r="D535">
        <v>2</v>
      </c>
      <c r="E535">
        <v>9</v>
      </c>
      <c r="F535" t="s">
        <v>149</v>
      </c>
      <c r="G535" t="s">
        <v>84</v>
      </c>
      <c r="H535" t="s">
        <v>81</v>
      </c>
      <c r="I535" t="s">
        <v>97</v>
      </c>
      <c r="J535" t="s">
        <v>78</v>
      </c>
      <c r="K535" t="s">
        <v>45</v>
      </c>
      <c r="L535">
        <v>1</v>
      </c>
      <c r="M535">
        <v>772</v>
      </c>
      <c r="N535">
        <v>154.4</v>
      </c>
      <c r="O535">
        <v>20</v>
      </c>
      <c r="P535">
        <v>772</v>
      </c>
      <c r="Q535">
        <v>637.6</v>
      </c>
      <c r="R535" t="s">
        <v>75</v>
      </c>
      <c r="S535" t="s">
        <v>31</v>
      </c>
      <c r="T535" t="s">
        <v>32</v>
      </c>
      <c r="U535">
        <v>18</v>
      </c>
      <c r="V535">
        <v>3.7</v>
      </c>
      <c r="W535">
        <f>Table2[[#This Row],[Quantity]]*Table2[[#This Row],[Item_Price]]</f>
        <v>772</v>
      </c>
    </row>
    <row r="536" spans="1:23" x14ac:dyDescent="0.25">
      <c r="A536" t="s">
        <v>631</v>
      </c>
      <c r="B536" s="1">
        <v>45697</v>
      </c>
      <c r="C536" t="s">
        <v>517</v>
      </c>
      <c r="D536">
        <v>2</v>
      </c>
      <c r="E536">
        <v>9</v>
      </c>
      <c r="F536" t="s">
        <v>149</v>
      </c>
      <c r="G536" t="s">
        <v>96</v>
      </c>
      <c r="H536" t="s">
        <v>56</v>
      </c>
      <c r="I536" t="s">
        <v>69</v>
      </c>
      <c r="J536" t="s">
        <v>44</v>
      </c>
      <c r="K536" t="s">
        <v>45</v>
      </c>
      <c r="L536">
        <v>1</v>
      </c>
      <c r="M536">
        <v>872</v>
      </c>
      <c r="N536">
        <v>0</v>
      </c>
      <c r="O536">
        <v>30</v>
      </c>
      <c r="P536">
        <v>872</v>
      </c>
      <c r="Q536">
        <v>902</v>
      </c>
      <c r="R536" t="s">
        <v>75</v>
      </c>
      <c r="S536" t="s">
        <v>31</v>
      </c>
      <c r="T536" t="s">
        <v>32</v>
      </c>
      <c r="U536">
        <v>42</v>
      </c>
      <c r="V536">
        <v>4.5999999999999996</v>
      </c>
      <c r="W536">
        <f>Table2[[#This Row],[Quantity]]*Table2[[#This Row],[Item_Price]]</f>
        <v>872</v>
      </c>
    </row>
    <row r="537" spans="1:23" x14ac:dyDescent="0.25">
      <c r="A537" t="s">
        <v>632</v>
      </c>
      <c r="B537" s="1">
        <v>45698</v>
      </c>
      <c r="C537" t="s">
        <v>517</v>
      </c>
      <c r="D537">
        <v>2</v>
      </c>
      <c r="E537">
        <v>10</v>
      </c>
      <c r="F537" t="s">
        <v>168</v>
      </c>
      <c r="G537" t="s">
        <v>64</v>
      </c>
      <c r="H537" t="s">
        <v>52</v>
      </c>
      <c r="I537" t="s">
        <v>36</v>
      </c>
      <c r="J537" t="s">
        <v>50</v>
      </c>
      <c r="K537" t="s">
        <v>38</v>
      </c>
      <c r="L537">
        <v>2</v>
      </c>
      <c r="M537">
        <v>143</v>
      </c>
      <c r="N537">
        <v>0</v>
      </c>
      <c r="O537">
        <v>30</v>
      </c>
      <c r="P537">
        <v>286</v>
      </c>
      <c r="Q537">
        <v>316</v>
      </c>
      <c r="R537" t="s">
        <v>30</v>
      </c>
      <c r="S537" t="s">
        <v>31</v>
      </c>
      <c r="T537" t="s">
        <v>40</v>
      </c>
      <c r="U537">
        <v>27</v>
      </c>
      <c r="V537">
        <v>3.2</v>
      </c>
      <c r="W537">
        <f>Table2[[#This Row],[Quantity]]*Table2[[#This Row],[Item_Price]]</f>
        <v>286</v>
      </c>
    </row>
    <row r="538" spans="1:23" x14ac:dyDescent="0.25">
      <c r="A538" t="s">
        <v>633</v>
      </c>
      <c r="B538" s="1">
        <v>45698</v>
      </c>
      <c r="C538" t="s">
        <v>517</v>
      </c>
      <c r="D538">
        <v>2</v>
      </c>
      <c r="E538">
        <v>10</v>
      </c>
      <c r="F538" t="s">
        <v>168</v>
      </c>
      <c r="G538" t="s">
        <v>55</v>
      </c>
      <c r="H538" t="s">
        <v>135</v>
      </c>
      <c r="I538" t="s">
        <v>57</v>
      </c>
      <c r="J538" t="s">
        <v>94</v>
      </c>
      <c r="K538" t="s">
        <v>45</v>
      </c>
      <c r="L538">
        <v>2</v>
      </c>
      <c r="M538">
        <v>411</v>
      </c>
      <c r="N538">
        <v>82.2</v>
      </c>
      <c r="O538">
        <v>70</v>
      </c>
      <c r="P538">
        <v>822</v>
      </c>
      <c r="Q538">
        <v>809.8</v>
      </c>
      <c r="R538" t="s">
        <v>75</v>
      </c>
      <c r="S538" t="s">
        <v>110</v>
      </c>
      <c r="T538" t="s">
        <v>32</v>
      </c>
      <c r="U538">
        <v>27</v>
      </c>
      <c r="W538">
        <f>Table2[[#This Row],[Quantity]]*Table2[[#This Row],[Item_Price]]</f>
        <v>822</v>
      </c>
    </row>
    <row r="539" spans="1:23" x14ac:dyDescent="0.25">
      <c r="A539" t="s">
        <v>634</v>
      </c>
      <c r="B539" s="1">
        <v>45698</v>
      </c>
      <c r="C539" t="s">
        <v>517</v>
      </c>
      <c r="D539">
        <v>2</v>
      </c>
      <c r="E539">
        <v>10</v>
      </c>
      <c r="F539" t="s">
        <v>168</v>
      </c>
      <c r="G539" t="s">
        <v>90</v>
      </c>
      <c r="H539" t="s">
        <v>48</v>
      </c>
      <c r="I539" t="s">
        <v>97</v>
      </c>
      <c r="J539" t="s">
        <v>78</v>
      </c>
      <c r="K539" t="s">
        <v>38</v>
      </c>
      <c r="L539">
        <v>3</v>
      </c>
      <c r="M539">
        <v>413</v>
      </c>
      <c r="N539">
        <v>41.3</v>
      </c>
      <c r="O539">
        <v>0</v>
      </c>
      <c r="P539">
        <v>1239</v>
      </c>
      <c r="Q539">
        <v>1197.7</v>
      </c>
      <c r="R539" t="s">
        <v>39</v>
      </c>
      <c r="S539" t="s">
        <v>31</v>
      </c>
      <c r="T539" t="s">
        <v>32</v>
      </c>
      <c r="U539">
        <v>21</v>
      </c>
      <c r="V539">
        <v>3.9</v>
      </c>
      <c r="W539">
        <f>Table2[[#This Row],[Quantity]]*Table2[[#This Row],[Item_Price]]</f>
        <v>1239</v>
      </c>
    </row>
    <row r="540" spans="1:23" x14ac:dyDescent="0.25">
      <c r="A540" t="s">
        <v>635</v>
      </c>
      <c r="B540" s="1">
        <v>45698</v>
      </c>
      <c r="C540" t="s">
        <v>517</v>
      </c>
      <c r="D540">
        <v>2</v>
      </c>
      <c r="E540">
        <v>10</v>
      </c>
      <c r="F540" t="s">
        <v>168</v>
      </c>
      <c r="G540" t="s">
        <v>34</v>
      </c>
      <c r="H540" t="s">
        <v>42</v>
      </c>
      <c r="I540" t="s">
        <v>27</v>
      </c>
      <c r="J540" t="s">
        <v>44</v>
      </c>
      <c r="K540" t="s">
        <v>45</v>
      </c>
      <c r="L540">
        <v>2</v>
      </c>
      <c r="M540">
        <v>221</v>
      </c>
      <c r="N540">
        <v>33.15</v>
      </c>
      <c r="O540">
        <v>50</v>
      </c>
      <c r="P540">
        <v>442</v>
      </c>
      <c r="Q540">
        <v>458.85</v>
      </c>
      <c r="R540" t="s">
        <v>39</v>
      </c>
      <c r="S540" t="s">
        <v>31</v>
      </c>
      <c r="T540" t="s">
        <v>40</v>
      </c>
      <c r="U540">
        <v>35</v>
      </c>
      <c r="V540">
        <v>4</v>
      </c>
      <c r="W540">
        <f>Table2[[#This Row],[Quantity]]*Table2[[#This Row],[Item_Price]]</f>
        <v>442</v>
      </c>
    </row>
    <row r="541" spans="1:23" x14ac:dyDescent="0.25">
      <c r="A541" t="s">
        <v>636</v>
      </c>
      <c r="B541" s="1">
        <v>45698</v>
      </c>
      <c r="C541" t="s">
        <v>517</v>
      </c>
      <c r="D541">
        <v>2</v>
      </c>
      <c r="E541">
        <v>10</v>
      </c>
      <c r="F541" t="s">
        <v>168</v>
      </c>
      <c r="G541" t="s">
        <v>96</v>
      </c>
      <c r="H541" t="s">
        <v>42</v>
      </c>
      <c r="I541" t="s">
        <v>69</v>
      </c>
      <c r="J541" t="s">
        <v>78</v>
      </c>
      <c r="K541" t="s">
        <v>38</v>
      </c>
      <c r="L541">
        <v>2</v>
      </c>
      <c r="M541">
        <v>692</v>
      </c>
      <c r="N541">
        <v>69.2</v>
      </c>
      <c r="O541">
        <v>20</v>
      </c>
      <c r="P541">
        <v>1384</v>
      </c>
      <c r="Q541">
        <v>1334.8</v>
      </c>
      <c r="R541" t="s">
        <v>39</v>
      </c>
      <c r="S541" t="s">
        <v>31</v>
      </c>
      <c r="T541" t="s">
        <v>40</v>
      </c>
      <c r="U541">
        <v>37</v>
      </c>
      <c r="V541">
        <v>3.9</v>
      </c>
      <c r="W541">
        <f>Table2[[#This Row],[Quantity]]*Table2[[#This Row],[Item_Price]]</f>
        <v>1384</v>
      </c>
    </row>
    <row r="542" spans="1:23" x14ac:dyDescent="0.25">
      <c r="A542" t="s">
        <v>637</v>
      </c>
      <c r="B542" s="1">
        <v>45698</v>
      </c>
      <c r="C542" t="s">
        <v>517</v>
      </c>
      <c r="D542">
        <v>2</v>
      </c>
      <c r="E542">
        <v>10</v>
      </c>
      <c r="F542" t="s">
        <v>168</v>
      </c>
      <c r="G542" t="s">
        <v>80</v>
      </c>
      <c r="H542" t="s">
        <v>108</v>
      </c>
      <c r="I542" t="s">
        <v>85</v>
      </c>
      <c r="J542" t="s">
        <v>70</v>
      </c>
      <c r="K542" t="s">
        <v>38</v>
      </c>
      <c r="L542">
        <v>2</v>
      </c>
      <c r="M542">
        <v>342</v>
      </c>
      <c r="N542">
        <v>34.200000000000003</v>
      </c>
      <c r="O542">
        <v>50</v>
      </c>
      <c r="P542">
        <v>684</v>
      </c>
      <c r="Q542">
        <v>699.8</v>
      </c>
      <c r="R542" t="s">
        <v>39</v>
      </c>
      <c r="S542" t="s">
        <v>31</v>
      </c>
      <c r="T542" t="s">
        <v>32</v>
      </c>
      <c r="U542">
        <v>45</v>
      </c>
      <c r="V542">
        <v>4.0999999999999996</v>
      </c>
      <c r="W542">
        <f>Table2[[#This Row],[Quantity]]*Table2[[#This Row],[Item_Price]]</f>
        <v>684</v>
      </c>
    </row>
    <row r="543" spans="1:23" x14ac:dyDescent="0.25">
      <c r="A543" t="s">
        <v>638</v>
      </c>
      <c r="B543" s="1">
        <v>45698</v>
      </c>
      <c r="C543" t="s">
        <v>517</v>
      </c>
      <c r="D543">
        <v>2</v>
      </c>
      <c r="E543">
        <v>10</v>
      </c>
      <c r="F543" t="s">
        <v>168</v>
      </c>
      <c r="G543" t="s">
        <v>96</v>
      </c>
      <c r="H543" t="s">
        <v>108</v>
      </c>
      <c r="I543" t="s">
        <v>69</v>
      </c>
      <c r="J543" t="s">
        <v>101</v>
      </c>
      <c r="K543" t="s">
        <v>38</v>
      </c>
      <c r="L543">
        <v>2</v>
      </c>
      <c r="M543">
        <v>758</v>
      </c>
      <c r="N543">
        <v>151.6</v>
      </c>
      <c r="O543">
        <v>60</v>
      </c>
      <c r="P543">
        <v>1516</v>
      </c>
      <c r="Q543">
        <v>1424.4</v>
      </c>
      <c r="R543" t="s">
        <v>39</v>
      </c>
      <c r="S543" t="s">
        <v>31</v>
      </c>
      <c r="T543" t="s">
        <v>40</v>
      </c>
      <c r="U543">
        <v>37</v>
      </c>
      <c r="V543">
        <v>3.5</v>
      </c>
      <c r="W543">
        <f>Table2[[#This Row],[Quantity]]*Table2[[#This Row],[Item_Price]]</f>
        <v>1516</v>
      </c>
    </row>
    <row r="544" spans="1:23" x14ac:dyDescent="0.25">
      <c r="A544" t="s">
        <v>639</v>
      </c>
      <c r="B544" s="1">
        <v>45698</v>
      </c>
      <c r="C544" t="s">
        <v>517</v>
      </c>
      <c r="D544">
        <v>2</v>
      </c>
      <c r="E544">
        <v>10</v>
      </c>
      <c r="F544" t="s">
        <v>168</v>
      </c>
      <c r="G544" t="s">
        <v>25</v>
      </c>
      <c r="H544" t="s">
        <v>65</v>
      </c>
      <c r="I544" t="s">
        <v>43</v>
      </c>
      <c r="J544" t="s">
        <v>70</v>
      </c>
      <c r="K544" t="s">
        <v>38</v>
      </c>
      <c r="L544">
        <v>2</v>
      </c>
      <c r="M544">
        <v>338</v>
      </c>
      <c r="N544">
        <v>67.599999999999994</v>
      </c>
      <c r="O544">
        <v>60</v>
      </c>
      <c r="P544">
        <v>676</v>
      </c>
      <c r="Q544">
        <v>668.4</v>
      </c>
      <c r="R544" t="s">
        <v>75</v>
      </c>
      <c r="S544" t="s">
        <v>91</v>
      </c>
      <c r="T544" t="s">
        <v>40</v>
      </c>
      <c r="U544">
        <v>38</v>
      </c>
      <c r="W544">
        <f>Table2[[#This Row],[Quantity]]*Table2[[#This Row],[Item_Price]]</f>
        <v>676</v>
      </c>
    </row>
    <row r="545" spans="1:23" x14ac:dyDescent="0.25">
      <c r="A545" t="s">
        <v>640</v>
      </c>
      <c r="B545" s="1">
        <v>45698</v>
      </c>
      <c r="C545" t="s">
        <v>517</v>
      </c>
      <c r="D545">
        <v>2</v>
      </c>
      <c r="E545">
        <v>10</v>
      </c>
      <c r="F545" t="s">
        <v>168</v>
      </c>
      <c r="G545" t="s">
        <v>25</v>
      </c>
      <c r="H545" t="s">
        <v>65</v>
      </c>
      <c r="I545" t="s">
        <v>97</v>
      </c>
      <c r="J545" t="s">
        <v>50</v>
      </c>
      <c r="K545" t="s">
        <v>38</v>
      </c>
      <c r="L545">
        <v>2</v>
      </c>
      <c r="M545">
        <v>428</v>
      </c>
      <c r="N545">
        <v>0</v>
      </c>
      <c r="O545">
        <v>60</v>
      </c>
      <c r="P545">
        <v>856</v>
      </c>
      <c r="Q545">
        <v>916</v>
      </c>
      <c r="R545" t="s">
        <v>30</v>
      </c>
      <c r="S545" t="s">
        <v>31</v>
      </c>
      <c r="T545" t="s">
        <v>32</v>
      </c>
      <c r="U545">
        <v>31</v>
      </c>
      <c r="V545">
        <v>3.4</v>
      </c>
      <c r="W545">
        <f>Table2[[#This Row],[Quantity]]*Table2[[#This Row],[Item_Price]]</f>
        <v>856</v>
      </c>
    </row>
    <row r="546" spans="1:23" x14ac:dyDescent="0.25">
      <c r="A546" t="s">
        <v>641</v>
      </c>
      <c r="B546" s="1">
        <v>45698</v>
      </c>
      <c r="C546" t="s">
        <v>517</v>
      </c>
      <c r="D546">
        <v>2</v>
      </c>
      <c r="E546">
        <v>10</v>
      </c>
      <c r="F546" t="s">
        <v>168</v>
      </c>
      <c r="G546" t="s">
        <v>80</v>
      </c>
      <c r="H546" t="s">
        <v>77</v>
      </c>
      <c r="I546" t="s">
        <v>97</v>
      </c>
      <c r="J546" t="s">
        <v>101</v>
      </c>
      <c r="K546" t="s">
        <v>38</v>
      </c>
      <c r="L546">
        <v>1</v>
      </c>
      <c r="M546">
        <v>900</v>
      </c>
      <c r="N546">
        <v>180</v>
      </c>
      <c r="O546">
        <v>40</v>
      </c>
      <c r="P546">
        <v>900</v>
      </c>
      <c r="Q546">
        <v>760</v>
      </c>
      <c r="R546" t="s">
        <v>39</v>
      </c>
      <c r="S546" t="s">
        <v>31</v>
      </c>
      <c r="T546" t="s">
        <v>40</v>
      </c>
      <c r="U546">
        <v>49</v>
      </c>
      <c r="V546">
        <v>4.3</v>
      </c>
      <c r="W546">
        <f>Table2[[#This Row],[Quantity]]*Table2[[#This Row],[Item_Price]]</f>
        <v>900</v>
      </c>
    </row>
    <row r="547" spans="1:23" x14ac:dyDescent="0.25">
      <c r="A547" t="s">
        <v>642</v>
      </c>
      <c r="B547" s="1">
        <v>45698</v>
      </c>
      <c r="C547" t="s">
        <v>517</v>
      </c>
      <c r="D547">
        <v>2</v>
      </c>
      <c r="E547">
        <v>10</v>
      </c>
      <c r="F547" t="s">
        <v>168</v>
      </c>
      <c r="G547" t="s">
        <v>73</v>
      </c>
      <c r="H547" t="s">
        <v>81</v>
      </c>
      <c r="I547" t="s">
        <v>36</v>
      </c>
      <c r="J547" t="s">
        <v>82</v>
      </c>
      <c r="K547" t="s">
        <v>58</v>
      </c>
      <c r="L547">
        <v>1</v>
      </c>
      <c r="M547">
        <v>643</v>
      </c>
      <c r="N547">
        <v>96.45</v>
      </c>
      <c r="O547">
        <v>50</v>
      </c>
      <c r="P547">
        <v>643</v>
      </c>
      <c r="Q547">
        <v>596.54999999999995</v>
      </c>
      <c r="R547" t="s">
        <v>112</v>
      </c>
      <c r="S547" t="s">
        <v>91</v>
      </c>
      <c r="T547" t="s">
        <v>40</v>
      </c>
      <c r="U547">
        <v>57</v>
      </c>
      <c r="W547">
        <f>Table2[[#This Row],[Quantity]]*Table2[[#This Row],[Item_Price]]</f>
        <v>643</v>
      </c>
    </row>
    <row r="548" spans="1:23" x14ac:dyDescent="0.25">
      <c r="A548" t="s">
        <v>643</v>
      </c>
      <c r="B548" s="1">
        <v>45698</v>
      </c>
      <c r="C548" t="s">
        <v>517</v>
      </c>
      <c r="D548">
        <v>2</v>
      </c>
      <c r="E548">
        <v>10</v>
      </c>
      <c r="F548" t="s">
        <v>168</v>
      </c>
      <c r="G548" t="s">
        <v>80</v>
      </c>
      <c r="H548" t="s">
        <v>135</v>
      </c>
      <c r="I548" t="s">
        <v>36</v>
      </c>
      <c r="J548" t="s">
        <v>28</v>
      </c>
      <c r="K548" t="s">
        <v>58</v>
      </c>
      <c r="L548">
        <v>2</v>
      </c>
      <c r="M548">
        <v>233</v>
      </c>
      <c r="N548">
        <v>0</v>
      </c>
      <c r="O548">
        <v>0</v>
      </c>
      <c r="P548">
        <v>466</v>
      </c>
      <c r="Q548">
        <v>466</v>
      </c>
      <c r="R548" t="s">
        <v>39</v>
      </c>
      <c r="S548" t="s">
        <v>31</v>
      </c>
      <c r="T548" t="s">
        <v>40</v>
      </c>
      <c r="U548">
        <v>42</v>
      </c>
      <c r="V548">
        <v>4.9000000000000004</v>
      </c>
      <c r="W548">
        <f>Table2[[#This Row],[Quantity]]*Table2[[#This Row],[Item_Price]]</f>
        <v>466</v>
      </c>
    </row>
    <row r="549" spans="1:23" x14ac:dyDescent="0.25">
      <c r="A549" t="s">
        <v>644</v>
      </c>
      <c r="B549" s="1">
        <v>45698</v>
      </c>
      <c r="C549" t="s">
        <v>517</v>
      </c>
      <c r="D549">
        <v>2</v>
      </c>
      <c r="E549">
        <v>10</v>
      </c>
      <c r="F549" t="s">
        <v>168</v>
      </c>
      <c r="G549" t="s">
        <v>64</v>
      </c>
      <c r="H549" t="s">
        <v>56</v>
      </c>
      <c r="I549" t="s">
        <v>57</v>
      </c>
      <c r="J549" t="s">
        <v>119</v>
      </c>
      <c r="K549" t="s">
        <v>45</v>
      </c>
      <c r="L549">
        <v>1</v>
      </c>
      <c r="M549">
        <v>394</v>
      </c>
      <c r="N549">
        <v>59.1</v>
      </c>
      <c r="O549">
        <v>40</v>
      </c>
      <c r="P549">
        <v>394</v>
      </c>
      <c r="Q549">
        <v>374.9</v>
      </c>
      <c r="R549" t="s">
        <v>39</v>
      </c>
      <c r="S549" t="s">
        <v>31</v>
      </c>
      <c r="T549" t="s">
        <v>40</v>
      </c>
      <c r="U549">
        <v>40</v>
      </c>
      <c r="V549">
        <v>3.8</v>
      </c>
      <c r="W549">
        <f>Table2[[#This Row],[Quantity]]*Table2[[#This Row],[Item_Price]]</f>
        <v>394</v>
      </c>
    </row>
    <row r="550" spans="1:23" x14ac:dyDescent="0.25">
      <c r="A550" t="s">
        <v>645</v>
      </c>
      <c r="B550" s="1">
        <v>45698</v>
      </c>
      <c r="C550" t="s">
        <v>517</v>
      </c>
      <c r="D550">
        <v>2</v>
      </c>
      <c r="E550">
        <v>10</v>
      </c>
      <c r="F550" t="s">
        <v>168</v>
      </c>
      <c r="G550" t="s">
        <v>55</v>
      </c>
      <c r="H550" t="s">
        <v>135</v>
      </c>
      <c r="I550" t="s">
        <v>36</v>
      </c>
      <c r="J550" t="s">
        <v>123</v>
      </c>
      <c r="K550" t="s">
        <v>58</v>
      </c>
      <c r="L550">
        <v>1</v>
      </c>
      <c r="M550">
        <v>313</v>
      </c>
      <c r="N550">
        <v>46.95</v>
      </c>
      <c r="O550">
        <v>50</v>
      </c>
      <c r="P550">
        <v>313</v>
      </c>
      <c r="Q550">
        <v>316.05</v>
      </c>
      <c r="R550" t="s">
        <v>39</v>
      </c>
      <c r="S550" t="s">
        <v>31</v>
      </c>
      <c r="T550" t="s">
        <v>32</v>
      </c>
      <c r="U550">
        <v>70</v>
      </c>
      <c r="V550">
        <v>4</v>
      </c>
      <c r="W550">
        <f>Table2[[#This Row],[Quantity]]*Table2[[#This Row],[Item_Price]]</f>
        <v>313</v>
      </c>
    </row>
    <row r="551" spans="1:23" x14ac:dyDescent="0.25">
      <c r="A551" t="s">
        <v>646</v>
      </c>
      <c r="B551" s="1">
        <v>45698</v>
      </c>
      <c r="C551" t="s">
        <v>517</v>
      </c>
      <c r="D551">
        <v>2</v>
      </c>
      <c r="E551">
        <v>10</v>
      </c>
      <c r="F551" t="s">
        <v>168</v>
      </c>
      <c r="G551" t="s">
        <v>25</v>
      </c>
      <c r="H551" t="s">
        <v>52</v>
      </c>
      <c r="I551" t="s">
        <v>97</v>
      </c>
      <c r="J551" t="s">
        <v>172</v>
      </c>
      <c r="K551" t="s">
        <v>58</v>
      </c>
      <c r="L551">
        <v>2</v>
      </c>
      <c r="M551">
        <v>441</v>
      </c>
      <c r="N551">
        <v>66.150000000000006</v>
      </c>
      <c r="O551">
        <v>30</v>
      </c>
      <c r="P551">
        <v>882</v>
      </c>
      <c r="Q551">
        <v>845.85</v>
      </c>
      <c r="R551" t="s">
        <v>39</v>
      </c>
      <c r="S551" t="s">
        <v>31</v>
      </c>
      <c r="T551" t="s">
        <v>40</v>
      </c>
      <c r="U551">
        <v>52</v>
      </c>
      <c r="V551">
        <v>4.2</v>
      </c>
      <c r="W551">
        <f>Table2[[#This Row],[Quantity]]*Table2[[#This Row],[Item_Price]]</f>
        <v>882</v>
      </c>
    </row>
    <row r="552" spans="1:23" x14ac:dyDescent="0.25">
      <c r="A552" t="s">
        <v>647</v>
      </c>
      <c r="B552" s="1">
        <v>45698</v>
      </c>
      <c r="C552" t="s">
        <v>517</v>
      </c>
      <c r="D552">
        <v>2</v>
      </c>
      <c r="E552">
        <v>10</v>
      </c>
      <c r="F552" t="s">
        <v>168</v>
      </c>
      <c r="G552" t="s">
        <v>34</v>
      </c>
      <c r="H552" t="s">
        <v>77</v>
      </c>
      <c r="I552" t="s">
        <v>57</v>
      </c>
      <c r="J552" t="s">
        <v>119</v>
      </c>
      <c r="K552" t="s">
        <v>45</v>
      </c>
      <c r="L552">
        <v>2</v>
      </c>
      <c r="M552">
        <v>594</v>
      </c>
      <c r="N552">
        <v>148.5</v>
      </c>
      <c r="O552">
        <v>60</v>
      </c>
      <c r="P552">
        <v>1188</v>
      </c>
      <c r="Q552">
        <v>1099.5</v>
      </c>
      <c r="R552" t="s">
        <v>75</v>
      </c>
      <c r="S552" t="s">
        <v>31</v>
      </c>
      <c r="T552" t="s">
        <v>40</v>
      </c>
      <c r="U552">
        <v>48</v>
      </c>
      <c r="V552">
        <v>3.2</v>
      </c>
      <c r="W552">
        <f>Table2[[#This Row],[Quantity]]*Table2[[#This Row],[Item_Price]]</f>
        <v>1188</v>
      </c>
    </row>
    <row r="553" spans="1:23" x14ac:dyDescent="0.25">
      <c r="A553" t="s">
        <v>648</v>
      </c>
      <c r="B553" s="1">
        <v>45698</v>
      </c>
      <c r="C553" t="s">
        <v>517</v>
      </c>
      <c r="D553">
        <v>2</v>
      </c>
      <c r="E553">
        <v>10</v>
      </c>
      <c r="F553" t="s">
        <v>168</v>
      </c>
      <c r="G553" t="s">
        <v>73</v>
      </c>
      <c r="H553" t="s">
        <v>42</v>
      </c>
      <c r="I553" t="s">
        <v>61</v>
      </c>
      <c r="J553" t="s">
        <v>28</v>
      </c>
      <c r="K553" t="s">
        <v>45</v>
      </c>
      <c r="L553">
        <v>3</v>
      </c>
      <c r="M553">
        <v>479</v>
      </c>
      <c r="N553">
        <v>0</v>
      </c>
      <c r="O553">
        <v>40</v>
      </c>
      <c r="P553">
        <v>1437</v>
      </c>
      <c r="Q553">
        <v>1477</v>
      </c>
      <c r="R553" t="s">
        <v>98</v>
      </c>
      <c r="S553" t="s">
        <v>91</v>
      </c>
      <c r="T553" t="s">
        <v>40</v>
      </c>
      <c r="U553">
        <v>20</v>
      </c>
      <c r="W553">
        <f>Table2[[#This Row],[Quantity]]*Table2[[#This Row],[Item_Price]]</f>
        <v>1437</v>
      </c>
    </row>
    <row r="554" spans="1:23" x14ac:dyDescent="0.25">
      <c r="A554" t="s">
        <v>649</v>
      </c>
      <c r="B554" s="1">
        <v>45698</v>
      </c>
      <c r="C554" t="s">
        <v>517</v>
      </c>
      <c r="D554">
        <v>2</v>
      </c>
      <c r="E554">
        <v>10</v>
      </c>
      <c r="F554" t="s">
        <v>168</v>
      </c>
      <c r="G554" t="s">
        <v>84</v>
      </c>
      <c r="H554" t="s">
        <v>135</v>
      </c>
      <c r="I554" t="s">
        <v>57</v>
      </c>
      <c r="J554" t="s">
        <v>119</v>
      </c>
      <c r="K554" t="s">
        <v>38</v>
      </c>
      <c r="L554">
        <v>2</v>
      </c>
      <c r="M554">
        <v>185</v>
      </c>
      <c r="N554">
        <v>46.25</v>
      </c>
      <c r="O554">
        <v>60</v>
      </c>
      <c r="P554">
        <v>370</v>
      </c>
      <c r="Q554">
        <v>383.75</v>
      </c>
      <c r="R554" t="s">
        <v>75</v>
      </c>
      <c r="S554" t="s">
        <v>31</v>
      </c>
      <c r="T554" t="s">
        <v>32</v>
      </c>
      <c r="U554">
        <v>33</v>
      </c>
      <c r="V554">
        <v>2.5</v>
      </c>
      <c r="W554">
        <f>Table2[[#This Row],[Quantity]]*Table2[[#This Row],[Item_Price]]</f>
        <v>370</v>
      </c>
    </row>
    <row r="555" spans="1:23" x14ac:dyDescent="0.25">
      <c r="A555" t="s">
        <v>650</v>
      </c>
      <c r="B555" s="1">
        <v>45699</v>
      </c>
      <c r="C555" t="s">
        <v>517</v>
      </c>
      <c r="D555">
        <v>2</v>
      </c>
      <c r="E555">
        <v>11</v>
      </c>
      <c r="F555" t="s">
        <v>178</v>
      </c>
      <c r="G555" t="s">
        <v>64</v>
      </c>
      <c r="H555" t="s">
        <v>65</v>
      </c>
      <c r="I555" t="s">
        <v>69</v>
      </c>
      <c r="J555" t="s">
        <v>70</v>
      </c>
      <c r="K555" t="s">
        <v>29</v>
      </c>
      <c r="L555">
        <v>2</v>
      </c>
      <c r="M555">
        <v>642</v>
      </c>
      <c r="N555">
        <v>64.2</v>
      </c>
      <c r="O555">
        <v>40</v>
      </c>
      <c r="P555">
        <v>1284</v>
      </c>
      <c r="Q555">
        <v>1259.8</v>
      </c>
      <c r="R555" t="s">
        <v>39</v>
      </c>
      <c r="S555" t="s">
        <v>31</v>
      </c>
      <c r="T555" t="s">
        <v>40</v>
      </c>
      <c r="U555">
        <v>45</v>
      </c>
      <c r="V555">
        <v>3.5</v>
      </c>
      <c r="W555">
        <f>Table2[[#This Row],[Quantity]]*Table2[[#This Row],[Item_Price]]</f>
        <v>1284</v>
      </c>
    </row>
    <row r="556" spans="1:23" x14ac:dyDescent="0.25">
      <c r="A556" t="s">
        <v>651</v>
      </c>
      <c r="B556" s="1">
        <v>45699</v>
      </c>
      <c r="C556" t="s">
        <v>517</v>
      </c>
      <c r="D556">
        <v>2</v>
      </c>
      <c r="E556">
        <v>11</v>
      </c>
      <c r="F556" t="s">
        <v>178</v>
      </c>
      <c r="G556" t="s">
        <v>34</v>
      </c>
      <c r="H556" t="s">
        <v>108</v>
      </c>
      <c r="I556" t="s">
        <v>57</v>
      </c>
      <c r="J556" t="s">
        <v>50</v>
      </c>
      <c r="K556" t="s">
        <v>45</v>
      </c>
      <c r="L556">
        <v>2</v>
      </c>
      <c r="M556">
        <v>712</v>
      </c>
      <c r="N556">
        <v>178</v>
      </c>
      <c r="O556">
        <v>40</v>
      </c>
      <c r="P556">
        <v>1424</v>
      </c>
      <c r="Q556">
        <v>1286</v>
      </c>
      <c r="R556" t="s">
        <v>39</v>
      </c>
      <c r="S556" t="s">
        <v>31</v>
      </c>
      <c r="T556" t="s">
        <v>40</v>
      </c>
      <c r="U556">
        <v>19</v>
      </c>
      <c r="V556">
        <v>3.4</v>
      </c>
      <c r="W556">
        <f>Table2[[#This Row],[Quantity]]*Table2[[#This Row],[Item_Price]]</f>
        <v>1424</v>
      </c>
    </row>
    <row r="557" spans="1:23" x14ac:dyDescent="0.25">
      <c r="A557" t="s">
        <v>652</v>
      </c>
      <c r="B557" s="1">
        <v>45699</v>
      </c>
      <c r="C557" t="s">
        <v>517</v>
      </c>
      <c r="D557">
        <v>2</v>
      </c>
      <c r="E557">
        <v>11</v>
      </c>
      <c r="F557" t="s">
        <v>178</v>
      </c>
      <c r="G557" t="s">
        <v>64</v>
      </c>
      <c r="H557" t="s">
        <v>108</v>
      </c>
      <c r="I557" t="s">
        <v>43</v>
      </c>
      <c r="J557" t="s">
        <v>74</v>
      </c>
      <c r="K557" t="s">
        <v>45</v>
      </c>
      <c r="L557">
        <v>1</v>
      </c>
      <c r="M557">
        <v>651</v>
      </c>
      <c r="N557">
        <v>65.099999999999994</v>
      </c>
      <c r="O557">
        <v>60</v>
      </c>
      <c r="P557">
        <v>651</v>
      </c>
      <c r="Q557">
        <v>645.9</v>
      </c>
      <c r="R557" t="s">
        <v>39</v>
      </c>
      <c r="S557" t="s">
        <v>31</v>
      </c>
      <c r="T557" t="s">
        <v>40</v>
      </c>
      <c r="U557">
        <v>47</v>
      </c>
      <c r="V557">
        <v>3.8</v>
      </c>
      <c r="W557">
        <f>Table2[[#This Row],[Quantity]]*Table2[[#This Row],[Item_Price]]</f>
        <v>651</v>
      </c>
    </row>
    <row r="558" spans="1:23" x14ac:dyDescent="0.25">
      <c r="A558" t="s">
        <v>653</v>
      </c>
      <c r="B558" s="1">
        <v>45699</v>
      </c>
      <c r="C558" t="s">
        <v>517</v>
      </c>
      <c r="D558">
        <v>2</v>
      </c>
      <c r="E558">
        <v>11</v>
      </c>
      <c r="F558" t="s">
        <v>178</v>
      </c>
      <c r="G558" t="s">
        <v>96</v>
      </c>
      <c r="H558" t="s">
        <v>56</v>
      </c>
      <c r="I558" t="s">
        <v>97</v>
      </c>
      <c r="J558" t="s">
        <v>172</v>
      </c>
      <c r="K558" t="s">
        <v>45</v>
      </c>
      <c r="L558">
        <v>2</v>
      </c>
      <c r="M558">
        <v>854</v>
      </c>
      <c r="N558">
        <v>0</v>
      </c>
      <c r="O558">
        <v>50</v>
      </c>
      <c r="P558">
        <v>1708</v>
      </c>
      <c r="Q558">
        <v>1758</v>
      </c>
      <c r="R558" t="s">
        <v>30</v>
      </c>
      <c r="S558" t="s">
        <v>31</v>
      </c>
      <c r="T558" t="s">
        <v>40</v>
      </c>
      <c r="U558">
        <v>29</v>
      </c>
      <c r="V558">
        <v>3.9</v>
      </c>
      <c r="W558">
        <f>Table2[[#This Row],[Quantity]]*Table2[[#This Row],[Item_Price]]</f>
        <v>1708</v>
      </c>
    </row>
    <row r="559" spans="1:23" x14ac:dyDescent="0.25">
      <c r="A559" t="s">
        <v>654</v>
      </c>
      <c r="B559" s="1">
        <v>45699</v>
      </c>
      <c r="C559" t="s">
        <v>517</v>
      </c>
      <c r="D559">
        <v>2</v>
      </c>
      <c r="E559">
        <v>11</v>
      </c>
      <c r="F559" t="s">
        <v>178</v>
      </c>
      <c r="G559" t="s">
        <v>80</v>
      </c>
      <c r="H559" t="s">
        <v>105</v>
      </c>
      <c r="I559" t="s">
        <v>69</v>
      </c>
      <c r="J559" t="s">
        <v>28</v>
      </c>
      <c r="K559" t="s">
        <v>38</v>
      </c>
      <c r="L559">
        <v>2</v>
      </c>
      <c r="M559">
        <v>769</v>
      </c>
      <c r="N559">
        <v>115.35</v>
      </c>
      <c r="O559">
        <v>0</v>
      </c>
      <c r="P559">
        <v>1538</v>
      </c>
      <c r="Q559">
        <v>1422.65</v>
      </c>
      <c r="R559" t="s">
        <v>30</v>
      </c>
      <c r="S559" t="s">
        <v>31</v>
      </c>
      <c r="T559" t="s">
        <v>40</v>
      </c>
      <c r="U559">
        <v>19</v>
      </c>
      <c r="V559">
        <v>4.2</v>
      </c>
      <c r="W559">
        <f>Table2[[#This Row],[Quantity]]*Table2[[#This Row],[Item_Price]]</f>
        <v>1538</v>
      </c>
    </row>
    <row r="560" spans="1:23" x14ac:dyDescent="0.25">
      <c r="A560" t="s">
        <v>655</v>
      </c>
      <c r="B560" s="1">
        <v>45699</v>
      </c>
      <c r="C560" t="s">
        <v>517</v>
      </c>
      <c r="D560">
        <v>2</v>
      </c>
      <c r="E560">
        <v>11</v>
      </c>
      <c r="F560" t="s">
        <v>178</v>
      </c>
      <c r="G560" t="s">
        <v>80</v>
      </c>
      <c r="H560" t="s">
        <v>56</v>
      </c>
      <c r="I560" t="s">
        <v>103</v>
      </c>
      <c r="J560" t="s">
        <v>123</v>
      </c>
      <c r="K560" t="s">
        <v>38</v>
      </c>
      <c r="L560">
        <v>2</v>
      </c>
      <c r="M560">
        <v>602</v>
      </c>
      <c r="N560">
        <v>90.3</v>
      </c>
      <c r="O560">
        <v>40</v>
      </c>
      <c r="P560">
        <v>1204</v>
      </c>
      <c r="Q560">
        <v>1153.7</v>
      </c>
      <c r="R560" t="s">
        <v>112</v>
      </c>
      <c r="S560" t="s">
        <v>31</v>
      </c>
      <c r="T560" t="s">
        <v>32</v>
      </c>
      <c r="U560">
        <v>34</v>
      </c>
      <c r="V560">
        <v>4.2</v>
      </c>
      <c r="W560">
        <f>Table2[[#This Row],[Quantity]]*Table2[[#This Row],[Item_Price]]</f>
        <v>1204</v>
      </c>
    </row>
    <row r="561" spans="1:23" x14ac:dyDescent="0.25">
      <c r="A561" t="s">
        <v>656</v>
      </c>
      <c r="B561" s="1">
        <v>45699</v>
      </c>
      <c r="C561" t="s">
        <v>517</v>
      </c>
      <c r="D561">
        <v>2</v>
      </c>
      <c r="E561">
        <v>11</v>
      </c>
      <c r="F561" t="s">
        <v>178</v>
      </c>
      <c r="G561" t="s">
        <v>115</v>
      </c>
      <c r="H561" t="s">
        <v>26</v>
      </c>
      <c r="I561" t="s">
        <v>49</v>
      </c>
      <c r="J561" t="s">
        <v>94</v>
      </c>
      <c r="K561" t="s">
        <v>29</v>
      </c>
      <c r="L561">
        <v>1</v>
      </c>
      <c r="M561">
        <v>490</v>
      </c>
      <c r="N561">
        <v>24.5</v>
      </c>
      <c r="O561">
        <v>0</v>
      </c>
      <c r="P561">
        <v>490</v>
      </c>
      <c r="Q561">
        <v>465.5</v>
      </c>
      <c r="R561" t="s">
        <v>39</v>
      </c>
      <c r="S561" t="s">
        <v>31</v>
      </c>
      <c r="T561" t="s">
        <v>32</v>
      </c>
      <c r="U561">
        <v>54</v>
      </c>
      <c r="V561">
        <v>3</v>
      </c>
      <c r="W561">
        <f>Table2[[#This Row],[Quantity]]*Table2[[#This Row],[Item_Price]]</f>
        <v>490</v>
      </c>
    </row>
    <row r="562" spans="1:23" x14ac:dyDescent="0.25">
      <c r="A562" t="s">
        <v>657</v>
      </c>
      <c r="B562" s="1">
        <v>45699</v>
      </c>
      <c r="C562" t="s">
        <v>517</v>
      </c>
      <c r="D562">
        <v>2</v>
      </c>
      <c r="E562">
        <v>11</v>
      </c>
      <c r="F562" t="s">
        <v>178</v>
      </c>
      <c r="G562" t="s">
        <v>80</v>
      </c>
      <c r="H562" t="s">
        <v>135</v>
      </c>
      <c r="I562" t="s">
        <v>61</v>
      </c>
      <c r="J562" t="s">
        <v>37</v>
      </c>
      <c r="K562" t="s">
        <v>38</v>
      </c>
      <c r="L562">
        <v>2</v>
      </c>
      <c r="M562">
        <v>766</v>
      </c>
      <c r="N562">
        <v>153.19999999999999</v>
      </c>
      <c r="O562">
        <v>30</v>
      </c>
      <c r="P562">
        <v>1532</v>
      </c>
      <c r="Q562">
        <v>1408.8</v>
      </c>
      <c r="R562" t="s">
        <v>112</v>
      </c>
      <c r="S562" t="s">
        <v>31</v>
      </c>
      <c r="T562" t="s">
        <v>32</v>
      </c>
      <c r="U562">
        <v>42</v>
      </c>
      <c r="V562">
        <v>4.7</v>
      </c>
      <c r="W562">
        <f>Table2[[#This Row],[Quantity]]*Table2[[#This Row],[Item_Price]]</f>
        <v>1532</v>
      </c>
    </row>
    <row r="563" spans="1:23" x14ac:dyDescent="0.25">
      <c r="A563" t="s">
        <v>658</v>
      </c>
      <c r="B563" s="1">
        <v>45699</v>
      </c>
      <c r="C563" t="s">
        <v>517</v>
      </c>
      <c r="D563">
        <v>2</v>
      </c>
      <c r="E563">
        <v>11</v>
      </c>
      <c r="F563" t="s">
        <v>178</v>
      </c>
      <c r="G563" t="s">
        <v>96</v>
      </c>
      <c r="H563" t="s">
        <v>105</v>
      </c>
      <c r="I563" t="s">
        <v>57</v>
      </c>
      <c r="J563" t="s">
        <v>94</v>
      </c>
      <c r="K563" t="s">
        <v>38</v>
      </c>
      <c r="L563">
        <v>2</v>
      </c>
      <c r="M563">
        <v>729</v>
      </c>
      <c r="N563">
        <v>109.35</v>
      </c>
      <c r="O563">
        <v>50</v>
      </c>
      <c r="P563">
        <v>1458</v>
      </c>
      <c r="Q563">
        <v>1398.65</v>
      </c>
      <c r="R563" t="s">
        <v>30</v>
      </c>
      <c r="S563" t="s">
        <v>31</v>
      </c>
      <c r="T563" t="s">
        <v>40</v>
      </c>
      <c r="U563">
        <v>53</v>
      </c>
      <c r="V563">
        <v>4.4000000000000004</v>
      </c>
      <c r="W563">
        <f>Table2[[#This Row],[Quantity]]*Table2[[#This Row],[Item_Price]]</f>
        <v>1458</v>
      </c>
    </row>
    <row r="564" spans="1:23" x14ac:dyDescent="0.25">
      <c r="A564" t="s">
        <v>659</v>
      </c>
      <c r="B564" s="1">
        <v>45699</v>
      </c>
      <c r="C564" t="s">
        <v>517</v>
      </c>
      <c r="D564">
        <v>2</v>
      </c>
      <c r="E564">
        <v>11</v>
      </c>
      <c r="F564" t="s">
        <v>178</v>
      </c>
      <c r="G564" t="s">
        <v>34</v>
      </c>
      <c r="H564" t="s">
        <v>65</v>
      </c>
      <c r="I564" t="s">
        <v>103</v>
      </c>
      <c r="J564" t="s">
        <v>53</v>
      </c>
      <c r="K564" t="s">
        <v>38</v>
      </c>
      <c r="L564">
        <v>2</v>
      </c>
      <c r="M564">
        <v>817</v>
      </c>
      <c r="N564">
        <v>163.4</v>
      </c>
      <c r="O564">
        <v>20</v>
      </c>
      <c r="P564">
        <v>1634</v>
      </c>
      <c r="Q564">
        <v>1490.6</v>
      </c>
      <c r="R564" t="s">
        <v>30</v>
      </c>
      <c r="S564" t="s">
        <v>31</v>
      </c>
      <c r="T564" t="s">
        <v>32</v>
      </c>
      <c r="U564">
        <v>35</v>
      </c>
      <c r="V564">
        <v>3.5</v>
      </c>
      <c r="W564">
        <f>Table2[[#This Row],[Quantity]]*Table2[[#This Row],[Item_Price]]</f>
        <v>1634</v>
      </c>
    </row>
    <row r="565" spans="1:23" x14ac:dyDescent="0.25">
      <c r="A565" t="s">
        <v>660</v>
      </c>
      <c r="B565" s="1">
        <v>45699</v>
      </c>
      <c r="C565" t="s">
        <v>517</v>
      </c>
      <c r="D565">
        <v>2</v>
      </c>
      <c r="E565">
        <v>11</v>
      </c>
      <c r="F565" t="s">
        <v>178</v>
      </c>
      <c r="G565" t="s">
        <v>115</v>
      </c>
      <c r="H565" t="s">
        <v>48</v>
      </c>
      <c r="I565" t="s">
        <v>43</v>
      </c>
      <c r="J565" t="s">
        <v>119</v>
      </c>
      <c r="K565" t="s">
        <v>38</v>
      </c>
      <c r="L565">
        <v>3</v>
      </c>
      <c r="M565">
        <v>666</v>
      </c>
      <c r="N565">
        <v>66.599999999999994</v>
      </c>
      <c r="O565">
        <v>20</v>
      </c>
      <c r="P565">
        <v>1998</v>
      </c>
      <c r="Q565">
        <v>1951.4</v>
      </c>
      <c r="R565" t="s">
        <v>39</v>
      </c>
      <c r="S565" t="s">
        <v>31</v>
      </c>
      <c r="T565" t="s">
        <v>40</v>
      </c>
      <c r="U565">
        <v>69</v>
      </c>
      <c r="V565">
        <v>4.9000000000000004</v>
      </c>
      <c r="W565">
        <f>Table2[[#This Row],[Quantity]]*Table2[[#This Row],[Item_Price]]</f>
        <v>1998</v>
      </c>
    </row>
    <row r="566" spans="1:23" x14ac:dyDescent="0.25">
      <c r="A566" t="s">
        <v>661</v>
      </c>
      <c r="B566" s="1">
        <v>45699</v>
      </c>
      <c r="C566" t="s">
        <v>517</v>
      </c>
      <c r="D566">
        <v>2</v>
      </c>
      <c r="E566">
        <v>11</v>
      </c>
      <c r="F566" t="s">
        <v>178</v>
      </c>
      <c r="G566" t="s">
        <v>73</v>
      </c>
      <c r="H566" t="s">
        <v>81</v>
      </c>
      <c r="I566" t="s">
        <v>43</v>
      </c>
      <c r="J566" t="s">
        <v>66</v>
      </c>
      <c r="K566" t="s">
        <v>58</v>
      </c>
      <c r="L566">
        <v>1</v>
      </c>
      <c r="M566">
        <v>231</v>
      </c>
      <c r="N566">
        <v>46.2</v>
      </c>
      <c r="O566">
        <v>30</v>
      </c>
      <c r="P566">
        <v>231</v>
      </c>
      <c r="Q566">
        <v>214.8</v>
      </c>
      <c r="R566" t="s">
        <v>39</v>
      </c>
      <c r="S566" t="s">
        <v>31</v>
      </c>
      <c r="T566" t="s">
        <v>40</v>
      </c>
      <c r="U566">
        <v>39</v>
      </c>
      <c r="V566">
        <v>4.9000000000000004</v>
      </c>
      <c r="W566">
        <f>Table2[[#This Row],[Quantity]]*Table2[[#This Row],[Item_Price]]</f>
        <v>231</v>
      </c>
    </row>
    <row r="567" spans="1:23" x14ac:dyDescent="0.25">
      <c r="A567" t="s">
        <v>662</v>
      </c>
      <c r="B567" s="1">
        <v>45699</v>
      </c>
      <c r="C567" t="s">
        <v>517</v>
      </c>
      <c r="D567">
        <v>2</v>
      </c>
      <c r="E567">
        <v>11</v>
      </c>
      <c r="F567" t="s">
        <v>178</v>
      </c>
      <c r="G567" t="s">
        <v>55</v>
      </c>
      <c r="H567" t="s">
        <v>26</v>
      </c>
      <c r="I567" t="s">
        <v>61</v>
      </c>
      <c r="J567" t="s">
        <v>119</v>
      </c>
      <c r="K567" t="s">
        <v>38</v>
      </c>
      <c r="L567">
        <v>3</v>
      </c>
      <c r="M567">
        <v>841</v>
      </c>
      <c r="N567">
        <v>126.15</v>
      </c>
      <c r="O567">
        <v>20</v>
      </c>
      <c r="P567">
        <v>2523</v>
      </c>
      <c r="Q567">
        <v>2416.85</v>
      </c>
      <c r="R567" t="s">
        <v>39</v>
      </c>
      <c r="S567" t="s">
        <v>31</v>
      </c>
      <c r="T567" t="s">
        <v>32</v>
      </c>
      <c r="U567">
        <v>62</v>
      </c>
      <c r="V567">
        <v>4.3</v>
      </c>
      <c r="W567">
        <f>Table2[[#This Row],[Quantity]]*Table2[[#This Row],[Item_Price]]</f>
        <v>2523</v>
      </c>
    </row>
    <row r="568" spans="1:23" x14ac:dyDescent="0.25">
      <c r="A568" t="s">
        <v>663</v>
      </c>
      <c r="B568" s="1">
        <v>45699</v>
      </c>
      <c r="C568" t="s">
        <v>517</v>
      </c>
      <c r="D568">
        <v>2</v>
      </c>
      <c r="E568">
        <v>11</v>
      </c>
      <c r="F568" t="s">
        <v>178</v>
      </c>
      <c r="G568" t="s">
        <v>73</v>
      </c>
      <c r="H568" t="s">
        <v>65</v>
      </c>
      <c r="I568" t="s">
        <v>27</v>
      </c>
      <c r="J568" t="s">
        <v>94</v>
      </c>
      <c r="K568" t="s">
        <v>38</v>
      </c>
      <c r="L568">
        <v>1</v>
      </c>
      <c r="M568">
        <v>230</v>
      </c>
      <c r="N568">
        <v>23</v>
      </c>
      <c r="O568">
        <v>30</v>
      </c>
      <c r="P568">
        <v>230</v>
      </c>
      <c r="Q568">
        <v>237</v>
      </c>
      <c r="R568" t="s">
        <v>98</v>
      </c>
      <c r="S568" t="s">
        <v>31</v>
      </c>
      <c r="T568" t="s">
        <v>40</v>
      </c>
      <c r="U568">
        <v>66</v>
      </c>
      <c r="V568">
        <v>3.6</v>
      </c>
      <c r="W568">
        <f>Table2[[#This Row],[Quantity]]*Table2[[#This Row],[Item_Price]]</f>
        <v>230</v>
      </c>
    </row>
    <row r="569" spans="1:23" x14ac:dyDescent="0.25">
      <c r="A569" t="s">
        <v>664</v>
      </c>
      <c r="B569" s="1">
        <v>45699</v>
      </c>
      <c r="C569" t="s">
        <v>517</v>
      </c>
      <c r="D569">
        <v>2</v>
      </c>
      <c r="E569">
        <v>11</v>
      </c>
      <c r="F569" t="s">
        <v>178</v>
      </c>
      <c r="G569" t="s">
        <v>64</v>
      </c>
      <c r="H569" t="s">
        <v>52</v>
      </c>
      <c r="I569" t="s">
        <v>57</v>
      </c>
      <c r="J569" t="s">
        <v>37</v>
      </c>
      <c r="K569" t="s">
        <v>38</v>
      </c>
      <c r="L569">
        <v>3</v>
      </c>
      <c r="M569">
        <v>234</v>
      </c>
      <c r="N569">
        <v>0</v>
      </c>
      <c r="O569">
        <v>30</v>
      </c>
      <c r="P569">
        <v>702</v>
      </c>
      <c r="Q569">
        <v>732</v>
      </c>
      <c r="R569" t="s">
        <v>39</v>
      </c>
      <c r="S569" t="s">
        <v>31</v>
      </c>
      <c r="T569" t="s">
        <v>32</v>
      </c>
      <c r="U569">
        <v>62</v>
      </c>
      <c r="V569">
        <v>3.7</v>
      </c>
      <c r="W569">
        <f>Table2[[#This Row],[Quantity]]*Table2[[#This Row],[Item_Price]]</f>
        <v>702</v>
      </c>
    </row>
    <row r="570" spans="1:23" x14ac:dyDescent="0.25">
      <c r="A570" t="s">
        <v>665</v>
      </c>
      <c r="B570" s="1">
        <v>45700</v>
      </c>
      <c r="C570" t="s">
        <v>517</v>
      </c>
      <c r="D570">
        <v>2</v>
      </c>
      <c r="E570">
        <v>12</v>
      </c>
      <c r="F570" t="s">
        <v>24</v>
      </c>
      <c r="G570" t="s">
        <v>64</v>
      </c>
      <c r="H570" t="s">
        <v>65</v>
      </c>
      <c r="I570" t="s">
        <v>97</v>
      </c>
      <c r="J570" t="s">
        <v>74</v>
      </c>
      <c r="K570" t="s">
        <v>29</v>
      </c>
      <c r="L570">
        <v>1</v>
      </c>
      <c r="M570">
        <v>565</v>
      </c>
      <c r="N570">
        <v>0</v>
      </c>
      <c r="O570">
        <v>50</v>
      </c>
      <c r="P570">
        <v>565</v>
      </c>
      <c r="Q570">
        <v>615</v>
      </c>
      <c r="R570" t="s">
        <v>39</v>
      </c>
      <c r="S570" t="s">
        <v>31</v>
      </c>
      <c r="T570" t="s">
        <v>32</v>
      </c>
      <c r="U570">
        <v>23</v>
      </c>
      <c r="V570">
        <v>4.2</v>
      </c>
      <c r="W570">
        <f>Table2[[#This Row],[Quantity]]*Table2[[#This Row],[Item_Price]]</f>
        <v>565</v>
      </c>
    </row>
    <row r="571" spans="1:23" x14ac:dyDescent="0.25">
      <c r="A571" t="s">
        <v>666</v>
      </c>
      <c r="B571" s="1">
        <v>45700</v>
      </c>
      <c r="C571" t="s">
        <v>517</v>
      </c>
      <c r="D571">
        <v>2</v>
      </c>
      <c r="E571">
        <v>12</v>
      </c>
      <c r="F571" t="s">
        <v>24</v>
      </c>
      <c r="G571" t="s">
        <v>84</v>
      </c>
      <c r="H571" t="s">
        <v>42</v>
      </c>
      <c r="I571" t="s">
        <v>69</v>
      </c>
      <c r="J571" t="s">
        <v>62</v>
      </c>
      <c r="K571" t="s">
        <v>38</v>
      </c>
      <c r="L571">
        <v>1</v>
      </c>
      <c r="M571">
        <v>384</v>
      </c>
      <c r="N571">
        <v>19.2</v>
      </c>
      <c r="O571">
        <v>40</v>
      </c>
      <c r="P571">
        <v>384</v>
      </c>
      <c r="Q571">
        <v>404.8</v>
      </c>
      <c r="R571" t="s">
        <v>39</v>
      </c>
      <c r="S571" t="s">
        <v>31</v>
      </c>
      <c r="T571" t="s">
        <v>40</v>
      </c>
      <c r="U571">
        <v>69</v>
      </c>
      <c r="V571">
        <v>4.3</v>
      </c>
      <c r="W571">
        <f>Table2[[#This Row],[Quantity]]*Table2[[#This Row],[Item_Price]]</f>
        <v>384</v>
      </c>
    </row>
    <row r="572" spans="1:23" x14ac:dyDescent="0.25">
      <c r="A572" t="s">
        <v>667</v>
      </c>
      <c r="B572" s="1">
        <v>45700</v>
      </c>
      <c r="C572" t="s">
        <v>517</v>
      </c>
      <c r="D572">
        <v>2</v>
      </c>
      <c r="E572">
        <v>12</v>
      </c>
      <c r="F572" t="s">
        <v>24</v>
      </c>
      <c r="G572" t="s">
        <v>90</v>
      </c>
      <c r="H572" t="s">
        <v>65</v>
      </c>
      <c r="I572" t="s">
        <v>27</v>
      </c>
      <c r="J572" t="s">
        <v>50</v>
      </c>
      <c r="K572" t="s">
        <v>45</v>
      </c>
      <c r="L572">
        <v>2</v>
      </c>
      <c r="M572">
        <v>553</v>
      </c>
      <c r="N572">
        <v>55.3</v>
      </c>
      <c r="O572">
        <v>40</v>
      </c>
      <c r="P572">
        <v>1106</v>
      </c>
      <c r="Q572">
        <v>1090.7</v>
      </c>
      <c r="R572" t="s">
        <v>75</v>
      </c>
      <c r="S572" t="s">
        <v>31</v>
      </c>
      <c r="T572" t="s">
        <v>32</v>
      </c>
      <c r="U572">
        <v>49</v>
      </c>
      <c r="V572">
        <v>4.9000000000000004</v>
      </c>
      <c r="W572">
        <f>Table2[[#This Row],[Quantity]]*Table2[[#This Row],[Item_Price]]</f>
        <v>1106</v>
      </c>
    </row>
    <row r="573" spans="1:23" x14ac:dyDescent="0.25">
      <c r="A573" t="s">
        <v>668</v>
      </c>
      <c r="B573" s="1">
        <v>45700</v>
      </c>
      <c r="C573" t="s">
        <v>517</v>
      </c>
      <c r="D573">
        <v>2</v>
      </c>
      <c r="E573">
        <v>12</v>
      </c>
      <c r="F573" t="s">
        <v>24</v>
      </c>
      <c r="G573" t="s">
        <v>25</v>
      </c>
      <c r="H573" t="s">
        <v>77</v>
      </c>
      <c r="I573" t="s">
        <v>27</v>
      </c>
      <c r="J573" t="s">
        <v>62</v>
      </c>
      <c r="K573" t="s">
        <v>38</v>
      </c>
      <c r="L573">
        <v>1</v>
      </c>
      <c r="M573">
        <v>399</v>
      </c>
      <c r="N573">
        <v>79.8</v>
      </c>
      <c r="O573">
        <v>60</v>
      </c>
      <c r="P573">
        <v>399</v>
      </c>
      <c r="Q573">
        <v>379.2</v>
      </c>
      <c r="R573" t="s">
        <v>30</v>
      </c>
      <c r="S573" t="s">
        <v>31</v>
      </c>
      <c r="T573" t="s">
        <v>32</v>
      </c>
      <c r="U573">
        <v>37</v>
      </c>
      <c r="V573">
        <v>4.2</v>
      </c>
      <c r="W573">
        <f>Table2[[#This Row],[Quantity]]*Table2[[#This Row],[Item_Price]]</f>
        <v>399</v>
      </c>
    </row>
    <row r="574" spans="1:23" x14ac:dyDescent="0.25">
      <c r="A574" t="s">
        <v>669</v>
      </c>
      <c r="B574" s="1">
        <v>45700</v>
      </c>
      <c r="C574" t="s">
        <v>517</v>
      </c>
      <c r="D574">
        <v>2</v>
      </c>
      <c r="E574">
        <v>12</v>
      </c>
      <c r="F574" t="s">
        <v>24</v>
      </c>
      <c r="G574" t="s">
        <v>96</v>
      </c>
      <c r="H574" t="s">
        <v>52</v>
      </c>
      <c r="I574" t="s">
        <v>43</v>
      </c>
      <c r="J574" t="s">
        <v>82</v>
      </c>
      <c r="K574" t="s">
        <v>38</v>
      </c>
      <c r="L574">
        <v>1</v>
      </c>
      <c r="M574">
        <v>685</v>
      </c>
      <c r="N574">
        <v>34.25</v>
      </c>
      <c r="O574">
        <v>20</v>
      </c>
      <c r="P574">
        <v>685</v>
      </c>
      <c r="Q574">
        <v>670.75</v>
      </c>
      <c r="R574" t="s">
        <v>39</v>
      </c>
      <c r="S574" t="s">
        <v>31</v>
      </c>
      <c r="T574" t="s">
        <v>40</v>
      </c>
      <c r="U574">
        <v>68</v>
      </c>
      <c r="V574">
        <v>3.4</v>
      </c>
      <c r="W574">
        <f>Table2[[#This Row],[Quantity]]*Table2[[#This Row],[Item_Price]]</f>
        <v>685</v>
      </c>
    </row>
    <row r="575" spans="1:23" x14ac:dyDescent="0.25">
      <c r="A575" t="s">
        <v>670</v>
      </c>
      <c r="B575" s="1">
        <v>45700</v>
      </c>
      <c r="C575" t="s">
        <v>517</v>
      </c>
      <c r="D575">
        <v>2</v>
      </c>
      <c r="E575">
        <v>12</v>
      </c>
      <c r="F575" t="s">
        <v>24</v>
      </c>
      <c r="G575" t="s">
        <v>25</v>
      </c>
      <c r="H575" t="s">
        <v>135</v>
      </c>
      <c r="I575" t="s">
        <v>61</v>
      </c>
      <c r="J575" t="s">
        <v>37</v>
      </c>
      <c r="K575" t="s">
        <v>38</v>
      </c>
      <c r="L575">
        <v>2</v>
      </c>
      <c r="M575">
        <v>725</v>
      </c>
      <c r="N575">
        <v>0</v>
      </c>
      <c r="O575">
        <v>50</v>
      </c>
      <c r="P575">
        <v>1450</v>
      </c>
      <c r="Q575">
        <v>1500</v>
      </c>
      <c r="R575" t="s">
        <v>75</v>
      </c>
      <c r="S575" t="s">
        <v>31</v>
      </c>
      <c r="T575" t="s">
        <v>40</v>
      </c>
      <c r="U575">
        <v>58</v>
      </c>
      <c r="V575">
        <v>4.0999999999999996</v>
      </c>
      <c r="W575">
        <f>Table2[[#This Row],[Quantity]]*Table2[[#This Row],[Item_Price]]</f>
        <v>1450</v>
      </c>
    </row>
    <row r="576" spans="1:23" x14ac:dyDescent="0.25">
      <c r="A576" t="s">
        <v>671</v>
      </c>
      <c r="B576" s="1">
        <v>45700</v>
      </c>
      <c r="C576" t="s">
        <v>517</v>
      </c>
      <c r="D576">
        <v>2</v>
      </c>
      <c r="E576">
        <v>12</v>
      </c>
      <c r="F576" t="s">
        <v>24</v>
      </c>
      <c r="G576" t="s">
        <v>55</v>
      </c>
      <c r="H576" t="s">
        <v>135</v>
      </c>
      <c r="I576" t="s">
        <v>57</v>
      </c>
      <c r="J576" t="s">
        <v>70</v>
      </c>
      <c r="K576" t="s">
        <v>45</v>
      </c>
      <c r="L576">
        <v>1</v>
      </c>
      <c r="M576">
        <v>346</v>
      </c>
      <c r="N576">
        <v>34.6</v>
      </c>
      <c r="O576">
        <v>20</v>
      </c>
      <c r="P576">
        <v>346</v>
      </c>
      <c r="Q576">
        <v>331.4</v>
      </c>
      <c r="R576" t="s">
        <v>75</v>
      </c>
      <c r="S576" t="s">
        <v>46</v>
      </c>
      <c r="T576" t="s">
        <v>32</v>
      </c>
      <c r="U576">
        <v>69</v>
      </c>
      <c r="W576">
        <f>Table2[[#This Row],[Quantity]]*Table2[[#This Row],[Item_Price]]</f>
        <v>346</v>
      </c>
    </row>
    <row r="577" spans="1:23" x14ac:dyDescent="0.25">
      <c r="A577" t="s">
        <v>672</v>
      </c>
      <c r="B577" s="1">
        <v>45700</v>
      </c>
      <c r="C577" t="s">
        <v>517</v>
      </c>
      <c r="D577">
        <v>2</v>
      </c>
      <c r="E577">
        <v>12</v>
      </c>
      <c r="F577" t="s">
        <v>24</v>
      </c>
      <c r="G577" t="s">
        <v>80</v>
      </c>
      <c r="H577" t="s">
        <v>35</v>
      </c>
      <c r="I577" t="s">
        <v>57</v>
      </c>
      <c r="J577" t="s">
        <v>82</v>
      </c>
      <c r="K577" t="s">
        <v>45</v>
      </c>
      <c r="L577">
        <v>2</v>
      </c>
      <c r="M577">
        <v>381</v>
      </c>
      <c r="N577">
        <v>19.05</v>
      </c>
      <c r="O577">
        <v>20</v>
      </c>
      <c r="P577">
        <v>762</v>
      </c>
      <c r="Q577">
        <v>762.95</v>
      </c>
      <c r="R577" t="s">
        <v>30</v>
      </c>
      <c r="S577" t="s">
        <v>31</v>
      </c>
      <c r="T577" t="s">
        <v>40</v>
      </c>
      <c r="U577">
        <v>19</v>
      </c>
      <c r="V577">
        <v>4.0999999999999996</v>
      </c>
      <c r="W577">
        <f>Table2[[#This Row],[Quantity]]*Table2[[#This Row],[Item_Price]]</f>
        <v>762</v>
      </c>
    </row>
    <row r="578" spans="1:23" x14ac:dyDescent="0.25">
      <c r="A578" t="s">
        <v>673</v>
      </c>
      <c r="B578" s="1">
        <v>45700</v>
      </c>
      <c r="C578" t="s">
        <v>517</v>
      </c>
      <c r="D578">
        <v>2</v>
      </c>
      <c r="E578">
        <v>12</v>
      </c>
      <c r="F578" t="s">
        <v>24</v>
      </c>
      <c r="G578" t="s">
        <v>80</v>
      </c>
      <c r="H578" t="s">
        <v>35</v>
      </c>
      <c r="I578" t="s">
        <v>85</v>
      </c>
      <c r="J578" t="s">
        <v>74</v>
      </c>
      <c r="K578" t="s">
        <v>38</v>
      </c>
      <c r="L578">
        <v>1</v>
      </c>
      <c r="M578">
        <v>135</v>
      </c>
      <c r="N578">
        <v>20.25</v>
      </c>
      <c r="O578">
        <v>60</v>
      </c>
      <c r="P578">
        <v>135</v>
      </c>
      <c r="Q578">
        <v>174.75</v>
      </c>
      <c r="R578" t="s">
        <v>98</v>
      </c>
      <c r="S578" t="s">
        <v>31</v>
      </c>
      <c r="T578" t="s">
        <v>32</v>
      </c>
      <c r="U578">
        <v>59</v>
      </c>
      <c r="V578">
        <v>3.8</v>
      </c>
      <c r="W578">
        <f>Table2[[#This Row],[Quantity]]*Table2[[#This Row],[Item_Price]]</f>
        <v>135</v>
      </c>
    </row>
    <row r="579" spans="1:23" x14ac:dyDescent="0.25">
      <c r="A579" t="s">
        <v>674</v>
      </c>
      <c r="B579" s="1">
        <v>45700</v>
      </c>
      <c r="C579" t="s">
        <v>517</v>
      </c>
      <c r="D579">
        <v>2</v>
      </c>
      <c r="E579">
        <v>12</v>
      </c>
      <c r="F579" t="s">
        <v>24</v>
      </c>
      <c r="G579" t="s">
        <v>25</v>
      </c>
      <c r="H579" t="s">
        <v>52</v>
      </c>
      <c r="I579" t="s">
        <v>49</v>
      </c>
      <c r="J579" t="s">
        <v>66</v>
      </c>
      <c r="K579" t="s">
        <v>38</v>
      </c>
      <c r="L579">
        <v>2</v>
      </c>
      <c r="M579">
        <v>891</v>
      </c>
      <c r="N579">
        <v>222.75</v>
      </c>
      <c r="O579">
        <v>60</v>
      </c>
      <c r="P579">
        <v>1782</v>
      </c>
      <c r="Q579">
        <v>1619.25</v>
      </c>
      <c r="R579" t="s">
        <v>112</v>
      </c>
      <c r="S579" t="s">
        <v>31</v>
      </c>
      <c r="T579" t="s">
        <v>32</v>
      </c>
      <c r="U579">
        <v>19</v>
      </c>
      <c r="V579">
        <v>3.7</v>
      </c>
      <c r="W579">
        <f>Table2[[#This Row],[Quantity]]*Table2[[#This Row],[Item_Price]]</f>
        <v>1782</v>
      </c>
    </row>
    <row r="580" spans="1:23" x14ac:dyDescent="0.25">
      <c r="A580" t="s">
        <v>675</v>
      </c>
      <c r="B580" s="1">
        <v>45700</v>
      </c>
      <c r="C580" t="s">
        <v>517</v>
      </c>
      <c r="D580">
        <v>2</v>
      </c>
      <c r="E580">
        <v>12</v>
      </c>
      <c r="F580" t="s">
        <v>24</v>
      </c>
      <c r="G580" t="s">
        <v>64</v>
      </c>
      <c r="H580" t="s">
        <v>48</v>
      </c>
      <c r="I580" t="s">
        <v>49</v>
      </c>
      <c r="J580" t="s">
        <v>44</v>
      </c>
      <c r="K580" t="s">
        <v>45</v>
      </c>
      <c r="L580">
        <v>2</v>
      </c>
      <c r="M580">
        <v>257</v>
      </c>
      <c r="N580">
        <v>12.85</v>
      </c>
      <c r="O580">
        <v>60</v>
      </c>
      <c r="P580">
        <v>514</v>
      </c>
      <c r="Q580">
        <v>561.15</v>
      </c>
      <c r="R580" t="s">
        <v>39</v>
      </c>
      <c r="S580" t="s">
        <v>31</v>
      </c>
      <c r="T580" t="s">
        <v>40</v>
      </c>
      <c r="U580">
        <v>31</v>
      </c>
      <c r="V580">
        <v>3.6</v>
      </c>
      <c r="W580">
        <f>Table2[[#This Row],[Quantity]]*Table2[[#This Row],[Item_Price]]</f>
        <v>514</v>
      </c>
    </row>
    <row r="581" spans="1:23" x14ac:dyDescent="0.25">
      <c r="A581" t="s">
        <v>676</v>
      </c>
      <c r="B581" s="1">
        <v>45700</v>
      </c>
      <c r="C581" t="s">
        <v>517</v>
      </c>
      <c r="D581">
        <v>2</v>
      </c>
      <c r="E581">
        <v>12</v>
      </c>
      <c r="F581" t="s">
        <v>24</v>
      </c>
      <c r="G581" t="s">
        <v>64</v>
      </c>
      <c r="H581" t="s">
        <v>42</v>
      </c>
      <c r="I581" t="s">
        <v>27</v>
      </c>
      <c r="J581" t="s">
        <v>66</v>
      </c>
      <c r="K581" t="s">
        <v>29</v>
      </c>
      <c r="L581">
        <v>1</v>
      </c>
      <c r="M581">
        <v>530</v>
      </c>
      <c r="N581">
        <v>53</v>
      </c>
      <c r="O581">
        <v>40</v>
      </c>
      <c r="P581">
        <v>530</v>
      </c>
      <c r="Q581">
        <v>517</v>
      </c>
      <c r="R581" t="s">
        <v>112</v>
      </c>
      <c r="S581" t="s">
        <v>46</v>
      </c>
      <c r="T581" t="s">
        <v>32</v>
      </c>
      <c r="U581">
        <v>33</v>
      </c>
      <c r="W581">
        <f>Table2[[#This Row],[Quantity]]*Table2[[#This Row],[Item_Price]]</f>
        <v>530</v>
      </c>
    </row>
    <row r="582" spans="1:23" x14ac:dyDescent="0.25">
      <c r="A582" t="s">
        <v>677</v>
      </c>
      <c r="B582" s="1">
        <v>45701</v>
      </c>
      <c r="C582" t="s">
        <v>517</v>
      </c>
      <c r="D582">
        <v>2</v>
      </c>
      <c r="E582">
        <v>13</v>
      </c>
      <c r="F582" t="s">
        <v>88</v>
      </c>
      <c r="G582" t="s">
        <v>64</v>
      </c>
      <c r="H582" t="s">
        <v>81</v>
      </c>
      <c r="I582" t="s">
        <v>97</v>
      </c>
      <c r="J582" t="s">
        <v>37</v>
      </c>
      <c r="K582" t="s">
        <v>38</v>
      </c>
      <c r="L582">
        <v>2</v>
      </c>
      <c r="M582">
        <v>188</v>
      </c>
      <c r="N582">
        <v>18.8</v>
      </c>
      <c r="O582">
        <v>30</v>
      </c>
      <c r="P582">
        <v>376</v>
      </c>
      <c r="Q582">
        <v>387.2</v>
      </c>
      <c r="R582" t="s">
        <v>39</v>
      </c>
      <c r="S582" t="s">
        <v>91</v>
      </c>
      <c r="T582" t="s">
        <v>40</v>
      </c>
      <c r="U582">
        <v>23</v>
      </c>
      <c r="W582">
        <f>Table2[[#This Row],[Quantity]]*Table2[[#This Row],[Item_Price]]</f>
        <v>376</v>
      </c>
    </row>
    <row r="583" spans="1:23" x14ac:dyDescent="0.25">
      <c r="A583" t="s">
        <v>678</v>
      </c>
      <c r="B583" s="1">
        <v>45701</v>
      </c>
      <c r="C583" t="s">
        <v>517</v>
      </c>
      <c r="D583">
        <v>2</v>
      </c>
      <c r="E583">
        <v>13</v>
      </c>
      <c r="F583" t="s">
        <v>88</v>
      </c>
      <c r="G583" t="s">
        <v>34</v>
      </c>
      <c r="H583" t="s">
        <v>26</v>
      </c>
      <c r="I583" t="s">
        <v>61</v>
      </c>
      <c r="J583" t="s">
        <v>53</v>
      </c>
      <c r="K583" t="s">
        <v>38</v>
      </c>
      <c r="L583">
        <v>2</v>
      </c>
      <c r="M583">
        <v>848</v>
      </c>
      <c r="N583">
        <v>42.4</v>
      </c>
      <c r="O583">
        <v>30</v>
      </c>
      <c r="P583">
        <v>1696</v>
      </c>
      <c r="Q583">
        <v>1683.6</v>
      </c>
      <c r="R583" t="s">
        <v>75</v>
      </c>
      <c r="S583" t="s">
        <v>31</v>
      </c>
      <c r="T583" t="s">
        <v>40</v>
      </c>
      <c r="U583">
        <v>50</v>
      </c>
      <c r="V583">
        <v>4.4000000000000004</v>
      </c>
      <c r="W583">
        <f>Table2[[#This Row],[Quantity]]*Table2[[#This Row],[Item_Price]]</f>
        <v>1696</v>
      </c>
    </row>
    <row r="584" spans="1:23" x14ac:dyDescent="0.25">
      <c r="A584" t="s">
        <v>679</v>
      </c>
      <c r="B584" s="1">
        <v>45701</v>
      </c>
      <c r="C584" t="s">
        <v>517</v>
      </c>
      <c r="D584">
        <v>2</v>
      </c>
      <c r="E584">
        <v>13</v>
      </c>
      <c r="F584" t="s">
        <v>88</v>
      </c>
      <c r="G584" t="s">
        <v>90</v>
      </c>
      <c r="H584" t="s">
        <v>48</v>
      </c>
      <c r="I584" t="s">
        <v>43</v>
      </c>
      <c r="J584" t="s">
        <v>119</v>
      </c>
      <c r="K584" t="s">
        <v>38</v>
      </c>
      <c r="L584">
        <v>3</v>
      </c>
      <c r="M584">
        <v>575</v>
      </c>
      <c r="N584">
        <v>57.5</v>
      </c>
      <c r="O584">
        <v>20</v>
      </c>
      <c r="P584">
        <v>1725</v>
      </c>
      <c r="Q584">
        <v>1687.5</v>
      </c>
      <c r="R584" t="s">
        <v>39</v>
      </c>
      <c r="S584" t="s">
        <v>31</v>
      </c>
      <c r="T584" t="s">
        <v>40</v>
      </c>
      <c r="U584">
        <v>57</v>
      </c>
      <c r="V584">
        <v>4.2</v>
      </c>
      <c r="W584">
        <f>Table2[[#This Row],[Quantity]]*Table2[[#This Row],[Item_Price]]</f>
        <v>1725</v>
      </c>
    </row>
    <row r="585" spans="1:23" x14ac:dyDescent="0.25">
      <c r="A585" t="s">
        <v>680</v>
      </c>
      <c r="B585" s="1">
        <v>45701</v>
      </c>
      <c r="C585" t="s">
        <v>517</v>
      </c>
      <c r="D585">
        <v>2</v>
      </c>
      <c r="E585">
        <v>13</v>
      </c>
      <c r="F585" t="s">
        <v>88</v>
      </c>
      <c r="G585" t="s">
        <v>115</v>
      </c>
      <c r="H585" t="s">
        <v>42</v>
      </c>
      <c r="I585" t="s">
        <v>57</v>
      </c>
      <c r="J585" t="s">
        <v>172</v>
      </c>
      <c r="K585" t="s">
        <v>38</v>
      </c>
      <c r="L585">
        <v>1</v>
      </c>
      <c r="M585">
        <v>628</v>
      </c>
      <c r="N585">
        <v>157</v>
      </c>
      <c r="O585">
        <v>40</v>
      </c>
      <c r="P585">
        <v>628</v>
      </c>
      <c r="Q585">
        <v>511</v>
      </c>
      <c r="R585" t="s">
        <v>30</v>
      </c>
      <c r="S585" t="s">
        <v>31</v>
      </c>
      <c r="T585" t="s">
        <v>40</v>
      </c>
      <c r="U585">
        <v>39</v>
      </c>
      <c r="V585">
        <v>4.0999999999999996</v>
      </c>
      <c r="W585">
        <f>Table2[[#This Row],[Quantity]]*Table2[[#This Row],[Item_Price]]</f>
        <v>628</v>
      </c>
    </row>
    <row r="586" spans="1:23" x14ac:dyDescent="0.25">
      <c r="A586" t="s">
        <v>681</v>
      </c>
      <c r="B586" s="1">
        <v>45701</v>
      </c>
      <c r="C586" t="s">
        <v>517</v>
      </c>
      <c r="D586">
        <v>2</v>
      </c>
      <c r="E586">
        <v>13</v>
      </c>
      <c r="F586" t="s">
        <v>88</v>
      </c>
      <c r="G586" t="s">
        <v>84</v>
      </c>
      <c r="H586" t="s">
        <v>77</v>
      </c>
      <c r="I586" t="s">
        <v>43</v>
      </c>
      <c r="J586" t="s">
        <v>123</v>
      </c>
      <c r="K586" t="s">
        <v>45</v>
      </c>
      <c r="L586">
        <v>2</v>
      </c>
      <c r="M586">
        <v>179</v>
      </c>
      <c r="N586">
        <v>17.899999999999999</v>
      </c>
      <c r="O586">
        <v>30</v>
      </c>
      <c r="P586">
        <v>358</v>
      </c>
      <c r="Q586">
        <v>370.1</v>
      </c>
      <c r="R586" t="s">
        <v>112</v>
      </c>
      <c r="S586" t="s">
        <v>31</v>
      </c>
      <c r="T586" t="s">
        <v>32</v>
      </c>
      <c r="U586">
        <v>56</v>
      </c>
      <c r="V586">
        <v>4.0999999999999996</v>
      </c>
      <c r="W586">
        <f>Table2[[#This Row],[Quantity]]*Table2[[#This Row],[Item_Price]]</f>
        <v>358</v>
      </c>
    </row>
    <row r="587" spans="1:23" x14ac:dyDescent="0.25">
      <c r="A587" t="s">
        <v>682</v>
      </c>
      <c r="B587" s="1">
        <v>45701</v>
      </c>
      <c r="C587" t="s">
        <v>517</v>
      </c>
      <c r="D587">
        <v>2</v>
      </c>
      <c r="E587">
        <v>13</v>
      </c>
      <c r="F587" t="s">
        <v>88</v>
      </c>
      <c r="G587" t="s">
        <v>34</v>
      </c>
      <c r="H587" t="s">
        <v>56</v>
      </c>
      <c r="I587" t="s">
        <v>36</v>
      </c>
      <c r="J587" t="s">
        <v>44</v>
      </c>
      <c r="K587" t="s">
        <v>38</v>
      </c>
      <c r="L587">
        <v>3</v>
      </c>
      <c r="M587">
        <v>727</v>
      </c>
      <c r="N587">
        <v>145.4</v>
      </c>
      <c r="O587">
        <v>40</v>
      </c>
      <c r="P587">
        <v>2181</v>
      </c>
      <c r="Q587">
        <v>2075.6</v>
      </c>
      <c r="R587" t="s">
        <v>30</v>
      </c>
      <c r="S587" t="s">
        <v>31</v>
      </c>
      <c r="T587" t="s">
        <v>32</v>
      </c>
      <c r="U587">
        <v>29</v>
      </c>
      <c r="V587">
        <v>4.8</v>
      </c>
      <c r="W587">
        <f>Table2[[#This Row],[Quantity]]*Table2[[#This Row],[Item_Price]]</f>
        <v>2181</v>
      </c>
    </row>
    <row r="588" spans="1:23" x14ac:dyDescent="0.25">
      <c r="A588" t="s">
        <v>683</v>
      </c>
      <c r="B588" s="1">
        <v>45701</v>
      </c>
      <c r="C588" t="s">
        <v>517</v>
      </c>
      <c r="D588">
        <v>2</v>
      </c>
      <c r="E588">
        <v>13</v>
      </c>
      <c r="F588" t="s">
        <v>88</v>
      </c>
      <c r="G588" t="s">
        <v>25</v>
      </c>
      <c r="H588" t="s">
        <v>105</v>
      </c>
      <c r="I588" t="s">
        <v>103</v>
      </c>
      <c r="J588" t="s">
        <v>101</v>
      </c>
      <c r="K588" t="s">
        <v>38</v>
      </c>
      <c r="L588">
        <v>1</v>
      </c>
      <c r="M588">
        <v>140</v>
      </c>
      <c r="N588">
        <v>21</v>
      </c>
      <c r="O588">
        <v>20</v>
      </c>
      <c r="P588">
        <v>140</v>
      </c>
      <c r="Q588">
        <v>139</v>
      </c>
      <c r="R588" t="s">
        <v>39</v>
      </c>
      <c r="S588" t="s">
        <v>31</v>
      </c>
      <c r="T588" t="s">
        <v>32</v>
      </c>
      <c r="U588">
        <v>40</v>
      </c>
      <c r="V588">
        <v>3.2</v>
      </c>
      <c r="W588">
        <f>Table2[[#This Row],[Quantity]]*Table2[[#This Row],[Item_Price]]</f>
        <v>140</v>
      </c>
    </row>
    <row r="589" spans="1:23" x14ac:dyDescent="0.25">
      <c r="A589" t="s">
        <v>684</v>
      </c>
      <c r="B589" s="1">
        <v>45701</v>
      </c>
      <c r="C589" t="s">
        <v>517</v>
      </c>
      <c r="D589">
        <v>2</v>
      </c>
      <c r="E589">
        <v>13</v>
      </c>
      <c r="F589" t="s">
        <v>88</v>
      </c>
      <c r="G589" t="s">
        <v>64</v>
      </c>
      <c r="H589" t="s">
        <v>81</v>
      </c>
      <c r="I589" t="s">
        <v>85</v>
      </c>
      <c r="J589" t="s">
        <v>82</v>
      </c>
      <c r="K589" t="s">
        <v>38</v>
      </c>
      <c r="L589">
        <v>3</v>
      </c>
      <c r="M589">
        <v>320</v>
      </c>
      <c r="N589">
        <v>64</v>
      </c>
      <c r="O589">
        <v>70</v>
      </c>
      <c r="P589">
        <v>960</v>
      </c>
      <c r="Q589">
        <v>966</v>
      </c>
      <c r="R589" t="s">
        <v>30</v>
      </c>
      <c r="S589" t="s">
        <v>91</v>
      </c>
      <c r="T589" t="s">
        <v>32</v>
      </c>
      <c r="U589">
        <v>49</v>
      </c>
      <c r="W589">
        <f>Table2[[#This Row],[Quantity]]*Table2[[#This Row],[Item_Price]]</f>
        <v>960</v>
      </c>
    </row>
    <row r="590" spans="1:23" x14ac:dyDescent="0.25">
      <c r="A590" t="s">
        <v>685</v>
      </c>
      <c r="B590" s="1">
        <v>45701</v>
      </c>
      <c r="C590" t="s">
        <v>517</v>
      </c>
      <c r="D590">
        <v>2</v>
      </c>
      <c r="E590">
        <v>13</v>
      </c>
      <c r="F590" t="s">
        <v>88</v>
      </c>
      <c r="G590" t="s">
        <v>90</v>
      </c>
      <c r="H590" t="s">
        <v>139</v>
      </c>
      <c r="I590" t="s">
        <v>97</v>
      </c>
      <c r="J590" t="s">
        <v>44</v>
      </c>
      <c r="K590" t="s">
        <v>38</v>
      </c>
      <c r="L590">
        <v>1</v>
      </c>
      <c r="M590">
        <v>485</v>
      </c>
      <c r="N590">
        <v>0</v>
      </c>
      <c r="O590">
        <v>30</v>
      </c>
      <c r="P590">
        <v>485</v>
      </c>
      <c r="Q590">
        <v>515</v>
      </c>
      <c r="R590" t="s">
        <v>39</v>
      </c>
      <c r="S590" t="s">
        <v>31</v>
      </c>
      <c r="T590" t="s">
        <v>32</v>
      </c>
      <c r="U590">
        <v>57</v>
      </c>
      <c r="V590">
        <v>4.3</v>
      </c>
      <c r="W590">
        <f>Table2[[#This Row],[Quantity]]*Table2[[#This Row],[Item_Price]]</f>
        <v>485</v>
      </c>
    </row>
    <row r="591" spans="1:23" x14ac:dyDescent="0.25">
      <c r="A591" t="s">
        <v>686</v>
      </c>
      <c r="B591" s="1">
        <v>45701</v>
      </c>
      <c r="C591" t="s">
        <v>517</v>
      </c>
      <c r="D591">
        <v>2</v>
      </c>
      <c r="E591">
        <v>13</v>
      </c>
      <c r="F591" t="s">
        <v>88</v>
      </c>
      <c r="G591" t="s">
        <v>55</v>
      </c>
      <c r="H591" t="s">
        <v>77</v>
      </c>
      <c r="I591" t="s">
        <v>57</v>
      </c>
      <c r="J591" t="s">
        <v>53</v>
      </c>
      <c r="K591" t="s">
        <v>38</v>
      </c>
      <c r="L591">
        <v>2</v>
      </c>
      <c r="M591">
        <v>487</v>
      </c>
      <c r="N591">
        <v>24.35</v>
      </c>
      <c r="O591">
        <v>20</v>
      </c>
      <c r="P591">
        <v>974</v>
      </c>
      <c r="Q591">
        <v>969.65</v>
      </c>
      <c r="R591" t="s">
        <v>98</v>
      </c>
      <c r="S591" t="s">
        <v>46</v>
      </c>
      <c r="T591" t="s">
        <v>40</v>
      </c>
      <c r="U591">
        <v>41</v>
      </c>
      <c r="W591">
        <f>Table2[[#This Row],[Quantity]]*Table2[[#This Row],[Item_Price]]</f>
        <v>974</v>
      </c>
    </row>
    <row r="592" spans="1:23" x14ac:dyDescent="0.25">
      <c r="A592" t="s">
        <v>687</v>
      </c>
      <c r="B592" s="1">
        <v>45701</v>
      </c>
      <c r="C592" t="s">
        <v>517</v>
      </c>
      <c r="D592">
        <v>2</v>
      </c>
      <c r="E592">
        <v>13</v>
      </c>
      <c r="F592" t="s">
        <v>88</v>
      </c>
      <c r="G592" t="s">
        <v>84</v>
      </c>
      <c r="H592" t="s">
        <v>139</v>
      </c>
      <c r="I592" t="s">
        <v>57</v>
      </c>
      <c r="J592" t="s">
        <v>37</v>
      </c>
      <c r="K592" t="s">
        <v>38</v>
      </c>
      <c r="L592">
        <v>1</v>
      </c>
      <c r="M592">
        <v>199</v>
      </c>
      <c r="N592">
        <v>19.899999999999999</v>
      </c>
      <c r="O592">
        <v>0</v>
      </c>
      <c r="P592">
        <v>199</v>
      </c>
      <c r="Q592">
        <v>179.1</v>
      </c>
      <c r="R592" t="s">
        <v>30</v>
      </c>
      <c r="S592" t="s">
        <v>31</v>
      </c>
      <c r="T592" t="s">
        <v>32</v>
      </c>
      <c r="U592">
        <v>32</v>
      </c>
      <c r="V592">
        <v>4.3</v>
      </c>
      <c r="W592">
        <f>Table2[[#This Row],[Quantity]]*Table2[[#This Row],[Item_Price]]</f>
        <v>199</v>
      </c>
    </row>
    <row r="593" spans="1:23" x14ac:dyDescent="0.25">
      <c r="A593" t="s">
        <v>688</v>
      </c>
      <c r="B593" s="1">
        <v>45701</v>
      </c>
      <c r="C593" t="s">
        <v>517</v>
      </c>
      <c r="D593">
        <v>2</v>
      </c>
      <c r="E593">
        <v>13</v>
      </c>
      <c r="F593" t="s">
        <v>88</v>
      </c>
      <c r="G593" t="s">
        <v>96</v>
      </c>
      <c r="H593" t="s">
        <v>68</v>
      </c>
      <c r="I593" t="s">
        <v>57</v>
      </c>
      <c r="J593" t="s">
        <v>44</v>
      </c>
      <c r="K593" t="s">
        <v>38</v>
      </c>
      <c r="L593">
        <v>1</v>
      </c>
      <c r="M593">
        <v>714</v>
      </c>
      <c r="N593">
        <v>71.400000000000006</v>
      </c>
      <c r="O593">
        <v>20</v>
      </c>
      <c r="P593">
        <v>714</v>
      </c>
      <c r="Q593">
        <v>662.6</v>
      </c>
      <c r="R593" t="s">
        <v>75</v>
      </c>
      <c r="S593" t="s">
        <v>31</v>
      </c>
      <c r="T593" t="s">
        <v>32</v>
      </c>
      <c r="U593">
        <v>24</v>
      </c>
      <c r="V593">
        <v>4.3</v>
      </c>
      <c r="W593">
        <f>Table2[[#This Row],[Quantity]]*Table2[[#This Row],[Item_Price]]</f>
        <v>714</v>
      </c>
    </row>
    <row r="594" spans="1:23" x14ac:dyDescent="0.25">
      <c r="A594" t="s">
        <v>689</v>
      </c>
      <c r="B594" s="1">
        <v>45702</v>
      </c>
      <c r="C594" t="s">
        <v>517</v>
      </c>
      <c r="D594">
        <v>2</v>
      </c>
      <c r="E594">
        <v>14</v>
      </c>
      <c r="F594" t="s">
        <v>114</v>
      </c>
      <c r="G594" t="s">
        <v>80</v>
      </c>
      <c r="H594" t="s">
        <v>139</v>
      </c>
      <c r="I594" t="s">
        <v>103</v>
      </c>
      <c r="J594" t="s">
        <v>119</v>
      </c>
      <c r="K594" t="s">
        <v>38</v>
      </c>
      <c r="L594">
        <v>1</v>
      </c>
      <c r="M594">
        <v>495</v>
      </c>
      <c r="N594">
        <v>99</v>
      </c>
      <c r="O594">
        <v>0</v>
      </c>
      <c r="P594">
        <v>495</v>
      </c>
      <c r="Q594">
        <v>396</v>
      </c>
      <c r="R594" t="s">
        <v>39</v>
      </c>
      <c r="S594" t="s">
        <v>31</v>
      </c>
      <c r="T594" t="s">
        <v>40</v>
      </c>
      <c r="U594">
        <v>46</v>
      </c>
      <c r="V594">
        <v>4.2</v>
      </c>
      <c r="W594">
        <f>Table2[[#This Row],[Quantity]]*Table2[[#This Row],[Item_Price]]</f>
        <v>495</v>
      </c>
    </row>
    <row r="595" spans="1:23" x14ac:dyDescent="0.25">
      <c r="A595" t="s">
        <v>690</v>
      </c>
      <c r="B595" s="1">
        <v>45702</v>
      </c>
      <c r="C595" t="s">
        <v>517</v>
      </c>
      <c r="D595">
        <v>2</v>
      </c>
      <c r="E595">
        <v>14</v>
      </c>
      <c r="F595" t="s">
        <v>114</v>
      </c>
      <c r="G595" t="s">
        <v>25</v>
      </c>
      <c r="H595" t="s">
        <v>81</v>
      </c>
      <c r="I595" t="s">
        <v>97</v>
      </c>
      <c r="J595" t="s">
        <v>53</v>
      </c>
      <c r="K595" t="s">
        <v>45</v>
      </c>
      <c r="L595">
        <v>1</v>
      </c>
      <c r="M595">
        <v>741</v>
      </c>
      <c r="N595">
        <v>148.19999999999999</v>
      </c>
      <c r="O595">
        <v>60</v>
      </c>
      <c r="P595">
        <v>741</v>
      </c>
      <c r="Q595">
        <v>652.79999999999995</v>
      </c>
      <c r="R595" t="s">
        <v>39</v>
      </c>
      <c r="S595" t="s">
        <v>31</v>
      </c>
      <c r="T595" t="s">
        <v>32</v>
      </c>
      <c r="U595">
        <v>22</v>
      </c>
      <c r="V595">
        <v>3.6</v>
      </c>
      <c r="W595">
        <f>Table2[[#This Row],[Quantity]]*Table2[[#This Row],[Item_Price]]</f>
        <v>741</v>
      </c>
    </row>
    <row r="596" spans="1:23" x14ac:dyDescent="0.25">
      <c r="A596" t="s">
        <v>691</v>
      </c>
      <c r="B596" s="1">
        <v>45702</v>
      </c>
      <c r="C596" t="s">
        <v>517</v>
      </c>
      <c r="D596">
        <v>2</v>
      </c>
      <c r="E596">
        <v>14</v>
      </c>
      <c r="F596" t="s">
        <v>114</v>
      </c>
      <c r="G596" t="s">
        <v>80</v>
      </c>
      <c r="H596" t="s">
        <v>35</v>
      </c>
      <c r="I596" t="s">
        <v>69</v>
      </c>
      <c r="J596" t="s">
        <v>28</v>
      </c>
      <c r="K596" t="s">
        <v>38</v>
      </c>
      <c r="L596">
        <v>3</v>
      </c>
      <c r="M596">
        <v>215</v>
      </c>
      <c r="N596">
        <v>43</v>
      </c>
      <c r="O596">
        <v>20</v>
      </c>
      <c r="P596">
        <v>645</v>
      </c>
      <c r="Q596">
        <v>622</v>
      </c>
      <c r="R596" t="s">
        <v>39</v>
      </c>
      <c r="S596" t="s">
        <v>31</v>
      </c>
      <c r="T596" t="s">
        <v>40</v>
      </c>
      <c r="U596">
        <v>26</v>
      </c>
      <c r="V596">
        <v>3.7</v>
      </c>
      <c r="W596">
        <f>Table2[[#This Row],[Quantity]]*Table2[[#This Row],[Item_Price]]</f>
        <v>645</v>
      </c>
    </row>
    <row r="597" spans="1:23" x14ac:dyDescent="0.25">
      <c r="A597" t="s">
        <v>692</v>
      </c>
      <c r="B597" s="1">
        <v>45702</v>
      </c>
      <c r="C597" t="s">
        <v>517</v>
      </c>
      <c r="D597">
        <v>2</v>
      </c>
      <c r="E597">
        <v>14</v>
      </c>
      <c r="F597" t="s">
        <v>114</v>
      </c>
      <c r="G597" t="s">
        <v>80</v>
      </c>
      <c r="H597" t="s">
        <v>42</v>
      </c>
      <c r="I597" t="s">
        <v>103</v>
      </c>
      <c r="J597" t="s">
        <v>37</v>
      </c>
      <c r="K597" t="s">
        <v>38</v>
      </c>
      <c r="L597">
        <v>1</v>
      </c>
      <c r="M597">
        <v>750</v>
      </c>
      <c r="N597">
        <v>150</v>
      </c>
      <c r="O597">
        <v>60</v>
      </c>
      <c r="P597">
        <v>750</v>
      </c>
      <c r="Q597">
        <v>660</v>
      </c>
      <c r="R597" t="s">
        <v>39</v>
      </c>
      <c r="S597" t="s">
        <v>31</v>
      </c>
      <c r="T597" t="s">
        <v>40</v>
      </c>
      <c r="U597">
        <v>24</v>
      </c>
      <c r="V597">
        <v>4.5999999999999996</v>
      </c>
      <c r="W597">
        <f>Table2[[#This Row],[Quantity]]*Table2[[#This Row],[Item_Price]]</f>
        <v>750</v>
      </c>
    </row>
    <row r="598" spans="1:23" x14ac:dyDescent="0.25">
      <c r="A598" t="s">
        <v>693</v>
      </c>
      <c r="B598" s="1">
        <v>45702</v>
      </c>
      <c r="C598" t="s">
        <v>517</v>
      </c>
      <c r="D598">
        <v>2</v>
      </c>
      <c r="E598">
        <v>14</v>
      </c>
      <c r="F598" t="s">
        <v>114</v>
      </c>
      <c r="G598" t="s">
        <v>80</v>
      </c>
      <c r="H598" t="s">
        <v>56</v>
      </c>
      <c r="I598" t="s">
        <v>27</v>
      </c>
      <c r="J598" t="s">
        <v>74</v>
      </c>
      <c r="K598" t="s">
        <v>38</v>
      </c>
      <c r="L598">
        <v>1</v>
      </c>
      <c r="M598">
        <v>786</v>
      </c>
      <c r="N598">
        <v>78.599999999999994</v>
      </c>
      <c r="O598">
        <v>30</v>
      </c>
      <c r="P598">
        <v>786</v>
      </c>
      <c r="Q598">
        <v>737.4</v>
      </c>
      <c r="R598" t="s">
        <v>39</v>
      </c>
      <c r="S598" t="s">
        <v>31</v>
      </c>
      <c r="T598" t="s">
        <v>32</v>
      </c>
      <c r="U598">
        <v>30</v>
      </c>
      <c r="V598">
        <v>4.3</v>
      </c>
      <c r="W598">
        <f>Table2[[#This Row],[Quantity]]*Table2[[#This Row],[Item_Price]]</f>
        <v>786</v>
      </c>
    </row>
    <row r="599" spans="1:23" x14ac:dyDescent="0.25">
      <c r="A599" t="s">
        <v>694</v>
      </c>
      <c r="B599" s="1">
        <v>45702</v>
      </c>
      <c r="C599" t="s">
        <v>517</v>
      </c>
      <c r="D599">
        <v>2</v>
      </c>
      <c r="E599">
        <v>14</v>
      </c>
      <c r="F599" t="s">
        <v>114</v>
      </c>
      <c r="G599" t="s">
        <v>64</v>
      </c>
      <c r="H599" t="s">
        <v>56</v>
      </c>
      <c r="I599" t="s">
        <v>49</v>
      </c>
      <c r="J599" t="s">
        <v>82</v>
      </c>
      <c r="K599" t="s">
        <v>38</v>
      </c>
      <c r="L599">
        <v>1</v>
      </c>
      <c r="M599">
        <v>222</v>
      </c>
      <c r="N599">
        <v>44.4</v>
      </c>
      <c r="O599">
        <v>50</v>
      </c>
      <c r="P599">
        <v>222</v>
      </c>
      <c r="Q599">
        <v>227.6</v>
      </c>
      <c r="R599" t="s">
        <v>30</v>
      </c>
      <c r="S599" t="s">
        <v>31</v>
      </c>
      <c r="T599" t="s">
        <v>40</v>
      </c>
      <c r="U599">
        <v>44</v>
      </c>
      <c r="V599">
        <v>5</v>
      </c>
      <c r="W599">
        <f>Table2[[#This Row],[Quantity]]*Table2[[#This Row],[Item_Price]]</f>
        <v>222</v>
      </c>
    </row>
    <row r="600" spans="1:23" x14ac:dyDescent="0.25">
      <c r="A600" t="s">
        <v>695</v>
      </c>
      <c r="B600" s="1">
        <v>45702</v>
      </c>
      <c r="C600" t="s">
        <v>517</v>
      </c>
      <c r="D600">
        <v>2</v>
      </c>
      <c r="E600">
        <v>14</v>
      </c>
      <c r="F600" t="s">
        <v>114</v>
      </c>
      <c r="G600" t="s">
        <v>96</v>
      </c>
      <c r="H600" t="s">
        <v>105</v>
      </c>
      <c r="I600" t="s">
        <v>61</v>
      </c>
      <c r="J600" t="s">
        <v>74</v>
      </c>
      <c r="K600" t="s">
        <v>38</v>
      </c>
      <c r="L600">
        <v>3</v>
      </c>
      <c r="M600">
        <v>711</v>
      </c>
      <c r="N600">
        <v>142.19999999999999</v>
      </c>
      <c r="O600">
        <v>40</v>
      </c>
      <c r="P600">
        <v>2133</v>
      </c>
      <c r="Q600">
        <v>2030.8</v>
      </c>
      <c r="R600" t="s">
        <v>30</v>
      </c>
      <c r="S600" t="s">
        <v>31</v>
      </c>
      <c r="T600" t="s">
        <v>40</v>
      </c>
      <c r="U600">
        <v>43</v>
      </c>
      <c r="V600">
        <v>4.7</v>
      </c>
      <c r="W600">
        <f>Table2[[#This Row],[Quantity]]*Table2[[#This Row],[Item_Price]]</f>
        <v>2133</v>
      </c>
    </row>
    <row r="601" spans="1:23" x14ac:dyDescent="0.25">
      <c r="A601" t="s">
        <v>696</v>
      </c>
      <c r="B601" s="1">
        <v>45702</v>
      </c>
      <c r="C601" t="s">
        <v>517</v>
      </c>
      <c r="D601">
        <v>2</v>
      </c>
      <c r="E601">
        <v>14</v>
      </c>
      <c r="F601" t="s">
        <v>114</v>
      </c>
      <c r="G601" t="s">
        <v>25</v>
      </c>
      <c r="H601" t="s">
        <v>77</v>
      </c>
      <c r="I601" t="s">
        <v>57</v>
      </c>
      <c r="J601" t="s">
        <v>37</v>
      </c>
      <c r="K601" t="s">
        <v>38</v>
      </c>
      <c r="L601">
        <v>1</v>
      </c>
      <c r="M601">
        <v>691</v>
      </c>
      <c r="N601">
        <v>0</v>
      </c>
      <c r="O601">
        <v>60</v>
      </c>
      <c r="P601">
        <v>691</v>
      </c>
      <c r="Q601">
        <v>751</v>
      </c>
      <c r="R601" t="s">
        <v>112</v>
      </c>
      <c r="S601" t="s">
        <v>31</v>
      </c>
      <c r="T601" t="s">
        <v>32</v>
      </c>
      <c r="U601">
        <v>65</v>
      </c>
      <c r="V601">
        <v>4.5</v>
      </c>
      <c r="W601">
        <f>Table2[[#This Row],[Quantity]]*Table2[[#This Row],[Item_Price]]</f>
        <v>691</v>
      </c>
    </row>
    <row r="602" spans="1:23" x14ac:dyDescent="0.25">
      <c r="A602" t="s">
        <v>697</v>
      </c>
      <c r="B602" s="1">
        <v>45702</v>
      </c>
      <c r="C602" t="s">
        <v>517</v>
      </c>
      <c r="D602">
        <v>2</v>
      </c>
      <c r="E602">
        <v>14</v>
      </c>
      <c r="F602" t="s">
        <v>114</v>
      </c>
      <c r="G602" t="s">
        <v>73</v>
      </c>
      <c r="H602" t="s">
        <v>108</v>
      </c>
      <c r="I602" t="s">
        <v>27</v>
      </c>
      <c r="J602" t="s">
        <v>94</v>
      </c>
      <c r="K602" t="s">
        <v>38</v>
      </c>
      <c r="L602">
        <v>3</v>
      </c>
      <c r="M602">
        <v>142</v>
      </c>
      <c r="N602">
        <v>14.2</v>
      </c>
      <c r="O602">
        <v>0</v>
      </c>
      <c r="P602">
        <v>426</v>
      </c>
      <c r="Q602">
        <v>411.8</v>
      </c>
      <c r="R602" t="s">
        <v>112</v>
      </c>
      <c r="S602" t="s">
        <v>31</v>
      </c>
      <c r="T602" t="s">
        <v>32</v>
      </c>
      <c r="U602">
        <v>34</v>
      </c>
      <c r="V602">
        <v>4.0999999999999996</v>
      </c>
      <c r="W602">
        <f>Table2[[#This Row],[Quantity]]*Table2[[#This Row],[Item_Price]]</f>
        <v>426</v>
      </c>
    </row>
    <row r="603" spans="1:23" x14ac:dyDescent="0.25">
      <c r="A603" t="s">
        <v>698</v>
      </c>
      <c r="B603" s="1">
        <v>45702</v>
      </c>
      <c r="C603" t="s">
        <v>517</v>
      </c>
      <c r="D603">
        <v>2</v>
      </c>
      <c r="E603">
        <v>14</v>
      </c>
      <c r="F603" t="s">
        <v>114</v>
      </c>
      <c r="G603" t="s">
        <v>73</v>
      </c>
      <c r="H603" t="s">
        <v>52</v>
      </c>
      <c r="I603" t="s">
        <v>103</v>
      </c>
      <c r="J603" t="s">
        <v>53</v>
      </c>
      <c r="K603" t="s">
        <v>45</v>
      </c>
      <c r="L603">
        <v>3</v>
      </c>
      <c r="M603">
        <v>605</v>
      </c>
      <c r="N603">
        <v>60.5</v>
      </c>
      <c r="O603">
        <v>0</v>
      </c>
      <c r="P603">
        <v>1815</v>
      </c>
      <c r="Q603">
        <v>1754.5</v>
      </c>
      <c r="R603" t="s">
        <v>39</v>
      </c>
      <c r="S603" t="s">
        <v>31</v>
      </c>
      <c r="T603" t="s">
        <v>40</v>
      </c>
      <c r="U603">
        <v>33</v>
      </c>
      <c r="V603">
        <v>5</v>
      </c>
      <c r="W603">
        <f>Table2[[#This Row],[Quantity]]*Table2[[#This Row],[Item_Price]]</f>
        <v>1815</v>
      </c>
    </row>
    <row r="604" spans="1:23" x14ac:dyDescent="0.25">
      <c r="A604" t="s">
        <v>699</v>
      </c>
      <c r="B604" s="1">
        <v>45703</v>
      </c>
      <c r="C604" t="s">
        <v>517</v>
      </c>
      <c r="D604">
        <v>2</v>
      </c>
      <c r="E604">
        <v>15</v>
      </c>
      <c r="F604" t="s">
        <v>134</v>
      </c>
      <c r="G604" t="s">
        <v>34</v>
      </c>
      <c r="H604" t="s">
        <v>48</v>
      </c>
      <c r="I604" t="s">
        <v>49</v>
      </c>
      <c r="J604" t="s">
        <v>53</v>
      </c>
      <c r="K604" t="s">
        <v>38</v>
      </c>
      <c r="L604">
        <v>1</v>
      </c>
      <c r="M604">
        <v>336</v>
      </c>
      <c r="N604">
        <v>50.4</v>
      </c>
      <c r="O604">
        <v>20</v>
      </c>
      <c r="P604">
        <v>336</v>
      </c>
      <c r="Q604">
        <v>305.60000000000002</v>
      </c>
      <c r="R604" t="s">
        <v>39</v>
      </c>
      <c r="S604" t="s">
        <v>31</v>
      </c>
      <c r="T604" t="s">
        <v>32</v>
      </c>
      <c r="U604">
        <v>36</v>
      </c>
      <c r="V604">
        <v>4.8</v>
      </c>
      <c r="W604">
        <f>Table2[[#This Row],[Quantity]]*Table2[[#This Row],[Item_Price]]</f>
        <v>336</v>
      </c>
    </row>
    <row r="605" spans="1:23" x14ac:dyDescent="0.25">
      <c r="A605" t="s">
        <v>700</v>
      </c>
      <c r="B605" s="1">
        <v>45703</v>
      </c>
      <c r="C605" t="s">
        <v>517</v>
      </c>
      <c r="D605">
        <v>2</v>
      </c>
      <c r="E605">
        <v>15</v>
      </c>
      <c r="F605" t="s">
        <v>134</v>
      </c>
      <c r="G605" t="s">
        <v>80</v>
      </c>
      <c r="H605" t="s">
        <v>48</v>
      </c>
      <c r="I605" t="s">
        <v>103</v>
      </c>
      <c r="J605" t="s">
        <v>62</v>
      </c>
      <c r="K605" t="s">
        <v>38</v>
      </c>
      <c r="L605">
        <v>2</v>
      </c>
      <c r="M605">
        <v>805</v>
      </c>
      <c r="N605">
        <v>201.25</v>
      </c>
      <c r="O605">
        <v>40</v>
      </c>
      <c r="P605">
        <v>1610</v>
      </c>
      <c r="Q605">
        <v>1448.75</v>
      </c>
      <c r="R605" t="s">
        <v>39</v>
      </c>
      <c r="S605" t="s">
        <v>91</v>
      </c>
      <c r="T605" t="s">
        <v>40</v>
      </c>
      <c r="U605">
        <v>47</v>
      </c>
      <c r="W605">
        <f>Table2[[#This Row],[Quantity]]*Table2[[#This Row],[Item_Price]]</f>
        <v>1610</v>
      </c>
    </row>
    <row r="606" spans="1:23" x14ac:dyDescent="0.25">
      <c r="A606" t="s">
        <v>701</v>
      </c>
      <c r="B606" s="1">
        <v>45703</v>
      </c>
      <c r="C606" t="s">
        <v>517</v>
      </c>
      <c r="D606">
        <v>2</v>
      </c>
      <c r="E606">
        <v>15</v>
      </c>
      <c r="F606" t="s">
        <v>134</v>
      </c>
      <c r="G606" t="s">
        <v>73</v>
      </c>
      <c r="H606" t="s">
        <v>52</v>
      </c>
      <c r="I606" t="s">
        <v>69</v>
      </c>
      <c r="J606" t="s">
        <v>44</v>
      </c>
      <c r="K606" t="s">
        <v>38</v>
      </c>
      <c r="L606">
        <v>2</v>
      </c>
      <c r="M606">
        <v>757</v>
      </c>
      <c r="N606">
        <v>113.55</v>
      </c>
      <c r="O606">
        <v>40</v>
      </c>
      <c r="P606">
        <v>1514</v>
      </c>
      <c r="Q606">
        <v>1440.45</v>
      </c>
      <c r="R606" t="s">
        <v>39</v>
      </c>
      <c r="S606" t="s">
        <v>31</v>
      </c>
      <c r="T606" t="s">
        <v>40</v>
      </c>
      <c r="U606">
        <v>51</v>
      </c>
      <c r="V606">
        <v>5</v>
      </c>
      <c r="W606">
        <f>Table2[[#This Row],[Quantity]]*Table2[[#This Row],[Item_Price]]</f>
        <v>1514</v>
      </c>
    </row>
    <row r="607" spans="1:23" x14ac:dyDescent="0.25">
      <c r="A607" t="s">
        <v>702</v>
      </c>
      <c r="B607" s="1">
        <v>45703</v>
      </c>
      <c r="C607" t="s">
        <v>517</v>
      </c>
      <c r="D607">
        <v>2</v>
      </c>
      <c r="E607">
        <v>15</v>
      </c>
      <c r="F607" t="s">
        <v>134</v>
      </c>
      <c r="G607" t="s">
        <v>90</v>
      </c>
      <c r="H607" t="s">
        <v>26</v>
      </c>
      <c r="I607" t="s">
        <v>57</v>
      </c>
      <c r="J607" t="s">
        <v>53</v>
      </c>
      <c r="K607" t="s">
        <v>58</v>
      </c>
      <c r="L607">
        <v>2</v>
      </c>
      <c r="M607">
        <v>445</v>
      </c>
      <c r="N607">
        <v>66.75</v>
      </c>
      <c r="O607">
        <v>50</v>
      </c>
      <c r="P607">
        <v>890</v>
      </c>
      <c r="Q607">
        <v>873.25</v>
      </c>
      <c r="R607" t="s">
        <v>39</v>
      </c>
      <c r="S607" t="s">
        <v>110</v>
      </c>
      <c r="T607" t="s">
        <v>32</v>
      </c>
      <c r="U607">
        <v>61</v>
      </c>
      <c r="W607">
        <f>Table2[[#This Row],[Quantity]]*Table2[[#This Row],[Item_Price]]</f>
        <v>890</v>
      </c>
    </row>
    <row r="608" spans="1:23" x14ac:dyDescent="0.25">
      <c r="A608" t="s">
        <v>703</v>
      </c>
      <c r="B608" s="1">
        <v>45703</v>
      </c>
      <c r="C608" t="s">
        <v>517</v>
      </c>
      <c r="D608">
        <v>2</v>
      </c>
      <c r="E608">
        <v>15</v>
      </c>
      <c r="F608" t="s">
        <v>134</v>
      </c>
      <c r="G608" t="s">
        <v>80</v>
      </c>
      <c r="H608" t="s">
        <v>81</v>
      </c>
      <c r="I608" t="s">
        <v>49</v>
      </c>
      <c r="J608" t="s">
        <v>82</v>
      </c>
      <c r="K608" t="s">
        <v>38</v>
      </c>
      <c r="L608">
        <v>1</v>
      </c>
      <c r="M608">
        <v>243</v>
      </c>
      <c r="N608">
        <v>24.3</v>
      </c>
      <c r="O608">
        <v>30</v>
      </c>
      <c r="P608">
        <v>243</v>
      </c>
      <c r="Q608">
        <v>248.7</v>
      </c>
      <c r="R608" t="s">
        <v>30</v>
      </c>
      <c r="S608" t="s">
        <v>31</v>
      </c>
      <c r="T608" t="s">
        <v>32</v>
      </c>
      <c r="U608">
        <v>59</v>
      </c>
      <c r="V608">
        <v>3.9</v>
      </c>
      <c r="W608">
        <f>Table2[[#This Row],[Quantity]]*Table2[[#This Row],[Item_Price]]</f>
        <v>243</v>
      </c>
    </row>
    <row r="609" spans="1:23" x14ac:dyDescent="0.25">
      <c r="A609" t="s">
        <v>704</v>
      </c>
      <c r="B609" s="1">
        <v>45703</v>
      </c>
      <c r="C609" t="s">
        <v>517</v>
      </c>
      <c r="D609">
        <v>2</v>
      </c>
      <c r="E609">
        <v>15</v>
      </c>
      <c r="F609" t="s">
        <v>134</v>
      </c>
      <c r="G609" t="s">
        <v>25</v>
      </c>
      <c r="H609" t="s">
        <v>42</v>
      </c>
      <c r="I609" t="s">
        <v>27</v>
      </c>
      <c r="J609" t="s">
        <v>101</v>
      </c>
      <c r="K609" t="s">
        <v>38</v>
      </c>
      <c r="L609">
        <v>1</v>
      </c>
      <c r="M609">
        <v>795</v>
      </c>
      <c r="N609">
        <v>159</v>
      </c>
      <c r="O609">
        <v>40</v>
      </c>
      <c r="P609">
        <v>795</v>
      </c>
      <c r="Q609">
        <v>676</v>
      </c>
      <c r="R609" t="s">
        <v>75</v>
      </c>
      <c r="S609" t="s">
        <v>31</v>
      </c>
      <c r="T609" t="s">
        <v>32</v>
      </c>
      <c r="U609">
        <v>66</v>
      </c>
      <c r="V609">
        <v>4.4000000000000004</v>
      </c>
      <c r="W609">
        <f>Table2[[#This Row],[Quantity]]*Table2[[#This Row],[Item_Price]]</f>
        <v>795</v>
      </c>
    </row>
    <row r="610" spans="1:23" x14ac:dyDescent="0.25">
      <c r="A610" t="s">
        <v>705</v>
      </c>
      <c r="B610" s="1">
        <v>45703</v>
      </c>
      <c r="C610" t="s">
        <v>517</v>
      </c>
      <c r="D610">
        <v>2</v>
      </c>
      <c r="E610">
        <v>15</v>
      </c>
      <c r="F610" t="s">
        <v>134</v>
      </c>
      <c r="G610" t="s">
        <v>73</v>
      </c>
      <c r="H610" t="s">
        <v>105</v>
      </c>
      <c r="I610" t="s">
        <v>57</v>
      </c>
      <c r="J610" t="s">
        <v>172</v>
      </c>
      <c r="K610" t="s">
        <v>38</v>
      </c>
      <c r="L610">
        <v>1</v>
      </c>
      <c r="M610">
        <v>728</v>
      </c>
      <c r="N610">
        <v>72.8</v>
      </c>
      <c r="O610">
        <v>20</v>
      </c>
      <c r="P610">
        <v>728</v>
      </c>
      <c r="Q610">
        <v>675.2</v>
      </c>
      <c r="R610" t="s">
        <v>39</v>
      </c>
      <c r="S610" t="s">
        <v>31</v>
      </c>
      <c r="T610" t="s">
        <v>32</v>
      </c>
      <c r="U610">
        <v>57</v>
      </c>
      <c r="V610">
        <v>4.3</v>
      </c>
      <c r="W610">
        <f>Table2[[#This Row],[Quantity]]*Table2[[#This Row],[Item_Price]]</f>
        <v>728</v>
      </c>
    </row>
    <row r="611" spans="1:23" x14ac:dyDescent="0.25">
      <c r="A611" t="s">
        <v>706</v>
      </c>
      <c r="B611" s="1">
        <v>45703</v>
      </c>
      <c r="C611" t="s">
        <v>517</v>
      </c>
      <c r="D611">
        <v>2</v>
      </c>
      <c r="E611">
        <v>15</v>
      </c>
      <c r="F611" t="s">
        <v>134</v>
      </c>
      <c r="G611" t="s">
        <v>80</v>
      </c>
      <c r="H611" t="s">
        <v>48</v>
      </c>
      <c r="I611" t="s">
        <v>27</v>
      </c>
      <c r="J611" t="s">
        <v>70</v>
      </c>
      <c r="K611" t="s">
        <v>45</v>
      </c>
      <c r="L611">
        <v>2</v>
      </c>
      <c r="M611">
        <v>531</v>
      </c>
      <c r="N611">
        <v>53.1</v>
      </c>
      <c r="O611">
        <v>30</v>
      </c>
      <c r="P611">
        <v>1062</v>
      </c>
      <c r="Q611">
        <v>1038.9000000000001</v>
      </c>
      <c r="R611" t="s">
        <v>30</v>
      </c>
      <c r="S611" t="s">
        <v>31</v>
      </c>
      <c r="T611" t="s">
        <v>32</v>
      </c>
      <c r="U611">
        <v>62</v>
      </c>
      <c r="V611">
        <v>4.3</v>
      </c>
      <c r="W611">
        <f>Table2[[#This Row],[Quantity]]*Table2[[#This Row],[Item_Price]]</f>
        <v>1062</v>
      </c>
    </row>
    <row r="612" spans="1:23" x14ac:dyDescent="0.25">
      <c r="A612" t="s">
        <v>707</v>
      </c>
      <c r="B612" s="1">
        <v>45703</v>
      </c>
      <c r="C612" t="s">
        <v>517</v>
      </c>
      <c r="D612">
        <v>2</v>
      </c>
      <c r="E612">
        <v>15</v>
      </c>
      <c r="F612" t="s">
        <v>134</v>
      </c>
      <c r="G612" t="s">
        <v>55</v>
      </c>
      <c r="H612" t="s">
        <v>139</v>
      </c>
      <c r="I612" t="s">
        <v>57</v>
      </c>
      <c r="J612" t="s">
        <v>172</v>
      </c>
      <c r="K612" t="s">
        <v>29</v>
      </c>
      <c r="L612">
        <v>3</v>
      </c>
      <c r="M612">
        <v>882</v>
      </c>
      <c r="N612">
        <v>44.1</v>
      </c>
      <c r="O612">
        <v>40</v>
      </c>
      <c r="P612">
        <v>2646</v>
      </c>
      <c r="Q612">
        <v>2641.9</v>
      </c>
      <c r="R612" t="s">
        <v>112</v>
      </c>
      <c r="S612" t="s">
        <v>31</v>
      </c>
      <c r="T612" t="s">
        <v>32</v>
      </c>
      <c r="U612">
        <v>54</v>
      </c>
      <c r="V612">
        <v>3.7</v>
      </c>
      <c r="W612">
        <f>Table2[[#This Row],[Quantity]]*Table2[[#This Row],[Item_Price]]</f>
        <v>2646</v>
      </c>
    </row>
    <row r="613" spans="1:23" x14ac:dyDescent="0.25">
      <c r="A613" t="s">
        <v>708</v>
      </c>
      <c r="B613" s="1">
        <v>45703</v>
      </c>
      <c r="C613" t="s">
        <v>517</v>
      </c>
      <c r="D613">
        <v>2</v>
      </c>
      <c r="E613">
        <v>15</v>
      </c>
      <c r="F613" t="s">
        <v>134</v>
      </c>
      <c r="G613" t="s">
        <v>80</v>
      </c>
      <c r="H613" t="s">
        <v>48</v>
      </c>
      <c r="I613" t="s">
        <v>97</v>
      </c>
      <c r="J613" t="s">
        <v>53</v>
      </c>
      <c r="K613" t="s">
        <v>38</v>
      </c>
      <c r="L613">
        <v>1</v>
      </c>
      <c r="M613">
        <v>467</v>
      </c>
      <c r="N613">
        <v>46.7</v>
      </c>
      <c r="O613">
        <v>50</v>
      </c>
      <c r="P613">
        <v>467</v>
      </c>
      <c r="Q613">
        <v>470.3</v>
      </c>
      <c r="R613" t="s">
        <v>39</v>
      </c>
      <c r="S613" t="s">
        <v>31</v>
      </c>
      <c r="T613" t="s">
        <v>40</v>
      </c>
      <c r="U613">
        <v>26</v>
      </c>
      <c r="V613">
        <v>4.7</v>
      </c>
      <c r="W613">
        <f>Table2[[#This Row],[Quantity]]*Table2[[#This Row],[Item_Price]]</f>
        <v>467</v>
      </c>
    </row>
    <row r="614" spans="1:23" x14ac:dyDescent="0.25">
      <c r="A614" t="s">
        <v>709</v>
      </c>
      <c r="B614" s="1">
        <v>45703</v>
      </c>
      <c r="C614" t="s">
        <v>517</v>
      </c>
      <c r="D614">
        <v>2</v>
      </c>
      <c r="E614">
        <v>15</v>
      </c>
      <c r="F614" t="s">
        <v>134</v>
      </c>
      <c r="G614" t="s">
        <v>64</v>
      </c>
      <c r="H614" t="s">
        <v>108</v>
      </c>
      <c r="I614" t="s">
        <v>69</v>
      </c>
      <c r="J614" t="s">
        <v>50</v>
      </c>
      <c r="K614" t="s">
        <v>38</v>
      </c>
      <c r="L614">
        <v>3</v>
      </c>
      <c r="M614">
        <v>449</v>
      </c>
      <c r="N614">
        <v>44.9</v>
      </c>
      <c r="O614">
        <v>40</v>
      </c>
      <c r="P614">
        <v>1347</v>
      </c>
      <c r="Q614">
        <v>1342.1</v>
      </c>
      <c r="R614" t="s">
        <v>39</v>
      </c>
      <c r="S614" t="s">
        <v>31</v>
      </c>
      <c r="T614" t="s">
        <v>40</v>
      </c>
      <c r="U614">
        <v>34</v>
      </c>
      <c r="V614">
        <v>3.8</v>
      </c>
      <c r="W614">
        <f>Table2[[#This Row],[Quantity]]*Table2[[#This Row],[Item_Price]]</f>
        <v>1347</v>
      </c>
    </row>
    <row r="615" spans="1:23" x14ac:dyDescent="0.25">
      <c r="A615" t="s">
        <v>710</v>
      </c>
      <c r="B615" s="1">
        <v>45703</v>
      </c>
      <c r="C615" t="s">
        <v>517</v>
      </c>
      <c r="D615">
        <v>2</v>
      </c>
      <c r="E615">
        <v>15</v>
      </c>
      <c r="F615" t="s">
        <v>134</v>
      </c>
      <c r="G615" t="s">
        <v>25</v>
      </c>
      <c r="H615" t="s">
        <v>42</v>
      </c>
      <c r="I615" t="s">
        <v>85</v>
      </c>
      <c r="J615" t="s">
        <v>78</v>
      </c>
      <c r="K615" t="s">
        <v>38</v>
      </c>
      <c r="L615">
        <v>1</v>
      </c>
      <c r="M615">
        <v>139</v>
      </c>
      <c r="N615">
        <v>27.8</v>
      </c>
      <c r="O615">
        <v>40</v>
      </c>
      <c r="P615">
        <v>139</v>
      </c>
      <c r="Q615">
        <v>151.19999999999999</v>
      </c>
      <c r="R615" t="s">
        <v>39</v>
      </c>
      <c r="S615" t="s">
        <v>31</v>
      </c>
      <c r="T615" t="s">
        <v>32</v>
      </c>
      <c r="U615">
        <v>35</v>
      </c>
      <c r="V615">
        <v>5</v>
      </c>
      <c r="W615">
        <f>Table2[[#This Row],[Quantity]]*Table2[[#This Row],[Item_Price]]</f>
        <v>139</v>
      </c>
    </row>
    <row r="616" spans="1:23" x14ac:dyDescent="0.25">
      <c r="A616" t="s">
        <v>711</v>
      </c>
      <c r="B616" s="1">
        <v>45703</v>
      </c>
      <c r="C616" t="s">
        <v>517</v>
      </c>
      <c r="D616">
        <v>2</v>
      </c>
      <c r="E616">
        <v>15</v>
      </c>
      <c r="F616" t="s">
        <v>134</v>
      </c>
      <c r="G616" t="s">
        <v>55</v>
      </c>
      <c r="H616" t="s">
        <v>48</v>
      </c>
      <c r="I616" t="s">
        <v>85</v>
      </c>
      <c r="J616" t="s">
        <v>53</v>
      </c>
      <c r="K616" t="s">
        <v>29</v>
      </c>
      <c r="L616">
        <v>2</v>
      </c>
      <c r="M616">
        <v>280</v>
      </c>
      <c r="N616">
        <v>56</v>
      </c>
      <c r="O616">
        <v>40</v>
      </c>
      <c r="P616">
        <v>560</v>
      </c>
      <c r="Q616">
        <v>544</v>
      </c>
      <c r="R616" t="s">
        <v>39</v>
      </c>
      <c r="S616" t="s">
        <v>31</v>
      </c>
      <c r="T616" t="s">
        <v>40</v>
      </c>
      <c r="U616">
        <v>36</v>
      </c>
      <c r="V616">
        <v>3.6</v>
      </c>
      <c r="W616">
        <f>Table2[[#This Row],[Quantity]]*Table2[[#This Row],[Item_Price]]</f>
        <v>560</v>
      </c>
    </row>
    <row r="617" spans="1:23" x14ac:dyDescent="0.25">
      <c r="A617" t="s">
        <v>712</v>
      </c>
      <c r="B617" s="1">
        <v>45703</v>
      </c>
      <c r="C617" t="s">
        <v>517</v>
      </c>
      <c r="D617">
        <v>2</v>
      </c>
      <c r="E617">
        <v>15</v>
      </c>
      <c r="F617" t="s">
        <v>134</v>
      </c>
      <c r="G617" t="s">
        <v>73</v>
      </c>
      <c r="H617" t="s">
        <v>81</v>
      </c>
      <c r="I617" t="s">
        <v>43</v>
      </c>
      <c r="J617" t="s">
        <v>50</v>
      </c>
      <c r="K617" t="s">
        <v>38</v>
      </c>
      <c r="L617">
        <v>2</v>
      </c>
      <c r="M617">
        <v>586</v>
      </c>
      <c r="N617">
        <v>29.3</v>
      </c>
      <c r="O617">
        <v>20</v>
      </c>
      <c r="P617">
        <v>1172</v>
      </c>
      <c r="Q617">
        <v>1162.7</v>
      </c>
      <c r="R617" t="s">
        <v>39</v>
      </c>
      <c r="S617" t="s">
        <v>46</v>
      </c>
      <c r="T617" t="s">
        <v>40</v>
      </c>
      <c r="U617">
        <v>21</v>
      </c>
      <c r="W617">
        <f>Table2[[#This Row],[Quantity]]*Table2[[#This Row],[Item_Price]]</f>
        <v>1172</v>
      </c>
    </row>
    <row r="618" spans="1:23" x14ac:dyDescent="0.25">
      <c r="A618" t="s">
        <v>713</v>
      </c>
      <c r="B618" s="1">
        <v>45703</v>
      </c>
      <c r="C618" t="s">
        <v>517</v>
      </c>
      <c r="D618">
        <v>2</v>
      </c>
      <c r="E618">
        <v>15</v>
      </c>
      <c r="F618" t="s">
        <v>134</v>
      </c>
      <c r="G618" t="s">
        <v>73</v>
      </c>
      <c r="H618" t="s">
        <v>35</v>
      </c>
      <c r="I618" t="s">
        <v>36</v>
      </c>
      <c r="J618" t="s">
        <v>70</v>
      </c>
      <c r="K618" t="s">
        <v>38</v>
      </c>
      <c r="L618">
        <v>3</v>
      </c>
      <c r="M618">
        <v>198</v>
      </c>
      <c r="N618">
        <v>19.8</v>
      </c>
      <c r="O618">
        <v>50</v>
      </c>
      <c r="P618">
        <v>594</v>
      </c>
      <c r="Q618">
        <v>624.20000000000005</v>
      </c>
      <c r="R618" t="s">
        <v>39</v>
      </c>
      <c r="S618" t="s">
        <v>110</v>
      </c>
      <c r="T618" t="s">
        <v>32</v>
      </c>
      <c r="U618">
        <v>35</v>
      </c>
      <c r="W618">
        <f>Table2[[#This Row],[Quantity]]*Table2[[#This Row],[Item_Price]]</f>
        <v>594</v>
      </c>
    </row>
    <row r="619" spans="1:23" x14ac:dyDescent="0.25">
      <c r="A619" t="s">
        <v>714</v>
      </c>
      <c r="B619" s="1">
        <v>45704</v>
      </c>
      <c r="C619" t="s">
        <v>517</v>
      </c>
      <c r="D619">
        <v>2</v>
      </c>
      <c r="E619">
        <v>16</v>
      </c>
      <c r="F619" t="s">
        <v>149</v>
      </c>
      <c r="G619" t="s">
        <v>25</v>
      </c>
      <c r="H619" t="s">
        <v>77</v>
      </c>
      <c r="I619" t="s">
        <v>85</v>
      </c>
      <c r="J619" t="s">
        <v>66</v>
      </c>
      <c r="K619" t="s">
        <v>38</v>
      </c>
      <c r="L619">
        <v>2</v>
      </c>
      <c r="M619">
        <v>602</v>
      </c>
      <c r="N619">
        <v>60.2</v>
      </c>
      <c r="O619">
        <v>50</v>
      </c>
      <c r="P619">
        <v>1204</v>
      </c>
      <c r="Q619">
        <v>1193.8</v>
      </c>
      <c r="R619" t="s">
        <v>75</v>
      </c>
      <c r="S619" t="s">
        <v>31</v>
      </c>
      <c r="T619" t="s">
        <v>40</v>
      </c>
      <c r="U619">
        <v>68</v>
      </c>
      <c r="V619">
        <v>5</v>
      </c>
      <c r="W619">
        <f>Table2[[#This Row],[Quantity]]*Table2[[#This Row],[Item_Price]]</f>
        <v>1204</v>
      </c>
    </row>
    <row r="620" spans="1:23" x14ac:dyDescent="0.25">
      <c r="A620" t="s">
        <v>715</v>
      </c>
      <c r="B620" s="1">
        <v>45704</v>
      </c>
      <c r="C620" t="s">
        <v>517</v>
      </c>
      <c r="D620">
        <v>2</v>
      </c>
      <c r="E620">
        <v>16</v>
      </c>
      <c r="F620" t="s">
        <v>149</v>
      </c>
      <c r="G620" t="s">
        <v>64</v>
      </c>
      <c r="H620" t="s">
        <v>108</v>
      </c>
      <c r="I620" t="s">
        <v>85</v>
      </c>
      <c r="J620" t="s">
        <v>119</v>
      </c>
      <c r="K620" t="s">
        <v>38</v>
      </c>
      <c r="L620">
        <v>1</v>
      </c>
      <c r="M620">
        <v>715</v>
      </c>
      <c r="N620">
        <v>0</v>
      </c>
      <c r="O620">
        <v>30</v>
      </c>
      <c r="P620">
        <v>715</v>
      </c>
      <c r="Q620">
        <v>745</v>
      </c>
      <c r="R620" t="s">
        <v>39</v>
      </c>
      <c r="S620" t="s">
        <v>31</v>
      </c>
      <c r="T620" t="s">
        <v>32</v>
      </c>
      <c r="U620">
        <v>69</v>
      </c>
      <c r="V620">
        <v>3.8</v>
      </c>
      <c r="W620">
        <f>Table2[[#This Row],[Quantity]]*Table2[[#This Row],[Item_Price]]</f>
        <v>715</v>
      </c>
    </row>
    <row r="621" spans="1:23" x14ac:dyDescent="0.25">
      <c r="A621" t="s">
        <v>716</v>
      </c>
      <c r="B621" s="1">
        <v>45704</v>
      </c>
      <c r="C621" t="s">
        <v>517</v>
      </c>
      <c r="D621">
        <v>2</v>
      </c>
      <c r="E621">
        <v>16</v>
      </c>
      <c r="F621" t="s">
        <v>149</v>
      </c>
      <c r="G621" t="s">
        <v>34</v>
      </c>
      <c r="H621" t="s">
        <v>48</v>
      </c>
      <c r="I621" t="s">
        <v>43</v>
      </c>
      <c r="J621" t="s">
        <v>70</v>
      </c>
      <c r="K621" t="s">
        <v>38</v>
      </c>
      <c r="L621">
        <v>3</v>
      </c>
      <c r="M621">
        <v>652</v>
      </c>
      <c r="N621">
        <v>65.2</v>
      </c>
      <c r="O621">
        <v>30</v>
      </c>
      <c r="P621">
        <v>1956</v>
      </c>
      <c r="Q621">
        <v>1920.8</v>
      </c>
      <c r="R621" t="s">
        <v>112</v>
      </c>
      <c r="S621" t="s">
        <v>31</v>
      </c>
      <c r="T621" t="s">
        <v>40</v>
      </c>
      <c r="U621">
        <v>51</v>
      </c>
      <c r="V621">
        <v>5</v>
      </c>
      <c r="W621">
        <f>Table2[[#This Row],[Quantity]]*Table2[[#This Row],[Item_Price]]</f>
        <v>1956</v>
      </c>
    </row>
    <row r="622" spans="1:23" x14ac:dyDescent="0.25">
      <c r="A622" t="s">
        <v>717</v>
      </c>
      <c r="B622" s="1">
        <v>45704</v>
      </c>
      <c r="C622" t="s">
        <v>517</v>
      </c>
      <c r="D622">
        <v>2</v>
      </c>
      <c r="E622">
        <v>16</v>
      </c>
      <c r="F622" t="s">
        <v>149</v>
      </c>
      <c r="G622" t="s">
        <v>25</v>
      </c>
      <c r="H622" t="s">
        <v>42</v>
      </c>
      <c r="I622" t="s">
        <v>61</v>
      </c>
      <c r="J622" t="s">
        <v>37</v>
      </c>
      <c r="K622" t="s">
        <v>38</v>
      </c>
      <c r="L622">
        <v>3</v>
      </c>
      <c r="M622">
        <v>286</v>
      </c>
      <c r="N622">
        <v>14.3</v>
      </c>
      <c r="O622">
        <v>30</v>
      </c>
      <c r="P622">
        <v>858</v>
      </c>
      <c r="Q622">
        <v>873.7</v>
      </c>
      <c r="R622" t="s">
        <v>39</v>
      </c>
      <c r="S622" t="s">
        <v>31</v>
      </c>
      <c r="T622" t="s">
        <v>40</v>
      </c>
      <c r="U622">
        <v>42</v>
      </c>
      <c r="V622">
        <v>3.4</v>
      </c>
      <c r="W622">
        <f>Table2[[#This Row],[Quantity]]*Table2[[#This Row],[Item_Price]]</f>
        <v>858</v>
      </c>
    </row>
    <row r="623" spans="1:23" x14ac:dyDescent="0.25">
      <c r="A623" t="s">
        <v>718</v>
      </c>
      <c r="B623" s="1">
        <v>45704</v>
      </c>
      <c r="C623" t="s">
        <v>517</v>
      </c>
      <c r="D623">
        <v>2</v>
      </c>
      <c r="E623">
        <v>16</v>
      </c>
      <c r="F623" t="s">
        <v>149</v>
      </c>
      <c r="G623" t="s">
        <v>25</v>
      </c>
      <c r="H623" t="s">
        <v>48</v>
      </c>
      <c r="I623" t="s">
        <v>97</v>
      </c>
      <c r="J623" t="s">
        <v>119</v>
      </c>
      <c r="K623" t="s">
        <v>45</v>
      </c>
      <c r="L623">
        <v>2</v>
      </c>
      <c r="M623">
        <v>235</v>
      </c>
      <c r="N623">
        <v>23.5</v>
      </c>
      <c r="O623">
        <v>60</v>
      </c>
      <c r="P623">
        <v>470</v>
      </c>
      <c r="Q623">
        <v>506.5</v>
      </c>
      <c r="R623" t="s">
        <v>98</v>
      </c>
      <c r="S623" t="s">
        <v>31</v>
      </c>
      <c r="T623" t="s">
        <v>40</v>
      </c>
      <c r="U623">
        <v>58</v>
      </c>
      <c r="V623">
        <v>4.5</v>
      </c>
      <c r="W623">
        <f>Table2[[#This Row],[Quantity]]*Table2[[#This Row],[Item_Price]]</f>
        <v>470</v>
      </c>
    </row>
    <row r="624" spans="1:23" x14ac:dyDescent="0.25">
      <c r="A624" t="s">
        <v>719</v>
      </c>
      <c r="B624" s="1">
        <v>45704</v>
      </c>
      <c r="C624" t="s">
        <v>517</v>
      </c>
      <c r="D624">
        <v>2</v>
      </c>
      <c r="E624">
        <v>16</v>
      </c>
      <c r="F624" t="s">
        <v>149</v>
      </c>
      <c r="G624" t="s">
        <v>25</v>
      </c>
      <c r="H624" t="s">
        <v>77</v>
      </c>
      <c r="I624" t="s">
        <v>85</v>
      </c>
      <c r="J624" t="s">
        <v>119</v>
      </c>
      <c r="K624" t="s">
        <v>45</v>
      </c>
      <c r="L624">
        <v>2</v>
      </c>
      <c r="M624">
        <v>806</v>
      </c>
      <c r="N624">
        <v>201.5</v>
      </c>
      <c r="O624">
        <v>60</v>
      </c>
      <c r="P624">
        <v>1612</v>
      </c>
      <c r="Q624">
        <v>1470.5</v>
      </c>
      <c r="R624" t="s">
        <v>75</v>
      </c>
      <c r="S624" t="s">
        <v>91</v>
      </c>
      <c r="T624" t="s">
        <v>40</v>
      </c>
      <c r="U624">
        <v>36</v>
      </c>
      <c r="W624">
        <f>Table2[[#This Row],[Quantity]]*Table2[[#This Row],[Item_Price]]</f>
        <v>1612</v>
      </c>
    </row>
    <row r="625" spans="1:23" x14ac:dyDescent="0.25">
      <c r="A625" t="s">
        <v>720</v>
      </c>
      <c r="B625" s="1">
        <v>45704</v>
      </c>
      <c r="C625" t="s">
        <v>517</v>
      </c>
      <c r="D625">
        <v>2</v>
      </c>
      <c r="E625">
        <v>16</v>
      </c>
      <c r="F625" t="s">
        <v>149</v>
      </c>
      <c r="G625" t="s">
        <v>64</v>
      </c>
      <c r="H625" t="s">
        <v>48</v>
      </c>
      <c r="I625" t="s">
        <v>27</v>
      </c>
      <c r="J625" t="s">
        <v>78</v>
      </c>
      <c r="K625" t="s">
        <v>38</v>
      </c>
      <c r="L625">
        <v>1</v>
      </c>
      <c r="M625">
        <v>326</v>
      </c>
      <c r="N625">
        <v>81.5</v>
      </c>
      <c r="O625">
        <v>0</v>
      </c>
      <c r="P625">
        <v>326</v>
      </c>
      <c r="Q625">
        <v>244.5</v>
      </c>
      <c r="R625" t="s">
        <v>30</v>
      </c>
      <c r="S625" t="s">
        <v>31</v>
      </c>
      <c r="T625" t="s">
        <v>40</v>
      </c>
      <c r="U625">
        <v>62</v>
      </c>
      <c r="V625">
        <v>4.9000000000000004</v>
      </c>
      <c r="W625">
        <f>Table2[[#This Row],[Quantity]]*Table2[[#This Row],[Item_Price]]</f>
        <v>326</v>
      </c>
    </row>
    <row r="626" spans="1:23" x14ac:dyDescent="0.25">
      <c r="A626" t="s">
        <v>721</v>
      </c>
      <c r="B626" s="1">
        <v>45704</v>
      </c>
      <c r="C626" t="s">
        <v>517</v>
      </c>
      <c r="D626">
        <v>2</v>
      </c>
      <c r="E626">
        <v>16</v>
      </c>
      <c r="F626" t="s">
        <v>149</v>
      </c>
      <c r="G626" t="s">
        <v>55</v>
      </c>
      <c r="H626" t="s">
        <v>35</v>
      </c>
      <c r="I626" t="s">
        <v>49</v>
      </c>
      <c r="J626" t="s">
        <v>74</v>
      </c>
      <c r="K626" t="s">
        <v>45</v>
      </c>
      <c r="L626">
        <v>1</v>
      </c>
      <c r="M626">
        <v>234</v>
      </c>
      <c r="N626">
        <v>35.1</v>
      </c>
      <c r="O626">
        <v>20</v>
      </c>
      <c r="P626">
        <v>234</v>
      </c>
      <c r="Q626">
        <v>218.9</v>
      </c>
      <c r="R626" t="s">
        <v>39</v>
      </c>
      <c r="S626" t="s">
        <v>31</v>
      </c>
      <c r="T626" t="s">
        <v>40</v>
      </c>
      <c r="U626">
        <v>27</v>
      </c>
      <c r="V626">
        <v>3.4</v>
      </c>
      <c r="W626">
        <f>Table2[[#This Row],[Quantity]]*Table2[[#This Row],[Item_Price]]</f>
        <v>234</v>
      </c>
    </row>
    <row r="627" spans="1:23" x14ac:dyDescent="0.25">
      <c r="A627" t="s">
        <v>722</v>
      </c>
      <c r="B627" s="1">
        <v>45704</v>
      </c>
      <c r="C627" t="s">
        <v>517</v>
      </c>
      <c r="D627">
        <v>2</v>
      </c>
      <c r="E627">
        <v>16</v>
      </c>
      <c r="F627" t="s">
        <v>149</v>
      </c>
      <c r="G627" t="s">
        <v>25</v>
      </c>
      <c r="H627" t="s">
        <v>65</v>
      </c>
      <c r="I627" t="s">
        <v>97</v>
      </c>
      <c r="J627" t="s">
        <v>123</v>
      </c>
      <c r="K627" t="s">
        <v>38</v>
      </c>
      <c r="L627">
        <v>1</v>
      </c>
      <c r="M627">
        <v>621</v>
      </c>
      <c r="N627">
        <v>155.25</v>
      </c>
      <c r="O627">
        <v>20</v>
      </c>
      <c r="P627">
        <v>621</v>
      </c>
      <c r="Q627">
        <v>485.75</v>
      </c>
      <c r="R627" t="s">
        <v>30</v>
      </c>
      <c r="S627" t="s">
        <v>31</v>
      </c>
      <c r="T627" t="s">
        <v>40</v>
      </c>
      <c r="U627">
        <v>52</v>
      </c>
      <c r="V627">
        <v>4</v>
      </c>
      <c r="W627">
        <f>Table2[[#This Row],[Quantity]]*Table2[[#This Row],[Item_Price]]</f>
        <v>621</v>
      </c>
    </row>
    <row r="628" spans="1:23" x14ac:dyDescent="0.25">
      <c r="A628" t="s">
        <v>723</v>
      </c>
      <c r="B628" s="1">
        <v>45704</v>
      </c>
      <c r="C628" t="s">
        <v>517</v>
      </c>
      <c r="D628">
        <v>2</v>
      </c>
      <c r="E628">
        <v>16</v>
      </c>
      <c r="F628" t="s">
        <v>149</v>
      </c>
      <c r="G628" t="s">
        <v>34</v>
      </c>
      <c r="H628" t="s">
        <v>135</v>
      </c>
      <c r="I628" t="s">
        <v>27</v>
      </c>
      <c r="J628" t="s">
        <v>44</v>
      </c>
      <c r="K628" t="s">
        <v>45</v>
      </c>
      <c r="L628">
        <v>2</v>
      </c>
      <c r="M628">
        <v>335</v>
      </c>
      <c r="N628">
        <v>50.25</v>
      </c>
      <c r="O628">
        <v>30</v>
      </c>
      <c r="P628">
        <v>670</v>
      </c>
      <c r="Q628">
        <v>649.75</v>
      </c>
      <c r="R628" t="s">
        <v>39</v>
      </c>
      <c r="S628" t="s">
        <v>31</v>
      </c>
      <c r="T628" t="s">
        <v>40</v>
      </c>
      <c r="U628">
        <v>60</v>
      </c>
      <c r="V628">
        <v>5</v>
      </c>
      <c r="W628">
        <f>Table2[[#This Row],[Quantity]]*Table2[[#This Row],[Item_Price]]</f>
        <v>670</v>
      </c>
    </row>
    <row r="629" spans="1:23" x14ac:dyDescent="0.25">
      <c r="A629" t="s">
        <v>724</v>
      </c>
      <c r="B629" s="1">
        <v>45704</v>
      </c>
      <c r="C629" t="s">
        <v>517</v>
      </c>
      <c r="D629">
        <v>2</v>
      </c>
      <c r="E629">
        <v>16</v>
      </c>
      <c r="F629" t="s">
        <v>149</v>
      </c>
      <c r="G629" t="s">
        <v>80</v>
      </c>
      <c r="H629" t="s">
        <v>42</v>
      </c>
      <c r="I629" t="s">
        <v>97</v>
      </c>
      <c r="J629" t="s">
        <v>172</v>
      </c>
      <c r="K629" t="s">
        <v>38</v>
      </c>
      <c r="L629">
        <v>1</v>
      </c>
      <c r="M629">
        <v>584</v>
      </c>
      <c r="N629">
        <v>29.2</v>
      </c>
      <c r="O629">
        <v>40</v>
      </c>
      <c r="P629">
        <v>584</v>
      </c>
      <c r="Q629">
        <v>594.79999999999995</v>
      </c>
      <c r="R629" t="s">
        <v>39</v>
      </c>
      <c r="S629" t="s">
        <v>110</v>
      </c>
      <c r="T629" t="s">
        <v>40</v>
      </c>
      <c r="U629">
        <v>41</v>
      </c>
      <c r="W629">
        <f>Table2[[#This Row],[Quantity]]*Table2[[#This Row],[Item_Price]]</f>
        <v>584</v>
      </c>
    </row>
    <row r="630" spans="1:23" x14ac:dyDescent="0.25">
      <c r="A630" t="s">
        <v>725</v>
      </c>
      <c r="B630" s="1">
        <v>45704</v>
      </c>
      <c r="C630" t="s">
        <v>517</v>
      </c>
      <c r="D630">
        <v>2</v>
      </c>
      <c r="E630">
        <v>16</v>
      </c>
      <c r="F630" t="s">
        <v>149</v>
      </c>
      <c r="G630" t="s">
        <v>115</v>
      </c>
      <c r="H630" t="s">
        <v>48</v>
      </c>
      <c r="I630" t="s">
        <v>69</v>
      </c>
      <c r="J630" t="s">
        <v>70</v>
      </c>
      <c r="K630" t="s">
        <v>38</v>
      </c>
      <c r="L630">
        <v>2</v>
      </c>
      <c r="M630">
        <v>492</v>
      </c>
      <c r="N630">
        <v>98.4</v>
      </c>
      <c r="O630">
        <v>40</v>
      </c>
      <c r="P630">
        <v>984</v>
      </c>
      <c r="Q630">
        <v>925.6</v>
      </c>
      <c r="R630" t="s">
        <v>75</v>
      </c>
      <c r="S630" t="s">
        <v>31</v>
      </c>
      <c r="T630" t="s">
        <v>32</v>
      </c>
      <c r="U630">
        <v>41</v>
      </c>
      <c r="V630">
        <v>4.7</v>
      </c>
      <c r="W630">
        <f>Table2[[#This Row],[Quantity]]*Table2[[#This Row],[Item_Price]]</f>
        <v>984</v>
      </c>
    </row>
    <row r="631" spans="1:23" x14ac:dyDescent="0.25">
      <c r="A631" t="s">
        <v>726</v>
      </c>
      <c r="B631" s="1">
        <v>45704</v>
      </c>
      <c r="C631" t="s">
        <v>517</v>
      </c>
      <c r="D631">
        <v>2</v>
      </c>
      <c r="E631">
        <v>16</v>
      </c>
      <c r="F631" t="s">
        <v>149</v>
      </c>
      <c r="G631" t="s">
        <v>34</v>
      </c>
      <c r="H631" t="s">
        <v>56</v>
      </c>
      <c r="I631" t="s">
        <v>61</v>
      </c>
      <c r="J631" t="s">
        <v>74</v>
      </c>
      <c r="K631" t="s">
        <v>58</v>
      </c>
      <c r="L631">
        <v>1</v>
      </c>
      <c r="M631">
        <v>782</v>
      </c>
      <c r="N631">
        <v>156.4</v>
      </c>
      <c r="O631">
        <v>50</v>
      </c>
      <c r="P631">
        <v>782</v>
      </c>
      <c r="Q631">
        <v>675.6</v>
      </c>
      <c r="R631" t="s">
        <v>75</v>
      </c>
      <c r="S631" t="s">
        <v>31</v>
      </c>
      <c r="T631" t="s">
        <v>32</v>
      </c>
      <c r="U631">
        <v>18</v>
      </c>
      <c r="V631">
        <v>3.9</v>
      </c>
      <c r="W631">
        <f>Table2[[#This Row],[Quantity]]*Table2[[#This Row],[Item_Price]]</f>
        <v>782</v>
      </c>
    </row>
    <row r="632" spans="1:23" x14ac:dyDescent="0.25">
      <c r="A632" t="s">
        <v>727</v>
      </c>
      <c r="B632" s="1">
        <v>45704</v>
      </c>
      <c r="C632" t="s">
        <v>517</v>
      </c>
      <c r="D632">
        <v>2</v>
      </c>
      <c r="E632">
        <v>16</v>
      </c>
      <c r="F632" t="s">
        <v>149</v>
      </c>
      <c r="G632" t="s">
        <v>73</v>
      </c>
      <c r="H632" t="s">
        <v>65</v>
      </c>
      <c r="I632" t="s">
        <v>103</v>
      </c>
      <c r="J632" t="s">
        <v>123</v>
      </c>
      <c r="K632" t="s">
        <v>38</v>
      </c>
      <c r="L632">
        <v>2</v>
      </c>
      <c r="M632">
        <v>667</v>
      </c>
      <c r="N632">
        <v>0</v>
      </c>
      <c r="O632">
        <v>30</v>
      </c>
      <c r="P632">
        <v>1334</v>
      </c>
      <c r="Q632">
        <v>1364</v>
      </c>
      <c r="R632" t="s">
        <v>39</v>
      </c>
      <c r="S632" t="s">
        <v>31</v>
      </c>
      <c r="T632" t="s">
        <v>40</v>
      </c>
      <c r="U632">
        <v>28</v>
      </c>
      <c r="V632">
        <v>4.3</v>
      </c>
      <c r="W632">
        <f>Table2[[#This Row],[Quantity]]*Table2[[#This Row],[Item_Price]]</f>
        <v>1334</v>
      </c>
    </row>
    <row r="633" spans="1:23" x14ac:dyDescent="0.25">
      <c r="A633" t="s">
        <v>728</v>
      </c>
      <c r="B633" s="1">
        <v>45704</v>
      </c>
      <c r="C633" t="s">
        <v>517</v>
      </c>
      <c r="D633">
        <v>2</v>
      </c>
      <c r="E633">
        <v>16</v>
      </c>
      <c r="F633" t="s">
        <v>149</v>
      </c>
      <c r="G633" t="s">
        <v>34</v>
      </c>
      <c r="H633" t="s">
        <v>42</v>
      </c>
      <c r="I633" t="s">
        <v>85</v>
      </c>
      <c r="J633" t="s">
        <v>28</v>
      </c>
      <c r="K633" t="s">
        <v>45</v>
      </c>
      <c r="L633">
        <v>2</v>
      </c>
      <c r="M633">
        <v>898</v>
      </c>
      <c r="N633">
        <v>179.6</v>
      </c>
      <c r="O633">
        <v>50</v>
      </c>
      <c r="P633">
        <v>1796</v>
      </c>
      <c r="Q633">
        <v>1666.4</v>
      </c>
      <c r="R633" t="s">
        <v>39</v>
      </c>
      <c r="S633" t="s">
        <v>46</v>
      </c>
      <c r="T633" t="s">
        <v>40</v>
      </c>
      <c r="U633">
        <v>51</v>
      </c>
      <c r="W633">
        <f>Table2[[#This Row],[Quantity]]*Table2[[#This Row],[Item_Price]]</f>
        <v>1796</v>
      </c>
    </row>
    <row r="634" spans="1:23" x14ac:dyDescent="0.25">
      <c r="A634" t="s">
        <v>729</v>
      </c>
      <c r="B634" s="1">
        <v>45704</v>
      </c>
      <c r="C634" t="s">
        <v>517</v>
      </c>
      <c r="D634">
        <v>2</v>
      </c>
      <c r="E634">
        <v>16</v>
      </c>
      <c r="F634" t="s">
        <v>149</v>
      </c>
      <c r="G634" t="s">
        <v>115</v>
      </c>
      <c r="H634" t="s">
        <v>139</v>
      </c>
      <c r="I634" t="s">
        <v>36</v>
      </c>
      <c r="J634" t="s">
        <v>66</v>
      </c>
      <c r="K634" t="s">
        <v>29</v>
      </c>
      <c r="L634">
        <v>1</v>
      </c>
      <c r="M634">
        <v>498</v>
      </c>
      <c r="N634">
        <v>99.6</v>
      </c>
      <c r="O634">
        <v>70</v>
      </c>
      <c r="P634">
        <v>498</v>
      </c>
      <c r="Q634">
        <v>468.4</v>
      </c>
      <c r="R634" t="s">
        <v>75</v>
      </c>
      <c r="S634" t="s">
        <v>31</v>
      </c>
      <c r="T634" t="s">
        <v>40</v>
      </c>
      <c r="U634">
        <v>65</v>
      </c>
      <c r="V634">
        <v>4.2</v>
      </c>
      <c r="W634">
        <f>Table2[[#This Row],[Quantity]]*Table2[[#This Row],[Item_Price]]</f>
        <v>498</v>
      </c>
    </row>
    <row r="635" spans="1:23" x14ac:dyDescent="0.25">
      <c r="A635" t="s">
        <v>730</v>
      </c>
      <c r="B635" s="1">
        <v>45704</v>
      </c>
      <c r="C635" t="s">
        <v>517</v>
      </c>
      <c r="D635">
        <v>2</v>
      </c>
      <c r="E635">
        <v>16</v>
      </c>
      <c r="F635" t="s">
        <v>149</v>
      </c>
      <c r="G635" t="s">
        <v>25</v>
      </c>
      <c r="H635" t="s">
        <v>77</v>
      </c>
      <c r="I635" t="s">
        <v>97</v>
      </c>
      <c r="J635" t="s">
        <v>101</v>
      </c>
      <c r="K635" t="s">
        <v>29</v>
      </c>
      <c r="L635">
        <v>2</v>
      </c>
      <c r="M635">
        <v>129</v>
      </c>
      <c r="N635">
        <v>19.350000000000001</v>
      </c>
      <c r="O635">
        <v>40</v>
      </c>
      <c r="P635">
        <v>258</v>
      </c>
      <c r="Q635">
        <v>278.64999999999998</v>
      </c>
      <c r="R635" t="s">
        <v>30</v>
      </c>
      <c r="S635" t="s">
        <v>31</v>
      </c>
      <c r="T635" t="s">
        <v>40</v>
      </c>
      <c r="U635">
        <v>18</v>
      </c>
      <c r="V635">
        <v>3.5</v>
      </c>
      <c r="W635">
        <f>Table2[[#This Row],[Quantity]]*Table2[[#This Row],[Item_Price]]</f>
        <v>258</v>
      </c>
    </row>
    <row r="636" spans="1:23" x14ac:dyDescent="0.25">
      <c r="A636" t="s">
        <v>731</v>
      </c>
      <c r="B636" s="1">
        <v>45704</v>
      </c>
      <c r="C636" t="s">
        <v>517</v>
      </c>
      <c r="D636">
        <v>2</v>
      </c>
      <c r="E636">
        <v>16</v>
      </c>
      <c r="F636" t="s">
        <v>149</v>
      </c>
      <c r="G636" t="s">
        <v>55</v>
      </c>
      <c r="H636" t="s">
        <v>60</v>
      </c>
      <c r="I636" t="s">
        <v>36</v>
      </c>
      <c r="J636" t="s">
        <v>70</v>
      </c>
      <c r="K636" t="s">
        <v>38</v>
      </c>
      <c r="L636">
        <v>3</v>
      </c>
      <c r="M636">
        <v>580</v>
      </c>
      <c r="N636">
        <v>29</v>
      </c>
      <c r="O636">
        <v>20</v>
      </c>
      <c r="P636">
        <v>1740</v>
      </c>
      <c r="Q636">
        <v>1731</v>
      </c>
      <c r="R636" t="s">
        <v>75</v>
      </c>
      <c r="S636" t="s">
        <v>31</v>
      </c>
      <c r="T636" t="s">
        <v>32</v>
      </c>
      <c r="U636">
        <v>28</v>
      </c>
      <c r="V636">
        <v>3</v>
      </c>
      <c r="W636">
        <f>Table2[[#This Row],[Quantity]]*Table2[[#This Row],[Item_Price]]</f>
        <v>1740</v>
      </c>
    </row>
    <row r="637" spans="1:23" x14ac:dyDescent="0.25">
      <c r="A637" t="s">
        <v>732</v>
      </c>
      <c r="B637" s="1">
        <v>45704</v>
      </c>
      <c r="C637" t="s">
        <v>517</v>
      </c>
      <c r="D637">
        <v>2</v>
      </c>
      <c r="E637">
        <v>16</v>
      </c>
      <c r="F637" t="s">
        <v>149</v>
      </c>
      <c r="G637" t="s">
        <v>64</v>
      </c>
      <c r="H637" t="s">
        <v>60</v>
      </c>
      <c r="I637" t="s">
        <v>61</v>
      </c>
      <c r="J637" t="s">
        <v>101</v>
      </c>
      <c r="K637" t="s">
        <v>38</v>
      </c>
      <c r="L637">
        <v>1</v>
      </c>
      <c r="M637">
        <v>894</v>
      </c>
      <c r="N637">
        <v>44.7</v>
      </c>
      <c r="O637">
        <v>30</v>
      </c>
      <c r="P637">
        <v>894</v>
      </c>
      <c r="Q637">
        <v>879.3</v>
      </c>
      <c r="R637" t="s">
        <v>75</v>
      </c>
      <c r="S637" t="s">
        <v>31</v>
      </c>
      <c r="T637" t="s">
        <v>40</v>
      </c>
      <c r="U637">
        <v>26</v>
      </c>
      <c r="V637">
        <v>4.0999999999999996</v>
      </c>
      <c r="W637">
        <f>Table2[[#This Row],[Quantity]]*Table2[[#This Row],[Item_Price]]</f>
        <v>894</v>
      </c>
    </row>
    <row r="638" spans="1:23" x14ac:dyDescent="0.25">
      <c r="A638" t="s">
        <v>733</v>
      </c>
      <c r="B638" s="1">
        <v>45704</v>
      </c>
      <c r="C638" t="s">
        <v>517</v>
      </c>
      <c r="D638">
        <v>2</v>
      </c>
      <c r="E638">
        <v>16</v>
      </c>
      <c r="F638" t="s">
        <v>149</v>
      </c>
      <c r="G638" t="s">
        <v>80</v>
      </c>
      <c r="H638" t="s">
        <v>65</v>
      </c>
      <c r="I638" t="s">
        <v>36</v>
      </c>
      <c r="J638" t="s">
        <v>172</v>
      </c>
      <c r="K638" t="s">
        <v>38</v>
      </c>
      <c r="L638">
        <v>2</v>
      </c>
      <c r="M638">
        <v>346</v>
      </c>
      <c r="N638">
        <v>51.9</v>
      </c>
      <c r="O638">
        <v>0</v>
      </c>
      <c r="P638">
        <v>692</v>
      </c>
      <c r="Q638">
        <v>640.1</v>
      </c>
      <c r="R638" t="s">
        <v>30</v>
      </c>
      <c r="S638" t="s">
        <v>31</v>
      </c>
      <c r="T638" t="s">
        <v>40</v>
      </c>
      <c r="U638">
        <v>66</v>
      </c>
      <c r="V638">
        <v>4.3</v>
      </c>
      <c r="W638">
        <f>Table2[[#This Row],[Quantity]]*Table2[[#This Row],[Item_Price]]</f>
        <v>692</v>
      </c>
    </row>
    <row r="639" spans="1:23" x14ac:dyDescent="0.25">
      <c r="A639" t="s">
        <v>734</v>
      </c>
      <c r="B639" s="1">
        <v>45704</v>
      </c>
      <c r="C639" t="s">
        <v>517</v>
      </c>
      <c r="D639">
        <v>2</v>
      </c>
      <c r="E639">
        <v>16</v>
      </c>
      <c r="F639" t="s">
        <v>149</v>
      </c>
      <c r="G639" t="s">
        <v>80</v>
      </c>
      <c r="H639" t="s">
        <v>60</v>
      </c>
      <c r="I639" t="s">
        <v>61</v>
      </c>
      <c r="J639" t="s">
        <v>94</v>
      </c>
      <c r="K639" t="s">
        <v>38</v>
      </c>
      <c r="L639">
        <v>3</v>
      </c>
      <c r="M639">
        <v>740</v>
      </c>
      <c r="N639">
        <v>148</v>
      </c>
      <c r="O639">
        <v>40</v>
      </c>
      <c r="P639">
        <v>2220</v>
      </c>
      <c r="Q639">
        <v>2112</v>
      </c>
      <c r="R639" t="s">
        <v>30</v>
      </c>
      <c r="S639" t="s">
        <v>91</v>
      </c>
      <c r="T639" t="s">
        <v>32</v>
      </c>
      <c r="U639">
        <v>53</v>
      </c>
      <c r="W639">
        <f>Table2[[#This Row],[Quantity]]*Table2[[#This Row],[Item_Price]]</f>
        <v>2220</v>
      </c>
    </row>
    <row r="640" spans="1:23" x14ac:dyDescent="0.25">
      <c r="A640" t="s">
        <v>735</v>
      </c>
      <c r="B640" s="1">
        <v>45705</v>
      </c>
      <c r="C640" t="s">
        <v>517</v>
      </c>
      <c r="D640">
        <v>2</v>
      </c>
      <c r="E640">
        <v>17</v>
      </c>
      <c r="F640" t="s">
        <v>168</v>
      </c>
      <c r="G640" t="s">
        <v>96</v>
      </c>
      <c r="H640" t="s">
        <v>139</v>
      </c>
      <c r="I640" t="s">
        <v>36</v>
      </c>
      <c r="J640" t="s">
        <v>119</v>
      </c>
      <c r="K640" t="s">
        <v>38</v>
      </c>
      <c r="L640">
        <v>1</v>
      </c>
      <c r="M640">
        <v>886</v>
      </c>
      <c r="N640">
        <v>88.6</v>
      </c>
      <c r="O640">
        <v>40</v>
      </c>
      <c r="P640">
        <v>886</v>
      </c>
      <c r="Q640">
        <v>837.4</v>
      </c>
      <c r="R640" t="s">
        <v>39</v>
      </c>
      <c r="S640" t="s">
        <v>31</v>
      </c>
      <c r="T640" t="s">
        <v>40</v>
      </c>
      <c r="U640">
        <v>34</v>
      </c>
      <c r="V640">
        <v>2.9</v>
      </c>
      <c r="W640">
        <f>Table2[[#This Row],[Quantity]]*Table2[[#This Row],[Item_Price]]</f>
        <v>886</v>
      </c>
    </row>
    <row r="641" spans="1:23" x14ac:dyDescent="0.25">
      <c r="A641" t="s">
        <v>736</v>
      </c>
      <c r="B641" s="1">
        <v>45705</v>
      </c>
      <c r="C641" t="s">
        <v>517</v>
      </c>
      <c r="D641">
        <v>2</v>
      </c>
      <c r="E641">
        <v>17</v>
      </c>
      <c r="F641" t="s">
        <v>168</v>
      </c>
      <c r="G641" t="s">
        <v>73</v>
      </c>
      <c r="H641" t="s">
        <v>81</v>
      </c>
      <c r="I641" t="s">
        <v>61</v>
      </c>
      <c r="J641" t="s">
        <v>119</v>
      </c>
      <c r="K641" t="s">
        <v>38</v>
      </c>
      <c r="L641">
        <v>1</v>
      </c>
      <c r="M641">
        <v>541</v>
      </c>
      <c r="N641">
        <v>108.2</v>
      </c>
      <c r="O641">
        <v>70</v>
      </c>
      <c r="P641">
        <v>541</v>
      </c>
      <c r="Q641">
        <v>502.8</v>
      </c>
      <c r="R641" t="s">
        <v>112</v>
      </c>
      <c r="S641" t="s">
        <v>91</v>
      </c>
      <c r="T641" t="s">
        <v>32</v>
      </c>
      <c r="U641">
        <v>19</v>
      </c>
      <c r="W641">
        <f>Table2[[#This Row],[Quantity]]*Table2[[#This Row],[Item_Price]]</f>
        <v>541</v>
      </c>
    </row>
    <row r="642" spans="1:23" x14ac:dyDescent="0.25">
      <c r="A642" t="s">
        <v>737</v>
      </c>
      <c r="B642" s="1">
        <v>45705</v>
      </c>
      <c r="C642" t="s">
        <v>517</v>
      </c>
      <c r="D642">
        <v>2</v>
      </c>
      <c r="E642">
        <v>17</v>
      </c>
      <c r="F642" t="s">
        <v>168</v>
      </c>
      <c r="G642" t="s">
        <v>80</v>
      </c>
      <c r="H642" t="s">
        <v>77</v>
      </c>
      <c r="I642" t="s">
        <v>27</v>
      </c>
      <c r="J642" t="s">
        <v>123</v>
      </c>
      <c r="K642" t="s">
        <v>38</v>
      </c>
      <c r="L642">
        <v>2</v>
      </c>
      <c r="M642">
        <v>703</v>
      </c>
      <c r="N642">
        <v>70.3</v>
      </c>
      <c r="O642">
        <v>60</v>
      </c>
      <c r="P642">
        <v>1406</v>
      </c>
      <c r="Q642">
        <v>1395.7</v>
      </c>
      <c r="R642" t="s">
        <v>75</v>
      </c>
      <c r="S642" t="s">
        <v>31</v>
      </c>
      <c r="T642" t="s">
        <v>40</v>
      </c>
      <c r="U642">
        <v>58</v>
      </c>
      <c r="V642">
        <v>4.0999999999999996</v>
      </c>
      <c r="W642">
        <f>Table2[[#This Row],[Quantity]]*Table2[[#This Row],[Item_Price]]</f>
        <v>1406</v>
      </c>
    </row>
    <row r="643" spans="1:23" x14ac:dyDescent="0.25">
      <c r="A643" t="s">
        <v>738</v>
      </c>
      <c r="B643" s="1">
        <v>45705</v>
      </c>
      <c r="C643" t="s">
        <v>517</v>
      </c>
      <c r="D643">
        <v>2</v>
      </c>
      <c r="E643">
        <v>17</v>
      </c>
      <c r="F643" t="s">
        <v>168</v>
      </c>
      <c r="G643" t="s">
        <v>55</v>
      </c>
      <c r="H643" t="s">
        <v>77</v>
      </c>
      <c r="I643" t="s">
        <v>103</v>
      </c>
      <c r="J643" t="s">
        <v>44</v>
      </c>
      <c r="K643" t="s">
        <v>58</v>
      </c>
      <c r="L643">
        <v>2</v>
      </c>
      <c r="M643">
        <v>723</v>
      </c>
      <c r="N643">
        <v>72.3</v>
      </c>
      <c r="O643">
        <v>60</v>
      </c>
      <c r="P643">
        <v>1446</v>
      </c>
      <c r="Q643">
        <v>1433.7</v>
      </c>
      <c r="R643" t="s">
        <v>112</v>
      </c>
      <c r="S643" t="s">
        <v>31</v>
      </c>
      <c r="T643" t="s">
        <v>40</v>
      </c>
      <c r="U643">
        <v>29</v>
      </c>
      <c r="V643">
        <v>3.9</v>
      </c>
      <c r="W643">
        <f>Table2[[#This Row],[Quantity]]*Table2[[#This Row],[Item_Price]]</f>
        <v>1446</v>
      </c>
    </row>
    <row r="644" spans="1:23" x14ac:dyDescent="0.25">
      <c r="A644" t="s">
        <v>739</v>
      </c>
      <c r="B644" s="1">
        <v>45705</v>
      </c>
      <c r="C644" t="s">
        <v>517</v>
      </c>
      <c r="D644">
        <v>2</v>
      </c>
      <c r="E644">
        <v>17</v>
      </c>
      <c r="F644" t="s">
        <v>168</v>
      </c>
      <c r="G644" t="s">
        <v>73</v>
      </c>
      <c r="H644" t="s">
        <v>35</v>
      </c>
      <c r="I644" t="s">
        <v>69</v>
      </c>
      <c r="J644" t="s">
        <v>66</v>
      </c>
      <c r="K644" t="s">
        <v>38</v>
      </c>
      <c r="L644">
        <v>1</v>
      </c>
      <c r="M644">
        <v>636</v>
      </c>
      <c r="N644">
        <v>159</v>
      </c>
      <c r="O644">
        <v>20</v>
      </c>
      <c r="P644">
        <v>636</v>
      </c>
      <c r="Q644">
        <v>497</v>
      </c>
      <c r="R644" t="s">
        <v>39</v>
      </c>
      <c r="S644" t="s">
        <v>31</v>
      </c>
      <c r="T644" t="s">
        <v>40</v>
      </c>
      <c r="U644">
        <v>29</v>
      </c>
      <c r="V644">
        <v>3.6</v>
      </c>
      <c r="W644">
        <f>Table2[[#This Row],[Quantity]]*Table2[[#This Row],[Item_Price]]</f>
        <v>636</v>
      </c>
    </row>
    <row r="645" spans="1:23" x14ac:dyDescent="0.25">
      <c r="A645" t="s">
        <v>740</v>
      </c>
      <c r="B645" s="1">
        <v>45705</v>
      </c>
      <c r="C645" t="s">
        <v>517</v>
      </c>
      <c r="D645">
        <v>2</v>
      </c>
      <c r="E645">
        <v>17</v>
      </c>
      <c r="F645" t="s">
        <v>168</v>
      </c>
      <c r="G645" t="s">
        <v>34</v>
      </c>
      <c r="H645" t="s">
        <v>65</v>
      </c>
      <c r="I645" t="s">
        <v>36</v>
      </c>
      <c r="J645" t="s">
        <v>101</v>
      </c>
      <c r="K645" t="s">
        <v>38</v>
      </c>
      <c r="L645">
        <v>2</v>
      </c>
      <c r="M645">
        <v>251</v>
      </c>
      <c r="N645">
        <v>25.1</v>
      </c>
      <c r="O645">
        <v>50</v>
      </c>
      <c r="P645">
        <v>502</v>
      </c>
      <c r="Q645">
        <v>526.9</v>
      </c>
      <c r="R645" t="s">
        <v>112</v>
      </c>
      <c r="S645" t="s">
        <v>31</v>
      </c>
      <c r="T645" t="s">
        <v>40</v>
      </c>
      <c r="U645">
        <v>23</v>
      </c>
      <c r="V645">
        <v>3.7</v>
      </c>
      <c r="W645">
        <f>Table2[[#This Row],[Quantity]]*Table2[[#This Row],[Item_Price]]</f>
        <v>502</v>
      </c>
    </row>
    <row r="646" spans="1:23" x14ac:dyDescent="0.25">
      <c r="A646" t="s">
        <v>741</v>
      </c>
      <c r="B646" s="1">
        <v>45705</v>
      </c>
      <c r="C646" t="s">
        <v>517</v>
      </c>
      <c r="D646">
        <v>2</v>
      </c>
      <c r="E646">
        <v>17</v>
      </c>
      <c r="F646" t="s">
        <v>168</v>
      </c>
      <c r="G646" t="s">
        <v>34</v>
      </c>
      <c r="H646" t="s">
        <v>139</v>
      </c>
      <c r="I646" t="s">
        <v>43</v>
      </c>
      <c r="J646" t="s">
        <v>119</v>
      </c>
      <c r="K646" t="s">
        <v>38</v>
      </c>
      <c r="L646">
        <v>3</v>
      </c>
      <c r="M646">
        <v>762</v>
      </c>
      <c r="N646">
        <v>0</v>
      </c>
      <c r="O646">
        <v>50</v>
      </c>
      <c r="P646">
        <v>2286</v>
      </c>
      <c r="Q646">
        <v>2336</v>
      </c>
      <c r="R646" t="s">
        <v>112</v>
      </c>
      <c r="S646" t="s">
        <v>31</v>
      </c>
      <c r="T646" t="s">
        <v>40</v>
      </c>
      <c r="U646">
        <v>69</v>
      </c>
      <c r="V646">
        <v>3.9</v>
      </c>
      <c r="W646">
        <f>Table2[[#This Row],[Quantity]]*Table2[[#This Row],[Item_Price]]</f>
        <v>2286</v>
      </c>
    </row>
    <row r="647" spans="1:23" x14ac:dyDescent="0.25">
      <c r="A647" t="s">
        <v>742</v>
      </c>
      <c r="B647" s="1">
        <v>45705</v>
      </c>
      <c r="C647" t="s">
        <v>517</v>
      </c>
      <c r="D647">
        <v>2</v>
      </c>
      <c r="E647">
        <v>17</v>
      </c>
      <c r="F647" t="s">
        <v>168</v>
      </c>
      <c r="G647" t="s">
        <v>84</v>
      </c>
      <c r="H647" t="s">
        <v>108</v>
      </c>
      <c r="I647" t="s">
        <v>103</v>
      </c>
      <c r="J647" t="s">
        <v>53</v>
      </c>
      <c r="K647" t="s">
        <v>38</v>
      </c>
      <c r="L647">
        <v>1</v>
      </c>
      <c r="M647">
        <v>462</v>
      </c>
      <c r="N647">
        <v>69.3</v>
      </c>
      <c r="O647">
        <v>70</v>
      </c>
      <c r="P647">
        <v>462</v>
      </c>
      <c r="Q647">
        <v>462.7</v>
      </c>
      <c r="R647" t="s">
        <v>98</v>
      </c>
      <c r="S647" t="s">
        <v>110</v>
      </c>
      <c r="T647" t="s">
        <v>40</v>
      </c>
      <c r="U647">
        <v>53</v>
      </c>
      <c r="W647">
        <f>Table2[[#This Row],[Quantity]]*Table2[[#This Row],[Item_Price]]</f>
        <v>462</v>
      </c>
    </row>
    <row r="648" spans="1:23" x14ac:dyDescent="0.25">
      <c r="A648" t="s">
        <v>743</v>
      </c>
      <c r="B648" s="1">
        <v>45705</v>
      </c>
      <c r="C648" t="s">
        <v>517</v>
      </c>
      <c r="D648">
        <v>2</v>
      </c>
      <c r="E648">
        <v>17</v>
      </c>
      <c r="F648" t="s">
        <v>168</v>
      </c>
      <c r="G648" t="s">
        <v>25</v>
      </c>
      <c r="H648" t="s">
        <v>68</v>
      </c>
      <c r="I648" t="s">
        <v>69</v>
      </c>
      <c r="J648" t="s">
        <v>123</v>
      </c>
      <c r="K648" t="s">
        <v>58</v>
      </c>
      <c r="L648">
        <v>2</v>
      </c>
      <c r="M648">
        <v>579</v>
      </c>
      <c r="N648">
        <v>86.85</v>
      </c>
      <c r="O648">
        <v>30</v>
      </c>
      <c r="P648">
        <v>1158</v>
      </c>
      <c r="Q648">
        <v>1101.1500000000001</v>
      </c>
      <c r="R648" t="s">
        <v>98</v>
      </c>
      <c r="S648" t="s">
        <v>31</v>
      </c>
      <c r="T648" t="s">
        <v>40</v>
      </c>
      <c r="U648">
        <v>43</v>
      </c>
      <c r="V648">
        <v>3.2</v>
      </c>
      <c r="W648">
        <f>Table2[[#This Row],[Quantity]]*Table2[[#This Row],[Item_Price]]</f>
        <v>1158</v>
      </c>
    </row>
    <row r="649" spans="1:23" x14ac:dyDescent="0.25">
      <c r="A649" t="s">
        <v>744</v>
      </c>
      <c r="B649" s="1">
        <v>45705</v>
      </c>
      <c r="C649" t="s">
        <v>517</v>
      </c>
      <c r="D649">
        <v>2</v>
      </c>
      <c r="E649">
        <v>17</v>
      </c>
      <c r="F649" t="s">
        <v>168</v>
      </c>
      <c r="G649" t="s">
        <v>55</v>
      </c>
      <c r="H649" t="s">
        <v>108</v>
      </c>
      <c r="I649" t="s">
        <v>61</v>
      </c>
      <c r="J649" t="s">
        <v>70</v>
      </c>
      <c r="K649" t="s">
        <v>38</v>
      </c>
      <c r="L649">
        <v>3</v>
      </c>
      <c r="M649">
        <v>627</v>
      </c>
      <c r="N649">
        <v>94.05</v>
      </c>
      <c r="O649">
        <v>40</v>
      </c>
      <c r="P649">
        <v>1881</v>
      </c>
      <c r="Q649">
        <v>1826.95</v>
      </c>
      <c r="R649" t="s">
        <v>39</v>
      </c>
      <c r="S649" t="s">
        <v>31</v>
      </c>
      <c r="T649" t="s">
        <v>40</v>
      </c>
      <c r="U649">
        <v>28</v>
      </c>
      <c r="V649">
        <v>4.3</v>
      </c>
      <c r="W649">
        <f>Table2[[#This Row],[Quantity]]*Table2[[#This Row],[Item_Price]]</f>
        <v>1881</v>
      </c>
    </row>
    <row r="650" spans="1:23" x14ac:dyDescent="0.25">
      <c r="A650" t="s">
        <v>745</v>
      </c>
      <c r="B650" s="1">
        <v>45705</v>
      </c>
      <c r="C650" t="s">
        <v>517</v>
      </c>
      <c r="D650">
        <v>2</v>
      </c>
      <c r="E650">
        <v>17</v>
      </c>
      <c r="F650" t="s">
        <v>168</v>
      </c>
      <c r="G650" t="s">
        <v>80</v>
      </c>
      <c r="H650" t="s">
        <v>135</v>
      </c>
      <c r="I650" t="s">
        <v>49</v>
      </c>
      <c r="J650" t="s">
        <v>119</v>
      </c>
      <c r="K650" t="s">
        <v>45</v>
      </c>
      <c r="L650">
        <v>1</v>
      </c>
      <c r="M650">
        <v>143</v>
      </c>
      <c r="N650">
        <v>21.45</v>
      </c>
      <c r="O650">
        <v>60</v>
      </c>
      <c r="P650">
        <v>143</v>
      </c>
      <c r="Q650">
        <v>181.55</v>
      </c>
      <c r="R650" t="s">
        <v>98</v>
      </c>
      <c r="S650" t="s">
        <v>91</v>
      </c>
      <c r="T650" t="s">
        <v>32</v>
      </c>
      <c r="U650">
        <v>46</v>
      </c>
      <c r="W650">
        <f>Table2[[#This Row],[Quantity]]*Table2[[#This Row],[Item_Price]]</f>
        <v>143</v>
      </c>
    </row>
    <row r="651" spans="1:23" x14ac:dyDescent="0.25">
      <c r="A651" t="s">
        <v>746</v>
      </c>
      <c r="B651" s="1">
        <v>45705</v>
      </c>
      <c r="C651" t="s">
        <v>517</v>
      </c>
      <c r="D651">
        <v>2</v>
      </c>
      <c r="E651">
        <v>17</v>
      </c>
      <c r="F651" t="s">
        <v>168</v>
      </c>
      <c r="G651" t="s">
        <v>80</v>
      </c>
      <c r="H651" t="s">
        <v>42</v>
      </c>
      <c r="I651" t="s">
        <v>27</v>
      </c>
      <c r="J651" t="s">
        <v>123</v>
      </c>
      <c r="K651" t="s">
        <v>29</v>
      </c>
      <c r="L651">
        <v>1</v>
      </c>
      <c r="M651">
        <v>403</v>
      </c>
      <c r="N651">
        <v>60.45</v>
      </c>
      <c r="O651">
        <v>20</v>
      </c>
      <c r="P651">
        <v>403</v>
      </c>
      <c r="Q651">
        <v>362.55</v>
      </c>
      <c r="R651" t="s">
        <v>39</v>
      </c>
      <c r="S651" t="s">
        <v>31</v>
      </c>
      <c r="T651" t="s">
        <v>40</v>
      </c>
      <c r="U651">
        <v>54</v>
      </c>
      <c r="V651">
        <v>4.5</v>
      </c>
      <c r="W651">
        <f>Table2[[#This Row],[Quantity]]*Table2[[#This Row],[Item_Price]]</f>
        <v>403</v>
      </c>
    </row>
    <row r="652" spans="1:23" x14ac:dyDescent="0.25">
      <c r="A652" t="s">
        <v>747</v>
      </c>
      <c r="B652" s="1">
        <v>45705</v>
      </c>
      <c r="C652" t="s">
        <v>517</v>
      </c>
      <c r="D652">
        <v>2</v>
      </c>
      <c r="E652">
        <v>17</v>
      </c>
      <c r="F652" t="s">
        <v>168</v>
      </c>
      <c r="G652" t="s">
        <v>80</v>
      </c>
      <c r="H652" t="s">
        <v>68</v>
      </c>
      <c r="I652" t="s">
        <v>85</v>
      </c>
      <c r="J652" t="s">
        <v>70</v>
      </c>
      <c r="K652" t="s">
        <v>38</v>
      </c>
      <c r="L652">
        <v>1</v>
      </c>
      <c r="M652">
        <v>845</v>
      </c>
      <c r="N652">
        <v>84.5</v>
      </c>
      <c r="O652">
        <v>40</v>
      </c>
      <c r="P652">
        <v>845</v>
      </c>
      <c r="Q652">
        <v>800.5</v>
      </c>
      <c r="R652" t="s">
        <v>98</v>
      </c>
      <c r="S652" t="s">
        <v>31</v>
      </c>
      <c r="T652" t="s">
        <v>40</v>
      </c>
      <c r="U652">
        <v>54</v>
      </c>
      <c r="V652">
        <v>5</v>
      </c>
      <c r="W652">
        <f>Table2[[#This Row],[Quantity]]*Table2[[#This Row],[Item_Price]]</f>
        <v>845</v>
      </c>
    </row>
    <row r="653" spans="1:23" x14ac:dyDescent="0.25">
      <c r="A653" t="s">
        <v>748</v>
      </c>
      <c r="B653" s="1">
        <v>45705</v>
      </c>
      <c r="C653" t="s">
        <v>517</v>
      </c>
      <c r="D653">
        <v>2</v>
      </c>
      <c r="E653">
        <v>17</v>
      </c>
      <c r="F653" t="s">
        <v>168</v>
      </c>
      <c r="G653" t="s">
        <v>34</v>
      </c>
      <c r="H653" t="s">
        <v>48</v>
      </c>
      <c r="I653" t="s">
        <v>85</v>
      </c>
      <c r="J653" t="s">
        <v>123</v>
      </c>
      <c r="K653" t="s">
        <v>58</v>
      </c>
      <c r="L653">
        <v>2</v>
      </c>
      <c r="M653">
        <v>693</v>
      </c>
      <c r="N653">
        <v>34.65</v>
      </c>
      <c r="O653">
        <v>20</v>
      </c>
      <c r="P653">
        <v>1386</v>
      </c>
      <c r="Q653">
        <v>1371.35</v>
      </c>
      <c r="R653" t="s">
        <v>39</v>
      </c>
      <c r="S653" t="s">
        <v>31</v>
      </c>
      <c r="T653" t="s">
        <v>40</v>
      </c>
      <c r="U653">
        <v>48</v>
      </c>
      <c r="V653">
        <v>4</v>
      </c>
      <c r="W653">
        <f>Table2[[#This Row],[Quantity]]*Table2[[#This Row],[Item_Price]]</f>
        <v>1386</v>
      </c>
    </row>
    <row r="654" spans="1:23" x14ac:dyDescent="0.25">
      <c r="A654" t="s">
        <v>749</v>
      </c>
      <c r="B654" s="1">
        <v>45706</v>
      </c>
      <c r="C654" t="s">
        <v>517</v>
      </c>
      <c r="D654">
        <v>2</v>
      </c>
      <c r="E654">
        <v>18</v>
      </c>
      <c r="F654" t="s">
        <v>178</v>
      </c>
      <c r="G654" t="s">
        <v>80</v>
      </c>
      <c r="H654" t="s">
        <v>135</v>
      </c>
      <c r="I654" t="s">
        <v>103</v>
      </c>
      <c r="J654" t="s">
        <v>78</v>
      </c>
      <c r="K654" t="s">
        <v>58</v>
      </c>
      <c r="L654">
        <v>1</v>
      </c>
      <c r="M654">
        <v>336</v>
      </c>
      <c r="N654">
        <v>0</v>
      </c>
      <c r="O654">
        <v>20</v>
      </c>
      <c r="P654">
        <v>336</v>
      </c>
      <c r="Q654">
        <v>356</v>
      </c>
      <c r="R654" t="s">
        <v>98</v>
      </c>
      <c r="S654" t="s">
        <v>31</v>
      </c>
      <c r="T654" t="s">
        <v>40</v>
      </c>
      <c r="U654">
        <v>47</v>
      </c>
      <c r="V654">
        <v>3.3</v>
      </c>
      <c r="W654">
        <f>Table2[[#This Row],[Quantity]]*Table2[[#This Row],[Item_Price]]</f>
        <v>336</v>
      </c>
    </row>
    <row r="655" spans="1:23" x14ac:dyDescent="0.25">
      <c r="A655" t="s">
        <v>750</v>
      </c>
      <c r="B655" s="1">
        <v>45706</v>
      </c>
      <c r="C655" t="s">
        <v>517</v>
      </c>
      <c r="D655">
        <v>2</v>
      </c>
      <c r="E655">
        <v>18</v>
      </c>
      <c r="F655" t="s">
        <v>178</v>
      </c>
      <c r="G655" t="s">
        <v>80</v>
      </c>
      <c r="H655" t="s">
        <v>139</v>
      </c>
      <c r="I655" t="s">
        <v>36</v>
      </c>
      <c r="J655" t="s">
        <v>82</v>
      </c>
      <c r="K655" t="s">
        <v>38</v>
      </c>
      <c r="L655">
        <v>2</v>
      </c>
      <c r="M655">
        <v>846</v>
      </c>
      <c r="N655">
        <v>211.5</v>
      </c>
      <c r="O655">
        <v>20</v>
      </c>
      <c r="P655">
        <v>1692</v>
      </c>
      <c r="Q655">
        <v>1500.5</v>
      </c>
      <c r="R655" t="s">
        <v>98</v>
      </c>
      <c r="S655" t="s">
        <v>31</v>
      </c>
      <c r="T655" t="s">
        <v>40</v>
      </c>
      <c r="U655">
        <v>60</v>
      </c>
      <c r="V655">
        <v>3.9</v>
      </c>
      <c r="W655">
        <f>Table2[[#This Row],[Quantity]]*Table2[[#This Row],[Item_Price]]</f>
        <v>1692</v>
      </c>
    </row>
    <row r="656" spans="1:23" x14ac:dyDescent="0.25">
      <c r="A656" t="s">
        <v>751</v>
      </c>
      <c r="B656" s="1">
        <v>45706</v>
      </c>
      <c r="C656" t="s">
        <v>517</v>
      </c>
      <c r="D656">
        <v>2</v>
      </c>
      <c r="E656">
        <v>18</v>
      </c>
      <c r="F656" t="s">
        <v>178</v>
      </c>
      <c r="G656" t="s">
        <v>73</v>
      </c>
      <c r="H656" t="s">
        <v>108</v>
      </c>
      <c r="I656" t="s">
        <v>57</v>
      </c>
      <c r="J656" t="s">
        <v>37</v>
      </c>
      <c r="K656" t="s">
        <v>38</v>
      </c>
      <c r="L656">
        <v>2</v>
      </c>
      <c r="M656">
        <v>746</v>
      </c>
      <c r="N656">
        <v>149.19999999999999</v>
      </c>
      <c r="O656">
        <v>60</v>
      </c>
      <c r="P656">
        <v>1492</v>
      </c>
      <c r="Q656">
        <v>1402.8</v>
      </c>
      <c r="R656" t="s">
        <v>98</v>
      </c>
      <c r="S656" t="s">
        <v>31</v>
      </c>
      <c r="T656" t="s">
        <v>40</v>
      </c>
      <c r="U656">
        <v>68</v>
      </c>
      <c r="V656">
        <v>4.3</v>
      </c>
      <c r="W656">
        <f>Table2[[#This Row],[Quantity]]*Table2[[#This Row],[Item_Price]]</f>
        <v>1492</v>
      </c>
    </row>
    <row r="657" spans="1:23" x14ac:dyDescent="0.25">
      <c r="A657" t="s">
        <v>752</v>
      </c>
      <c r="B657" s="1">
        <v>45706</v>
      </c>
      <c r="C657" t="s">
        <v>517</v>
      </c>
      <c r="D657">
        <v>2</v>
      </c>
      <c r="E657">
        <v>18</v>
      </c>
      <c r="F657" t="s">
        <v>178</v>
      </c>
      <c r="G657" t="s">
        <v>64</v>
      </c>
      <c r="H657" t="s">
        <v>108</v>
      </c>
      <c r="I657" t="s">
        <v>27</v>
      </c>
      <c r="J657" t="s">
        <v>53</v>
      </c>
      <c r="K657" t="s">
        <v>38</v>
      </c>
      <c r="L657">
        <v>2</v>
      </c>
      <c r="M657">
        <v>739</v>
      </c>
      <c r="N657">
        <v>110.85</v>
      </c>
      <c r="O657">
        <v>20</v>
      </c>
      <c r="P657">
        <v>1478</v>
      </c>
      <c r="Q657">
        <v>1387.15</v>
      </c>
      <c r="R657" t="s">
        <v>75</v>
      </c>
      <c r="S657" t="s">
        <v>31</v>
      </c>
      <c r="T657" t="s">
        <v>32</v>
      </c>
      <c r="U657">
        <v>26</v>
      </c>
      <c r="V657">
        <v>4.4000000000000004</v>
      </c>
      <c r="W657">
        <f>Table2[[#This Row],[Quantity]]*Table2[[#This Row],[Item_Price]]</f>
        <v>1478</v>
      </c>
    </row>
    <row r="658" spans="1:23" x14ac:dyDescent="0.25">
      <c r="A658" t="s">
        <v>753</v>
      </c>
      <c r="B658" s="1">
        <v>45706</v>
      </c>
      <c r="C658" t="s">
        <v>517</v>
      </c>
      <c r="D658">
        <v>2</v>
      </c>
      <c r="E658">
        <v>18</v>
      </c>
      <c r="F658" t="s">
        <v>178</v>
      </c>
      <c r="G658" t="s">
        <v>34</v>
      </c>
      <c r="H658" t="s">
        <v>135</v>
      </c>
      <c r="I658" t="s">
        <v>36</v>
      </c>
      <c r="J658" t="s">
        <v>78</v>
      </c>
      <c r="K658" t="s">
        <v>45</v>
      </c>
      <c r="L658">
        <v>2</v>
      </c>
      <c r="M658">
        <v>813</v>
      </c>
      <c r="N658">
        <v>81.3</v>
      </c>
      <c r="O658">
        <v>20</v>
      </c>
      <c r="P658">
        <v>1626</v>
      </c>
      <c r="Q658">
        <v>1564.7</v>
      </c>
      <c r="R658" t="s">
        <v>75</v>
      </c>
      <c r="S658" t="s">
        <v>31</v>
      </c>
      <c r="T658" t="s">
        <v>32</v>
      </c>
      <c r="U658">
        <v>59</v>
      </c>
      <c r="V658">
        <v>3.5</v>
      </c>
      <c r="W658">
        <f>Table2[[#This Row],[Quantity]]*Table2[[#This Row],[Item_Price]]</f>
        <v>1626</v>
      </c>
    </row>
    <row r="659" spans="1:23" x14ac:dyDescent="0.25">
      <c r="A659" t="s">
        <v>754</v>
      </c>
      <c r="B659" s="1">
        <v>45706</v>
      </c>
      <c r="C659" t="s">
        <v>517</v>
      </c>
      <c r="D659">
        <v>2</v>
      </c>
      <c r="E659">
        <v>18</v>
      </c>
      <c r="F659" t="s">
        <v>178</v>
      </c>
      <c r="G659" t="s">
        <v>25</v>
      </c>
      <c r="H659" t="s">
        <v>77</v>
      </c>
      <c r="I659" t="s">
        <v>36</v>
      </c>
      <c r="J659" t="s">
        <v>66</v>
      </c>
      <c r="K659" t="s">
        <v>45</v>
      </c>
      <c r="L659">
        <v>1</v>
      </c>
      <c r="M659">
        <v>190</v>
      </c>
      <c r="N659">
        <v>47.5</v>
      </c>
      <c r="O659">
        <v>60</v>
      </c>
      <c r="P659">
        <v>190</v>
      </c>
      <c r="Q659">
        <v>202.5</v>
      </c>
      <c r="R659" t="s">
        <v>30</v>
      </c>
      <c r="S659" t="s">
        <v>91</v>
      </c>
      <c r="T659" t="s">
        <v>40</v>
      </c>
      <c r="U659">
        <v>56</v>
      </c>
      <c r="W659">
        <f>Table2[[#This Row],[Quantity]]*Table2[[#This Row],[Item_Price]]</f>
        <v>190</v>
      </c>
    </row>
    <row r="660" spans="1:23" x14ac:dyDescent="0.25">
      <c r="A660" t="s">
        <v>755</v>
      </c>
      <c r="B660" s="1">
        <v>45706</v>
      </c>
      <c r="C660" t="s">
        <v>517</v>
      </c>
      <c r="D660">
        <v>2</v>
      </c>
      <c r="E660">
        <v>18</v>
      </c>
      <c r="F660" t="s">
        <v>178</v>
      </c>
      <c r="G660" t="s">
        <v>25</v>
      </c>
      <c r="H660" t="s">
        <v>52</v>
      </c>
      <c r="I660" t="s">
        <v>57</v>
      </c>
      <c r="J660" t="s">
        <v>82</v>
      </c>
      <c r="K660" t="s">
        <v>38</v>
      </c>
      <c r="L660">
        <v>2</v>
      </c>
      <c r="M660">
        <v>507</v>
      </c>
      <c r="N660">
        <v>76.05</v>
      </c>
      <c r="O660">
        <v>20</v>
      </c>
      <c r="P660">
        <v>1014</v>
      </c>
      <c r="Q660">
        <v>957.95</v>
      </c>
      <c r="R660" t="s">
        <v>112</v>
      </c>
      <c r="S660" t="s">
        <v>91</v>
      </c>
      <c r="T660" t="s">
        <v>40</v>
      </c>
      <c r="U660">
        <v>28</v>
      </c>
      <c r="W660">
        <f>Table2[[#This Row],[Quantity]]*Table2[[#This Row],[Item_Price]]</f>
        <v>1014</v>
      </c>
    </row>
    <row r="661" spans="1:23" x14ac:dyDescent="0.25">
      <c r="A661" t="s">
        <v>756</v>
      </c>
      <c r="B661" s="1">
        <v>45706</v>
      </c>
      <c r="C661" t="s">
        <v>517</v>
      </c>
      <c r="D661">
        <v>2</v>
      </c>
      <c r="E661">
        <v>18</v>
      </c>
      <c r="F661" t="s">
        <v>178</v>
      </c>
      <c r="G661" t="s">
        <v>73</v>
      </c>
      <c r="H661" t="s">
        <v>77</v>
      </c>
      <c r="I661" t="s">
        <v>97</v>
      </c>
      <c r="J661" t="s">
        <v>28</v>
      </c>
      <c r="K661" t="s">
        <v>38</v>
      </c>
      <c r="L661">
        <v>2</v>
      </c>
      <c r="M661">
        <v>390</v>
      </c>
      <c r="N661">
        <v>19.5</v>
      </c>
      <c r="O661">
        <v>0</v>
      </c>
      <c r="P661">
        <v>780</v>
      </c>
      <c r="Q661">
        <v>760.5</v>
      </c>
      <c r="R661" t="s">
        <v>39</v>
      </c>
      <c r="S661" t="s">
        <v>31</v>
      </c>
      <c r="T661" t="s">
        <v>40</v>
      </c>
      <c r="U661">
        <v>66</v>
      </c>
      <c r="V661">
        <v>4</v>
      </c>
      <c r="W661">
        <f>Table2[[#This Row],[Quantity]]*Table2[[#This Row],[Item_Price]]</f>
        <v>780</v>
      </c>
    </row>
    <row r="662" spans="1:23" x14ac:dyDescent="0.25">
      <c r="A662" t="s">
        <v>757</v>
      </c>
      <c r="B662" s="1">
        <v>45706</v>
      </c>
      <c r="C662" t="s">
        <v>517</v>
      </c>
      <c r="D662">
        <v>2</v>
      </c>
      <c r="E662">
        <v>18</v>
      </c>
      <c r="F662" t="s">
        <v>178</v>
      </c>
      <c r="G662" t="s">
        <v>80</v>
      </c>
      <c r="H662" t="s">
        <v>68</v>
      </c>
      <c r="I662" t="s">
        <v>103</v>
      </c>
      <c r="J662" t="s">
        <v>28</v>
      </c>
      <c r="K662" t="s">
        <v>45</v>
      </c>
      <c r="L662">
        <v>1</v>
      </c>
      <c r="M662">
        <v>490</v>
      </c>
      <c r="N662">
        <v>49</v>
      </c>
      <c r="O662">
        <v>50</v>
      </c>
      <c r="P662">
        <v>490</v>
      </c>
      <c r="Q662">
        <v>491</v>
      </c>
      <c r="R662" t="s">
        <v>75</v>
      </c>
      <c r="S662" t="s">
        <v>31</v>
      </c>
      <c r="T662" t="s">
        <v>32</v>
      </c>
      <c r="U662">
        <v>50</v>
      </c>
      <c r="V662">
        <v>3.6</v>
      </c>
      <c r="W662">
        <f>Table2[[#This Row],[Quantity]]*Table2[[#This Row],[Item_Price]]</f>
        <v>490</v>
      </c>
    </row>
    <row r="663" spans="1:23" x14ac:dyDescent="0.25">
      <c r="A663" t="s">
        <v>758</v>
      </c>
      <c r="B663" s="1">
        <v>45706</v>
      </c>
      <c r="C663" t="s">
        <v>517</v>
      </c>
      <c r="D663">
        <v>2</v>
      </c>
      <c r="E663">
        <v>18</v>
      </c>
      <c r="F663" t="s">
        <v>178</v>
      </c>
      <c r="G663" t="s">
        <v>34</v>
      </c>
      <c r="H663" t="s">
        <v>42</v>
      </c>
      <c r="I663" t="s">
        <v>36</v>
      </c>
      <c r="J663" t="s">
        <v>28</v>
      </c>
      <c r="K663" t="s">
        <v>29</v>
      </c>
      <c r="L663">
        <v>2</v>
      </c>
      <c r="M663">
        <v>605</v>
      </c>
      <c r="N663">
        <v>121</v>
      </c>
      <c r="O663">
        <v>50</v>
      </c>
      <c r="P663">
        <v>1210</v>
      </c>
      <c r="Q663">
        <v>1139</v>
      </c>
      <c r="R663" t="s">
        <v>39</v>
      </c>
      <c r="S663" t="s">
        <v>31</v>
      </c>
      <c r="T663" t="s">
        <v>32</v>
      </c>
      <c r="U663">
        <v>25</v>
      </c>
      <c r="V663">
        <v>4.0999999999999996</v>
      </c>
      <c r="W663">
        <f>Table2[[#This Row],[Quantity]]*Table2[[#This Row],[Item_Price]]</f>
        <v>1210</v>
      </c>
    </row>
    <row r="664" spans="1:23" x14ac:dyDescent="0.25">
      <c r="A664" t="s">
        <v>759</v>
      </c>
      <c r="B664" s="1">
        <v>45706</v>
      </c>
      <c r="C664" t="s">
        <v>517</v>
      </c>
      <c r="D664">
        <v>2</v>
      </c>
      <c r="E664">
        <v>18</v>
      </c>
      <c r="F664" t="s">
        <v>178</v>
      </c>
      <c r="G664" t="s">
        <v>25</v>
      </c>
      <c r="H664" t="s">
        <v>52</v>
      </c>
      <c r="I664" t="s">
        <v>49</v>
      </c>
      <c r="J664" t="s">
        <v>50</v>
      </c>
      <c r="K664" t="s">
        <v>38</v>
      </c>
      <c r="L664">
        <v>1</v>
      </c>
      <c r="M664">
        <v>898</v>
      </c>
      <c r="N664">
        <v>89.8</v>
      </c>
      <c r="O664">
        <v>20</v>
      </c>
      <c r="P664">
        <v>898</v>
      </c>
      <c r="Q664">
        <v>828.2</v>
      </c>
      <c r="R664" t="s">
        <v>39</v>
      </c>
      <c r="S664" t="s">
        <v>31</v>
      </c>
      <c r="T664" t="s">
        <v>32</v>
      </c>
      <c r="U664">
        <v>31</v>
      </c>
      <c r="V664">
        <v>5</v>
      </c>
      <c r="W664">
        <f>Table2[[#This Row],[Quantity]]*Table2[[#This Row],[Item_Price]]</f>
        <v>898</v>
      </c>
    </row>
    <row r="665" spans="1:23" x14ac:dyDescent="0.25">
      <c r="A665" t="s">
        <v>760</v>
      </c>
      <c r="B665" s="1">
        <v>45706</v>
      </c>
      <c r="C665" t="s">
        <v>517</v>
      </c>
      <c r="D665">
        <v>2</v>
      </c>
      <c r="E665">
        <v>18</v>
      </c>
      <c r="F665" t="s">
        <v>178</v>
      </c>
      <c r="G665" t="s">
        <v>64</v>
      </c>
      <c r="H665" t="s">
        <v>108</v>
      </c>
      <c r="I665" t="s">
        <v>69</v>
      </c>
      <c r="J665" t="s">
        <v>119</v>
      </c>
      <c r="K665" t="s">
        <v>38</v>
      </c>
      <c r="L665">
        <v>1</v>
      </c>
      <c r="M665">
        <v>263</v>
      </c>
      <c r="N665">
        <v>26.3</v>
      </c>
      <c r="O665">
        <v>40</v>
      </c>
      <c r="P665">
        <v>263</v>
      </c>
      <c r="Q665">
        <v>276.7</v>
      </c>
      <c r="R665" t="s">
        <v>75</v>
      </c>
      <c r="S665" t="s">
        <v>31</v>
      </c>
      <c r="T665" t="s">
        <v>40</v>
      </c>
      <c r="U665">
        <v>49</v>
      </c>
      <c r="V665">
        <v>4.0999999999999996</v>
      </c>
      <c r="W665">
        <f>Table2[[#This Row],[Quantity]]*Table2[[#This Row],[Item_Price]]</f>
        <v>263</v>
      </c>
    </row>
    <row r="666" spans="1:23" x14ac:dyDescent="0.25">
      <c r="A666" t="s">
        <v>761</v>
      </c>
      <c r="B666" s="1">
        <v>45706</v>
      </c>
      <c r="C666" t="s">
        <v>517</v>
      </c>
      <c r="D666">
        <v>2</v>
      </c>
      <c r="E666">
        <v>18</v>
      </c>
      <c r="F666" t="s">
        <v>178</v>
      </c>
      <c r="G666" t="s">
        <v>80</v>
      </c>
      <c r="H666" t="s">
        <v>42</v>
      </c>
      <c r="I666" t="s">
        <v>36</v>
      </c>
      <c r="J666" t="s">
        <v>66</v>
      </c>
      <c r="K666" t="s">
        <v>45</v>
      </c>
      <c r="L666">
        <v>1</v>
      </c>
      <c r="M666">
        <v>514</v>
      </c>
      <c r="N666">
        <v>25.7</v>
      </c>
      <c r="O666">
        <v>50</v>
      </c>
      <c r="P666">
        <v>514</v>
      </c>
      <c r="Q666">
        <v>538.29999999999995</v>
      </c>
      <c r="R666" t="s">
        <v>39</v>
      </c>
      <c r="S666" t="s">
        <v>31</v>
      </c>
      <c r="T666" t="s">
        <v>40</v>
      </c>
      <c r="U666">
        <v>36</v>
      </c>
      <c r="V666">
        <v>4.8</v>
      </c>
      <c r="W666">
        <f>Table2[[#This Row],[Quantity]]*Table2[[#This Row],[Item_Price]]</f>
        <v>514</v>
      </c>
    </row>
    <row r="667" spans="1:23" x14ac:dyDescent="0.25">
      <c r="A667" t="s">
        <v>762</v>
      </c>
      <c r="B667" s="1">
        <v>45706</v>
      </c>
      <c r="C667" t="s">
        <v>517</v>
      </c>
      <c r="D667">
        <v>2</v>
      </c>
      <c r="E667">
        <v>18</v>
      </c>
      <c r="F667" t="s">
        <v>178</v>
      </c>
      <c r="G667" t="s">
        <v>64</v>
      </c>
      <c r="H667" t="s">
        <v>65</v>
      </c>
      <c r="I667" t="s">
        <v>97</v>
      </c>
      <c r="J667" t="s">
        <v>82</v>
      </c>
      <c r="K667" t="s">
        <v>29</v>
      </c>
      <c r="L667">
        <v>1</v>
      </c>
      <c r="M667">
        <v>887</v>
      </c>
      <c r="N667">
        <v>221.75</v>
      </c>
      <c r="O667">
        <v>60</v>
      </c>
      <c r="P667">
        <v>887</v>
      </c>
      <c r="Q667">
        <v>725.25</v>
      </c>
      <c r="R667" t="s">
        <v>30</v>
      </c>
      <c r="S667" t="s">
        <v>31</v>
      </c>
      <c r="T667" t="s">
        <v>40</v>
      </c>
      <c r="U667">
        <v>56</v>
      </c>
      <c r="V667">
        <v>4.5999999999999996</v>
      </c>
      <c r="W667">
        <f>Table2[[#This Row],[Quantity]]*Table2[[#This Row],[Item_Price]]</f>
        <v>887</v>
      </c>
    </row>
    <row r="668" spans="1:23" x14ac:dyDescent="0.25">
      <c r="A668" t="s">
        <v>763</v>
      </c>
      <c r="B668" s="1">
        <v>45706</v>
      </c>
      <c r="C668" t="s">
        <v>517</v>
      </c>
      <c r="D668">
        <v>2</v>
      </c>
      <c r="E668">
        <v>18</v>
      </c>
      <c r="F668" t="s">
        <v>178</v>
      </c>
      <c r="G668" t="s">
        <v>34</v>
      </c>
      <c r="H668" t="s">
        <v>68</v>
      </c>
      <c r="I668" t="s">
        <v>61</v>
      </c>
      <c r="J668" t="s">
        <v>172</v>
      </c>
      <c r="K668" t="s">
        <v>38</v>
      </c>
      <c r="L668">
        <v>1</v>
      </c>
      <c r="M668">
        <v>553</v>
      </c>
      <c r="N668">
        <v>138.25</v>
      </c>
      <c r="O668">
        <v>70</v>
      </c>
      <c r="P668">
        <v>553</v>
      </c>
      <c r="Q668">
        <v>484.75</v>
      </c>
      <c r="R668" t="s">
        <v>39</v>
      </c>
      <c r="S668" t="s">
        <v>31</v>
      </c>
      <c r="T668" t="s">
        <v>40</v>
      </c>
      <c r="U668">
        <v>39</v>
      </c>
      <c r="V668">
        <v>3.3</v>
      </c>
      <c r="W668">
        <f>Table2[[#This Row],[Quantity]]*Table2[[#This Row],[Item_Price]]</f>
        <v>553</v>
      </c>
    </row>
    <row r="669" spans="1:23" x14ac:dyDescent="0.25">
      <c r="A669" t="s">
        <v>764</v>
      </c>
      <c r="B669" s="1">
        <v>45706</v>
      </c>
      <c r="C669" t="s">
        <v>517</v>
      </c>
      <c r="D669">
        <v>2</v>
      </c>
      <c r="E669">
        <v>18</v>
      </c>
      <c r="F669" t="s">
        <v>178</v>
      </c>
      <c r="G669" t="s">
        <v>34</v>
      </c>
      <c r="H669" t="s">
        <v>48</v>
      </c>
      <c r="I669" t="s">
        <v>27</v>
      </c>
      <c r="J669" t="s">
        <v>123</v>
      </c>
      <c r="K669" t="s">
        <v>38</v>
      </c>
      <c r="L669">
        <v>2</v>
      </c>
      <c r="M669">
        <v>449</v>
      </c>
      <c r="N669">
        <v>67.349999999999994</v>
      </c>
      <c r="O669">
        <v>60</v>
      </c>
      <c r="P669">
        <v>898</v>
      </c>
      <c r="Q669">
        <v>890.65</v>
      </c>
      <c r="R669" t="s">
        <v>112</v>
      </c>
      <c r="S669" t="s">
        <v>31</v>
      </c>
      <c r="T669" t="s">
        <v>32</v>
      </c>
      <c r="U669">
        <v>69</v>
      </c>
      <c r="V669">
        <v>3.6</v>
      </c>
      <c r="W669">
        <f>Table2[[#This Row],[Quantity]]*Table2[[#This Row],[Item_Price]]</f>
        <v>898</v>
      </c>
    </row>
    <row r="670" spans="1:23" x14ac:dyDescent="0.25">
      <c r="A670" t="s">
        <v>765</v>
      </c>
      <c r="B670" s="1">
        <v>45706</v>
      </c>
      <c r="C670" t="s">
        <v>517</v>
      </c>
      <c r="D670">
        <v>2</v>
      </c>
      <c r="E670">
        <v>18</v>
      </c>
      <c r="F670" t="s">
        <v>178</v>
      </c>
      <c r="G670" t="s">
        <v>115</v>
      </c>
      <c r="H670" t="s">
        <v>108</v>
      </c>
      <c r="I670" t="s">
        <v>27</v>
      </c>
      <c r="J670" t="s">
        <v>119</v>
      </c>
      <c r="K670" t="s">
        <v>38</v>
      </c>
      <c r="L670">
        <v>3</v>
      </c>
      <c r="M670">
        <v>791</v>
      </c>
      <c r="N670">
        <v>158.19999999999999</v>
      </c>
      <c r="O670">
        <v>50</v>
      </c>
      <c r="P670">
        <v>2373</v>
      </c>
      <c r="Q670">
        <v>2264.8000000000002</v>
      </c>
      <c r="R670" t="s">
        <v>112</v>
      </c>
      <c r="S670" t="s">
        <v>31</v>
      </c>
      <c r="T670" t="s">
        <v>40</v>
      </c>
      <c r="U670">
        <v>39</v>
      </c>
      <c r="V670">
        <v>3.8</v>
      </c>
      <c r="W670">
        <f>Table2[[#This Row],[Quantity]]*Table2[[#This Row],[Item_Price]]</f>
        <v>2373</v>
      </c>
    </row>
    <row r="671" spans="1:23" x14ac:dyDescent="0.25">
      <c r="A671" t="s">
        <v>766</v>
      </c>
      <c r="B671" s="1">
        <v>45706</v>
      </c>
      <c r="C671" t="s">
        <v>517</v>
      </c>
      <c r="D671">
        <v>2</v>
      </c>
      <c r="E671">
        <v>18</v>
      </c>
      <c r="F671" t="s">
        <v>178</v>
      </c>
      <c r="G671" t="s">
        <v>73</v>
      </c>
      <c r="H671" t="s">
        <v>77</v>
      </c>
      <c r="I671" t="s">
        <v>49</v>
      </c>
      <c r="J671" t="s">
        <v>119</v>
      </c>
      <c r="K671" t="s">
        <v>38</v>
      </c>
      <c r="L671">
        <v>1</v>
      </c>
      <c r="M671">
        <v>132</v>
      </c>
      <c r="N671">
        <v>26.4</v>
      </c>
      <c r="O671">
        <v>20</v>
      </c>
      <c r="P671">
        <v>132</v>
      </c>
      <c r="Q671">
        <v>125.6</v>
      </c>
      <c r="R671" t="s">
        <v>112</v>
      </c>
      <c r="S671" t="s">
        <v>31</v>
      </c>
      <c r="T671" t="s">
        <v>40</v>
      </c>
      <c r="U671">
        <v>43</v>
      </c>
      <c r="V671">
        <v>2.9</v>
      </c>
      <c r="W671">
        <f>Table2[[#This Row],[Quantity]]*Table2[[#This Row],[Item_Price]]</f>
        <v>132</v>
      </c>
    </row>
    <row r="672" spans="1:23" x14ac:dyDescent="0.25">
      <c r="A672" t="s">
        <v>767</v>
      </c>
      <c r="B672" s="1">
        <v>45706</v>
      </c>
      <c r="C672" t="s">
        <v>517</v>
      </c>
      <c r="D672">
        <v>2</v>
      </c>
      <c r="E672">
        <v>18</v>
      </c>
      <c r="F672" t="s">
        <v>178</v>
      </c>
      <c r="G672" t="s">
        <v>34</v>
      </c>
      <c r="H672" t="s">
        <v>35</v>
      </c>
      <c r="I672" t="s">
        <v>27</v>
      </c>
      <c r="J672" t="s">
        <v>119</v>
      </c>
      <c r="K672" t="s">
        <v>38</v>
      </c>
      <c r="L672">
        <v>2</v>
      </c>
      <c r="M672">
        <v>557</v>
      </c>
      <c r="N672">
        <v>83.55</v>
      </c>
      <c r="O672">
        <v>40</v>
      </c>
      <c r="P672">
        <v>1114</v>
      </c>
      <c r="Q672">
        <v>1070.45</v>
      </c>
      <c r="R672" t="s">
        <v>39</v>
      </c>
      <c r="S672" t="s">
        <v>91</v>
      </c>
      <c r="T672" t="s">
        <v>40</v>
      </c>
      <c r="U672">
        <v>36</v>
      </c>
      <c r="W672">
        <f>Table2[[#This Row],[Quantity]]*Table2[[#This Row],[Item_Price]]</f>
        <v>1114</v>
      </c>
    </row>
    <row r="673" spans="1:23" x14ac:dyDescent="0.25">
      <c r="A673" t="s">
        <v>768</v>
      </c>
      <c r="B673" s="1">
        <v>45707</v>
      </c>
      <c r="C673" t="s">
        <v>517</v>
      </c>
      <c r="D673">
        <v>2</v>
      </c>
      <c r="E673">
        <v>19</v>
      </c>
      <c r="F673" t="s">
        <v>24</v>
      </c>
      <c r="G673" t="s">
        <v>34</v>
      </c>
      <c r="H673" t="s">
        <v>108</v>
      </c>
      <c r="I673" t="s">
        <v>69</v>
      </c>
      <c r="J673" t="s">
        <v>62</v>
      </c>
      <c r="K673" t="s">
        <v>45</v>
      </c>
      <c r="L673">
        <v>2</v>
      </c>
      <c r="M673">
        <v>686</v>
      </c>
      <c r="N673">
        <v>0</v>
      </c>
      <c r="O673">
        <v>60</v>
      </c>
      <c r="P673">
        <v>1372</v>
      </c>
      <c r="Q673">
        <v>1432</v>
      </c>
      <c r="R673" t="s">
        <v>112</v>
      </c>
      <c r="S673" t="s">
        <v>31</v>
      </c>
      <c r="T673" t="s">
        <v>32</v>
      </c>
      <c r="U673">
        <v>58</v>
      </c>
      <c r="V673">
        <v>3.8</v>
      </c>
      <c r="W673">
        <f>Table2[[#This Row],[Quantity]]*Table2[[#This Row],[Item_Price]]</f>
        <v>1372</v>
      </c>
    </row>
    <row r="674" spans="1:23" x14ac:dyDescent="0.25">
      <c r="A674" t="s">
        <v>769</v>
      </c>
      <c r="B674" s="1">
        <v>45707</v>
      </c>
      <c r="C674" t="s">
        <v>517</v>
      </c>
      <c r="D674">
        <v>2</v>
      </c>
      <c r="E674">
        <v>19</v>
      </c>
      <c r="F674" t="s">
        <v>24</v>
      </c>
      <c r="G674" t="s">
        <v>115</v>
      </c>
      <c r="H674" t="s">
        <v>60</v>
      </c>
      <c r="I674" t="s">
        <v>49</v>
      </c>
      <c r="J674" t="s">
        <v>94</v>
      </c>
      <c r="K674" t="s">
        <v>38</v>
      </c>
      <c r="L674">
        <v>2</v>
      </c>
      <c r="M674">
        <v>737</v>
      </c>
      <c r="N674">
        <v>36.85</v>
      </c>
      <c r="O674">
        <v>60</v>
      </c>
      <c r="P674">
        <v>1474</v>
      </c>
      <c r="Q674">
        <v>1497.15</v>
      </c>
      <c r="R674" t="s">
        <v>98</v>
      </c>
      <c r="S674" t="s">
        <v>31</v>
      </c>
      <c r="T674" t="s">
        <v>32</v>
      </c>
      <c r="U674">
        <v>69</v>
      </c>
      <c r="V674">
        <v>4</v>
      </c>
      <c r="W674">
        <f>Table2[[#This Row],[Quantity]]*Table2[[#This Row],[Item_Price]]</f>
        <v>1474</v>
      </c>
    </row>
    <row r="675" spans="1:23" x14ac:dyDescent="0.25">
      <c r="A675" t="s">
        <v>770</v>
      </c>
      <c r="B675" s="1">
        <v>45707</v>
      </c>
      <c r="C675" t="s">
        <v>517</v>
      </c>
      <c r="D675">
        <v>2</v>
      </c>
      <c r="E675">
        <v>19</v>
      </c>
      <c r="F675" t="s">
        <v>24</v>
      </c>
      <c r="G675" t="s">
        <v>80</v>
      </c>
      <c r="H675" t="s">
        <v>26</v>
      </c>
      <c r="I675" t="s">
        <v>27</v>
      </c>
      <c r="J675" t="s">
        <v>123</v>
      </c>
      <c r="K675" t="s">
        <v>38</v>
      </c>
      <c r="L675">
        <v>2</v>
      </c>
      <c r="M675">
        <v>841</v>
      </c>
      <c r="N675">
        <v>168.2</v>
      </c>
      <c r="O675">
        <v>60</v>
      </c>
      <c r="P675">
        <v>1682</v>
      </c>
      <c r="Q675">
        <v>1573.8</v>
      </c>
      <c r="R675" t="s">
        <v>112</v>
      </c>
      <c r="S675" t="s">
        <v>31</v>
      </c>
      <c r="T675" t="s">
        <v>40</v>
      </c>
      <c r="U675">
        <v>55</v>
      </c>
      <c r="V675">
        <v>3.4</v>
      </c>
      <c r="W675">
        <f>Table2[[#This Row],[Quantity]]*Table2[[#This Row],[Item_Price]]</f>
        <v>1682</v>
      </c>
    </row>
    <row r="676" spans="1:23" x14ac:dyDescent="0.25">
      <c r="A676" t="s">
        <v>771</v>
      </c>
      <c r="B676" s="1">
        <v>45707</v>
      </c>
      <c r="C676" t="s">
        <v>517</v>
      </c>
      <c r="D676">
        <v>2</v>
      </c>
      <c r="E676">
        <v>19</v>
      </c>
      <c r="F676" t="s">
        <v>24</v>
      </c>
      <c r="G676" t="s">
        <v>115</v>
      </c>
      <c r="H676" t="s">
        <v>68</v>
      </c>
      <c r="I676" t="s">
        <v>97</v>
      </c>
      <c r="J676" t="s">
        <v>123</v>
      </c>
      <c r="K676" t="s">
        <v>38</v>
      </c>
      <c r="L676">
        <v>1</v>
      </c>
      <c r="M676">
        <v>637</v>
      </c>
      <c r="N676">
        <v>63.7</v>
      </c>
      <c r="O676">
        <v>50</v>
      </c>
      <c r="P676">
        <v>637</v>
      </c>
      <c r="Q676">
        <v>623.29999999999995</v>
      </c>
      <c r="R676" t="s">
        <v>75</v>
      </c>
      <c r="S676" t="s">
        <v>31</v>
      </c>
      <c r="T676" t="s">
        <v>40</v>
      </c>
      <c r="U676">
        <v>45</v>
      </c>
      <c r="V676">
        <v>3.9</v>
      </c>
      <c r="W676">
        <f>Table2[[#This Row],[Quantity]]*Table2[[#This Row],[Item_Price]]</f>
        <v>637</v>
      </c>
    </row>
    <row r="677" spans="1:23" x14ac:dyDescent="0.25">
      <c r="A677" t="s">
        <v>772</v>
      </c>
      <c r="B677" s="1">
        <v>45707</v>
      </c>
      <c r="C677" t="s">
        <v>517</v>
      </c>
      <c r="D677">
        <v>2</v>
      </c>
      <c r="E677">
        <v>19</v>
      </c>
      <c r="F677" t="s">
        <v>24</v>
      </c>
      <c r="G677" t="s">
        <v>115</v>
      </c>
      <c r="H677" t="s">
        <v>56</v>
      </c>
      <c r="I677" t="s">
        <v>49</v>
      </c>
      <c r="J677" t="s">
        <v>62</v>
      </c>
      <c r="K677" t="s">
        <v>38</v>
      </c>
      <c r="L677">
        <v>2</v>
      </c>
      <c r="M677">
        <v>122</v>
      </c>
      <c r="N677">
        <v>12.2</v>
      </c>
      <c r="O677">
        <v>20</v>
      </c>
      <c r="P677">
        <v>244</v>
      </c>
      <c r="Q677">
        <v>251.8</v>
      </c>
      <c r="R677" t="s">
        <v>30</v>
      </c>
      <c r="S677" t="s">
        <v>31</v>
      </c>
      <c r="T677" t="s">
        <v>40</v>
      </c>
      <c r="U677">
        <v>32</v>
      </c>
      <c r="V677">
        <v>5</v>
      </c>
      <c r="W677">
        <f>Table2[[#This Row],[Quantity]]*Table2[[#This Row],[Item_Price]]</f>
        <v>244</v>
      </c>
    </row>
    <row r="678" spans="1:23" x14ac:dyDescent="0.25">
      <c r="A678" t="s">
        <v>773</v>
      </c>
      <c r="B678" s="1">
        <v>45707</v>
      </c>
      <c r="C678" t="s">
        <v>517</v>
      </c>
      <c r="D678">
        <v>2</v>
      </c>
      <c r="E678">
        <v>19</v>
      </c>
      <c r="F678" t="s">
        <v>24</v>
      </c>
      <c r="G678" t="s">
        <v>73</v>
      </c>
      <c r="H678" t="s">
        <v>65</v>
      </c>
      <c r="I678" t="s">
        <v>103</v>
      </c>
      <c r="J678" t="s">
        <v>78</v>
      </c>
      <c r="K678" t="s">
        <v>45</v>
      </c>
      <c r="L678">
        <v>2</v>
      </c>
      <c r="M678">
        <v>686</v>
      </c>
      <c r="N678">
        <v>0</v>
      </c>
      <c r="O678">
        <v>60</v>
      </c>
      <c r="P678">
        <v>1372</v>
      </c>
      <c r="Q678">
        <v>1432</v>
      </c>
      <c r="R678" t="s">
        <v>39</v>
      </c>
      <c r="S678" t="s">
        <v>31</v>
      </c>
      <c r="T678" t="s">
        <v>32</v>
      </c>
      <c r="U678">
        <v>59</v>
      </c>
      <c r="V678">
        <v>4.0999999999999996</v>
      </c>
      <c r="W678">
        <f>Table2[[#This Row],[Quantity]]*Table2[[#This Row],[Item_Price]]</f>
        <v>1372</v>
      </c>
    </row>
    <row r="679" spans="1:23" x14ac:dyDescent="0.25">
      <c r="A679" t="s">
        <v>774</v>
      </c>
      <c r="B679" s="1">
        <v>45707</v>
      </c>
      <c r="C679" t="s">
        <v>517</v>
      </c>
      <c r="D679">
        <v>2</v>
      </c>
      <c r="E679">
        <v>19</v>
      </c>
      <c r="F679" t="s">
        <v>24</v>
      </c>
      <c r="G679" t="s">
        <v>73</v>
      </c>
      <c r="H679" t="s">
        <v>135</v>
      </c>
      <c r="I679" t="s">
        <v>43</v>
      </c>
      <c r="J679" t="s">
        <v>123</v>
      </c>
      <c r="K679" t="s">
        <v>45</v>
      </c>
      <c r="L679">
        <v>1</v>
      </c>
      <c r="M679">
        <v>822</v>
      </c>
      <c r="N679">
        <v>164.4</v>
      </c>
      <c r="O679">
        <v>20</v>
      </c>
      <c r="P679">
        <v>822</v>
      </c>
      <c r="Q679">
        <v>677.6</v>
      </c>
      <c r="R679" t="s">
        <v>39</v>
      </c>
      <c r="S679" t="s">
        <v>31</v>
      </c>
      <c r="T679" t="s">
        <v>32</v>
      </c>
      <c r="U679">
        <v>58</v>
      </c>
      <c r="V679">
        <v>4.4000000000000004</v>
      </c>
      <c r="W679">
        <f>Table2[[#This Row],[Quantity]]*Table2[[#This Row],[Item_Price]]</f>
        <v>822</v>
      </c>
    </row>
    <row r="680" spans="1:23" x14ac:dyDescent="0.25">
      <c r="A680" t="s">
        <v>775</v>
      </c>
      <c r="B680" s="1">
        <v>45707</v>
      </c>
      <c r="C680" t="s">
        <v>517</v>
      </c>
      <c r="D680">
        <v>2</v>
      </c>
      <c r="E680">
        <v>19</v>
      </c>
      <c r="F680" t="s">
        <v>24</v>
      </c>
      <c r="G680" t="s">
        <v>80</v>
      </c>
      <c r="H680" t="s">
        <v>52</v>
      </c>
      <c r="I680" t="s">
        <v>36</v>
      </c>
      <c r="J680" t="s">
        <v>53</v>
      </c>
      <c r="K680" t="s">
        <v>45</v>
      </c>
      <c r="L680">
        <v>1</v>
      </c>
      <c r="M680">
        <v>771</v>
      </c>
      <c r="N680">
        <v>0</v>
      </c>
      <c r="O680">
        <v>50</v>
      </c>
      <c r="P680">
        <v>771</v>
      </c>
      <c r="Q680">
        <v>821</v>
      </c>
      <c r="R680" t="s">
        <v>30</v>
      </c>
      <c r="S680" t="s">
        <v>31</v>
      </c>
      <c r="T680" t="s">
        <v>32</v>
      </c>
      <c r="U680">
        <v>66</v>
      </c>
      <c r="V680">
        <v>4.0999999999999996</v>
      </c>
      <c r="W680">
        <f>Table2[[#This Row],[Quantity]]*Table2[[#This Row],[Item_Price]]</f>
        <v>771</v>
      </c>
    </row>
    <row r="681" spans="1:23" x14ac:dyDescent="0.25">
      <c r="A681" t="s">
        <v>776</v>
      </c>
      <c r="B681" s="1">
        <v>45707</v>
      </c>
      <c r="C681" t="s">
        <v>517</v>
      </c>
      <c r="D681">
        <v>2</v>
      </c>
      <c r="E681">
        <v>19</v>
      </c>
      <c r="F681" t="s">
        <v>24</v>
      </c>
      <c r="G681" t="s">
        <v>55</v>
      </c>
      <c r="H681" t="s">
        <v>108</v>
      </c>
      <c r="I681" t="s">
        <v>103</v>
      </c>
      <c r="J681" t="s">
        <v>44</v>
      </c>
      <c r="K681" t="s">
        <v>38</v>
      </c>
      <c r="L681">
        <v>1</v>
      </c>
      <c r="M681">
        <v>357</v>
      </c>
      <c r="N681">
        <v>35.700000000000003</v>
      </c>
      <c r="O681">
        <v>0</v>
      </c>
      <c r="P681">
        <v>357</v>
      </c>
      <c r="Q681">
        <v>321.3</v>
      </c>
      <c r="R681" t="s">
        <v>30</v>
      </c>
      <c r="S681" t="s">
        <v>46</v>
      </c>
      <c r="T681" t="s">
        <v>40</v>
      </c>
      <c r="U681">
        <v>63</v>
      </c>
      <c r="W681">
        <f>Table2[[#This Row],[Quantity]]*Table2[[#This Row],[Item_Price]]</f>
        <v>357</v>
      </c>
    </row>
    <row r="682" spans="1:23" x14ac:dyDescent="0.25">
      <c r="A682" t="s">
        <v>777</v>
      </c>
      <c r="B682" s="1">
        <v>45707</v>
      </c>
      <c r="C682" t="s">
        <v>517</v>
      </c>
      <c r="D682">
        <v>2</v>
      </c>
      <c r="E682">
        <v>19</v>
      </c>
      <c r="F682" t="s">
        <v>24</v>
      </c>
      <c r="G682" t="s">
        <v>73</v>
      </c>
      <c r="H682" t="s">
        <v>139</v>
      </c>
      <c r="I682" t="s">
        <v>49</v>
      </c>
      <c r="J682" t="s">
        <v>82</v>
      </c>
      <c r="K682" t="s">
        <v>38</v>
      </c>
      <c r="L682">
        <v>2</v>
      </c>
      <c r="M682">
        <v>342</v>
      </c>
      <c r="N682">
        <v>0</v>
      </c>
      <c r="O682">
        <v>60</v>
      </c>
      <c r="P682">
        <v>684</v>
      </c>
      <c r="Q682">
        <v>744</v>
      </c>
      <c r="R682" t="s">
        <v>39</v>
      </c>
      <c r="S682" t="s">
        <v>31</v>
      </c>
      <c r="T682" t="s">
        <v>32</v>
      </c>
      <c r="U682">
        <v>64</v>
      </c>
      <c r="V682">
        <v>4</v>
      </c>
      <c r="W682">
        <f>Table2[[#This Row],[Quantity]]*Table2[[#This Row],[Item_Price]]</f>
        <v>684</v>
      </c>
    </row>
    <row r="683" spans="1:23" x14ac:dyDescent="0.25">
      <c r="A683" t="s">
        <v>778</v>
      </c>
      <c r="B683" s="1">
        <v>45707</v>
      </c>
      <c r="C683" t="s">
        <v>517</v>
      </c>
      <c r="D683">
        <v>2</v>
      </c>
      <c r="E683">
        <v>19</v>
      </c>
      <c r="F683" t="s">
        <v>24</v>
      </c>
      <c r="G683" t="s">
        <v>80</v>
      </c>
      <c r="H683" t="s">
        <v>68</v>
      </c>
      <c r="I683" t="s">
        <v>61</v>
      </c>
      <c r="J683" t="s">
        <v>101</v>
      </c>
      <c r="K683" t="s">
        <v>38</v>
      </c>
      <c r="L683">
        <v>1</v>
      </c>
      <c r="M683">
        <v>803</v>
      </c>
      <c r="N683">
        <v>0</v>
      </c>
      <c r="O683">
        <v>30</v>
      </c>
      <c r="P683">
        <v>803</v>
      </c>
      <c r="Q683">
        <v>833</v>
      </c>
      <c r="R683" t="s">
        <v>39</v>
      </c>
      <c r="S683" t="s">
        <v>31</v>
      </c>
      <c r="T683" t="s">
        <v>40</v>
      </c>
      <c r="U683">
        <v>28</v>
      </c>
      <c r="V683">
        <v>3.9</v>
      </c>
      <c r="W683">
        <f>Table2[[#This Row],[Quantity]]*Table2[[#This Row],[Item_Price]]</f>
        <v>803</v>
      </c>
    </row>
    <row r="684" spans="1:23" x14ac:dyDescent="0.25">
      <c r="A684" t="s">
        <v>779</v>
      </c>
      <c r="B684" s="1">
        <v>45707</v>
      </c>
      <c r="C684" t="s">
        <v>517</v>
      </c>
      <c r="D684">
        <v>2</v>
      </c>
      <c r="E684">
        <v>19</v>
      </c>
      <c r="F684" t="s">
        <v>24</v>
      </c>
      <c r="G684" t="s">
        <v>90</v>
      </c>
      <c r="H684" t="s">
        <v>42</v>
      </c>
      <c r="I684" t="s">
        <v>85</v>
      </c>
      <c r="J684" t="s">
        <v>66</v>
      </c>
      <c r="K684" t="s">
        <v>38</v>
      </c>
      <c r="L684">
        <v>2</v>
      </c>
      <c r="M684">
        <v>235</v>
      </c>
      <c r="N684">
        <v>11.75</v>
      </c>
      <c r="O684">
        <v>40</v>
      </c>
      <c r="P684">
        <v>470</v>
      </c>
      <c r="Q684">
        <v>498.25</v>
      </c>
      <c r="R684" t="s">
        <v>98</v>
      </c>
      <c r="S684" t="s">
        <v>31</v>
      </c>
      <c r="T684" t="s">
        <v>40</v>
      </c>
      <c r="U684">
        <v>65</v>
      </c>
      <c r="V684">
        <v>4.4000000000000004</v>
      </c>
      <c r="W684">
        <f>Table2[[#This Row],[Quantity]]*Table2[[#This Row],[Item_Price]]</f>
        <v>470</v>
      </c>
    </row>
    <row r="685" spans="1:23" x14ac:dyDescent="0.25">
      <c r="A685" t="s">
        <v>780</v>
      </c>
      <c r="B685" s="1">
        <v>45708</v>
      </c>
      <c r="C685" t="s">
        <v>517</v>
      </c>
      <c r="D685">
        <v>2</v>
      </c>
      <c r="E685">
        <v>20</v>
      </c>
      <c r="F685" t="s">
        <v>88</v>
      </c>
      <c r="G685" t="s">
        <v>80</v>
      </c>
      <c r="H685" t="s">
        <v>60</v>
      </c>
      <c r="I685" t="s">
        <v>36</v>
      </c>
      <c r="J685" t="s">
        <v>28</v>
      </c>
      <c r="K685" t="s">
        <v>38</v>
      </c>
      <c r="L685">
        <v>2</v>
      </c>
      <c r="M685">
        <v>289</v>
      </c>
      <c r="N685">
        <v>57.8</v>
      </c>
      <c r="O685">
        <v>0</v>
      </c>
      <c r="P685">
        <v>578</v>
      </c>
      <c r="Q685">
        <v>520.20000000000005</v>
      </c>
      <c r="R685" t="s">
        <v>39</v>
      </c>
      <c r="S685" t="s">
        <v>31</v>
      </c>
      <c r="T685" t="s">
        <v>40</v>
      </c>
      <c r="U685">
        <v>59</v>
      </c>
      <c r="V685">
        <v>5</v>
      </c>
      <c r="W685">
        <f>Table2[[#This Row],[Quantity]]*Table2[[#This Row],[Item_Price]]</f>
        <v>578</v>
      </c>
    </row>
    <row r="686" spans="1:23" x14ac:dyDescent="0.25">
      <c r="A686" t="s">
        <v>781</v>
      </c>
      <c r="B686" s="1">
        <v>45708</v>
      </c>
      <c r="C686" t="s">
        <v>517</v>
      </c>
      <c r="D686">
        <v>2</v>
      </c>
      <c r="E686">
        <v>20</v>
      </c>
      <c r="F686" t="s">
        <v>88</v>
      </c>
      <c r="G686" t="s">
        <v>34</v>
      </c>
      <c r="H686" t="s">
        <v>77</v>
      </c>
      <c r="I686" t="s">
        <v>69</v>
      </c>
      <c r="J686" t="s">
        <v>78</v>
      </c>
      <c r="K686" t="s">
        <v>38</v>
      </c>
      <c r="L686">
        <v>2</v>
      </c>
      <c r="M686">
        <v>671</v>
      </c>
      <c r="N686">
        <v>33.549999999999997</v>
      </c>
      <c r="O686">
        <v>70</v>
      </c>
      <c r="P686">
        <v>1342</v>
      </c>
      <c r="Q686">
        <v>1378.45</v>
      </c>
      <c r="R686" t="s">
        <v>30</v>
      </c>
      <c r="S686" t="s">
        <v>31</v>
      </c>
      <c r="T686" t="s">
        <v>32</v>
      </c>
      <c r="U686">
        <v>39</v>
      </c>
      <c r="V686">
        <v>4.2</v>
      </c>
      <c r="W686">
        <f>Table2[[#This Row],[Quantity]]*Table2[[#This Row],[Item_Price]]</f>
        <v>1342</v>
      </c>
    </row>
    <row r="687" spans="1:23" x14ac:dyDescent="0.25">
      <c r="A687" t="s">
        <v>782</v>
      </c>
      <c r="B687" s="1">
        <v>45708</v>
      </c>
      <c r="C687" t="s">
        <v>517</v>
      </c>
      <c r="D687">
        <v>2</v>
      </c>
      <c r="E687">
        <v>20</v>
      </c>
      <c r="F687" t="s">
        <v>88</v>
      </c>
      <c r="G687" t="s">
        <v>34</v>
      </c>
      <c r="H687" t="s">
        <v>35</v>
      </c>
      <c r="I687" t="s">
        <v>61</v>
      </c>
      <c r="J687" t="s">
        <v>62</v>
      </c>
      <c r="K687" t="s">
        <v>58</v>
      </c>
      <c r="L687">
        <v>2</v>
      </c>
      <c r="M687">
        <v>196</v>
      </c>
      <c r="N687">
        <v>19.600000000000001</v>
      </c>
      <c r="O687">
        <v>20</v>
      </c>
      <c r="P687">
        <v>392</v>
      </c>
      <c r="Q687">
        <v>392.4</v>
      </c>
      <c r="R687" t="s">
        <v>30</v>
      </c>
      <c r="S687" t="s">
        <v>31</v>
      </c>
      <c r="T687" t="s">
        <v>40</v>
      </c>
      <c r="U687">
        <v>19</v>
      </c>
      <c r="V687">
        <v>3.5</v>
      </c>
      <c r="W687">
        <f>Table2[[#This Row],[Quantity]]*Table2[[#This Row],[Item_Price]]</f>
        <v>392</v>
      </c>
    </row>
    <row r="688" spans="1:23" x14ac:dyDescent="0.25">
      <c r="A688" t="s">
        <v>783</v>
      </c>
      <c r="B688" s="1">
        <v>45708</v>
      </c>
      <c r="C688" t="s">
        <v>517</v>
      </c>
      <c r="D688">
        <v>2</v>
      </c>
      <c r="E688">
        <v>20</v>
      </c>
      <c r="F688" t="s">
        <v>88</v>
      </c>
      <c r="G688" t="s">
        <v>84</v>
      </c>
      <c r="H688" t="s">
        <v>48</v>
      </c>
      <c r="I688" t="s">
        <v>69</v>
      </c>
      <c r="J688" t="s">
        <v>78</v>
      </c>
      <c r="K688" t="s">
        <v>38</v>
      </c>
      <c r="L688">
        <v>1</v>
      </c>
      <c r="M688">
        <v>508</v>
      </c>
      <c r="N688">
        <v>101.6</v>
      </c>
      <c r="O688">
        <v>30</v>
      </c>
      <c r="P688">
        <v>508</v>
      </c>
      <c r="Q688">
        <v>436.4</v>
      </c>
      <c r="R688" t="s">
        <v>112</v>
      </c>
      <c r="S688" t="s">
        <v>31</v>
      </c>
      <c r="T688" t="s">
        <v>40</v>
      </c>
      <c r="U688">
        <v>67</v>
      </c>
      <c r="V688">
        <v>4.8</v>
      </c>
      <c r="W688">
        <f>Table2[[#This Row],[Quantity]]*Table2[[#This Row],[Item_Price]]</f>
        <v>508</v>
      </c>
    </row>
    <row r="689" spans="1:23" x14ac:dyDescent="0.25">
      <c r="A689" t="s">
        <v>784</v>
      </c>
      <c r="B689" s="1">
        <v>45708</v>
      </c>
      <c r="C689" t="s">
        <v>517</v>
      </c>
      <c r="D689">
        <v>2</v>
      </c>
      <c r="E689">
        <v>20</v>
      </c>
      <c r="F689" t="s">
        <v>88</v>
      </c>
      <c r="G689" t="s">
        <v>80</v>
      </c>
      <c r="H689" t="s">
        <v>108</v>
      </c>
      <c r="I689" t="s">
        <v>43</v>
      </c>
      <c r="J689" t="s">
        <v>44</v>
      </c>
      <c r="K689" t="s">
        <v>38</v>
      </c>
      <c r="L689">
        <v>2</v>
      </c>
      <c r="M689">
        <v>876</v>
      </c>
      <c r="N689">
        <v>131.4</v>
      </c>
      <c r="O689">
        <v>0</v>
      </c>
      <c r="P689">
        <v>1752</v>
      </c>
      <c r="Q689">
        <v>1620.6</v>
      </c>
      <c r="R689" t="s">
        <v>98</v>
      </c>
      <c r="S689" t="s">
        <v>31</v>
      </c>
      <c r="T689" t="s">
        <v>32</v>
      </c>
      <c r="U689">
        <v>18</v>
      </c>
      <c r="V689">
        <v>3.8</v>
      </c>
      <c r="W689">
        <f>Table2[[#This Row],[Quantity]]*Table2[[#This Row],[Item_Price]]</f>
        <v>1752</v>
      </c>
    </row>
    <row r="690" spans="1:23" x14ac:dyDescent="0.25">
      <c r="A690" t="s">
        <v>785</v>
      </c>
      <c r="B690" s="1">
        <v>45708</v>
      </c>
      <c r="C690" t="s">
        <v>517</v>
      </c>
      <c r="D690">
        <v>2</v>
      </c>
      <c r="E690">
        <v>20</v>
      </c>
      <c r="F690" t="s">
        <v>88</v>
      </c>
      <c r="G690" t="s">
        <v>84</v>
      </c>
      <c r="H690" t="s">
        <v>48</v>
      </c>
      <c r="I690" t="s">
        <v>27</v>
      </c>
      <c r="J690" t="s">
        <v>123</v>
      </c>
      <c r="K690" t="s">
        <v>45</v>
      </c>
      <c r="L690">
        <v>1</v>
      </c>
      <c r="M690">
        <v>200</v>
      </c>
      <c r="N690">
        <v>20</v>
      </c>
      <c r="O690">
        <v>20</v>
      </c>
      <c r="P690">
        <v>200</v>
      </c>
      <c r="Q690">
        <v>200</v>
      </c>
      <c r="R690" t="s">
        <v>39</v>
      </c>
      <c r="S690" t="s">
        <v>31</v>
      </c>
      <c r="T690" t="s">
        <v>32</v>
      </c>
      <c r="U690">
        <v>31</v>
      </c>
      <c r="V690">
        <v>3.4</v>
      </c>
      <c r="W690">
        <f>Table2[[#This Row],[Quantity]]*Table2[[#This Row],[Item_Price]]</f>
        <v>200</v>
      </c>
    </row>
    <row r="691" spans="1:23" x14ac:dyDescent="0.25">
      <c r="A691" t="s">
        <v>786</v>
      </c>
      <c r="B691" s="1">
        <v>45708</v>
      </c>
      <c r="C691" t="s">
        <v>517</v>
      </c>
      <c r="D691">
        <v>2</v>
      </c>
      <c r="E691">
        <v>20</v>
      </c>
      <c r="F691" t="s">
        <v>88</v>
      </c>
      <c r="G691" t="s">
        <v>80</v>
      </c>
      <c r="H691" t="s">
        <v>135</v>
      </c>
      <c r="I691" t="s">
        <v>97</v>
      </c>
      <c r="J691" t="s">
        <v>82</v>
      </c>
      <c r="K691" t="s">
        <v>45</v>
      </c>
      <c r="L691">
        <v>3</v>
      </c>
      <c r="M691">
        <v>339</v>
      </c>
      <c r="N691">
        <v>50.85</v>
      </c>
      <c r="O691">
        <v>60</v>
      </c>
      <c r="P691">
        <v>1017</v>
      </c>
      <c r="Q691">
        <v>1026.1500000000001</v>
      </c>
      <c r="R691" t="s">
        <v>39</v>
      </c>
      <c r="S691" t="s">
        <v>31</v>
      </c>
      <c r="T691" t="s">
        <v>40</v>
      </c>
      <c r="U691">
        <v>53</v>
      </c>
      <c r="V691">
        <v>4.3</v>
      </c>
      <c r="W691">
        <f>Table2[[#This Row],[Quantity]]*Table2[[#This Row],[Item_Price]]</f>
        <v>1017</v>
      </c>
    </row>
    <row r="692" spans="1:23" x14ac:dyDescent="0.25">
      <c r="A692" t="s">
        <v>787</v>
      </c>
      <c r="B692" s="1">
        <v>45708</v>
      </c>
      <c r="C692" t="s">
        <v>517</v>
      </c>
      <c r="D692">
        <v>2</v>
      </c>
      <c r="E692">
        <v>20</v>
      </c>
      <c r="F692" t="s">
        <v>88</v>
      </c>
      <c r="G692" t="s">
        <v>64</v>
      </c>
      <c r="H692" t="s">
        <v>135</v>
      </c>
      <c r="I692" t="s">
        <v>27</v>
      </c>
      <c r="J692" t="s">
        <v>62</v>
      </c>
      <c r="K692" t="s">
        <v>29</v>
      </c>
      <c r="L692">
        <v>1</v>
      </c>
      <c r="M692">
        <v>461</v>
      </c>
      <c r="N692">
        <v>23.05</v>
      </c>
      <c r="O692">
        <v>40</v>
      </c>
      <c r="P692">
        <v>461</v>
      </c>
      <c r="Q692">
        <v>477.95</v>
      </c>
      <c r="R692" t="s">
        <v>112</v>
      </c>
      <c r="S692" t="s">
        <v>31</v>
      </c>
      <c r="T692" t="s">
        <v>40</v>
      </c>
      <c r="U692">
        <v>42</v>
      </c>
      <c r="V692">
        <v>3.6</v>
      </c>
      <c r="W692">
        <f>Table2[[#This Row],[Quantity]]*Table2[[#This Row],[Item_Price]]</f>
        <v>461</v>
      </c>
    </row>
    <row r="693" spans="1:23" x14ac:dyDescent="0.25">
      <c r="A693" t="s">
        <v>788</v>
      </c>
      <c r="B693" s="1">
        <v>45708</v>
      </c>
      <c r="C693" t="s">
        <v>517</v>
      </c>
      <c r="D693">
        <v>2</v>
      </c>
      <c r="E693">
        <v>20</v>
      </c>
      <c r="F693" t="s">
        <v>88</v>
      </c>
      <c r="G693" t="s">
        <v>64</v>
      </c>
      <c r="H693" t="s">
        <v>48</v>
      </c>
      <c r="I693" t="s">
        <v>85</v>
      </c>
      <c r="J693" t="s">
        <v>50</v>
      </c>
      <c r="K693" t="s">
        <v>29</v>
      </c>
      <c r="L693">
        <v>3</v>
      </c>
      <c r="M693">
        <v>784</v>
      </c>
      <c r="N693">
        <v>156.80000000000001</v>
      </c>
      <c r="O693">
        <v>20</v>
      </c>
      <c r="P693">
        <v>2352</v>
      </c>
      <c r="Q693">
        <v>2215.1999999999998</v>
      </c>
      <c r="R693" t="s">
        <v>75</v>
      </c>
      <c r="S693" t="s">
        <v>31</v>
      </c>
      <c r="T693" t="s">
        <v>40</v>
      </c>
      <c r="U693">
        <v>31</v>
      </c>
      <c r="V693">
        <v>4.3</v>
      </c>
      <c r="W693">
        <f>Table2[[#This Row],[Quantity]]*Table2[[#This Row],[Item_Price]]</f>
        <v>2352</v>
      </c>
    </row>
    <row r="694" spans="1:23" x14ac:dyDescent="0.25">
      <c r="A694" t="s">
        <v>789</v>
      </c>
      <c r="B694" s="1">
        <v>45708</v>
      </c>
      <c r="C694" t="s">
        <v>517</v>
      </c>
      <c r="D694">
        <v>2</v>
      </c>
      <c r="E694">
        <v>20</v>
      </c>
      <c r="F694" t="s">
        <v>88</v>
      </c>
      <c r="G694" t="s">
        <v>64</v>
      </c>
      <c r="H694" t="s">
        <v>48</v>
      </c>
      <c r="I694" t="s">
        <v>57</v>
      </c>
      <c r="J694" t="s">
        <v>66</v>
      </c>
      <c r="K694" t="s">
        <v>38</v>
      </c>
      <c r="L694">
        <v>2</v>
      </c>
      <c r="M694">
        <v>300</v>
      </c>
      <c r="N694">
        <v>0</v>
      </c>
      <c r="O694">
        <v>30</v>
      </c>
      <c r="P694">
        <v>600</v>
      </c>
      <c r="Q694">
        <v>630</v>
      </c>
      <c r="R694" t="s">
        <v>98</v>
      </c>
      <c r="S694" t="s">
        <v>31</v>
      </c>
      <c r="T694" t="s">
        <v>40</v>
      </c>
      <c r="U694">
        <v>23</v>
      </c>
      <c r="V694">
        <v>4.5999999999999996</v>
      </c>
      <c r="W694">
        <f>Table2[[#This Row],[Quantity]]*Table2[[#This Row],[Item_Price]]</f>
        <v>600</v>
      </c>
    </row>
    <row r="695" spans="1:23" x14ac:dyDescent="0.25">
      <c r="A695" t="s">
        <v>790</v>
      </c>
      <c r="B695" s="1">
        <v>45708</v>
      </c>
      <c r="C695" t="s">
        <v>517</v>
      </c>
      <c r="D695">
        <v>2</v>
      </c>
      <c r="E695">
        <v>20</v>
      </c>
      <c r="F695" t="s">
        <v>88</v>
      </c>
      <c r="G695" t="s">
        <v>64</v>
      </c>
      <c r="H695" t="s">
        <v>105</v>
      </c>
      <c r="I695" t="s">
        <v>57</v>
      </c>
      <c r="J695" t="s">
        <v>62</v>
      </c>
      <c r="K695" t="s">
        <v>45</v>
      </c>
      <c r="L695">
        <v>2</v>
      </c>
      <c r="M695">
        <v>177</v>
      </c>
      <c r="N695">
        <v>44.25</v>
      </c>
      <c r="O695">
        <v>20</v>
      </c>
      <c r="P695">
        <v>354</v>
      </c>
      <c r="Q695">
        <v>329.75</v>
      </c>
      <c r="R695" t="s">
        <v>39</v>
      </c>
      <c r="S695" t="s">
        <v>31</v>
      </c>
      <c r="T695" t="s">
        <v>40</v>
      </c>
      <c r="U695">
        <v>66</v>
      </c>
      <c r="V695">
        <v>3.1</v>
      </c>
      <c r="W695">
        <f>Table2[[#This Row],[Quantity]]*Table2[[#This Row],[Item_Price]]</f>
        <v>354</v>
      </c>
    </row>
    <row r="696" spans="1:23" x14ac:dyDescent="0.25">
      <c r="A696" t="s">
        <v>791</v>
      </c>
      <c r="B696" s="1">
        <v>45708</v>
      </c>
      <c r="C696" t="s">
        <v>517</v>
      </c>
      <c r="D696">
        <v>2</v>
      </c>
      <c r="E696">
        <v>20</v>
      </c>
      <c r="F696" t="s">
        <v>88</v>
      </c>
      <c r="G696" t="s">
        <v>80</v>
      </c>
      <c r="H696" t="s">
        <v>139</v>
      </c>
      <c r="I696" t="s">
        <v>69</v>
      </c>
      <c r="J696" t="s">
        <v>53</v>
      </c>
      <c r="K696" t="s">
        <v>38</v>
      </c>
      <c r="L696">
        <v>1</v>
      </c>
      <c r="M696">
        <v>156</v>
      </c>
      <c r="N696">
        <v>15.6</v>
      </c>
      <c r="O696">
        <v>20</v>
      </c>
      <c r="P696">
        <v>156</v>
      </c>
      <c r="Q696">
        <v>160.4</v>
      </c>
      <c r="R696" t="s">
        <v>98</v>
      </c>
      <c r="S696" t="s">
        <v>31</v>
      </c>
      <c r="T696" t="s">
        <v>32</v>
      </c>
      <c r="U696">
        <v>31</v>
      </c>
      <c r="V696">
        <v>3</v>
      </c>
      <c r="W696">
        <f>Table2[[#This Row],[Quantity]]*Table2[[#This Row],[Item_Price]]</f>
        <v>156</v>
      </c>
    </row>
    <row r="697" spans="1:23" x14ac:dyDescent="0.25">
      <c r="A697" t="s">
        <v>792</v>
      </c>
      <c r="B697" s="1">
        <v>45708</v>
      </c>
      <c r="C697" t="s">
        <v>517</v>
      </c>
      <c r="D697">
        <v>2</v>
      </c>
      <c r="E697">
        <v>20</v>
      </c>
      <c r="F697" t="s">
        <v>88</v>
      </c>
      <c r="G697" t="s">
        <v>115</v>
      </c>
      <c r="H697" t="s">
        <v>52</v>
      </c>
      <c r="I697" t="s">
        <v>69</v>
      </c>
      <c r="J697" t="s">
        <v>62</v>
      </c>
      <c r="K697" t="s">
        <v>38</v>
      </c>
      <c r="L697">
        <v>1</v>
      </c>
      <c r="M697">
        <v>271</v>
      </c>
      <c r="N697">
        <v>40.65</v>
      </c>
      <c r="O697">
        <v>0</v>
      </c>
      <c r="P697">
        <v>271</v>
      </c>
      <c r="Q697">
        <v>230.35</v>
      </c>
      <c r="R697" t="s">
        <v>39</v>
      </c>
      <c r="S697" t="s">
        <v>31</v>
      </c>
      <c r="T697" t="s">
        <v>32</v>
      </c>
      <c r="U697">
        <v>63</v>
      </c>
      <c r="V697">
        <v>3.7</v>
      </c>
      <c r="W697">
        <f>Table2[[#This Row],[Quantity]]*Table2[[#This Row],[Item_Price]]</f>
        <v>271</v>
      </c>
    </row>
    <row r="698" spans="1:23" x14ac:dyDescent="0.25">
      <c r="A698" t="s">
        <v>793</v>
      </c>
      <c r="B698" s="1">
        <v>45708</v>
      </c>
      <c r="C698" t="s">
        <v>517</v>
      </c>
      <c r="D698">
        <v>2</v>
      </c>
      <c r="E698">
        <v>20</v>
      </c>
      <c r="F698" t="s">
        <v>88</v>
      </c>
      <c r="G698" t="s">
        <v>25</v>
      </c>
      <c r="H698" t="s">
        <v>65</v>
      </c>
      <c r="I698" t="s">
        <v>69</v>
      </c>
      <c r="J698" t="s">
        <v>70</v>
      </c>
      <c r="K698" t="s">
        <v>45</v>
      </c>
      <c r="L698">
        <v>1</v>
      </c>
      <c r="M698">
        <v>676</v>
      </c>
      <c r="N698">
        <v>135.19999999999999</v>
      </c>
      <c r="O698">
        <v>0</v>
      </c>
      <c r="P698">
        <v>676</v>
      </c>
      <c r="Q698">
        <v>540.79999999999995</v>
      </c>
      <c r="R698" t="s">
        <v>75</v>
      </c>
      <c r="S698" t="s">
        <v>31</v>
      </c>
      <c r="T698" t="s">
        <v>40</v>
      </c>
      <c r="U698">
        <v>33</v>
      </c>
      <c r="V698">
        <v>4</v>
      </c>
      <c r="W698">
        <f>Table2[[#This Row],[Quantity]]*Table2[[#This Row],[Item_Price]]</f>
        <v>676</v>
      </c>
    </row>
    <row r="699" spans="1:23" x14ac:dyDescent="0.25">
      <c r="A699" t="s">
        <v>794</v>
      </c>
      <c r="B699" s="1">
        <v>45708</v>
      </c>
      <c r="C699" t="s">
        <v>517</v>
      </c>
      <c r="D699">
        <v>2</v>
      </c>
      <c r="E699">
        <v>20</v>
      </c>
      <c r="F699" t="s">
        <v>88</v>
      </c>
      <c r="G699" t="s">
        <v>64</v>
      </c>
      <c r="H699" t="s">
        <v>35</v>
      </c>
      <c r="I699" t="s">
        <v>36</v>
      </c>
      <c r="J699" t="s">
        <v>94</v>
      </c>
      <c r="K699" t="s">
        <v>29</v>
      </c>
      <c r="L699">
        <v>3</v>
      </c>
      <c r="M699">
        <v>496</v>
      </c>
      <c r="N699">
        <v>49.6</v>
      </c>
      <c r="O699">
        <v>30</v>
      </c>
      <c r="P699">
        <v>1488</v>
      </c>
      <c r="Q699">
        <v>1468.4</v>
      </c>
      <c r="R699" t="s">
        <v>39</v>
      </c>
      <c r="S699" t="s">
        <v>31</v>
      </c>
      <c r="T699" t="s">
        <v>32</v>
      </c>
      <c r="U699">
        <v>55</v>
      </c>
      <c r="V699">
        <v>3.5</v>
      </c>
      <c r="W699">
        <f>Table2[[#This Row],[Quantity]]*Table2[[#This Row],[Item_Price]]</f>
        <v>1488</v>
      </c>
    </row>
    <row r="700" spans="1:23" x14ac:dyDescent="0.25">
      <c r="A700" t="s">
        <v>795</v>
      </c>
      <c r="B700" s="1">
        <v>45708</v>
      </c>
      <c r="C700" t="s">
        <v>517</v>
      </c>
      <c r="D700">
        <v>2</v>
      </c>
      <c r="E700">
        <v>20</v>
      </c>
      <c r="F700" t="s">
        <v>88</v>
      </c>
      <c r="G700" t="s">
        <v>73</v>
      </c>
      <c r="H700" t="s">
        <v>60</v>
      </c>
      <c r="I700" t="s">
        <v>97</v>
      </c>
      <c r="J700" t="s">
        <v>78</v>
      </c>
      <c r="K700" t="s">
        <v>38</v>
      </c>
      <c r="L700">
        <v>2</v>
      </c>
      <c r="M700">
        <v>218</v>
      </c>
      <c r="N700">
        <v>32.700000000000003</v>
      </c>
      <c r="O700">
        <v>40</v>
      </c>
      <c r="P700">
        <v>436</v>
      </c>
      <c r="Q700">
        <v>443.3</v>
      </c>
      <c r="R700" t="s">
        <v>30</v>
      </c>
      <c r="S700" t="s">
        <v>31</v>
      </c>
      <c r="T700" t="s">
        <v>32</v>
      </c>
      <c r="U700">
        <v>21</v>
      </c>
      <c r="V700">
        <v>3</v>
      </c>
      <c r="W700">
        <f>Table2[[#This Row],[Quantity]]*Table2[[#This Row],[Item_Price]]</f>
        <v>436</v>
      </c>
    </row>
    <row r="701" spans="1:23" x14ac:dyDescent="0.25">
      <c r="A701" t="s">
        <v>796</v>
      </c>
      <c r="B701" s="1">
        <v>45709</v>
      </c>
      <c r="C701" t="s">
        <v>517</v>
      </c>
      <c r="D701">
        <v>2</v>
      </c>
      <c r="E701">
        <v>21</v>
      </c>
      <c r="F701" t="s">
        <v>114</v>
      </c>
      <c r="G701" t="s">
        <v>64</v>
      </c>
      <c r="H701" t="s">
        <v>65</v>
      </c>
      <c r="I701" t="s">
        <v>49</v>
      </c>
      <c r="J701" t="s">
        <v>172</v>
      </c>
      <c r="K701" t="s">
        <v>38</v>
      </c>
      <c r="L701">
        <v>2</v>
      </c>
      <c r="M701">
        <v>741</v>
      </c>
      <c r="N701">
        <v>37.049999999999997</v>
      </c>
      <c r="O701">
        <v>30</v>
      </c>
      <c r="P701">
        <v>1482</v>
      </c>
      <c r="Q701">
        <v>1474.95</v>
      </c>
      <c r="R701" t="s">
        <v>39</v>
      </c>
      <c r="S701" t="s">
        <v>91</v>
      </c>
      <c r="T701" t="s">
        <v>32</v>
      </c>
      <c r="U701">
        <v>55</v>
      </c>
      <c r="W701">
        <f>Table2[[#This Row],[Quantity]]*Table2[[#This Row],[Item_Price]]</f>
        <v>1482</v>
      </c>
    </row>
    <row r="702" spans="1:23" x14ac:dyDescent="0.25">
      <c r="A702" t="s">
        <v>797</v>
      </c>
      <c r="B702" s="1">
        <v>45709</v>
      </c>
      <c r="C702" t="s">
        <v>517</v>
      </c>
      <c r="D702">
        <v>2</v>
      </c>
      <c r="E702">
        <v>21</v>
      </c>
      <c r="F702" t="s">
        <v>114</v>
      </c>
      <c r="G702" t="s">
        <v>96</v>
      </c>
      <c r="H702" t="s">
        <v>108</v>
      </c>
      <c r="I702" t="s">
        <v>97</v>
      </c>
      <c r="J702" t="s">
        <v>82</v>
      </c>
      <c r="K702" t="s">
        <v>38</v>
      </c>
      <c r="L702">
        <v>1</v>
      </c>
      <c r="M702">
        <v>253</v>
      </c>
      <c r="N702">
        <v>25.3</v>
      </c>
      <c r="O702">
        <v>70</v>
      </c>
      <c r="P702">
        <v>253</v>
      </c>
      <c r="Q702">
        <v>297.7</v>
      </c>
      <c r="R702" t="s">
        <v>75</v>
      </c>
      <c r="S702" t="s">
        <v>31</v>
      </c>
      <c r="T702" t="s">
        <v>40</v>
      </c>
      <c r="U702">
        <v>39</v>
      </c>
      <c r="V702">
        <v>4.4000000000000004</v>
      </c>
      <c r="W702">
        <f>Table2[[#This Row],[Quantity]]*Table2[[#This Row],[Item_Price]]</f>
        <v>253</v>
      </c>
    </row>
    <row r="703" spans="1:23" x14ac:dyDescent="0.25">
      <c r="A703" t="s">
        <v>798</v>
      </c>
      <c r="B703" s="1">
        <v>45709</v>
      </c>
      <c r="C703" t="s">
        <v>517</v>
      </c>
      <c r="D703">
        <v>2</v>
      </c>
      <c r="E703">
        <v>21</v>
      </c>
      <c r="F703" t="s">
        <v>114</v>
      </c>
      <c r="G703" t="s">
        <v>34</v>
      </c>
      <c r="H703" t="s">
        <v>35</v>
      </c>
      <c r="I703" t="s">
        <v>97</v>
      </c>
      <c r="J703" t="s">
        <v>53</v>
      </c>
      <c r="K703" t="s">
        <v>38</v>
      </c>
      <c r="L703">
        <v>1</v>
      </c>
      <c r="M703">
        <v>756</v>
      </c>
      <c r="N703">
        <v>37.799999999999997</v>
      </c>
      <c r="O703">
        <v>50</v>
      </c>
      <c r="P703">
        <v>756</v>
      </c>
      <c r="Q703">
        <v>768.2</v>
      </c>
      <c r="R703" t="s">
        <v>39</v>
      </c>
      <c r="S703" t="s">
        <v>31</v>
      </c>
      <c r="T703" t="s">
        <v>40</v>
      </c>
      <c r="U703">
        <v>68</v>
      </c>
      <c r="V703">
        <v>4</v>
      </c>
      <c r="W703">
        <f>Table2[[#This Row],[Quantity]]*Table2[[#This Row],[Item_Price]]</f>
        <v>756</v>
      </c>
    </row>
    <row r="704" spans="1:23" x14ac:dyDescent="0.25">
      <c r="A704" t="s">
        <v>799</v>
      </c>
      <c r="B704" s="1">
        <v>45709</v>
      </c>
      <c r="C704" t="s">
        <v>517</v>
      </c>
      <c r="D704">
        <v>2</v>
      </c>
      <c r="E704">
        <v>21</v>
      </c>
      <c r="F704" t="s">
        <v>114</v>
      </c>
      <c r="G704" t="s">
        <v>55</v>
      </c>
      <c r="H704" t="s">
        <v>68</v>
      </c>
      <c r="I704" t="s">
        <v>43</v>
      </c>
      <c r="J704" t="s">
        <v>44</v>
      </c>
      <c r="K704" t="s">
        <v>38</v>
      </c>
      <c r="L704">
        <v>1</v>
      </c>
      <c r="M704">
        <v>219</v>
      </c>
      <c r="N704">
        <v>10.95</v>
      </c>
      <c r="O704">
        <v>40</v>
      </c>
      <c r="P704">
        <v>219</v>
      </c>
      <c r="Q704">
        <v>248.05</v>
      </c>
      <c r="R704" t="s">
        <v>75</v>
      </c>
      <c r="S704" t="s">
        <v>31</v>
      </c>
      <c r="T704" t="s">
        <v>40</v>
      </c>
      <c r="U704">
        <v>48</v>
      </c>
      <c r="V704">
        <v>5</v>
      </c>
      <c r="W704">
        <f>Table2[[#This Row],[Quantity]]*Table2[[#This Row],[Item_Price]]</f>
        <v>219</v>
      </c>
    </row>
    <row r="705" spans="1:23" x14ac:dyDescent="0.25">
      <c r="A705" t="s">
        <v>800</v>
      </c>
      <c r="B705" s="1">
        <v>45709</v>
      </c>
      <c r="C705" t="s">
        <v>517</v>
      </c>
      <c r="D705">
        <v>2</v>
      </c>
      <c r="E705">
        <v>21</v>
      </c>
      <c r="F705" t="s">
        <v>114</v>
      </c>
      <c r="G705" t="s">
        <v>55</v>
      </c>
      <c r="H705" t="s">
        <v>35</v>
      </c>
      <c r="I705" t="s">
        <v>27</v>
      </c>
      <c r="J705" t="s">
        <v>101</v>
      </c>
      <c r="K705" t="s">
        <v>45</v>
      </c>
      <c r="L705">
        <v>1</v>
      </c>
      <c r="M705">
        <v>252</v>
      </c>
      <c r="N705">
        <v>37.799999999999997</v>
      </c>
      <c r="O705">
        <v>0</v>
      </c>
      <c r="P705">
        <v>252</v>
      </c>
      <c r="Q705">
        <v>214.2</v>
      </c>
      <c r="R705" t="s">
        <v>39</v>
      </c>
      <c r="S705" t="s">
        <v>91</v>
      </c>
      <c r="T705" t="s">
        <v>32</v>
      </c>
      <c r="U705">
        <v>53</v>
      </c>
      <c r="W705">
        <f>Table2[[#This Row],[Quantity]]*Table2[[#This Row],[Item_Price]]</f>
        <v>252</v>
      </c>
    </row>
    <row r="706" spans="1:23" x14ac:dyDescent="0.25">
      <c r="A706" t="s">
        <v>801</v>
      </c>
      <c r="B706" s="1">
        <v>45709</v>
      </c>
      <c r="C706" t="s">
        <v>517</v>
      </c>
      <c r="D706">
        <v>2</v>
      </c>
      <c r="E706">
        <v>21</v>
      </c>
      <c r="F706" t="s">
        <v>114</v>
      </c>
      <c r="G706" t="s">
        <v>115</v>
      </c>
      <c r="H706" t="s">
        <v>135</v>
      </c>
      <c r="I706" t="s">
        <v>43</v>
      </c>
      <c r="J706" t="s">
        <v>123</v>
      </c>
      <c r="K706" t="s">
        <v>38</v>
      </c>
      <c r="L706">
        <v>2</v>
      </c>
      <c r="M706">
        <v>339</v>
      </c>
      <c r="N706">
        <v>0</v>
      </c>
      <c r="O706">
        <v>70</v>
      </c>
      <c r="P706">
        <v>678</v>
      </c>
      <c r="Q706">
        <v>748</v>
      </c>
      <c r="R706" t="s">
        <v>39</v>
      </c>
      <c r="S706" t="s">
        <v>31</v>
      </c>
      <c r="T706" t="s">
        <v>32</v>
      </c>
      <c r="U706">
        <v>47</v>
      </c>
      <c r="V706">
        <v>3.8</v>
      </c>
      <c r="W706">
        <f>Table2[[#This Row],[Quantity]]*Table2[[#This Row],[Item_Price]]</f>
        <v>678</v>
      </c>
    </row>
    <row r="707" spans="1:23" x14ac:dyDescent="0.25">
      <c r="A707" t="s">
        <v>802</v>
      </c>
      <c r="B707" s="1">
        <v>45709</v>
      </c>
      <c r="C707" t="s">
        <v>517</v>
      </c>
      <c r="D707">
        <v>2</v>
      </c>
      <c r="E707">
        <v>21</v>
      </c>
      <c r="F707" t="s">
        <v>114</v>
      </c>
      <c r="G707" t="s">
        <v>80</v>
      </c>
      <c r="H707" t="s">
        <v>108</v>
      </c>
      <c r="I707" t="s">
        <v>61</v>
      </c>
      <c r="J707" t="s">
        <v>44</v>
      </c>
      <c r="K707" t="s">
        <v>38</v>
      </c>
      <c r="L707">
        <v>1</v>
      </c>
      <c r="M707">
        <v>619</v>
      </c>
      <c r="N707">
        <v>61.9</v>
      </c>
      <c r="O707">
        <v>20</v>
      </c>
      <c r="P707">
        <v>619</v>
      </c>
      <c r="Q707">
        <v>577.1</v>
      </c>
      <c r="R707" t="s">
        <v>39</v>
      </c>
      <c r="S707" t="s">
        <v>31</v>
      </c>
      <c r="T707" t="s">
        <v>40</v>
      </c>
      <c r="U707">
        <v>26</v>
      </c>
      <c r="V707">
        <v>4.8</v>
      </c>
      <c r="W707">
        <f>Table2[[#This Row],[Quantity]]*Table2[[#This Row],[Item_Price]]</f>
        <v>619</v>
      </c>
    </row>
    <row r="708" spans="1:23" x14ac:dyDescent="0.25">
      <c r="A708" t="s">
        <v>803</v>
      </c>
      <c r="B708" s="1">
        <v>45709</v>
      </c>
      <c r="C708" t="s">
        <v>517</v>
      </c>
      <c r="D708">
        <v>2</v>
      </c>
      <c r="E708">
        <v>21</v>
      </c>
      <c r="F708" t="s">
        <v>114</v>
      </c>
      <c r="G708" t="s">
        <v>80</v>
      </c>
      <c r="H708" t="s">
        <v>77</v>
      </c>
      <c r="I708" t="s">
        <v>61</v>
      </c>
      <c r="J708" t="s">
        <v>70</v>
      </c>
      <c r="K708" t="s">
        <v>38</v>
      </c>
      <c r="L708">
        <v>2</v>
      </c>
      <c r="M708">
        <v>717</v>
      </c>
      <c r="N708">
        <v>143.4</v>
      </c>
      <c r="O708">
        <v>40</v>
      </c>
      <c r="P708">
        <v>1434</v>
      </c>
      <c r="Q708">
        <v>1330.6</v>
      </c>
      <c r="R708" t="s">
        <v>98</v>
      </c>
      <c r="S708" t="s">
        <v>31</v>
      </c>
      <c r="T708" t="s">
        <v>32</v>
      </c>
      <c r="U708">
        <v>43</v>
      </c>
      <c r="V708">
        <v>4.5</v>
      </c>
      <c r="W708">
        <f>Table2[[#This Row],[Quantity]]*Table2[[#This Row],[Item_Price]]</f>
        <v>1434</v>
      </c>
    </row>
    <row r="709" spans="1:23" x14ac:dyDescent="0.25">
      <c r="A709" t="s">
        <v>804</v>
      </c>
      <c r="B709" s="1">
        <v>45709</v>
      </c>
      <c r="C709" t="s">
        <v>517</v>
      </c>
      <c r="D709">
        <v>2</v>
      </c>
      <c r="E709">
        <v>21</v>
      </c>
      <c r="F709" t="s">
        <v>114</v>
      </c>
      <c r="G709" t="s">
        <v>64</v>
      </c>
      <c r="H709" t="s">
        <v>139</v>
      </c>
      <c r="I709" t="s">
        <v>61</v>
      </c>
      <c r="J709" t="s">
        <v>66</v>
      </c>
      <c r="K709" t="s">
        <v>38</v>
      </c>
      <c r="L709">
        <v>1</v>
      </c>
      <c r="M709">
        <v>142</v>
      </c>
      <c r="N709">
        <v>0</v>
      </c>
      <c r="O709">
        <v>20</v>
      </c>
      <c r="P709">
        <v>142</v>
      </c>
      <c r="Q709">
        <v>162</v>
      </c>
      <c r="R709" t="s">
        <v>75</v>
      </c>
      <c r="S709" t="s">
        <v>31</v>
      </c>
      <c r="T709" t="s">
        <v>40</v>
      </c>
      <c r="U709">
        <v>65</v>
      </c>
      <c r="V709">
        <v>4.0999999999999996</v>
      </c>
      <c r="W709">
        <f>Table2[[#This Row],[Quantity]]*Table2[[#This Row],[Item_Price]]</f>
        <v>142</v>
      </c>
    </row>
    <row r="710" spans="1:23" x14ac:dyDescent="0.25">
      <c r="A710" t="s">
        <v>805</v>
      </c>
      <c r="B710" s="1">
        <v>45709</v>
      </c>
      <c r="C710" t="s">
        <v>517</v>
      </c>
      <c r="D710">
        <v>2</v>
      </c>
      <c r="E710">
        <v>21</v>
      </c>
      <c r="F710" t="s">
        <v>114</v>
      </c>
      <c r="G710" t="s">
        <v>55</v>
      </c>
      <c r="H710" t="s">
        <v>48</v>
      </c>
      <c r="I710" t="s">
        <v>69</v>
      </c>
      <c r="J710" t="s">
        <v>62</v>
      </c>
      <c r="K710" t="s">
        <v>38</v>
      </c>
      <c r="L710">
        <v>3</v>
      </c>
      <c r="M710">
        <v>426</v>
      </c>
      <c r="N710">
        <v>106.5</v>
      </c>
      <c r="O710">
        <v>30</v>
      </c>
      <c r="P710">
        <v>1278</v>
      </c>
      <c r="Q710">
        <v>1201.5</v>
      </c>
      <c r="R710" t="s">
        <v>30</v>
      </c>
      <c r="S710" t="s">
        <v>91</v>
      </c>
      <c r="T710" t="s">
        <v>40</v>
      </c>
      <c r="U710">
        <v>51</v>
      </c>
      <c r="W710">
        <f>Table2[[#This Row],[Quantity]]*Table2[[#This Row],[Item_Price]]</f>
        <v>1278</v>
      </c>
    </row>
    <row r="711" spans="1:23" x14ac:dyDescent="0.25">
      <c r="A711" t="s">
        <v>806</v>
      </c>
      <c r="B711" s="1">
        <v>45710</v>
      </c>
      <c r="C711" t="s">
        <v>517</v>
      </c>
      <c r="D711">
        <v>2</v>
      </c>
      <c r="E711">
        <v>22</v>
      </c>
      <c r="F711" t="s">
        <v>134</v>
      </c>
      <c r="G711" t="s">
        <v>64</v>
      </c>
      <c r="H711" t="s">
        <v>65</v>
      </c>
      <c r="I711" t="s">
        <v>43</v>
      </c>
      <c r="J711" t="s">
        <v>53</v>
      </c>
      <c r="K711" t="s">
        <v>38</v>
      </c>
      <c r="L711">
        <v>3</v>
      </c>
      <c r="M711">
        <v>399</v>
      </c>
      <c r="N711">
        <v>79.8</v>
      </c>
      <c r="O711">
        <v>40</v>
      </c>
      <c r="P711">
        <v>1197</v>
      </c>
      <c r="Q711">
        <v>1157.2</v>
      </c>
      <c r="R711" t="s">
        <v>39</v>
      </c>
      <c r="S711" t="s">
        <v>31</v>
      </c>
      <c r="T711" t="s">
        <v>32</v>
      </c>
      <c r="U711">
        <v>34</v>
      </c>
      <c r="V711">
        <v>4.0999999999999996</v>
      </c>
      <c r="W711">
        <f>Table2[[#This Row],[Quantity]]*Table2[[#This Row],[Item_Price]]</f>
        <v>1197</v>
      </c>
    </row>
    <row r="712" spans="1:23" x14ac:dyDescent="0.25">
      <c r="A712" t="s">
        <v>807</v>
      </c>
      <c r="B712" s="1">
        <v>45710</v>
      </c>
      <c r="C712" t="s">
        <v>517</v>
      </c>
      <c r="D712">
        <v>2</v>
      </c>
      <c r="E712">
        <v>22</v>
      </c>
      <c r="F712" t="s">
        <v>134</v>
      </c>
      <c r="G712" t="s">
        <v>64</v>
      </c>
      <c r="H712" t="s">
        <v>65</v>
      </c>
      <c r="I712" t="s">
        <v>103</v>
      </c>
      <c r="J712" t="s">
        <v>82</v>
      </c>
      <c r="K712" t="s">
        <v>38</v>
      </c>
      <c r="L712">
        <v>2</v>
      </c>
      <c r="M712">
        <v>328</v>
      </c>
      <c r="N712">
        <v>49.2</v>
      </c>
      <c r="O712">
        <v>50</v>
      </c>
      <c r="P712">
        <v>656</v>
      </c>
      <c r="Q712">
        <v>656.8</v>
      </c>
      <c r="R712" t="s">
        <v>39</v>
      </c>
      <c r="S712" t="s">
        <v>31</v>
      </c>
      <c r="T712" t="s">
        <v>40</v>
      </c>
      <c r="U712">
        <v>51</v>
      </c>
      <c r="V712">
        <v>3.9</v>
      </c>
      <c r="W712">
        <f>Table2[[#This Row],[Quantity]]*Table2[[#This Row],[Item_Price]]</f>
        <v>656</v>
      </c>
    </row>
    <row r="713" spans="1:23" x14ac:dyDescent="0.25">
      <c r="A713" t="s">
        <v>808</v>
      </c>
      <c r="B713" s="1">
        <v>45710</v>
      </c>
      <c r="C713" t="s">
        <v>517</v>
      </c>
      <c r="D713">
        <v>2</v>
      </c>
      <c r="E713">
        <v>22</v>
      </c>
      <c r="F713" t="s">
        <v>134</v>
      </c>
      <c r="G713" t="s">
        <v>25</v>
      </c>
      <c r="H713" t="s">
        <v>56</v>
      </c>
      <c r="I713" t="s">
        <v>103</v>
      </c>
      <c r="J713" t="s">
        <v>119</v>
      </c>
      <c r="K713" t="s">
        <v>38</v>
      </c>
      <c r="L713">
        <v>3</v>
      </c>
      <c r="M713">
        <v>238</v>
      </c>
      <c r="N713">
        <v>0</v>
      </c>
      <c r="O713">
        <v>70</v>
      </c>
      <c r="P713">
        <v>714</v>
      </c>
      <c r="Q713">
        <v>784</v>
      </c>
      <c r="R713" t="s">
        <v>112</v>
      </c>
      <c r="S713" t="s">
        <v>31</v>
      </c>
      <c r="T713" t="s">
        <v>40</v>
      </c>
      <c r="U713">
        <v>34</v>
      </c>
      <c r="V713">
        <v>2.5</v>
      </c>
      <c r="W713">
        <f>Table2[[#This Row],[Quantity]]*Table2[[#This Row],[Item_Price]]</f>
        <v>714</v>
      </c>
    </row>
    <row r="714" spans="1:23" x14ac:dyDescent="0.25">
      <c r="A714" t="s">
        <v>809</v>
      </c>
      <c r="B714" s="1">
        <v>45710</v>
      </c>
      <c r="C714" t="s">
        <v>517</v>
      </c>
      <c r="D714">
        <v>2</v>
      </c>
      <c r="E714">
        <v>22</v>
      </c>
      <c r="F714" t="s">
        <v>134</v>
      </c>
      <c r="G714" t="s">
        <v>34</v>
      </c>
      <c r="H714" t="s">
        <v>60</v>
      </c>
      <c r="I714" t="s">
        <v>97</v>
      </c>
      <c r="J714" t="s">
        <v>44</v>
      </c>
      <c r="K714" t="s">
        <v>45</v>
      </c>
      <c r="L714">
        <v>1</v>
      </c>
      <c r="M714">
        <v>264</v>
      </c>
      <c r="N714">
        <v>13.2</v>
      </c>
      <c r="O714">
        <v>30</v>
      </c>
      <c r="P714">
        <v>264</v>
      </c>
      <c r="Q714">
        <v>280.8</v>
      </c>
      <c r="R714" t="s">
        <v>30</v>
      </c>
      <c r="S714" t="s">
        <v>31</v>
      </c>
      <c r="T714" t="s">
        <v>40</v>
      </c>
      <c r="U714">
        <v>67</v>
      </c>
      <c r="V714">
        <v>4.2</v>
      </c>
      <c r="W714">
        <f>Table2[[#This Row],[Quantity]]*Table2[[#This Row],[Item_Price]]</f>
        <v>264</v>
      </c>
    </row>
    <row r="715" spans="1:23" x14ac:dyDescent="0.25">
      <c r="A715" t="s">
        <v>810</v>
      </c>
      <c r="B715" s="1">
        <v>45710</v>
      </c>
      <c r="C715" t="s">
        <v>517</v>
      </c>
      <c r="D715">
        <v>2</v>
      </c>
      <c r="E715">
        <v>22</v>
      </c>
      <c r="F715" t="s">
        <v>134</v>
      </c>
      <c r="G715" t="s">
        <v>80</v>
      </c>
      <c r="H715" t="s">
        <v>60</v>
      </c>
      <c r="I715" t="s">
        <v>57</v>
      </c>
      <c r="J715" t="s">
        <v>53</v>
      </c>
      <c r="K715" t="s">
        <v>45</v>
      </c>
      <c r="L715">
        <v>1</v>
      </c>
      <c r="M715">
        <v>497</v>
      </c>
      <c r="N715">
        <v>99.4</v>
      </c>
      <c r="O715">
        <v>40</v>
      </c>
      <c r="P715">
        <v>497</v>
      </c>
      <c r="Q715">
        <v>437.6</v>
      </c>
      <c r="R715" t="s">
        <v>39</v>
      </c>
      <c r="S715" t="s">
        <v>110</v>
      </c>
      <c r="T715" t="s">
        <v>32</v>
      </c>
      <c r="U715">
        <v>64</v>
      </c>
      <c r="W715">
        <f>Table2[[#This Row],[Quantity]]*Table2[[#This Row],[Item_Price]]</f>
        <v>497</v>
      </c>
    </row>
    <row r="716" spans="1:23" x14ac:dyDescent="0.25">
      <c r="A716" t="s">
        <v>811</v>
      </c>
      <c r="B716" s="1">
        <v>45710</v>
      </c>
      <c r="C716" t="s">
        <v>517</v>
      </c>
      <c r="D716">
        <v>2</v>
      </c>
      <c r="E716">
        <v>22</v>
      </c>
      <c r="F716" t="s">
        <v>134</v>
      </c>
      <c r="G716" t="s">
        <v>64</v>
      </c>
      <c r="H716" t="s">
        <v>81</v>
      </c>
      <c r="I716" t="s">
        <v>85</v>
      </c>
      <c r="J716" t="s">
        <v>74</v>
      </c>
      <c r="K716" t="s">
        <v>38</v>
      </c>
      <c r="L716">
        <v>2</v>
      </c>
      <c r="M716">
        <v>682</v>
      </c>
      <c r="N716">
        <v>102.3</v>
      </c>
      <c r="O716">
        <v>60</v>
      </c>
      <c r="P716">
        <v>1364</v>
      </c>
      <c r="Q716">
        <v>1321.7</v>
      </c>
      <c r="R716" t="s">
        <v>98</v>
      </c>
      <c r="S716" t="s">
        <v>31</v>
      </c>
      <c r="T716" t="s">
        <v>32</v>
      </c>
      <c r="U716">
        <v>49</v>
      </c>
      <c r="V716">
        <v>3.9</v>
      </c>
      <c r="W716">
        <f>Table2[[#This Row],[Quantity]]*Table2[[#This Row],[Item_Price]]</f>
        <v>1364</v>
      </c>
    </row>
    <row r="717" spans="1:23" x14ac:dyDescent="0.25">
      <c r="A717" t="s">
        <v>812</v>
      </c>
      <c r="B717" s="1">
        <v>45710</v>
      </c>
      <c r="C717" t="s">
        <v>517</v>
      </c>
      <c r="D717">
        <v>2</v>
      </c>
      <c r="E717">
        <v>22</v>
      </c>
      <c r="F717" t="s">
        <v>134</v>
      </c>
      <c r="G717" t="s">
        <v>115</v>
      </c>
      <c r="H717" t="s">
        <v>56</v>
      </c>
      <c r="I717" t="s">
        <v>36</v>
      </c>
      <c r="J717" t="s">
        <v>70</v>
      </c>
      <c r="K717" t="s">
        <v>45</v>
      </c>
      <c r="L717">
        <v>3</v>
      </c>
      <c r="M717">
        <v>385</v>
      </c>
      <c r="N717">
        <v>38.5</v>
      </c>
      <c r="O717">
        <v>20</v>
      </c>
      <c r="P717">
        <v>1155</v>
      </c>
      <c r="Q717">
        <v>1136.5</v>
      </c>
      <c r="R717" t="s">
        <v>39</v>
      </c>
      <c r="S717" t="s">
        <v>31</v>
      </c>
      <c r="T717" t="s">
        <v>40</v>
      </c>
      <c r="U717">
        <v>49</v>
      </c>
      <c r="V717">
        <v>3.6</v>
      </c>
      <c r="W717">
        <f>Table2[[#This Row],[Quantity]]*Table2[[#This Row],[Item_Price]]</f>
        <v>1155</v>
      </c>
    </row>
    <row r="718" spans="1:23" x14ac:dyDescent="0.25">
      <c r="A718" t="s">
        <v>813</v>
      </c>
      <c r="B718" s="1">
        <v>45710</v>
      </c>
      <c r="C718" t="s">
        <v>517</v>
      </c>
      <c r="D718">
        <v>2</v>
      </c>
      <c r="E718">
        <v>22</v>
      </c>
      <c r="F718" t="s">
        <v>134</v>
      </c>
      <c r="G718" t="s">
        <v>80</v>
      </c>
      <c r="H718" t="s">
        <v>52</v>
      </c>
      <c r="I718" t="s">
        <v>49</v>
      </c>
      <c r="J718" t="s">
        <v>37</v>
      </c>
      <c r="K718" t="s">
        <v>45</v>
      </c>
      <c r="L718">
        <v>2</v>
      </c>
      <c r="M718">
        <v>858</v>
      </c>
      <c r="N718">
        <v>128.69999999999999</v>
      </c>
      <c r="O718">
        <v>30</v>
      </c>
      <c r="P718">
        <v>1716</v>
      </c>
      <c r="Q718">
        <v>1617.3</v>
      </c>
      <c r="R718" t="s">
        <v>39</v>
      </c>
      <c r="S718" t="s">
        <v>91</v>
      </c>
      <c r="T718" t="s">
        <v>32</v>
      </c>
      <c r="U718">
        <v>22</v>
      </c>
      <c r="W718">
        <f>Table2[[#This Row],[Quantity]]*Table2[[#This Row],[Item_Price]]</f>
        <v>1716</v>
      </c>
    </row>
    <row r="719" spans="1:23" x14ac:dyDescent="0.25">
      <c r="A719" t="s">
        <v>814</v>
      </c>
      <c r="B719" s="1">
        <v>45710</v>
      </c>
      <c r="C719" t="s">
        <v>517</v>
      </c>
      <c r="D719">
        <v>2</v>
      </c>
      <c r="E719">
        <v>22</v>
      </c>
      <c r="F719" t="s">
        <v>134</v>
      </c>
      <c r="G719" t="s">
        <v>55</v>
      </c>
      <c r="H719" t="s">
        <v>105</v>
      </c>
      <c r="I719" t="s">
        <v>85</v>
      </c>
      <c r="J719" t="s">
        <v>74</v>
      </c>
      <c r="K719" t="s">
        <v>38</v>
      </c>
      <c r="L719">
        <v>1</v>
      </c>
      <c r="M719">
        <v>586</v>
      </c>
      <c r="N719">
        <v>117.2</v>
      </c>
      <c r="O719">
        <v>40</v>
      </c>
      <c r="P719">
        <v>586</v>
      </c>
      <c r="Q719">
        <v>508.8</v>
      </c>
      <c r="R719" t="s">
        <v>75</v>
      </c>
      <c r="S719" t="s">
        <v>31</v>
      </c>
      <c r="T719" t="s">
        <v>40</v>
      </c>
      <c r="U719">
        <v>65</v>
      </c>
      <c r="V719">
        <v>4.7</v>
      </c>
      <c r="W719">
        <f>Table2[[#This Row],[Quantity]]*Table2[[#This Row],[Item_Price]]</f>
        <v>586</v>
      </c>
    </row>
    <row r="720" spans="1:23" x14ac:dyDescent="0.25">
      <c r="A720" t="s">
        <v>815</v>
      </c>
      <c r="B720" s="1">
        <v>45710</v>
      </c>
      <c r="C720" t="s">
        <v>517</v>
      </c>
      <c r="D720">
        <v>2</v>
      </c>
      <c r="E720">
        <v>22</v>
      </c>
      <c r="F720" t="s">
        <v>134</v>
      </c>
      <c r="G720" t="s">
        <v>55</v>
      </c>
      <c r="H720" t="s">
        <v>77</v>
      </c>
      <c r="I720" t="s">
        <v>97</v>
      </c>
      <c r="J720" t="s">
        <v>119</v>
      </c>
      <c r="K720" t="s">
        <v>38</v>
      </c>
      <c r="L720">
        <v>2</v>
      </c>
      <c r="M720">
        <v>537</v>
      </c>
      <c r="N720">
        <v>53.7</v>
      </c>
      <c r="O720">
        <v>60</v>
      </c>
      <c r="P720">
        <v>1074</v>
      </c>
      <c r="Q720">
        <v>1080.3</v>
      </c>
      <c r="R720" t="s">
        <v>39</v>
      </c>
      <c r="S720" t="s">
        <v>31</v>
      </c>
      <c r="T720" t="s">
        <v>32</v>
      </c>
      <c r="U720">
        <v>32</v>
      </c>
      <c r="V720">
        <v>5</v>
      </c>
      <c r="W720">
        <f>Table2[[#This Row],[Quantity]]*Table2[[#This Row],[Item_Price]]</f>
        <v>1074</v>
      </c>
    </row>
    <row r="721" spans="1:23" x14ac:dyDescent="0.25">
      <c r="A721" t="s">
        <v>816</v>
      </c>
      <c r="B721" s="1">
        <v>45710</v>
      </c>
      <c r="C721" t="s">
        <v>517</v>
      </c>
      <c r="D721">
        <v>2</v>
      </c>
      <c r="E721">
        <v>22</v>
      </c>
      <c r="F721" t="s">
        <v>134</v>
      </c>
      <c r="G721" t="s">
        <v>73</v>
      </c>
      <c r="H721" t="s">
        <v>56</v>
      </c>
      <c r="I721" t="s">
        <v>36</v>
      </c>
      <c r="J721" t="s">
        <v>82</v>
      </c>
      <c r="K721" t="s">
        <v>38</v>
      </c>
      <c r="L721">
        <v>1</v>
      </c>
      <c r="M721">
        <v>557</v>
      </c>
      <c r="N721">
        <v>0</v>
      </c>
      <c r="O721">
        <v>50</v>
      </c>
      <c r="P721">
        <v>557</v>
      </c>
      <c r="Q721">
        <v>607</v>
      </c>
      <c r="R721" t="s">
        <v>112</v>
      </c>
      <c r="S721" t="s">
        <v>31</v>
      </c>
      <c r="T721" t="s">
        <v>40</v>
      </c>
      <c r="U721">
        <v>29</v>
      </c>
      <c r="V721">
        <v>3.9</v>
      </c>
      <c r="W721">
        <f>Table2[[#This Row],[Quantity]]*Table2[[#This Row],[Item_Price]]</f>
        <v>557</v>
      </c>
    </row>
    <row r="722" spans="1:23" x14ac:dyDescent="0.25">
      <c r="A722" t="s">
        <v>817</v>
      </c>
      <c r="B722" s="1">
        <v>45710</v>
      </c>
      <c r="C722" t="s">
        <v>517</v>
      </c>
      <c r="D722">
        <v>2</v>
      </c>
      <c r="E722">
        <v>22</v>
      </c>
      <c r="F722" t="s">
        <v>134</v>
      </c>
      <c r="G722" t="s">
        <v>84</v>
      </c>
      <c r="H722" t="s">
        <v>26</v>
      </c>
      <c r="I722" t="s">
        <v>43</v>
      </c>
      <c r="J722" t="s">
        <v>119</v>
      </c>
      <c r="K722" t="s">
        <v>38</v>
      </c>
      <c r="L722">
        <v>2</v>
      </c>
      <c r="M722">
        <v>868</v>
      </c>
      <c r="N722">
        <v>86.8</v>
      </c>
      <c r="O722">
        <v>20</v>
      </c>
      <c r="P722">
        <v>1736</v>
      </c>
      <c r="Q722">
        <v>1669.2</v>
      </c>
      <c r="R722" t="s">
        <v>75</v>
      </c>
      <c r="S722" t="s">
        <v>31</v>
      </c>
      <c r="T722" t="s">
        <v>32</v>
      </c>
      <c r="U722">
        <v>59</v>
      </c>
      <c r="V722">
        <v>3.6</v>
      </c>
      <c r="W722">
        <f>Table2[[#This Row],[Quantity]]*Table2[[#This Row],[Item_Price]]</f>
        <v>1736</v>
      </c>
    </row>
    <row r="723" spans="1:23" x14ac:dyDescent="0.25">
      <c r="A723" t="s">
        <v>818</v>
      </c>
      <c r="B723" s="1">
        <v>45710</v>
      </c>
      <c r="C723" t="s">
        <v>517</v>
      </c>
      <c r="D723">
        <v>2</v>
      </c>
      <c r="E723">
        <v>22</v>
      </c>
      <c r="F723" t="s">
        <v>134</v>
      </c>
      <c r="G723" t="s">
        <v>84</v>
      </c>
      <c r="H723" t="s">
        <v>68</v>
      </c>
      <c r="I723" t="s">
        <v>49</v>
      </c>
      <c r="J723" t="s">
        <v>78</v>
      </c>
      <c r="K723" t="s">
        <v>38</v>
      </c>
      <c r="L723">
        <v>2</v>
      </c>
      <c r="M723">
        <v>842</v>
      </c>
      <c r="N723">
        <v>168.4</v>
      </c>
      <c r="O723">
        <v>50</v>
      </c>
      <c r="P723">
        <v>1684</v>
      </c>
      <c r="Q723">
        <v>1565.6</v>
      </c>
      <c r="R723" t="s">
        <v>39</v>
      </c>
      <c r="S723" t="s">
        <v>31</v>
      </c>
      <c r="T723" t="s">
        <v>40</v>
      </c>
      <c r="U723">
        <v>22</v>
      </c>
      <c r="V723">
        <v>3.9</v>
      </c>
      <c r="W723">
        <f>Table2[[#This Row],[Quantity]]*Table2[[#This Row],[Item_Price]]</f>
        <v>1684</v>
      </c>
    </row>
    <row r="724" spans="1:23" x14ac:dyDescent="0.25">
      <c r="A724" t="s">
        <v>819</v>
      </c>
      <c r="B724" s="1">
        <v>45710</v>
      </c>
      <c r="C724" t="s">
        <v>517</v>
      </c>
      <c r="D724">
        <v>2</v>
      </c>
      <c r="E724">
        <v>22</v>
      </c>
      <c r="F724" t="s">
        <v>134</v>
      </c>
      <c r="G724" t="s">
        <v>73</v>
      </c>
      <c r="H724" t="s">
        <v>52</v>
      </c>
      <c r="I724" t="s">
        <v>43</v>
      </c>
      <c r="J724" t="s">
        <v>101</v>
      </c>
      <c r="K724" t="s">
        <v>38</v>
      </c>
      <c r="L724">
        <v>1</v>
      </c>
      <c r="M724">
        <v>683</v>
      </c>
      <c r="N724">
        <v>136.6</v>
      </c>
      <c r="O724">
        <v>20</v>
      </c>
      <c r="P724">
        <v>683</v>
      </c>
      <c r="Q724">
        <v>566.4</v>
      </c>
      <c r="R724" t="s">
        <v>30</v>
      </c>
      <c r="S724" t="s">
        <v>31</v>
      </c>
      <c r="T724" t="s">
        <v>40</v>
      </c>
      <c r="U724">
        <v>39</v>
      </c>
      <c r="V724">
        <v>3.1</v>
      </c>
      <c r="W724">
        <f>Table2[[#This Row],[Quantity]]*Table2[[#This Row],[Item_Price]]</f>
        <v>683</v>
      </c>
    </row>
    <row r="725" spans="1:23" x14ac:dyDescent="0.25">
      <c r="A725" t="s">
        <v>820</v>
      </c>
      <c r="B725" s="1">
        <v>45710</v>
      </c>
      <c r="C725" t="s">
        <v>517</v>
      </c>
      <c r="D725">
        <v>2</v>
      </c>
      <c r="E725">
        <v>22</v>
      </c>
      <c r="F725" t="s">
        <v>134</v>
      </c>
      <c r="G725" t="s">
        <v>80</v>
      </c>
      <c r="H725" t="s">
        <v>68</v>
      </c>
      <c r="I725" t="s">
        <v>43</v>
      </c>
      <c r="J725" t="s">
        <v>62</v>
      </c>
      <c r="K725" t="s">
        <v>38</v>
      </c>
      <c r="L725">
        <v>2</v>
      </c>
      <c r="M725">
        <v>260</v>
      </c>
      <c r="N725">
        <v>0</v>
      </c>
      <c r="O725">
        <v>50</v>
      </c>
      <c r="P725">
        <v>520</v>
      </c>
      <c r="Q725">
        <v>570</v>
      </c>
      <c r="R725" t="s">
        <v>112</v>
      </c>
      <c r="S725" t="s">
        <v>31</v>
      </c>
      <c r="T725" t="s">
        <v>40</v>
      </c>
      <c r="U725">
        <v>32</v>
      </c>
      <c r="V725">
        <v>4.9000000000000004</v>
      </c>
      <c r="W725">
        <f>Table2[[#This Row],[Quantity]]*Table2[[#This Row],[Item_Price]]</f>
        <v>520</v>
      </c>
    </row>
    <row r="726" spans="1:23" x14ac:dyDescent="0.25">
      <c r="A726" t="s">
        <v>821</v>
      </c>
      <c r="B726" s="1">
        <v>45711</v>
      </c>
      <c r="C726" t="s">
        <v>517</v>
      </c>
      <c r="D726">
        <v>2</v>
      </c>
      <c r="E726">
        <v>23</v>
      </c>
      <c r="F726" t="s">
        <v>149</v>
      </c>
      <c r="G726" t="s">
        <v>80</v>
      </c>
      <c r="H726" t="s">
        <v>60</v>
      </c>
      <c r="I726" t="s">
        <v>69</v>
      </c>
      <c r="J726" t="s">
        <v>70</v>
      </c>
      <c r="K726" t="s">
        <v>38</v>
      </c>
      <c r="L726">
        <v>1</v>
      </c>
      <c r="M726">
        <v>275</v>
      </c>
      <c r="N726">
        <v>68.75</v>
      </c>
      <c r="O726">
        <v>40</v>
      </c>
      <c r="P726">
        <v>275</v>
      </c>
      <c r="Q726">
        <v>246.25</v>
      </c>
      <c r="R726" t="s">
        <v>112</v>
      </c>
      <c r="S726" t="s">
        <v>31</v>
      </c>
      <c r="T726" t="s">
        <v>32</v>
      </c>
      <c r="U726">
        <v>49</v>
      </c>
      <c r="V726">
        <v>4</v>
      </c>
      <c r="W726">
        <f>Table2[[#This Row],[Quantity]]*Table2[[#This Row],[Item_Price]]</f>
        <v>275</v>
      </c>
    </row>
    <row r="727" spans="1:23" x14ac:dyDescent="0.25">
      <c r="A727" t="s">
        <v>822</v>
      </c>
      <c r="B727" s="1">
        <v>45711</v>
      </c>
      <c r="C727" t="s">
        <v>517</v>
      </c>
      <c r="D727">
        <v>2</v>
      </c>
      <c r="E727">
        <v>23</v>
      </c>
      <c r="F727" t="s">
        <v>149</v>
      </c>
      <c r="G727" t="s">
        <v>73</v>
      </c>
      <c r="H727" t="s">
        <v>65</v>
      </c>
      <c r="I727" t="s">
        <v>57</v>
      </c>
      <c r="J727" t="s">
        <v>53</v>
      </c>
      <c r="K727" t="s">
        <v>58</v>
      </c>
      <c r="L727">
        <v>2</v>
      </c>
      <c r="M727">
        <v>842</v>
      </c>
      <c r="N727">
        <v>126.3</v>
      </c>
      <c r="O727">
        <v>30</v>
      </c>
      <c r="P727">
        <v>1684</v>
      </c>
      <c r="Q727">
        <v>1587.7</v>
      </c>
      <c r="R727" t="s">
        <v>39</v>
      </c>
      <c r="S727" t="s">
        <v>31</v>
      </c>
      <c r="T727" t="s">
        <v>32</v>
      </c>
      <c r="U727">
        <v>33</v>
      </c>
      <c r="V727">
        <v>4.2</v>
      </c>
      <c r="W727">
        <f>Table2[[#This Row],[Quantity]]*Table2[[#This Row],[Item_Price]]</f>
        <v>1684</v>
      </c>
    </row>
    <row r="728" spans="1:23" x14ac:dyDescent="0.25">
      <c r="A728" t="s">
        <v>823</v>
      </c>
      <c r="B728" s="1">
        <v>45711</v>
      </c>
      <c r="C728" t="s">
        <v>517</v>
      </c>
      <c r="D728">
        <v>2</v>
      </c>
      <c r="E728">
        <v>23</v>
      </c>
      <c r="F728" t="s">
        <v>149</v>
      </c>
      <c r="G728" t="s">
        <v>55</v>
      </c>
      <c r="H728" t="s">
        <v>56</v>
      </c>
      <c r="I728" t="s">
        <v>103</v>
      </c>
      <c r="J728" t="s">
        <v>172</v>
      </c>
      <c r="K728" t="s">
        <v>29</v>
      </c>
      <c r="L728">
        <v>3</v>
      </c>
      <c r="M728">
        <v>578</v>
      </c>
      <c r="N728">
        <v>57.8</v>
      </c>
      <c r="O728">
        <v>20</v>
      </c>
      <c r="P728">
        <v>1734</v>
      </c>
      <c r="Q728">
        <v>1696.2</v>
      </c>
      <c r="R728" t="s">
        <v>39</v>
      </c>
      <c r="S728" t="s">
        <v>31</v>
      </c>
      <c r="T728" t="s">
        <v>32</v>
      </c>
      <c r="U728">
        <v>66</v>
      </c>
      <c r="V728">
        <v>4.4000000000000004</v>
      </c>
      <c r="W728">
        <f>Table2[[#This Row],[Quantity]]*Table2[[#This Row],[Item_Price]]</f>
        <v>1734</v>
      </c>
    </row>
    <row r="729" spans="1:23" x14ac:dyDescent="0.25">
      <c r="A729" t="s">
        <v>824</v>
      </c>
      <c r="B729" s="1">
        <v>45711</v>
      </c>
      <c r="C729" t="s">
        <v>517</v>
      </c>
      <c r="D729">
        <v>2</v>
      </c>
      <c r="E729">
        <v>23</v>
      </c>
      <c r="F729" t="s">
        <v>149</v>
      </c>
      <c r="G729" t="s">
        <v>80</v>
      </c>
      <c r="H729" t="s">
        <v>60</v>
      </c>
      <c r="I729" t="s">
        <v>27</v>
      </c>
      <c r="J729" t="s">
        <v>82</v>
      </c>
      <c r="K729" t="s">
        <v>38</v>
      </c>
      <c r="L729">
        <v>2</v>
      </c>
      <c r="M729">
        <v>717</v>
      </c>
      <c r="N729">
        <v>179.25</v>
      </c>
      <c r="O729">
        <v>0</v>
      </c>
      <c r="P729">
        <v>1434</v>
      </c>
      <c r="Q729">
        <v>1254.75</v>
      </c>
      <c r="R729" t="s">
        <v>39</v>
      </c>
      <c r="S729" t="s">
        <v>31</v>
      </c>
      <c r="T729" t="s">
        <v>40</v>
      </c>
      <c r="U729">
        <v>18</v>
      </c>
      <c r="V729">
        <v>3.6</v>
      </c>
      <c r="W729">
        <f>Table2[[#This Row],[Quantity]]*Table2[[#This Row],[Item_Price]]</f>
        <v>1434</v>
      </c>
    </row>
    <row r="730" spans="1:23" x14ac:dyDescent="0.25">
      <c r="A730" t="s">
        <v>825</v>
      </c>
      <c r="B730" s="1">
        <v>45711</v>
      </c>
      <c r="C730" t="s">
        <v>517</v>
      </c>
      <c r="D730">
        <v>2</v>
      </c>
      <c r="E730">
        <v>23</v>
      </c>
      <c r="F730" t="s">
        <v>149</v>
      </c>
      <c r="G730" t="s">
        <v>80</v>
      </c>
      <c r="H730" t="s">
        <v>52</v>
      </c>
      <c r="I730" t="s">
        <v>27</v>
      </c>
      <c r="J730" t="s">
        <v>66</v>
      </c>
      <c r="K730" t="s">
        <v>38</v>
      </c>
      <c r="L730">
        <v>2</v>
      </c>
      <c r="M730">
        <v>242</v>
      </c>
      <c r="N730">
        <v>12.1</v>
      </c>
      <c r="O730">
        <v>20</v>
      </c>
      <c r="P730">
        <v>484</v>
      </c>
      <c r="Q730">
        <v>491.9</v>
      </c>
      <c r="R730" t="s">
        <v>112</v>
      </c>
      <c r="S730" t="s">
        <v>31</v>
      </c>
      <c r="T730" t="s">
        <v>40</v>
      </c>
      <c r="U730">
        <v>22</v>
      </c>
      <c r="V730">
        <v>4.5999999999999996</v>
      </c>
      <c r="W730">
        <f>Table2[[#This Row],[Quantity]]*Table2[[#This Row],[Item_Price]]</f>
        <v>484</v>
      </c>
    </row>
    <row r="731" spans="1:23" x14ac:dyDescent="0.25">
      <c r="A731" t="s">
        <v>826</v>
      </c>
      <c r="B731" s="1">
        <v>45711</v>
      </c>
      <c r="C731" t="s">
        <v>517</v>
      </c>
      <c r="D731">
        <v>2</v>
      </c>
      <c r="E731">
        <v>23</v>
      </c>
      <c r="F731" t="s">
        <v>149</v>
      </c>
      <c r="G731" t="s">
        <v>84</v>
      </c>
      <c r="H731" t="s">
        <v>65</v>
      </c>
      <c r="I731" t="s">
        <v>69</v>
      </c>
      <c r="J731" t="s">
        <v>70</v>
      </c>
      <c r="K731" t="s">
        <v>38</v>
      </c>
      <c r="L731">
        <v>2</v>
      </c>
      <c r="M731">
        <v>655</v>
      </c>
      <c r="N731">
        <v>0</v>
      </c>
      <c r="O731">
        <v>60</v>
      </c>
      <c r="P731">
        <v>1310</v>
      </c>
      <c r="Q731">
        <v>1370</v>
      </c>
      <c r="R731" t="s">
        <v>39</v>
      </c>
      <c r="S731" t="s">
        <v>31</v>
      </c>
      <c r="T731" t="s">
        <v>32</v>
      </c>
      <c r="U731">
        <v>43</v>
      </c>
      <c r="V731">
        <v>3.8</v>
      </c>
      <c r="W731">
        <f>Table2[[#This Row],[Quantity]]*Table2[[#This Row],[Item_Price]]</f>
        <v>1310</v>
      </c>
    </row>
    <row r="732" spans="1:23" x14ac:dyDescent="0.25">
      <c r="A732" t="s">
        <v>827</v>
      </c>
      <c r="B732" s="1">
        <v>45711</v>
      </c>
      <c r="C732" t="s">
        <v>517</v>
      </c>
      <c r="D732">
        <v>2</v>
      </c>
      <c r="E732">
        <v>23</v>
      </c>
      <c r="F732" t="s">
        <v>149</v>
      </c>
      <c r="G732" t="s">
        <v>34</v>
      </c>
      <c r="H732" t="s">
        <v>60</v>
      </c>
      <c r="I732" t="s">
        <v>27</v>
      </c>
      <c r="J732" t="s">
        <v>101</v>
      </c>
      <c r="K732" t="s">
        <v>58</v>
      </c>
      <c r="L732">
        <v>2</v>
      </c>
      <c r="M732">
        <v>376</v>
      </c>
      <c r="N732">
        <v>94</v>
      </c>
      <c r="O732">
        <v>0</v>
      </c>
      <c r="P732">
        <v>752</v>
      </c>
      <c r="Q732">
        <v>658</v>
      </c>
      <c r="R732" t="s">
        <v>39</v>
      </c>
      <c r="S732" t="s">
        <v>91</v>
      </c>
      <c r="T732" t="s">
        <v>32</v>
      </c>
      <c r="U732">
        <v>37</v>
      </c>
      <c r="W732">
        <f>Table2[[#This Row],[Quantity]]*Table2[[#This Row],[Item_Price]]</f>
        <v>752</v>
      </c>
    </row>
    <row r="733" spans="1:23" x14ac:dyDescent="0.25">
      <c r="A733" t="s">
        <v>828</v>
      </c>
      <c r="B733" s="1">
        <v>45711</v>
      </c>
      <c r="C733" t="s">
        <v>517</v>
      </c>
      <c r="D733">
        <v>2</v>
      </c>
      <c r="E733">
        <v>23</v>
      </c>
      <c r="F733" t="s">
        <v>149</v>
      </c>
      <c r="G733" t="s">
        <v>90</v>
      </c>
      <c r="H733" t="s">
        <v>52</v>
      </c>
      <c r="I733" t="s">
        <v>97</v>
      </c>
      <c r="J733" t="s">
        <v>101</v>
      </c>
      <c r="K733" t="s">
        <v>38</v>
      </c>
      <c r="L733">
        <v>3</v>
      </c>
      <c r="M733">
        <v>400</v>
      </c>
      <c r="N733">
        <v>80</v>
      </c>
      <c r="O733">
        <v>30</v>
      </c>
      <c r="P733">
        <v>1200</v>
      </c>
      <c r="Q733">
        <v>1150</v>
      </c>
      <c r="R733" t="s">
        <v>39</v>
      </c>
      <c r="S733" t="s">
        <v>31</v>
      </c>
      <c r="T733" t="s">
        <v>32</v>
      </c>
      <c r="U733">
        <v>48</v>
      </c>
      <c r="V733">
        <v>3.8</v>
      </c>
      <c r="W733">
        <f>Table2[[#This Row],[Quantity]]*Table2[[#This Row],[Item_Price]]</f>
        <v>1200</v>
      </c>
    </row>
    <row r="734" spans="1:23" x14ac:dyDescent="0.25">
      <c r="A734" t="s">
        <v>829</v>
      </c>
      <c r="B734" s="1">
        <v>45711</v>
      </c>
      <c r="C734" t="s">
        <v>517</v>
      </c>
      <c r="D734">
        <v>2</v>
      </c>
      <c r="E734">
        <v>23</v>
      </c>
      <c r="F734" t="s">
        <v>149</v>
      </c>
      <c r="G734" t="s">
        <v>80</v>
      </c>
      <c r="H734" t="s">
        <v>52</v>
      </c>
      <c r="I734" t="s">
        <v>27</v>
      </c>
      <c r="J734" t="s">
        <v>94</v>
      </c>
      <c r="K734" t="s">
        <v>29</v>
      </c>
      <c r="L734">
        <v>1</v>
      </c>
      <c r="M734">
        <v>646</v>
      </c>
      <c r="N734">
        <v>0</v>
      </c>
      <c r="O734">
        <v>0</v>
      </c>
      <c r="P734">
        <v>646</v>
      </c>
      <c r="Q734">
        <v>646</v>
      </c>
      <c r="R734" t="s">
        <v>39</v>
      </c>
      <c r="S734" t="s">
        <v>31</v>
      </c>
      <c r="T734" t="s">
        <v>32</v>
      </c>
      <c r="U734">
        <v>18</v>
      </c>
      <c r="V734">
        <v>4.5999999999999996</v>
      </c>
      <c r="W734">
        <f>Table2[[#This Row],[Quantity]]*Table2[[#This Row],[Item_Price]]</f>
        <v>646</v>
      </c>
    </row>
    <row r="735" spans="1:23" x14ac:dyDescent="0.25">
      <c r="A735" t="s">
        <v>830</v>
      </c>
      <c r="B735" s="1">
        <v>45711</v>
      </c>
      <c r="C735" t="s">
        <v>517</v>
      </c>
      <c r="D735">
        <v>2</v>
      </c>
      <c r="E735">
        <v>23</v>
      </c>
      <c r="F735" t="s">
        <v>149</v>
      </c>
      <c r="G735" t="s">
        <v>115</v>
      </c>
      <c r="H735" t="s">
        <v>56</v>
      </c>
      <c r="I735" t="s">
        <v>57</v>
      </c>
      <c r="J735" t="s">
        <v>62</v>
      </c>
      <c r="K735" t="s">
        <v>38</v>
      </c>
      <c r="L735">
        <v>1</v>
      </c>
      <c r="M735">
        <v>361</v>
      </c>
      <c r="N735">
        <v>36.1</v>
      </c>
      <c r="O735">
        <v>20</v>
      </c>
      <c r="P735">
        <v>361</v>
      </c>
      <c r="Q735">
        <v>344.9</v>
      </c>
      <c r="R735" t="s">
        <v>39</v>
      </c>
      <c r="S735" t="s">
        <v>31</v>
      </c>
      <c r="T735" t="s">
        <v>40</v>
      </c>
      <c r="U735">
        <v>61</v>
      </c>
      <c r="V735">
        <v>4.9000000000000004</v>
      </c>
      <c r="W735">
        <f>Table2[[#This Row],[Quantity]]*Table2[[#This Row],[Item_Price]]</f>
        <v>361</v>
      </c>
    </row>
    <row r="736" spans="1:23" x14ac:dyDescent="0.25">
      <c r="A736" t="s">
        <v>831</v>
      </c>
      <c r="B736" s="1">
        <v>45711</v>
      </c>
      <c r="C736" t="s">
        <v>517</v>
      </c>
      <c r="D736">
        <v>2</v>
      </c>
      <c r="E736">
        <v>23</v>
      </c>
      <c r="F736" t="s">
        <v>149</v>
      </c>
      <c r="G736" t="s">
        <v>34</v>
      </c>
      <c r="H736" t="s">
        <v>139</v>
      </c>
      <c r="I736" t="s">
        <v>97</v>
      </c>
      <c r="J736" t="s">
        <v>74</v>
      </c>
      <c r="K736" t="s">
        <v>58</v>
      </c>
      <c r="L736">
        <v>1</v>
      </c>
      <c r="M736">
        <v>897</v>
      </c>
      <c r="N736">
        <v>179.4</v>
      </c>
      <c r="O736">
        <v>30</v>
      </c>
      <c r="P736">
        <v>897</v>
      </c>
      <c r="Q736">
        <v>747.6</v>
      </c>
      <c r="R736" t="s">
        <v>98</v>
      </c>
      <c r="S736" t="s">
        <v>31</v>
      </c>
      <c r="T736" t="s">
        <v>40</v>
      </c>
      <c r="U736">
        <v>69</v>
      </c>
      <c r="V736">
        <v>3.9</v>
      </c>
      <c r="W736">
        <f>Table2[[#This Row],[Quantity]]*Table2[[#This Row],[Item_Price]]</f>
        <v>897</v>
      </c>
    </row>
    <row r="737" spans="1:23" x14ac:dyDescent="0.25">
      <c r="A737" t="s">
        <v>832</v>
      </c>
      <c r="B737" s="1">
        <v>45711</v>
      </c>
      <c r="C737" t="s">
        <v>517</v>
      </c>
      <c r="D737">
        <v>2</v>
      </c>
      <c r="E737">
        <v>23</v>
      </c>
      <c r="F737" t="s">
        <v>149</v>
      </c>
      <c r="G737" t="s">
        <v>34</v>
      </c>
      <c r="H737" t="s">
        <v>105</v>
      </c>
      <c r="I737" t="s">
        <v>103</v>
      </c>
      <c r="J737" t="s">
        <v>78</v>
      </c>
      <c r="K737" t="s">
        <v>58</v>
      </c>
      <c r="L737">
        <v>1</v>
      </c>
      <c r="M737">
        <v>832</v>
      </c>
      <c r="N737">
        <v>124.8</v>
      </c>
      <c r="O737">
        <v>60</v>
      </c>
      <c r="P737">
        <v>832</v>
      </c>
      <c r="Q737">
        <v>767.2</v>
      </c>
      <c r="R737" t="s">
        <v>30</v>
      </c>
      <c r="S737" t="s">
        <v>31</v>
      </c>
      <c r="T737" t="s">
        <v>40</v>
      </c>
      <c r="U737">
        <v>28</v>
      </c>
      <c r="V737">
        <v>4.5999999999999996</v>
      </c>
      <c r="W737">
        <f>Table2[[#This Row],[Quantity]]*Table2[[#This Row],[Item_Price]]</f>
        <v>832</v>
      </c>
    </row>
    <row r="738" spans="1:23" x14ac:dyDescent="0.25">
      <c r="A738" t="s">
        <v>833</v>
      </c>
      <c r="B738" s="1">
        <v>45711</v>
      </c>
      <c r="C738" t="s">
        <v>517</v>
      </c>
      <c r="D738">
        <v>2</v>
      </c>
      <c r="E738">
        <v>23</v>
      </c>
      <c r="F738" t="s">
        <v>149</v>
      </c>
      <c r="G738" t="s">
        <v>90</v>
      </c>
      <c r="H738" t="s">
        <v>135</v>
      </c>
      <c r="I738" t="s">
        <v>61</v>
      </c>
      <c r="J738" t="s">
        <v>123</v>
      </c>
      <c r="K738" t="s">
        <v>58</v>
      </c>
      <c r="L738">
        <v>1</v>
      </c>
      <c r="M738">
        <v>872</v>
      </c>
      <c r="N738">
        <v>130.80000000000001</v>
      </c>
      <c r="O738">
        <v>60</v>
      </c>
      <c r="P738">
        <v>872</v>
      </c>
      <c r="Q738">
        <v>801.2</v>
      </c>
      <c r="R738" t="s">
        <v>98</v>
      </c>
      <c r="S738" t="s">
        <v>31</v>
      </c>
      <c r="T738" t="s">
        <v>40</v>
      </c>
      <c r="U738">
        <v>50</v>
      </c>
      <c r="V738">
        <v>4.9000000000000004</v>
      </c>
      <c r="W738">
        <f>Table2[[#This Row],[Quantity]]*Table2[[#This Row],[Item_Price]]</f>
        <v>872</v>
      </c>
    </row>
    <row r="739" spans="1:23" x14ac:dyDescent="0.25">
      <c r="A739" t="s">
        <v>834</v>
      </c>
      <c r="B739" s="1">
        <v>45711</v>
      </c>
      <c r="C739" t="s">
        <v>517</v>
      </c>
      <c r="D739">
        <v>2</v>
      </c>
      <c r="E739">
        <v>23</v>
      </c>
      <c r="F739" t="s">
        <v>149</v>
      </c>
      <c r="G739" t="s">
        <v>84</v>
      </c>
      <c r="H739" t="s">
        <v>81</v>
      </c>
      <c r="I739" t="s">
        <v>85</v>
      </c>
      <c r="J739" t="s">
        <v>94</v>
      </c>
      <c r="K739" t="s">
        <v>58</v>
      </c>
      <c r="L739">
        <v>2</v>
      </c>
      <c r="M739">
        <v>382</v>
      </c>
      <c r="N739">
        <v>95.5</v>
      </c>
      <c r="O739">
        <v>60</v>
      </c>
      <c r="P739">
        <v>764</v>
      </c>
      <c r="Q739">
        <v>728.5</v>
      </c>
      <c r="R739" t="s">
        <v>30</v>
      </c>
      <c r="S739" t="s">
        <v>31</v>
      </c>
      <c r="T739" t="s">
        <v>40</v>
      </c>
      <c r="U739">
        <v>37</v>
      </c>
      <c r="V739">
        <v>4.4000000000000004</v>
      </c>
      <c r="W739">
        <f>Table2[[#This Row],[Quantity]]*Table2[[#This Row],[Item_Price]]</f>
        <v>764</v>
      </c>
    </row>
    <row r="740" spans="1:23" x14ac:dyDescent="0.25">
      <c r="A740" t="s">
        <v>835</v>
      </c>
      <c r="B740" s="1">
        <v>45711</v>
      </c>
      <c r="C740" t="s">
        <v>517</v>
      </c>
      <c r="D740">
        <v>2</v>
      </c>
      <c r="E740">
        <v>23</v>
      </c>
      <c r="F740" t="s">
        <v>149</v>
      </c>
      <c r="G740" t="s">
        <v>115</v>
      </c>
      <c r="H740" t="s">
        <v>105</v>
      </c>
      <c r="I740" t="s">
        <v>61</v>
      </c>
      <c r="J740" t="s">
        <v>50</v>
      </c>
      <c r="K740" t="s">
        <v>45</v>
      </c>
      <c r="L740">
        <v>1</v>
      </c>
      <c r="M740">
        <v>478</v>
      </c>
      <c r="N740">
        <v>47.8</v>
      </c>
      <c r="O740">
        <v>50</v>
      </c>
      <c r="P740">
        <v>478</v>
      </c>
      <c r="Q740">
        <v>480.2</v>
      </c>
      <c r="R740" t="s">
        <v>39</v>
      </c>
      <c r="S740" t="s">
        <v>31</v>
      </c>
      <c r="T740" t="s">
        <v>40</v>
      </c>
      <c r="U740">
        <v>70</v>
      </c>
      <c r="V740">
        <v>4.3</v>
      </c>
      <c r="W740">
        <f>Table2[[#This Row],[Quantity]]*Table2[[#This Row],[Item_Price]]</f>
        <v>478</v>
      </c>
    </row>
    <row r="741" spans="1:23" x14ac:dyDescent="0.25">
      <c r="A741" t="s">
        <v>836</v>
      </c>
      <c r="B741" s="1">
        <v>45711</v>
      </c>
      <c r="C741" t="s">
        <v>517</v>
      </c>
      <c r="D741">
        <v>2</v>
      </c>
      <c r="E741">
        <v>23</v>
      </c>
      <c r="F741" t="s">
        <v>149</v>
      </c>
      <c r="G741" t="s">
        <v>73</v>
      </c>
      <c r="H741" t="s">
        <v>26</v>
      </c>
      <c r="I741" t="s">
        <v>97</v>
      </c>
      <c r="J741" t="s">
        <v>53</v>
      </c>
      <c r="K741" t="s">
        <v>45</v>
      </c>
      <c r="L741">
        <v>1</v>
      </c>
      <c r="M741">
        <v>799</v>
      </c>
      <c r="N741">
        <v>159.80000000000001</v>
      </c>
      <c r="O741">
        <v>0</v>
      </c>
      <c r="P741">
        <v>799</v>
      </c>
      <c r="Q741">
        <v>639.20000000000005</v>
      </c>
      <c r="R741" t="s">
        <v>30</v>
      </c>
      <c r="S741" t="s">
        <v>31</v>
      </c>
      <c r="T741" t="s">
        <v>40</v>
      </c>
      <c r="U741">
        <v>30</v>
      </c>
      <c r="V741">
        <v>3.5</v>
      </c>
      <c r="W741">
        <f>Table2[[#This Row],[Quantity]]*Table2[[#This Row],[Item_Price]]</f>
        <v>799</v>
      </c>
    </row>
    <row r="742" spans="1:23" x14ac:dyDescent="0.25">
      <c r="A742" t="s">
        <v>837</v>
      </c>
      <c r="B742" s="1">
        <v>45711</v>
      </c>
      <c r="C742" t="s">
        <v>517</v>
      </c>
      <c r="D742">
        <v>2</v>
      </c>
      <c r="E742">
        <v>23</v>
      </c>
      <c r="F742" t="s">
        <v>149</v>
      </c>
      <c r="G742" t="s">
        <v>115</v>
      </c>
      <c r="H742" t="s">
        <v>42</v>
      </c>
      <c r="I742" t="s">
        <v>103</v>
      </c>
      <c r="J742" t="s">
        <v>82</v>
      </c>
      <c r="K742" t="s">
        <v>38</v>
      </c>
      <c r="L742">
        <v>2</v>
      </c>
      <c r="M742">
        <v>364</v>
      </c>
      <c r="N742">
        <v>36.4</v>
      </c>
      <c r="O742">
        <v>40</v>
      </c>
      <c r="P742">
        <v>728</v>
      </c>
      <c r="Q742">
        <v>731.6</v>
      </c>
      <c r="R742" t="s">
        <v>98</v>
      </c>
      <c r="S742" t="s">
        <v>31</v>
      </c>
      <c r="T742" t="s">
        <v>32</v>
      </c>
      <c r="U742">
        <v>23</v>
      </c>
      <c r="V742">
        <v>3.3</v>
      </c>
      <c r="W742">
        <f>Table2[[#This Row],[Quantity]]*Table2[[#This Row],[Item_Price]]</f>
        <v>728</v>
      </c>
    </row>
    <row r="743" spans="1:23" x14ac:dyDescent="0.25">
      <c r="A743" t="s">
        <v>838</v>
      </c>
      <c r="B743" s="1">
        <v>45712</v>
      </c>
      <c r="C743" t="s">
        <v>517</v>
      </c>
      <c r="D743">
        <v>2</v>
      </c>
      <c r="E743">
        <v>24</v>
      </c>
      <c r="F743" t="s">
        <v>168</v>
      </c>
      <c r="G743" t="s">
        <v>25</v>
      </c>
      <c r="H743" t="s">
        <v>35</v>
      </c>
      <c r="I743" t="s">
        <v>103</v>
      </c>
      <c r="J743" t="s">
        <v>172</v>
      </c>
      <c r="K743" t="s">
        <v>38</v>
      </c>
      <c r="L743">
        <v>1</v>
      </c>
      <c r="M743">
        <v>709</v>
      </c>
      <c r="N743">
        <v>141.80000000000001</v>
      </c>
      <c r="O743">
        <v>50</v>
      </c>
      <c r="P743">
        <v>709</v>
      </c>
      <c r="Q743">
        <v>617.20000000000005</v>
      </c>
      <c r="R743" t="s">
        <v>98</v>
      </c>
      <c r="S743" t="s">
        <v>46</v>
      </c>
      <c r="T743" t="s">
        <v>32</v>
      </c>
      <c r="U743">
        <v>26</v>
      </c>
      <c r="W743">
        <f>Table2[[#This Row],[Quantity]]*Table2[[#This Row],[Item_Price]]</f>
        <v>709</v>
      </c>
    </row>
    <row r="744" spans="1:23" x14ac:dyDescent="0.25">
      <c r="A744" t="s">
        <v>839</v>
      </c>
      <c r="B744" s="1">
        <v>45712</v>
      </c>
      <c r="C744" t="s">
        <v>517</v>
      </c>
      <c r="D744">
        <v>2</v>
      </c>
      <c r="E744">
        <v>24</v>
      </c>
      <c r="F744" t="s">
        <v>168</v>
      </c>
      <c r="G744" t="s">
        <v>64</v>
      </c>
      <c r="H744" t="s">
        <v>135</v>
      </c>
      <c r="I744" t="s">
        <v>36</v>
      </c>
      <c r="J744" t="s">
        <v>172</v>
      </c>
      <c r="K744" t="s">
        <v>38</v>
      </c>
      <c r="L744">
        <v>1</v>
      </c>
      <c r="M744">
        <v>466</v>
      </c>
      <c r="N744">
        <v>116.5</v>
      </c>
      <c r="O744">
        <v>20</v>
      </c>
      <c r="P744">
        <v>466</v>
      </c>
      <c r="Q744">
        <v>369.5</v>
      </c>
      <c r="R744" t="s">
        <v>75</v>
      </c>
      <c r="S744" t="s">
        <v>31</v>
      </c>
      <c r="T744" t="s">
        <v>40</v>
      </c>
      <c r="U744">
        <v>59</v>
      </c>
      <c r="V744">
        <v>4.5999999999999996</v>
      </c>
      <c r="W744">
        <f>Table2[[#This Row],[Quantity]]*Table2[[#This Row],[Item_Price]]</f>
        <v>466</v>
      </c>
    </row>
    <row r="745" spans="1:23" x14ac:dyDescent="0.25">
      <c r="A745" t="s">
        <v>840</v>
      </c>
      <c r="B745" s="1">
        <v>45712</v>
      </c>
      <c r="C745" t="s">
        <v>517</v>
      </c>
      <c r="D745">
        <v>2</v>
      </c>
      <c r="E745">
        <v>24</v>
      </c>
      <c r="F745" t="s">
        <v>168</v>
      </c>
      <c r="G745" t="s">
        <v>25</v>
      </c>
      <c r="H745" t="s">
        <v>35</v>
      </c>
      <c r="I745" t="s">
        <v>43</v>
      </c>
      <c r="J745" t="s">
        <v>74</v>
      </c>
      <c r="K745" t="s">
        <v>38</v>
      </c>
      <c r="L745">
        <v>2</v>
      </c>
      <c r="M745">
        <v>515</v>
      </c>
      <c r="N745">
        <v>103</v>
      </c>
      <c r="O745">
        <v>20</v>
      </c>
      <c r="P745">
        <v>1030</v>
      </c>
      <c r="Q745">
        <v>947</v>
      </c>
      <c r="R745" t="s">
        <v>30</v>
      </c>
      <c r="S745" t="s">
        <v>31</v>
      </c>
      <c r="T745" t="s">
        <v>32</v>
      </c>
      <c r="U745">
        <v>54</v>
      </c>
      <c r="V745">
        <v>4.8</v>
      </c>
      <c r="W745">
        <f>Table2[[#This Row],[Quantity]]*Table2[[#This Row],[Item_Price]]</f>
        <v>1030</v>
      </c>
    </row>
    <row r="746" spans="1:23" x14ac:dyDescent="0.25">
      <c r="A746" t="s">
        <v>841</v>
      </c>
      <c r="B746" s="1">
        <v>45712</v>
      </c>
      <c r="C746" t="s">
        <v>517</v>
      </c>
      <c r="D746">
        <v>2</v>
      </c>
      <c r="E746">
        <v>24</v>
      </c>
      <c r="F746" t="s">
        <v>168</v>
      </c>
      <c r="G746" t="s">
        <v>73</v>
      </c>
      <c r="H746" t="s">
        <v>42</v>
      </c>
      <c r="I746" t="s">
        <v>27</v>
      </c>
      <c r="J746" t="s">
        <v>28</v>
      </c>
      <c r="K746" t="s">
        <v>45</v>
      </c>
      <c r="L746">
        <v>2</v>
      </c>
      <c r="M746">
        <v>214</v>
      </c>
      <c r="N746">
        <v>32.1</v>
      </c>
      <c r="O746">
        <v>40</v>
      </c>
      <c r="P746">
        <v>428</v>
      </c>
      <c r="Q746">
        <v>435.9</v>
      </c>
      <c r="R746" t="s">
        <v>39</v>
      </c>
      <c r="S746" t="s">
        <v>31</v>
      </c>
      <c r="T746" t="s">
        <v>40</v>
      </c>
      <c r="U746">
        <v>65</v>
      </c>
      <c r="V746">
        <v>3.6</v>
      </c>
      <c r="W746">
        <f>Table2[[#This Row],[Quantity]]*Table2[[#This Row],[Item_Price]]</f>
        <v>428</v>
      </c>
    </row>
    <row r="747" spans="1:23" x14ac:dyDescent="0.25">
      <c r="A747" t="s">
        <v>842</v>
      </c>
      <c r="B747" s="1">
        <v>45712</v>
      </c>
      <c r="C747" t="s">
        <v>517</v>
      </c>
      <c r="D747">
        <v>2</v>
      </c>
      <c r="E747">
        <v>24</v>
      </c>
      <c r="F747" t="s">
        <v>168</v>
      </c>
      <c r="G747" t="s">
        <v>34</v>
      </c>
      <c r="H747" t="s">
        <v>77</v>
      </c>
      <c r="I747" t="s">
        <v>49</v>
      </c>
      <c r="J747" t="s">
        <v>101</v>
      </c>
      <c r="K747" t="s">
        <v>38</v>
      </c>
      <c r="L747">
        <v>2</v>
      </c>
      <c r="M747">
        <v>302</v>
      </c>
      <c r="N747">
        <v>75.5</v>
      </c>
      <c r="O747">
        <v>0</v>
      </c>
      <c r="P747">
        <v>604</v>
      </c>
      <c r="Q747">
        <v>528.5</v>
      </c>
      <c r="R747" t="s">
        <v>39</v>
      </c>
      <c r="S747" t="s">
        <v>31</v>
      </c>
      <c r="T747" t="s">
        <v>32</v>
      </c>
      <c r="U747">
        <v>32</v>
      </c>
      <c r="V747">
        <v>2.6</v>
      </c>
      <c r="W747">
        <f>Table2[[#This Row],[Quantity]]*Table2[[#This Row],[Item_Price]]</f>
        <v>604</v>
      </c>
    </row>
    <row r="748" spans="1:23" x14ac:dyDescent="0.25">
      <c r="A748" t="s">
        <v>843</v>
      </c>
      <c r="B748" s="1">
        <v>45712</v>
      </c>
      <c r="C748" t="s">
        <v>517</v>
      </c>
      <c r="D748">
        <v>2</v>
      </c>
      <c r="E748">
        <v>24</v>
      </c>
      <c r="F748" t="s">
        <v>168</v>
      </c>
      <c r="G748" t="s">
        <v>115</v>
      </c>
      <c r="H748" t="s">
        <v>81</v>
      </c>
      <c r="I748" t="s">
        <v>49</v>
      </c>
      <c r="J748" t="s">
        <v>37</v>
      </c>
      <c r="K748" t="s">
        <v>38</v>
      </c>
      <c r="L748">
        <v>3</v>
      </c>
      <c r="M748">
        <v>335</v>
      </c>
      <c r="N748">
        <v>50.25</v>
      </c>
      <c r="O748">
        <v>30</v>
      </c>
      <c r="P748">
        <v>1005</v>
      </c>
      <c r="Q748">
        <v>984.75</v>
      </c>
      <c r="R748" t="s">
        <v>30</v>
      </c>
      <c r="S748" t="s">
        <v>91</v>
      </c>
      <c r="T748" t="s">
        <v>40</v>
      </c>
      <c r="U748">
        <v>31</v>
      </c>
      <c r="W748">
        <f>Table2[[#This Row],[Quantity]]*Table2[[#This Row],[Item_Price]]</f>
        <v>1005</v>
      </c>
    </row>
    <row r="749" spans="1:23" x14ac:dyDescent="0.25">
      <c r="A749" t="s">
        <v>844</v>
      </c>
      <c r="B749" s="1">
        <v>45712</v>
      </c>
      <c r="C749" t="s">
        <v>517</v>
      </c>
      <c r="D749">
        <v>2</v>
      </c>
      <c r="E749">
        <v>24</v>
      </c>
      <c r="F749" t="s">
        <v>168</v>
      </c>
      <c r="G749" t="s">
        <v>90</v>
      </c>
      <c r="H749" t="s">
        <v>48</v>
      </c>
      <c r="I749" t="s">
        <v>69</v>
      </c>
      <c r="J749" t="s">
        <v>62</v>
      </c>
      <c r="K749" t="s">
        <v>38</v>
      </c>
      <c r="L749">
        <v>2</v>
      </c>
      <c r="M749">
        <v>422</v>
      </c>
      <c r="N749">
        <v>84.4</v>
      </c>
      <c r="O749">
        <v>30</v>
      </c>
      <c r="P749">
        <v>844</v>
      </c>
      <c r="Q749">
        <v>789.6</v>
      </c>
      <c r="R749" t="s">
        <v>39</v>
      </c>
      <c r="S749" t="s">
        <v>91</v>
      </c>
      <c r="T749" t="s">
        <v>32</v>
      </c>
      <c r="U749">
        <v>69</v>
      </c>
      <c r="W749">
        <f>Table2[[#This Row],[Quantity]]*Table2[[#This Row],[Item_Price]]</f>
        <v>844</v>
      </c>
    </row>
    <row r="750" spans="1:23" x14ac:dyDescent="0.25">
      <c r="A750" t="s">
        <v>845</v>
      </c>
      <c r="B750" s="1">
        <v>45712</v>
      </c>
      <c r="C750" t="s">
        <v>517</v>
      </c>
      <c r="D750">
        <v>2</v>
      </c>
      <c r="E750">
        <v>24</v>
      </c>
      <c r="F750" t="s">
        <v>168</v>
      </c>
      <c r="G750" t="s">
        <v>80</v>
      </c>
      <c r="H750" t="s">
        <v>35</v>
      </c>
      <c r="I750" t="s">
        <v>49</v>
      </c>
      <c r="J750" t="s">
        <v>82</v>
      </c>
      <c r="K750" t="s">
        <v>38</v>
      </c>
      <c r="L750">
        <v>1</v>
      </c>
      <c r="M750">
        <v>586</v>
      </c>
      <c r="N750">
        <v>29.3</v>
      </c>
      <c r="O750">
        <v>20</v>
      </c>
      <c r="P750">
        <v>586</v>
      </c>
      <c r="Q750">
        <v>576.70000000000005</v>
      </c>
      <c r="R750" t="s">
        <v>39</v>
      </c>
      <c r="S750" t="s">
        <v>31</v>
      </c>
      <c r="T750" t="s">
        <v>40</v>
      </c>
      <c r="U750">
        <v>56</v>
      </c>
      <c r="V750">
        <v>2.8</v>
      </c>
      <c r="W750">
        <f>Table2[[#This Row],[Quantity]]*Table2[[#This Row],[Item_Price]]</f>
        <v>586</v>
      </c>
    </row>
    <row r="751" spans="1:23" x14ac:dyDescent="0.25">
      <c r="A751" t="s">
        <v>846</v>
      </c>
      <c r="B751" s="1">
        <v>45712</v>
      </c>
      <c r="C751" t="s">
        <v>517</v>
      </c>
      <c r="D751">
        <v>2</v>
      </c>
      <c r="E751">
        <v>24</v>
      </c>
      <c r="F751" t="s">
        <v>168</v>
      </c>
      <c r="G751" t="s">
        <v>25</v>
      </c>
      <c r="H751" t="s">
        <v>68</v>
      </c>
      <c r="I751" t="s">
        <v>57</v>
      </c>
      <c r="J751" t="s">
        <v>37</v>
      </c>
      <c r="K751" t="s">
        <v>38</v>
      </c>
      <c r="L751">
        <v>3</v>
      </c>
      <c r="M751">
        <v>468</v>
      </c>
      <c r="N751">
        <v>23.4</v>
      </c>
      <c r="O751">
        <v>50</v>
      </c>
      <c r="P751">
        <v>1404</v>
      </c>
      <c r="Q751">
        <v>1430.6</v>
      </c>
      <c r="R751" t="s">
        <v>30</v>
      </c>
      <c r="S751" t="s">
        <v>31</v>
      </c>
      <c r="T751" t="s">
        <v>32</v>
      </c>
      <c r="U751">
        <v>30</v>
      </c>
      <c r="V751">
        <v>4.8</v>
      </c>
      <c r="W751">
        <f>Table2[[#This Row],[Quantity]]*Table2[[#This Row],[Item_Price]]</f>
        <v>1404</v>
      </c>
    </row>
    <row r="752" spans="1:23" x14ac:dyDescent="0.25">
      <c r="A752" t="s">
        <v>847</v>
      </c>
      <c r="B752" s="1">
        <v>45712</v>
      </c>
      <c r="C752" t="s">
        <v>517</v>
      </c>
      <c r="D752">
        <v>2</v>
      </c>
      <c r="E752">
        <v>24</v>
      </c>
      <c r="F752" t="s">
        <v>168</v>
      </c>
      <c r="G752" t="s">
        <v>34</v>
      </c>
      <c r="H752" t="s">
        <v>26</v>
      </c>
      <c r="I752" t="s">
        <v>61</v>
      </c>
      <c r="J752" t="s">
        <v>37</v>
      </c>
      <c r="K752" t="s">
        <v>38</v>
      </c>
      <c r="L752">
        <v>1</v>
      </c>
      <c r="M752">
        <v>545</v>
      </c>
      <c r="N752">
        <v>54.5</v>
      </c>
      <c r="O752">
        <v>20</v>
      </c>
      <c r="P752">
        <v>545</v>
      </c>
      <c r="Q752">
        <v>510.5</v>
      </c>
      <c r="R752" t="s">
        <v>75</v>
      </c>
      <c r="S752" t="s">
        <v>31</v>
      </c>
      <c r="T752" t="s">
        <v>40</v>
      </c>
      <c r="U752">
        <v>50</v>
      </c>
      <c r="V752">
        <v>5</v>
      </c>
      <c r="W752">
        <f>Table2[[#This Row],[Quantity]]*Table2[[#This Row],[Item_Price]]</f>
        <v>545</v>
      </c>
    </row>
    <row r="753" spans="1:23" x14ac:dyDescent="0.25">
      <c r="A753" t="s">
        <v>848</v>
      </c>
      <c r="B753" s="1">
        <v>45712</v>
      </c>
      <c r="C753" t="s">
        <v>517</v>
      </c>
      <c r="D753">
        <v>2</v>
      </c>
      <c r="E753">
        <v>24</v>
      </c>
      <c r="F753" t="s">
        <v>168</v>
      </c>
      <c r="G753" t="s">
        <v>90</v>
      </c>
      <c r="H753" t="s">
        <v>135</v>
      </c>
      <c r="I753" t="s">
        <v>85</v>
      </c>
      <c r="J753" t="s">
        <v>70</v>
      </c>
      <c r="K753" t="s">
        <v>58</v>
      </c>
      <c r="L753">
        <v>2</v>
      </c>
      <c r="M753">
        <v>321</v>
      </c>
      <c r="N753">
        <v>64.2</v>
      </c>
      <c r="O753">
        <v>0</v>
      </c>
      <c r="P753">
        <v>642</v>
      </c>
      <c r="Q753">
        <v>577.79999999999995</v>
      </c>
      <c r="R753" t="s">
        <v>39</v>
      </c>
      <c r="S753" t="s">
        <v>31</v>
      </c>
      <c r="T753" t="s">
        <v>32</v>
      </c>
      <c r="U753">
        <v>37</v>
      </c>
      <c r="V753">
        <v>3.4</v>
      </c>
      <c r="W753">
        <f>Table2[[#This Row],[Quantity]]*Table2[[#This Row],[Item_Price]]</f>
        <v>642</v>
      </c>
    </row>
    <row r="754" spans="1:23" x14ac:dyDescent="0.25">
      <c r="A754" t="s">
        <v>849</v>
      </c>
      <c r="B754" s="1">
        <v>45712</v>
      </c>
      <c r="C754" t="s">
        <v>517</v>
      </c>
      <c r="D754">
        <v>2</v>
      </c>
      <c r="E754">
        <v>24</v>
      </c>
      <c r="F754" t="s">
        <v>168</v>
      </c>
      <c r="G754" t="s">
        <v>64</v>
      </c>
      <c r="H754" t="s">
        <v>135</v>
      </c>
      <c r="I754" t="s">
        <v>43</v>
      </c>
      <c r="J754" t="s">
        <v>53</v>
      </c>
      <c r="K754" t="s">
        <v>38</v>
      </c>
      <c r="L754">
        <v>1</v>
      </c>
      <c r="M754">
        <v>397</v>
      </c>
      <c r="N754">
        <v>99.25</v>
      </c>
      <c r="O754">
        <v>30</v>
      </c>
      <c r="P754">
        <v>397</v>
      </c>
      <c r="Q754">
        <v>327.75</v>
      </c>
      <c r="R754" t="s">
        <v>39</v>
      </c>
      <c r="S754" t="s">
        <v>110</v>
      </c>
      <c r="T754" t="s">
        <v>40</v>
      </c>
      <c r="U754">
        <v>52</v>
      </c>
      <c r="W754">
        <f>Table2[[#This Row],[Quantity]]*Table2[[#This Row],[Item_Price]]</f>
        <v>397</v>
      </c>
    </row>
    <row r="755" spans="1:23" x14ac:dyDescent="0.25">
      <c r="A755" t="s">
        <v>850</v>
      </c>
      <c r="B755" s="1">
        <v>45712</v>
      </c>
      <c r="C755" t="s">
        <v>517</v>
      </c>
      <c r="D755">
        <v>2</v>
      </c>
      <c r="E755">
        <v>24</v>
      </c>
      <c r="F755" t="s">
        <v>168</v>
      </c>
      <c r="G755" t="s">
        <v>55</v>
      </c>
      <c r="H755" t="s">
        <v>68</v>
      </c>
      <c r="I755" t="s">
        <v>49</v>
      </c>
      <c r="J755" t="s">
        <v>101</v>
      </c>
      <c r="K755" t="s">
        <v>45</v>
      </c>
      <c r="L755">
        <v>1</v>
      </c>
      <c r="M755">
        <v>772</v>
      </c>
      <c r="N755">
        <v>38.6</v>
      </c>
      <c r="O755">
        <v>40</v>
      </c>
      <c r="P755">
        <v>772</v>
      </c>
      <c r="Q755">
        <v>773.4</v>
      </c>
      <c r="R755" t="s">
        <v>39</v>
      </c>
      <c r="S755" t="s">
        <v>31</v>
      </c>
      <c r="T755" t="s">
        <v>32</v>
      </c>
      <c r="U755">
        <v>24</v>
      </c>
      <c r="V755">
        <v>3</v>
      </c>
      <c r="W755">
        <f>Table2[[#This Row],[Quantity]]*Table2[[#This Row],[Item_Price]]</f>
        <v>772</v>
      </c>
    </row>
    <row r="756" spans="1:23" x14ac:dyDescent="0.25">
      <c r="A756" t="s">
        <v>851</v>
      </c>
      <c r="B756" s="1">
        <v>45712</v>
      </c>
      <c r="C756" t="s">
        <v>517</v>
      </c>
      <c r="D756">
        <v>2</v>
      </c>
      <c r="E756">
        <v>24</v>
      </c>
      <c r="F756" t="s">
        <v>168</v>
      </c>
      <c r="G756" t="s">
        <v>64</v>
      </c>
      <c r="H756" t="s">
        <v>139</v>
      </c>
      <c r="I756" t="s">
        <v>57</v>
      </c>
      <c r="J756" t="s">
        <v>123</v>
      </c>
      <c r="K756" t="s">
        <v>38</v>
      </c>
      <c r="L756">
        <v>1</v>
      </c>
      <c r="M756">
        <v>735</v>
      </c>
      <c r="N756">
        <v>73.5</v>
      </c>
      <c r="O756">
        <v>70</v>
      </c>
      <c r="P756">
        <v>735</v>
      </c>
      <c r="Q756">
        <v>731.5</v>
      </c>
      <c r="R756" t="s">
        <v>39</v>
      </c>
      <c r="S756" t="s">
        <v>31</v>
      </c>
      <c r="T756" t="s">
        <v>32</v>
      </c>
      <c r="U756">
        <v>28</v>
      </c>
      <c r="V756">
        <v>3</v>
      </c>
      <c r="W756">
        <f>Table2[[#This Row],[Quantity]]*Table2[[#This Row],[Item_Price]]</f>
        <v>735</v>
      </c>
    </row>
    <row r="757" spans="1:23" x14ac:dyDescent="0.25">
      <c r="A757" t="s">
        <v>852</v>
      </c>
      <c r="B757" s="1">
        <v>45713</v>
      </c>
      <c r="C757" t="s">
        <v>517</v>
      </c>
      <c r="D757">
        <v>2</v>
      </c>
      <c r="E757">
        <v>25</v>
      </c>
      <c r="F757" t="s">
        <v>178</v>
      </c>
      <c r="G757" t="s">
        <v>64</v>
      </c>
      <c r="H757" t="s">
        <v>105</v>
      </c>
      <c r="I757" t="s">
        <v>36</v>
      </c>
      <c r="J757" t="s">
        <v>123</v>
      </c>
      <c r="K757" t="s">
        <v>38</v>
      </c>
      <c r="L757">
        <v>2</v>
      </c>
      <c r="M757">
        <v>233</v>
      </c>
      <c r="N757">
        <v>23.3</v>
      </c>
      <c r="O757">
        <v>20</v>
      </c>
      <c r="P757">
        <v>466</v>
      </c>
      <c r="Q757">
        <v>462.7</v>
      </c>
      <c r="R757" t="s">
        <v>39</v>
      </c>
      <c r="S757" t="s">
        <v>31</v>
      </c>
      <c r="T757" t="s">
        <v>32</v>
      </c>
      <c r="U757">
        <v>20</v>
      </c>
      <c r="V757">
        <v>4.0999999999999996</v>
      </c>
      <c r="W757">
        <f>Table2[[#This Row],[Quantity]]*Table2[[#This Row],[Item_Price]]</f>
        <v>466</v>
      </c>
    </row>
    <row r="758" spans="1:23" x14ac:dyDescent="0.25">
      <c r="A758" t="s">
        <v>853</v>
      </c>
      <c r="B758" s="1">
        <v>45713</v>
      </c>
      <c r="C758" t="s">
        <v>517</v>
      </c>
      <c r="D758">
        <v>2</v>
      </c>
      <c r="E758">
        <v>25</v>
      </c>
      <c r="F758" t="s">
        <v>178</v>
      </c>
      <c r="G758" t="s">
        <v>73</v>
      </c>
      <c r="H758" t="s">
        <v>65</v>
      </c>
      <c r="I758" t="s">
        <v>69</v>
      </c>
      <c r="J758" t="s">
        <v>74</v>
      </c>
      <c r="K758" t="s">
        <v>45</v>
      </c>
      <c r="L758">
        <v>1</v>
      </c>
      <c r="M758">
        <v>258</v>
      </c>
      <c r="N758">
        <v>25.8</v>
      </c>
      <c r="O758">
        <v>40</v>
      </c>
      <c r="P758">
        <v>258</v>
      </c>
      <c r="Q758">
        <v>272.2</v>
      </c>
      <c r="R758" t="s">
        <v>75</v>
      </c>
      <c r="S758" t="s">
        <v>31</v>
      </c>
      <c r="T758" t="s">
        <v>40</v>
      </c>
      <c r="U758">
        <v>52</v>
      </c>
      <c r="V758">
        <v>3.6</v>
      </c>
      <c r="W758">
        <f>Table2[[#This Row],[Quantity]]*Table2[[#This Row],[Item_Price]]</f>
        <v>258</v>
      </c>
    </row>
    <row r="759" spans="1:23" x14ac:dyDescent="0.25">
      <c r="A759" t="s">
        <v>854</v>
      </c>
      <c r="B759" s="1">
        <v>45713</v>
      </c>
      <c r="C759" t="s">
        <v>517</v>
      </c>
      <c r="D759">
        <v>2</v>
      </c>
      <c r="E759">
        <v>25</v>
      </c>
      <c r="F759" t="s">
        <v>178</v>
      </c>
      <c r="G759" t="s">
        <v>64</v>
      </c>
      <c r="H759" t="s">
        <v>60</v>
      </c>
      <c r="I759" t="s">
        <v>27</v>
      </c>
      <c r="J759" t="s">
        <v>82</v>
      </c>
      <c r="K759" t="s">
        <v>38</v>
      </c>
      <c r="L759">
        <v>2</v>
      </c>
      <c r="M759">
        <v>450</v>
      </c>
      <c r="N759">
        <v>45</v>
      </c>
      <c r="O759">
        <v>60</v>
      </c>
      <c r="P759">
        <v>900</v>
      </c>
      <c r="Q759">
        <v>915</v>
      </c>
      <c r="R759" t="s">
        <v>39</v>
      </c>
      <c r="S759" t="s">
        <v>46</v>
      </c>
      <c r="T759" t="s">
        <v>32</v>
      </c>
      <c r="U759">
        <v>55</v>
      </c>
      <c r="W759">
        <f>Table2[[#This Row],[Quantity]]*Table2[[#This Row],[Item_Price]]</f>
        <v>900</v>
      </c>
    </row>
    <row r="760" spans="1:23" x14ac:dyDescent="0.25">
      <c r="A760" t="s">
        <v>855</v>
      </c>
      <c r="B760" s="1">
        <v>45713</v>
      </c>
      <c r="C760" t="s">
        <v>517</v>
      </c>
      <c r="D760">
        <v>2</v>
      </c>
      <c r="E760">
        <v>25</v>
      </c>
      <c r="F760" t="s">
        <v>178</v>
      </c>
      <c r="G760" t="s">
        <v>25</v>
      </c>
      <c r="H760" t="s">
        <v>60</v>
      </c>
      <c r="I760" t="s">
        <v>43</v>
      </c>
      <c r="J760" t="s">
        <v>44</v>
      </c>
      <c r="K760" t="s">
        <v>38</v>
      </c>
      <c r="L760">
        <v>2</v>
      </c>
      <c r="M760">
        <v>788</v>
      </c>
      <c r="N760">
        <v>0</v>
      </c>
      <c r="O760">
        <v>20</v>
      </c>
      <c r="P760">
        <v>1576</v>
      </c>
      <c r="Q760">
        <v>1596</v>
      </c>
      <c r="R760" t="s">
        <v>75</v>
      </c>
      <c r="S760" t="s">
        <v>91</v>
      </c>
      <c r="T760" t="s">
        <v>32</v>
      </c>
      <c r="U760">
        <v>29</v>
      </c>
      <c r="W760">
        <f>Table2[[#This Row],[Quantity]]*Table2[[#This Row],[Item_Price]]</f>
        <v>1576</v>
      </c>
    </row>
    <row r="761" spans="1:23" x14ac:dyDescent="0.25">
      <c r="A761" t="s">
        <v>856</v>
      </c>
      <c r="B761" s="1">
        <v>45713</v>
      </c>
      <c r="C761" t="s">
        <v>517</v>
      </c>
      <c r="D761">
        <v>2</v>
      </c>
      <c r="E761">
        <v>25</v>
      </c>
      <c r="F761" t="s">
        <v>178</v>
      </c>
      <c r="G761" t="s">
        <v>64</v>
      </c>
      <c r="H761" t="s">
        <v>108</v>
      </c>
      <c r="I761" t="s">
        <v>97</v>
      </c>
      <c r="J761" t="s">
        <v>44</v>
      </c>
      <c r="K761" t="s">
        <v>38</v>
      </c>
      <c r="L761">
        <v>1</v>
      </c>
      <c r="M761">
        <v>531</v>
      </c>
      <c r="N761">
        <v>53.1</v>
      </c>
      <c r="O761">
        <v>40</v>
      </c>
      <c r="P761">
        <v>531</v>
      </c>
      <c r="Q761">
        <v>517.9</v>
      </c>
      <c r="R761" t="s">
        <v>112</v>
      </c>
      <c r="S761" t="s">
        <v>31</v>
      </c>
      <c r="T761" t="s">
        <v>40</v>
      </c>
      <c r="U761">
        <v>55</v>
      </c>
      <c r="V761">
        <v>4.8</v>
      </c>
      <c r="W761">
        <f>Table2[[#This Row],[Quantity]]*Table2[[#This Row],[Item_Price]]</f>
        <v>531</v>
      </c>
    </row>
    <row r="762" spans="1:23" x14ac:dyDescent="0.25">
      <c r="A762" t="s">
        <v>857</v>
      </c>
      <c r="B762" s="1">
        <v>45713</v>
      </c>
      <c r="C762" t="s">
        <v>517</v>
      </c>
      <c r="D762">
        <v>2</v>
      </c>
      <c r="E762">
        <v>25</v>
      </c>
      <c r="F762" t="s">
        <v>178</v>
      </c>
      <c r="G762" t="s">
        <v>80</v>
      </c>
      <c r="H762" t="s">
        <v>108</v>
      </c>
      <c r="I762" t="s">
        <v>61</v>
      </c>
      <c r="J762" t="s">
        <v>62</v>
      </c>
      <c r="K762" t="s">
        <v>38</v>
      </c>
      <c r="L762">
        <v>2</v>
      </c>
      <c r="M762">
        <v>852</v>
      </c>
      <c r="N762">
        <v>127.8</v>
      </c>
      <c r="O762">
        <v>20</v>
      </c>
      <c r="P762">
        <v>1704</v>
      </c>
      <c r="Q762">
        <v>1596.2</v>
      </c>
      <c r="R762" t="s">
        <v>30</v>
      </c>
      <c r="S762" t="s">
        <v>31</v>
      </c>
      <c r="T762" t="s">
        <v>40</v>
      </c>
      <c r="U762">
        <v>60</v>
      </c>
      <c r="V762">
        <v>3.8</v>
      </c>
      <c r="W762">
        <f>Table2[[#This Row],[Quantity]]*Table2[[#This Row],[Item_Price]]</f>
        <v>1704</v>
      </c>
    </row>
    <row r="763" spans="1:23" x14ac:dyDescent="0.25">
      <c r="A763" t="s">
        <v>858</v>
      </c>
      <c r="B763" s="1">
        <v>45713</v>
      </c>
      <c r="C763" t="s">
        <v>517</v>
      </c>
      <c r="D763">
        <v>2</v>
      </c>
      <c r="E763">
        <v>25</v>
      </c>
      <c r="F763" t="s">
        <v>178</v>
      </c>
      <c r="G763" t="s">
        <v>55</v>
      </c>
      <c r="H763" t="s">
        <v>35</v>
      </c>
      <c r="I763" t="s">
        <v>69</v>
      </c>
      <c r="J763" t="s">
        <v>44</v>
      </c>
      <c r="K763" t="s">
        <v>38</v>
      </c>
      <c r="L763">
        <v>1</v>
      </c>
      <c r="M763">
        <v>694</v>
      </c>
      <c r="N763">
        <v>69.400000000000006</v>
      </c>
      <c r="O763">
        <v>30</v>
      </c>
      <c r="P763">
        <v>694</v>
      </c>
      <c r="Q763">
        <v>654.6</v>
      </c>
      <c r="R763" t="s">
        <v>75</v>
      </c>
      <c r="S763" t="s">
        <v>31</v>
      </c>
      <c r="T763" t="s">
        <v>40</v>
      </c>
      <c r="U763">
        <v>58</v>
      </c>
      <c r="V763">
        <v>3.1</v>
      </c>
      <c r="W763">
        <f>Table2[[#This Row],[Quantity]]*Table2[[#This Row],[Item_Price]]</f>
        <v>694</v>
      </c>
    </row>
    <row r="764" spans="1:23" x14ac:dyDescent="0.25">
      <c r="A764" t="s">
        <v>859</v>
      </c>
      <c r="B764" s="1">
        <v>45713</v>
      </c>
      <c r="C764" t="s">
        <v>517</v>
      </c>
      <c r="D764">
        <v>2</v>
      </c>
      <c r="E764">
        <v>25</v>
      </c>
      <c r="F764" t="s">
        <v>178</v>
      </c>
      <c r="G764" t="s">
        <v>55</v>
      </c>
      <c r="H764" t="s">
        <v>139</v>
      </c>
      <c r="I764" t="s">
        <v>103</v>
      </c>
      <c r="J764" t="s">
        <v>101</v>
      </c>
      <c r="K764" t="s">
        <v>38</v>
      </c>
      <c r="L764">
        <v>2</v>
      </c>
      <c r="M764">
        <v>331</v>
      </c>
      <c r="N764">
        <v>66.2</v>
      </c>
      <c r="O764">
        <v>60</v>
      </c>
      <c r="P764">
        <v>662</v>
      </c>
      <c r="Q764">
        <v>655.8</v>
      </c>
      <c r="R764" t="s">
        <v>30</v>
      </c>
      <c r="S764" t="s">
        <v>31</v>
      </c>
      <c r="T764" t="s">
        <v>40</v>
      </c>
      <c r="U764">
        <v>52</v>
      </c>
      <c r="V764">
        <v>4</v>
      </c>
      <c r="W764">
        <f>Table2[[#This Row],[Quantity]]*Table2[[#This Row],[Item_Price]]</f>
        <v>662</v>
      </c>
    </row>
    <row r="765" spans="1:23" x14ac:dyDescent="0.25">
      <c r="A765" t="s">
        <v>860</v>
      </c>
      <c r="B765" s="1">
        <v>45713</v>
      </c>
      <c r="C765" t="s">
        <v>517</v>
      </c>
      <c r="D765">
        <v>2</v>
      </c>
      <c r="E765">
        <v>25</v>
      </c>
      <c r="F765" t="s">
        <v>178</v>
      </c>
      <c r="G765" t="s">
        <v>34</v>
      </c>
      <c r="H765" t="s">
        <v>68</v>
      </c>
      <c r="I765" t="s">
        <v>61</v>
      </c>
      <c r="J765" t="s">
        <v>82</v>
      </c>
      <c r="K765" t="s">
        <v>38</v>
      </c>
      <c r="L765">
        <v>1</v>
      </c>
      <c r="M765">
        <v>308</v>
      </c>
      <c r="N765">
        <v>0</v>
      </c>
      <c r="O765">
        <v>40</v>
      </c>
      <c r="P765">
        <v>308</v>
      </c>
      <c r="Q765">
        <v>348</v>
      </c>
      <c r="R765" t="s">
        <v>75</v>
      </c>
      <c r="S765" t="s">
        <v>31</v>
      </c>
      <c r="T765" t="s">
        <v>40</v>
      </c>
      <c r="U765">
        <v>47</v>
      </c>
      <c r="V765">
        <v>2.6</v>
      </c>
      <c r="W765">
        <f>Table2[[#This Row],[Quantity]]*Table2[[#This Row],[Item_Price]]</f>
        <v>308</v>
      </c>
    </row>
    <row r="766" spans="1:23" x14ac:dyDescent="0.25">
      <c r="A766" t="s">
        <v>861</v>
      </c>
      <c r="B766" s="1">
        <v>45714</v>
      </c>
      <c r="C766" t="s">
        <v>517</v>
      </c>
      <c r="D766">
        <v>2</v>
      </c>
      <c r="E766">
        <v>26</v>
      </c>
      <c r="F766" t="s">
        <v>24</v>
      </c>
      <c r="G766" t="s">
        <v>64</v>
      </c>
      <c r="H766" t="s">
        <v>68</v>
      </c>
      <c r="I766" t="s">
        <v>57</v>
      </c>
      <c r="J766" t="s">
        <v>44</v>
      </c>
      <c r="K766" t="s">
        <v>38</v>
      </c>
      <c r="L766">
        <v>1</v>
      </c>
      <c r="M766">
        <v>799</v>
      </c>
      <c r="N766">
        <v>79.900000000000006</v>
      </c>
      <c r="O766">
        <v>20</v>
      </c>
      <c r="P766">
        <v>799</v>
      </c>
      <c r="Q766">
        <v>739.1</v>
      </c>
      <c r="R766" t="s">
        <v>75</v>
      </c>
      <c r="S766" t="s">
        <v>31</v>
      </c>
      <c r="T766" t="s">
        <v>32</v>
      </c>
      <c r="U766">
        <v>31</v>
      </c>
      <c r="V766">
        <v>4.2</v>
      </c>
      <c r="W766">
        <f>Table2[[#This Row],[Quantity]]*Table2[[#This Row],[Item_Price]]</f>
        <v>799</v>
      </c>
    </row>
    <row r="767" spans="1:23" x14ac:dyDescent="0.25">
      <c r="A767" t="s">
        <v>862</v>
      </c>
      <c r="B767" s="1">
        <v>45714</v>
      </c>
      <c r="C767" t="s">
        <v>517</v>
      </c>
      <c r="D767">
        <v>2</v>
      </c>
      <c r="E767">
        <v>26</v>
      </c>
      <c r="F767" t="s">
        <v>24</v>
      </c>
      <c r="G767" t="s">
        <v>55</v>
      </c>
      <c r="H767" t="s">
        <v>139</v>
      </c>
      <c r="I767" t="s">
        <v>69</v>
      </c>
      <c r="J767" t="s">
        <v>66</v>
      </c>
      <c r="K767" t="s">
        <v>38</v>
      </c>
      <c r="L767">
        <v>1</v>
      </c>
      <c r="M767">
        <v>865</v>
      </c>
      <c r="N767">
        <v>216.25</v>
      </c>
      <c r="O767">
        <v>20</v>
      </c>
      <c r="P767">
        <v>865</v>
      </c>
      <c r="Q767">
        <v>668.75</v>
      </c>
      <c r="R767" t="s">
        <v>39</v>
      </c>
      <c r="S767" t="s">
        <v>31</v>
      </c>
      <c r="T767" t="s">
        <v>40</v>
      </c>
      <c r="U767">
        <v>22</v>
      </c>
      <c r="V767">
        <v>3.8</v>
      </c>
      <c r="W767">
        <f>Table2[[#This Row],[Quantity]]*Table2[[#This Row],[Item_Price]]</f>
        <v>865</v>
      </c>
    </row>
    <row r="768" spans="1:23" x14ac:dyDescent="0.25">
      <c r="A768" t="s">
        <v>863</v>
      </c>
      <c r="B768" s="1">
        <v>45714</v>
      </c>
      <c r="C768" t="s">
        <v>517</v>
      </c>
      <c r="D768">
        <v>2</v>
      </c>
      <c r="E768">
        <v>26</v>
      </c>
      <c r="F768" t="s">
        <v>24</v>
      </c>
      <c r="G768" t="s">
        <v>34</v>
      </c>
      <c r="H768" t="s">
        <v>60</v>
      </c>
      <c r="I768" t="s">
        <v>97</v>
      </c>
      <c r="J768" t="s">
        <v>53</v>
      </c>
      <c r="K768" t="s">
        <v>38</v>
      </c>
      <c r="L768">
        <v>2</v>
      </c>
      <c r="M768">
        <v>503</v>
      </c>
      <c r="N768">
        <v>50.3</v>
      </c>
      <c r="O768">
        <v>0</v>
      </c>
      <c r="P768">
        <v>1006</v>
      </c>
      <c r="Q768">
        <v>955.7</v>
      </c>
      <c r="R768" t="s">
        <v>30</v>
      </c>
      <c r="S768" t="s">
        <v>31</v>
      </c>
      <c r="T768" t="s">
        <v>32</v>
      </c>
      <c r="U768">
        <v>63</v>
      </c>
      <c r="V768">
        <v>4.7</v>
      </c>
      <c r="W768">
        <f>Table2[[#This Row],[Quantity]]*Table2[[#This Row],[Item_Price]]</f>
        <v>1006</v>
      </c>
    </row>
    <row r="769" spans="1:23" x14ac:dyDescent="0.25">
      <c r="A769" t="s">
        <v>864</v>
      </c>
      <c r="B769" s="1">
        <v>45714</v>
      </c>
      <c r="C769" t="s">
        <v>517</v>
      </c>
      <c r="D769">
        <v>2</v>
      </c>
      <c r="E769">
        <v>26</v>
      </c>
      <c r="F769" t="s">
        <v>24</v>
      </c>
      <c r="G769" t="s">
        <v>55</v>
      </c>
      <c r="H769" t="s">
        <v>68</v>
      </c>
      <c r="I769" t="s">
        <v>57</v>
      </c>
      <c r="J769" t="s">
        <v>74</v>
      </c>
      <c r="K769" t="s">
        <v>45</v>
      </c>
      <c r="L769">
        <v>3</v>
      </c>
      <c r="M769">
        <v>877</v>
      </c>
      <c r="N769">
        <v>175.4</v>
      </c>
      <c r="O769">
        <v>40</v>
      </c>
      <c r="P769">
        <v>2631</v>
      </c>
      <c r="Q769">
        <v>2495.6</v>
      </c>
      <c r="R769" t="s">
        <v>75</v>
      </c>
      <c r="S769" t="s">
        <v>91</v>
      </c>
      <c r="T769" t="s">
        <v>40</v>
      </c>
      <c r="U769">
        <v>18</v>
      </c>
      <c r="W769">
        <f>Table2[[#This Row],[Quantity]]*Table2[[#This Row],[Item_Price]]</f>
        <v>2631</v>
      </c>
    </row>
    <row r="770" spans="1:23" x14ac:dyDescent="0.25">
      <c r="A770" t="s">
        <v>865</v>
      </c>
      <c r="B770" s="1">
        <v>45714</v>
      </c>
      <c r="C770" t="s">
        <v>517</v>
      </c>
      <c r="D770">
        <v>2</v>
      </c>
      <c r="E770">
        <v>26</v>
      </c>
      <c r="F770" t="s">
        <v>24</v>
      </c>
      <c r="G770" t="s">
        <v>55</v>
      </c>
      <c r="H770" t="s">
        <v>68</v>
      </c>
      <c r="I770" t="s">
        <v>61</v>
      </c>
      <c r="J770" t="s">
        <v>78</v>
      </c>
      <c r="K770" t="s">
        <v>58</v>
      </c>
      <c r="L770">
        <v>3</v>
      </c>
      <c r="M770">
        <v>193</v>
      </c>
      <c r="N770">
        <v>19.3</v>
      </c>
      <c r="O770">
        <v>30</v>
      </c>
      <c r="P770">
        <v>579</v>
      </c>
      <c r="Q770">
        <v>589.70000000000005</v>
      </c>
      <c r="R770" t="s">
        <v>75</v>
      </c>
      <c r="S770" t="s">
        <v>31</v>
      </c>
      <c r="T770" t="s">
        <v>40</v>
      </c>
      <c r="U770">
        <v>46</v>
      </c>
      <c r="V770">
        <v>4.0999999999999996</v>
      </c>
      <c r="W770">
        <f>Table2[[#This Row],[Quantity]]*Table2[[#This Row],[Item_Price]]</f>
        <v>579</v>
      </c>
    </row>
    <row r="771" spans="1:23" x14ac:dyDescent="0.25">
      <c r="A771" t="s">
        <v>866</v>
      </c>
      <c r="B771" s="1">
        <v>45714</v>
      </c>
      <c r="C771" t="s">
        <v>517</v>
      </c>
      <c r="D771">
        <v>2</v>
      </c>
      <c r="E771">
        <v>26</v>
      </c>
      <c r="F771" t="s">
        <v>24</v>
      </c>
      <c r="G771" t="s">
        <v>64</v>
      </c>
      <c r="H771" t="s">
        <v>48</v>
      </c>
      <c r="I771" t="s">
        <v>49</v>
      </c>
      <c r="J771" t="s">
        <v>172</v>
      </c>
      <c r="K771" t="s">
        <v>38</v>
      </c>
      <c r="L771">
        <v>2</v>
      </c>
      <c r="M771">
        <v>603</v>
      </c>
      <c r="N771">
        <v>0</v>
      </c>
      <c r="O771">
        <v>30</v>
      </c>
      <c r="P771">
        <v>1206</v>
      </c>
      <c r="Q771">
        <v>1236</v>
      </c>
      <c r="R771" t="s">
        <v>39</v>
      </c>
      <c r="S771" t="s">
        <v>31</v>
      </c>
      <c r="T771" t="s">
        <v>40</v>
      </c>
      <c r="U771">
        <v>70</v>
      </c>
      <c r="V771">
        <v>4.0999999999999996</v>
      </c>
      <c r="W771">
        <f>Table2[[#This Row],[Quantity]]*Table2[[#This Row],[Item_Price]]</f>
        <v>1206</v>
      </c>
    </row>
    <row r="772" spans="1:23" x14ac:dyDescent="0.25">
      <c r="A772" t="s">
        <v>867</v>
      </c>
      <c r="B772" s="1">
        <v>45714</v>
      </c>
      <c r="C772" t="s">
        <v>517</v>
      </c>
      <c r="D772">
        <v>2</v>
      </c>
      <c r="E772">
        <v>26</v>
      </c>
      <c r="F772" t="s">
        <v>24</v>
      </c>
      <c r="G772" t="s">
        <v>73</v>
      </c>
      <c r="H772" t="s">
        <v>52</v>
      </c>
      <c r="I772" t="s">
        <v>97</v>
      </c>
      <c r="J772" t="s">
        <v>37</v>
      </c>
      <c r="K772" t="s">
        <v>45</v>
      </c>
      <c r="L772">
        <v>2</v>
      </c>
      <c r="M772">
        <v>442</v>
      </c>
      <c r="N772">
        <v>66.3</v>
      </c>
      <c r="O772">
        <v>50</v>
      </c>
      <c r="P772">
        <v>884</v>
      </c>
      <c r="Q772">
        <v>867.7</v>
      </c>
      <c r="R772" t="s">
        <v>30</v>
      </c>
      <c r="S772" t="s">
        <v>91</v>
      </c>
      <c r="T772" t="s">
        <v>32</v>
      </c>
      <c r="U772">
        <v>69</v>
      </c>
      <c r="W772">
        <f>Table2[[#This Row],[Quantity]]*Table2[[#This Row],[Item_Price]]</f>
        <v>884</v>
      </c>
    </row>
    <row r="773" spans="1:23" x14ac:dyDescent="0.25">
      <c r="A773" t="s">
        <v>868</v>
      </c>
      <c r="B773" s="1">
        <v>45714</v>
      </c>
      <c r="C773" t="s">
        <v>517</v>
      </c>
      <c r="D773">
        <v>2</v>
      </c>
      <c r="E773">
        <v>26</v>
      </c>
      <c r="F773" t="s">
        <v>24</v>
      </c>
      <c r="G773" t="s">
        <v>73</v>
      </c>
      <c r="H773" t="s">
        <v>108</v>
      </c>
      <c r="I773" t="s">
        <v>103</v>
      </c>
      <c r="J773" t="s">
        <v>94</v>
      </c>
      <c r="K773" t="s">
        <v>38</v>
      </c>
      <c r="L773">
        <v>2</v>
      </c>
      <c r="M773">
        <v>335</v>
      </c>
      <c r="N773">
        <v>16.75</v>
      </c>
      <c r="O773">
        <v>40</v>
      </c>
      <c r="P773">
        <v>670</v>
      </c>
      <c r="Q773">
        <v>693.25</v>
      </c>
      <c r="R773" t="s">
        <v>39</v>
      </c>
      <c r="S773" t="s">
        <v>31</v>
      </c>
      <c r="T773" t="s">
        <v>40</v>
      </c>
      <c r="U773">
        <v>47</v>
      </c>
      <c r="V773">
        <v>2.9</v>
      </c>
      <c r="W773">
        <f>Table2[[#This Row],[Quantity]]*Table2[[#This Row],[Item_Price]]</f>
        <v>670</v>
      </c>
    </row>
    <row r="774" spans="1:23" x14ac:dyDescent="0.25">
      <c r="A774" t="s">
        <v>869</v>
      </c>
      <c r="B774" s="1">
        <v>45714</v>
      </c>
      <c r="C774" t="s">
        <v>517</v>
      </c>
      <c r="D774">
        <v>2</v>
      </c>
      <c r="E774">
        <v>26</v>
      </c>
      <c r="F774" t="s">
        <v>24</v>
      </c>
      <c r="G774" t="s">
        <v>55</v>
      </c>
      <c r="H774" t="s">
        <v>77</v>
      </c>
      <c r="I774" t="s">
        <v>43</v>
      </c>
      <c r="J774" t="s">
        <v>123</v>
      </c>
      <c r="K774" t="s">
        <v>38</v>
      </c>
      <c r="L774">
        <v>2</v>
      </c>
      <c r="M774">
        <v>766</v>
      </c>
      <c r="N774">
        <v>38.299999999999997</v>
      </c>
      <c r="O774">
        <v>60</v>
      </c>
      <c r="P774">
        <v>1532</v>
      </c>
      <c r="Q774">
        <v>1553.7</v>
      </c>
      <c r="R774" t="s">
        <v>112</v>
      </c>
      <c r="S774" t="s">
        <v>31</v>
      </c>
      <c r="T774" t="s">
        <v>32</v>
      </c>
      <c r="U774">
        <v>51</v>
      </c>
      <c r="V774">
        <v>3.5</v>
      </c>
      <c r="W774">
        <f>Table2[[#This Row],[Quantity]]*Table2[[#This Row],[Item_Price]]</f>
        <v>1532</v>
      </c>
    </row>
    <row r="775" spans="1:23" x14ac:dyDescent="0.25">
      <c r="A775" t="s">
        <v>870</v>
      </c>
      <c r="B775" s="1">
        <v>45714</v>
      </c>
      <c r="C775" t="s">
        <v>517</v>
      </c>
      <c r="D775">
        <v>2</v>
      </c>
      <c r="E775">
        <v>26</v>
      </c>
      <c r="F775" t="s">
        <v>24</v>
      </c>
      <c r="G775" t="s">
        <v>80</v>
      </c>
      <c r="H775" t="s">
        <v>56</v>
      </c>
      <c r="I775" t="s">
        <v>103</v>
      </c>
      <c r="J775" t="s">
        <v>44</v>
      </c>
      <c r="K775" t="s">
        <v>38</v>
      </c>
      <c r="L775">
        <v>1</v>
      </c>
      <c r="M775">
        <v>354</v>
      </c>
      <c r="N775">
        <v>88.5</v>
      </c>
      <c r="O775">
        <v>50</v>
      </c>
      <c r="P775">
        <v>354</v>
      </c>
      <c r="Q775">
        <v>315.5</v>
      </c>
      <c r="R775" t="s">
        <v>39</v>
      </c>
      <c r="S775" t="s">
        <v>91</v>
      </c>
      <c r="T775" t="s">
        <v>40</v>
      </c>
      <c r="U775">
        <v>59</v>
      </c>
      <c r="W775">
        <f>Table2[[#This Row],[Quantity]]*Table2[[#This Row],[Item_Price]]</f>
        <v>354</v>
      </c>
    </row>
    <row r="776" spans="1:23" x14ac:dyDescent="0.25">
      <c r="A776" t="s">
        <v>871</v>
      </c>
      <c r="B776" s="1">
        <v>45715</v>
      </c>
      <c r="C776" t="s">
        <v>517</v>
      </c>
      <c r="D776">
        <v>2</v>
      </c>
      <c r="E776">
        <v>27</v>
      </c>
      <c r="F776" t="s">
        <v>88</v>
      </c>
      <c r="G776" t="s">
        <v>115</v>
      </c>
      <c r="H776" t="s">
        <v>68</v>
      </c>
      <c r="I776" t="s">
        <v>103</v>
      </c>
      <c r="J776" t="s">
        <v>101</v>
      </c>
      <c r="K776" t="s">
        <v>45</v>
      </c>
      <c r="L776">
        <v>2</v>
      </c>
      <c r="M776">
        <v>299</v>
      </c>
      <c r="N776">
        <v>74.75</v>
      </c>
      <c r="O776">
        <v>60</v>
      </c>
      <c r="P776">
        <v>598</v>
      </c>
      <c r="Q776">
        <v>583.25</v>
      </c>
      <c r="R776" t="s">
        <v>75</v>
      </c>
      <c r="S776" t="s">
        <v>31</v>
      </c>
      <c r="T776" t="s">
        <v>40</v>
      </c>
      <c r="U776">
        <v>52</v>
      </c>
      <c r="V776">
        <v>4.7</v>
      </c>
      <c r="W776">
        <f>Table2[[#This Row],[Quantity]]*Table2[[#This Row],[Item_Price]]</f>
        <v>598</v>
      </c>
    </row>
    <row r="777" spans="1:23" x14ac:dyDescent="0.25">
      <c r="A777" t="s">
        <v>872</v>
      </c>
      <c r="B777" s="1">
        <v>45715</v>
      </c>
      <c r="C777" t="s">
        <v>517</v>
      </c>
      <c r="D777">
        <v>2</v>
      </c>
      <c r="E777">
        <v>27</v>
      </c>
      <c r="F777" t="s">
        <v>88</v>
      </c>
      <c r="G777" t="s">
        <v>80</v>
      </c>
      <c r="H777" t="s">
        <v>77</v>
      </c>
      <c r="I777" t="s">
        <v>85</v>
      </c>
      <c r="J777" t="s">
        <v>28</v>
      </c>
      <c r="K777" t="s">
        <v>45</v>
      </c>
      <c r="L777">
        <v>3</v>
      </c>
      <c r="M777">
        <v>664</v>
      </c>
      <c r="N777">
        <v>132.80000000000001</v>
      </c>
      <c r="O777">
        <v>30</v>
      </c>
      <c r="P777">
        <v>1992</v>
      </c>
      <c r="Q777">
        <v>1889.2</v>
      </c>
      <c r="R777" t="s">
        <v>39</v>
      </c>
      <c r="S777" t="s">
        <v>46</v>
      </c>
      <c r="T777" t="s">
        <v>32</v>
      </c>
      <c r="U777">
        <v>53</v>
      </c>
      <c r="W777">
        <f>Table2[[#This Row],[Quantity]]*Table2[[#This Row],[Item_Price]]</f>
        <v>1992</v>
      </c>
    </row>
    <row r="778" spans="1:23" x14ac:dyDescent="0.25">
      <c r="A778" t="s">
        <v>873</v>
      </c>
      <c r="B778" s="1">
        <v>45715</v>
      </c>
      <c r="C778" t="s">
        <v>517</v>
      </c>
      <c r="D778">
        <v>2</v>
      </c>
      <c r="E778">
        <v>27</v>
      </c>
      <c r="F778" t="s">
        <v>88</v>
      </c>
      <c r="G778" t="s">
        <v>96</v>
      </c>
      <c r="H778" t="s">
        <v>108</v>
      </c>
      <c r="I778" t="s">
        <v>61</v>
      </c>
      <c r="J778" t="s">
        <v>172</v>
      </c>
      <c r="K778" t="s">
        <v>38</v>
      </c>
      <c r="L778">
        <v>1</v>
      </c>
      <c r="M778">
        <v>536</v>
      </c>
      <c r="N778">
        <v>80.400000000000006</v>
      </c>
      <c r="O778">
        <v>60</v>
      </c>
      <c r="P778">
        <v>536</v>
      </c>
      <c r="Q778">
        <v>515.6</v>
      </c>
      <c r="R778" t="s">
        <v>39</v>
      </c>
      <c r="S778" t="s">
        <v>31</v>
      </c>
      <c r="T778" t="s">
        <v>40</v>
      </c>
      <c r="U778">
        <v>39</v>
      </c>
      <c r="V778">
        <v>4.4000000000000004</v>
      </c>
      <c r="W778">
        <f>Table2[[#This Row],[Quantity]]*Table2[[#This Row],[Item_Price]]</f>
        <v>536</v>
      </c>
    </row>
    <row r="779" spans="1:23" x14ac:dyDescent="0.25">
      <c r="A779" t="s">
        <v>874</v>
      </c>
      <c r="B779" s="1">
        <v>45715</v>
      </c>
      <c r="C779" t="s">
        <v>517</v>
      </c>
      <c r="D779">
        <v>2</v>
      </c>
      <c r="E779">
        <v>27</v>
      </c>
      <c r="F779" t="s">
        <v>88</v>
      </c>
      <c r="G779" t="s">
        <v>73</v>
      </c>
      <c r="H779" t="s">
        <v>35</v>
      </c>
      <c r="I779" t="s">
        <v>69</v>
      </c>
      <c r="J779" t="s">
        <v>74</v>
      </c>
      <c r="K779" t="s">
        <v>45</v>
      </c>
      <c r="L779">
        <v>3</v>
      </c>
      <c r="M779">
        <v>879</v>
      </c>
      <c r="N779">
        <v>0</v>
      </c>
      <c r="O779">
        <v>50</v>
      </c>
      <c r="P779">
        <v>2637</v>
      </c>
      <c r="Q779">
        <v>2687</v>
      </c>
      <c r="R779" t="s">
        <v>30</v>
      </c>
      <c r="S779" t="s">
        <v>31</v>
      </c>
      <c r="T779" t="s">
        <v>40</v>
      </c>
      <c r="U779">
        <v>44</v>
      </c>
      <c r="V779">
        <v>5</v>
      </c>
      <c r="W779">
        <f>Table2[[#This Row],[Quantity]]*Table2[[#This Row],[Item_Price]]</f>
        <v>2637</v>
      </c>
    </row>
    <row r="780" spans="1:23" x14ac:dyDescent="0.25">
      <c r="A780" t="s">
        <v>875</v>
      </c>
      <c r="B780" s="1">
        <v>45715</v>
      </c>
      <c r="C780" t="s">
        <v>517</v>
      </c>
      <c r="D780">
        <v>2</v>
      </c>
      <c r="E780">
        <v>27</v>
      </c>
      <c r="F780" t="s">
        <v>88</v>
      </c>
      <c r="G780" t="s">
        <v>80</v>
      </c>
      <c r="H780" t="s">
        <v>42</v>
      </c>
      <c r="I780" t="s">
        <v>97</v>
      </c>
      <c r="J780" t="s">
        <v>82</v>
      </c>
      <c r="K780" t="s">
        <v>38</v>
      </c>
      <c r="L780">
        <v>2</v>
      </c>
      <c r="M780">
        <v>688</v>
      </c>
      <c r="N780">
        <v>103.2</v>
      </c>
      <c r="O780">
        <v>20</v>
      </c>
      <c r="P780">
        <v>1376</v>
      </c>
      <c r="Q780">
        <v>1292.8</v>
      </c>
      <c r="R780" t="s">
        <v>112</v>
      </c>
      <c r="S780" t="s">
        <v>31</v>
      </c>
      <c r="T780" t="s">
        <v>32</v>
      </c>
      <c r="U780">
        <v>26</v>
      </c>
      <c r="V780">
        <v>5</v>
      </c>
      <c r="W780">
        <f>Table2[[#This Row],[Quantity]]*Table2[[#This Row],[Item_Price]]</f>
        <v>1376</v>
      </c>
    </row>
    <row r="781" spans="1:23" x14ac:dyDescent="0.25">
      <c r="A781" t="s">
        <v>876</v>
      </c>
      <c r="B781" s="1">
        <v>45715</v>
      </c>
      <c r="C781" t="s">
        <v>517</v>
      </c>
      <c r="D781">
        <v>2</v>
      </c>
      <c r="E781">
        <v>27</v>
      </c>
      <c r="F781" t="s">
        <v>88</v>
      </c>
      <c r="G781" t="s">
        <v>115</v>
      </c>
      <c r="H781" t="s">
        <v>35</v>
      </c>
      <c r="I781" t="s">
        <v>49</v>
      </c>
      <c r="J781" t="s">
        <v>44</v>
      </c>
      <c r="K781" t="s">
        <v>45</v>
      </c>
      <c r="L781">
        <v>1</v>
      </c>
      <c r="M781">
        <v>287</v>
      </c>
      <c r="N781">
        <v>28.7</v>
      </c>
      <c r="O781">
        <v>0</v>
      </c>
      <c r="P781">
        <v>287</v>
      </c>
      <c r="Q781">
        <v>258.3</v>
      </c>
      <c r="R781" t="s">
        <v>39</v>
      </c>
      <c r="S781" t="s">
        <v>31</v>
      </c>
      <c r="T781" t="s">
        <v>32</v>
      </c>
      <c r="U781">
        <v>50</v>
      </c>
      <c r="V781">
        <v>3</v>
      </c>
      <c r="W781">
        <f>Table2[[#This Row],[Quantity]]*Table2[[#This Row],[Item_Price]]</f>
        <v>287</v>
      </c>
    </row>
    <row r="782" spans="1:23" x14ac:dyDescent="0.25">
      <c r="A782" t="s">
        <v>877</v>
      </c>
      <c r="B782" s="1">
        <v>45715</v>
      </c>
      <c r="C782" t="s">
        <v>517</v>
      </c>
      <c r="D782">
        <v>2</v>
      </c>
      <c r="E782">
        <v>27</v>
      </c>
      <c r="F782" t="s">
        <v>88</v>
      </c>
      <c r="G782" t="s">
        <v>73</v>
      </c>
      <c r="H782" t="s">
        <v>60</v>
      </c>
      <c r="I782" t="s">
        <v>85</v>
      </c>
      <c r="J782" t="s">
        <v>50</v>
      </c>
      <c r="K782" t="s">
        <v>38</v>
      </c>
      <c r="L782">
        <v>1</v>
      </c>
      <c r="M782">
        <v>767</v>
      </c>
      <c r="N782">
        <v>0</v>
      </c>
      <c r="O782">
        <v>20</v>
      </c>
      <c r="P782">
        <v>767</v>
      </c>
      <c r="Q782">
        <v>787</v>
      </c>
      <c r="R782" t="s">
        <v>30</v>
      </c>
      <c r="S782" t="s">
        <v>31</v>
      </c>
      <c r="T782" t="s">
        <v>32</v>
      </c>
      <c r="U782">
        <v>63</v>
      </c>
      <c r="V782">
        <v>4.4000000000000004</v>
      </c>
      <c r="W782">
        <f>Table2[[#This Row],[Quantity]]*Table2[[#This Row],[Item_Price]]</f>
        <v>767</v>
      </c>
    </row>
    <row r="783" spans="1:23" x14ac:dyDescent="0.25">
      <c r="A783" t="s">
        <v>878</v>
      </c>
      <c r="B783" s="1">
        <v>45715</v>
      </c>
      <c r="C783" t="s">
        <v>517</v>
      </c>
      <c r="D783">
        <v>2</v>
      </c>
      <c r="E783">
        <v>27</v>
      </c>
      <c r="F783" t="s">
        <v>88</v>
      </c>
      <c r="G783" t="s">
        <v>55</v>
      </c>
      <c r="H783" t="s">
        <v>52</v>
      </c>
      <c r="I783" t="s">
        <v>69</v>
      </c>
      <c r="J783" t="s">
        <v>74</v>
      </c>
      <c r="K783" t="s">
        <v>38</v>
      </c>
      <c r="L783">
        <v>1</v>
      </c>
      <c r="M783">
        <v>175</v>
      </c>
      <c r="N783">
        <v>8.75</v>
      </c>
      <c r="O783">
        <v>30</v>
      </c>
      <c r="P783">
        <v>175</v>
      </c>
      <c r="Q783">
        <v>196.25</v>
      </c>
      <c r="R783" t="s">
        <v>39</v>
      </c>
      <c r="S783" t="s">
        <v>46</v>
      </c>
      <c r="T783" t="s">
        <v>40</v>
      </c>
      <c r="U783">
        <v>61</v>
      </c>
      <c r="W783">
        <f>Table2[[#This Row],[Quantity]]*Table2[[#This Row],[Item_Price]]</f>
        <v>175</v>
      </c>
    </row>
    <row r="784" spans="1:23" x14ac:dyDescent="0.25">
      <c r="A784" t="s">
        <v>879</v>
      </c>
      <c r="B784" s="1">
        <v>45715</v>
      </c>
      <c r="C784" t="s">
        <v>517</v>
      </c>
      <c r="D784">
        <v>2</v>
      </c>
      <c r="E784">
        <v>27</v>
      </c>
      <c r="F784" t="s">
        <v>88</v>
      </c>
      <c r="G784" t="s">
        <v>80</v>
      </c>
      <c r="H784" t="s">
        <v>56</v>
      </c>
      <c r="I784" t="s">
        <v>97</v>
      </c>
      <c r="J784" t="s">
        <v>119</v>
      </c>
      <c r="K784" t="s">
        <v>38</v>
      </c>
      <c r="L784">
        <v>2</v>
      </c>
      <c r="M784">
        <v>701</v>
      </c>
      <c r="N784">
        <v>175.25</v>
      </c>
      <c r="O784">
        <v>30</v>
      </c>
      <c r="P784">
        <v>1402</v>
      </c>
      <c r="Q784">
        <v>1256.75</v>
      </c>
      <c r="R784" t="s">
        <v>39</v>
      </c>
      <c r="S784" t="s">
        <v>31</v>
      </c>
      <c r="T784" t="s">
        <v>40</v>
      </c>
      <c r="U784">
        <v>38</v>
      </c>
      <c r="V784">
        <v>2.6</v>
      </c>
      <c r="W784">
        <f>Table2[[#This Row],[Quantity]]*Table2[[#This Row],[Item_Price]]</f>
        <v>1402</v>
      </c>
    </row>
    <row r="785" spans="1:23" x14ac:dyDescent="0.25">
      <c r="A785" t="s">
        <v>880</v>
      </c>
      <c r="B785" s="1">
        <v>45715</v>
      </c>
      <c r="C785" t="s">
        <v>517</v>
      </c>
      <c r="D785">
        <v>2</v>
      </c>
      <c r="E785">
        <v>27</v>
      </c>
      <c r="F785" t="s">
        <v>88</v>
      </c>
      <c r="G785" t="s">
        <v>34</v>
      </c>
      <c r="H785" t="s">
        <v>68</v>
      </c>
      <c r="I785" t="s">
        <v>103</v>
      </c>
      <c r="J785" t="s">
        <v>82</v>
      </c>
      <c r="K785" t="s">
        <v>38</v>
      </c>
      <c r="L785">
        <v>1</v>
      </c>
      <c r="M785">
        <v>620</v>
      </c>
      <c r="N785">
        <v>0</v>
      </c>
      <c r="O785">
        <v>30</v>
      </c>
      <c r="P785">
        <v>620</v>
      </c>
      <c r="Q785">
        <v>650</v>
      </c>
      <c r="R785" t="s">
        <v>30</v>
      </c>
      <c r="S785" t="s">
        <v>31</v>
      </c>
      <c r="T785" t="s">
        <v>32</v>
      </c>
      <c r="U785">
        <v>64</v>
      </c>
      <c r="V785">
        <v>3.9</v>
      </c>
      <c r="W785">
        <f>Table2[[#This Row],[Quantity]]*Table2[[#This Row],[Item_Price]]</f>
        <v>620</v>
      </c>
    </row>
    <row r="786" spans="1:23" x14ac:dyDescent="0.25">
      <c r="A786" t="s">
        <v>881</v>
      </c>
      <c r="B786" s="1">
        <v>45715</v>
      </c>
      <c r="C786" t="s">
        <v>517</v>
      </c>
      <c r="D786">
        <v>2</v>
      </c>
      <c r="E786">
        <v>27</v>
      </c>
      <c r="F786" t="s">
        <v>88</v>
      </c>
      <c r="G786" t="s">
        <v>64</v>
      </c>
      <c r="H786" t="s">
        <v>68</v>
      </c>
      <c r="I786" t="s">
        <v>27</v>
      </c>
      <c r="J786" t="s">
        <v>123</v>
      </c>
      <c r="K786" t="s">
        <v>38</v>
      </c>
      <c r="L786">
        <v>1</v>
      </c>
      <c r="M786">
        <v>524</v>
      </c>
      <c r="N786">
        <v>26.2</v>
      </c>
      <c r="O786">
        <v>30</v>
      </c>
      <c r="P786">
        <v>524</v>
      </c>
      <c r="Q786">
        <v>527.79999999999995</v>
      </c>
      <c r="R786" t="s">
        <v>39</v>
      </c>
      <c r="S786" t="s">
        <v>110</v>
      </c>
      <c r="T786" t="s">
        <v>40</v>
      </c>
      <c r="U786">
        <v>47</v>
      </c>
      <c r="W786">
        <f>Table2[[#This Row],[Quantity]]*Table2[[#This Row],[Item_Price]]</f>
        <v>524</v>
      </c>
    </row>
    <row r="787" spans="1:23" x14ac:dyDescent="0.25">
      <c r="A787" t="s">
        <v>882</v>
      </c>
      <c r="B787" s="1">
        <v>45715</v>
      </c>
      <c r="C787" t="s">
        <v>517</v>
      </c>
      <c r="D787">
        <v>2</v>
      </c>
      <c r="E787">
        <v>27</v>
      </c>
      <c r="F787" t="s">
        <v>88</v>
      </c>
      <c r="G787" t="s">
        <v>55</v>
      </c>
      <c r="H787" t="s">
        <v>60</v>
      </c>
      <c r="I787" t="s">
        <v>103</v>
      </c>
      <c r="J787" t="s">
        <v>172</v>
      </c>
      <c r="K787" t="s">
        <v>38</v>
      </c>
      <c r="L787">
        <v>1</v>
      </c>
      <c r="M787">
        <v>257</v>
      </c>
      <c r="N787">
        <v>38.549999999999997</v>
      </c>
      <c r="O787">
        <v>30</v>
      </c>
      <c r="P787">
        <v>257</v>
      </c>
      <c r="Q787">
        <v>248.45</v>
      </c>
      <c r="R787" t="s">
        <v>75</v>
      </c>
      <c r="S787" t="s">
        <v>31</v>
      </c>
      <c r="T787" t="s">
        <v>40</v>
      </c>
      <c r="U787">
        <v>69</v>
      </c>
      <c r="V787">
        <v>3.3</v>
      </c>
      <c r="W787">
        <f>Table2[[#This Row],[Quantity]]*Table2[[#This Row],[Item_Price]]</f>
        <v>257</v>
      </c>
    </row>
    <row r="788" spans="1:23" x14ac:dyDescent="0.25">
      <c r="A788" t="s">
        <v>883</v>
      </c>
      <c r="B788" s="1">
        <v>45715</v>
      </c>
      <c r="C788" t="s">
        <v>517</v>
      </c>
      <c r="D788">
        <v>2</v>
      </c>
      <c r="E788">
        <v>27</v>
      </c>
      <c r="F788" t="s">
        <v>88</v>
      </c>
      <c r="G788" t="s">
        <v>64</v>
      </c>
      <c r="H788" t="s">
        <v>135</v>
      </c>
      <c r="I788" t="s">
        <v>69</v>
      </c>
      <c r="J788" t="s">
        <v>119</v>
      </c>
      <c r="K788" t="s">
        <v>38</v>
      </c>
      <c r="L788">
        <v>1</v>
      </c>
      <c r="M788">
        <v>497</v>
      </c>
      <c r="N788">
        <v>99.4</v>
      </c>
      <c r="O788">
        <v>40</v>
      </c>
      <c r="P788">
        <v>497</v>
      </c>
      <c r="Q788">
        <v>437.6</v>
      </c>
      <c r="R788" t="s">
        <v>30</v>
      </c>
      <c r="S788" t="s">
        <v>31</v>
      </c>
      <c r="T788" t="s">
        <v>32</v>
      </c>
      <c r="U788">
        <v>35</v>
      </c>
      <c r="V788">
        <v>3.5</v>
      </c>
      <c r="W788">
        <f>Table2[[#This Row],[Quantity]]*Table2[[#This Row],[Item_Price]]</f>
        <v>497</v>
      </c>
    </row>
    <row r="789" spans="1:23" x14ac:dyDescent="0.25">
      <c r="A789" t="s">
        <v>884</v>
      </c>
      <c r="B789" s="1">
        <v>45715</v>
      </c>
      <c r="C789" t="s">
        <v>517</v>
      </c>
      <c r="D789">
        <v>2</v>
      </c>
      <c r="E789">
        <v>27</v>
      </c>
      <c r="F789" t="s">
        <v>88</v>
      </c>
      <c r="G789" t="s">
        <v>34</v>
      </c>
      <c r="H789" t="s">
        <v>81</v>
      </c>
      <c r="I789" t="s">
        <v>27</v>
      </c>
      <c r="J789" t="s">
        <v>94</v>
      </c>
      <c r="K789" t="s">
        <v>38</v>
      </c>
      <c r="L789">
        <v>2</v>
      </c>
      <c r="M789">
        <v>687</v>
      </c>
      <c r="N789">
        <v>68.7</v>
      </c>
      <c r="O789">
        <v>60</v>
      </c>
      <c r="P789">
        <v>1374</v>
      </c>
      <c r="Q789">
        <v>1365.3</v>
      </c>
      <c r="R789" t="s">
        <v>39</v>
      </c>
      <c r="S789" t="s">
        <v>31</v>
      </c>
      <c r="T789" t="s">
        <v>40</v>
      </c>
      <c r="U789">
        <v>52</v>
      </c>
      <c r="V789">
        <v>4.7</v>
      </c>
      <c r="W789">
        <f>Table2[[#This Row],[Quantity]]*Table2[[#This Row],[Item_Price]]</f>
        <v>1374</v>
      </c>
    </row>
    <row r="790" spans="1:23" x14ac:dyDescent="0.25">
      <c r="A790" t="s">
        <v>885</v>
      </c>
      <c r="B790" s="1">
        <v>45716</v>
      </c>
      <c r="C790" t="s">
        <v>517</v>
      </c>
      <c r="D790">
        <v>2</v>
      </c>
      <c r="E790">
        <v>28</v>
      </c>
      <c r="F790" t="s">
        <v>114</v>
      </c>
      <c r="G790" t="s">
        <v>55</v>
      </c>
      <c r="H790" t="s">
        <v>42</v>
      </c>
      <c r="I790" t="s">
        <v>61</v>
      </c>
      <c r="J790" t="s">
        <v>37</v>
      </c>
      <c r="K790" t="s">
        <v>38</v>
      </c>
      <c r="L790">
        <v>3</v>
      </c>
      <c r="M790">
        <v>807</v>
      </c>
      <c r="N790">
        <v>121.05</v>
      </c>
      <c r="O790">
        <v>40</v>
      </c>
      <c r="P790">
        <v>2421</v>
      </c>
      <c r="Q790">
        <v>2339.9499999999998</v>
      </c>
      <c r="R790" t="s">
        <v>39</v>
      </c>
      <c r="S790" t="s">
        <v>31</v>
      </c>
      <c r="T790" t="s">
        <v>40</v>
      </c>
      <c r="U790">
        <v>64</v>
      </c>
      <c r="V790">
        <v>4.0999999999999996</v>
      </c>
      <c r="W790">
        <f>Table2[[#This Row],[Quantity]]*Table2[[#This Row],[Item_Price]]</f>
        <v>2421</v>
      </c>
    </row>
    <row r="791" spans="1:23" x14ac:dyDescent="0.25">
      <c r="A791" t="s">
        <v>886</v>
      </c>
      <c r="B791" s="1">
        <v>45716</v>
      </c>
      <c r="C791" t="s">
        <v>517</v>
      </c>
      <c r="D791">
        <v>2</v>
      </c>
      <c r="E791">
        <v>28</v>
      </c>
      <c r="F791" t="s">
        <v>114</v>
      </c>
      <c r="G791" t="s">
        <v>80</v>
      </c>
      <c r="H791" t="s">
        <v>81</v>
      </c>
      <c r="I791" t="s">
        <v>61</v>
      </c>
      <c r="J791" t="s">
        <v>44</v>
      </c>
      <c r="K791" t="s">
        <v>38</v>
      </c>
      <c r="L791">
        <v>1</v>
      </c>
      <c r="M791">
        <v>821</v>
      </c>
      <c r="N791">
        <v>41.05</v>
      </c>
      <c r="O791">
        <v>20</v>
      </c>
      <c r="P791">
        <v>821</v>
      </c>
      <c r="Q791">
        <v>799.95</v>
      </c>
      <c r="R791" t="s">
        <v>30</v>
      </c>
      <c r="S791" t="s">
        <v>31</v>
      </c>
      <c r="T791" t="s">
        <v>40</v>
      </c>
      <c r="U791">
        <v>32</v>
      </c>
      <c r="V791">
        <v>4.0999999999999996</v>
      </c>
      <c r="W791">
        <f>Table2[[#This Row],[Quantity]]*Table2[[#This Row],[Item_Price]]</f>
        <v>821</v>
      </c>
    </row>
    <row r="792" spans="1:23" x14ac:dyDescent="0.25">
      <c r="A792" t="s">
        <v>887</v>
      </c>
      <c r="B792" s="1">
        <v>45716</v>
      </c>
      <c r="C792" t="s">
        <v>517</v>
      </c>
      <c r="D792">
        <v>2</v>
      </c>
      <c r="E792">
        <v>28</v>
      </c>
      <c r="F792" t="s">
        <v>114</v>
      </c>
      <c r="G792" t="s">
        <v>34</v>
      </c>
      <c r="H792" t="s">
        <v>65</v>
      </c>
      <c r="I792" t="s">
        <v>61</v>
      </c>
      <c r="J792" t="s">
        <v>74</v>
      </c>
      <c r="K792" t="s">
        <v>38</v>
      </c>
      <c r="L792">
        <v>1</v>
      </c>
      <c r="M792">
        <v>568</v>
      </c>
      <c r="N792">
        <v>85.2</v>
      </c>
      <c r="O792">
        <v>50</v>
      </c>
      <c r="P792">
        <v>568</v>
      </c>
      <c r="Q792">
        <v>532.79999999999995</v>
      </c>
      <c r="R792" t="s">
        <v>112</v>
      </c>
      <c r="S792" t="s">
        <v>46</v>
      </c>
      <c r="T792" t="s">
        <v>32</v>
      </c>
      <c r="U792">
        <v>53</v>
      </c>
      <c r="W792">
        <f>Table2[[#This Row],[Quantity]]*Table2[[#This Row],[Item_Price]]</f>
        <v>568</v>
      </c>
    </row>
    <row r="793" spans="1:23" x14ac:dyDescent="0.25">
      <c r="A793" t="s">
        <v>888</v>
      </c>
      <c r="B793" s="1">
        <v>45716</v>
      </c>
      <c r="C793" t="s">
        <v>517</v>
      </c>
      <c r="D793">
        <v>2</v>
      </c>
      <c r="E793">
        <v>28</v>
      </c>
      <c r="F793" t="s">
        <v>114</v>
      </c>
      <c r="G793" t="s">
        <v>73</v>
      </c>
      <c r="H793" t="s">
        <v>68</v>
      </c>
      <c r="I793" t="s">
        <v>27</v>
      </c>
      <c r="J793" t="s">
        <v>70</v>
      </c>
      <c r="K793" t="s">
        <v>38</v>
      </c>
      <c r="L793">
        <v>1</v>
      </c>
      <c r="M793">
        <v>499</v>
      </c>
      <c r="N793">
        <v>0</v>
      </c>
      <c r="O793">
        <v>30</v>
      </c>
      <c r="P793">
        <v>499</v>
      </c>
      <c r="Q793">
        <v>529</v>
      </c>
      <c r="R793" t="s">
        <v>39</v>
      </c>
      <c r="S793" t="s">
        <v>31</v>
      </c>
      <c r="T793" t="s">
        <v>32</v>
      </c>
      <c r="U793">
        <v>19</v>
      </c>
      <c r="V793">
        <v>3.8</v>
      </c>
      <c r="W793">
        <f>Table2[[#This Row],[Quantity]]*Table2[[#This Row],[Item_Price]]</f>
        <v>499</v>
      </c>
    </row>
    <row r="794" spans="1:23" x14ac:dyDescent="0.25">
      <c r="A794" t="s">
        <v>889</v>
      </c>
      <c r="B794" s="1">
        <v>45716</v>
      </c>
      <c r="C794" t="s">
        <v>517</v>
      </c>
      <c r="D794">
        <v>2</v>
      </c>
      <c r="E794">
        <v>28</v>
      </c>
      <c r="F794" t="s">
        <v>114</v>
      </c>
      <c r="G794" t="s">
        <v>55</v>
      </c>
      <c r="H794" t="s">
        <v>105</v>
      </c>
      <c r="I794" t="s">
        <v>57</v>
      </c>
      <c r="J794" t="s">
        <v>74</v>
      </c>
      <c r="K794" t="s">
        <v>38</v>
      </c>
      <c r="L794">
        <v>1</v>
      </c>
      <c r="M794">
        <v>792</v>
      </c>
      <c r="N794">
        <v>198</v>
      </c>
      <c r="O794">
        <v>0</v>
      </c>
      <c r="P794">
        <v>792</v>
      </c>
      <c r="Q794">
        <v>594</v>
      </c>
      <c r="R794" t="s">
        <v>30</v>
      </c>
      <c r="S794" t="s">
        <v>91</v>
      </c>
      <c r="T794" t="s">
        <v>40</v>
      </c>
      <c r="U794">
        <v>26</v>
      </c>
      <c r="W794">
        <f>Table2[[#This Row],[Quantity]]*Table2[[#This Row],[Item_Price]]</f>
        <v>792</v>
      </c>
    </row>
    <row r="795" spans="1:23" x14ac:dyDescent="0.25">
      <c r="A795" t="s">
        <v>890</v>
      </c>
      <c r="B795" s="1">
        <v>45716</v>
      </c>
      <c r="C795" t="s">
        <v>517</v>
      </c>
      <c r="D795">
        <v>2</v>
      </c>
      <c r="E795">
        <v>28</v>
      </c>
      <c r="F795" t="s">
        <v>114</v>
      </c>
      <c r="G795" t="s">
        <v>34</v>
      </c>
      <c r="H795" t="s">
        <v>105</v>
      </c>
      <c r="I795" t="s">
        <v>49</v>
      </c>
      <c r="J795" t="s">
        <v>172</v>
      </c>
      <c r="K795" t="s">
        <v>45</v>
      </c>
      <c r="L795">
        <v>3</v>
      </c>
      <c r="M795">
        <v>558</v>
      </c>
      <c r="N795">
        <v>55.8</v>
      </c>
      <c r="O795">
        <v>40</v>
      </c>
      <c r="P795">
        <v>1674</v>
      </c>
      <c r="Q795">
        <v>1658.2</v>
      </c>
      <c r="R795" t="s">
        <v>75</v>
      </c>
      <c r="S795" t="s">
        <v>31</v>
      </c>
      <c r="T795" t="s">
        <v>40</v>
      </c>
      <c r="U795">
        <v>42</v>
      </c>
      <c r="V795">
        <v>4.0999999999999996</v>
      </c>
      <c r="W795">
        <f>Table2[[#This Row],[Quantity]]*Table2[[#This Row],[Item_Price]]</f>
        <v>1674</v>
      </c>
    </row>
    <row r="796" spans="1:23" x14ac:dyDescent="0.25">
      <c r="A796" t="s">
        <v>891</v>
      </c>
      <c r="B796" s="1">
        <v>45716</v>
      </c>
      <c r="C796" t="s">
        <v>517</v>
      </c>
      <c r="D796">
        <v>2</v>
      </c>
      <c r="E796">
        <v>28</v>
      </c>
      <c r="F796" t="s">
        <v>114</v>
      </c>
      <c r="G796" t="s">
        <v>34</v>
      </c>
      <c r="H796" t="s">
        <v>108</v>
      </c>
      <c r="I796" t="s">
        <v>69</v>
      </c>
      <c r="J796" t="s">
        <v>82</v>
      </c>
      <c r="K796" t="s">
        <v>38</v>
      </c>
      <c r="L796">
        <v>1</v>
      </c>
      <c r="M796">
        <v>655</v>
      </c>
      <c r="N796">
        <v>32.75</v>
      </c>
      <c r="O796">
        <v>20</v>
      </c>
      <c r="P796">
        <v>655</v>
      </c>
      <c r="Q796">
        <v>642.25</v>
      </c>
      <c r="R796" t="s">
        <v>39</v>
      </c>
      <c r="S796" t="s">
        <v>31</v>
      </c>
      <c r="T796" t="s">
        <v>40</v>
      </c>
      <c r="U796">
        <v>45</v>
      </c>
      <c r="V796">
        <v>3.3</v>
      </c>
      <c r="W796">
        <f>Table2[[#This Row],[Quantity]]*Table2[[#This Row],[Item_Price]]</f>
        <v>655</v>
      </c>
    </row>
    <row r="797" spans="1:23" x14ac:dyDescent="0.25">
      <c r="A797" t="s">
        <v>892</v>
      </c>
      <c r="B797" s="1">
        <v>45716</v>
      </c>
      <c r="C797" t="s">
        <v>517</v>
      </c>
      <c r="D797">
        <v>2</v>
      </c>
      <c r="E797">
        <v>28</v>
      </c>
      <c r="F797" t="s">
        <v>114</v>
      </c>
      <c r="G797" t="s">
        <v>64</v>
      </c>
      <c r="H797" t="s">
        <v>81</v>
      </c>
      <c r="I797" t="s">
        <v>43</v>
      </c>
      <c r="J797" t="s">
        <v>74</v>
      </c>
      <c r="K797" t="s">
        <v>38</v>
      </c>
      <c r="L797">
        <v>2</v>
      </c>
      <c r="M797">
        <v>474</v>
      </c>
      <c r="N797">
        <v>71.099999999999994</v>
      </c>
      <c r="O797">
        <v>20</v>
      </c>
      <c r="P797">
        <v>948</v>
      </c>
      <c r="Q797">
        <v>896.9</v>
      </c>
      <c r="R797" t="s">
        <v>39</v>
      </c>
      <c r="S797" t="s">
        <v>110</v>
      </c>
      <c r="T797" t="s">
        <v>32</v>
      </c>
      <c r="U797">
        <v>40</v>
      </c>
      <c r="W797">
        <f>Table2[[#This Row],[Quantity]]*Table2[[#This Row],[Item_Price]]</f>
        <v>948</v>
      </c>
    </row>
    <row r="798" spans="1:23" x14ac:dyDescent="0.25">
      <c r="A798" t="s">
        <v>893</v>
      </c>
      <c r="B798" s="1">
        <v>45716</v>
      </c>
      <c r="C798" t="s">
        <v>517</v>
      </c>
      <c r="D798">
        <v>2</v>
      </c>
      <c r="E798">
        <v>28</v>
      </c>
      <c r="F798" t="s">
        <v>114</v>
      </c>
      <c r="G798" t="s">
        <v>73</v>
      </c>
      <c r="H798" t="s">
        <v>81</v>
      </c>
      <c r="I798" t="s">
        <v>61</v>
      </c>
      <c r="J798" t="s">
        <v>37</v>
      </c>
      <c r="K798" t="s">
        <v>45</v>
      </c>
      <c r="L798">
        <v>1</v>
      </c>
      <c r="M798">
        <v>617</v>
      </c>
      <c r="N798">
        <v>123.4</v>
      </c>
      <c r="O798">
        <v>20</v>
      </c>
      <c r="P798">
        <v>617</v>
      </c>
      <c r="Q798">
        <v>513.6</v>
      </c>
      <c r="R798" t="s">
        <v>30</v>
      </c>
      <c r="S798" t="s">
        <v>31</v>
      </c>
      <c r="T798" t="s">
        <v>40</v>
      </c>
      <c r="U798">
        <v>41</v>
      </c>
      <c r="V798">
        <v>3.6</v>
      </c>
      <c r="W798">
        <f>Table2[[#This Row],[Quantity]]*Table2[[#This Row],[Item_Price]]</f>
        <v>617</v>
      </c>
    </row>
    <row r="799" spans="1:23" x14ac:dyDescent="0.25">
      <c r="A799" t="s">
        <v>894</v>
      </c>
      <c r="B799" s="1">
        <v>45716</v>
      </c>
      <c r="C799" t="s">
        <v>517</v>
      </c>
      <c r="D799">
        <v>2</v>
      </c>
      <c r="E799">
        <v>28</v>
      </c>
      <c r="F799" t="s">
        <v>114</v>
      </c>
      <c r="G799" t="s">
        <v>84</v>
      </c>
      <c r="H799" t="s">
        <v>81</v>
      </c>
      <c r="I799" t="s">
        <v>69</v>
      </c>
      <c r="J799" t="s">
        <v>94</v>
      </c>
      <c r="K799" t="s">
        <v>38</v>
      </c>
      <c r="L799">
        <v>1</v>
      </c>
      <c r="M799">
        <v>474</v>
      </c>
      <c r="N799">
        <v>47.4</v>
      </c>
      <c r="O799">
        <v>30</v>
      </c>
      <c r="P799">
        <v>474</v>
      </c>
      <c r="Q799">
        <v>456.6</v>
      </c>
      <c r="R799" t="s">
        <v>39</v>
      </c>
      <c r="S799" t="s">
        <v>31</v>
      </c>
      <c r="T799" t="s">
        <v>32</v>
      </c>
      <c r="U799">
        <v>70</v>
      </c>
      <c r="V799">
        <v>4.5</v>
      </c>
      <c r="W799">
        <f>Table2[[#This Row],[Quantity]]*Table2[[#This Row],[Item_Price]]</f>
        <v>474</v>
      </c>
    </row>
    <row r="800" spans="1:23" x14ac:dyDescent="0.25">
      <c r="A800" t="s">
        <v>895</v>
      </c>
      <c r="B800" s="1">
        <v>45716</v>
      </c>
      <c r="C800" t="s">
        <v>517</v>
      </c>
      <c r="D800">
        <v>2</v>
      </c>
      <c r="E800">
        <v>28</v>
      </c>
      <c r="F800" t="s">
        <v>114</v>
      </c>
      <c r="G800" t="s">
        <v>73</v>
      </c>
      <c r="H800" t="s">
        <v>48</v>
      </c>
      <c r="I800" t="s">
        <v>57</v>
      </c>
      <c r="J800" t="s">
        <v>28</v>
      </c>
      <c r="K800" t="s">
        <v>38</v>
      </c>
      <c r="L800">
        <v>1</v>
      </c>
      <c r="M800">
        <v>547</v>
      </c>
      <c r="N800">
        <v>136.75</v>
      </c>
      <c r="O800">
        <v>40</v>
      </c>
      <c r="P800">
        <v>547</v>
      </c>
      <c r="Q800">
        <v>450.25</v>
      </c>
      <c r="R800" t="s">
        <v>30</v>
      </c>
      <c r="S800" t="s">
        <v>91</v>
      </c>
      <c r="T800" t="s">
        <v>32</v>
      </c>
      <c r="U800">
        <v>28</v>
      </c>
      <c r="W800">
        <f>Table2[[#This Row],[Quantity]]*Table2[[#This Row],[Item_Price]]</f>
        <v>547</v>
      </c>
    </row>
    <row r="801" spans="1:23" x14ac:dyDescent="0.25">
      <c r="A801" t="s">
        <v>896</v>
      </c>
      <c r="B801" s="1">
        <v>45716</v>
      </c>
      <c r="C801" t="s">
        <v>517</v>
      </c>
      <c r="D801">
        <v>2</v>
      </c>
      <c r="E801">
        <v>28</v>
      </c>
      <c r="F801" t="s">
        <v>114</v>
      </c>
      <c r="G801" t="s">
        <v>25</v>
      </c>
      <c r="H801" t="s">
        <v>135</v>
      </c>
      <c r="I801" t="s">
        <v>97</v>
      </c>
      <c r="J801" t="s">
        <v>70</v>
      </c>
      <c r="K801" t="s">
        <v>38</v>
      </c>
      <c r="L801">
        <v>1</v>
      </c>
      <c r="M801">
        <v>706</v>
      </c>
      <c r="N801">
        <v>70.599999999999994</v>
      </c>
      <c r="O801">
        <v>0</v>
      </c>
      <c r="P801">
        <v>706</v>
      </c>
      <c r="Q801">
        <v>635.4</v>
      </c>
      <c r="R801" t="s">
        <v>30</v>
      </c>
      <c r="S801" t="s">
        <v>31</v>
      </c>
      <c r="T801" t="s">
        <v>32</v>
      </c>
      <c r="U801">
        <v>61</v>
      </c>
      <c r="V801">
        <v>4.3</v>
      </c>
      <c r="W801">
        <f>Table2[[#This Row],[Quantity]]*Table2[[#This Row],[Item_Price]]</f>
        <v>706</v>
      </c>
    </row>
    <row r="802" spans="1:23" x14ac:dyDescent="0.25">
      <c r="A802" t="s">
        <v>897</v>
      </c>
      <c r="B802" s="1">
        <v>45716</v>
      </c>
      <c r="C802" t="s">
        <v>517</v>
      </c>
      <c r="D802">
        <v>2</v>
      </c>
      <c r="E802">
        <v>28</v>
      </c>
      <c r="F802" t="s">
        <v>114</v>
      </c>
      <c r="G802" t="s">
        <v>90</v>
      </c>
      <c r="H802" t="s">
        <v>108</v>
      </c>
      <c r="I802" t="s">
        <v>69</v>
      </c>
      <c r="J802" t="s">
        <v>101</v>
      </c>
      <c r="K802" t="s">
        <v>38</v>
      </c>
      <c r="L802">
        <v>2</v>
      </c>
      <c r="M802">
        <v>357</v>
      </c>
      <c r="N802">
        <v>89.25</v>
      </c>
      <c r="O802">
        <v>0</v>
      </c>
      <c r="P802">
        <v>714</v>
      </c>
      <c r="Q802">
        <v>624.75</v>
      </c>
      <c r="R802" t="s">
        <v>30</v>
      </c>
      <c r="S802" t="s">
        <v>31</v>
      </c>
      <c r="T802" t="s">
        <v>32</v>
      </c>
      <c r="U802">
        <v>51</v>
      </c>
      <c r="V802">
        <v>4.5</v>
      </c>
      <c r="W802">
        <f>Table2[[#This Row],[Quantity]]*Table2[[#This Row],[Item_Price]]</f>
        <v>714</v>
      </c>
    </row>
    <row r="803" spans="1:23" x14ac:dyDescent="0.25">
      <c r="A803" t="s">
        <v>898</v>
      </c>
      <c r="B803" s="1">
        <v>45716</v>
      </c>
      <c r="C803" t="s">
        <v>517</v>
      </c>
      <c r="D803">
        <v>2</v>
      </c>
      <c r="E803">
        <v>28</v>
      </c>
      <c r="F803" t="s">
        <v>114</v>
      </c>
      <c r="G803" t="s">
        <v>55</v>
      </c>
      <c r="H803" t="s">
        <v>81</v>
      </c>
      <c r="I803" t="s">
        <v>27</v>
      </c>
      <c r="J803" t="s">
        <v>119</v>
      </c>
      <c r="K803" t="s">
        <v>45</v>
      </c>
      <c r="L803">
        <v>3</v>
      </c>
      <c r="M803">
        <v>730</v>
      </c>
      <c r="N803">
        <v>73</v>
      </c>
      <c r="O803">
        <v>40</v>
      </c>
      <c r="P803">
        <v>2190</v>
      </c>
      <c r="Q803">
        <v>2157</v>
      </c>
      <c r="R803" t="s">
        <v>39</v>
      </c>
      <c r="S803" t="s">
        <v>31</v>
      </c>
      <c r="T803" t="s">
        <v>40</v>
      </c>
      <c r="U803">
        <v>26</v>
      </c>
      <c r="V803">
        <v>4.4000000000000004</v>
      </c>
      <c r="W803">
        <f>Table2[[#This Row],[Quantity]]*Table2[[#This Row],[Item_Price]]</f>
        <v>2190</v>
      </c>
    </row>
    <row r="804" spans="1:23" x14ac:dyDescent="0.25">
      <c r="A804" t="s">
        <v>899</v>
      </c>
      <c r="B804" s="1">
        <v>45716</v>
      </c>
      <c r="C804" t="s">
        <v>517</v>
      </c>
      <c r="D804">
        <v>2</v>
      </c>
      <c r="E804">
        <v>28</v>
      </c>
      <c r="F804" t="s">
        <v>114</v>
      </c>
      <c r="G804" t="s">
        <v>55</v>
      </c>
      <c r="H804" t="s">
        <v>35</v>
      </c>
      <c r="I804" t="s">
        <v>61</v>
      </c>
      <c r="J804" t="s">
        <v>94</v>
      </c>
      <c r="K804" t="s">
        <v>45</v>
      </c>
      <c r="L804">
        <v>3</v>
      </c>
      <c r="M804">
        <v>312</v>
      </c>
      <c r="N804">
        <v>46.8</v>
      </c>
      <c r="O804">
        <v>60</v>
      </c>
      <c r="P804">
        <v>936</v>
      </c>
      <c r="Q804">
        <v>949.2</v>
      </c>
      <c r="R804" t="s">
        <v>75</v>
      </c>
      <c r="S804" t="s">
        <v>46</v>
      </c>
      <c r="T804" t="s">
        <v>40</v>
      </c>
      <c r="U804">
        <v>45</v>
      </c>
      <c r="W804">
        <f>Table2[[#This Row],[Quantity]]*Table2[[#This Row],[Item_Price]]</f>
        <v>936</v>
      </c>
    </row>
    <row r="805" spans="1:23" x14ac:dyDescent="0.25">
      <c r="A805" t="s">
        <v>900</v>
      </c>
      <c r="B805" s="1">
        <v>45716</v>
      </c>
      <c r="C805" t="s">
        <v>517</v>
      </c>
      <c r="D805">
        <v>2</v>
      </c>
      <c r="E805">
        <v>28</v>
      </c>
      <c r="F805" t="s">
        <v>114</v>
      </c>
      <c r="G805" t="s">
        <v>64</v>
      </c>
      <c r="H805" t="s">
        <v>108</v>
      </c>
      <c r="I805" t="s">
        <v>36</v>
      </c>
      <c r="J805" t="s">
        <v>74</v>
      </c>
      <c r="K805" t="s">
        <v>38</v>
      </c>
      <c r="L805">
        <v>2</v>
      </c>
      <c r="M805">
        <v>398</v>
      </c>
      <c r="N805">
        <v>39.799999999999997</v>
      </c>
      <c r="O805">
        <v>70</v>
      </c>
      <c r="P805">
        <v>796</v>
      </c>
      <c r="Q805">
        <v>826.2</v>
      </c>
      <c r="R805" t="s">
        <v>39</v>
      </c>
      <c r="S805" t="s">
        <v>31</v>
      </c>
      <c r="T805" t="s">
        <v>32</v>
      </c>
      <c r="U805">
        <v>51</v>
      </c>
      <c r="V805">
        <v>5</v>
      </c>
      <c r="W805">
        <f>Table2[[#This Row],[Quantity]]*Table2[[#This Row],[Item_Price]]</f>
        <v>796</v>
      </c>
    </row>
    <row r="806" spans="1:23" x14ac:dyDescent="0.25">
      <c r="A806" t="s">
        <v>901</v>
      </c>
      <c r="B806" s="1">
        <v>45716</v>
      </c>
      <c r="C806" t="s">
        <v>517</v>
      </c>
      <c r="D806">
        <v>2</v>
      </c>
      <c r="E806">
        <v>28</v>
      </c>
      <c r="F806" t="s">
        <v>114</v>
      </c>
      <c r="G806" t="s">
        <v>34</v>
      </c>
      <c r="H806" t="s">
        <v>60</v>
      </c>
      <c r="I806" t="s">
        <v>103</v>
      </c>
      <c r="J806" t="s">
        <v>172</v>
      </c>
      <c r="K806" t="s">
        <v>38</v>
      </c>
      <c r="L806">
        <v>2</v>
      </c>
      <c r="M806">
        <v>296</v>
      </c>
      <c r="N806">
        <v>29.6</v>
      </c>
      <c r="O806">
        <v>40</v>
      </c>
      <c r="P806">
        <v>592</v>
      </c>
      <c r="Q806">
        <v>602.4</v>
      </c>
      <c r="R806" t="s">
        <v>30</v>
      </c>
      <c r="S806" t="s">
        <v>31</v>
      </c>
      <c r="T806" t="s">
        <v>40</v>
      </c>
      <c r="U806">
        <v>18</v>
      </c>
      <c r="V806">
        <v>4.0999999999999996</v>
      </c>
      <c r="W806">
        <f>Table2[[#This Row],[Quantity]]*Table2[[#This Row],[Item_Price]]</f>
        <v>592</v>
      </c>
    </row>
    <row r="807" spans="1:23" x14ac:dyDescent="0.25">
      <c r="A807" t="s">
        <v>902</v>
      </c>
      <c r="B807" s="1">
        <v>45716</v>
      </c>
      <c r="C807" t="s">
        <v>517</v>
      </c>
      <c r="D807">
        <v>2</v>
      </c>
      <c r="E807">
        <v>28</v>
      </c>
      <c r="F807" t="s">
        <v>114</v>
      </c>
      <c r="G807" t="s">
        <v>73</v>
      </c>
      <c r="H807" t="s">
        <v>65</v>
      </c>
      <c r="I807" t="s">
        <v>85</v>
      </c>
      <c r="J807" t="s">
        <v>70</v>
      </c>
      <c r="K807" t="s">
        <v>29</v>
      </c>
      <c r="L807">
        <v>1</v>
      </c>
      <c r="M807">
        <v>193</v>
      </c>
      <c r="N807">
        <v>48.25</v>
      </c>
      <c r="O807">
        <v>50</v>
      </c>
      <c r="P807">
        <v>193</v>
      </c>
      <c r="Q807">
        <v>194.75</v>
      </c>
      <c r="R807" t="s">
        <v>30</v>
      </c>
      <c r="S807" t="s">
        <v>46</v>
      </c>
      <c r="T807" t="s">
        <v>40</v>
      </c>
      <c r="U807">
        <v>50</v>
      </c>
      <c r="W807">
        <f>Table2[[#This Row],[Quantity]]*Table2[[#This Row],[Item_Price]]</f>
        <v>193</v>
      </c>
    </row>
    <row r="808" spans="1:23" x14ac:dyDescent="0.25">
      <c r="A808" t="s">
        <v>903</v>
      </c>
      <c r="B808" s="1">
        <v>45716</v>
      </c>
      <c r="C808" t="s">
        <v>517</v>
      </c>
      <c r="D808">
        <v>2</v>
      </c>
      <c r="E808">
        <v>28</v>
      </c>
      <c r="F808" t="s">
        <v>114</v>
      </c>
      <c r="G808" t="s">
        <v>80</v>
      </c>
      <c r="H808" t="s">
        <v>35</v>
      </c>
      <c r="I808" t="s">
        <v>43</v>
      </c>
      <c r="J808" t="s">
        <v>28</v>
      </c>
      <c r="K808" t="s">
        <v>38</v>
      </c>
      <c r="L808">
        <v>1</v>
      </c>
      <c r="M808">
        <v>775</v>
      </c>
      <c r="N808">
        <v>116.25</v>
      </c>
      <c r="O808">
        <v>40</v>
      </c>
      <c r="P808">
        <v>775</v>
      </c>
      <c r="Q808">
        <v>698.75</v>
      </c>
      <c r="R808" t="s">
        <v>112</v>
      </c>
      <c r="S808" t="s">
        <v>31</v>
      </c>
      <c r="T808" t="s">
        <v>40</v>
      </c>
      <c r="U808">
        <v>48</v>
      </c>
      <c r="V808">
        <v>4.2</v>
      </c>
      <c r="W808">
        <f>Table2[[#This Row],[Quantity]]*Table2[[#This Row],[Item_Price]]</f>
        <v>775</v>
      </c>
    </row>
    <row r="809" spans="1:23" x14ac:dyDescent="0.25">
      <c r="A809" t="s">
        <v>904</v>
      </c>
      <c r="B809" s="1">
        <v>45716</v>
      </c>
      <c r="C809" t="s">
        <v>517</v>
      </c>
      <c r="D809">
        <v>2</v>
      </c>
      <c r="E809">
        <v>28</v>
      </c>
      <c r="F809" t="s">
        <v>114</v>
      </c>
      <c r="G809" t="s">
        <v>80</v>
      </c>
      <c r="H809" t="s">
        <v>42</v>
      </c>
      <c r="I809" t="s">
        <v>85</v>
      </c>
      <c r="J809" t="s">
        <v>70</v>
      </c>
      <c r="K809" t="s">
        <v>38</v>
      </c>
      <c r="L809">
        <v>3</v>
      </c>
      <c r="M809">
        <v>683</v>
      </c>
      <c r="N809">
        <v>136.6</v>
      </c>
      <c r="O809">
        <v>30</v>
      </c>
      <c r="P809">
        <v>2049</v>
      </c>
      <c r="Q809">
        <v>1942.4</v>
      </c>
      <c r="R809" t="s">
        <v>39</v>
      </c>
      <c r="S809" t="s">
        <v>91</v>
      </c>
      <c r="T809" t="s">
        <v>32</v>
      </c>
      <c r="U809">
        <v>57</v>
      </c>
      <c r="W809">
        <f>Table2[[#This Row],[Quantity]]*Table2[[#This Row],[Item_Price]]</f>
        <v>2049</v>
      </c>
    </row>
    <row r="810" spans="1:23" x14ac:dyDescent="0.25">
      <c r="A810" t="s">
        <v>905</v>
      </c>
      <c r="B810" s="1">
        <v>45716</v>
      </c>
      <c r="C810" t="s">
        <v>517</v>
      </c>
      <c r="D810">
        <v>2</v>
      </c>
      <c r="E810">
        <v>28</v>
      </c>
      <c r="F810" t="s">
        <v>114</v>
      </c>
      <c r="G810" t="s">
        <v>115</v>
      </c>
      <c r="H810" t="s">
        <v>65</v>
      </c>
      <c r="I810" t="s">
        <v>85</v>
      </c>
      <c r="J810" t="s">
        <v>62</v>
      </c>
      <c r="K810" t="s">
        <v>38</v>
      </c>
      <c r="L810">
        <v>2</v>
      </c>
      <c r="M810">
        <v>582</v>
      </c>
      <c r="N810">
        <v>29.1</v>
      </c>
      <c r="O810">
        <v>40</v>
      </c>
      <c r="P810">
        <v>1164</v>
      </c>
      <c r="Q810">
        <v>1174.9000000000001</v>
      </c>
      <c r="R810" t="s">
        <v>39</v>
      </c>
      <c r="S810" t="s">
        <v>31</v>
      </c>
      <c r="T810" t="s">
        <v>40</v>
      </c>
      <c r="U810">
        <v>63</v>
      </c>
      <c r="V810">
        <v>4.7</v>
      </c>
      <c r="W810">
        <f>Table2[[#This Row],[Quantity]]*Table2[[#This Row],[Item_Price]]</f>
        <v>1164</v>
      </c>
    </row>
    <row r="811" spans="1:23" x14ac:dyDescent="0.25">
      <c r="A811" t="s">
        <v>906</v>
      </c>
      <c r="B811" s="1">
        <v>45716</v>
      </c>
      <c r="C811" t="s">
        <v>517</v>
      </c>
      <c r="D811">
        <v>2</v>
      </c>
      <c r="E811">
        <v>28</v>
      </c>
      <c r="F811" t="s">
        <v>114</v>
      </c>
      <c r="G811" t="s">
        <v>73</v>
      </c>
      <c r="H811" t="s">
        <v>52</v>
      </c>
      <c r="I811" t="s">
        <v>49</v>
      </c>
      <c r="J811" t="s">
        <v>66</v>
      </c>
      <c r="K811" t="s">
        <v>38</v>
      </c>
      <c r="L811">
        <v>3</v>
      </c>
      <c r="M811">
        <v>192</v>
      </c>
      <c r="N811">
        <v>48</v>
      </c>
      <c r="O811">
        <v>0</v>
      </c>
      <c r="P811">
        <v>576</v>
      </c>
      <c r="Q811">
        <v>528</v>
      </c>
      <c r="R811" t="s">
        <v>39</v>
      </c>
      <c r="S811" t="s">
        <v>31</v>
      </c>
      <c r="T811" t="s">
        <v>40</v>
      </c>
      <c r="U811">
        <v>18</v>
      </c>
      <c r="V811">
        <v>3.5</v>
      </c>
      <c r="W811">
        <f>Table2[[#This Row],[Quantity]]*Table2[[#This Row],[Item_Price]]</f>
        <v>576</v>
      </c>
    </row>
    <row r="812" spans="1:23" x14ac:dyDescent="0.25">
      <c r="A812" t="s">
        <v>907</v>
      </c>
      <c r="B812" s="1">
        <v>45716</v>
      </c>
      <c r="C812" t="s">
        <v>517</v>
      </c>
      <c r="D812">
        <v>2</v>
      </c>
      <c r="E812">
        <v>28</v>
      </c>
      <c r="F812" t="s">
        <v>114</v>
      </c>
      <c r="G812" t="s">
        <v>73</v>
      </c>
      <c r="H812" t="s">
        <v>139</v>
      </c>
      <c r="I812" t="s">
        <v>69</v>
      </c>
      <c r="J812" t="s">
        <v>82</v>
      </c>
      <c r="K812" t="s">
        <v>38</v>
      </c>
      <c r="L812">
        <v>2</v>
      </c>
      <c r="M812">
        <v>337</v>
      </c>
      <c r="N812">
        <v>33.700000000000003</v>
      </c>
      <c r="O812">
        <v>50</v>
      </c>
      <c r="P812">
        <v>674</v>
      </c>
      <c r="Q812">
        <v>690.3</v>
      </c>
      <c r="R812" t="s">
        <v>30</v>
      </c>
      <c r="S812" t="s">
        <v>31</v>
      </c>
      <c r="T812" t="s">
        <v>40</v>
      </c>
      <c r="U812">
        <v>43</v>
      </c>
      <c r="V812">
        <v>3.6</v>
      </c>
      <c r="W812">
        <f>Table2[[#This Row],[Quantity]]*Table2[[#This Row],[Item_Price]]</f>
        <v>674</v>
      </c>
    </row>
    <row r="813" spans="1:23" x14ac:dyDescent="0.25">
      <c r="A813" t="s">
        <v>908</v>
      </c>
      <c r="B813" s="1">
        <v>45716</v>
      </c>
      <c r="C813" t="s">
        <v>517</v>
      </c>
      <c r="D813">
        <v>2</v>
      </c>
      <c r="E813">
        <v>28</v>
      </c>
      <c r="F813" t="s">
        <v>114</v>
      </c>
      <c r="G813" t="s">
        <v>80</v>
      </c>
      <c r="H813" t="s">
        <v>35</v>
      </c>
      <c r="I813" t="s">
        <v>36</v>
      </c>
      <c r="J813" t="s">
        <v>101</v>
      </c>
      <c r="K813" t="s">
        <v>38</v>
      </c>
      <c r="L813">
        <v>1</v>
      </c>
      <c r="M813">
        <v>457</v>
      </c>
      <c r="N813">
        <v>91.4</v>
      </c>
      <c r="O813">
        <v>40</v>
      </c>
      <c r="P813">
        <v>457</v>
      </c>
      <c r="Q813">
        <v>405.6</v>
      </c>
      <c r="R813" t="s">
        <v>39</v>
      </c>
      <c r="S813" t="s">
        <v>31</v>
      </c>
      <c r="T813" t="s">
        <v>32</v>
      </c>
      <c r="U813">
        <v>69</v>
      </c>
      <c r="V813">
        <v>3.3</v>
      </c>
      <c r="W813">
        <f>Table2[[#This Row],[Quantity]]*Table2[[#This Row],[Item_Price]]</f>
        <v>457</v>
      </c>
    </row>
    <row r="814" spans="1:23" x14ac:dyDescent="0.25">
      <c r="A814" t="s">
        <v>909</v>
      </c>
      <c r="B814" s="1">
        <v>45717</v>
      </c>
      <c r="C814" t="s">
        <v>910</v>
      </c>
      <c r="D814">
        <v>3</v>
      </c>
      <c r="E814">
        <v>1</v>
      </c>
      <c r="F814" t="s">
        <v>134</v>
      </c>
      <c r="G814" t="s">
        <v>84</v>
      </c>
      <c r="H814" t="s">
        <v>42</v>
      </c>
      <c r="I814" t="s">
        <v>85</v>
      </c>
      <c r="J814" t="s">
        <v>74</v>
      </c>
      <c r="K814" t="s">
        <v>38</v>
      </c>
      <c r="L814">
        <v>2</v>
      </c>
      <c r="M814">
        <v>886</v>
      </c>
      <c r="N814">
        <v>132.9</v>
      </c>
      <c r="O814">
        <v>20</v>
      </c>
      <c r="P814">
        <v>1772</v>
      </c>
      <c r="Q814">
        <v>1659.1</v>
      </c>
      <c r="R814" t="s">
        <v>39</v>
      </c>
      <c r="S814" t="s">
        <v>31</v>
      </c>
      <c r="T814" t="s">
        <v>40</v>
      </c>
      <c r="U814">
        <v>70</v>
      </c>
      <c r="V814">
        <v>4.8</v>
      </c>
      <c r="W814">
        <f>Table2[[#This Row],[Quantity]]*Table2[[#This Row],[Item_Price]]</f>
        <v>1772</v>
      </c>
    </row>
    <row r="815" spans="1:23" x14ac:dyDescent="0.25">
      <c r="A815" t="s">
        <v>911</v>
      </c>
      <c r="B815" s="1">
        <v>45717</v>
      </c>
      <c r="C815" t="s">
        <v>910</v>
      </c>
      <c r="D815">
        <v>3</v>
      </c>
      <c r="E815">
        <v>1</v>
      </c>
      <c r="F815" t="s">
        <v>134</v>
      </c>
      <c r="G815" t="s">
        <v>34</v>
      </c>
      <c r="H815" t="s">
        <v>81</v>
      </c>
      <c r="I815" t="s">
        <v>57</v>
      </c>
      <c r="J815" t="s">
        <v>37</v>
      </c>
      <c r="K815" t="s">
        <v>38</v>
      </c>
      <c r="L815">
        <v>1</v>
      </c>
      <c r="M815">
        <v>893</v>
      </c>
      <c r="N815">
        <v>44.65</v>
      </c>
      <c r="O815">
        <v>20</v>
      </c>
      <c r="P815">
        <v>893</v>
      </c>
      <c r="Q815">
        <v>868.35</v>
      </c>
      <c r="R815" t="s">
        <v>30</v>
      </c>
      <c r="S815" t="s">
        <v>31</v>
      </c>
      <c r="T815" t="s">
        <v>40</v>
      </c>
      <c r="U815">
        <v>33</v>
      </c>
      <c r="V815">
        <v>4.2</v>
      </c>
      <c r="W815">
        <f>Table2[[#This Row],[Quantity]]*Table2[[#This Row],[Item_Price]]</f>
        <v>893</v>
      </c>
    </row>
    <row r="816" spans="1:23" x14ac:dyDescent="0.25">
      <c r="A816" t="s">
        <v>912</v>
      </c>
      <c r="B816" s="1">
        <v>45717</v>
      </c>
      <c r="C816" t="s">
        <v>910</v>
      </c>
      <c r="D816">
        <v>3</v>
      </c>
      <c r="E816">
        <v>1</v>
      </c>
      <c r="F816" t="s">
        <v>134</v>
      </c>
      <c r="G816" t="s">
        <v>25</v>
      </c>
      <c r="H816" t="s">
        <v>81</v>
      </c>
      <c r="I816" t="s">
        <v>49</v>
      </c>
      <c r="J816" t="s">
        <v>53</v>
      </c>
      <c r="K816" t="s">
        <v>38</v>
      </c>
      <c r="L816">
        <v>2</v>
      </c>
      <c r="M816">
        <v>477</v>
      </c>
      <c r="N816">
        <v>119.25</v>
      </c>
      <c r="O816">
        <v>30</v>
      </c>
      <c r="P816">
        <v>954</v>
      </c>
      <c r="Q816">
        <v>864.75</v>
      </c>
      <c r="R816" t="s">
        <v>75</v>
      </c>
      <c r="S816" t="s">
        <v>31</v>
      </c>
      <c r="T816" t="s">
        <v>40</v>
      </c>
      <c r="U816">
        <v>63</v>
      </c>
      <c r="V816">
        <v>4.2</v>
      </c>
      <c r="W816">
        <f>Table2[[#This Row],[Quantity]]*Table2[[#This Row],[Item_Price]]</f>
        <v>954</v>
      </c>
    </row>
    <row r="817" spans="1:23" x14ac:dyDescent="0.25">
      <c r="A817" t="s">
        <v>913</v>
      </c>
      <c r="B817" s="1">
        <v>45717</v>
      </c>
      <c r="C817" t="s">
        <v>910</v>
      </c>
      <c r="D817">
        <v>3</v>
      </c>
      <c r="E817">
        <v>1</v>
      </c>
      <c r="F817" t="s">
        <v>134</v>
      </c>
      <c r="G817" t="s">
        <v>64</v>
      </c>
      <c r="H817" t="s">
        <v>105</v>
      </c>
      <c r="I817" t="s">
        <v>36</v>
      </c>
      <c r="J817" t="s">
        <v>66</v>
      </c>
      <c r="K817" t="s">
        <v>38</v>
      </c>
      <c r="L817">
        <v>2</v>
      </c>
      <c r="M817">
        <v>558</v>
      </c>
      <c r="N817">
        <v>83.7</v>
      </c>
      <c r="O817">
        <v>60</v>
      </c>
      <c r="P817">
        <v>1116</v>
      </c>
      <c r="Q817">
        <v>1092.3</v>
      </c>
      <c r="R817" t="s">
        <v>30</v>
      </c>
      <c r="S817" t="s">
        <v>46</v>
      </c>
      <c r="T817" t="s">
        <v>40</v>
      </c>
      <c r="U817">
        <v>66</v>
      </c>
      <c r="W817">
        <f>Table2[[#This Row],[Quantity]]*Table2[[#This Row],[Item_Price]]</f>
        <v>1116</v>
      </c>
    </row>
    <row r="818" spans="1:23" x14ac:dyDescent="0.25">
      <c r="A818" t="s">
        <v>914</v>
      </c>
      <c r="B818" s="1">
        <v>45717</v>
      </c>
      <c r="C818" t="s">
        <v>910</v>
      </c>
      <c r="D818">
        <v>3</v>
      </c>
      <c r="E818">
        <v>1</v>
      </c>
      <c r="F818" t="s">
        <v>134</v>
      </c>
      <c r="G818" t="s">
        <v>115</v>
      </c>
      <c r="H818" t="s">
        <v>52</v>
      </c>
      <c r="I818" t="s">
        <v>57</v>
      </c>
      <c r="J818" t="s">
        <v>70</v>
      </c>
      <c r="K818" t="s">
        <v>38</v>
      </c>
      <c r="L818">
        <v>1</v>
      </c>
      <c r="M818">
        <v>198</v>
      </c>
      <c r="N818">
        <v>49.5</v>
      </c>
      <c r="O818">
        <v>60</v>
      </c>
      <c r="P818">
        <v>198</v>
      </c>
      <c r="Q818">
        <v>208.5</v>
      </c>
      <c r="R818" t="s">
        <v>112</v>
      </c>
      <c r="S818" t="s">
        <v>31</v>
      </c>
      <c r="T818" t="s">
        <v>40</v>
      </c>
      <c r="U818">
        <v>60</v>
      </c>
      <c r="V818">
        <v>3.6</v>
      </c>
      <c r="W818">
        <f>Table2[[#This Row],[Quantity]]*Table2[[#This Row],[Item_Price]]</f>
        <v>198</v>
      </c>
    </row>
    <row r="819" spans="1:23" x14ac:dyDescent="0.25">
      <c r="A819" t="s">
        <v>915</v>
      </c>
      <c r="B819" s="1">
        <v>45717</v>
      </c>
      <c r="C819" t="s">
        <v>910</v>
      </c>
      <c r="D819">
        <v>3</v>
      </c>
      <c r="E819">
        <v>1</v>
      </c>
      <c r="F819" t="s">
        <v>134</v>
      </c>
      <c r="G819" t="s">
        <v>80</v>
      </c>
      <c r="H819" t="s">
        <v>60</v>
      </c>
      <c r="I819" t="s">
        <v>69</v>
      </c>
      <c r="J819" t="s">
        <v>74</v>
      </c>
      <c r="K819" t="s">
        <v>38</v>
      </c>
      <c r="L819">
        <v>3</v>
      </c>
      <c r="M819">
        <v>201</v>
      </c>
      <c r="N819">
        <v>10.050000000000001</v>
      </c>
      <c r="O819">
        <v>60</v>
      </c>
      <c r="P819">
        <v>603</v>
      </c>
      <c r="Q819">
        <v>652.95000000000005</v>
      </c>
      <c r="R819" t="s">
        <v>39</v>
      </c>
      <c r="S819" t="s">
        <v>31</v>
      </c>
      <c r="T819" t="s">
        <v>32</v>
      </c>
      <c r="U819">
        <v>69</v>
      </c>
      <c r="V819">
        <v>3.6</v>
      </c>
      <c r="W819">
        <f>Table2[[#This Row],[Quantity]]*Table2[[#This Row],[Item_Price]]</f>
        <v>603</v>
      </c>
    </row>
    <row r="820" spans="1:23" x14ac:dyDescent="0.25">
      <c r="A820" t="s">
        <v>916</v>
      </c>
      <c r="B820" s="1">
        <v>45717</v>
      </c>
      <c r="C820" t="s">
        <v>910</v>
      </c>
      <c r="D820">
        <v>3</v>
      </c>
      <c r="E820">
        <v>1</v>
      </c>
      <c r="F820" t="s">
        <v>134</v>
      </c>
      <c r="G820" t="s">
        <v>80</v>
      </c>
      <c r="H820" t="s">
        <v>26</v>
      </c>
      <c r="I820" t="s">
        <v>97</v>
      </c>
      <c r="J820" t="s">
        <v>53</v>
      </c>
      <c r="K820" t="s">
        <v>38</v>
      </c>
      <c r="L820">
        <v>2</v>
      </c>
      <c r="M820">
        <v>597</v>
      </c>
      <c r="N820">
        <v>149.25</v>
      </c>
      <c r="O820">
        <v>60</v>
      </c>
      <c r="P820">
        <v>1194</v>
      </c>
      <c r="Q820">
        <v>1104.75</v>
      </c>
      <c r="R820" t="s">
        <v>112</v>
      </c>
      <c r="S820" t="s">
        <v>31</v>
      </c>
      <c r="T820" t="s">
        <v>32</v>
      </c>
      <c r="U820">
        <v>65</v>
      </c>
      <c r="V820">
        <v>3.6</v>
      </c>
      <c r="W820">
        <f>Table2[[#This Row],[Quantity]]*Table2[[#This Row],[Item_Price]]</f>
        <v>1194</v>
      </c>
    </row>
    <row r="821" spans="1:23" x14ac:dyDescent="0.25">
      <c r="A821" t="s">
        <v>917</v>
      </c>
      <c r="B821" s="1">
        <v>45717</v>
      </c>
      <c r="C821" t="s">
        <v>910</v>
      </c>
      <c r="D821">
        <v>3</v>
      </c>
      <c r="E821">
        <v>1</v>
      </c>
      <c r="F821" t="s">
        <v>134</v>
      </c>
      <c r="G821" t="s">
        <v>25</v>
      </c>
      <c r="H821" t="s">
        <v>42</v>
      </c>
      <c r="I821" t="s">
        <v>49</v>
      </c>
      <c r="J821" t="s">
        <v>119</v>
      </c>
      <c r="K821" t="s">
        <v>38</v>
      </c>
      <c r="L821">
        <v>1</v>
      </c>
      <c r="M821">
        <v>532</v>
      </c>
      <c r="N821">
        <v>79.8</v>
      </c>
      <c r="O821">
        <v>40</v>
      </c>
      <c r="P821">
        <v>532</v>
      </c>
      <c r="Q821">
        <v>492.2</v>
      </c>
      <c r="R821" t="s">
        <v>39</v>
      </c>
      <c r="S821" t="s">
        <v>31</v>
      </c>
      <c r="T821" t="s">
        <v>40</v>
      </c>
      <c r="U821">
        <v>30</v>
      </c>
      <c r="V821">
        <v>3.6</v>
      </c>
      <c r="W821">
        <f>Table2[[#This Row],[Quantity]]*Table2[[#This Row],[Item_Price]]</f>
        <v>532</v>
      </c>
    </row>
    <row r="822" spans="1:23" x14ac:dyDescent="0.25">
      <c r="A822" t="s">
        <v>918</v>
      </c>
      <c r="B822" s="1">
        <v>45717</v>
      </c>
      <c r="C822" t="s">
        <v>910</v>
      </c>
      <c r="D822">
        <v>3</v>
      </c>
      <c r="E822">
        <v>1</v>
      </c>
      <c r="F822" t="s">
        <v>134</v>
      </c>
      <c r="G822" t="s">
        <v>25</v>
      </c>
      <c r="H822" t="s">
        <v>139</v>
      </c>
      <c r="I822" t="s">
        <v>43</v>
      </c>
      <c r="J822" t="s">
        <v>74</v>
      </c>
      <c r="K822" t="s">
        <v>45</v>
      </c>
      <c r="L822">
        <v>1</v>
      </c>
      <c r="M822">
        <v>895</v>
      </c>
      <c r="N822">
        <v>89.5</v>
      </c>
      <c r="O822">
        <v>30</v>
      </c>
      <c r="P822">
        <v>895</v>
      </c>
      <c r="Q822">
        <v>835.5</v>
      </c>
      <c r="R822" t="s">
        <v>30</v>
      </c>
      <c r="S822" t="s">
        <v>31</v>
      </c>
      <c r="T822" t="s">
        <v>40</v>
      </c>
      <c r="U822">
        <v>65</v>
      </c>
      <c r="V822">
        <v>5</v>
      </c>
      <c r="W822">
        <f>Table2[[#This Row],[Quantity]]*Table2[[#This Row],[Item_Price]]</f>
        <v>895</v>
      </c>
    </row>
    <row r="823" spans="1:23" x14ac:dyDescent="0.25">
      <c r="A823" t="s">
        <v>919</v>
      </c>
      <c r="B823" s="1">
        <v>45717</v>
      </c>
      <c r="C823" t="s">
        <v>910</v>
      </c>
      <c r="D823">
        <v>3</v>
      </c>
      <c r="E823">
        <v>1</v>
      </c>
      <c r="F823" t="s">
        <v>134</v>
      </c>
      <c r="G823" t="s">
        <v>34</v>
      </c>
      <c r="H823" t="s">
        <v>135</v>
      </c>
      <c r="I823" t="s">
        <v>57</v>
      </c>
      <c r="J823" t="s">
        <v>78</v>
      </c>
      <c r="K823" t="s">
        <v>38</v>
      </c>
      <c r="L823">
        <v>3</v>
      </c>
      <c r="M823">
        <v>231</v>
      </c>
      <c r="N823">
        <v>46.2</v>
      </c>
      <c r="O823">
        <v>0</v>
      </c>
      <c r="P823">
        <v>693</v>
      </c>
      <c r="Q823">
        <v>646.79999999999995</v>
      </c>
      <c r="R823" t="s">
        <v>75</v>
      </c>
      <c r="S823" t="s">
        <v>91</v>
      </c>
      <c r="T823" t="s">
        <v>40</v>
      </c>
      <c r="U823">
        <v>29</v>
      </c>
      <c r="W823">
        <f>Table2[[#This Row],[Quantity]]*Table2[[#This Row],[Item_Price]]</f>
        <v>693</v>
      </c>
    </row>
    <row r="824" spans="1:23" x14ac:dyDescent="0.25">
      <c r="A824" t="s">
        <v>920</v>
      </c>
      <c r="B824" s="1">
        <v>45717</v>
      </c>
      <c r="C824" t="s">
        <v>910</v>
      </c>
      <c r="D824">
        <v>3</v>
      </c>
      <c r="E824">
        <v>1</v>
      </c>
      <c r="F824" t="s">
        <v>134</v>
      </c>
      <c r="G824" t="s">
        <v>84</v>
      </c>
      <c r="H824" t="s">
        <v>68</v>
      </c>
      <c r="I824" t="s">
        <v>85</v>
      </c>
      <c r="J824" t="s">
        <v>37</v>
      </c>
      <c r="K824" t="s">
        <v>38</v>
      </c>
      <c r="L824">
        <v>1</v>
      </c>
      <c r="M824">
        <v>845</v>
      </c>
      <c r="N824">
        <v>0</v>
      </c>
      <c r="O824">
        <v>0</v>
      </c>
      <c r="P824">
        <v>845</v>
      </c>
      <c r="Q824">
        <v>845</v>
      </c>
      <c r="R824" t="s">
        <v>30</v>
      </c>
      <c r="S824" t="s">
        <v>46</v>
      </c>
      <c r="T824" t="s">
        <v>32</v>
      </c>
      <c r="U824">
        <v>53</v>
      </c>
      <c r="W824">
        <f>Table2[[#This Row],[Quantity]]*Table2[[#This Row],[Item_Price]]</f>
        <v>845</v>
      </c>
    </row>
    <row r="825" spans="1:23" x14ac:dyDescent="0.25">
      <c r="A825" t="s">
        <v>921</v>
      </c>
      <c r="B825" s="1">
        <v>45718</v>
      </c>
      <c r="C825" t="s">
        <v>910</v>
      </c>
      <c r="D825">
        <v>3</v>
      </c>
      <c r="E825">
        <v>2</v>
      </c>
      <c r="F825" t="s">
        <v>149</v>
      </c>
      <c r="G825" t="s">
        <v>73</v>
      </c>
      <c r="H825" t="s">
        <v>65</v>
      </c>
      <c r="I825" t="s">
        <v>43</v>
      </c>
      <c r="J825" t="s">
        <v>44</v>
      </c>
      <c r="K825" t="s">
        <v>38</v>
      </c>
      <c r="L825">
        <v>2</v>
      </c>
      <c r="M825">
        <v>167</v>
      </c>
      <c r="N825">
        <v>8.35</v>
      </c>
      <c r="O825">
        <v>40</v>
      </c>
      <c r="P825">
        <v>334</v>
      </c>
      <c r="Q825">
        <v>365.65</v>
      </c>
      <c r="R825" t="s">
        <v>75</v>
      </c>
      <c r="S825" t="s">
        <v>31</v>
      </c>
      <c r="T825" t="s">
        <v>32</v>
      </c>
      <c r="U825">
        <v>65</v>
      </c>
      <c r="V825">
        <v>4.5</v>
      </c>
      <c r="W825">
        <f>Table2[[#This Row],[Quantity]]*Table2[[#This Row],[Item_Price]]</f>
        <v>334</v>
      </c>
    </row>
    <row r="826" spans="1:23" x14ac:dyDescent="0.25">
      <c r="A826" t="s">
        <v>922</v>
      </c>
      <c r="B826" s="1">
        <v>45718</v>
      </c>
      <c r="C826" t="s">
        <v>910</v>
      </c>
      <c r="D826">
        <v>3</v>
      </c>
      <c r="E826">
        <v>2</v>
      </c>
      <c r="F826" t="s">
        <v>149</v>
      </c>
      <c r="G826" t="s">
        <v>96</v>
      </c>
      <c r="H826" t="s">
        <v>108</v>
      </c>
      <c r="I826" t="s">
        <v>97</v>
      </c>
      <c r="J826" t="s">
        <v>94</v>
      </c>
      <c r="K826" t="s">
        <v>38</v>
      </c>
      <c r="L826">
        <v>2</v>
      </c>
      <c r="M826">
        <v>489</v>
      </c>
      <c r="N826">
        <v>0</v>
      </c>
      <c r="O826">
        <v>20</v>
      </c>
      <c r="P826">
        <v>978</v>
      </c>
      <c r="Q826">
        <v>998</v>
      </c>
      <c r="R826" t="s">
        <v>39</v>
      </c>
      <c r="S826" t="s">
        <v>31</v>
      </c>
      <c r="T826" t="s">
        <v>40</v>
      </c>
      <c r="U826">
        <v>34</v>
      </c>
      <c r="V826">
        <v>3.6</v>
      </c>
      <c r="W826">
        <f>Table2[[#This Row],[Quantity]]*Table2[[#This Row],[Item_Price]]</f>
        <v>978</v>
      </c>
    </row>
    <row r="827" spans="1:23" x14ac:dyDescent="0.25">
      <c r="A827" t="s">
        <v>923</v>
      </c>
      <c r="B827" s="1">
        <v>45718</v>
      </c>
      <c r="C827" t="s">
        <v>910</v>
      </c>
      <c r="D827">
        <v>3</v>
      </c>
      <c r="E827">
        <v>2</v>
      </c>
      <c r="F827" t="s">
        <v>149</v>
      </c>
      <c r="G827" t="s">
        <v>90</v>
      </c>
      <c r="H827" t="s">
        <v>42</v>
      </c>
      <c r="I827" t="s">
        <v>69</v>
      </c>
      <c r="J827" t="s">
        <v>28</v>
      </c>
      <c r="K827" t="s">
        <v>38</v>
      </c>
      <c r="L827">
        <v>1</v>
      </c>
      <c r="M827">
        <v>512</v>
      </c>
      <c r="N827">
        <v>102.4</v>
      </c>
      <c r="O827">
        <v>20</v>
      </c>
      <c r="P827">
        <v>512</v>
      </c>
      <c r="Q827">
        <v>429.6</v>
      </c>
      <c r="R827" t="s">
        <v>75</v>
      </c>
      <c r="S827" t="s">
        <v>31</v>
      </c>
      <c r="T827" t="s">
        <v>40</v>
      </c>
      <c r="U827">
        <v>53</v>
      </c>
      <c r="V827">
        <v>5</v>
      </c>
      <c r="W827">
        <f>Table2[[#This Row],[Quantity]]*Table2[[#This Row],[Item_Price]]</f>
        <v>512</v>
      </c>
    </row>
    <row r="828" spans="1:23" x14ac:dyDescent="0.25">
      <c r="A828" t="s">
        <v>924</v>
      </c>
      <c r="B828" s="1">
        <v>45718</v>
      </c>
      <c r="C828" t="s">
        <v>910</v>
      </c>
      <c r="D828">
        <v>3</v>
      </c>
      <c r="E828">
        <v>2</v>
      </c>
      <c r="F828" t="s">
        <v>149</v>
      </c>
      <c r="G828" t="s">
        <v>55</v>
      </c>
      <c r="H828" t="s">
        <v>108</v>
      </c>
      <c r="I828" t="s">
        <v>97</v>
      </c>
      <c r="J828" t="s">
        <v>44</v>
      </c>
      <c r="K828" t="s">
        <v>38</v>
      </c>
      <c r="L828">
        <v>1</v>
      </c>
      <c r="M828">
        <v>642</v>
      </c>
      <c r="N828">
        <v>0</v>
      </c>
      <c r="O828">
        <v>20</v>
      </c>
      <c r="P828">
        <v>642</v>
      </c>
      <c r="Q828">
        <v>662</v>
      </c>
      <c r="R828" t="s">
        <v>39</v>
      </c>
      <c r="S828" t="s">
        <v>31</v>
      </c>
      <c r="T828" t="s">
        <v>32</v>
      </c>
      <c r="U828">
        <v>41</v>
      </c>
      <c r="V828">
        <v>5</v>
      </c>
      <c r="W828">
        <f>Table2[[#This Row],[Quantity]]*Table2[[#This Row],[Item_Price]]</f>
        <v>642</v>
      </c>
    </row>
    <row r="829" spans="1:23" x14ac:dyDescent="0.25">
      <c r="A829" t="s">
        <v>925</v>
      </c>
      <c r="B829" s="1">
        <v>45718</v>
      </c>
      <c r="C829" t="s">
        <v>910</v>
      </c>
      <c r="D829">
        <v>3</v>
      </c>
      <c r="E829">
        <v>2</v>
      </c>
      <c r="F829" t="s">
        <v>149</v>
      </c>
      <c r="G829" t="s">
        <v>73</v>
      </c>
      <c r="H829" t="s">
        <v>52</v>
      </c>
      <c r="I829" t="s">
        <v>69</v>
      </c>
      <c r="J829" t="s">
        <v>101</v>
      </c>
      <c r="K829" t="s">
        <v>45</v>
      </c>
      <c r="L829">
        <v>1</v>
      </c>
      <c r="M829">
        <v>528</v>
      </c>
      <c r="N829">
        <v>105.6</v>
      </c>
      <c r="O829">
        <v>40</v>
      </c>
      <c r="P829">
        <v>528</v>
      </c>
      <c r="Q829">
        <v>462.4</v>
      </c>
      <c r="R829" t="s">
        <v>39</v>
      </c>
      <c r="S829" t="s">
        <v>46</v>
      </c>
      <c r="T829" t="s">
        <v>32</v>
      </c>
      <c r="U829">
        <v>37</v>
      </c>
      <c r="W829">
        <f>Table2[[#This Row],[Quantity]]*Table2[[#This Row],[Item_Price]]</f>
        <v>528</v>
      </c>
    </row>
    <row r="830" spans="1:23" x14ac:dyDescent="0.25">
      <c r="A830" t="s">
        <v>926</v>
      </c>
      <c r="B830" s="1">
        <v>45718</v>
      </c>
      <c r="C830" t="s">
        <v>910</v>
      </c>
      <c r="D830">
        <v>3</v>
      </c>
      <c r="E830">
        <v>2</v>
      </c>
      <c r="F830" t="s">
        <v>149</v>
      </c>
      <c r="G830" t="s">
        <v>84</v>
      </c>
      <c r="H830" t="s">
        <v>26</v>
      </c>
      <c r="I830" t="s">
        <v>49</v>
      </c>
      <c r="J830" t="s">
        <v>101</v>
      </c>
      <c r="K830" t="s">
        <v>38</v>
      </c>
      <c r="L830">
        <v>3</v>
      </c>
      <c r="M830">
        <v>495</v>
      </c>
      <c r="N830">
        <v>74.25</v>
      </c>
      <c r="O830">
        <v>0</v>
      </c>
      <c r="P830">
        <v>1485</v>
      </c>
      <c r="Q830">
        <v>1410.75</v>
      </c>
      <c r="R830" t="s">
        <v>39</v>
      </c>
      <c r="S830" t="s">
        <v>31</v>
      </c>
      <c r="T830" t="s">
        <v>40</v>
      </c>
      <c r="U830">
        <v>51</v>
      </c>
      <c r="V830">
        <v>4.9000000000000004</v>
      </c>
      <c r="W830">
        <f>Table2[[#This Row],[Quantity]]*Table2[[#This Row],[Item_Price]]</f>
        <v>1485</v>
      </c>
    </row>
    <row r="831" spans="1:23" x14ac:dyDescent="0.25">
      <c r="A831" t="s">
        <v>927</v>
      </c>
      <c r="B831" s="1">
        <v>45718</v>
      </c>
      <c r="C831" t="s">
        <v>910</v>
      </c>
      <c r="D831">
        <v>3</v>
      </c>
      <c r="E831">
        <v>2</v>
      </c>
      <c r="F831" t="s">
        <v>149</v>
      </c>
      <c r="G831" t="s">
        <v>80</v>
      </c>
      <c r="H831" t="s">
        <v>26</v>
      </c>
      <c r="I831" t="s">
        <v>103</v>
      </c>
      <c r="J831" t="s">
        <v>74</v>
      </c>
      <c r="K831" t="s">
        <v>38</v>
      </c>
      <c r="L831">
        <v>3</v>
      </c>
      <c r="M831">
        <v>376</v>
      </c>
      <c r="N831">
        <v>56.4</v>
      </c>
      <c r="O831">
        <v>60</v>
      </c>
      <c r="P831">
        <v>1128</v>
      </c>
      <c r="Q831">
        <v>1131.5999999999999</v>
      </c>
      <c r="R831" t="s">
        <v>39</v>
      </c>
      <c r="S831" t="s">
        <v>31</v>
      </c>
      <c r="T831" t="s">
        <v>32</v>
      </c>
      <c r="U831">
        <v>68</v>
      </c>
      <c r="V831">
        <v>4.7</v>
      </c>
      <c r="W831">
        <f>Table2[[#This Row],[Quantity]]*Table2[[#This Row],[Item_Price]]</f>
        <v>1128</v>
      </c>
    </row>
    <row r="832" spans="1:23" x14ac:dyDescent="0.25">
      <c r="A832" t="s">
        <v>928</v>
      </c>
      <c r="B832" s="1">
        <v>45718</v>
      </c>
      <c r="C832" t="s">
        <v>910</v>
      </c>
      <c r="D832">
        <v>3</v>
      </c>
      <c r="E832">
        <v>2</v>
      </c>
      <c r="F832" t="s">
        <v>149</v>
      </c>
      <c r="G832" t="s">
        <v>34</v>
      </c>
      <c r="H832" t="s">
        <v>48</v>
      </c>
      <c r="I832" t="s">
        <v>97</v>
      </c>
      <c r="J832" t="s">
        <v>28</v>
      </c>
      <c r="K832" t="s">
        <v>38</v>
      </c>
      <c r="L832">
        <v>3</v>
      </c>
      <c r="M832">
        <v>758</v>
      </c>
      <c r="N832">
        <v>75.8</v>
      </c>
      <c r="O832">
        <v>30</v>
      </c>
      <c r="P832">
        <v>2274</v>
      </c>
      <c r="Q832">
        <v>2228.1999999999998</v>
      </c>
      <c r="R832" t="s">
        <v>30</v>
      </c>
      <c r="S832" t="s">
        <v>91</v>
      </c>
      <c r="T832" t="s">
        <v>40</v>
      </c>
      <c r="U832">
        <v>55</v>
      </c>
      <c r="W832">
        <f>Table2[[#This Row],[Quantity]]*Table2[[#This Row],[Item_Price]]</f>
        <v>2274</v>
      </c>
    </row>
    <row r="833" spans="1:23" x14ac:dyDescent="0.25">
      <c r="A833" t="s">
        <v>929</v>
      </c>
      <c r="B833" s="1">
        <v>45718</v>
      </c>
      <c r="C833" t="s">
        <v>910</v>
      </c>
      <c r="D833">
        <v>3</v>
      </c>
      <c r="E833">
        <v>2</v>
      </c>
      <c r="F833" t="s">
        <v>149</v>
      </c>
      <c r="G833" t="s">
        <v>73</v>
      </c>
      <c r="H833" t="s">
        <v>26</v>
      </c>
      <c r="I833" t="s">
        <v>97</v>
      </c>
      <c r="J833" t="s">
        <v>123</v>
      </c>
      <c r="K833" t="s">
        <v>38</v>
      </c>
      <c r="L833">
        <v>1</v>
      </c>
      <c r="M833">
        <v>260</v>
      </c>
      <c r="N833">
        <v>52</v>
      </c>
      <c r="O833">
        <v>40</v>
      </c>
      <c r="P833">
        <v>260</v>
      </c>
      <c r="Q833">
        <v>248</v>
      </c>
      <c r="R833" t="s">
        <v>39</v>
      </c>
      <c r="S833" t="s">
        <v>31</v>
      </c>
      <c r="T833" t="s">
        <v>40</v>
      </c>
      <c r="U833">
        <v>44</v>
      </c>
      <c r="V833">
        <v>5</v>
      </c>
      <c r="W833">
        <f>Table2[[#This Row],[Quantity]]*Table2[[#This Row],[Item_Price]]</f>
        <v>260</v>
      </c>
    </row>
    <row r="834" spans="1:23" x14ac:dyDescent="0.25">
      <c r="A834" t="s">
        <v>930</v>
      </c>
      <c r="B834" s="1">
        <v>45718</v>
      </c>
      <c r="C834" t="s">
        <v>910</v>
      </c>
      <c r="D834">
        <v>3</v>
      </c>
      <c r="E834">
        <v>2</v>
      </c>
      <c r="F834" t="s">
        <v>149</v>
      </c>
      <c r="G834" t="s">
        <v>115</v>
      </c>
      <c r="H834" t="s">
        <v>48</v>
      </c>
      <c r="I834" t="s">
        <v>61</v>
      </c>
      <c r="J834" t="s">
        <v>70</v>
      </c>
      <c r="K834" t="s">
        <v>38</v>
      </c>
      <c r="L834">
        <v>3</v>
      </c>
      <c r="M834">
        <v>667</v>
      </c>
      <c r="N834">
        <v>166.75</v>
      </c>
      <c r="O834">
        <v>20</v>
      </c>
      <c r="P834">
        <v>2001</v>
      </c>
      <c r="Q834">
        <v>1854.25</v>
      </c>
      <c r="R834" t="s">
        <v>39</v>
      </c>
      <c r="S834" t="s">
        <v>31</v>
      </c>
      <c r="T834" t="s">
        <v>40</v>
      </c>
      <c r="U834">
        <v>33</v>
      </c>
      <c r="V834">
        <v>3.5</v>
      </c>
      <c r="W834">
        <f>Table2[[#This Row],[Quantity]]*Table2[[#This Row],[Item_Price]]</f>
        <v>2001</v>
      </c>
    </row>
    <row r="835" spans="1:23" x14ac:dyDescent="0.25">
      <c r="A835" t="s">
        <v>931</v>
      </c>
      <c r="B835" s="1">
        <v>45718</v>
      </c>
      <c r="C835" t="s">
        <v>910</v>
      </c>
      <c r="D835">
        <v>3</v>
      </c>
      <c r="E835">
        <v>2</v>
      </c>
      <c r="F835" t="s">
        <v>149</v>
      </c>
      <c r="G835" t="s">
        <v>55</v>
      </c>
      <c r="H835" t="s">
        <v>48</v>
      </c>
      <c r="I835" t="s">
        <v>49</v>
      </c>
      <c r="J835" t="s">
        <v>66</v>
      </c>
      <c r="K835" t="s">
        <v>45</v>
      </c>
      <c r="L835">
        <v>2</v>
      </c>
      <c r="M835">
        <v>872</v>
      </c>
      <c r="N835">
        <v>130.80000000000001</v>
      </c>
      <c r="O835">
        <v>70</v>
      </c>
      <c r="P835">
        <v>1744</v>
      </c>
      <c r="Q835">
        <v>1683.2</v>
      </c>
      <c r="R835" t="s">
        <v>112</v>
      </c>
      <c r="S835" t="s">
        <v>31</v>
      </c>
      <c r="T835" t="s">
        <v>40</v>
      </c>
      <c r="U835">
        <v>46</v>
      </c>
      <c r="V835">
        <v>4.7</v>
      </c>
      <c r="W835">
        <f>Table2[[#This Row],[Quantity]]*Table2[[#This Row],[Item_Price]]</f>
        <v>1744</v>
      </c>
    </row>
    <row r="836" spans="1:23" x14ac:dyDescent="0.25">
      <c r="A836" t="s">
        <v>932</v>
      </c>
      <c r="B836" s="1">
        <v>45718</v>
      </c>
      <c r="C836" t="s">
        <v>910</v>
      </c>
      <c r="D836">
        <v>3</v>
      </c>
      <c r="E836">
        <v>2</v>
      </c>
      <c r="F836" t="s">
        <v>149</v>
      </c>
      <c r="G836" t="s">
        <v>34</v>
      </c>
      <c r="H836" t="s">
        <v>77</v>
      </c>
      <c r="I836" t="s">
        <v>69</v>
      </c>
      <c r="J836" t="s">
        <v>28</v>
      </c>
      <c r="K836" t="s">
        <v>38</v>
      </c>
      <c r="L836">
        <v>2</v>
      </c>
      <c r="M836">
        <v>463</v>
      </c>
      <c r="N836">
        <v>46.3</v>
      </c>
      <c r="O836">
        <v>40</v>
      </c>
      <c r="P836">
        <v>926</v>
      </c>
      <c r="Q836">
        <v>919.7</v>
      </c>
      <c r="R836" t="s">
        <v>75</v>
      </c>
      <c r="S836" t="s">
        <v>31</v>
      </c>
      <c r="T836" t="s">
        <v>40</v>
      </c>
      <c r="U836">
        <v>49</v>
      </c>
      <c r="V836">
        <v>3.9</v>
      </c>
      <c r="W836">
        <f>Table2[[#This Row],[Quantity]]*Table2[[#This Row],[Item_Price]]</f>
        <v>926</v>
      </c>
    </row>
    <row r="837" spans="1:23" x14ac:dyDescent="0.25">
      <c r="A837" t="s">
        <v>933</v>
      </c>
      <c r="B837" s="1">
        <v>45718</v>
      </c>
      <c r="C837" t="s">
        <v>910</v>
      </c>
      <c r="D837">
        <v>3</v>
      </c>
      <c r="E837">
        <v>2</v>
      </c>
      <c r="F837" t="s">
        <v>149</v>
      </c>
      <c r="G837" t="s">
        <v>115</v>
      </c>
      <c r="H837" t="s">
        <v>81</v>
      </c>
      <c r="I837" t="s">
        <v>43</v>
      </c>
      <c r="J837" t="s">
        <v>62</v>
      </c>
      <c r="K837" t="s">
        <v>38</v>
      </c>
      <c r="L837">
        <v>3</v>
      </c>
      <c r="M837">
        <v>392</v>
      </c>
      <c r="N837">
        <v>39.200000000000003</v>
      </c>
      <c r="O837">
        <v>40</v>
      </c>
      <c r="P837">
        <v>1176</v>
      </c>
      <c r="Q837">
        <v>1176.8</v>
      </c>
      <c r="R837" t="s">
        <v>98</v>
      </c>
      <c r="S837" t="s">
        <v>110</v>
      </c>
      <c r="T837" t="s">
        <v>40</v>
      </c>
      <c r="U837">
        <v>52</v>
      </c>
      <c r="W837">
        <f>Table2[[#This Row],[Quantity]]*Table2[[#This Row],[Item_Price]]</f>
        <v>1176</v>
      </c>
    </row>
    <row r="838" spans="1:23" x14ac:dyDescent="0.25">
      <c r="A838" t="s">
        <v>934</v>
      </c>
      <c r="B838" s="1">
        <v>45718</v>
      </c>
      <c r="C838" t="s">
        <v>910</v>
      </c>
      <c r="D838">
        <v>3</v>
      </c>
      <c r="E838">
        <v>2</v>
      </c>
      <c r="F838" t="s">
        <v>149</v>
      </c>
      <c r="G838" t="s">
        <v>64</v>
      </c>
      <c r="H838" t="s">
        <v>135</v>
      </c>
      <c r="I838" t="s">
        <v>85</v>
      </c>
      <c r="J838" t="s">
        <v>62</v>
      </c>
      <c r="K838" t="s">
        <v>38</v>
      </c>
      <c r="L838">
        <v>3</v>
      </c>
      <c r="M838">
        <v>547</v>
      </c>
      <c r="N838">
        <v>27.35</v>
      </c>
      <c r="O838">
        <v>30</v>
      </c>
      <c r="P838">
        <v>1641</v>
      </c>
      <c r="Q838">
        <v>1643.65</v>
      </c>
      <c r="R838" t="s">
        <v>75</v>
      </c>
      <c r="S838" t="s">
        <v>91</v>
      </c>
      <c r="T838" t="s">
        <v>40</v>
      </c>
      <c r="U838">
        <v>61</v>
      </c>
      <c r="W838">
        <f>Table2[[#This Row],[Quantity]]*Table2[[#This Row],[Item_Price]]</f>
        <v>1641</v>
      </c>
    </row>
    <row r="839" spans="1:23" x14ac:dyDescent="0.25">
      <c r="A839" t="s">
        <v>935</v>
      </c>
      <c r="B839" s="1">
        <v>45718</v>
      </c>
      <c r="C839" t="s">
        <v>910</v>
      </c>
      <c r="D839">
        <v>3</v>
      </c>
      <c r="E839">
        <v>2</v>
      </c>
      <c r="F839" t="s">
        <v>149</v>
      </c>
      <c r="G839" t="s">
        <v>64</v>
      </c>
      <c r="H839" t="s">
        <v>26</v>
      </c>
      <c r="I839" t="s">
        <v>43</v>
      </c>
      <c r="J839" t="s">
        <v>50</v>
      </c>
      <c r="K839" t="s">
        <v>38</v>
      </c>
      <c r="L839">
        <v>1</v>
      </c>
      <c r="M839">
        <v>308</v>
      </c>
      <c r="N839">
        <v>77</v>
      </c>
      <c r="O839">
        <v>0</v>
      </c>
      <c r="P839">
        <v>308</v>
      </c>
      <c r="Q839">
        <v>231</v>
      </c>
      <c r="R839" t="s">
        <v>39</v>
      </c>
      <c r="S839" t="s">
        <v>91</v>
      </c>
      <c r="T839" t="s">
        <v>32</v>
      </c>
      <c r="U839">
        <v>51</v>
      </c>
      <c r="W839">
        <f>Table2[[#This Row],[Quantity]]*Table2[[#This Row],[Item_Price]]</f>
        <v>308</v>
      </c>
    </row>
    <row r="840" spans="1:23" x14ac:dyDescent="0.25">
      <c r="A840" t="s">
        <v>936</v>
      </c>
      <c r="B840" s="1">
        <v>45718</v>
      </c>
      <c r="C840" t="s">
        <v>910</v>
      </c>
      <c r="D840">
        <v>3</v>
      </c>
      <c r="E840">
        <v>2</v>
      </c>
      <c r="F840" t="s">
        <v>149</v>
      </c>
      <c r="G840" t="s">
        <v>73</v>
      </c>
      <c r="H840" t="s">
        <v>60</v>
      </c>
      <c r="I840" t="s">
        <v>49</v>
      </c>
      <c r="J840" t="s">
        <v>82</v>
      </c>
      <c r="K840" t="s">
        <v>38</v>
      </c>
      <c r="L840">
        <v>3</v>
      </c>
      <c r="M840">
        <v>203</v>
      </c>
      <c r="N840">
        <v>30.45</v>
      </c>
      <c r="O840">
        <v>40</v>
      </c>
      <c r="P840">
        <v>609</v>
      </c>
      <c r="Q840">
        <v>618.54999999999995</v>
      </c>
      <c r="R840" t="s">
        <v>30</v>
      </c>
      <c r="S840" t="s">
        <v>31</v>
      </c>
      <c r="T840" t="s">
        <v>40</v>
      </c>
      <c r="U840">
        <v>65</v>
      </c>
      <c r="V840">
        <v>4.2</v>
      </c>
      <c r="W840">
        <f>Table2[[#This Row],[Quantity]]*Table2[[#This Row],[Item_Price]]</f>
        <v>609</v>
      </c>
    </row>
    <row r="841" spans="1:23" x14ac:dyDescent="0.25">
      <c r="A841" t="s">
        <v>937</v>
      </c>
      <c r="B841" s="1">
        <v>45718</v>
      </c>
      <c r="C841" t="s">
        <v>910</v>
      </c>
      <c r="D841">
        <v>3</v>
      </c>
      <c r="E841">
        <v>2</v>
      </c>
      <c r="F841" t="s">
        <v>149</v>
      </c>
      <c r="G841" t="s">
        <v>34</v>
      </c>
      <c r="H841" t="s">
        <v>81</v>
      </c>
      <c r="I841" t="s">
        <v>97</v>
      </c>
      <c r="J841" t="s">
        <v>101</v>
      </c>
      <c r="K841" t="s">
        <v>38</v>
      </c>
      <c r="L841">
        <v>2</v>
      </c>
      <c r="M841">
        <v>577</v>
      </c>
      <c r="N841">
        <v>86.55</v>
      </c>
      <c r="O841">
        <v>30</v>
      </c>
      <c r="P841">
        <v>1154</v>
      </c>
      <c r="Q841">
        <v>1097.45</v>
      </c>
      <c r="R841" t="s">
        <v>75</v>
      </c>
      <c r="S841" t="s">
        <v>31</v>
      </c>
      <c r="T841" t="s">
        <v>40</v>
      </c>
      <c r="U841">
        <v>58</v>
      </c>
      <c r="V841">
        <v>2.5</v>
      </c>
      <c r="W841">
        <f>Table2[[#This Row],[Quantity]]*Table2[[#This Row],[Item_Price]]</f>
        <v>1154</v>
      </c>
    </row>
    <row r="842" spans="1:23" x14ac:dyDescent="0.25">
      <c r="A842" t="s">
        <v>938</v>
      </c>
      <c r="B842" s="1">
        <v>45718</v>
      </c>
      <c r="C842" t="s">
        <v>910</v>
      </c>
      <c r="D842">
        <v>3</v>
      </c>
      <c r="E842">
        <v>2</v>
      </c>
      <c r="F842" t="s">
        <v>149</v>
      </c>
      <c r="G842" t="s">
        <v>115</v>
      </c>
      <c r="H842" t="s">
        <v>108</v>
      </c>
      <c r="I842" t="s">
        <v>57</v>
      </c>
      <c r="J842" t="s">
        <v>70</v>
      </c>
      <c r="K842" t="s">
        <v>38</v>
      </c>
      <c r="L842">
        <v>1</v>
      </c>
      <c r="M842">
        <v>704</v>
      </c>
      <c r="N842">
        <v>70.400000000000006</v>
      </c>
      <c r="O842">
        <v>60</v>
      </c>
      <c r="P842">
        <v>704</v>
      </c>
      <c r="Q842">
        <v>693.6</v>
      </c>
      <c r="R842" t="s">
        <v>75</v>
      </c>
      <c r="S842" t="s">
        <v>91</v>
      </c>
      <c r="T842" t="s">
        <v>32</v>
      </c>
      <c r="U842">
        <v>26</v>
      </c>
      <c r="W842">
        <f>Table2[[#This Row],[Quantity]]*Table2[[#This Row],[Item_Price]]</f>
        <v>704</v>
      </c>
    </row>
    <row r="843" spans="1:23" x14ac:dyDescent="0.25">
      <c r="A843" t="s">
        <v>939</v>
      </c>
      <c r="B843" s="1">
        <v>45719</v>
      </c>
      <c r="C843" t="s">
        <v>910</v>
      </c>
      <c r="D843">
        <v>3</v>
      </c>
      <c r="E843">
        <v>3</v>
      </c>
      <c r="F843" t="s">
        <v>168</v>
      </c>
      <c r="G843" t="s">
        <v>115</v>
      </c>
      <c r="H843" t="s">
        <v>105</v>
      </c>
      <c r="I843" t="s">
        <v>85</v>
      </c>
      <c r="J843" t="s">
        <v>78</v>
      </c>
      <c r="K843" t="s">
        <v>38</v>
      </c>
      <c r="L843">
        <v>1</v>
      </c>
      <c r="M843">
        <v>625</v>
      </c>
      <c r="N843">
        <v>125</v>
      </c>
      <c r="O843">
        <v>30</v>
      </c>
      <c r="P843">
        <v>625</v>
      </c>
      <c r="Q843">
        <v>530</v>
      </c>
      <c r="R843" t="s">
        <v>39</v>
      </c>
      <c r="S843" t="s">
        <v>31</v>
      </c>
      <c r="T843" t="s">
        <v>32</v>
      </c>
      <c r="U843">
        <v>34</v>
      </c>
      <c r="V843">
        <v>4.3</v>
      </c>
      <c r="W843">
        <f>Table2[[#This Row],[Quantity]]*Table2[[#This Row],[Item_Price]]</f>
        <v>625</v>
      </c>
    </row>
    <row r="844" spans="1:23" x14ac:dyDescent="0.25">
      <c r="A844" t="s">
        <v>940</v>
      </c>
      <c r="B844" s="1">
        <v>45719</v>
      </c>
      <c r="C844" t="s">
        <v>910</v>
      </c>
      <c r="D844">
        <v>3</v>
      </c>
      <c r="E844">
        <v>3</v>
      </c>
      <c r="F844" t="s">
        <v>168</v>
      </c>
      <c r="G844" t="s">
        <v>73</v>
      </c>
      <c r="H844" t="s">
        <v>105</v>
      </c>
      <c r="I844" t="s">
        <v>36</v>
      </c>
      <c r="J844" t="s">
        <v>123</v>
      </c>
      <c r="K844" t="s">
        <v>58</v>
      </c>
      <c r="L844">
        <v>2</v>
      </c>
      <c r="M844">
        <v>801</v>
      </c>
      <c r="N844">
        <v>120.15</v>
      </c>
      <c r="O844">
        <v>50</v>
      </c>
      <c r="P844">
        <v>1602</v>
      </c>
      <c r="Q844">
        <v>1531.85</v>
      </c>
      <c r="R844" t="s">
        <v>75</v>
      </c>
      <c r="S844" t="s">
        <v>31</v>
      </c>
      <c r="T844" t="s">
        <v>40</v>
      </c>
      <c r="U844">
        <v>66</v>
      </c>
      <c r="V844">
        <v>4.4000000000000004</v>
      </c>
      <c r="W844">
        <f>Table2[[#This Row],[Quantity]]*Table2[[#This Row],[Item_Price]]</f>
        <v>1602</v>
      </c>
    </row>
    <row r="845" spans="1:23" x14ac:dyDescent="0.25">
      <c r="A845" t="s">
        <v>941</v>
      </c>
      <c r="B845" s="1">
        <v>45719</v>
      </c>
      <c r="C845" t="s">
        <v>910</v>
      </c>
      <c r="D845">
        <v>3</v>
      </c>
      <c r="E845">
        <v>3</v>
      </c>
      <c r="F845" t="s">
        <v>168</v>
      </c>
      <c r="G845" t="s">
        <v>55</v>
      </c>
      <c r="H845" t="s">
        <v>105</v>
      </c>
      <c r="I845" t="s">
        <v>43</v>
      </c>
      <c r="J845" t="s">
        <v>94</v>
      </c>
      <c r="K845" t="s">
        <v>29</v>
      </c>
      <c r="L845">
        <v>3</v>
      </c>
      <c r="M845">
        <v>379</v>
      </c>
      <c r="N845">
        <v>37.9</v>
      </c>
      <c r="O845">
        <v>40</v>
      </c>
      <c r="P845">
        <v>1137</v>
      </c>
      <c r="Q845">
        <v>1139.0999999999999</v>
      </c>
      <c r="R845" t="s">
        <v>75</v>
      </c>
      <c r="S845" t="s">
        <v>31</v>
      </c>
      <c r="T845" t="s">
        <v>40</v>
      </c>
      <c r="U845">
        <v>45</v>
      </c>
      <c r="V845">
        <v>3.7</v>
      </c>
      <c r="W845">
        <f>Table2[[#This Row],[Quantity]]*Table2[[#This Row],[Item_Price]]</f>
        <v>1137</v>
      </c>
    </row>
    <row r="846" spans="1:23" x14ac:dyDescent="0.25">
      <c r="A846" t="s">
        <v>942</v>
      </c>
      <c r="B846" s="1">
        <v>45719</v>
      </c>
      <c r="C846" t="s">
        <v>910</v>
      </c>
      <c r="D846">
        <v>3</v>
      </c>
      <c r="E846">
        <v>3</v>
      </c>
      <c r="F846" t="s">
        <v>168</v>
      </c>
      <c r="G846" t="s">
        <v>73</v>
      </c>
      <c r="H846" t="s">
        <v>56</v>
      </c>
      <c r="I846" t="s">
        <v>69</v>
      </c>
      <c r="J846" t="s">
        <v>82</v>
      </c>
      <c r="K846" t="s">
        <v>29</v>
      </c>
      <c r="L846">
        <v>2</v>
      </c>
      <c r="M846">
        <v>663</v>
      </c>
      <c r="N846">
        <v>99.45</v>
      </c>
      <c r="O846">
        <v>0</v>
      </c>
      <c r="P846">
        <v>1326</v>
      </c>
      <c r="Q846">
        <v>1226.55</v>
      </c>
      <c r="R846" t="s">
        <v>30</v>
      </c>
      <c r="S846" t="s">
        <v>91</v>
      </c>
      <c r="T846" t="s">
        <v>40</v>
      </c>
      <c r="U846">
        <v>41</v>
      </c>
      <c r="W846">
        <f>Table2[[#This Row],[Quantity]]*Table2[[#This Row],[Item_Price]]</f>
        <v>1326</v>
      </c>
    </row>
    <row r="847" spans="1:23" x14ac:dyDescent="0.25">
      <c r="A847" t="s">
        <v>943</v>
      </c>
      <c r="B847" s="1">
        <v>45719</v>
      </c>
      <c r="C847" t="s">
        <v>910</v>
      </c>
      <c r="D847">
        <v>3</v>
      </c>
      <c r="E847">
        <v>3</v>
      </c>
      <c r="F847" t="s">
        <v>168</v>
      </c>
      <c r="G847" t="s">
        <v>80</v>
      </c>
      <c r="H847" t="s">
        <v>77</v>
      </c>
      <c r="I847" t="s">
        <v>61</v>
      </c>
      <c r="J847" t="s">
        <v>44</v>
      </c>
      <c r="K847" t="s">
        <v>38</v>
      </c>
      <c r="L847">
        <v>3</v>
      </c>
      <c r="M847">
        <v>861</v>
      </c>
      <c r="N847">
        <v>86.1</v>
      </c>
      <c r="O847">
        <v>20</v>
      </c>
      <c r="P847">
        <v>2583</v>
      </c>
      <c r="Q847">
        <v>2516.9</v>
      </c>
      <c r="R847" t="s">
        <v>39</v>
      </c>
      <c r="S847" t="s">
        <v>31</v>
      </c>
      <c r="T847" t="s">
        <v>32</v>
      </c>
      <c r="U847">
        <v>34</v>
      </c>
      <c r="V847">
        <v>4.4000000000000004</v>
      </c>
      <c r="W847">
        <f>Table2[[#This Row],[Quantity]]*Table2[[#This Row],[Item_Price]]</f>
        <v>2583</v>
      </c>
    </row>
    <row r="848" spans="1:23" x14ac:dyDescent="0.25">
      <c r="A848" t="s">
        <v>944</v>
      </c>
      <c r="B848" s="1">
        <v>45719</v>
      </c>
      <c r="C848" t="s">
        <v>910</v>
      </c>
      <c r="D848">
        <v>3</v>
      </c>
      <c r="E848">
        <v>3</v>
      </c>
      <c r="F848" t="s">
        <v>168</v>
      </c>
      <c r="G848" t="s">
        <v>73</v>
      </c>
      <c r="H848" t="s">
        <v>48</v>
      </c>
      <c r="I848" t="s">
        <v>85</v>
      </c>
      <c r="J848" t="s">
        <v>101</v>
      </c>
      <c r="K848" t="s">
        <v>45</v>
      </c>
      <c r="L848">
        <v>1</v>
      </c>
      <c r="M848">
        <v>314</v>
      </c>
      <c r="N848">
        <v>78.5</v>
      </c>
      <c r="O848">
        <v>20</v>
      </c>
      <c r="P848">
        <v>314</v>
      </c>
      <c r="Q848">
        <v>255.5</v>
      </c>
      <c r="R848" t="s">
        <v>112</v>
      </c>
      <c r="S848" t="s">
        <v>31</v>
      </c>
      <c r="T848" t="s">
        <v>40</v>
      </c>
      <c r="U848">
        <v>59</v>
      </c>
      <c r="V848">
        <v>4.9000000000000004</v>
      </c>
      <c r="W848">
        <f>Table2[[#This Row],[Quantity]]*Table2[[#This Row],[Item_Price]]</f>
        <v>314</v>
      </c>
    </row>
    <row r="849" spans="1:23" x14ac:dyDescent="0.25">
      <c r="A849" t="s">
        <v>945</v>
      </c>
      <c r="B849" s="1">
        <v>45719</v>
      </c>
      <c r="C849" t="s">
        <v>910</v>
      </c>
      <c r="D849">
        <v>3</v>
      </c>
      <c r="E849">
        <v>3</v>
      </c>
      <c r="F849" t="s">
        <v>168</v>
      </c>
      <c r="G849" t="s">
        <v>115</v>
      </c>
      <c r="H849" t="s">
        <v>56</v>
      </c>
      <c r="I849" t="s">
        <v>49</v>
      </c>
      <c r="J849" t="s">
        <v>78</v>
      </c>
      <c r="K849" t="s">
        <v>38</v>
      </c>
      <c r="L849">
        <v>1</v>
      </c>
      <c r="M849">
        <v>154</v>
      </c>
      <c r="N849">
        <v>38.5</v>
      </c>
      <c r="O849">
        <v>40</v>
      </c>
      <c r="P849">
        <v>154</v>
      </c>
      <c r="Q849">
        <v>155.5</v>
      </c>
      <c r="R849" t="s">
        <v>39</v>
      </c>
      <c r="S849" t="s">
        <v>31</v>
      </c>
      <c r="T849" t="s">
        <v>40</v>
      </c>
      <c r="U849">
        <v>32</v>
      </c>
      <c r="V849">
        <v>5</v>
      </c>
      <c r="W849">
        <f>Table2[[#This Row],[Quantity]]*Table2[[#This Row],[Item_Price]]</f>
        <v>154</v>
      </c>
    </row>
    <row r="850" spans="1:23" x14ac:dyDescent="0.25">
      <c r="A850" t="s">
        <v>946</v>
      </c>
      <c r="B850" s="1">
        <v>45719</v>
      </c>
      <c r="C850" t="s">
        <v>910</v>
      </c>
      <c r="D850">
        <v>3</v>
      </c>
      <c r="E850">
        <v>3</v>
      </c>
      <c r="F850" t="s">
        <v>168</v>
      </c>
      <c r="G850" t="s">
        <v>64</v>
      </c>
      <c r="H850" t="s">
        <v>48</v>
      </c>
      <c r="I850" t="s">
        <v>85</v>
      </c>
      <c r="J850" t="s">
        <v>37</v>
      </c>
      <c r="K850" t="s">
        <v>38</v>
      </c>
      <c r="L850">
        <v>1</v>
      </c>
      <c r="M850">
        <v>856</v>
      </c>
      <c r="N850">
        <v>171.2</v>
      </c>
      <c r="O850">
        <v>40</v>
      </c>
      <c r="P850">
        <v>856</v>
      </c>
      <c r="Q850">
        <v>724.8</v>
      </c>
      <c r="R850" t="s">
        <v>75</v>
      </c>
      <c r="S850" t="s">
        <v>31</v>
      </c>
      <c r="T850" t="s">
        <v>32</v>
      </c>
      <c r="U850">
        <v>34</v>
      </c>
      <c r="V850">
        <v>4.8</v>
      </c>
      <c r="W850">
        <f>Table2[[#This Row],[Quantity]]*Table2[[#This Row],[Item_Price]]</f>
        <v>856</v>
      </c>
    </row>
    <row r="851" spans="1:23" x14ac:dyDescent="0.25">
      <c r="A851" t="s">
        <v>947</v>
      </c>
      <c r="B851" s="1">
        <v>45719</v>
      </c>
      <c r="C851" t="s">
        <v>910</v>
      </c>
      <c r="D851">
        <v>3</v>
      </c>
      <c r="E851">
        <v>3</v>
      </c>
      <c r="F851" t="s">
        <v>168</v>
      </c>
      <c r="G851" t="s">
        <v>64</v>
      </c>
      <c r="H851" t="s">
        <v>81</v>
      </c>
      <c r="I851" t="s">
        <v>97</v>
      </c>
      <c r="J851" t="s">
        <v>123</v>
      </c>
      <c r="K851" t="s">
        <v>45</v>
      </c>
      <c r="L851">
        <v>2</v>
      </c>
      <c r="M851">
        <v>796</v>
      </c>
      <c r="N851">
        <v>79.599999999999994</v>
      </c>
      <c r="O851">
        <v>0</v>
      </c>
      <c r="P851">
        <v>1592</v>
      </c>
      <c r="Q851">
        <v>1512.4</v>
      </c>
      <c r="R851" t="s">
        <v>75</v>
      </c>
      <c r="S851" t="s">
        <v>31</v>
      </c>
      <c r="T851" t="s">
        <v>32</v>
      </c>
      <c r="U851">
        <v>23</v>
      </c>
      <c r="V851">
        <v>4.8</v>
      </c>
      <c r="W851">
        <f>Table2[[#This Row],[Quantity]]*Table2[[#This Row],[Item_Price]]</f>
        <v>1592</v>
      </c>
    </row>
    <row r="852" spans="1:23" x14ac:dyDescent="0.25">
      <c r="A852" t="s">
        <v>948</v>
      </c>
      <c r="B852" s="1">
        <v>45719</v>
      </c>
      <c r="C852" t="s">
        <v>910</v>
      </c>
      <c r="D852">
        <v>3</v>
      </c>
      <c r="E852">
        <v>3</v>
      </c>
      <c r="F852" t="s">
        <v>168</v>
      </c>
      <c r="G852" t="s">
        <v>34</v>
      </c>
      <c r="H852" t="s">
        <v>139</v>
      </c>
      <c r="I852" t="s">
        <v>43</v>
      </c>
      <c r="J852" t="s">
        <v>50</v>
      </c>
      <c r="K852" t="s">
        <v>58</v>
      </c>
      <c r="L852">
        <v>1</v>
      </c>
      <c r="M852">
        <v>206</v>
      </c>
      <c r="N852">
        <v>20.6</v>
      </c>
      <c r="O852">
        <v>50</v>
      </c>
      <c r="P852">
        <v>206</v>
      </c>
      <c r="Q852">
        <v>235.4</v>
      </c>
      <c r="R852" t="s">
        <v>112</v>
      </c>
      <c r="S852" t="s">
        <v>31</v>
      </c>
      <c r="T852" t="s">
        <v>40</v>
      </c>
      <c r="U852">
        <v>21</v>
      </c>
      <c r="V852">
        <v>4.8</v>
      </c>
      <c r="W852">
        <f>Table2[[#This Row],[Quantity]]*Table2[[#This Row],[Item_Price]]</f>
        <v>206</v>
      </c>
    </row>
    <row r="853" spans="1:23" x14ac:dyDescent="0.25">
      <c r="A853" t="s">
        <v>949</v>
      </c>
      <c r="B853" s="1">
        <v>45719</v>
      </c>
      <c r="C853" t="s">
        <v>910</v>
      </c>
      <c r="D853">
        <v>3</v>
      </c>
      <c r="E853">
        <v>3</v>
      </c>
      <c r="F853" t="s">
        <v>168</v>
      </c>
      <c r="G853" t="s">
        <v>115</v>
      </c>
      <c r="H853" t="s">
        <v>65</v>
      </c>
      <c r="I853" t="s">
        <v>103</v>
      </c>
      <c r="J853" t="s">
        <v>66</v>
      </c>
      <c r="K853" t="s">
        <v>45</v>
      </c>
      <c r="L853">
        <v>1</v>
      </c>
      <c r="M853">
        <v>883</v>
      </c>
      <c r="N853">
        <v>132.44999999999999</v>
      </c>
      <c r="O853">
        <v>0</v>
      </c>
      <c r="P853">
        <v>883</v>
      </c>
      <c r="Q853">
        <v>750.55</v>
      </c>
      <c r="R853" t="s">
        <v>39</v>
      </c>
      <c r="S853" t="s">
        <v>31</v>
      </c>
      <c r="T853" t="s">
        <v>32</v>
      </c>
      <c r="U853">
        <v>22</v>
      </c>
      <c r="V853">
        <v>4.2</v>
      </c>
      <c r="W853">
        <f>Table2[[#This Row],[Quantity]]*Table2[[#This Row],[Item_Price]]</f>
        <v>883</v>
      </c>
    </row>
    <row r="854" spans="1:23" x14ac:dyDescent="0.25">
      <c r="A854" t="s">
        <v>950</v>
      </c>
      <c r="B854" s="1">
        <v>45719</v>
      </c>
      <c r="C854" t="s">
        <v>910</v>
      </c>
      <c r="D854">
        <v>3</v>
      </c>
      <c r="E854">
        <v>3</v>
      </c>
      <c r="F854" t="s">
        <v>168</v>
      </c>
      <c r="G854" t="s">
        <v>34</v>
      </c>
      <c r="H854" t="s">
        <v>60</v>
      </c>
      <c r="I854" t="s">
        <v>36</v>
      </c>
      <c r="J854" t="s">
        <v>37</v>
      </c>
      <c r="K854" t="s">
        <v>38</v>
      </c>
      <c r="L854">
        <v>2</v>
      </c>
      <c r="M854">
        <v>227</v>
      </c>
      <c r="N854">
        <v>34.049999999999997</v>
      </c>
      <c r="O854">
        <v>30</v>
      </c>
      <c r="P854">
        <v>454</v>
      </c>
      <c r="Q854">
        <v>449.95</v>
      </c>
      <c r="R854" t="s">
        <v>39</v>
      </c>
      <c r="S854" t="s">
        <v>31</v>
      </c>
      <c r="T854" t="s">
        <v>32</v>
      </c>
      <c r="U854">
        <v>48</v>
      </c>
      <c r="V854">
        <v>3.2</v>
      </c>
      <c r="W854">
        <f>Table2[[#This Row],[Quantity]]*Table2[[#This Row],[Item_Price]]</f>
        <v>454</v>
      </c>
    </row>
    <row r="855" spans="1:23" x14ac:dyDescent="0.25">
      <c r="A855" t="s">
        <v>951</v>
      </c>
      <c r="B855" s="1">
        <v>45719</v>
      </c>
      <c r="C855" t="s">
        <v>910</v>
      </c>
      <c r="D855">
        <v>3</v>
      </c>
      <c r="E855">
        <v>3</v>
      </c>
      <c r="F855" t="s">
        <v>168</v>
      </c>
      <c r="G855" t="s">
        <v>34</v>
      </c>
      <c r="H855" t="s">
        <v>68</v>
      </c>
      <c r="I855" t="s">
        <v>36</v>
      </c>
      <c r="J855" t="s">
        <v>53</v>
      </c>
      <c r="K855" t="s">
        <v>38</v>
      </c>
      <c r="L855">
        <v>1</v>
      </c>
      <c r="M855">
        <v>396</v>
      </c>
      <c r="N855">
        <v>39.6</v>
      </c>
      <c r="O855">
        <v>0</v>
      </c>
      <c r="P855">
        <v>396</v>
      </c>
      <c r="Q855">
        <v>356.4</v>
      </c>
      <c r="R855" t="s">
        <v>75</v>
      </c>
      <c r="S855" t="s">
        <v>31</v>
      </c>
      <c r="T855" t="s">
        <v>32</v>
      </c>
      <c r="U855">
        <v>31</v>
      </c>
      <c r="V855">
        <v>3.6</v>
      </c>
      <c r="W855">
        <f>Table2[[#This Row],[Quantity]]*Table2[[#This Row],[Item_Price]]</f>
        <v>396</v>
      </c>
    </row>
    <row r="856" spans="1:23" x14ac:dyDescent="0.25">
      <c r="A856" t="s">
        <v>952</v>
      </c>
      <c r="B856" s="1">
        <v>45719</v>
      </c>
      <c r="C856" t="s">
        <v>910</v>
      </c>
      <c r="D856">
        <v>3</v>
      </c>
      <c r="E856">
        <v>3</v>
      </c>
      <c r="F856" t="s">
        <v>168</v>
      </c>
      <c r="G856" t="s">
        <v>80</v>
      </c>
      <c r="H856" t="s">
        <v>81</v>
      </c>
      <c r="I856" t="s">
        <v>69</v>
      </c>
      <c r="J856" t="s">
        <v>123</v>
      </c>
      <c r="K856" t="s">
        <v>45</v>
      </c>
      <c r="L856">
        <v>2</v>
      </c>
      <c r="M856">
        <v>158</v>
      </c>
      <c r="N856">
        <v>15.8</v>
      </c>
      <c r="O856">
        <v>20</v>
      </c>
      <c r="P856">
        <v>316</v>
      </c>
      <c r="Q856">
        <v>320.2</v>
      </c>
      <c r="R856" t="s">
        <v>75</v>
      </c>
      <c r="S856" t="s">
        <v>31</v>
      </c>
      <c r="T856" t="s">
        <v>40</v>
      </c>
      <c r="U856">
        <v>68</v>
      </c>
      <c r="V856">
        <v>3.6</v>
      </c>
      <c r="W856">
        <f>Table2[[#This Row],[Quantity]]*Table2[[#This Row],[Item_Price]]</f>
        <v>316</v>
      </c>
    </row>
    <row r="857" spans="1:23" x14ac:dyDescent="0.25">
      <c r="A857" t="s">
        <v>953</v>
      </c>
      <c r="B857" s="1">
        <v>45719</v>
      </c>
      <c r="C857" t="s">
        <v>910</v>
      </c>
      <c r="D857">
        <v>3</v>
      </c>
      <c r="E857">
        <v>3</v>
      </c>
      <c r="F857" t="s">
        <v>168</v>
      </c>
      <c r="G857" t="s">
        <v>64</v>
      </c>
      <c r="H857" t="s">
        <v>48</v>
      </c>
      <c r="I857" t="s">
        <v>85</v>
      </c>
      <c r="J857" t="s">
        <v>70</v>
      </c>
      <c r="K857" t="s">
        <v>38</v>
      </c>
      <c r="L857">
        <v>1</v>
      </c>
      <c r="M857">
        <v>299</v>
      </c>
      <c r="N857">
        <v>74.75</v>
      </c>
      <c r="O857">
        <v>50</v>
      </c>
      <c r="P857">
        <v>299</v>
      </c>
      <c r="Q857">
        <v>274.25</v>
      </c>
      <c r="R857" t="s">
        <v>39</v>
      </c>
      <c r="S857" t="s">
        <v>31</v>
      </c>
      <c r="T857" t="s">
        <v>40</v>
      </c>
      <c r="U857">
        <v>59</v>
      </c>
      <c r="V857">
        <v>4</v>
      </c>
      <c r="W857">
        <f>Table2[[#This Row],[Quantity]]*Table2[[#This Row],[Item_Price]]</f>
        <v>299</v>
      </c>
    </row>
    <row r="858" spans="1:23" x14ac:dyDescent="0.25">
      <c r="A858" t="s">
        <v>954</v>
      </c>
      <c r="B858" s="1">
        <v>45719</v>
      </c>
      <c r="C858" t="s">
        <v>910</v>
      </c>
      <c r="D858">
        <v>3</v>
      </c>
      <c r="E858">
        <v>3</v>
      </c>
      <c r="F858" t="s">
        <v>168</v>
      </c>
      <c r="G858" t="s">
        <v>115</v>
      </c>
      <c r="H858" t="s">
        <v>108</v>
      </c>
      <c r="I858" t="s">
        <v>36</v>
      </c>
      <c r="J858" t="s">
        <v>101</v>
      </c>
      <c r="K858" t="s">
        <v>38</v>
      </c>
      <c r="L858">
        <v>2</v>
      </c>
      <c r="M858">
        <v>338</v>
      </c>
      <c r="N858">
        <v>0</v>
      </c>
      <c r="O858">
        <v>30</v>
      </c>
      <c r="P858">
        <v>676</v>
      </c>
      <c r="Q858">
        <v>706</v>
      </c>
      <c r="R858" t="s">
        <v>39</v>
      </c>
      <c r="S858" t="s">
        <v>91</v>
      </c>
      <c r="T858" t="s">
        <v>40</v>
      </c>
      <c r="U858">
        <v>55</v>
      </c>
      <c r="W858">
        <f>Table2[[#This Row],[Quantity]]*Table2[[#This Row],[Item_Price]]</f>
        <v>676</v>
      </c>
    </row>
    <row r="859" spans="1:23" x14ac:dyDescent="0.25">
      <c r="A859" t="s">
        <v>955</v>
      </c>
      <c r="B859" s="1">
        <v>45719</v>
      </c>
      <c r="C859" t="s">
        <v>910</v>
      </c>
      <c r="D859">
        <v>3</v>
      </c>
      <c r="E859">
        <v>3</v>
      </c>
      <c r="F859" t="s">
        <v>168</v>
      </c>
      <c r="G859" t="s">
        <v>80</v>
      </c>
      <c r="H859" t="s">
        <v>52</v>
      </c>
      <c r="I859" t="s">
        <v>36</v>
      </c>
      <c r="J859" t="s">
        <v>50</v>
      </c>
      <c r="K859" t="s">
        <v>45</v>
      </c>
      <c r="L859">
        <v>1</v>
      </c>
      <c r="M859">
        <v>542</v>
      </c>
      <c r="N859">
        <v>0</v>
      </c>
      <c r="O859">
        <v>60</v>
      </c>
      <c r="P859">
        <v>542</v>
      </c>
      <c r="Q859">
        <v>602</v>
      </c>
      <c r="R859" t="s">
        <v>39</v>
      </c>
      <c r="S859" t="s">
        <v>31</v>
      </c>
      <c r="T859" t="s">
        <v>32</v>
      </c>
      <c r="U859">
        <v>36</v>
      </c>
      <c r="V859">
        <v>4.3</v>
      </c>
      <c r="W859">
        <f>Table2[[#This Row],[Quantity]]*Table2[[#This Row],[Item_Price]]</f>
        <v>542</v>
      </c>
    </row>
    <row r="860" spans="1:23" x14ac:dyDescent="0.25">
      <c r="A860" t="s">
        <v>956</v>
      </c>
      <c r="B860" s="1">
        <v>45719</v>
      </c>
      <c r="C860" t="s">
        <v>910</v>
      </c>
      <c r="D860">
        <v>3</v>
      </c>
      <c r="E860">
        <v>3</v>
      </c>
      <c r="F860" t="s">
        <v>168</v>
      </c>
      <c r="G860" t="s">
        <v>25</v>
      </c>
      <c r="H860" t="s">
        <v>52</v>
      </c>
      <c r="I860" t="s">
        <v>43</v>
      </c>
      <c r="J860" t="s">
        <v>62</v>
      </c>
      <c r="K860" t="s">
        <v>45</v>
      </c>
      <c r="L860">
        <v>1</v>
      </c>
      <c r="M860">
        <v>334</v>
      </c>
      <c r="N860">
        <v>33.4</v>
      </c>
      <c r="O860">
        <v>0</v>
      </c>
      <c r="P860">
        <v>334</v>
      </c>
      <c r="Q860">
        <v>300.60000000000002</v>
      </c>
      <c r="R860" t="s">
        <v>39</v>
      </c>
      <c r="S860" t="s">
        <v>31</v>
      </c>
      <c r="T860" t="s">
        <v>32</v>
      </c>
      <c r="U860">
        <v>66</v>
      </c>
      <c r="V860">
        <v>3.7</v>
      </c>
      <c r="W860">
        <f>Table2[[#This Row],[Quantity]]*Table2[[#This Row],[Item_Price]]</f>
        <v>334</v>
      </c>
    </row>
    <row r="861" spans="1:23" x14ac:dyDescent="0.25">
      <c r="A861" t="s">
        <v>957</v>
      </c>
      <c r="B861" s="1">
        <v>45720</v>
      </c>
      <c r="C861" t="s">
        <v>910</v>
      </c>
      <c r="D861">
        <v>3</v>
      </c>
      <c r="E861">
        <v>4</v>
      </c>
      <c r="F861" t="s">
        <v>178</v>
      </c>
      <c r="G861" t="s">
        <v>55</v>
      </c>
      <c r="H861" t="s">
        <v>65</v>
      </c>
      <c r="I861" t="s">
        <v>49</v>
      </c>
      <c r="J861" t="s">
        <v>94</v>
      </c>
      <c r="K861" t="s">
        <v>38</v>
      </c>
      <c r="L861">
        <v>2</v>
      </c>
      <c r="M861">
        <v>890</v>
      </c>
      <c r="N861">
        <v>133.5</v>
      </c>
      <c r="O861">
        <v>0</v>
      </c>
      <c r="P861">
        <v>1780</v>
      </c>
      <c r="Q861">
        <v>1646.5</v>
      </c>
      <c r="R861" t="s">
        <v>30</v>
      </c>
      <c r="S861" t="s">
        <v>31</v>
      </c>
      <c r="T861" t="s">
        <v>40</v>
      </c>
      <c r="U861">
        <v>26</v>
      </c>
      <c r="V861">
        <v>4</v>
      </c>
      <c r="W861">
        <f>Table2[[#This Row],[Quantity]]*Table2[[#This Row],[Item_Price]]</f>
        <v>1780</v>
      </c>
    </row>
    <row r="862" spans="1:23" x14ac:dyDescent="0.25">
      <c r="A862" t="s">
        <v>958</v>
      </c>
      <c r="B862" s="1">
        <v>45720</v>
      </c>
      <c r="C862" t="s">
        <v>910</v>
      </c>
      <c r="D862">
        <v>3</v>
      </c>
      <c r="E862">
        <v>4</v>
      </c>
      <c r="F862" t="s">
        <v>178</v>
      </c>
      <c r="G862" t="s">
        <v>115</v>
      </c>
      <c r="H862" t="s">
        <v>42</v>
      </c>
      <c r="I862" t="s">
        <v>43</v>
      </c>
      <c r="J862" t="s">
        <v>53</v>
      </c>
      <c r="K862" t="s">
        <v>38</v>
      </c>
      <c r="L862">
        <v>2</v>
      </c>
      <c r="M862">
        <v>391</v>
      </c>
      <c r="N862">
        <v>97.75</v>
      </c>
      <c r="O862">
        <v>30</v>
      </c>
      <c r="P862">
        <v>782</v>
      </c>
      <c r="Q862">
        <v>714.25</v>
      </c>
      <c r="R862" t="s">
        <v>30</v>
      </c>
      <c r="S862" t="s">
        <v>31</v>
      </c>
      <c r="T862" t="s">
        <v>32</v>
      </c>
      <c r="U862">
        <v>58</v>
      </c>
      <c r="V862">
        <v>4.5</v>
      </c>
      <c r="W862">
        <f>Table2[[#This Row],[Quantity]]*Table2[[#This Row],[Item_Price]]</f>
        <v>782</v>
      </c>
    </row>
    <row r="863" spans="1:23" x14ac:dyDescent="0.25">
      <c r="A863" t="s">
        <v>959</v>
      </c>
      <c r="B863" s="1">
        <v>45720</v>
      </c>
      <c r="C863" t="s">
        <v>910</v>
      </c>
      <c r="D863">
        <v>3</v>
      </c>
      <c r="E863">
        <v>4</v>
      </c>
      <c r="F863" t="s">
        <v>178</v>
      </c>
      <c r="G863" t="s">
        <v>64</v>
      </c>
      <c r="H863" t="s">
        <v>68</v>
      </c>
      <c r="I863" t="s">
        <v>49</v>
      </c>
      <c r="J863" t="s">
        <v>82</v>
      </c>
      <c r="K863" t="s">
        <v>38</v>
      </c>
      <c r="L863">
        <v>3</v>
      </c>
      <c r="M863">
        <v>187</v>
      </c>
      <c r="N863">
        <v>37.4</v>
      </c>
      <c r="O863">
        <v>60</v>
      </c>
      <c r="P863">
        <v>561</v>
      </c>
      <c r="Q863">
        <v>583.6</v>
      </c>
      <c r="R863" t="s">
        <v>75</v>
      </c>
      <c r="S863" t="s">
        <v>31</v>
      </c>
      <c r="T863" t="s">
        <v>40</v>
      </c>
      <c r="U863">
        <v>38</v>
      </c>
      <c r="V863">
        <v>3.9</v>
      </c>
      <c r="W863">
        <f>Table2[[#This Row],[Quantity]]*Table2[[#This Row],[Item_Price]]</f>
        <v>561</v>
      </c>
    </row>
    <row r="864" spans="1:23" x14ac:dyDescent="0.25">
      <c r="A864" t="s">
        <v>960</v>
      </c>
      <c r="B864" s="1">
        <v>45720</v>
      </c>
      <c r="C864" t="s">
        <v>910</v>
      </c>
      <c r="D864">
        <v>3</v>
      </c>
      <c r="E864">
        <v>4</v>
      </c>
      <c r="F864" t="s">
        <v>178</v>
      </c>
      <c r="G864" t="s">
        <v>55</v>
      </c>
      <c r="H864" t="s">
        <v>26</v>
      </c>
      <c r="I864" t="s">
        <v>85</v>
      </c>
      <c r="J864" t="s">
        <v>74</v>
      </c>
      <c r="K864" t="s">
        <v>38</v>
      </c>
      <c r="L864">
        <v>1</v>
      </c>
      <c r="M864">
        <v>592</v>
      </c>
      <c r="N864">
        <v>88.8</v>
      </c>
      <c r="O864">
        <v>0</v>
      </c>
      <c r="P864">
        <v>592</v>
      </c>
      <c r="Q864">
        <v>503.2</v>
      </c>
      <c r="R864" t="s">
        <v>39</v>
      </c>
      <c r="S864" t="s">
        <v>31</v>
      </c>
      <c r="T864" t="s">
        <v>32</v>
      </c>
      <c r="U864">
        <v>53</v>
      </c>
      <c r="V864">
        <v>3.4</v>
      </c>
      <c r="W864">
        <f>Table2[[#This Row],[Quantity]]*Table2[[#This Row],[Item_Price]]</f>
        <v>592</v>
      </c>
    </row>
    <row r="865" spans="1:23" x14ac:dyDescent="0.25">
      <c r="A865" t="s">
        <v>961</v>
      </c>
      <c r="B865" s="1">
        <v>45720</v>
      </c>
      <c r="C865" t="s">
        <v>910</v>
      </c>
      <c r="D865">
        <v>3</v>
      </c>
      <c r="E865">
        <v>4</v>
      </c>
      <c r="F865" t="s">
        <v>178</v>
      </c>
      <c r="G865" t="s">
        <v>64</v>
      </c>
      <c r="H865" t="s">
        <v>81</v>
      </c>
      <c r="I865" t="s">
        <v>61</v>
      </c>
      <c r="J865" t="s">
        <v>119</v>
      </c>
      <c r="K865" t="s">
        <v>38</v>
      </c>
      <c r="L865">
        <v>1</v>
      </c>
      <c r="M865">
        <v>452</v>
      </c>
      <c r="N865">
        <v>45.2</v>
      </c>
      <c r="O865">
        <v>40</v>
      </c>
      <c r="P865">
        <v>452</v>
      </c>
      <c r="Q865">
        <v>446.8</v>
      </c>
      <c r="R865" t="s">
        <v>75</v>
      </c>
      <c r="S865" t="s">
        <v>91</v>
      </c>
      <c r="T865" t="s">
        <v>40</v>
      </c>
      <c r="U865">
        <v>69</v>
      </c>
      <c r="W865">
        <f>Table2[[#This Row],[Quantity]]*Table2[[#This Row],[Item_Price]]</f>
        <v>452</v>
      </c>
    </row>
    <row r="866" spans="1:23" x14ac:dyDescent="0.25">
      <c r="A866" t="s">
        <v>962</v>
      </c>
      <c r="B866" s="1">
        <v>45720</v>
      </c>
      <c r="C866" t="s">
        <v>910</v>
      </c>
      <c r="D866">
        <v>3</v>
      </c>
      <c r="E866">
        <v>4</v>
      </c>
      <c r="F866" t="s">
        <v>178</v>
      </c>
      <c r="G866" t="s">
        <v>34</v>
      </c>
      <c r="H866" t="s">
        <v>48</v>
      </c>
      <c r="I866" t="s">
        <v>57</v>
      </c>
      <c r="J866" t="s">
        <v>53</v>
      </c>
      <c r="K866" t="s">
        <v>45</v>
      </c>
      <c r="L866">
        <v>1</v>
      </c>
      <c r="M866">
        <v>856</v>
      </c>
      <c r="N866">
        <v>214</v>
      </c>
      <c r="O866">
        <v>40</v>
      </c>
      <c r="P866">
        <v>856</v>
      </c>
      <c r="Q866">
        <v>682</v>
      </c>
      <c r="R866" t="s">
        <v>75</v>
      </c>
      <c r="S866" t="s">
        <v>31</v>
      </c>
      <c r="T866" t="s">
        <v>32</v>
      </c>
      <c r="U866">
        <v>62</v>
      </c>
      <c r="V866">
        <v>4.5999999999999996</v>
      </c>
      <c r="W866">
        <f>Table2[[#This Row],[Quantity]]*Table2[[#This Row],[Item_Price]]</f>
        <v>856</v>
      </c>
    </row>
    <row r="867" spans="1:23" x14ac:dyDescent="0.25">
      <c r="A867" t="s">
        <v>963</v>
      </c>
      <c r="B867" s="1">
        <v>45720</v>
      </c>
      <c r="C867" t="s">
        <v>910</v>
      </c>
      <c r="D867">
        <v>3</v>
      </c>
      <c r="E867">
        <v>4</v>
      </c>
      <c r="F867" t="s">
        <v>178</v>
      </c>
      <c r="G867" t="s">
        <v>73</v>
      </c>
      <c r="H867" t="s">
        <v>60</v>
      </c>
      <c r="I867" t="s">
        <v>49</v>
      </c>
      <c r="J867" t="s">
        <v>70</v>
      </c>
      <c r="K867" t="s">
        <v>38</v>
      </c>
      <c r="L867">
        <v>1</v>
      </c>
      <c r="M867">
        <v>413</v>
      </c>
      <c r="N867">
        <v>103.25</v>
      </c>
      <c r="O867">
        <v>0</v>
      </c>
      <c r="P867">
        <v>413</v>
      </c>
      <c r="Q867">
        <v>309.75</v>
      </c>
      <c r="R867" t="s">
        <v>75</v>
      </c>
      <c r="S867" t="s">
        <v>31</v>
      </c>
      <c r="T867" t="s">
        <v>40</v>
      </c>
      <c r="U867">
        <v>43</v>
      </c>
      <c r="V867">
        <v>4.0999999999999996</v>
      </c>
      <c r="W867">
        <f>Table2[[#This Row],[Quantity]]*Table2[[#This Row],[Item_Price]]</f>
        <v>413</v>
      </c>
    </row>
    <row r="868" spans="1:23" x14ac:dyDescent="0.25">
      <c r="A868" t="s">
        <v>964</v>
      </c>
      <c r="B868" s="1">
        <v>45720</v>
      </c>
      <c r="C868" t="s">
        <v>910</v>
      </c>
      <c r="D868">
        <v>3</v>
      </c>
      <c r="E868">
        <v>4</v>
      </c>
      <c r="F868" t="s">
        <v>178</v>
      </c>
      <c r="G868" t="s">
        <v>96</v>
      </c>
      <c r="H868" t="s">
        <v>42</v>
      </c>
      <c r="I868" t="s">
        <v>57</v>
      </c>
      <c r="J868" t="s">
        <v>78</v>
      </c>
      <c r="K868" t="s">
        <v>38</v>
      </c>
      <c r="L868">
        <v>1</v>
      </c>
      <c r="M868">
        <v>761</v>
      </c>
      <c r="N868">
        <v>114.15</v>
      </c>
      <c r="O868">
        <v>20</v>
      </c>
      <c r="P868">
        <v>761</v>
      </c>
      <c r="Q868">
        <v>666.85</v>
      </c>
      <c r="R868" t="s">
        <v>98</v>
      </c>
      <c r="S868" t="s">
        <v>31</v>
      </c>
      <c r="T868" t="s">
        <v>32</v>
      </c>
      <c r="U868">
        <v>38</v>
      </c>
      <c r="V868">
        <v>4</v>
      </c>
      <c r="W868">
        <f>Table2[[#This Row],[Quantity]]*Table2[[#This Row],[Item_Price]]</f>
        <v>761</v>
      </c>
    </row>
    <row r="869" spans="1:23" x14ac:dyDescent="0.25">
      <c r="A869" t="s">
        <v>965</v>
      </c>
      <c r="B869" s="1">
        <v>45720</v>
      </c>
      <c r="C869" t="s">
        <v>910</v>
      </c>
      <c r="D869">
        <v>3</v>
      </c>
      <c r="E869">
        <v>4</v>
      </c>
      <c r="F869" t="s">
        <v>178</v>
      </c>
      <c r="G869" t="s">
        <v>64</v>
      </c>
      <c r="H869" t="s">
        <v>135</v>
      </c>
      <c r="I869" t="s">
        <v>97</v>
      </c>
      <c r="J869" t="s">
        <v>70</v>
      </c>
      <c r="K869" t="s">
        <v>29</v>
      </c>
      <c r="L869">
        <v>3</v>
      </c>
      <c r="M869">
        <v>367</v>
      </c>
      <c r="N869">
        <v>73.400000000000006</v>
      </c>
      <c r="O869">
        <v>30</v>
      </c>
      <c r="P869">
        <v>1101</v>
      </c>
      <c r="Q869">
        <v>1057.5999999999999</v>
      </c>
      <c r="R869" t="s">
        <v>75</v>
      </c>
      <c r="S869" t="s">
        <v>31</v>
      </c>
      <c r="T869" t="s">
        <v>40</v>
      </c>
      <c r="U869">
        <v>62</v>
      </c>
      <c r="V869">
        <v>4.3</v>
      </c>
      <c r="W869">
        <f>Table2[[#This Row],[Quantity]]*Table2[[#This Row],[Item_Price]]</f>
        <v>1101</v>
      </c>
    </row>
    <row r="870" spans="1:23" x14ac:dyDescent="0.25">
      <c r="A870" t="s">
        <v>966</v>
      </c>
      <c r="B870" s="1">
        <v>45720</v>
      </c>
      <c r="C870" t="s">
        <v>910</v>
      </c>
      <c r="D870">
        <v>3</v>
      </c>
      <c r="E870">
        <v>4</v>
      </c>
      <c r="F870" t="s">
        <v>178</v>
      </c>
      <c r="G870" t="s">
        <v>25</v>
      </c>
      <c r="H870" t="s">
        <v>35</v>
      </c>
      <c r="I870" t="s">
        <v>43</v>
      </c>
      <c r="J870" t="s">
        <v>82</v>
      </c>
      <c r="K870" t="s">
        <v>45</v>
      </c>
      <c r="L870">
        <v>3</v>
      </c>
      <c r="M870">
        <v>806</v>
      </c>
      <c r="N870">
        <v>80.599999999999994</v>
      </c>
      <c r="O870">
        <v>30</v>
      </c>
      <c r="P870">
        <v>2418</v>
      </c>
      <c r="Q870">
        <v>2367.4</v>
      </c>
      <c r="R870" t="s">
        <v>39</v>
      </c>
      <c r="S870" t="s">
        <v>31</v>
      </c>
      <c r="T870" t="s">
        <v>40</v>
      </c>
      <c r="U870">
        <v>42</v>
      </c>
      <c r="V870">
        <v>3.2</v>
      </c>
      <c r="W870">
        <f>Table2[[#This Row],[Quantity]]*Table2[[#This Row],[Item_Price]]</f>
        <v>2418</v>
      </c>
    </row>
    <row r="871" spans="1:23" x14ac:dyDescent="0.25">
      <c r="A871" t="s">
        <v>967</v>
      </c>
      <c r="B871" s="1">
        <v>45720</v>
      </c>
      <c r="C871" t="s">
        <v>910</v>
      </c>
      <c r="D871">
        <v>3</v>
      </c>
      <c r="E871">
        <v>4</v>
      </c>
      <c r="F871" t="s">
        <v>178</v>
      </c>
      <c r="G871" t="s">
        <v>84</v>
      </c>
      <c r="H871" t="s">
        <v>60</v>
      </c>
      <c r="I871" t="s">
        <v>57</v>
      </c>
      <c r="J871" t="s">
        <v>119</v>
      </c>
      <c r="K871" t="s">
        <v>38</v>
      </c>
      <c r="L871">
        <v>1</v>
      </c>
      <c r="M871">
        <v>679</v>
      </c>
      <c r="N871">
        <v>33.950000000000003</v>
      </c>
      <c r="O871">
        <v>50</v>
      </c>
      <c r="P871">
        <v>679</v>
      </c>
      <c r="Q871">
        <v>695.05</v>
      </c>
      <c r="R871" t="s">
        <v>30</v>
      </c>
      <c r="S871" t="s">
        <v>31</v>
      </c>
      <c r="T871" t="s">
        <v>40</v>
      </c>
      <c r="U871">
        <v>21</v>
      </c>
      <c r="V871">
        <v>3.9</v>
      </c>
      <c r="W871">
        <f>Table2[[#This Row],[Quantity]]*Table2[[#This Row],[Item_Price]]</f>
        <v>679</v>
      </c>
    </row>
    <row r="872" spans="1:23" x14ac:dyDescent="0.25">
      <c r="A872" t="s">
        <v>968</v>
      </c>
      <c r="B872" s="1">
        <v>45720</v>
      </c>
      <c r="C872" t="s">
        <v>910</v>
      </c>
      <c r="D872">
        <v>3</v>
      </c>
      <c r="E872">
        <v>4</v>
      </c>
      <c r="F872" t="s">
        <v>178</v>
      </c>
      <c r="G872" t="s">
        <v>25</v>
      </c>
      <c r="H872" t="s">
        <v>48</v>
      </c>
      <c r="I872" t="s">
        <v>49</v>
      </c>
      <c r="J872" t="s">
        <v>44</v>
      </c>
      <c r="K872" t="s">
        <v>38</v>
      </c>
      <c r="L872">
        <v>1</v>
      </c>
      <c r="M872">
        <v>187</v>
      </c>
      <c r="N872">
        <v>18.7</v>
      </c>
      <c r="O872">
        <v>30</v>
      </c>
      <c r="P872">
        <v>187</v>
      </c>
      <c r="Q872">
        <v>198.3</v>
      </c>
      <c r="R872" t="s">
        <v>39</v>
      </c>
      <c r="S872" t="s">
        <v>31</v>
      </c>
      <c r="T872" t="s">
        <v>40</v>
      </c>
      <c r="U872">
        <v>58</v>
      </c>
      <c r="V872">
        <v>4.5999999999999996</v>
      </c>
      <c r="W872">
        <f>Table2[[#This Row],[Quantity]]*Table2[[#This Row],[Item_Price]]</f>
        <v>187</v>
      </c>
    </row>
    <row r="873" spans="1:23" x14ac:dyDescent="0.25">
      <c r="A873" t="s">
        <v>969</v>
      </c>
      <c r="B873" s="1">
        <v>45720</v>
      </c>
      <c r="C873" t="s">
        <v>910</v>
      </c>
      <c r="D873">
        <v>3</v>
      </c>
      <c r="E873">
        <v>4</v>
      </c>
      <c r="F873" t="s">
        <v>178</v>
      </c>
      <c r="G873" t="s">
        <v>55</v>
      </c>
      <c r="H873" t="s">
        <v>105</v>
      </c>
      <c r="I873" t="s">
        <v>69</v>
      </c>
      <c r="J873" t="s">
        <v>53</v>
      </c>
      <c r="K873" t="s">
        <v>38</v>
      </c>
      <c r="L873">
        <v>1</v>
      </c>
      <c r="M873">
        <v>217</v>
      </c>
      <c r="N873">
        <v>10.85</v>
      </c>
      <c r="O873">
        <v>50</v>
      </c>
      <c r="P873">
        <v>217</v>
      </c>
      <c r="Q873">
        <v>256.14999999999998</v>
      </c>
      <c r="R873" t="s">
        <v>112</v>
      </c>
      <c r="S873" t="s">
        <v>31</v>
      </c>
      <c r="T873" t="s">
        <v>40</v>
      </c>
      <c r="U873">
        <v>56</v>
      </c>
      <c r="V873">
        <v>5</v>
      </c>
      <c r="W873">
        <f>Table2[[#This Row],[Quantity]]*Table2[[#This Row],[Item_Price]]</f>
        <v>217</v>
      </c>
    </row>
    <row r="874" spans="1:23" x14ac:dyDescent="0.25">
      <c r="A874" t="s">
        <v>970</v>
      </c>
      <c r="B874" s="1">
        <v>45720</v>
      </c>
      <c r="C874" t="s">
        <v>910</v>
      </c>
      <c r="D874">
        <v>3</v>
      </c>
      <c r="E874">
        <v>4</v>
      </c>
      <c r="F874" t="s">
        <v>178</v>
      </c>
      <c r="G874" t="s">
        <v>64</v>
      </c>
      <c r="H874" t="s">
        <v>35</v>
      </c>
      <c r="I874" t="s">
        <v>49</v>
      </c>
      <c r="J874" t="s">
        <v>82</v>
      </c>
      <c r="K874" t="s">
        <v>29</v>
      </c>
      <c r="L874">
        <v>2</v>
      </c>
      <c r="M874">
        <v>189</v>
      </c>
      <c r="N874">
        <v>18.899999999999999</v>
      </c>
      <c r="O874">
        <v>20</v>
      </c>
      <c r="P874">
        <v>378</v>
      </c>
      <c r="Q874">
        <v>379.1</v>
      </c>
      <c r="R874" t="s">
        <v>39</v>
      </c>
      <c r="S874" t="s">
        <v>31</v>
      </c>
      <c r="T874" t="s">
        <v>40</v>
      </c>
      <c r="U874">
        <v>64</v>
      </c>
      <c r="V874">
        <v>3.4</v>
      </c>
      <c r="W874">
        <f>Table2[[#This Row],[Quantity]]*Table2[[#This Row],[Item_Price]]</f>
        <v>378</v>
      </c>
    </row>
    <row r="875" spans="1:23" x14ac:dyDescent="0.25">
      <c r="A875" t="s">
        <v>971</v>
      </c>
      <c r="B875" s="1">
        <v>45720</v>
      </c>
      <c r="C875" t="s">
        <v>910</v>
      </c>
      <c r="D875">
        <v>3</v>
      </c>
      <c r="E875">
        <v>4</v>
      </c>
      <c r="F875" t="s">
        <v>178</v>
      </c>
      <c r="G875" t="s">
        <v>34</v>
      </c>
      <c r="H875" t="s">
        <v>60</v>
      </c>
      <c r="I875" t="s">
        <v>43</v>
      </c>
      <c r="J875" t="s">
        <v>44</v>
      </c>
      <c r="K875" t="s">
        <v>38</v>
      </c>
      <c r="L875">
        <v>1</v>
      </c>
      <c r="M875">
        <v>384</v>
      </c>
      <c r="N875">
        <v>19.2</v>
      </c>
      <c r="O875">
        <v>30</v>
      </c>
      <c r="P875">
        <v>384</v>
      </c>
      <c r="Q875">
        <v>394.8</v>
      </c>
      <c r="R875" t="s">
        <v>39</v>
      </c>
      <c r="S875" t="s">
        <v>31</v>
      </c>
      <c r="T875" t="s">
        <v>32</v>
      </c>
      <c r="U875">
        <v>25</v>
      </c>
      <c r="V875">
        <v>3.2</v>
      </c>
      <c r="W875">
        <f>Table2[[#This Row],[Quantity]]*Table2[[#This Row],[Item_Price]]</f>
        <v>384</v>
      </c>
    </row>
    <row r="876" spans="1:23" x14ac:dyDescent="0.25">
      <c r="A876" t="s">
        <v>972</v>
      </c>
      <c r="B876" s="1">
        <v>45720</v>
      </c>
      <c r="C876" t="s">
        <v>910</v>
      </c>
      <c r="D876">
        <v>3</v>
      </c>
      <c r="E876">
        <v>4</v>
      </c>
      <c r="F876" t="s">
        <v>178</v>
      </c>
      <c r="G876" t="s">
        <v>64</v>
      </c>
      <c r="H876" t="s">
        <v>60</v>
      </c>
      <c r="I876" t="s">
        <v>57</v>
      </c>
      <c r="J876" t="s">
        <v>78</v>
      </c>
      <c r="K876" t="s">
        <v>38</v>
      </c>
      <c r="L876">
        <v>1</v>
      </c>
      <c r="M876">
        <v>274</v>
      </c>
      <c r="N876">
        <v>41.1</v>
      </c>
      <c r="O876">
        <v>0</v>
      </c>
      <c r="P876">
        <v>274</v>
      </c>
      <c r="Q876">
        <v>232.9</v>
      </c>
      <c r="R876" t="s">
        <v>75</v>
      </c>
      <c r="S876" t="s">
        <v>110</v>
      </c>
      <c r="T876" t="s">
        <v>40</v>
      </c>
      <c r="U876">
        <v>48</v>
      </c>
      <c r="W876">
        <f>Table2[[#This Row],[Quantity]]*Table2[[#This Row],[Item_Price]]</f>
        <v>274</v>
      </c>
    </row>
    <row r="877" spans="1:23" x14ac:dyDescent="0.25">
      <c r="A877" t="s">
        <v>973</v>
      </c>
      <c r="B877" s="1">
        <v>45720</v>
      </c>
      <c r="C877" t="s">
        <v>910</v>
      </c>
      <c r="D877">
        <v>3</v>
      </c>
      <c r="E877">
        <v>4</v>
      </c>
      <c r="F877" t="s">
        <v>178</v>
      </c>
      <c r="G877" t="s">
        <v>64</v>
      </c>
      <c r="H877" t="s">
        <v>52</v>
      </c>
      <c r="I877" t="s">
        <v>57</v>
      </c>
      <c r="J877" t="s">
        <v>66</v>
      </c>
      <c r="K877" t="s">
        <v>38</v>
      </c>
      <c r="L877">
        <v>2</v>
      </c>
      <c r="M877">
        <v>385</v>
      </c>
      <c r="N877">
        <v>0</v>
      </c>
      <c r="O877">
        <v>50</v>
      </c>
      <c r="P877">
        <v>770</v>
      </c>
      <c r="Q877">
        <v>820</v>
      </c>
      <c r="R877" t="s">
        <v>30</v>
      </c>
      <c r="S877" t="s">
        <v>31</v>
      </c>
      <c r="T877" t="s">
        <v>40</v>
      </c>
      <c r="U877">
        <v>52</v>
      </c>
      <c r="V877">
        <v>3.7</v>
      </c>
      <c r="W877">
        <f>Table2[[#This Row],[Quantity]]*Table2[[#This Row],[Item_Price]]</f>
        <v>770</v>
      </c>
    </row>
    <row r="878" spans="1:23" x14ac:dyDescent="0.25">
      <c r="A878" t="s">
        <v>974</v>
      </c>
      <c r="B878" s="1">
        <v>45720</v>
      </c>
      <c r="C878" t="s">
        <v>910</v>
      </c>
      <c r="D878">
        <v>3</v>
      </c>
      <c r="E878">
        <v>4</v>
      </c>
      <c r="F878" t="s">
        <v>178</v>
      </c>
      <c r="G878" t="s">
        <v>80</v>
      </c>
      <c r="H878" t="s">
        <v>77</v>
      </c>
      <c r="I878" t="s">
        <v>36</v>
      </c>
      <c r="J878" t="s">
        <v>28</v>
      </c>
      <c r="K878" t="s">
        <v>58</v>
      </c>
      <c r="L878">
        <v>1</v>
      </c>
      <c r="M878">
        <v>742</v>
      </c>
      <c r="N878">
        <v>111.3</v>
      </c>
      <c r="O878">
        <v>50</v>
      </c>
      <c r="P878">
        <v>742</v>
      </c>
      <c r="Q878">
        <v>680.7</v>
      </c>
      <c r="R878" t="s">
        <v>39</v>
      </c>
      <c r="S878" t="s">
        <v>31</v>
      </c>
      <c r="T878" t="s">
        <v>32</v>
      </c>
      <c r="U878">
        <v>38</v>
      </c>
      <c r="V878">
        <v>4.0999999999999996</v>
      </c>
      <c r="W878">
        <f>Table2[[#This Row],[Quantity]]*Table2[[#This Row],[Item_Price]]</f>
        <v>742</v>
      </c>
    </row>
    <row r="879" spans="1:23" x14ac:dyDescent="0.25">
      <c r="A879" t="s">
        <v>975</v>
      </c>
      <c r="B879" s="1">
        <v>45720</v>
      </c>
      <c r="C879" t="s">
        <v>910</v>
      </c>
      <c r="D879">
        <v>3</v>
      </c>
      <c r="E879">
        <v>4</v>
      </c>
      <c r="F879" t="s">
        <v>178</v>
      </c>
      <c r="G879" t="s">
        <v>25</v>
      </c>
      <c r="H879" t="s">
        <v>77</v>
      </c>
      <c r="I879" t="s">
        <v>85</v>
      </c>
      <c r="J879" t="s">
        <v>53</v>
      </c>
      <c r="K879" t="s">
        <v>38</v>
      </c>
      <c r="L879">
        <v>3</v>
      </c>
      <c r="M879">
        <v>225</v>
      </c>
      <c r="N879">
        <v>33.75</v>
      </c>
      <c r="O879">
        <v>30</v>
      </c>
      <c r="P879">
        <v>675</v>
      </c>
      <c r="Q879">
        <v>671.25</v>
      </c>
      <c r="R879" t="s">
        <v>39</v>
      </c>
      <c r="S879" t="s">
        <v>31</v>
      </c>
      <c r="T879" t="s">
        <v>40</v>
      </c>
      <c r="U879">
        <v>66</v>
      </c>
      <c r="V879">
        <v>4.4000000000000004</v>
      </c>
      <c r="W879">
        <f>Table2[[#This Row],[Quantity]]*Table2[[#This Row],[Item_Price]]</f>
        <v>675</v>
      </c>
    </row>
    <row r="880" spans="1:23" x14ac:dyDescent="0.25">
      <c r="A880" t="s">
        <v>976</v>
      </c>
      <c r="B880" s="1">
        <v>45721</v>
      </c>
      <c r="C880" t="s">
        <v>910</v>
      </c>
      <c r="D880">
        <v>3</v>
      </c>
      <c r="E880">
        <v>5</v>
      </c>
      <c r="F880" t="s">
        <v>24</v>
      </c>
      <c r="G880" t="s">
        <v>73</v>
      </c>
      <c r="H880" t="s">
        <v>52</v>
      </c>
      <c r="I880" t="s">
        <v>103</v>
      </c>
      <c r="J880" t="s">
        <v>78</v>
      </c>
      <c r="K880" t="s">
        <v>45</v>
      </c>
      <c r="L880">
        <v>1</v>
      </c>
      <c r="M880">
        <v>804</v>
      </c>
      <c r="N880">
        <v>160.80000000000001</v>
      </c>
      <c r="O880">
        <v>40</v>
      </c>
      <c r="P880">
        <v>804</v>
      </c>
      <c r="Q880">
        <v>683.2</v>
      </c>
      <c r="R880" t="s">
        <v>39</v>
      </c>
      <c r="S880" t="s">
        <v>110</v>
      </c>
      <c r="T880" t="s">
        <v>32</v>
      </c>
      <c r="U880">
        <v>43</v>
      </c>
      <c r="W880">
        <f>Table2[[#This Row],[Quantity]]*Table2[[#This Row],[Item_Price]]</f>
        <v>804</v>
      </c>
    </row>
    <row r="881" spans="1:23" x14ac:dyDescent="0.25">
      <c r="A881" t="s">
        <v>977</v>
      </c>
      <c r="B881" s="1">
        <v>45721</v>
      </c>
      <c r="C881" t="s">
        <v>910</v>
      </c>
      <c r="D881">
        <v>3</v>
      </c>
      <c r="E881">
        <v>5</v>
      </c>
      <c r="F881" t="s">
        <v>24</v>
      </c>
      <c r="G881" t="s">
        <v>73</v>
      </c>
      <c r="H881" t="s">
        <v>48</v>
      </c>
      <c r="I881" t="s">
        <v>49</v>
      </c>
      <c r="J881" t="s">
        <v>82</v>
      </c>
      <c r="K881" t="s">
        <v>38</v>
      </c>
      <c r="L881">
        <v>2</v>
      </c>
      <c r="M881">
        <v>412</v>
      </c>
      <c r="N881">
        <v>103</v>
      </c>
      <c r="O881">
        <v>0</v>
      </c>
      <c r="P881">
        <v>824</v>
      </c>
      <c r="Q881">
        <v>721</v>
      </c>
      <c r="R881" t="s">
        <v>39</v>
      </c>
      <c r="S881" t="s">
        <v>31</v>
      </c>
      <c r="T881" t="s">
        <v>40</v>
      </c>
      <c r="U881">
        <v>28</v>
      </c>
      <c r="V881">
        <v>4.5999999999999996</v>
      </c>
      <c r="W881">
        <f>Table2[[#This Row],[Quantity]]*Table2[[#This Row],[Item_Price]]</f>
        <v>824</v>
      </c>
    </row>
    <row r="882" spans="1:23" x14ac:dyDescent="0.25">
      <c r="A882" t="s">
        <v>978</v>
      </c>
      <c r="B882" s="1">
        <v>45721</v>
      </c>
      <c r="C882" t="s">
        <v>910</v>
      </c>
      <c r="D882">
        <v>3</v>
      </c>
      <c r="E882">
        <v>5</v>
      </c>
      <c r="F882" t="s">
        <v>24</v>
      </c>
      <c r="G882" t="s">
        <v>55</v>
      </c>
      <c r="H882" t="s">
        <v>105</v>
      </c>
      <c r="I882" t="s">
        <v>36</v>
      </c>
      <c r="J882" t="s">
        <v>37</v>
      </c>
      <c r="K882" t="s">
        <v>38</v>
      </c>
      <c r="L882">
        <v>2</v>
      </c>
      <c r="M882">
        <v>404</v>
      </c>
      <c r="N882">
        <v>40.4</v>
      </c>
      <c r="O882">
        <v>40</v>
      </c>
      <c r="P882">
        <v>808</v>
      </c>
      <c r="Q882">
        <v>807.6</v>
      </c>
      <c r="R882" t="s">
        <v>39</v>
      </c>
      <c r="S882" t="s">
        <v>31</v>
      </c>
      <c r="T882" t="s">
        <v>32</v>
      </c>
      <c r="U882">
        <v>52</v>
      </c>
      <c r="V882">
        <v>3.6</v>
      </c>
      <c r="W882">
        <f>Table2[[#This Row],[Quantity]]*Table2[[#This Row],[Item_Price]]</f>
        <v>808</v>
      </c>
    </row>
    <row r="883" spans="1:23" x14ac:dyDescent="0.25">
      <c r="A883" t="s">
        <v>979</v>
      </c>
      <c r="B883" s="1">
        <v>45721</v>
      </c>
      <c r="C883" t="s">
        <v>910</v>
      </c>
      <c r="D883">
        <v>3</v>
      </c>
      <c r="E883">
        <v>5</v>
      </c>
      <c r="F883" t="s">
        <v>24</v>
      </c>
      <c r="G883" t="s">
        <v>115</v>
      </c>
      <c r="H883" t="s">
        <v>135</v>
      </c>
      <c r="I883" t="s">
        <v>36</v>
      </c>
      <c r="J883" t="s">
        <v>94</v>
      </c>
      <c r="K883" t="s">
        <v>58</v>
      </c>
      <c r="L883">
        <v>1</v>
      </c>
      <c r="M883">
        <v>597</v>
      </c>
      <c r="N883">
        <v>59.7</v>
      </c>
      <c r="O883">
        <v>60</v>
      </c>
      <c r="P883">
        <v>597</v>
      </c>
      <c r="Q883">
        <v>597.29999999999995</v>
      </c>
      <c r="R883" t="s">
        <v>39</v>
      </c>
      <c r="S883" t="s">
        <v>31</v>
      </c>
      <c r="T883" t="s">
        <v>32</v>
      </c>
      <c r="U883">
        <v>52</v>
      </c>
      <c r="V883">
        <v>3.8</v>
      </c>
      <c r="W883">
        <f>Table2[[#This Row],[Quantity]]*Table2[[#This Row],[Item_Price]]</f>
        <v>597</v>
      </c>
    </row>
    <row r="884" spans="1:23" x14ac:dyDescent="0.25">
      <c r="A884" t="s">
        <v>980</v>
      </c>
      <c r="B884" s="1">
        <v>45721</v>
      </c>
      <c r="C884" t="s">
        <v>910</v>
      </c>
      <c r="D884">
        <v>3</v>
      </c>
      <c r="E884">
        <v>5</v>
      </c>
      <c r="F884" t="s">
        <v>24</v>
      </c>
      <c r="G884" t="s">
        <v>80</v>
      </c>
      <c r="H884" t="s">
        <v>48</v>
      </c>
      <c r="I884" t="s">
        <v>61</v>
      </c>
      <c r="J884" t="s">
        <v>70</v>
      </c>
      <c r="K884" t="s">
        <v>38</v>
      </c>
      <c r="L884">
        <v>1</v>
      </c>
      <c r="M884">
        <v>891</v>
      </c>
      <c r="N884">
        <v>89.1</v>
      </c>
      <c r="O884">
        <v>0</v>
      </c>
      <c r="P884">
        <v>891</v>
      </c>
      <c r="Q884">
        <v>801.9</v>
      </c>
      <c r="R884" t="s">
        <v>75</v>
      </c>
      <c r="S884" t="s">
        <v>31</v>
      </c>
      <c r="T884" t="s">
        <v>32</v>
      </c>
      <c r="U884">
        <v>46</v>
      </c>
      <c r="V884">
        <v>5</v>
      </c>
      <c r="W884">
        <f>Table2[[#This Row],[Quantity]]*Table2[[#This Row],[Item_Price]]</f>
        <v>891</v>
      </c>
    </row>
    <row r="885" spans="1:23" x14ac:dyDescent="0.25">
      <c r="A885" t="s">
        <v>981</v>
      </c>
      <c r="B885" s="1">
        <v>45721</v>
      </c>
      <c r="C885" t="s">
        <v>910</v>
      </c>
      <c r="D885">
        <v>3</v>
      </c>
      <c r="E885">
        <v>5</v>
      </c>
      <c r="F885" t="s">
        <v>24</v>
      </c>
      <c r="G885" t="s">
        <v>64</v>
      </c>
      <c r="H885" t="s">
        <v>135</v>
      </c>
      <c r="I885" t="s">
        <v>57</v>
      </c>
      <c r="J885" t="s">
        <v>28</v>
      </c>
      <c r="K885" t="s">
        <v>38</v>
      </c>
      <c r="L885">
        <v>1</v>
      </c>
      <c r="M885">
        <v>665</v>
      </c>
      <c r="N885">
        <v>99.75</v>
      </c>
      <c r="O885">
        <v>30</v>
      </c>
      <c r="P885">
        <v>665</v>
      </c>
      <c r="Q885">
        <v>595.25</v>
      </c>
      <c r="R885" t="s">
        <v>30</v>
      </c>
      <c r="S885" t="s">
        <v>31</v>
      </c>
      <c r="T885" t="s">
        <v>40</v>
      </c>
      <c r="U885">
        <v>60</v>
      </c>
      <c r="V885">
        <v>4.0999999999999996</v>
      </c>
      <c r="W885">
        <f>Table2[[#This Row],[Quantity]]*Table2[[#This Row],[Item_Price]]</f>
        <v>665</v>
      </c>
    </row>
    <row r="886" spans="1:23" x14ac:dyDescent="0.25">
      <c r="A886" t="s">
        <v>982</v>
      </c>
      <c r="B886" s="1">
        <v>45721</v>
      </c>
      <c r="C886" t="s">
        <v>910</v>
      </c>
      <c r="D886">
        <v>3</v>
      </c>
      <c r="E886">
        <v>5</v>
      </c>
      <c r="F886" t="s">
        <v>24</v>
      </c>
      <c r="G886" t="s">
        <v>34</v>
      </c>
      <c r="H886" t="s">
        <v>26</v>
      </c>
      <c r="I886" t="s">
        <v>85</v>
      </c>
      <c r="J886" t="s">
        <v>28</v>
      </c>
      <c r="K886" t="s">
        <v>29</v>
      </c>
      <c r="L886">
        <v>1</v>
      </c>
      <c r="M886">
        <v>889</v>
      </c>
      <c r="N886">
        <v>222.25</v>
      </c>
      <c r="O886">
        <v>0</v>
      </c>
      <c r="P886">
        <v>889</v>
      </c>
      <c r="Q886">
        <v>666.75</v>
      </c>
      <c r="R886" t="s">
        <v>98</v>
      </c>
      <c r="S886" t="s">
        <v>31</v>
      </c>
      <c r="T886" t="s">
        <v>40</v>
      </c>
      <c r="U886">
        <v>36</v>
      </c>
      <c r="V886">
        <v>4.9000000000000004</v>
      </c>
      <c r="W886">
        <f>Table2[[#This Row],[Quantity]]*Table2[[#This Row],[Item_Price]]</f>
        <v>889</v>
      </c>
    </row>
    <row r="887" spans="1:23" x14ac:dyDescent="0.25">
      <c r="A887" t="s">
        <v>983</v>
      </c>
      <c r="B887" s="1">
        <v>45721</v>
      </c>
      <c r="C887" t="s">
        <v>910</v>
      </c>
      <c r="D887">
        <v>3</v>
      </c>
      <c r="E887">
        <v>5</v>
      </c>
      <c r="F887" t="s">
        <v>24</v>
      </c>
      <c r="G887" t="s">
        <v>34</v>
      </c>
      <c r="H887" t="s">
        <v>77</v>
      </c>
      <c r="I887" t="s">
        <v>103</v>
      </c>
      <c r="J887" t="s">
        <v>44</v>
      </c>
      <c r="K887" t="s">
        <v>38</v>
      </c>
      <c r="L887">
        <v>1</v>
      </c>
      <c r="M887">
        <v>827</v>
      </c>
      <c r="N887">
        <v>41.35</v>
      </c>
      <c r="O887">
        <v>20</v>
      </c>
      <c r="P887">
        <v>827</v>
      </c>
      <c r="Q887">
        <v>805.65</v>
      </c>
      <c r="R887" t="s">
        <v>30</v>
      </c>
      <c r="S887" t="s">
        <v>91</v>
      </c>
      <c r="T887" t="s">
        <v>40</v>
      </c>
      <c r="U887">
        <v>30</v>
      </c>
      <c r="W887">
        <f>Table2[[#This Row],[Quantity]]*Table2[[#This Row],[Item_Price]]</f>
        <v>827</v>
      </c>
    </row>
    <row r="888" spans="1:23" x14ac:dyDescent="0.25">
      <c r="A888" t="s">
        <v>984</v>
      </c>
      <c r="B888" s="1">
        <v>45721</v>
      </c>
      <c r="C888" t="s">
        <v>910</v>
      </c>
      <c r="D888">
        <v>3</v>
      </c>
      <c r="E888">
        <v>5</v>
      </c>
      <c r="F888" t="s">
        <v>24</v>
      </c>
      <c r="G888" t="s">
        <v>73</v>
      </c>
      <c r="H888" t="s">
        <v>68</v>
      </c>
      <c r="I888" t="s">
        <v>49</v>
      </c>
      <c r="J888" t="s">
        <v>78</v>
      </c>
      <c r="K888" t="s">
        <v>38</v>
      </c>
      <c r="L888">
        <v>1</v>
      </c>
      <c r="M888">
        <v>833</v>
      </c>
      <c r="N888">
        <v>83.3</v>
      </c>
      <c r="O888">
        <v>30</v>
      </c>
      <c r="P888">
        <v>833</v>
      </c>
      <c r="Q888">
        <v>779.7</v>
      </c>
      <c r="R888" t="s">
        <v>39</v>
      </c>
      <c r="S888" t="s">
        <v>31</v>
      </c>
      <c r="T888" t="s">
        <v>32</v>
      </c>
      <c r="U888">
        <v>52</v>
      </c>
      <c r="V888">
        <v>3.2</v>
      </c>
      <c r="W888">
        <f>Table2[[#This Row],[Quantity]]*Table2[[#This Row],[Item_Price]]</f>
        <v>833</v>
      </c>
    </row>
    <row r="889" spans="1:23" x14ac:dyDescent="0.25">
      <c r="A889" t="s">
        <v>985</v>
      </c>
      <c r="B889" s="1">
        <v>45722</v>
      </c>
      <c r="C889" t="s">
        <v>910</v>
      </c>
      <c r="D889">
        <v>3</v>
      </c>
      <c r="E889">
        <v>6</v>
      </c>
      <c r="F889" t="s">
        <v>88</v>
      </c>
      <c r="G889" t="s">
        <v>115</v>
      </c>
      <c r="H889" t="s">
        <v>42</v>
      </c>
      <c r="I889" t="s">
        <v>57</v>
      </c>
      <c r="J889" t="s">
        <v>119</v>
      </c>
      <c r="K889" t="s">
        <v>38</v>
      </c>
      <c r="L889">
        <v>1</v>
      </c>
      <c r="M889">
        <v>472</v>
      </c>
      <c r="N889">
        <v>47.2</v>
      </c>
      <c r="O889">
        <v>30</v>
      </c>
      <c r="P889">
        <v>472</v>
      </c>
      <c r="Q889">
        <v>454.8</v>
      </c>
      <c r="R889" t="s">
        <v>39</v>
      </c>
      <c r="S889" t="s">
        <v>31</v>
      </c>
      <c r="T889" t="s">
        <v>32</v>
      </c>
      <c r="U889">
        <v>39</v>
      </c>
      <c r="V889">
        <v>4.5999999999999996</v>
      </c>
      <c r="W889">
        <f>Table2[[#This Row],[Quantity]]*Table2[[#This Row],[Item_Price]]</f>
        <v>472</v>
      </c>
    </row>
    <row r="890" spans="1:23" x14ac:dyDescent="0.25">
      <c r="A890" t="s">
        <v>986</v>
      </c>
      <c r="B890" s="1">
        <v>45722</v>
      </c>
      <c r="C890" t="s">
        <v>910</v>
      </c>
      <c r="D890">
        <v>3</v>
      </c>
      <c r="E890">
        <v>6</v>
      </c>
      <c r="F890" t="s">
        <v>88</v>
      </c>
      <c r="G890" t="s">
        <v>80</v>
      </c>
      <c r="H890" t="s">
        <v>81</v>
      </c>
      <c r="I890" t="s">
        <v>69</v>
      </c>
      <c r="J890" t="s">
        <v>62</v>
      </c>
      <c r="K890" t="s">
        <v>38</v>
      </c>
      <c r="L890">
        <v>1</v>
      </c>
      <c r="M890">
        <v>409</v>
      </c>
      <c r="N890">
        <v>40.9</v>
      </c>
      <c r="O890">
        <v>20</v>
      </c>
      <c r="P890">
        <v>409</v>
      </c>
      <c r="Q890">
        <v>388.1</v>
      </c>
      <c r="R890" t="s">
        <v>75</v>
      </c>
      <c r="S890" t="s">
        <v>31</v>
      </c>
      <c r="T890" t="s">
        <v>40</v>
      </c>
      <c r="U890">
        <v>66</v>
      </c>
      <c r="V890">
        <v>4.8</v>
      </c>
      <c r="W890">
        <f>Table2[[#This Row],[Quantity]]*Table2[[#This Row],[Item_Price]]</f>
        <v>409</v>
      </c>
    </row>
    <row r="891" spans="1:23" x14ac:dyDescent="0.25">
      <c r="A891" t="s">
        <v>987</v>
      </c>
      <c r="B891" s="1">
        <v>45722</v>
      </c>
      <c r="C891" t="s">
        <v>910</v>
      </c>
      <c r="D891">
        <v>3</v>
      </c>
      <c r="E891">
        <v>6</v>
      </c>
      <c r="F891" t="s">
        <v>88</v>
      </c>
      <c r="G891" t="s">
        <v>55</v>
      </c>
      <c r="H891" t="s">
        <v>65</v>
      </c>
      <c r="I891" t="s">
        <v>61</v>
      </c>
      <c r="J891" t="s">
        <v>94</v>
      </c>
      <c r="K891" t="s">
        <v>45</v>
      </c>
      <c r="L891">
        <v>1</v>
      </c>
      <c r="M891">
        <v>258</v>
      </c>
      <c r="N891">
        <v>38.700000000000003</v>
      </c>
      <c r="O891">
        <v>20</v>
      </c>
      <c r="P891">
        <v>258</v>
      </c>
      <c r="Q891">
        <v>239.3</v>
      </c>
      <c r="R891" t="s">
        <v>39</v>
      </c>
      <c r="S891" t="s">
        <v>31</v>
      </c>
      <c r="T891" t="s">
        <v>40</v>
      </c>
      <c r="U891">
        <v>18</v>
      </c>
      <c r="V891">
        <v>3.8</v>
      </c>
      <c r="W891">
        <f>Table2[[#This Row],[Quantity]]*Table2[[#This Row],[Item_Price]]</f>
        <v>258</v>
      </c>
    </row>
    <row r="892" spans="1:23" x14ac:dyDescent="0.25">
      <c r="A892" t="s">
        <v>988</v>
      </c>
      <c r="B892" s="1">
        <v>45722</v>
      </c>
      <c r="C892" t="s">
        <v>910</v>
      </c>
      <c r="D892">
        <v>3</v>
      </c>
      <c r="E892">
        <v>6</v>
      </c>
      <c r="F892" t="s">
        <v>88</v>
      </c>
      <c r="G892" t="s">
        <v>64</v>
      </c>
      <c r="H892" t="s">
        <v>48</v>
      </c>
      <c r="I892" t="s">
        <v>97</v>
      </c>
      <c r="J892" t="s">
        <v>123</v>
      </c>
      <c r="K892" t="s">
        <v>38</v>
      </c>
      <c r="L892">
        <v>3</v>
      </c>
      <c r="M892">
        <v>267</v>
      </c>
      <c r="N892">
        <v>13.35</v>
      </c>
      <c r="O892">
        <v>20</v>
      </c>
      <c r="P892">
        <v>801</v>
      </c>
      <c r="Q892">
        <v>807.65</v>
      </c>
      <c r="R892" t="s">
        <v>39</v>
      </c>
      <c r="S892" t="s">
        <v>31</v>
      </c>
      <c r="T892" t="s">
        <v>32</v>
      </c>
      <c r="U892">
        <v>38</v>
      </c>
      <c r="V892">
        <v>4.4000000000000004</v>
      </c>
      <c r="W892">
        <f>Table2[[#This Row],[Quantity]]*Table2[[#This Row],[Item_Price]]</f>
        <v>801</v>
      </c>
    </row>
    <row r="893" spans="1:23" x14ac:dyDescent="0.25">
      <c r="A893" t="s">
        <v>989</v>
      </c>
      <c r="B893" s="1">
        <v>45722</v>
      </c>
      <c r="C893" t="s">
        <v>910</v>
      </c>
      <c r="D893">
        <v>3</v>
      </c>
      <c r="E893">
        <v>6</v>
      </c>
      <c r="F893" t="s">
        <v>88</v>
      </c>
      <c r="G893" t="s">
        <v>80</v>
      </c>
      <c r="H893" t="s">
        <v>135</v>
      </c>
      <c r="I893" t="s">
        <v>36</v>
      </c>
      <c r="J893" t="s">
        <v>123</v>
      </c>
      <c r="K893" t="s">
        <v>38</v>
      </c>
      <c r="L893">
        <v>2</v>
      </c>
      <c r="M893">
        <v>875</v>
      </c>
      <c r="N893">
        <v>43.75</v>
      </c>
      <c r="O893">
        <v>30</v>
      </c>
      <c r="P893">
        <v>1750</v>
      </c>
      <c r="Q893">
        <v>1736.25</v>
      </c>
      <c r="R893" t="s">
        <v>75</v>
      </c>
      <c r="S893" t="s">
        <v>91</v>
      </c>
      <c r="T893" t="s">
        <v>40</v>
      </c>
      <c r="U893">
        <v>63</v>
      </c>
      <c r="W893">
        <f>Table2[[#This Row],[Quantity]]*Table2[[#This Row],[Item_Price]]</f>
        <v>1750</v>
      </c>
    </row>
    <row r="894" spans="1:23" x14ac:dyDescent="0.25">
      <c r="A894" t="s">
        <v>990</v>
      </c>
      <c r="B894" s="1">
        <v>45722</v>
      </c>
      <c r="C894" t="s">
        <v>910</v>
      </c>
      <c r="D894">
        <v>3</v>
      </c>
      <c r="E894">
        <v>6</v>
      </c>
      <c r="F894" t="s">
        <v>88</v>
      </c>
      <c r="G894" t="s">
        <v>84</v>
      </c>
      <c r="H894" t="s">
        <v>60</v>
      </c>
      <c r="I894" t="s">
        <v>61</v>
      </c>
      <c r="J894" t="s">
        <v>66</v>
      </c>
      <c r="K894" t="s">
        <v>38</v>
      </c>
      <c r="L894">
        <v>2</v>
      </c>
      <c r="M894">
        <v>414</v>
      </c>
      <c r="N894">
        <v>62.1</v>
      </c>
      <c r="O894">
        <v>20</v>
      </c>
      <c r="P894">
        <v>828</v>
      </c>
      <c r="Q894">
        <v>785.9</v>
      </c>
      <c r="R894" t="s">
        <v>75</v>
      </c>
      <c r="S894" t="s">
        <v>110</v>
      </c>
      <c r="T894" t="s">
        <v>40</v>
      </c>
      <c r="U894">
        <v>53</v>
      </c>
      <c r="W894">
        <f>Table2[[#This Row],[Quantity]]*Table2[[#This Row],[Item_Price]]</f>
        <v>828</v>
      </c>
    </row>
    <row r="895" spans="1:23" x14ac:dyDescent="0.25">
      <c r="A895" t="s">
        <v>991</v>
      </c>
      <c r="B895" s="1">
        <v>45722</v>
      </c>
      <c r="C895" t="s">
        <v>910</v>
      </c>
      <c r="D895">
        <v>3</v>
      </c>
      <c r="E895">
        <v>6</v>
      </c>
      <c r="F895" t="s">
        <v>88</v>
      </c>
      <c r="G895" t="s">
        <v>80</v>
      </c>
      <c r="H895" t="s">
        <v>108</v>
      </c>
      <c r="I895" t="s">
        <v>97</v>
      </c>
      <c r="J895" t="s">
        <v>78</v>
      </c>
      <c r="K895" t="s">
        <v>38</v>
      </c>
      <c r="L895">
        <v>2</v>
      </c>
      <c r="M895">
        <v>394</v>
      </c>
      <c r="N895">
        <v>19.7</v>
      </c>
      <c r="O895">
        <v>30</v>
      </c>
      <c r="P895">
        <v>788</v>
      </c>
      <c r="Q895">
        <v>798.3</v>
      </c>
      <c r="R895" t="s">
        <v>39</v>
      </c>
      <c r="S895" t="s">
        <v>31</v>
      </c>
      <c r="T895" t="s">
        <v>40</v>
      </c>
      <c r="U895">
        <v>27</v>
      </c>
      <c r="V895">
        <v>3.7</v>
      </c>
      <c r="W895">
        <f>Table2[[#This Row],[Quantity]]*Table2[[#This Row],[Item_Price]]</f>
        <v>788</v>
      </c>
    </row>
    <row r="896" spans="1:23" x14ac:dyDescent="0.25">
      <c r="A896" t="s">
        <v>992</v>
      </c>
      <c r="B896" s="1">
        <v>45722</v>
      </c>
      <c r="C896" t="s">
        <v>910</v>
      </c>
      <c r="D896">
        <v>3</v>
      </c>
      <c r="E896">
        <v>6</v>
      </c>
      <c r="F896" t="s">
        <v>88</v>
      </c>
      <c r="G896" t="s">
        <v>25</v>
      </c>
      <c r="H896" t="s">
        <v>135</v>
      </c>
      <c r="I896" t="s">
        <v>97</v>
      </c>
      <c r="J896" t="s">
        <v>74</v>
      </c>
      <c r="K896" t="s">
        <v>58</v>
      </c>
      <c r="L896">
        <v>1</v>
      </c>
      <c r="M896">
        <v>773</v>
      </c>
      <c r="N896">
        <v>77.3</v>
      </c>
      <c r="O896">
        <v>0</v>
      </c>
      <c r="P896">
        <v>773</v>
      </c>
      <c r="Q896">
        <v>695.7</v>
      </c>
      <c r="R896" t="s">
        <v>39</v>
      </c>
      <c r="S896" t="s">
        <v>31</v>
      </c>
      <c r="T896" t="s">
        <v>40</v>
      </c>
      <c r="U896">
        <v>53</v>
      </c>
      <c r="V896">
        <v>5</v>
      </c>
      <c r="W896">
        <f>Table2[[#This Row],[Quantity]]*Table2[[#This Row],[Item_Price]]</f>
        <v>773</v>
      </c>
    </row>
    <row r="897" spans="1:23" x14ac:dyDescent="0.25">
      <c r="A897" t="s">
        <v>993</v>
      </c>
      <c r="B897" s="1">
        <v>45722</v>
      </c>
      <c r="C897" t="s">
        <v>910</v>
      </c>
      <c r="D897">
        <v>3</v>
      </c>
      <c r="E897">
        <v>6</v>
      </c>
      <c r="F897" t="s">
        <v>88</v>
      </c>
      <c r="G897" t="s">
        <v>115</v>
      </c>
      <c r="H897" t="s">
        <v>81</v>
      </c>
      <c r="I897" t="s">
        <v>36</v>
      </c>
      <c r="J897" t="s">
        <v>70</v>
      </c>
      <c r="K897" t="s">
        <v>38</v>
      </c>
      <c r="L897">
        <v>3</v>
      </c>
      <c r="M897">
        <v>439</v>
      </c>
      <c r="N897">
        <v>65.849999999999994</v>
      </c>
      <c r="O897">
        <v>20</v>
      </c>
      <c r="P897">
        <v>1317</v>
      </c>
      <c r="Q897">
        <v>1271.1500000000001</v>
      </c>
      <c r="R897" t="s">
        <v>30</v>
      </c>
      <c r="S897" t="s">
        <v>31</v>
      </c>
      <c r="T897" t="s">
        <v>40</v>
      </c>
      <c r="U897">
        <v>37</v>
      </c>
      <c r="V897">
        <v>3.5</v>
      </c>
      <c r="W897">
        <f>Table2[[#This Row],[Quantity]]*Table2[[#This Row],[Item_Price]]</f>
        <v>1317</v>
      </c>
    </row>
    <row r="898" spans="1:23" x14ac:dyDescent="0.25">
      <c r="A898" t="s">
        <v>994</v>
      </c>
      <c r="B898" s="1">
        <v>45722</v>
      </c>
      <c r="C898" t="s">
        <v>910</v>
      </c>
      <c r="D898">
        <v>3</v>
      </c>
      <c r="E898">
        <v>6</v>
      </c>
      <c r="F898" t="s">
        <v>88</v>
      </c>
      <c r="G898" t="s">
        <v>55</v>
      </c>
      <c r="H898" t="s">
        <v>105</v>
      </c>
      <c r="I898" t="s">
        <v>57</v>
      </c>
      <c r="J898" t="s">
        <v>94</v>
      </c>
      <c r="K898" t="s">
        <v>38</v>
      </c>
      <c r="L898">
        <v>1</v>
      </c>
      <c r="M898">
        <v>348</v>
      </c>
      <c r="N898">
        <v>52.2</v>
      </c>
      <c r="O898">
        <v>30</v>
      </c>
      <c r="P898">
        <v>348</v>
      </c>
      <c r="Q898">
        <v>325.8</v>
      </c>
      <c r="R898" t="s">
        <v>39</v>
      </c>
      <c r="S898" t="s">
        <v>46</v>
      </c>
      <c r="T898" t="s">
        <v>40</v>
      </c>
      <c r="U898">
        <v>62</v>
      </c>
      <c r="W898">
        <f>Table2[[#This Row],[Quantity]]*Table2[[#This Row],[Item_Price]]</f>
        <v>348</v>
      </c>
    </row>
    <row r="899" spans="1:23" x14ac:dyDescent="0.25">
      <c r="A899" t="s">
        <v>995</v>
      </c>
      <c r="B899" s="1">
        <v>45722</v>
      </c>
      <c r="C899" t="s">
        <v>910</v>
      </c>
      <c r="D899">
        <v>3</v>
      </c>
      <c r="E899">
        <v>6</v>
      </c>
      <c r="F899" t="s">
        <v>88</v>
      </c>
      <c r="G899" t="s">
        <v>73</v>
      </c>
      <c r="H899" t="s">
        <v>139</v>
      </c>
      <c r="I899" t="s">
        <v>97</v>
      </c>
      <c r="J899" t="s">
        <v>78</v>
      </c>
      <c r="K899" t="s">
        <v>38</v>
      </c>
      <c r="L899">
        <v>1</v>
      </c>
      <c r="M899">
        <v>188</v>
      </c>
      <c r="N899">
        <v>0</v>
      </c>
      <c r="O899">
        <v>60</v>
      </c>
      <c r="P899">
        <v>188</v>
      </c>
      <c r="Q899">
        <v>248</v>
      </c>
      <c r="R899" t="s">
        <v>39</v>
      </c>
      <c r="S899" t="s">
        <v>31</v>
      </c>
      <c r="T899" t="s">
        <v>32</v>
      </c>
      <c r="U899">
        <v>62</v>
      </c>
      <c r="V899">
        <v>4.2</v>
      </c>
      <c r="W899">
        <f>Table2[[#This Row],[Quantity]]*Table2[[#This Row],[Item_Price]]</f>
        <v>188</v>
      </c>
    </row>
    <row r="900" spans="1:23" x14ac:dyDescent="0.25">
      <c r="A900" t="s">
        <v>996</v>
      </c>
      <c r="B900" s="1">
        <v>45722</v>
      </c>
      <c r="C900" t="s">
        <v>910</v>
      </c>
      <c r="D900">
        <v>3</v>
      </c>
      <c r="E900">
        <v>6</v>
      </c>
      <c r="F900" t="s">
        <v>88</v>
      </c>
      <c r="G900" t="s">
        <v>80</v>
      </c>
      <c r="H900" t="s">
        <v>60</v>
      </c>
      <c r="I900" t="s">
        <v>85</v>
      </c>
      <c r="J900" t="s">
        <v>28</v>
      </c>
      <c r="K900" t="s">
        <v>38</v>
      </c>
      <c r="L900">
        <v>2</v>
      </c>
      <c r="M900">
        <v>265</v>
      </c>
      <c r="N900">
        <v>39.75</v>
      </c>
      <c r="O900">
        <v>60</v>
      </c>
      <c r="P900">
        <v>530</v>
      </c>
      <c r="Q900">
        <v>550.25</v>
      </c>
      <c r="R900" t="s">
        <v>39</v>
      </c>
      <c r="S900" t="s">
        <v>31</v>
      </c>
      <c r="T900" t="s">
        <v>40</v>
      </c>
      <c r="U900">
        <v>36</v>
      </c>
      <c r="V900">
        <v>4.0999999999999996</v>
      </c>
      <c r="W900">
        <f>Table2[[#This Row],[Quantity]]*Table2[[#This Row],[Item_Price]]</f>
        <v>530</v>
      </c>
    </row>
    <row r="901" spans="1:23" x14ac:dyDescent="0.25">
      <c r="A901" t="s">
        <v>997</v>
      </c>
      <c r="B901" s="1">
        <v>45722</v>
      </c>
      <c r="C901" t="s">
        <v>910</v>
      </c>
      <c r="D901">
        <v>3</v>
      </c>
      <c r="E901">
        <v>6</v>
      </c>
      <c r="F901" t="s">
        <v>88</v>
      </c>
      <c r="G901" t="s">
        <v>80</v>
      </c>
      <c r="H901" t="s">
        <v>68</v>
      </c>
      <c r="I901" t="s">
        <v>27</v>
      </c>
      <c r="J901" t="s">
        <v>66</v>
      </c>
      <c r="K901" t="s">
        <v>38</v>
      </c>
      <c r="L901">
        <v>2</v>
      </c>
      <c r="M901">
        <v>312</v>
      </c>
      <c r="N901">
        <v>15.6</v>
      </c>
      <c r="O901">
        <v>50</v>
      </c>
      <c r="P901">
        <v>624</v>
      </c>
      <c r="Q901">
        <v>658.4</v>
      </c>
      <c r="R901" t="s">
        <v>39</v>
      </c>
      <c r="S901" t="s">
        <v>31</v>
      </c>
      <c r="T901" t="s">
        <v>32</v>
      </c>
      <c r="U901">
        <v>40</v>
      </c>
      <c r="V901">
        <v>3.4</v>
      </c>
      <c r="W901">
        <f>Table2[[#This Row],[Quantity]]*Table2[[#This Row],[Item_Price]]</f>
        <v>624</v>
      </c>
    </row>
    <row r="902" spans="1:23" x14ac:dyDescent="0.25">
      <c r="A902" t="s">
        <v>998</v>
      </c>
      <c r="B902" s="1">
        <v>45723</v>
      </c>
      <c r="C902" t="s">
        <v>910</v>
      </c>
      <c r="D902">
        <v>3</v>
      </c>
      <c r="E902">
        <v>7</v>
      </c>
      <c r="F902" t="s">
        <v>114</v>
      </c>
      <c r="G902" t="s">
        <v>115</v>
      </c>
      <c r="H902" t="s">
        <v>135</v>
      </c>
      <c r="I902" t="s">
        <v>57</v>
      </c>
      <c r="J902" t="s">
        <v>62</v>
      </c>
      <c r="K902" t="s">
        <v>38</v>
      </c>
      <c r="L902">
        <v>1</v>
      </c>
      <c r="M902">
        <v>271</v>
      </c>
      <c r="N902">
        <v>54.2</v>
      </c>
      <c r="O902">
        <v>0</v>
      </c>
      <c r="P902">
        <v>271</v>
      </c>
      <c r="Q902">
        <v>216.8</v>
      </c>
      <c r="R902" t="s">
        <v>39</v>
      </c>
      <c r="S902" t="s">
        <v>31</v>
      </c>
      <c r="T902" t="s">
        <v>32</v>
      </c>
      <c r="U902">
        <v>34</v>
      </c>
      <c r="V902">
        <v>3.9</v>
      </c>
      <c r="W902">
        <f>Table2[[#This Row],[Quantity]]*Table2[[#This Row],[Item_Price]]</f>
        <v>271</v>
      </c>
    </row>
    <row r="903" spans="1:23" x14ac:dyDescent="0.25">
      <c r="A903" t="s">
        <v>999</v>
      </c>
      <c r="B903" s="1">
        <v>45723</v>
      </c>
      <c r="C903" t="s">
        <v>910</v>
      </c>
      <c r="D903">
        <v>3</v>
      </c>
      <c r="E903">
        <v>7</v>
      </c>
      <c r="F903" t="s">
        <v>114</v>
      </c>
      <c r="G903" t="s">
        <v>80</v>
      </c>
      <c r="H903" t="s">
        <v>68</v>
      </c>
      <c r="I903" t="s">
        <v>103</v>
      </c>
      <c r="J903" t="s">
        <v>94</v>
      </c>
      <c r="K903" t="s">
        <v>45</v>
      </c>
      <c r="L903">
        <v>3</v>
      </c>
      <c r="M903">
        <v>397</v>
      </c>
      <c r="N903">
        <v>0</v>
      </c>
      <c r="O903">
        <v>40</v>
      </c>
      <c r="P903">
        <v>1191</v>
      </c>
      <c r="Q903">
        <v>1231</v>
      </c>
      <c r="R903" t="s">
        <v>75</v>
      </c>
      <c r="S903" t="s">
        <v>31</v>
      </c>
      <c r="T903" t="s">
        <v>40</v>
      </c>
      <c r="U903">
        <v>45</v>
      </c>
      <c r="V903">
        <v>4.5</v>
      </c>
      <c r="W903">
        <f>Table2[[#This Row],[Quantity]]*Table2[[#This Row],[Item_Price]]</f>
        <v>1191</v>
      </c>
    </row>
    <row r="904" spans="1:23" x14ac:dyDescent="0.25">
      <c r="A904" t="s">
        <v>1000</v>
      </c>
      <c r="B904" s="1">
        <v>45723</v>
      </c>
      <c r="C904" t="s">
        <v>910</v>
      </c>
      <c r="D904">
        <v>3</v>
      </c>
      <c r="E904">
        <v>7</v>
      </c>
      <c r="F904" t="s">
        <v>114</v>
      </c>
      <c r="G904" t="s">
        <v>96</v>
      </c>
      <c r="H904" t="s">
        <v>68</v>
      </c>
      <c r="I904" t="s">
        <v>57</v>
      </c>
      <c r="J904" t="s">
        <v>78</v>
      </c>
      <c r="K904" t="s">
        <v>45</v>
      </c>
      <c r="L904">
        <v>1</v>
      </c>
      <c r="M904">
        <v>583</v>
      </c>
      <c r="N904">
        <v>87.45</v>
      </c>
      <c r="O904">
        <v>30</v>
      </c>
      <c r="P904">
        <v>583</v>
      </c>
      <c r="Q904">
        <v>525.54999999999995</v>
      </c>
      <c r="R904" t="s">
        <v>39</v>
      </c>
      <c r="S904" t="s">
        <v>31</v>
      </c>
      <c r="T904" t="s">
        <v>32</v>
      </c>
      <c r="U904">
        <v>48</v>
      </c>
      <c r="V904">
        <v>4.8</v>
      </c>
      <c r="W904">
        <f>Table2[[#This Row],[Quantity]]*Table2[[#This Row],[Item_Price]]</f>
        <v>583</v>
      </c>
    </row>
    <row r="905" spans="1:23" x14ac:dyDescent="0.25">
      <c r="A905" t="s">
        <v>1001</v>
      </c>
      <c r="B905" s="1">
        <v>45723</v>
      </c>
      <c r="C905" t="s">
        <v>910</v>
      </c>
      <c r="D905">
        <v>3</v>
      </c>
      <c r="E905">
        <v>7</v>
      </c>
      <c r="F905" t="s">
        <v>114</v>
      </c>
      <c r="G905" t="s">
        <v>34</v>
      </c>
      <c r="H905" t="s">
        <v>48</v>
      </c>
      <c r="I905" t="s">
        <v>61</v>
      </c>
      <c r="J905" t="s">
        <v>123</v>
      </c>
      <c r="K905" t="s">
        <v>45</v>
      </c>
      <c r="L905">
        <v>2</v>
      </c>
      <c r="M905">
        <v>305</v>
      </c>
      <c r="N905">
        <v>15.25</v>
      </c>
      <c r="O905">
        <v>50</v>
      </c>
      <c r="P905">
        <v>610</v>
      </c>
      <c r="Q905">
        <v>644.75</v>
      </c>
      <c r="R905" t="s">
        <v>75</v>
      </c>
      <c r="S905" t="s">
        <v>31</v>
      </c>
      <c r="T905" t="s">
        <v>40</v>
      </c>
      <c r="U905">
        <v>33</v>
      </c>
      <c r="V905">
        <v>5</v>
      </c>
      <c r="W905">
        <f>Table2[[#This Row],[Quantity]]*Table2[[#This Row],[Item_Price]]</f>
        <v>610</v>
      </c>
    </row>
    <row r="906" spans="1:23" x14ac:dyDescent="0.25">
      <c r="A906" t="s">
        <v>1002</v>
      </c>
      <c r="B906" s="1">
        <v>45723</v>
      </c>
      <c r="C906" t="s">
        <v>910</v>
      </c>
      <c r="D906">
        <v>3</v>
      </c>
      <c r="E906">
        <v>7</v>
      </c>
      <c r="F906" t="s">
        <v>114</v>
      </c>
      <c r="G906" t="s">
        <v>55</v>
      </c>
      <c r="H906" t="s">
        <v>35</v>
      </c>
      <c r="I906" t="s">
        <v>36</v>
      </c>
      <c r="J906" t="s">
        <v>94</v>
      </c>
      <c r="K906" t="s">
        <v>38</v>
      </c>
      <c r="L906">
        <v>2</v>
      </c>
      <c r="M906">
        <v>783</v>
      </c>
      <c r="N906">
        <v>78.3</v>
      </c>
      <c r="O906">
        <v>20</v>
      </c>
      <c r="P906">
        <v>1566</v>
      </c>
      <c r="Q906">
        <v>1507.7</v>
      </c>
      <c r="R906" t="s">
        <v>39</v>
      </c>
      <c r="S906" t="s">
        <v>31</v>
      </c>
      <c r="T906" t="s">
        <v>40</v>
      </c>
      <c r="U906">
        <v>52</v>
      </c>
      <c r="V906">
        <v>3.2</v>
      </c>
      <c r="W906">
        <f>Table2[[#This Row],[Quantity]]*Table2[[#This Row],[Item_Price]]</f>
        <v>1566</v>
      </c>
    </row>
    <row r="907" spans="1:23" x14ac:dyDescent="0.25">
      <c r="A907" t="s">
        <v>1003</v>
      </c>
      <c r="B907" s="1">
        <v>45723</v>
      </c>
      <c r="C907" t="s">
        <v>910</v>
      </c>
      <c r="D907">
        <v>3</v>
      </c>
      <c r="E907">
        <v>7</v>
      </c>
      <c r="F907" t="s">
        <v>114</v>
      </c>
      <c r="G907" t="s">
        <v>34</v>
      </c>
      <c r="H907" t="s">
        <v>68</v>
      </c>
      <c r="I907" t="s">
        <v>97</v>
      </c>
      <c r="J907" t="s">
        <v>53</v>
      </c>
      <c r="K907" t="s">
        <v>38</v>
      </c>
      <c r="L907">
        <v>1</v>
      </c>
      <c r="M907">
        <v>323</v>
      </c>
      <c r="N907">
        <v>64.599999999999994</v>
      </c>
      <c r="O907">
        <v>30</v>
      </c>
      <c r="P907">
        <v>323</v>
      </c>
      <c r="Q907">
        <v>288.39999999999998</v>
      </c>
      <c r="R907" t="s">
        <v>39</v>
      </c>
      <c r="S907" t="s">
        <v>31</v>
      </c>
      <c r="T907" t="s">
        <v>32</v>
      </c>
      <c r="U907">
        <v>28</v>
      </c>
      <c r="V907">
        <v>4.2</v>
      </c>
      <c r="W907">
        <f>Table2[[#This Row],[Quantity]]*Table2[[#This Row],[Item_Price]]</f>
        <v>323</v>
      </c>
    </row>
    <row r="908" spans="1:23" x14ac:dyDescent="0.25">
      <c r="A908" t="s">
        <v>1004</v>
      </c>
      <c r="B908" s="1">
        <v>45723</v>
      </c>
      <c r="C908" t="s">
        <v>910</v>
      </c>
      <c r="D908">
        <v>3</v>
      </c>
      <c r="E908">
        <v>7</v>
      </c>
      <c r="F908" t="s">
        <v>114</v>
      </c>
      <c r="G908" t="s">
        <v>115</v>
      </c>
      <c r="H908" t="s">
        <v>42</v>
      </c>
      <c r="I908" t="s">
        <v>61</v>
      </c>
      <c r="J908" t="s">
        <v>66</v>
      </c>
      <c r="K908" t="s">
        <v>45</v>
      </c>
      <c r="L908">
        <v>1</v>
      </c>
      <c r="M908">
        <v>392</v>
      </c>
      <c r="N908">
        <v>98</v>
      </c>
      <c r="O908">
        <v>40</v>
      </c>
      <c r="P908">
        <v>392</v>
      </c>
      <c r="Q908">
        <v>334</v>
      </c>
      <c r="R908" t="s">
        <v>112</v>
      </c>
      <c r="S908" t="s">
        <v>31</v>
      </c>
      <c r="T908" t="s">
        <v>32</v>
      </c>
      <c r="U908">
        <v>47</v>
      </c>
      <c r="V908">
        <v>5</v>
      </c>
      <c r="W908">
        <f>Table2[[#This Row],[Quantity]]*Table2[[#This Row],[Item_Price]]</f>
        <v>392</v>
      </c>
    </row>
    <row r="909" spans="1:23" x14ac:dyDescent="0.25">
      <c r="A909" t="s">
        <v>1005</v>
      </c>
      <c r="B909" s="1">
        <v>45723</v>
      </c>
      <c r="C909" t="s">
        <v>910</v>
      </c>
      <c r="D909">
        <v>3</v>
      </c>
      <c r="E909">
        <v>7</v>
      </c>
      <c r="F909" t="s">
        <v>114</v>
      </c>
      <c r="G909" t="s">
        <v>73</v>
      </c>
      <c r="H909" t="s">
        <v>77</v>
      </c>
      <c r="I909" t="s">
        <v>49</v>
      </c>
      <c r="J909" t="s">
        <v>62</v>
      </c>
      <c r="K909" t="s">
        <v>58</v>
      </c>
      <c r="L909">
        <v>1</v>
      </c>
      <c r="M909">
        <v>795</v>
      </c>
      <c r="N909">
        <v>0</v>
      </c>
      <c r="O909">
        <v>0</v>
      </c>
      <c r="P909">
        <v>795</v>
      </c>
      <c r="Q909">
        <v>795</v>
      </c>
      <c r="R909" t="s">
        <v>112</v>
      </c>
      <c r="S909" t="s">
        <v>31</v>
      </c>
      <c r="T909" t="s">
        <v>40</v>
      </c>
      <c r="U909">
        <v>24</v>
      </c>
      <c r="V909">
        <v>5</v>
      </c>
      <c r="W909">
        <f>Table2[[#This Row],[Quantity]]*Table2[[#This Row],[Item_Price]]</f>
        <v>795</v>
      </c>
    </row>
    <row r="910" spans="1:23" x14ac:dyDescent="0.25">
      <c r="A910" t="s">
        <v>1006</v>
      </c>
      <c r="B910" s="1">
        <v>45723</v>
      </c>
      <c r="C910" t="s">
        <v>910</v>
      </c>
      <c r="D910">
        <v>3</v>
      </c>
      <c r="E910">
        <v>7</v>
      </c>
      <c r="F910" t="s">
        <v>114</v>
      </c>
      <c r="G910" t="s">
        <v>73</v>
      </c>
      <c r="H910" t="s">
        <v>60</v>
      </c>
      <c r="I910" t="s">
        <v>27</v>
      </c>
      <c r="J910" t="s">
        <v>70</v>
      </c>
      <c r="K910" t="s">
        <v>38</v>
      </c>
      <c r="L910">
        <v>2</v>
      </c>
      <c r="M910">
        <v>144</v>
      </c>
      <c r="N910">
        <v>21.6</v>
      </c>
      <c r="O910">
        <v>30</v>
      </c>
      <c r="P910">
        <v>288</v>
      </c>
      <c r="Q910">
        <v>296.39999999999998</v>
      </c>
      <c r="R910" t="s">
        <v>39</v>
      </c>
      <c r="S910" t="s">
        <v>31</v>
      </c>
      <c r="T910" t="s">
        <v>40</v>
      </c>
      <c r="U910">
        <v>37</v>
      </c>
      <c r="V910">
        <v>3.4</v>
      </c>
      <c r="W910">
        <f>Table2[[#This Row],[Quantity]]*Table2[[#This Row],[Item_Price]]</f>
        <v>288</v>
      </c>
    </row>
    <row r="911" spans="1:23" x14ac:dyDescent="0.25">
      <c r="A911" t="s">
        <v>1007</v>
      </c>
      <c r="B911" s="1">
        <v>45723</v>
      </c>
      <c r="C911" t="s">
        <v>910</v>
      </c>
      <c r="D911">
        <v>3</v>
      </c>
      <c r="E911">
        <v>7</v>
      </c>
      <c r="F911" t="s">
        <v>114</v>
      </c>
      <c r="G911" t="s">
        <v>90</v>
      </c>
      <c r="H911" t="s">
        <v>108</v>
      </c>
      <c r="I911" t="s">
        <v>85</v>
      </c>
      <c r="J911" t="s">
        <v>123</v>
      </c>
      <c r="K911" t="s">
        <v>45</v>
      </c>
      <c r="L911">
        <v>2</v>
      </c>
      <c r="M911">
        <v>141</v>
      </c>
      <c r="N911">
        <v>14.1</v>
      </c>
      <c r="O911">
        <v>40</v>
      </c>
      <c r="P911">
        <v>282</v>
      </c>
      <c r="Q911">
        <v>307.89999999999998</v>
      </c>
      <c r="R911" t="s">
        <v>39</v>
      </c>
      <c r="S911" t="s">
        <v>31</v>
      </c>
      <c r="T911" t="s">
        <v>40</v>
      </c>
      <c r="U911">
        <v>23</v>
      </c>
      <c r="V911">
        <v>3.3</v>
      </c>
      <c r="W911">
        <f>Table2[[#This Row],[Quantity]]*Table2[[#This Row],[Item_Price]]</f>
        <v>282</v>
      </c>
    </row>
    <row r="912" spans="1:23" x14ac:dyDescent="0.25">
      <c r="A912" t="s">
        <v>1008</v>
      </c>
      <c r="B912" s="1">
        <v>45723</v>
      </c>
      <c r="C912" t="s">
        <v>910</v>
      </c>
      <c r="D912">
        <v>3</v>
      </c>
      <c r="E912">
        <v>7</v>
      </c>
      <c r="F912" t="s">
        <v>114</v>
      </c>
      <c r="G912" t="s">
        <v>64</v>
      </c>
      <c r="H912" t="s">
        <v>52</v>
      </c>
      <c r="I912" t="s">
        <v>85</v>
      </c>
      <c r="J912" t="s">
        <v>70</v>
      </c>
      <c r="K912" t="s">
        <v>38</v>
      </c>
      <c r="L912">
        <v>2</v>
      </c>
      <c r="M912">
        <v>818</v>
      </c>
      <c r="N912">
        <v>0</v>
      </c>
      <c r="O912">
        <v>30</v>
      </c>
      <c r="P912">
        <v>1636</v>
      </c>
      <c r="Q912">
        <v>1666</v>
      </c>
      <c r="R912" t="s">
        <v>30</v>
      </c>
      <c r="S912" t="s">
        <v>31</v>
      </c>
      <c r="T912" t="s">
        <v>32</v>
      </c>
      <c r="U912">
        <v>52</v>
      </c>
      <c r="V912">
        <v>4.7</v>
      </c>
      <c r="W912">
        <f>Table2[[#This Row],[Quantity]]*Table2[[#This Row],[Item_Price]]</f>
        <v>1636</v>
      </c>
    </row>
    <row r="913" spans="1:23" x14ac:dyDescent="0.25">
      <c r="A913" t="s">
        <v>1009</v>
      </c>
      <c r="B913" s="1">
        <v>45724</v>
      </c>
      <c r="C913" t="s">
        <v>910</v>
      </c>
      <c r="D913">
        <v>3</v>
      </c>
      <c r="E913">
        <v>8</v>
      </c>
      <c r="F913" t="s">
        <v>134</v>
      </c>
      <c r="G913" t="s">
        <v>25</v>
      </c>
      <c r="H913" t="s">
        <v>65</v>
      </c>
      <c r="I913" t="s">
        <v>36</v>
      </c>
      <c r="J913" t="s">
        <v>53</v>
      </c>
      <c r="K913" t="s">
        <v>38</v>
      </c>
      <c r="L913">
        <v>3</v>
      </c>
      <c r="M913">
        <v>442</v>
      </c>
      <c r="N913">
        <v>22.1</v>
      </c>
      <c r="O913">
        <v>50</v>
      </c>
      <c r="P913">
        <v>1326</v>
      </c>
      <c r="Q913">
        <v>1353.9</v>
      </c>
      <c r="R913" t="s">
        <v>112</v>
      </c>
      <c r="S913" t="s">
        <v>31</v>
      </c>
      <c r="T913" t="s">
        <v>32</v>
      </c>
      <c r="U913">
        <v>43</v>
      </c>
      <c r="V913">
        <v>3.1</v>
      </c>
      <c r="W913">
        <f>Table2[[#This Row],[Quantity]]*Table2[[#This Row],[Item_Price]]</f>
        <v>1326</v>
      </c>
    </row>
    <row r="914" spans="1:23" x14ac:dyDescent="0.25">
      <c r="A914" t="s">
        <v>1010</v>
      </c>
      <c r="B914" s="1">
        <v>45724</v>
      </c>
      <c r="C914" t="s">
        <v>910</v>
      </c>
      <c r="D914">
        <v>3</v>
      </c>
      <c r="E914">
        <v>8</v>
      </c>
      <c r="F914" t="s">
        <v>134</v>
      </c>
      <c r="G914" t="s">
        <v>90</v>
      </c>
      <c r="H914" t="s">
        <v>56</v>
      </c>
      <c r="I914" t="s">
        <v>69</v>
      </c>
      <c r="J914" t="s">
        <v>66</v>
      </c>
      <c r="K914" t="s">
        <v>45</v>
      </c>
      <c r="L914">
        <v>3</v>
      </c>
      <c r="M914">
        <v>537</v>
      </c>
      <c r="N914">
        <v>0</v>
      </c>
      <c r="O914">
        <v>30</v>
      </c>
      <c r="P914">
        <v>1611</v>
      </c>
      <c r="Q914">
        <v>1641</v>
      </c>
      <c r="R914" t="s">
        <v>30</v>
      </c>
      <c r="S914" t="s">
        <v>91</v>
      </c>
      <c r="T914" t="s">
        <v>40</v>
      </c>
      <c r="U914">
        <v>27</v>
      </c>
      <c r="W914">
        <f>Table2[[#This Row],[Quantity]]*Table2[[#This Row],[Item_Price]]</f>
        <v>1611</v>
      </c>
    </row>
    <row r="915" spans="1:23" x14ac:dyDescent="0.25">
      <c r="A915" t="s">
        <v>1011</v>
      </c>
      <c r="B915" s="1">
        <v>45724</v>
      </c>
      <c r="C915" t="s">
        <v>910</v>
      </c>
      <c r="D915">
        <v>3</v>
      </c>
      <c r="E915">
        <v>8</v>
      </c>
      <c r="F915" t="s">
        <v>134</v>
      </c>
      <c r="G915" t="s">
        <v>80</v>
      </c>
      <c r="H915" t="s">
        <v>52</v>
      </c>
      <c r="I915" t="s">
        <v>69</v>
      </c>
      <c r="J915" t="s">
        <v>74</v>
      </c>
      <c r="K915" t="s">
        <v>38</v>
      </c>
      <c r="L915">
        <v>1</v>
      </c>
      <c r="M915">
        <v>505</v>
      </c>
      <c r="N915">
        <v>0</v>
      </c>
      <c r="O915">
        <v>30</v>
      </c>
      <c r="P915">
        <v>505</v>
      </c>
      <c r="Q915">
        <v>535</v>
      </c>
      <c r="R915" t="s">
        <v>112</v>
      </c>
      <c r="S915" t="s">
        <v>31</v>
      </c>
      <c r="T915" t="s">
        <v>32</v>
      </c>
      <c r="U915">
        <v>43</v>
      </c>
      <c r="V915">
        <v>3.8</v>
      </c>
      <c r="W915">
        <f>Table2[[#This Row],[Quantity]]*Table2[[#This Row],[Item_Price]]</f>
        <v>505</v>
      </c>
    </row>
    <row r="916" spans="1:23" x14ac:dyDescent="0.25">
      <c r="A916" t="s">
        <v>1012</v>
      </c>
      <c r="B916" s="1">
        <v>45724</v>
      </c>
      <c r="C916" t="s">
        <v>910</v>
      </c>
      <c r="D916">
        <v>3</v>
      </c>
      <c r="E916">
        <v>8</v>
      </c>
      <c r="F916" t="s">
        <v>134</v>
      </c>
      <c r="G916" t="s">
        <v>115</v>
      </c>
      <c r="H916" t="s">
        <v>65</v>
      </c>
      <c r="I916" t="s">
        <v>36</v>
      </c>
      <c r="J916" t="s">
        <v>74</v>
      </c>
      <c r="K916" t="s">
        <v>29</v>
      </c>
      <c r="L916">
        <v>1</v>
      </c>
      <c r="M916">
        <v>196</v>
      </c>
      <c r="N916">
        <v>0</v>
      </c>
      <c r="O916">
        <v>60</v>
      </c>
      <c r="P916">
        <v>196</v>
      </c>
      <c r="Q916">
        <v>256</v>
      </c>
      <c r="R916" t="s">
        <v>39</v>
      </c>
      <c r="S916" t="s">
        <v>31</v>
      </c>
      <c r="T916" t="s">
        <v>40</v>
      </c>
      <c r="U916">
        <v>38</v>
      </c>
      <c r="V916">
        <v>4.2</v>
      </c>
      <c r="W916">
        <f>Table2[[#This Row],[Quantity]]*Table2[[#This Row],[Item_Price]]</f>
        <v>196</v>
      </c>
    </row>
    <row r="917" spans="1:23" x14ac:dyDescent="0.25">
      <c r="A917" t="s">
        <v>1013</v>
      </c>
      <c r="B917" s="1">
        <v>45724</v>
      </c>
      <c r="C917" t="s">
        <v>910</v>
      </c>
      <c r="D917">
        <v>3</v>
      </c>
      <c r="E917">
        <v>8</v>
      </c>
      <c r="F917" t="s">
        <v>134</v>
      </c>
      <c r="G917" t="s">
        <v>80</v>
      </c>
      <c r="H917" t="s">
        <v>68</v>
      </c>
      <c r="I917" t="s">
        <v>57</v>
      </c>
      <c r="J917" t="s">
        <v>44</v>
      </c>
      <c r="K917" t="s">
        <v>38</v>
      </c>
      <c r="L917">
        <v>1</v>
      </c>
      <c r="M917">
        <v>121</v>
      </c>
      <c r="N917">
        <v>6.05</v>
      </c>
      <c r="O917">
        <v>0</v>
      </c>
      <c r="P917">
        <v>121</v>
      </c>
      <c r="Q917">
        <v>114.95</v>
      </c>
      <c r="R917" t="s">
        <v>39</v>
      </c>
      <c r="S917" t="s">
        <v>31</v>
      </c>
      <c r="T917" t="s">
        <v>40</v>
      </c>
      <c r="U917">
        <v>41</v>
      </c>
      <c r="V917">
        <v>4.3</v>
      </c>
      <c r="W917">
        <f>Table2[[#This Row],[Quantity]]*Table2[[#This Row],[Item_Price]]</f>
        <v>121</v>
      </c>
    </row>
    <row r="918" spans="1:23" x14ac:dyDescent="0.25">
      <c r="A918" t="s">
        <v>1014</v>
      </c>
      <c r="B918" s="1">
        <v>45724</v>
      </c>
      <c r="C918" t="s">
        <v>910</v>
      </c>
      <c r="D918">
        <v>3</v>
      </c>
      <c r="E918">
        <v>8</v>
      </c>
      <c r="F918" t="s">
        <v>134</v>
      </c>
      <c r="G918" t="s">
        <v>25</v>
      </c>
      <c r="H918" t="s">
        <v>42</v>
      </c>
      <c r="I918" t="s">
        <v>103</v>
      </c>
      <c r="J918" t="s">
        <v>74</v>
      </c>
      <c r="K918" t="s">
        <v>45</v>
      </c>
      <c r="L918">
        <v>1</v>
      </c>
      <c r="M918">
        <v>390</v>
      </c>
      <c r="N918">
        <v>78</v>
      </c>
      <c r="O918">
        <v>30</v>
      </c>
      <c r="P918">
        <v>390</v>
      </c>
      <c r="Q918">
        <v>342</v>
      </c>
      <c r="R918" t="s">
        <v>39</v>
      </c>
      <c r="S918" t="s">
        <v>31</v>
      </c>
      <c r="T918" t="s">
        <v>40</v>
      </c>
      <c r="U918">
        <v>25</v>
      </c>
      <c r="V918">
        <v>3.5</v>
      </c>
      <c r="W918">
        <f>Table2[[#This Row],[Quantity]]*Table2[[#This Row],[Item_Price]]</f>
        <v>390</v>
      </c>
    </row>
    <row r="919" spans="1:23" x14ac:dyDescent="0.25">
      <c r="A919" t="s">
        <v>1015</v>
      </c>
      <c r="B919" s="1">
        <v>45724</v>
      </c>
      <c r="C919" t="s">
        <v>910</v>
      </c>
      <c r="D919">
        <v>3</v>
      </c>
      <c r="E919">
        <v>8</v>
      </c>
      <c r="F919" t="s">
        <v>134</v>
      </c>
      <c r="G919" t="s">
        <v>73</v>
      </c>
      <c r="H919" t="s">
        <v>48</v>
      </c>
      <c r="I919" t="s">
        <v>97</v>
      </c>
      <c r="J919" t="s">
        <v>53</v>
      </c>
      <c r="K919" t="s">
        <v>38</v>
      </c>
      <c r="L919">
        <v>3</v>
      </c>
      <c r="M919">
        <v>676</v>
      </c>
      <c r="N919">
        <v>67.599999999999994</v>
      </c>
      <c r="O919">
        <v>40</v>
      </c>
      <c r="P919">
        <v>2028</v>
      </c>
      <c r="Q919">
        <v>2000.4</v>
      </c>
      <c r="R919" t="s">
        <v>112</v>
      </c>
      <c r="S919" t="s">
        <v>31</v>
      </c>
      <c r="T919" t="s">
        <v>32</v>
      </c>
      <c r="U919">
        <v>51</v>
      </c>
      <c r="V919">
        <v>4.3</v>
      </c>
      <c r="W919">
        <f>Table2[[#This Row],[Quantity]]*Table2[[#This Row],[Item_Price]]</f>
        <v>2028</v>
      </c>
    </row>
    <row r="920" spans="1:23" x14ac:dyDescent="0.25">
      <c r="A920" t="s">
        <v>1016</v>
      </c>
      <c r="B920" s="1">
        <v>45724</v>
      </c>
      <c r="C920" t="s">
        <v>910</v>
      </c>
      <c r="D920">
        <v>3</v>
      </c>
      <c r="E920">
        <v>8</v>
      </c>
      <c r="F920" t="s">
        <v>134</v>
      </c>
      <c r="G920" t="s">
        <v>115</v>
      </c>
      <c r="H920" t="s">
        <v>81</v>
      </c>
      <c r="I920" t="s">
        <v>43</v>
      </c>
      <c r="J920" t="s">
        <v>119</v>
      </c>
      <c r="K920" t="s">
        <v>58</v>
      </c>
      <c r="L920">
        <v>1</v>
      </c>
      <c r="M920">
        <v>884</v>
      </c>
      <c r="N920">
        <v>88.4</v>
      </c>
      <c r="O920">
        <v>30</v>
      </c>
      <c r="P920">
        <v>884</v>
      </c>
      <c r="Q920">
        <v>825.6</v>
      </c>
      <c r="R920" t="s">
        <v>39</v>
      </c>
      <c r="S920" t="s">
        <v>31</v>
      </c>
      <c r="T920" t="s">
        <v>40</v>
      </c>
      <c r="U920">
        <v>48</v>
      </c>
      <c r="V920">
        <v>4</v>
      </c>
      <c r="W920">
        <f>Table2[[#This Row],[Quantity]]*Table2[[#This Row],[Item_Price]]</f>
        <v>884</v>
      </c>
    </row>
    <row r="921" spans="1:23" x14ac:dyDescent="0.25">
      <c r="A921" t="s">
        <v>1017</v>
      </c>
      <c r="B921" s="1">
        <v>45724</v>
      </c>
      <c r="C921" t="s">
        <v>910</v>
      </c>
      <c r="D921">
        <v>3</v>
      </c>
      <c r="E921">
        <v>8</v>
      </c>
      <c r="F921" t="s">
        <v>134</v>
      </c>
      <c r="G921" t="s">
        <v>80</v>
      </c>
      <c r="H921" t="s">
        <v>65</v>
      </c>
      <c r="I921" t="s">
        <v>103</v>
      </c>
      <c r="J921" t="s">
        <v>53</v>
      </c>
      <c r="K921" t="s">
        <v>29</v>
      </c>
      <c r="L921">
        <v>2</v>
      </c>
      <c r="M921">
        <v>554</v>
      </c>
      <c r="N921">
        <v>27.7</v>
      </c>
      <c r="O921">
        <v>40</v>
      </c>
      <c r="P921">
        <v>1108</v>
      </c>
      <c r="Q921">
        <v>1120.3</v>
      </c>
      <c r="R921" t="s">
        <v>30</v>
      </c>
      <c r="S921" t="s">
        <v>31</v>
      </c>
      <c r="T921" t="s">
        <v>40</v>
      </c>
      <c r="U921">
        <v>19</v>
      </c>
      <c r="V921">
        <v>3.9</v>
      </c>
      <c r="W921">
        <f>Table2[[#This Row],[Quantity]]*Table2[[#This Row],[Item_Price]]</f>
        <v>1108</v>
      </c>
    </row>
    <row r="922" spans="1:23" x14ac:dyDescent="0.25">
      <c r="A922" t="s">
        <v>1018</v>
      </c>
      <c r="B922" s="1">
        <v>45725</v>
      </c>
      <c r="C922" t="s">
        <v>910</v>
      </c>
      <c r="D922">
        <v>3</v>
      </c>
      <c r="E922">
        <v>9</v>
      </c>
      <c r="F922" t="s">
        <v>149</v>
      </c>
      <c r="G922" t="s">
        <v>25</v>
      </c>
      <c r="H922" t="s">
        <v>108</v>
      </c>
      <c r="I922" t="s">
        <v>36</v>
      </c>
      <c r="J922" t="s">
        <v>101</v>
      </c>
      <c r="K922" t="s">
        <v>38</v>
      </c>
      <c r="L922">
        <v>1</v>
      </c>
      <c r="M922">
        <v>370</v>
      </c>
      <c r="N922">
        <v>18.5</v>
      </c>
      <c r="O922">
        <v>30</v>
      </c>
      <c r="P922">
        <v>370</v>
      </c>
      <c r="Q922">
        <v>381.5</v>
      </c>
      <c r="R922" t="s">
        <v>30</v>
      </c>
      <c r="S922" t="s">
        <v>31</v>
      </c>
      <c r="T922" t="s">
        <v>40</v>
      </c>
      <c r="U922">
        <v>45</v>
      </c>
      <c r="V922">
        <v>3.5</v>
      </c>
      <c r="W922">
        <f>Table2[[#This Row],[Quantity]]*Table2[[#This Row],[Item_Price]]</f>
        <v>370</v>
      </c>
    </row>
    <row r="923" spans="1:23" x14ac:dyDescent="0.25">
      <c r="A923" t="s">
        <v>1019</v>
      </c>
      <c r="B923" s="1">
        <v>45725</v>
      </c>
      <c r="C923" t="s">
        <v>910</v>
      </c>
      <c r="D923">
        <v>3</v>
      </c>
      <c r="E923">
        <v>9</v>
      </c>
      <c r="F923" t="s">
        <v>149</v>
      </c>
      <c r="G923" t="s">
        <v>25</v>
      </c>
      <c r="H923" t="s">
        <v>139</v>
      </c>
      <c r="I923" t="s">
        <v>97</v>
      </c>
      <c r="J923" t="s">
        <v>37</v>
      </c>
      <c r="K923" t="s">
        <v>38</v>
      </c>
      <c r="L923">
        <v>3</v>
      </c>
      <c r="M923">
        <v>849</v>
      </c>
      <c r="N923">
        <v>169.8</v>
      </c>
      <c r="O923">
        <v>70</v>
      </c>
      <c r="P923">
        <v>2547</v>
      </c>
      <c r="Q923">
        <v>2447.1999999999998</v>
      </c>
      <c r="R923" t="s">
        <v>75</v>
      </c>
      <c r="S923" t="s">
        <v>31</v>
      </c>
      <c r="T923" t="s">
        <v>32</v>
      </c>
      <c r="U923">
        <v>43</v>
      </c>
      <c r="V923">
        <v>4.3</v>
      </c>
      <c r="W923">
        <f>Table2[[#This Row],[Quantity]]*Table2[[#This Row],[Item_Price]]</f>
        <v>2547</v>
      </c>
    </row>
    <row r="924" spans="1:23" x14ac:dyDescent="0.25">
      <c r="A924" t="s">
        <v>1020</v>
      </c>
      <c r="B924" s="1">
        <v>45725</v>
      </c>
      <c r="C924" t="s">
        <v>910</v>
      </c>
      <c r="D924">
        <v>3</v>
      </c>
      <c r="E924">
        <v>9</v>
      </c>
      <c r="F924" t="s">
        <v>149</v>
      </c>
      <c r="G924" t="s">
        <v>115</v>
      </c>
      <c r="H924" t="s">
        <v>105</v>
      </c>
      <c r="I924" t="s">
        <v>61</v>
      </c>
      <c r="J924" t="s">
        <v>101</v>
      </c>
      <c r="K924" t="s">
        <v>45</v>
      </c>
      <c r="L924">
        <v>2</v>
      </c>
      <c r="M924">
        <v>445</v>
      </c>
      <c r="N924">
        <v>22.25</v>
      </c>
      <c r="O924">
        <v>30</v>
      </c>
      <c r="P924">
        <v>890</v>
      </c>
      <c r="Q924">
        <v>897.75</v>
      </c>
      <c r="R924" t="s">
        <v>39</v>
      </c>
      <c r="S924" t="s">
        <v>91</v>
      </c>
      <c r="T924" t="s">
        <v>40</v>
      </c>
      <c r="U924">
        <v>50</v>
      </c>
      <c r="W924">
        <f>Table2[[#This Row],[Quantity]]*Table2[[#This Row],[Item_Price]]</f>
        <v>890</v>
      </c>
    </row>
    <row r="925" spans="1:23" x14ac:dyDescent="0.25">
      <c r="A925" t="s">
        <v>1021</v>
      </c>
      <c r="B925" s="1">
        <v>45725</v>
      </c>
      <c r="C925" t="s">
        <v>910</v>
      </c>
      <c r="D925">
        <v>3</v>
      </c>
      <c r="E925">
        <v>9</v>
      </c>
      <c r="F925" t="s">
        <v>149</v>
      </c>
      <c r="G925" t="s">
        <v>64</v>
      </c>
      <c r="H925" t="s">
        <v>108</v>
      </c>
      <c r="I925" t="s">
        <v>49</v>
      </c>
      <c r="J925" t="s">
        <v>53</v>
      </c>
      <c r="K925" t="s">
        <v>38</v>
      </c>
      <c r="L925">
        <v>1</v>
      </c>
      <c r="M925">
        <v>660</v>
      </c>
      <c r="N925">
        <v>66</v>
      </c>
      <c r="O925">
        <v>50</v>
      </c>
      <c r="P925">
        <v>660</v>
      </c>
      <c r="Q925">
        <v>644</v>
      </c>
      <c r="R925" t="s">
        <v>30</v>
      </c>
      <c r="S925" t="s">
        <v>31</v>
      </c>
      <c r="T925" t="s">
        <v>40</v>
      </c>
      <c r="U925">
        <v>63</v>
      </c>
      <c r="V925">
        <v>4.5999999999999996</v>
      </c>
      <c r="W925">
        <f>Table2[[#This Row],[Quantity]]*Table2[[#This Row],[Item_Price]]</f>
        <v>660</v>
      </c>
    </row>
    <row r="926" spans="1:23" x14ac:dyDescent="0.25">
      <c r="A926" t="s">
        <v>1022</v>
      </c>
      <c r="B926" s="1">
        <v>45725</v>
      </c>
      <c r="C926" t="s">
        <v>910</v>
      </c>
      <c r="D926">
        <v>3</v>
      </c>
      <c r="E926">
        <v>9</v>
      </c>
      <c r="F926" t="s">
        <v>149</v>
      </c>
      <c r="G926" t="s">
        <v>84</v>
      </c>
      <c r="H926" t="s">
        <v>35</v>
      </c>
      <c r="I926" t="s">
        <v>49</v>
      </c>
      <c r="J926" t="s">
        <v>74</v>
      </c>
      <c r="K926" t="s">
        <v>38</v>
      </c>
      <c r="L926">
        <v>2</v>
      </c>
      <c r="M926">
        <v>894</v>
      </c>
      <c r="N926">
        <v>44.7</v>
      </c>
      <c r="O926">
        <v>40</v>
      </c>
      <c r="P926">
        <v>1788</v>
      </c>
      <c r="Q926">
        <v>1783.3</v>
      </c>
      <c r="R926" t="s">
        <v>112</v>
      </c>
      <c r="S926" t="s">
        <v>91</v>
      </c>
      <c r="T926" t="s">
        <v>40</v>
      </c>
      <c r="U926">
        <v>40</v>
      </c>
      <c r="W926">
        <f>Table2[[#This Row],[Quantity]]*Table2[[#This Row],[Item_Price]]</f>
        <v>1788</v>
      </c>
    </row>
    <row r="927" spans="1:23" x14ac:dyDescent="0.25">
      <c r="A927" t="s">
        <v>1023</v>
      </c>
      <c r="B927" s="1">
        <v>45725</v>
      </c>
      <c r="C927" t="s">
        <v>910</v>
      </c>
      <c r="D927">
        <v>3</v>
      </c>
      <c r="E927">
        <v>9</v>
      </c>
      <c r="F927" t="s">
        <v>149</v>
      </c>
      <c r="G927" t="s">
        <v>96</v>
      </c>
      <c r="H927" t="s">
        <v>68</v>
      </c>
      <c r="I927" t="s">
        <v>69</v>
      </c>
      <c r="J927" t="s">
        <v>172</v>
      </c>
      <c r="K927" t="s">
        <v>38</v>
      </c>
      <c r="L927">
        <v>2</v>
      </c>
      <c r="M927">
        <v>427</v>
      </c>
      <c r="N927">
        <v>85.4</v>
      </c>
      <c r="O927">
        <v>60</v>
      </c>
      <c r="P927">
        <v>854</v>
      </c>
      <c r="Q927">
        <v>828.6</v>
      </c>
      <c r="R927" t="s">
        <v>112</v>
      </c>
      <c r="S927" t="s">
        <v>31</v>
      </c>
      <c r="T927" t="s">
        <v>32</v>
      </c>
      <c r="U927">
        <v>39</v>
      </c>
      <c r="V927">
        <v>4.5</v>
      </c>
      <c r="W927">
        <f>Table2[[#This Row],[Quantity]]*Table2[[#This Row],[Item_Price]]</f>
        <v>854</v>
      </c>
    </row>
    <row r="928" spans="1:23" x14ac:dyDescent="0.25">
      <c r="A928" t="s">
        <v>1024</v>
      </c>
      <c r="B928" s="1">
        <v>45725</v>
      </c>
      <c r="C928" t="s">
        <v>910</v>
      </c>
      <c r="D928">
        <v>3</v>
      </c>
      <c r="E928">
        <v>9</v>
      </c>
      <c r="F928" t="s">
        <v>149</v>
      </c>
      <c r="G928" t="s">
        <v>115</v>
      </c>
      <c r="H928" t="s">
        <v>105</v>
      </c>
      <c r="I928" t="s">
        <v>61</v>
      </c>
      <c r="J928" t="s">
        <v>172</v>
      </c>
      <c r="K928" t="s">
        <v>38</v>
      </c>
      <c r="L928">
        <v>3</v>
      </c>
      <c r="M928">
        <v>594</v>
      </c>
      <c r="N928">
        <v>0</v>
      </c>
      <c r="O928">
        <v>30</v>
      </c>
      <c r="P928">
        <v>1782</v>
      </c>
      <c r="Q928">
        <v>1812</v>
      </c>
      <c r="R928" t="s">
        <v>39</v>
      </c>
      <c r="S928" t="s">
        <v>46</v>
      </c>
      <c r="T928" t="s">
        <v>40</v>
      </c>
      <c r="U928">
        <v>26</v>
      </c>
      <c r="W928">
        <f>Table2[[#This Row],[Quantity]]*Table2[[#This Row],[Item_Price]]</f>
        <v>1782</v>
      </c>
    </row>
    <row r="929" spans="1:23" x14ac:dyDescent="0.25">
      <c r="A929" t="s">
        <v>1025</v>
      </c>
      <c r="B929" s="1">
        <v>45725</v>
      </c>
      <c r="C929" t="s">
        <v>910</v>
      </c>
      <c r="D929">
        <v>3</v>
      </c>
      <c r="E929">
        <v>9</v>
      </c>
      <c r="F929" t="s">
        <v>149</v>
      </c>
      <c r="G929" t="s">
        <v>34</v>
      </c>
      <c r="H929" t="s">
        <v>139</v>
      </c>
      <c r="I929" t="s">
        <v>103</v>
      </c>
      <c r="J929" t="s">
        <v>37</v>
      </c>
      <c r="K929" t="s">
        <v>38</v>
      </c>
      <c r="L929">
        <v>2</v>
      </c>
      <c r="M929">
        <v>222</v>
      </c>
      <c r="N929">
        <v>22.2</v>
      </c>
      <c r="O929">
        <v>20</v>
      </c>
      <c r="P929">
        <v>444</v>
      </c>
      <c r="Q929">
        <v>441.8</v>
      </c>
      <c r="R929" t="s">
        <v>75</v>
      </c>
      <c r="S929" t="s">
        <v>31</v>
      </c>
      <c r="T929" t="s">
        <v>40</v>
      </c>
      <c r="U929">
        <v>56</v>
      </c>
      <c r="V929">
        <v>4.5999999999999996</v>
      </c>
      <c r="W929">
        <f>Table2[[#This Row],[Quantity]]*Table2[[#This Row],[Item_Price]]</f>
        <v>444</v>
      </c>
    </row>
    <row r="930" spans="1:23" x14ac:dyDescent="0.25">
      <c r="A930" t="s">
        <v>1026</v>
      </c>
      <c r="B930" s="1">
        <v>45725</v>
      </c>
      <c r="C930" t="s">
        <v>910</v>
      </c>
      <c r="D930">
        <v>3</v>
      </c>
      <c r="E930">
        <v>9</v>
      </c>
      <c r="F930" t="s">
        <v>149</v>
      </c>
      <c r="G930" t="s">
        <v>34</v>
      </c>
      <c r="H930" t="s">
        <v>35</v>
      </c>
      <c r="I930" t="s">
        <v>43</v>
      </c>
      <c r="J930" t="s">
        <v>70</v>
      </c>
      <c r="K930" t="s">
        <v>45</v>
      </c>
      <c r="L930">
        <v>2</v>
      </c>
      <c r="M930">
        <v>523</v>
      </c>
      <c r="N930">
        <v>26.15</v>
      </c>
      <c r="O930">
        <v>0</v>
      </c>
      <c r="P930">
        <v>1046</v>
      </c>
      <c r="Q930">
        <v>1019.85</v>
      </c>
      <c r="R930" t="s">
        <v>98</v>
      </c>
      <c r="S930" t="s">
        <v>31</v>
      </c>
      <c r="T930" t="s">
        <v>40</v>
      </c>
      <c r="U930">
        <v>63</v>
      </c>
      <c r="V930">
        <v>4.3</v>
      </c>
      <c r="W930">
        <f>Table2[[#This Row],[Quantity]]*Table2[[#This Row],[Item_Price]]</f>
        <v>1046</v>
      </c>
    </row>
    <row r="931" spans="1:23" x14ac:dyDescent="0.25">
      <c r="A931" t="s">
        <v>1027</v>
      </c>
      <c r="B931" s="1">
        <v>45725</v>
      </c>
      <c r="C931" t="s">
        <v>910</v>
      </c>
      <c r="D931">
        <v>3</v>
      </c>
      <c r="E931">
        <v>9</v>
      </c>
      <c r="F931" t="s">
        <v>149</v>
      </c>
      <c r="G931" t="s">
        <v>80</v>
      </c>
      <c r="H931" t="s">
        <v>135</v>
      </c>
      <c r="I931" t="s">
        <v>61</v>
      </c>
      <c r="J931" t="s">
        <v>50</v>
      </c>
      <c r="K931" t="s">
        <v>45</v>
      </c>
      <c r="L931">
        <v>1</v>
      </c>
      <c r="M931">
        <v>346</v>
      </c>
      <c r="N931">
        <v>17.3</v>
      </c>
      <c r="O931">
        <v>30</v>
      </c>
      <c r="P931">
        <v>346</v>
      </c>
      <c r="Q931">
        <v>358.7</v>
      </c>
      <c r="R931" t="s">
        <v>39</v>
      </c>
      <c r="S931" t="s">
        <v>31</v>
      </c>
      <c r="T931" t="s">
        <v>40</v>
      </c>
      <c r="U931">
        <v>42</v>
      </c>
      <c r="V931">
        <v>4.7</v>
      </c>
      <c r="W931">
        <f>Table2[[#This Row],[Quantity]]*Table2[[#This Row],[Item_Price]]</f>
        <v>346</v>
      </c>
    </row>
    <row r="932" spans="1:23" x14ac:dyDescent="0.25">
      <c r="A932" t="s">
        <v>1028</v>
      </c>
      <c r="B932" s="1">
        <v>45725</v>
      </c>
      <c r="C932" t="s">
        <v>910</v>
      </c>
      <c r="D932">
        <v>3</v>
      </c>
      <c r="E932">
        <v>9</v>
      </c>
      <c r="F932" t="s">
        <v>149</v>
      </c>
      <c r="G932" t="s">
        <v>55</v>
      </c>
      <c r="H932" t="s">
        <v>52</v>
      </c>
      <c r="I932" t="s">
        <v>69</v>
      </c>
      <c r="J932" t="s">
        <v>66</v>
      </c>
      <c r="K932" t="s">
        <v>38</v>
      </c>
      <c r="L932">
        <v>1</v>
      </c>
      <c r="M932">
        <v>211</v>
      </c>
      <c r="N932">
        <v>31.65</v>
      </c>
      <c r="O932">
        <v>20</v>
      </c>
      <c r="P932">
        <v>211</v>
      </c>
      <c r="Q932">
        <v>199.35</v>
      </c>
      <c r="R932" t="s">
        <v>112</v>
      </c>
      <c r="S932" t="s">
        <v>31</v>
      </c>
      <c r="T932" t="s">
        <v>32</v>
      </c>
      <c r="U932">
        <v>59</v>
      </c>
      <c r="V932">
        <v>4.5999999999999996</v>
      </c>
      <c r="W932">
        <f>Table2[[#This Row],[Quantity]]*Table2[[#This Row],[Item_Price]]</f>
        <v>211</v>
      </c>
    </row>
    <row r="933" spans="1:23" x14ac:dyDescent="0.25">
      <c r="A933" t="s">
        <v>1029</v>
      </c>
      <c r="B933" s="1">
        <v>45725</v>
      </c>
      <c r="C933" t="s">
        <v>910</v>
      </c>
      <c r="D933">
        <v>3</v>
      </c>
      <c r="E933">
        <v>9</v>
      </c>
      <c r="F933" t="s">
        <v>149</v>
      </c>
      <c r="G933" t="s">
        <v>96</v>
      </c>
      <c r="H933" t="s">
        <v>68</v>
      </c>
      <c r="I933" t="s">
        <v>61</v>
      </c>
      <c r="J933" t="s">
        <v>82</v>
      </c>
      <c r="K933" t="s">
        <v>29</v>
      </c>
      <c r="L933">
        <v>2</v>
      </c>
      <c r="M933">
        <v>582</v>
      </c>
      <c r="N933">
        <v>29.1</v>
      </c>
      <c r="O933">
        <v>20</v>
      </c>
      <c r="P933">
        <v>1164</v>
      </c>
      <c r="Q933">
        <v>1154.9000000000001</v>
      </c>
      <c r="R933" t="s">
        <v>30</v>
      </c>
      <c r="S933" t="s">
        <v>31</v>
      </c>
      <c r="T933" t="s">
        <v>40</v>
      </c>
      <c r="U933">
        <v>28</v>
      </c>
      <c r="V933">
        <v>4.0999999999999996</v>
      </c>
      <c r="W933">
        <f>Table2[[#This Row],[Quantity]]*Table2[[#This Row],[Item_Price]]</f>
        <v>1164</v>
      </c>
    </row>
    <row r="934" spans="1:23" x14ac:dyDescent="0.25">
      <c r="A934" t="s">
        <v>1030</v>
      </c>
      <c r="B934" s="1">
        <v>45725</v>
      </c>
      <c r="C934" t="s">
        <v>910</v>
      </c>
      <c r="D934">
        <v>3</v>
      </c>
      <c r="E934">
        <v>9</v>
      </c>
      <c r="F934" t="s">
        <v>149</v>
      </c>
      <c r="G934" t="s">
        <v>96</v>
      </c>
      <c r="H934" t="s">
        <v>81</v>
      </c>
      <c r="I934" t="s">
        <v>69</v>
      </c>
      <c r="J934" t="s">
        <v>74</v>
      </c>
      <c r="K934" t="s">
        <v>38</v>
      </c>
      <c r="L934">
        <v>2</v>
      </c>
      <c r="M934">
        <v>333</v>
      </c>
      <c r="N934">
        <v>0</v>
      </c>
      <c r="O934">
        <v>60</v>
      </c>
      <c r="P934">
        <v>666</v>
      </c>
      <c r="Q934">
        <v>726</v>
      </c>
      <c r="R934" t="s">
        <v>98</v>
      </c>
      <c r="S934" t="s">
        <v>31</v>
      </c>
      <c r="T934" t="s">
        <v>40</v>
      </c>
      <c r="U934">
        <v>35</v>
      </c>
      <c r="V934">
        <v>4.5999999999999996</v>
      </c>
      <c r="W934">
        <f>Table2[[#This Row],[Quantity]]*Table2[[#This Row],[Item_Price]]</f>
        <v>666</v>
      </c>
    </row>
    <row r="935" spans="1:23" x14ac:dyDescent="0.25">
      <c r="A935" t="s">
        <v>1031</v>
      </c>
      <c r="B935" s="1">
        <v>45725</v>
      </c>
      <c r="C935" t="s">
        <v>910</v>
      </c>
      <c r="D935">
        <v>3</v>
      </c>
      <c r="E935">
        <v>9</v>
      </c>
      <c r="F935" t="s">
        <v>149</v>
      </c>
      <c r="G935" t="s">
        <v>80</v>
      </c>
      <c r="H935" t="s">
        <v>81</v>
      </c>
      <c r="I935" t="s">
        <v>49</v>
      </c>
      <c r="J935" t="s">
        <v>28</v>
      </c>
      <c r="K935" t="s">
        <v>38</v>
      </c>
      <c r="L935">
        <v>1</v>
      </c>
      <c r="M935">
        <v>408</v>
      </c>
      <c r="N935">
        <v>20.399999999999999</v>
      </c>
      <c r="O935">
        <v>70</v>
      </c>
      <c r="P935">
        <v>408</v>
      </c>
      <c r="Q935">
        <v>457.6</v>
      </c>
      <c r="R935" t="s">
        <v>39</v>
      </c>
      <c r="S935" t="s">
        <v>110</v>
      </c>
      <c r="T935" t="s">
        <v>32</v>
      </c>
      <c r="U935">
        <v>46</v>
      </c>
      <c r="W935">
        <f>Table2[[#This Row],[Quantity]]*Table2[[#This Row],[Item_Price]]</f>
        <v>408</v>
      </c>
    </row>
    <row r="936" spans="1:23" x14ac:dyDescent="0.25">
      <c r="A936" t="s">
        <v>1032</v>
      </c>
      <c r="B936" s="1">
        <v>45726</v>
      </c>
      <c r="C936" t="s">
        <v>910</v>
      </c>
      <c r="D936">
        <v>3</v>
      </c>
      <c r="E936">
        <v>10</v>
      </c>
      <c r="F936" t="s">
        <v>168</v>
      </c>
      <c r="G936" t="s">
        <v>115</v>
      </c>
      <c r="H936" t="s">
        <v>108</v>
      </c>
      <c r="I936" t="s">
        <v>103</v>
      </c>
      <c r="J936" t="s">
        <v>123</v>
      </c>
      <c r="K936" t="s">
        <v>38</v>
      </c>
      <c r="L936">
        <v>3</v>
      </c>
      <c r="M936">
        <v>324</v>
      </c>
      <c r="N936">
        <v>16.2</v>
      </c>
      <c r="O936">
        <v>30</v>
      </c>
      <c r="P936">
        <v>972</v>
      </c>
      <c r="Q936">
        <v>985.8</v>
      </c>
      <c r="R936" t="s">
        <v>75</v>
      </c>
      <c r="S936" t="s">
        <v>31</v>
      </c>
      <c r="T936" t="s">
        <v>40</v>
      </c>
      <c r="U936">
        <v>41</v>
      </c>
      <c r="V936">
        <v>3.3</v>
      </c>
      <c r="W936">
        <f>Table2[[#This Row],[Quantity]]*Table2[[#This Row],[Item_Price]]</f>
        <v>972</v>
      </c>
    </row>
    <row r="937" spans="1:23" x14ac:dyDescent="0.25">
      <c r="A937" t="s">
        <v>1033</v>
      </c>
      <c r="B937" s="1">
        <v>45726</v>
      </c>
      <c r="C937" t="s">
        <v>910</v>
      </c>
      <c r="D937">
        <v>3</v>
      </c>
      <c r="E937">
        <v>10</v>
      </c>
      <c r="F937" t="s">
        <v>168</v>
      </c>
      <c r="G937" t="s">
        <v>64</v>
      </c>
      <c r="H937" t="s">
        <v>77</v>
      </c>
      <c r="I937" t="s">
        <v>85</v>
      </c>
      <c r="J937" t="s">
        <v>119</v>
      </c>
      <c r="K937" t="s">
        <v>38</v>
      </c>
      <c r="L937">
        <v>3</v>
      </c>
      <c r="M937">
        <v>521</v>
      </c>
      <c r="N937">
        <v>104.2</v>
      </c>
      <c r="O937">
        <v>40</v>
      </c>
      <c r="P937">
        <v>1563</v>
      </c>
      <c r="Q937">
        <v>1498.8</v>
      </c>
      <c r="R937" t="s">
        <v>39</v>
      </c>
      <c r="S937" t="s">
        <v>31</v>
      </c>
      <c r="T937" t="s">
        <v>40</v>
      </c>
      <c r="U937">
        <v>26</v>
      </c>
      <c r="V937">
        <v>3.8</v>
      </c>
      <c r="W937">
        <f>Table2[[#This Row],[Quantity]]*Table2[[#This Row],[Item_Price]]</f>
        <v>1563</v>
      </c>
    </row>
    <row r="938" spans="1:23" x14ac:dyDescent="0.25">
      <c r="A938" t="s">
        <v>1034</v>
      </c>
      <c r="B938" s="1">
        <v>45726</v>
      </c>
      <c r="C938" t="s">
        <v>910</v>
      </c>
      <c r="D938">
        <v>3</v>
      </c>
      <c r="E938">
        <v>10</v>
      </c>
      <c r="F938" t="s">
        <v>168</v>
      </c>
      <c r="G938" t="s">
        <v>73</v>
      </c>
      <c r="H938" t="s">
        <v>68</v>
      </c>
      <c r="I938" t="s">
        <v>97</v>
      </c>
      <c r="J938" t="s">
        <v>62</v>
      </c>
      <c r="K938" t="s">
        <v>45</v>
      </c>
      <c r="L938">
        <v>1</v>
      </c>
      <c r="M938">
        <v>685</v>
      </c>
      <c r="N938">
        <v>68.5</v>
      </c>
      <c r="O938">
        <v>40</v>
      </c>
      <c r="P938">
        <v>685</v>
      </c>
      <c r="Q938">
        <v>656.5</v>
      </c>
      <c r="R938" t="s">
        <v>30</v>
      </c>
      <c r="S938" t="s">
        <v>31</v>
      </c>
      <c r="T938" t="s">
        <v>32</v>
      </c>
      <c r="U938">
        <v>29</v>
      </c>
      <c r="V938">
        <v>4.2</v>
      </c>
      <c r="W938">
        <f>Table2[[#This Row],[Quantity]]*Table2[[#This Row],[Item_Price]]</f>
        <v>685</v>
      </c>
    </row>
    <row r="939" spans="1:23" x14ac:dyDescent="0.25">
      <c r="A939" t="s">
        <v>1035</v>
      </c>
      <c r="B939" s="1">
        <v>45726</v>
      </c>
      <c r="C939" t="s">
        <v>910</v>
      </c>
      <c r="D939">
        <v>3</v>
      </c>
      <c r="E939">
        <v>10</v>
      </c>
      <c r="F939" t="s">
        <v>168</v>
      </c>
      <c r="G939" t="s">
        <v>84</v>
      </c>
      <c r="H939" t="s">
        <v>81</v>
      </c>
      <c r="I939" t="s">
        <v>49</v>
      </c>
      <c r="J939" t="s">
        <v>28</v>
      </c>
      <c r="K939" t="s">
        <v>58</v>
      </c>
      <c r="L939">
        <v>1</v>
      </c>
      <c r="M939">
        <v>754</v>
      </c>
      <c r="N939">
        <v>37.700000000000003</v>
      </c>
      <c r="O939">
        <v>50</v>
      </c>
      <c r="P939">
        <v>754</v>
      </c>
      <c r="Q939">
        <v>766.3</v>
      </c>
      <c r="R939" t="s">
        <v>98</v>
      </c>
      <c r="S939" t="s">
        <v>91</v>
      </c>
      <c r="T939" t="s">
        <v>40</v>
      </c>
      <c r="U939">
        <v>30</v>
      </c>
      <c r="W939">
        <f>Table2[[#This Row],[Quantity]]*Table2[[#This Row],[Item_Price]]</f>
        <v>754</v>
      </c>
    </row>
    <row r="940" spans="1:23" x14ac:dyDescent="0.25">
      <c r="A940" t="s">
        <v>1036</v>
      </c>
      <c r="B940" s="1">
        <v>45726</v>
      </c>
      <c r="C940" t="s">
        <v>910</v>
      </c>
      <c r="D940">
        <v>3</v>
      </c>
      <c r="E940">
        <v>10</v>
      </c>
      <c r="F940" t="s">
        <v>168</v>
      </c>
      <c r="G940" t="s">
        <v>34</v>
      </c>
      <c r="H940" t="s">
        <v>105</v>
      </c>
      <c r="I940" t="s">
        <v>43</v>
      </c>
      <c r="J940" t="s">
        <v>119</v>
      </c>
      <c r="K940" t="s">
        <v>38</v>
      </c>
      <c r="L940">
        <v>1</v>
      </c>
      <c r="M940">
        <v>525</v>
      </c>
      <c r="N940">
        <v>0</v>
      </c>
      <c r="O940">
        <v>30</v>
      </c>
      <c r="P940">
        <v>525</v>
      </c>
      <c r="Q940">
        <v>555</v>
      </c>
      <c r="R940" t="s">
        <v>39</v>
      </c>
      <c r="S940" t="s">
        <v>91</v>
      </c>
      <c r="T940" t="s">
        <v>32</v>
      </c>
      <c r="U940">
        <v>37</v>
      </c>
      <c r="W940">
        <f>Table2[[#This Row],[Quantity]]*Table2[[#This Row],[Item_Price]]</f>
        <v>525</v>
      </c>
    </row>
    <row r="941" spans="1:23" x14ac:dyDescent="0.25">
      <c r="A941" t="s">
        <v>1037</v>
      </c>
      <c r="B941" s="1">
        <v>45726</v>
      </c>
      <c r="C941" t="s">
        <v>910</v>
      </c>
      <c r="D941">
        <v>3</v>
      </c>
      <c r="E941">
        <v>10</v>
      </c>
      <c r="F941" t="s">
        <v>168</v>
      </c>
      <c r="G941" t="s">
        <v>80</v>
      </c>
      <c r="H941" t="s">
        <v>26</v>
      </c>
      <c r="I941" t="s">
        <v>49</v>
      </c>
      <c r="J941" t="s">
        <v>94</v>
      </c>
      <c r="K941" t="s">
        <v>38</v>
      </c>
      <c r="L941">
        <v>1</v>
      </c>
      <c r="M941">
        <v>239</v>
      </c>
      <c r="N941">
        <v>23.9</v>
      </c>
      <c r="O941">
        <v>40</v>
      </c>
      <c r="P941">
        <v>239</v>
      </c>
      <c r="Q941">
        <v>255.1</v>
      </c>
      <c r="R941" t="s">
        <v>39</v>
      </c>
      <c r="S941" t="s">
        <v>31</v>
      </c>
      <c r="T941" t="s">
        <v>40</v>
      </c>
      <c r="U941">
        <v>29</v>
      </c>
      <c r="V941">
        <v>4.3</v>
      </c>
      <c r="W941">
        <f>Table2[[#This Row],[Quantity]]*Table2[[#This Row],[Item_Price]]</f>
        <v>239</v>
      </c>
    </row>
    <row r="942" spans="1:23" x14ac:dyDescent="0.25">
      <c r="A942" t="s">
        <v>1038</v>
      </c>
      <c r="B942" s="1">
        <v>45726</v>
      </c>
      <c r="C942" t="s">
        <v>910</v>
      </c>
      <c r="D942">
        <v>3</v>
      </c>
      <c r="E942">
        <v>10</v>
      </c>
      <c r="F942" t="s">
        <v>168</v>
      </c>
      <c r="G942" t="s">
        <v>55</v>
      </c>
      <c r="H942" t="s">
        <v>81</v>
      </c>
      <c r="I942" t="s">
        <v>85</v>
      </c>
      <c r="J942" t="s">
        <v>62</v>
      </c>
      <c r="K942" t="s">
        <v>38</v>
      </c>
      <c r="L942">
        <v>3</v>
      </c>
      <c r="M942">
        <v>126</v>
      </c>
      <c r="N942">
        <v>18.899999999999999</v>
      </c>
      <c r="O942">
        <v>50</v>
      </c>
      <c r="P942">
        <v>378</v>
      </c>
      <c r="Q942">
        <v>409.1</v>
      </c>
      <c r="R942" t="s">
        <v>30</v>
      </c>
      <c r="S942" t="s">
        <v>31</v>
      </c>
      <c r="T942" t="s">
        <v>40</v>
      </c>
      <c r="U942">
        <v>65</v>
      </c>
      <c r="V942">
        <v>3.1</v>
      </c>
      <c r="W942">
        <f>Table2[[#This Row],[Quantity]]*Table2[[#This Row],[Item_Price]]</f>
        <v>378</v>
      </c>
    </row>
    <row r="943" spans="1:23" x14ac:dyDescent="0.25">
      <c r="A943" t="s">
        <v>1039</v>
      </c>
      <c r="B943" s="1">
        <v>45726</v>
      </c>
      <c r="C943" t="s">
        <v>910</v>
      </c>
      <c r="D943">
        <v>3</v>
      </c>
      <c r="E943">
        <v>10</v>
      </c>
      <c r="F943" t="s">
        <v>168</v>
      </c>
      <c r="G943" t="s">
        <v>73</v>
      </c>
      <c r="H943" t="s">
        <v>60</v>
      </c>
      <c r="I943" t="s">
        <v>36</v>
      </c>
      <c r="J943" t="s">
        <v>94</v>
      </c>
      <c r="K943" t="s">
        <v>38</v>
      </c>
      <c r="L943">
        <v>1</v>
      </c>
      <c r="M943">
        <v>886</v>
      </c>
      <c r="N943">
        <v>88.6</v>
      </c>
      <c r="O943">
        <v>40</v>
      </c>
      <c r="P943">
        <v>886</v>
      </c>
      <c r="Q943">
        <v>837.4</v>
      </c>
      <c r="R943" t="s">
        <v>39</v>
      </c>
      <c r="S943" t="s">
        <v>31</v>
      </c>
      <c r="T943" t="s">
        <v>40</v>
      </c>
      <c r="U943">
        <v>58</v>
      </c>
      <c r="V943">
        <v>3.9</v>
      </c>
      <c r="W943">
        <f>Table2[[#This Row],[Quantity]]*Table2[[#This Row],[Item_Price]]</f>
        <v>886</v>
      </c>
    </row>
    <row r="944" spans="1:23" x14ac:dyDescent="0.25">
      <c r="A944" t="s">
        <v>1040</v>
      </c>
      <c r="B944" s="1">
        <v>45726</v>
      </c>
      <c r="C944" t="s">
        <v>910</v>
      </c>
      <c r="D944">
        <v>3</v>
      </c>
      <c r="E944">
        <v>10</v>
      </c>
      <c r="F944" t="s">
        <v>168</v>
      </c>
      <c r="G944" t="s">
        <v>90</v>
      </c>
      <c r="H944" t="s">
        <v>81</v>
      </c>
      <c r="I944" t="s">
        <v>103</v>
      </c>
      <c r="J944" t="s">
        <v>53</v>
      </c>
      <c r="K944" t="s">
        <v>38</v>
      </c>
      <c r="L944">
        <v>1</v>
      </c>
      <c r="M944">
        <v>485</v>
      </c>
      <c r="N944">
        <v>48.5</v>
      </c>
      <c r="O944">
        <v>50</v>
      </c>
      <c r="P944">
        <v>485</v>
      </c>
      <c r="Q944">
        <v>486.5</v>
      </c>
      <c r="R944" t="s">
        <v>39</v>
      </c>
      <c r="S944" t="s">
        <v>31</v>
      </c>
      <c r="T944" t="s">
        <v>32</v>
      </c>
      <c r="U944">
        <v>55</v>
      </c>
      <c r="V944">
        <v>3.6</v>
      </c>
      <c r="W944">
        <f>Table2[[#This Row],[Quantity]]*Table2[[#This Row],[Item_Price]]</f>
        <v>485</v>
      </c>
    </row>
    <row r="945" spans="1:23" x14ac:dyDescent="0.25">
      <c r="A945" t="s">
        <v>1041</v>
      </c>
      <c r="B945" s="1">
        <v>45726</v>
      </c>
      <c r="C945" t="s">
        <v>910</v>
      </c>
      <c r="D945">
        <v>3</v>
      </c>
      <c r="E945">
        <v>10</v>
      </c>
      <c r="F945" t="s">
        <v>168</v>
      </c>
      <c r="G945" t="s">
        <v>80</v>
      </c>
      <c r="H945" t="s">
        <v>65</v>
      </c>
      <c r="I945" t="s">
        <v>27</v>
      </c>
      <c r="J945" t="s">
        <v>62</v>
      </c>
      <c r="K945" t="s">
        <v>38</v>
      </c>
      <c r="L945">
        <v>1</v>
      </c>
      <c r="M945">
        <v>301</v>
      </c>
      <c r="N945">
        <v>15.05</v>
      </c>
      <c r="O945">
        <v>20</v>
      </c>
      <c r="P945">
        <v>301</v>
      </c>
      <c r="Q945">
        <v>305.95</v>
      </c>
      <c r="R945" t="s">
        <v>112</v>
      </c>
      <c r="S945" t="s">
        <v>31</v>
      </c>
      <c r="T945" t="s">
        <v>40</v>
      </c>
      <c r="U945">
        <v>62</v>
      </c>
      <c r="V945">
        <v>3.5</v>
      </c>
      <c r="W945">
        <f>Table2[[#This Row],[Quantity]]*Table2[[#This Row],[Item_Price]]</f>
        <v>301</v>
      </c>
    </row>
    <row r="946" spans="1:23" x14ac:dyDescent="0.25">
      <c r="A946" t="s">
        <v>1042</v>
      </c>
      <c r="B946" s="1">
        <v>45726</v>
      </c>
      <c r="C946" t="s">
        <v>910</v>
      </c>
      <c r="D946">
        <v>3</v>
      </c>
      <c r="E946">
        <v>10</v>
      </c>
      <c r="F946" t="s">
        <v>168</v>
      </c>
      <c r="G946" t="s">
        <v>55</v>
      </c>
      <c r="H946" t="s">
        <v>52</v>
      </c>
      <c r="I946" t="s">
        <v>97</v>
      </c>
      <c r="J946" t="s">
        <v>78</v>
      </c>
      <c r="K946" t="s">
        <v>38</v>
      </c>
      <c r="L946">
        <v>2</v>
      </c>
      <c r="M946">
        <v>825</v>
      </c>
      <c r="N946">
        <v>123.75</v>
      </c>
      <c r="O946">
        <v>30</v>
      </c>
      <c r="P946">
        <v>1650</v>
      </c>
      <c r="Q946">
        <v>1556.25</v>
      </c>
      <c r="R946" t="s">
        <v>30</v>
      </c>
      <c r="S946" t="s">
        <v>31</v>
      </c>
      <c r="T946" t="s">
        <v>40</v>
      </c>
      <c r="U946">
        <v>29</v>
      </c>
      <c r="V946">
        <v>4.3</v>
      </c>
      <c r="W946">
        <f>Table2[[#This Row],[Quantity]]*Table2[[#This Row],[Item_Price]]</f>
        <v>1650</v>
      </c>
    </row>
    <row r="947" spans="1:23" x14ac:dyDescent="0.25">
      <c r="A947" t="s">
        <v>1043</v>
      </c>
      <c r="B947" s="1">
        <v>45726</v>
      </c>
      <c r="C947" t="s">
        <v>910</v>
      </c>
      <c r="D947">
        <v>3</v>
      </c>
      <c r="E947">
        <v>10</v>
      </c>
      <c r="F947" t="s">
        <v>168</v>
      </c>
      <c r="G947" t="s">
        <v>25</v>
      </c>
      <c r="H947" t="s">
        <v>65</v>
      </c>
      <c r="I947" t="s">
        <v>61</v>
      </c>
      <c r="J947" t="s">
        <v>94</v>
      </c>
      <c r="K947" t="s">
        <v>38</v>
      </c>
      <c r="L947">
        <v>1</v>
      </c>
      <c r="M947">
        <v>546</v>
      </c>
      <c r="N947">
        <v>54.6</v>
      </c>
      <c r="O947">
        <v>50</v>
      </c>
      <c r="P947">
        <v>546</v>
      </c>
      <c r="Q947">
        <v>541.4</v>
      </c>
      <c r="R947" t="s">
        <v>39</v>
      </c>
      <c r="S947" t="s">
        <v>31</v>
      </c>
      <c r="T947" t="s">
        <v>32</v>
      </c>
      <c r="U947">
        <v>63</v>
      </c>
      <c r="V947">
        <v>4.4000000000000004</v>
      </c>
      <c r="W947">
        <f>Table2[[#This Row],[Quantity]]*Table2[[#This Row],[Item_Price]]</f>
        <v>546</v>
      </c>
    </row>
    <row r="948" spans="1:23" x14ac:dyDescent="0.25">
      <c r="A948" t="s">
        <v>1044</v>
      </c>
      <c r="B948" s="1">
        <v>45726</v>
      </c>
      <c r="C948" t="s">
        <v>910</v>
      </c>
      <c r="D948">
        <v>3</v>
      </c>
      <c r="E948">
        <v>10</v>
      </c>
      <c r="F948" t="s">
        <v>168</v>
      </c>
      <c r="G948" t="s">
        <v>73</v>
      </c>
      <c r="H948" t="s">
        <v>68</v>
      </c>
      <c r="I948" t="s">
        <v>36</v>
      </c>
      <c r="J948" t="s">
        <v>28</v>
      </c>
      <c r="K948" t="s">
        <v>38</v>
      </c>
      <c r="L948">
        <v>2</v>
      </c>
      <c r="M948">
        <v>774</v>
      </c>
      <c r="N948">
        <v>77.400000000000006</v>
      </c>
      <c r="O948">
        <v>0</v>
      </c>
      <c r="P948">
        <v>1548</v>
      </c>
      <c r="Q948">
        <v>1470.6</v>
      </c>
      <c r="R948" t="s">
        <v>98</v>
      </c>
      <c r="S948" t="s">
        <v>31</v>
      </c>
      <c r="T948" t="s">
        <v>32</v>
      </c>
      <c r="U948">
        <v>53</v>
      </c>
      <c r="V948">
        <v>4.4000000000000004</v>
      </c>
      <c r="W948">
        <f>Table2[[#This Row],[Quantity]]*Table2[[#This Row],[Item_Price]]</f>
        <v>1548</v>
      </c>
    </row>
    <row r="949" spans="1:23" x14ac:dyDescent="0.25">
      <c r="A949" t="s">
        <v>1045</v>
      </c>
      <c r="B949" s="1">
        <v>45726</v>
      </c>
      <c r="C949" t="s">
        <v>910</v>
      </c>
      <c r="D949">
        <v>3</v>
      </c>
      <c r="E949">
        <v>10</v>
      </c>
      <c r="F949" t="s">
        <v>168</v>
      </c>
      <c r="G949" t="s">
        <v>84</v>
      </c>
      <c r="H949" t="s">
        <v>65</v>
      </c>
      <c r="I949" t="s">
        <v>97</v>
      </c>
      <c r="J949" t="s">
        <v>74</v>
      </c>
      <c r="K949" t="s">
        <v>38</v>
      </c>
      <c r="L949">
        <v>1</v>
      </c>
      <c r="M949">
        <v>272</v>
      </c>
      <c r="N949">
        <v>0</v>
      </c>
      <c r="O949">
        <v>50</v>
      </c>
      <c r="P949">
        <v>272</v>
      </c>
      <c r="Q949">
        <v>322</v>
      </c>
      <c r="R949" t="s">
        <v>39</v>
      </c>
      <c r="S949" t="s">
        <v>110</v>
      </c>
      <c r="T949" t="s">
        <v>40</v>
      </c>
      <c r="U949">
        <v>60</v>
      </c>
      <c r="W949">
        <f>Table2[[#This Row],[Quantity]]*Table2[[#This Row],[Item_Price]]</f>
        <v>272</v>
      </c>
    </row>
    <row r="950" spans="1:23" x14ac:dyDescent="0.25">
      <c r="A950" t="s">
        <v>1046</v>
      </c>
      <c r="B950" s="1">
        <v>45726</v>
      </c>
      <c r="C950" t="s">
        <v>910</v>
      </c>
      <c r="D950">
        <v>3</v>
      </c>
      <c r="E950">
        <v>10</v>
      </c>
      <c r="F950" t="s">
        <v>168</v>
      </c>
      <c r="G950" t="s">
        <v>25</v>
      </c>
      <c r="H950" t="s">
        <v>108</v>
      </c>
      <c r="I950" t="s">
        <v>69</v>
      </c>
      <c r="J950" t="s">
        <v>70</v>
      </c>
      <c r="K950" t="s">
        <v>38</v>
      </c>
      <c r="L950">
        <v>1</v>
      </c>
      <c r="M950">
        <v>866</v>
      </c>
      <c r="N950">
        <v>86.6</v>
      </c>
      <c r="O950">
        <v>0</v>
      </c>
      <c r="P950">
        <v>866</v>
      </c>
      <c r="Q950">
        <v>779.4</v>
      </c>
      <c r="R950" t="s">
        <v>98</v>
      </c>
      <c r="S950" t="s">
        <v>110</v>
      </c>
      <c r="T950" t="s">
        <v>32</v>
      </c>
      <c r="U950">
        <v>24</v>
      </c>
      <c r="W950">
        <f>Table2[[#This Row],[Quantity]]*Table2[[#This Row],[Item_Price]]</f>
        <v>866</v>
      </c>
    </row>
    <row r="951" spans="1:23" x14ac:dyDescent="0.25">
      <c r="A951" t="s">
        <v>1047</v>
      </c>
      <c r="B951" s="1">
        <v>45726</v>
      </c>
      <c r="C951" t="s">
        <v>910</v>
      </c>
      <c r="D951">
        <v>3</v>
      </c>
      <c r="E951">
        <v>10</v>
      </c>
      <c r="F951" t="s">
        <v>168</v>
      </c>
      <c r="G951" t="s">
        <v>115</v>
      </c>
      <c r="H951" t="s">
        <v>42</v>
      </c>
      <c r="I951" t="s">
        <v>57</v>
      </c>
      <c r="J951" t="s">
        <v>37</v>
      </c>
      <c r="K951" t="s">
        <v>38</v>
      </c>
      <c r="L951">
        <v>1</v>
      </c>
      <c r="M951">
        <v>871</v>
      </c>
      <c r="N951">
        <v>174.2</v>
      </c>
      <c r="O951">
        <v>0</v>
      </c>
      <c r="P951">
        <v>871</v>
      </c>
      <c r="Q951">
        <v>696.8</v>
      </c>
      <c r="R951" t="s">
        <v>112</v>
      </c>
      <c r="S951" t="s">
        <v>31</v>
      </c>
      <c r="T951" t="s">
        <v>40</v>
      </c>
      <c r="U951">
        <v>38</v>
      </c>
      <c r="V951">
        <v>2.8</v>
      </c>
      <c r="W951">
        <f>Table2[[#This Row],[Quantity]]*Table2[[#This Row],[Item_Price]]</f>
        <v>871</v>
      </c>
    </row>
    <row r="952" spans="1:23" x14ac:dyDescent="0.25">
      <c r="A952" t="s">
        <v>1048</v>
      </c>
      <c r="B952" s="1">
        <v>45726</v>
      </c>
      <c r="C952" t="s">
        <v>910</v>
      </c>
      <c r="D952">
        <v>3</v>
      </c>
      <c r="E952">
        <v>10</v>
      </c>
      <c r="F952" t="s">
        <v>168</v>
      </c>
      <c r="G952" t="s">
        <v>96</v>
      </c>
      <c r="H952" t="s">
        <v>42</v>
      </c>
      <c r="I952" t="s">
        <v>36</v>
      </c>
      <c r="J952" t="s">
        <v>74</v>
      </c>
      <c r="K952" t="s">
        <v>38</v>
      </c>
      <c r="L952">
        <v>2</v>
      </c>
      <c r="M952">
        <v>689</v>
      </c>
      <c r="N952">
        <v>103.35</v>
      </c>
      <c r="O952">
        <v>40</v>
      </c>
      <c r="P952">
        <v>1378</v>
      </c>
      <c r="Q952">
        <v>1314.65</v>
      </c>
      <c r="R952" t="s">
        <v>75</v>
      </c>
      <c r="S952" t="s">
        <v>31</v>
      </c>
      <c r="T952" t="s">
        <v>40</v>
      </c>
      <c r="U952">
        <v>69</v>
      </c>
      <c r="V952">
        <v>3.9</v>
      </c>
      <c r="W952">
        <f>Table2[[#This Row],[Quantity]]*Table2[[#This Row],[Item_Price]]</f>
        <v>1378</v>
      </c>
    </row>
    <row r="953" spans="1:23" x14ac:dyDescent="0.25">
      <c r="A953" t="s">
        <v>1049</v>
      </c>
      <c r="B953" s="1">
        <v>45727</v>
      </c>
      <c r="C953" t="s">
        <v>910</v>
      </c>
      <c r="D953">
        <v>3</v>
      </c>
      <c r="E953">
        <v>11</v>
      </c>
      <c r="F953" t="s">
        <v>178</v>
      </c>
      <c r="G953" t="s">
        <v>73</v>
      </c>
      <c r="H953" t="s">
        <v>56</v>
      </c>
      <c r="I953" t="s">
        <v>97</v>
      </c>
      <c r="J953" t="s">
        <v>53</v>
      </c>
      <c r="K953" t="s">
        <v>38</v>
      </c>
      <c r="L953">
        <v>1</v>
      </c>
      <c r="M953">
        <v>200</v>
      </c>
      <c r="N953">
        <v>50</v>
      </c>
      <c r="O953">
        <v>40</v>
      </c>
      <c r="P953">
        <v>200</v>
      </c>
      <c r="Q953">
        <v>190</v>
      </c>
      <c r="R953" t="s">
        <v>98</v>
      </c>
      <c r="S953" t="s">
        <v>31</v>
      </c>
      <c r="T953" t="s">
        <v>32</v>
      </c>
      <c r="U953">
        <v>69</v>
      </c>
      <c r="V953">
        <v>4.4000000000000004</v>
      </c>
      <c r="W953">
        <f>Table2[[#This Row],[Quantity]]*Table2[[#This Row],[Item_Price]]</f>
        <v>200</v>
      </c>
    </row>
    <row r="954" spans="1:23" x14ac:dyDescent="0.25">
      <c r="A954" t="s">
        <v>1050</v>
      </c>
      <c r="B954" s="1">
        <v>45727</v>
      </c>
      <c r="C954" t="s">
        <v>910</v>
      </c>
      <c r="D954">
        <v>3</v>
      </c>
      <c r="E954">
        <v>11</v>
      </c>
      <c r="F954" t="s">
        <v>178</v>
      </c>
      <c r="G954" t="s">
        <v>64</v>
      </c>
      <c r="H954" t="s">
        <v>108</v>
      </c>
      <c r="I954" t="s">
        <v>69</v>
      </c>
      <c r="J954" t="s">
        <v>66</v>
      </c>
      <c r="K954" t="s">
        <v>38</v>
      </c>
      <c r="L954">
        <v>1</v>
      </c>
      <c r="M954">
        <v>504</v>
      </c>
      <c r="N954">
        <v>50.4</v>
      </c>
      <c r="O954">
        <v>40</v>
      </c>
      <c r="P954">
        <v>504</v>
      </c>
      <c r="Q954">
        <v>493.6</v>
      </c>
      <c r="R954" t="s">
        <v>39</v>
      </c>
      <c r="S954" t="s">
        <v>31</v>
      </c>
      <c r="T954" t="s">
        <v>40</v>
      </c>
      <c r="U954">
        <v>45</v>
      </c>
      <c r="V954">
        <v>3.7</v>
      </c>
      <c r="W954">
        <f>Table2[[#This Row],[Quantity]]*Table2[[#This Row],[Item_Price]]</f>
        <v>504</v>
      </c>
    </row>
    <row r="955" spans="1:23" x14ac:dyDescent="0.25">
      <c r="A955" t="s">
        <v>1051</v>
      </c>
      <c r="B955" s="1">
        <v>45727</v>
      </c>
      <c r="C955" t="s">
        <v>910</v>
      </c>
      <c r="D955">
        <v>3</v>
      </c>
      <c r="E955">
        <v>11</v>
      </c>
      <c r="F955" t="s">
        <v>178</v>
      </c>
      <c r="G955" t="s">
        <v>80</v>
      </c>
      <c r="H955" t="s">
        <v>77</v>
      </c>
      <c r="I955" t="s">
        <v>57</v>
      </c>
      <c r="J955" t="s">
        <v>123</v>
      </c>
      <c r="K955" t="s">
        <v>38</v>
      </c>
      <c r="L955">
        <v>2</v>
      </c>
      <c r="M955">
        <v>715</v>
      </c>
      <c r="N955">
        <v>143</v>
      </c>
      <c r="O955">
        <v>20</v>
      </c>
      <c r="P955">
        <v>1430</v>
      </c>
      <c r="Q955">
        <v>1307</v>
      </c>
      <c r="R955" t="s">
        <v>39</v>
      </c>
      <c r="S955" t="s">
        <v>91</v>
      </c>
      <c r="T955" t="s">
        <v>40</v>
      </c>
      <c r="U955">
        <v>57</v>
      </c>
      <c r="W955">
        <f>Table2[[#This Row],[Quantity]]*Table2[[#This Row],[Item_Price]]</f>
        <v>1430</v>
      </c>
    </row>
    <row r="956" spans="1:23" x14ac:dyDescent="0.25">
      <c r="A956" t="s">
        <v>1052</v>
      </c>
      <c r="B956" s="1">
        <v>45727</v>
      </c>
      <c r="C956" t="s">
        <v>910</v>
      </c>
      <c r="D956">
        <v>3</v>
      </c>
      <c r="E956">
        <v>11</v>
      </c>
      <c r="F956" t="s">
        <v>178</v>
      </c>
      <c r="G956" t="s">
        <v>34</v>
      </c>
      <c r="H956" t="s">
        <v>35</v>
      </c>
      <c r="I956" t="s">
        <v>57</v>
      </c>
      <c r="J956" t="s">
        <v>53</v>
      </c>
      <c r="K956" t="s">
        <v>45</v>
      </c>
      <c r="L956">
        <v>1</v>
      </c>
      <c r="M956">
        <v>426</v>
      </c>
      <c r="N956">
        <v>63.9</v>
      </c>
      <c r="O956">
        <v>0</v>
      </c>
      <c r="P956">
        <v>426</v>
      </c>
      <c r="Q956">
        <v>362.1</v>
      </c>
      <c r="R956" t="s">
        <v>39</v>
      </c>
      <c r="S956" t="s">
        <v>31</v>
      </c>
      <c r="T956" t="s">
        <v>40</v>
      </c>
      <c r="U956">
        <v>59</v>
      </c>
      <c r="V956">
        <v>4.5999999999999996</v>
      </c>
      <c r="W956">
        <f>Table2[[#This Row],[Quantity]]*Table2[[#This Row],[Item_Price]]</f>
        <v>426</v>
      </c>
    </row>
    <row r="957" spans="1:23" x14ac:dyDescent="0.25">
      <c r="A957" t="s">
        <v>1053</v>
      </c>
      <c r="B957" s="1">
        <v>45727</v>
      </c>
      <c r="C957" t="s">
        <v>910</v>
      </c>
      <c r="D957">
        <v>3</v>
      </c>
      <c r="E957">
        <v>11</v>
      </c>
      <c r="F957" t="s">
        <v>178</v>
      </c>
      <c r="G957" t="s">
        <v>80</v>
      </c>
      <c r="H957" t="s">
        <v>48</v>
      </c>
      <c r="I957" t="s">
        <v>27</v>
      </c>
      <c r="J957" t="s">
        <v>74</v>
      </c>
      <c r="K957" t="s">
        <v>45</v>
      </c>
      <c r="L957">
        <v>2</v>
      </c>
      <c r="M957">
        <v>348</v>
      </c>
      <c r="N957">
        <v>34.799999999999997</v>
      </c>
      <c r="O957">
        <v>30</v>
      </c>
      <c r="P957">
        <v>696</v>
      </c>
      <c r="Q957">
        <v>691.2</v>
      </c>
      <c r="R957" t="s">
        <v>112</v>
      </c>
      <c r="S957" t="s">
        <v>31</v>
      </c>
      <c r="T957" t="s">
        <v>40</v>
      </c>
      <c r="U957">
        <v>49</v>
      </c>
      <c r="V957">
        <v>3.9</v>
      </c>
      <c r="W957">
        <f>Table2[[#This Row],[Quantity]]*Table2[[#This Row],[Item_Price]]</f>
        <v>696</v>
      </c>
    </row>
    <row r="958" spans="1:23" x14ac:dyDescent="0.25">
      <c r="A958" t="s">
        <v>1054</v>
      </c>
      <c r="B958" s="1">
        <v>45727</v>
      </c>
      <c r="C958" t="s">
        <v>910</v>
      </c>
      <c r="D958">
        <v>3</v>
      </c>
      <c r="E958">
        <v>11</v>
      </c>
      <c r="F958" t="s">
        <v>178</v>
      </c>
      <c r="G958" t="s">
        <v>73</v>
      </c>
      <c r="H958" t="s">
        <v>105</v>
      </c>
      <c r="I958" t="s">
        <v>85</v>
      </c>
      <c r="J958" t="s">
        <v>53</v>
      </c>
      <c r="K958" t="s">
        <v>38</v>
      </c>
      <c r="L958">
        <v>1</v>
      </c>
      <c r="M958">
        <v>558</v>
      </c>
      <c r="N958">
        <v>55.8</v>
      </c>
      <c r="O958">
        <v>0</v>
      </c>
      <c r="P958">
        <v>558</v>
      </c>
      <c r="Q958">
        <v>502.2</v>
      </c>
      <c r="R958" t="s">
        <v>112</v>
      </c>
      <c r="S958" t="s">
        <v>31</v>
      </c>
      <c r="T958" t="s">
        <v>32</v>
      </c>
      <c r="U958">
        <v>65</v>
      </c>
      <c r="V958">
        <v>3.5</v>
      </c>
      <c r="W958">
        <f>Table2[[#This Row],[Quantity]]*Table2[[#This Row],[Item_Price]]</f>
        <v>558</v>
      </c>
    </row>
    <row r="959" spans="1:23" x14ac:dyDescent="0.25">
      <c r="A959" t="s">
        <v>1055</v>
      </c>
      <c r="B959" s="1">
        <v>45727</v>
      </c>
      <c r="C959" t="s">
        <v>910</v>
      </c>
      <c r="D959">
        <v>3</v>
      </c>
      <c r="E959">
        <v>11</v>
      </c>
      <c r="F959" t="s">
        <v>178</v>
      </c>
      <c r="G959" t="s">
        <v>80</v>
      </c>
      <c r="H959" t="s">
        <v>35</v>
      </c>
      <c r="I959" t="s">
        <v>69</v>
      </c>
      <c r="J959" t="s">
        <v>119</v>
      </c>
      <c r="K959" t="s">
        <v>38</v>
      </c>
      <c r="L959">
        <v>2</v>
      </c>
      <c r="M959">
        <v>738</v>
      </c>
      <c r="N959">
        <v>73.8</v>
      </c>
      <c r="O959">
        <v>40</v>
      </c>
      <c r="P959">
        <v>1476</v>
      </c>
      <c r="Q959">
        <v>1442.2</v>
      </c>
      <c r="R959" t="s">
        <v>30</v>
      </c>
      <c r="S959" t="s">
        <v>31</v>
      </c>
      <c r="T959" t="s">
        <v>32</v>
      </c>
      <c r="U959">
        <v>40</v>
      </c>
      <c r="V959">
        <v>3.2</v>
      </c>
      <c r="W959">
        <f>Table2[[#This Row],[Quantity]]*Table2[[#This Row],[Item_Price]]</f>
        <v>1476</v>
      </c>
    </row>
    <row r="960" spans="1:23" x14ac:dyDescent="0.25">
      <c r="A960" t="s">
        <v>1056</v>
      </c>
      <c r="B960" s="1">
        <v>45727</v>
      </c>
      <c r="C960" t="s">
        <v>910</v>
      </c>
      <c r="D960">
        <v>3</v>
      </c>
      <c r="E960">
        <v>11</v>
      </c>
      <c r="F960" t="s">
        <v>178</v>
      </c>
      <c r="G960" t="s">
        <v>34</v>
      </c>
      <c r="H960" t="s">
        <v>65</v>
      </c>
      <c r="I960" t="s">
        <v>57</v>
      </c>
      <c r="J960" t="s">
        <v>50</v>
      </c>
      <c r="K960" t="s">
        <v>38</v>
      </c>
      <c r="L960">
        <v>1</v>
      </c>
      <c r="M960">
        <v>616</v>
      </c>
      <c r="N960">
        <v>123.2</v>
      </c>
      <c r="O960">
        <v>30</v>
      </c>
      <c r="P960">
        <v>616</v>
      </c>
      <c r="Q960">
        <v>522.79999999999995</v>
      </c>
      <c r="R960" t="s">
        <v>30</v>
      </c>
      <c r="S960" t="s">
        <v>31</v>
      </c>
      <c r="T960" t="s">
        <v>40</v>
      </c>
      <c r="U960">
        <v>22</v>
      </c>
      <c r="V960">
        <v>3.5</v>
      </c>
      <c r="W960">
        <f>Table2[[#This Row],[Quantity]]*Table2[[#This Row],[Item_Price]]</f>
        <v>616</v>
      </c>
    </row>
    <row r="961" spans="1:23" x14ac:dyDescent="0.25">
      <c r="A961" t="s">
        <v>1057</v>
      </c>
      <c r="B961" s="1">
        <v>45727</v>
      </c>
      <c r="C961" t="s">
        <v>910</v>
      </c>
      <c r="D961">
        <v>3</v>
      </c>
      <c r="E961">
        <v>11</v>
      </c>
      <c r="F961" t="s">
        <v>178</v>
      </c>
      <c r="G961" t="s">
        <v>34</v>
      </c>
      <c r="H961" t="s">
        <v>48</v>
      </c>
      <c r="I961" t="s">
        <v>27</v>
      </c>
      <c r="J961" t="s">
        <v>66</v>
      </c>
      <c r="K961" t="s">
        <v>38</v>
      </c>
      <c r="L961">
        <v>1</v>
      </c>
      <c r="M961">
        <v>417</v>
      </c>
      <c r="N961">
        <v>83.4</v>
      </c>
      <c r="O961">
        <v>40</v>
      </c>
      <c r="P961">
        <v>417</v>
      </c>
      <c r="Q961">
        <v>373.6</v>
      </c>
      <c r="R961" t="s">
        <v>30</v>
      </c>
      <c r="S961" t="s">
        <v>31</v>
      </c>
      <c r="T961" t="s">
        <v>40</v>
      </c>
      <c r="U961">
        <v>60</v>
      </c>
      <c r="V961">
        <v>4.5999999999999996</v>
      </c>
      <c r="W961">
        <f>Table2[[#This Row],[Quantity]]*Table2[[#This Row],[Item_Price]]</f>
        <v>417</v>
      </c>
    </row>
    <row r="962" spans="1:23" x14ac:dyDescent="0.25">
      <c r="A962" t="s">
        <v>1058</v>
      </c>
      <c r="B962" s="1">
        <v>45727</v>
      </c>
      <c r="C962" t="s">
        <v>910</v>
      </c>
      <c r="D962">
        <v>3</v>
      </c>
      <c r="E962">
        <v>11</v>
      </c>
      <c r="F962" t="s">
        <v>178</v>
      </c>
      <c r="G962" t="s">
        <v>55</v>
      </c>
      <c r="H962" t="s">
        <v>81</v>
      </c>
      <c r="I962" t="s">
        <v>85</v>
      </c>
      <c r="J962" t="s">
        <v>50</v>
      </c>
      <c r="K962" t="s">
        <v>38</v>
      </c>
      <c r="L962">
        <v>3</v>
      </c>
      <c r="M962">
        <v>558</v>
      </c>
      <c r="N962">
        <v>83.7</v>
      </c>
      <c r="O962">
        <v>20</v>
      </c>
      <c r="P962">
        <v>1674</v>
      </c>
      <c r="Q962">
        <v>1610.3</v>
      </c>
      <c r="R962" t="s">
        <v>39</v>
      </c>
      <c r="S962" t="s">
        <v>91</v>
      </c>
      <c r="T962" t="s">
        <v>40</v>
      </c>
      <c r="U962">
        <v>53</v>
      </c>
      <c r="W962">
        <f>Table2[[#This Row],[Quantity]]*Table2[[#This Row],[Item_Price]]</f>
        <v>1674</v>
      </c>
    </row>
    <row r="963" spans="1:23" x14ac:dyDescent="0.25">
      <c r="A963" t="s">
        <v>1059</v>
      </c>
      <c r="B963" s="1">
        <v>45727</v>
      </c>
      <c r="C963" t="s">
        <v>910</v>
      </c>
      <c r="D963">
        <v>3</v>
      </c>
      <c r="E963">
        <v>11</v>
      </c>
      <c r="F963" t="s">
        <v>178</v>
      </c>
      <c r="G963" t="s">
        <v>73</v>
      </c>
      <c r="H963" t="s">
        <v>81</v>
      </c>
      <c r="I963" t="s">
        <v>103</v>
      </c>
      <c r="J963" t="s">
        <v>101</v>
      </c>
      <c r="K963" t="s">
        <v>45</v>
      </c>
      <c r="L963">
        <v>3</v>
      </c>
      <c r="M963">
        <v>391</v>
      </c>
      <c r="N963">
        <v>39.1</v>
      </c>
      <c r="O963">
        <v>50</v>
      </c>
      <c r="P963">
        <v>1173</v>
      </c>
      <c r="Q963">
        <v>1183.9000000000001</v>
      </c>
      <c r="R963" t="s">
        <v>112</v>
      </c>
      <c r="S963" t="s">
        <v>31</v>
      </c>
      <c r="T963" t="s">
        <v>40</v>
      </c>
      <c r="U963">
        <v>20</v>
      </c>
      <c r="V963">
        <v>3.6</v>
      </c>
      <c r="W963">
        <f>Table2[[#This Row],[Quantity]]*Table2[[#This Row],[Item_Price]]</f>
        <v>1173</v>
      </c>
    </row>
    <row r="964" spans="1:23" x14ac:dyDescent="0.25">
      <c r="A964" t="s">
        <v>1060</v>
      </c>
      <c r="B964" s="1">
        <v>45727</v>
      </c>
      <c r="C964" t="s">
        <v>910</v>
      </c>
      <c r="D964">
        <v>3</v>
      </c>
      <c r="E964">
        <v>11</v>
      </c>
      <c r="F964" t="s">
        <v>178</v>
      </c>
      <c r="G964" t="s">
        <v>90</v>
      </c>
      <c r="H964" t="s">
        <v>77</v>
      </c>
      <c r="I964" t="s">
        <v>85</v>
      </c>
      <c r="J964" t="s">
        <v>78</v>
      </c>
      <c r="K964" t="s">
        <v>38</v>
      </c>
      <c r="L964">
        <v>1</v>
      </c>
      <c r="M964">
        <v>318</v>
      </c>
      <c r="N964">
        <v>63.6</v>
      </c>
      <c r="O964">
        <v>30</v>
      </c>
      <c r="P964">
        <v>318</v>
      </c>
      <c r="Q964">
        <v>284.39999999999998</v>
      </c>
      <c r="R964" t="s">
        <v>39</v>
      </c>
      <c r="S964" t="s">
        <v>31</v>
      </c>
      <c r="T964" t="s">
        <v>40</v>
      </c>
      <c r="U964">
        <v>18</v>
      </c>
      <c r="V964">
        <v>4.7</v>
      </c>
      <c r="W964">
        <f>Table2[[#This Row],[Quantity]]*Table2[[#This Row],[Item_Price]]</f>
        <v>318</v>
      </c>
    </row>
    <row r="965" spans="1:23" x14ac:dyDescent="0.25">
      <c r="A965" t="s">
        <v>1061</v>
      </c>
      <c r="B965" s="1">
        <v>45728</v>
      </c>
      <c r="C965" t="s">
        <v>910</v>
      </c>
      <c r="D965">
        <v>3</v>
      </c>
      <c r="E965">
        <v>12</v>
      </c>
      <c r="F965" t="s">
        <v>24</v>
      </c>
      <c r="G965" t="s">
        <v>64</v>
      </c>
      <c r="H965" t="s">
        <v>81</v>
      </c>
      <c r="I965" t="s">
        <v>103</v>
      </c>
      <c r="J965" t="s">
        <v>94</v>
      </c>
      <c r="K965" t="s">
        <v>38</v>
      </c>
      <c r="L965">
        <v>2</v>
      </c>
      <c r="M965">
        <v>129</v>
      </c>
      <c r="N965">
        <v>19.350000000000001</v>
      </c>
      <c r="O965">
        <v>30</v>
      </c>
      <c r="P965">
        <v>258</v>
      </c>
      <c r="Q965">
        <v>268.64999999999998</v>
      </c>
      <c r="R965" t="s">
        <v>98</v>
      </c>
      <c r="S965" t="s">
        <v>31</v>
      </c>
      <c r="T965" t="s">
        <v>40</v>
      </c>
      <c r="U965">
        <v>64</v>
      </c>
      <c r="V965">
        <v>3.4</v>
      </c>
      <c r="W965">
        <f>Table2[[#This Row],[Quantity]]*Table2[[#This Row],[Item_Price]]</f>
        <v>258</v>
      </c>
    </row>
    <row r="966" spans="1:23" x14ac:dyDescent="0.25">
      <c r="A966" t="s">
        <v>1062</v>
      </c>
      <c r="B966" s="1">
        <v>45728</v>
      </c>
      <c r="C966" t="s">
        <v>910</v>
      </c>
      <c r="D966">
        <v>3</v>
      </c>
      <c r="E966">
        <v>12</v>
      </c>
      <c r="F966" t="s">
        <v>24</v>
      </c>
      <c r="G966" t="s">
        <v>25</v>
      </c>
      <c r="H966" t="s">
        <v>56</v>
      </c>
      <c r="I966" t="s">
        <v>97</v>
      </c>
      <c r="J966" t="s">
        <v>74</v>
      </c>
      <c r="K966" t="s">
        <v>45</v>
      </c>
      <c r="L966">
        <v>1</v>
      </c>
      <c r="M966">
        <v>157</v>
      </c>
      <c r="N966">
        <v>0</v>
      </c>
      <c r="O966">
        <v>70</v>
      </c>
      <c r="P966">
        <v>157</v>
      </c>
      <c r="Q966">
        <v>227</v>
      </c>
      <c r="R966" t="s">
        <v>98</v>
      </c>
      <c r="S966" t="s">
        <v>31</v>
      </c>
      <c r="T966" t="s">
        <v>40</v>
      </c>
      <c r="U966">
        <v>64</v>
      </c>
      <c r="V966">
        <v>4.7</v>
      </c>
      <c r="W966">
        <f>Table2[[#This Row],[Quantity]]*Table2[[#This Row],[Item_Price]]</f>
        <v>157</v>
      </c>
    </row>
    <row r="967" spans="1:23" x14ac:dyDescent="0.25">
      <c r="A967" t="s">
        <v>1063</v>
      </c>
      <c r="B967" s="1">
        <v>45728</v>
      </c>
      <c r="C967" t="s">
        <v>910</v>
      </c>
      <c r="D967">
        <v>3</v>
      </c>
      <c r="E967">
        <v>12</v>
      </c>
      <c r="F967" t="s">
        <v>24</v>
      </c>
      <c r="G967" t="s">
        <v>34</v>
      </c>
      <c r="H967" t="s">
        <v>68</v>
      </c>
      <c r="I967" t="s">
        <v>103</v>
      </c>
      <c r="J967" t="s">
        <v>119</v>
      </c>
      <c r="K967" t="s">
        <v>38</v>
      </c>
      <c r="L967">
        <v>1</v>
      </c>
      <c r="M967">
        <v>255</v>
      </c>
      <c r="N967">
        <v>0</v>
      </c>
      <c r="O967">
        <v>20</v>
      </c>
      <c r="P967">
        <v>255</v>
      </c>
      <c r="Q967">
        <v>275</v>
      </c>
      <c r="R967" t="s">
        <v>75</v>
      </c>
      <c r="S967" t="s">
        <v>31</v>
      </c>
      <c r="T967" t="s">
        <v>40</v>
      </c>
      <c r="U967">
        <v>52</v>
      </c>
      <c r="V967">
        <v>4.5</v>
      </c>
      <c r="W967">
        <f>Table2[[#This Row],[Quantity]]*Table2[[#This Row],[Item_Price]]</f>
        <v>255</v>
      </c>
    </row>
    <row r="968" spans="1:23" x14ac:dyDescent="0.25">
      <c r="A968" t="s">
        <v>1064</v>
      </c>
      <c r="B968" s="1">
        <v>45728</v>
      </c>
      <c r="C968" t="s">
        <v>910</v>
      </c>
      <c r="D968">
        <v>3</v>
      </c>
      <c r="E968">
        <v>12</v>
      </c>
      <c r="F968" t="s">
        <v>24</v>
      </c>
      <c r="G968" t="s">
        <v>73</v>
      </c>
      <c r="H968" t="s">
        <v>108</v>
      </c>
      <c r="I968" t="s">
        <v>57</v>
      </c>
      <c r="J968" t="s">
        <v>44</v>
      </c>
      <c r="K968" t="s">
        <v>38</v>
      </c>
      <c r="L968">
        <v>1</v>
      </c>
      <c r="M968">
        <v>188</v>
      </c>
      <c r="N968">
        <v>18.8</v>
      </c>
      <c r="O968">
        <v>20</v>
      </c>
      <c r="P968">
        <v>188</v>
      </c>
      <c r="Q968">
        <v>189.2</v>
      </c>
      <c r="R968" t="s">
        <v>75</v>
      </c>
      <c r="S968" t="s">
        <v>31</v>
      </c>
      <c r="T968" t="s">
        <v>40</v>
      </c>
      <c r="U968">
        <v>36</v>
      </c>
      <c r="V968">
        <v>4.3</v>
      </c>
      <c r="W968">
        <f>Table2[[#This Row],[Quantity]]*Table2[[#This Row],[Item_Price]]</f>
        <v>188</v>
      </c>
    </row>
    <row r="969" spans="1:23" x14ac:dyDescent="0.25">
      <c r="A969" t="s">
        <v>1065</v>
      </c>
      <c r="B969" s="1">
        <v>45728</v>
      </c>
      <c r="C969" t="s">
        <v>910</v>
      </c>
      <c r="D969">
        <v>3</v>
      </c>
      <c r="E969">
        <v>12</v>
      </c>
      <c r="F969" t="s">
        <v>24</v>
      </c>
      <c r="G969" t="s">
        <v>73</v>
      </c>
      <c r="H969" t="s">
        <v>60</v>
      </c>
      <c r="I969" t="s">
        <v>69</v>
      </c>
      <c r="J969" t="s">
        <v>74</v>
      </c>
      <c r="K969" t="s">
        <v>29</v>
      </c>
      <c r="L969">
        <v>3</v>
      </c>
      <c r="M969">
        <v>193</v>
      </c>
      <c r="N969">
        <v>28.95</v>
      </c>
      <c r="O969">
        <v>30</v>
      </c>
      <c r="P969">
        <v>579</v>
      </c>
      <c r="Q969">
        <v>580.04999999999995</v>
      </c>
      <c r="R969" t="s">
        <v>39</v>
      </c>
      <c r="S969" t="s">
        <v>31</v>
      </c>
      <c r="T969" t="s">
        <v>40</v>
      </c>
      <c r="U969">
        <v>25</v>
      </c>
      <c r="V969">
        <v>3.8</v>
      </c>
      <c r="W969">
        <f>Table2[[#This Row],[Quantity]]*Table2[[#This Row],[Item_Price]]</f>
        <v>579</v>
      </c>
    </row>
    <row r="970" spans="1:23" x14ac:dyDescent="0.25">
      <c r="A970" t="s">
        <v>1066</v>
      </c>
      <c r="B970" s="1">
        <v>45728</v>
      </c>
      <c r="C970" t="s">
        <v>910</v>
      </c>
      <c r="D970">
        <v>3</v>
      </c>
      <c r="E970">
        <v>12</v>
      </c>
      <c r="F970" t="s">
        <v>24</v>
      </c>
      <c r="G970" t="s">
        <v>34</v>
      </c>
      <c r="H970" t="s">
        <v>35</v>
      </c>
      <c r="I970" t="s">
        <v>27</v>
      </c>
      <c r="J970" t="s">
        <v>44</v>
      </c>
      <c r="K970" t="s">
        <v>38</v>
      </c>
      <c r="L970">
        <v>1</v>
      </c>
      <c r="M970">
        <v>484</v>
      </c>
      <c r="N970">
        <v>72.599999999999994</v>
      </c>
      <c r="O970">
        <v>50</v>
      </c>
      <c r="P970">
        <v>484</v>
      </c>
      <c r="Q970">
        <v>461.4</v>
      </c>
      <c r="R970" t="s">
        <v>39</v>
      </c>
      <c r="S970" t="s">
        <v>31</v>
      </c>
      <c r="T970" t="s">
        <v>32</v>
      </c>
      <c r="U970">
        <v>61</v>
      </c>
      <c r="V970">
        <v>4.2</v>
      </c>
      <c r="W970">
        <f>Table2[[#This Row],[Quantity]]*Table2[[#This Row],[Item_Price]]</f>
        <v>484</v>
      </c>
    </row>
    <row r="971" spans="1:23" x14ac:dyDescent="0.25">
      <c r="A971" t="s">
        <v>1067</v>
      </c>
      <c r="B971" s="1">
        <v>45729</v>
      </c>
      <c r="C971" t="s">
        <v>910</v>
      </c>
      <c r="D971">
        <v>3</v>
      </c>
      <c r="E971">
        <v>13</v>
      </c>
      <c r="F971" t="s">
        <v>88</v>
      </c>
      <c r="G971" t="s">
        <v>34</v>
      </c>
      <c r="H971" t="s">
        <v>105</v>
      </c>
      <c r="I971" t="s">
        <v>85</v>
      </c>
      <c r="J971" t="s">
        <v>78</v>
      </c>
      <c r="K971" t="s">
        <v>38</v>
      </c>
      <c r="L971">
        <v>1</v>
      </c>
      <c r="M971">
        <v>283</v>
      </c>
      <c r="N971">
        <v>14.15</v>
      </c>
      <c r="O971">
        <v>0</v>
      </c>
      <c r="P971">
        <v>283</v>
      </c>
      <c r="Q971">
        <v>268.85000000000002</v>
      </c>
      <c r="R971" t="s">
        <v>98</v>
      </c>
      <c r="S971" t="s">
        <v>31</v>
      </c>
      <c r="T971" t="s">
        <v>32</v>
      </c>
      <c r="U971">
        <v>46</v>
      </c>
      <c r="V971">
        <v>4.0999999999999996</v>
      </c>
      <c r="W971">
        <f>Table2[[#This Row],[Quantity]]*Table2[[#This Row],[Item_Price]]</f>
        <v>283</v>
      </c>
    </row>
    <row r="972" spans="1:23" x14ac:dyDescent="0.25">
      <c r="A972" t="s">
        <v>1068</v>
      </c>
      <c r="B972" s="1">
        <v>45729</v>
      </c>
      <c r="C972" t="s">
        <v>910</v>
      </c>
      <c r="D972">
        <v>3</v>
      </c>
      <c r="E972">
        <v>13</v>
      </c>
      <c r="F972" t="s">
        <v>88</v>
      </c>
      <c r="G972" t="s">
        <v>55</v>
      </c>
      <c r="H972" t="s">
        <v>52</v>
      </c>
      <c r="I972" t="s">
        <v>103</v>
      </c>
      <c r="J972" t="s">
        <v>123</v>
      </c>
      <c r="K972" t="s">
        <v>38</v>
      </c>
      <c r="L972">
        <v>3</v>
      </c>
      <c r="M972">
        <v>868</v>
      </c>
      <c r="N972">
        <v>86.8</v>
      </c>
      <c r="O972">
        <v>30</v>
      </c>
      <c r="P972">
        <v>2604</v>
      </c>
      <c r="Q972">
        <v>2547.1999999999998</v>
      </c>
      <c r="R972" t="s">
        <v>75</v>
      </c>
      <c r="S972" t="s">
        <v>31</v>
      </c>
      <c r="T972" t="s">
        <v>40</v>
      </c>
      <c r="U972">
        <v>26</v>
      </c>
      <c r="V972">
        <v>3.7</v>
      </c>
      <c r="W972">
        <f>Table2[[#This Row],[Quantity]]*Table2[[#This Row],[Item_Price]]</f>
        <v>2604</v>
      </c>
    </row>
    <row r="973" spans="1:23" x14ac:dyDescent="0.25">
      <c r="A973" t="s">
        <v>1069</v>
      </c>
      <c r="B973" s="1">
        <v>45729</v>
      </c>
      <c r="C973" t="s">
        <v>910</v>
      </c>
      <c r="D973">
        <v>3</v>
      </c>
      <c r="E973">
        <v>13</v>
      </c>
      <c r="F973" t="s">
        <v>88</v>
      </c>
      <c r="G973" t="s">
        <v>73</v>
      </c>
      <c r="H973" t="s">
        <v>35</v>
      </c>
      <c r="I973" t="s">
        <v>85</v>
      </c>
      <c r="J973" t="s">
        <v>37</v>
      </c>
      <c r="K973" t="s">
        <v>38</v>
      </c>
      <c r="L973">
        <v>2</v>
      </c>
      <c r="M973">
        <v>714</v>
      </c>
      <c r="N973">
        <v>71.400000000000006</v>
      </c>
      <c r="O973">
        <v>40</v>
      </c>
      <c r="P973">
        <v>1428</v>
      </c>
      <c r="Q973">
        <v>1396.6</v>
      </c>
      <c r="R973" t="s">
        <v>112</v>
      </c>
      <c r="S973" t="s">
        <v>31</v>
      </c>
      <c r="T973" t="s">
        <v>32</v>
      </c>
      <c r="U973">
        <v>61</v>
      </c>
      <c r="V973">
        <v>4.3</v>
      </c>
      <c r="W973">
        <f>Table2[[#This Row],[Quantity]]*Table2[[#This Row],[Item_Price]]</f>
        <v>1428</v>
      </c>
    </row>
    <row r="974" spans="1:23" x14ac:dyDescent="0.25">
      <c r="A974" t="s">
        <v>1070</v>
      </c>
      <c r="B974" s="1">
        <v>45729</v>
      </c>
      <c r="C974" t="s">
        <v>910</v>
      </c>
      <c r="D974">
        <v>3</v>
      </c>
      <c r="E974">
        <v>13</v>
      </c>
      <c r="F974" t="s">
        <v>88</v>
      </c>
      <c r="G974" t="s">
        <v>73</v>
      </c>
      <c r="H974" t="s">
        <v>105</v>
      </c>
      <c r="I974" t="s">
        <v>27</v>
      </c>
      <c r="J974" t="s">
        <v>37</v>
      </c>
      <c r="K974" t="s">
        <v>38</v>
      </c>
      <c r="L974">
        <v>1</v>
      </c>
      <c r="M974">
        <v>674</v>
      </c>
      <c r="N974">
        <v>0</v>
      </c>
      <c r="O974">
        <v>40</v>
      </c>
      <c r="P974">
        <v>674</v>
      </c>
      <c r="Q974">
        <v>714</v>
      </c>
      <c r="R974" t="s">
        <v>39</v>
      </c>
      <c r="S974" t="s">
        <v>31</v>
      </c>
      <c r="T974" t="s">
        <v>40</v>
      </c>
      <c r="U974">
        <v>54</v>
      </c>
      <c r="V974">
        <v>3.7</v>
      </c>
      <c r="W974">
        <f>Table2[[#This Row],[Quantity]]*Table2[[#This Row],[Item_Price]]</f>
        <v>674</v>
      </c>
    </row>
    <row r="975" spans="1:23" x14ac:dyDescent="0.25">
      <c r="A975" t="s">
        <v>1071</v>
      </c>
      <c r="B975" s="1">
        <v>45729</v>
      </c>
      <c r="C975" t="s">
        <v>910</v>
      </c>
      <c r="D975">
        <v>3</v>
      </c>
      <c r="E975">
        <v>13</v>
      </c>
      <c r="F975" t="s">
        <v>88</v>
      </c>
      <c r="G975" t="s">
        <v>96</v>
      </c>
      <c r="H975" t="s">
        <v>60</v>
      </c>
      <c r="I975" t="s">
        <v>61</v>
      </c>
      <c r="J975" t="s">
        <v>28</v>
      </c>
      <c r="K975" t="s">
        <v>45</v>
      </c>
      <c r="L975">
        <v>3</v>
      </c>
      <c r="M975">
        <v>184</v>
      </c>
      <c r="N975">
        <v>36.799999999999997</v>
      </c>
      <c r="O975">
        <v>30</v>
      </c>
      <c r="P975">
        <v>552</v>
      </c>
      <c r="Q975">
        <v>545.20000000000005</v>
      </c>
      <c r="R975" t="s">
        <v>39</v>
      </c>
      <c r="S975" t="s">
        <v>31</v>
      </c>
      <c r="T975" t="s">
        <v>40</v>
      </c>
      <c r="U975">
        <v>29</v>
      </c>
      <c r="V975">
        <v>2.1</v>
      </c>
      <c r="W975">
        <f>Table2[[#This Row],[Quantity]]*Table2[[#This Row],[Item_Price]]</f>
        <v>552</v>
      </c>
    </row>
    <row r="976" spans="1:23" x14ac:dyDescent="0.25">
      <c r="A976" t="s">
        <v>1072</v>
      </c>
      <c r="B976" s="1">
        <v>45729</v>
      </c>
      <c r="C976" t="s">
        <v>910</v>
      </c>
      <c r="D976">
        <v>3</v>
      </c>
      <c r="E976">
        <v>13</v>
      </c>
      <c r="F976" t="s">
        <v>88</v>
      </c>
      <c r="G976" t="s">
        <v>64</v>
      </c>
      <c r="H976" t="s">
        <v>68</v>
      </c>
      <c r="I976" t="s">
        <v>103</v>
      </c>
      <c r="J976" t="s">
        <v>62</v>
      </c>
      <c r="K976" t="s">
        <v>29</v>
      </c>
      <c r="L976">
        <v>1</v>
      </c>
      <c r="M976">
        <v>648</v>
      </c>
      <c r="N976">
        <v>162</v>
      </c>
      <c r="O976">
        <v>30</v>
      </c>
      <c r="P976">
        <v>648</v>
      </c>
      <c r="Q976">
        <v>516</v>
      </c>
      <c r="R976" t="s">
        <v>39</v>
      </c>
      <c r="S976" t="s">
        <v>31</v>
      </c>
      <c r="T976" t="s">
        <v>40</v>
      </c>
      <c r="U976">
        <v>51</v>
      </c>
      <c r="V976">
        <v>4.0999999999999996</v>
      </c>
      <c r="W976">
        <f>Table2[[#This Row],[Quantity]]*Table2[[#This Row],[Item_Price]]</f>
        <v>648</v>
      </c>
    </row>
    <row r="977" spans="1:23" x14ac:dyDescent="0.25">
      <c r="A977" t="s">
        <v>1073</v>
      </c>
      <c r="B977" s="1">
        <v>45729</v>
      </c>
      <c r="C977" t="s">
        <v>910</v>
      </c>
      <c r="D977">
        <v>3</v>
      </c>
      <c r="E977">
        <v>13</v>
      </c>
      <c r="F977" t="s">
        <v>88</v>
      </c>
      <c r="G977" t="s">
        <v>96</v>
      </c>
      <c r="H977" t="s">
        <v>77</v>
      </c>
      <c r="I977" t="s">
        <v>49</v>
      </c>
      <c r="J977" t="s">
        <v>50</v>
      </c>
      <c r="K977" t="s">
        <v>38</v>
      </c>
      <c r="L977">
        <v>1</v>
      </c>
      <c r="M977">
        <v>322</v>
      </c>
      <c r="N977">
        <v>64.400000000000006</v>
      </c>
      <c r="O977">
        <v>0</v>
      </c>
      <c r="P977">
        <v>322</v>
      </c>
      <c r="Q977">
        <v>257.60000000000002</v>
      </c>
      <c r="R977" t="s">
        <v>39</v>
      </c>
      <c r="S977" t="s">
        <v>31</v>
      </c>
      <c r="T977" t="s">
        <v>40</v>
      </c>
      <c r="U977">
        <v>30</v>
      </c>
      <c r="V977">
        <v>4.2</v>
      </c>
      <c r="W977">
        <f>Table2[[#This Row],[Quantity]]*Table2[[#This Row],[Item_Price]]</f>
        <v>322</v>
      </c>
    </row>
    <row r="978" spans="1:23" x14ac:dyDescent="0.25">
      <c r="A978" t="s">
        <v>1074</v>
      </c>
      <c r="B978" s="1">
        <v>45729</v>
      </c>
      <c r="C978" t="s">
        <v>910</v>
      </c>
      <c r="D978">
        <v>3</v>
      </c>
      <c r="E978">
        <v>13</v>
      </c>
      <c r="F978" t="s">
        <v>88</v>
      </c>
      <c r="G978" t="s">
        <v>80</v>
      </c>
      <c r="H978" t="s">
        <v>139</v>
      </c>
      <c r="I978" t="s">
        <v>27</v>
      </c>
      <c r="J978" t="s">
        <v>62</v>
      </c>
      <c r="K978" t="s">
        <v>45</v>
      </c>
      <c r="L978">
        <v>1</v>
      </c>
      <c r="M978">
        <v>155</v>
      </c>
      <c r="N978">
        <v>7.75</v>
      </c>
      <c r="O978">
        <v>40</v>
      </c>
      <c r="P978">
        <v>155</v>
      </c>
      <c r="Q978">
        <v>187.25</v>
      </c>
      <c r="R978" t="s">
        <v>30</v>
      </c>
      <c r="S978" t="s">
        <v>46</v>
      </c>
      <c r="T978" t="s">
        <v>40</v>
      </c>
      <c r="U978">
        <v>20</v>
      </c>
      <c r="W978">
        <f>Table2[[#This Row],[Quantity]]*Table2[[#This Row],[Item_Price]]</f>
        <v>155</v>
      </c>
    </row>
    <row r="979" spans="1:23" x14ac:dyDescent="0.25">
      <c r="A979" t="s">
        <v>1075</v>
      </c>
      <c r="B979" s="1">
        <v>45729</v>
      </c>
      <c r="C979" t="s">
        <v>910</v>
      </c>
      <c r="D979">
        <v>3</v>
      </c>
      <c r="E979">
        <v>13</v>
      </c>
      <c r="F979" t="s">
        <v>88</v>
      </c>
      <c r="G979" t="s">
        <v>73</v>
      </c>
      <c r="H979" t="s">
        <v>56</v>
      </c>
      <c r="I979" t="s">
        <v>103</v>
      </c>
      <c r="J979" t="s">
        <v>94</v>
      </c>
      <c r="K979" t="s">
        <v>45</v>
      </c>
      <c r="L979">
        <v>1</v>
      </c>
      <c r="M979">
        <v>871</v>
      </c>
      <c r="N979">
        <v>174.2</v>
      </c>
      <c r="O979">
        <v>60</v>
      </c>
      <c r="P979">
        <v>871</v>
      </c>
      <c r="Q979">
        <v>756.8</v>
      </c>
      <c r="R979" t="s">
        <v>39</v>
      </c>
      <c r="S979" t="s">
        <v>31</v>
      </c>
      <c r="T979" t="s">
        <v>32</v>
      </c>
      <c r="U979">
        <v>42</v>
      </c>
      <c r="V979">
        <v>3.9</v>
      </c>
      <c r="W979">
        <f>Table2[[#This Row],[Quantity]]*Table2[[#This Row],[Item_Price]]</f>
        <v>871</v>
      </c>
    </row>
    <row r="980" spans="1:23" x14ac:dyDescent="0.25">
      <c r="A980" t="s">
        <v>1076</v>
      </c>
      <c r="B980" s="1">
        <v>45729</v>
      </c>
      <c r="C980" t="s">
        <v>910</v>
      </c>
      <c r="D980">
        <v>3</v>
      </c>
      <c r="E980">
        <v>13</v>
      </c>
      <c r="F980" t="s">
        <v>88</v>
      </c>
      <c r="G980" t="s">
        <v>96</v>
      </c>
      <c r="H980" t="s">
        <v>26</v>
      </c>
      <c r="I980" t="s">
        <v>85</v>
      </c>
      <c r="J980" t="s">
        <v>94</v>
      </c>
      <c r="K980" t="s">
        <v>38</v>
      </c>
      <c r="L980">
        <v>1</v>
      </c>
      <c r="M980">
        <v>838</v>
      </c>
      <c r="N980">
        <v>125.7</v>
      </c>
      <c r="O980">
        <v>40</v>
      </c>
      <c r="P980">
        <v>838</v>
      </c>
      <c r="Q980">
        <v>752.3</v>
      </c>
      <c r="R980" t="s">
        <v>30</v>
      </c>
      <c r="S980" t="s">
        <v>91</v>
      </c>
      <c r="T980" t="s">
        <v>40</v>
      </c>
      <c r="U980">
        <v>49</v>
      </c>
      <c r="W980">
        <f>Table2[[#This Row],[Quantity]]*Table2[[#This Row],[Item_Price]]</f>
        <v>838</v>
      </c>
    </row>
    <row r="981" spans="1:23" x14ac:dyDescent="0.25">
      <c r="A981" t="s">
        <v>1077</v>
      </c>
      <c r="B981" s="1">
        <v>45729</v>
      </c>
      <c r="C981" t="s">
        <v>910</v>
      </c>
      <c r="D981">
        <v>3</v>
      </c>
      <c r="E981">
        <v>13</v>
      </c>
      <c r="F981" t="s">
        <v>88</v>
      </c>
      <c r="G981" t="s">
        <v>55</v>
      </c>
      <c r="H981" t="s">
        <v>81</v>
      </c>
      <c r="I981" t="s">
        <v>49</v>
      </c>
      <c r="J981" t="s">
        <v>50</v>
      </c>
      <c r="K981" t="s">
        <v>38</v>
      </c>
      <c r="L981">
        <v>1</v>
      </c>
      <c r="M981">
        <v>356</v>
      </c>
      <c r="N981">
        <v>0</v>
      </c>
      <c r="O981">
        <v>70</v>
      </c>
      <c r="P981">
        <v>356</v>
      </c>
      <c r="Q981">
        <v>426</v>
      </c>
      <c r="R981" t="s">
        <v>30</v>
      </c>
      <c r="S981" t="s">
        <v>31</v>
      </c>
      <c r="T981" t="s">
        <v>40</v>
      </c>
      <c r="U981">
        <v>42</v>
      </c>
      <c r="V981">
        <v>4.5999999999999996</v>
      </c>
      <c r="W981">
        <f>Table2[[#This Row],[Quantity]]*Table2[[#This Row],[Item_Price]]</f>
        <v>356</v>
      </c>
    </row>
    <row r="982" spans="1:23" x14ac:dyDescent="0.25">
      <c r="A982" t="s">
        <v>1078</v>
      </c>
      <c r="B982" s="1">
        <v>45729</v>
      </c>
      <c r="C982" t="s">
        <v>910</v>
      </c>
      <c r="D982">
        <v>3</v>
      </c>
      <c r="E982">
        <v>13</v>
      </c>
      <c r="F982" t="s">
        <v>88</v>
      </c>
      <c r="G982" t="s">
        <v>25</v>
      </c>
      <c r="H982" t="s">
        <v>48</v>
      </c>
      <c r="I982" t="s">
        <v>43</v>
      </c>
      <c r="J982" t="s">
        <v>28</v>
      </c>
      <c r="K982" t="s">
        <v>58</v>
      </c>
      <c r="L982">
        <v>1</v>
      </c>
      <c r="M982">
        <v>318</v>
      </c>
      <c r="N982">
        <v>47.7</v>
      </c>
      <c r="O982">
        <v>70</v>
      </c>
      <c r="P982">
        <v>318</v>
      </c>
      <c r="Q982">
        <v>340.3</v>
      </c>
      <c r="R982" t="s">
        <v>30</v>
      </c>
      <c r="S982" t="s">
        <v>31</v>
      </c>
      <c r="T982" t="s">
        <v>40</v>
      </c>
      <c r="U982">
        <v>66</v>
      </c>
      <c r="V982">
        <v>4.0999999999999996</v>
      </c>
      <c r="W982">
        <f>Table2[[#This Row],[Quantity]]*Table2[[#This Row],[Item_Price]]</f>
        <v>318</v>
      </c>
    </row>
    <row r="983" spans="1:23" x14ac:dyDescent="0.25">
      <c r="A983" t="s">
        <v>1079</v>
      </c>
      <c r="B983" s="1">
        <v>45729</v>
      </c>
      <c r="C983" t="s">
        <v>910</v>
      </c>
      <c r="D983">
        <v>3</v>
      </c>
      <c r="E983">
        <v>13</v>
      </c>
      <c r="F983" t="s">
        <v>88</v>
      </c>
      <c r="G983" t="s">
        <v>34</v>
      </c>
      <c r="H983" t="s">
        <v>77</v>
      </c>
      <c r="I983" t="s">
        <v>27</v>
      </c>
      <c r="J983" t="s">
        <v>62</v>
      </c>
      <c r="K983" t="s">
        <v>45</v>
      </c>
      <c r="L983">
        <v>2</v>
      </c>
      <c r="M983">
        <v>414</v>
      </c>
      <c r="N983">
        <v>0</v>
      </c>
      <c r="O983">
        <v>60</v>
      </c>
      <c r="P983">
        <v>828</v>
      </c>
      <c r="Q983">
        <v>888</v>
      </c>
      <c r="R983" t="s">
        <v>98</v>
      </c>
      <c r="S983" t="s">
        <v>31</v>
      </c>
      <c r="T983" t="s">
        <v>40</v>
      </c>
      <c r="U983">
        <v>63</v>
      </c>
      <c r="V983">
        <v>4</v>
      </c>
      <c r="W983">
        <f>Table2[[#This Row],[Quantity]]*Table2[[#This Row],[Item_Price]]</f>
        <v>828</v>
      </c>
    </row>
    <row r="984" spans="1:23" x14ac:dyDescent="0.25">
      <c r="A984" t="s">
        <v>1080</v>
      </c>
      <c r="B984" s="1">
        <v>45729</v>
      </c>
      <c r="C984" t="s">
        <v>910</v>
      </c>
      <c r="D984">
        <v>3</v>
      </c>
      <c r="E984">
        <v>13</v>
      </c>
      <c r="F984" t="s">
        <v>88</v>
      </c>
      <c r="G984" t="s">
        <v>55</v>
      </c>
      <c r="H984" t="s">
        <v>60</v>
      </c>
      <c r="I984" t="s">
        <v>97</v>
      </c>
      <c r="J984" t="s">
        <v>28</v>
      </c>
      <c r="K984" t="s">
        <v>45</v>
      </c>
      <c r="L984">
        <v>2</v>
      </c>
      <c r="M984">
        <v>591</v>
      </c>
      <c r="N984">
        <v>59.1</v>
      </c>
      <c r="O984">
        <v>0</v>
      </c>
      <c r="P984">
        <v>1182</v>
      </c>
      <c r="Q984">
        <v>1122.9000000000001</v>
      </c>
      <c r="R984" t="s">
        <v>39</v>
      </c>
      <c r="S984" t="s">
        <v>31</v>
      </c>
      <c r="T984" t="s">
        <v>40</v>
      </c>
      <c r="U984">
        <v>28</v>
      </c>
      <c r="V984">
        <v>4.8</v>
      </c>
      <c r="W984">
        <f>Table2[[#This Row],[Quantity]]*Table2[[#This Row],[Item_Price]]</f>
        <v>1182</v>
      </c>
    </row>
    <row r="985" spans="1:23" x14ac:dyDescent="0.25">
      <c r="A985" t="s">
        <v>1081</v>
      </c>
      <c r="B985" s="1">
        <v>45730</v>
      </c>
      <c r="C985" t="s">
        <v>910</v>
      </c>
      <c r="D985">
        <v>3</v>
      </c>
      <c r="E985">
        <v>14</v>
      </c>
      <c r="F985" t="s">
        <v>114</v>
      </c>
      <c r="G985" t="s">
        <v>34</v>
      </c>
      <c r="H985" t="s">
        <v>77</v>
      </c>
      <c r="I985" t="s">
        <v>27</v>
      </c>
      <c r="J985" t="s">
        <v>70</v>
      </c>
      <c r="K985" t="s">
        <v>38</v>
      </c>
      <c r="L985">
        <v>1</v>
      </c>
      <c r="M985">
        <v>722</v>
      </c>
      <c r="N985">
        <v>144.4</v>
      </c>
      <c r="O985">
        <v>50</v>
      </c>
      <c r="P985">
        <v>722</v>
      </c>
      <c r="Q985">
        <v>627.6</v>
      </c>
      <c r="R985" t="s">
        <v>39</v>
      </c>
      <c r="S985" t="s">
        <v>110</v>
      </c>
      <c r="T985" t="s">
        <v>32</v>
      </c>
      <c r="U985">
        <v>23</v>
      </c>
      <c r="W985">
        <f>Table2[[#This Row],[Quantity]]*Table2[[#This Row],[Item_Price]]</f>
        <v>722</v>
      </c>
    </row>
    <row r="986" spans="1:23" x14ac:dyDescent="0.25">
      <c r="A986" t="s">
        <v>1082</v>
      </c>
      <c r="B986" s="1">
        <v>45730</v>
      </c>
      <c r="C986" t="s">
        <v>910</v>
      </c>
      <c r="D986">
        <v>3</v>
      </c>
      <c r="E986">
        <v>14</v>
      </c>
      <c r="F986" t="s">
        <v>114</v>
      </c>
      <c r="G986" t="s">
        <v>25</v>
      </c>
      <c r="H986" t="s">
        <v>42</v>
      </c>
      <c r="I986" t="s">
        <v>57</v>
      </c>
      <c r="J986" t="s">
        <v>62</v>
      </c>
      <c r="K986" t="s">
        <v>38</v>
      </c>
      <c r="L986">
        <v>3</v>
      </c>
      <c r="M986">
        <v>689</v>
      </c>
      <c r="N986">
        <v>103.35</v>
      </c>
      <c r="O986">
        <v>60</v>
      </c>
      <c r="P986">
        <v>2067</v>
      </c>
      <c r="Q986">
        <v>2023.65</v>
      </c>
      <c r="R986" t="s">
        <v>39</v>
      </c>
      <c r="S986" t="s">
        <v>31</v>
      </c>
      <c r="T986" t="s">
        <v>40</v>
      </c>
      <c r="U986">
        <v>18</v>
      </c>
      <c r="V986">
        <v>4.9000000000000004</v>
      </c>
      <c r="W986">
        <f>Table2[[#This Row],[Quantity]]*Table2[[#This Row],[Item_Price]]</f>
        <v>2067</v>
      </c>
    </row>
    <row r="987" spans="1:23" x14ac:dyDescent="0.25">
      <c r="A987" t="s">
        <v>1083</v>
      </c>
      <c r="B987" s="1">
        <v>45730</v>
      </c>
      <c r="C987" t="s">
        <v>910</v>
      </c>
      <c r="D987">
        <v>3</v>
      </c>
      <c r="E987">
        <v>14</v>
      </c>
      <c r="F987" t="s">
        <v>114</v>
      </c>
      <c r="G987" t="s">
        <v>90</v>
      </c>
      <c r="H987" t="s">
        <v>139</v>
      </c>
      <c r="I987" t="s">
        <v>49</v>
      </c>
      <c r="J987" t="s">
        <v>123</v>
      </c>
      <c r="K987" t="s">
        <v>38</v>
      </c>
      <c r="L987">
        <v>2</v>
      </c>
      <c r="M987">
        <v>557</v>
      </c>
      <c r="N987">
        <v>83.55</v>
      </c>
      <c r="O987">
        <v>30</v>
      </c>
      <c r="P987">
        <v>1114</v>
      </c>
      <c r="Q987">
        <v>1060.45</v>
      </c>
      <c r="R987" t="s">
        <v>39</v>
      </c>
      <c r="S987" t="s">
        <v>31</v>
      </c>
      <c r="T987" t="s">
        <v>40</v>
      </c>
      <c r="U987">
        <v>55</v>
      </c>
      <c r="V987">
        <v>4</v>
      </c>
      <c r="W987">
        <f>Table2[[#This Row],[Quantity]]*Table2[[#This Row],[Item_Price]]</f>
        <v>1114</v>
      </c>
    </row>
    <row r="988" spans="1:23" x14ac:dyDescent="0.25">
      <c r="A988" t="s">
        <v>1084</v>
      </c>
      <c r="B988" s="1">
        <v>45730</v>
      </c>
      <c r="C988" t="s">
        <v>910</v>
      </c>
      <c r="D988">
        <v>3</v>
      </c>
      <c r="E988">
        <v>14</v>
      </c>
      <c r="F988" t="s">
        <v>114</v>
      </c>
      <c r="G988" t="s">
        <v>64</v>
      </c>
      <c r="H988" t="s">
        <v>65</v>
      </c>
      <c r="I988" t="s">
        <v>103</v>
      </c>
      <c r="J988" t="s">
        <v>66</v>
      </c>
      <c r="K988" t="s">
        <v>38</v>
      </c>
      <c r="L988">
        <v>2</v>
      </c>
      <c r="M988">
        <v>691</v>
      </c>
      <c r="N988">
        <v>34.549999999999997</v>
      </c>
      <c r="O988">
        <v>70</v>
      </c>
      <c r="P988">
        <v>1382</v>
      </c>
      <c r="Q988">
        <v>1417.45</v>
      </c>
      <c r="R988" t="s">
        <v>39</v>
      </c>
      <c r="S988" t="s">
        <v>31</v>
      </c>
      <c r="T988" t="s">
        <v>40</v>
      </c>
      <c r="U988">
        <v>50</v>
      </c>
      <c r="V988">
        <v>3.4</v>
      </c>
      <c r="W988">
        <f>Table2[[#This Row],[Quantity]]*Table2[[#This Row],[Item_Price]]</f>
        <v>1382</v>
      </c>
    </row>
    <row r="989" spans="1:23" x14ac:dyDescent="0.25">
      <c r="A989" t="s">
        <v>1085</v>
      </c>
      <c r="B989" s="1">
        <v>45730</v>
      </c>
      <c r="C989" t="s">
        <v>910</v>
      </c>
      <c r="D989">
        <v>3</v>
      </c>
      <c r="E989">
        <v>14</v>
      </c>
      <c r="F989" t="s">
        <v>114</v>
      </c>
      <c r="G989" t="s">
        <v>25</v>
      </c>
      <c r="H989" t="s">
        <v>108</v>
      </c>
      <c r="I989" t="s">
        <v>69</v>
      </c>
      <c r="J989" t="s">
        <v>172</v>
      </c>
      <c r="K989" t="s">
        <v>38</v>
      </c>
      <c r="L989">
        <v>1</v>
      </c>
      <c r="M989">
        <v>572</v>
      </c>
      <c r="N989">
        <v>85.8</v>
      </c>
      <c r="O989">
        <v>50</v>
      </c>
      <c r="P989">
        <v>572</v>
      </c>
      <c r="Q989">
        <v>536.20000000000005</v>
      </c>
      <c r="R989" t="s">
        <v>39</v>
      </c>
      <c r="S989" t="s">
        <v>46</v>
      </c>
      <c r="T989" t="s">
        <v>40</v>
      </c>
      <c r="U989">
        <v>51</v>
      </c>
      <c r="W989">
        <f>Table2[[#This Row],[Quantity]]*Table2[[#This Row],[Item_Price]]</f>
        <v>572</v>
      </c>
    </row>
    <row r="990" spans="1:23" x14ac:dyDescent="0.25">
      <c r="A990" t="s">
        <v>1086</v>
      </c>
      <c r="B990" s="1">
        <v>45730</v>
      </c>
      <c r="C990" t="s">
        <v>910</v>
      </c>
      <c r="D990">
        <v>3</v>
      </c>
      <c r="E990">
        <v>14</v>
      </c>
      <c r="F990" t="s">
        <v>114</v>
      </c>
      <c r="G990" t="s">
        <v>25</v>
      </c>
      <c r="H990" t="s">
        <v>108</v>
      </c>
      <c r="I990" t="s">
        <v>43</v>
      </c>
      <c r="J990" t="s">
        <v>50</v>
      </c>
      <c r="K990" t="s">
        <v>38</v>
      </c>
      <c r="L990">
        <v>1</v>
      </c>
      <c r="M990">
        <v>756</v>
      </c>
      <c r="N990">
        <v>151.19999999999999</v>
      </c>
      <c r="O990">
        <v>20</v>
      </c>
      <c r="P990">
        <v>756</v>
      </c>
      <c r="Q990">
        <v>624.79999999999995</v>
      </c>
      <c r="R990" t="s">
        <v>98</v>
      </c>
      <c r="S990" t="s">
        <v>31</v>
      </c>
      <c r="T990" t="s">
        <v>40</v>
      </c>
      <c r="U990">
        <v>20</v>
      </c>
      <c r="V990">
        <v>4.0999999999999996</v>
      </c>
      <c r="W990">
        <f>Table2[[#This Row],[Quantity]]*Table2[[#This Row],[Item_Price]]</f>
        <v>756</v>
      </c>
    </row>
    <row r="991" spans="1:23" x14ac:dyDescent="0.25">
      <c r="A991" t="s">
        <v>1087</v>
      </c>
      <c r="B991" s="1">
        <v>45730</v>
      </c>
      <c r="C991" t="s">
        <v>910</v>
      </c>
      <c r="D991">
        <v>3</v>
      </c>
      <c r="E991">
        <v>14</v>
      </c>
      <c r="F991" t="s">
        <v>114</v>
      </c>
      <c r="G991" t="s">
        <v>80</v>
      </c>
      <c r="H991" t="s">
        <v>108</v>
      </c>
      <c r="I991" t="s">
        <v>27</v>
      </c>
      <c r="J991" t="s">
        <v>28</v>
      </c>
      <c r="K991" t="s">
        <v>38</v>
      </c>
      <c r="L991">
        <v>1</v>
      </c>
      <c r="M991">
        <v>656</v>
      </c>
      <c r="N991">
        <v>32.799999999999997</v>
      </c>
      <c r="O991">
        <v>50</v>
      </c>
      <c r="P991">
        <v>656</v>
      </c>
      <c r="Q991">
        <v>673.2</v>
      </c>
      <c r="R991" t="s">
        <v>39</v>
      </c>
      <c r="S991" t="s">
        <v>31</v>
      </c>
      <c r="T991" t="s">
        <v>40</v>
      </c>
      <c r="U991">
        <v>19</v>
      </c>
      <c r="V991">
        <v>3.1</v>
      </c>
      <c r="W991">
        <f>Table2[[#This Row],[Quantity]]*Table2[[#This Row],[Item_Price]]</f>
        <v>656</v>
      </c>
    </row>
    <row r="992" spans="1:23" x14ac:dyDescent="0.25">
      <c r="A992" t="s">
        <v>1088</v>
      </c>
      <c r="B992" s="1">
        <v>45730</v>
      </c>
      <c r="C992" t="s">
        <v>910</v>
      </c>
      <c r="D992">
        <v>3</v>
      </c>
      <c r="E992">
        <v>14</v>
      </c>
      <c r="F992" t="s">
        <v>114</v>
      </c>
      <c r="G992" t="s">
        <v>34</v>
      </c>
      <c r="H992" t="s">
        <v>48</v>
      </c>
      <c r="I992" t="s">
        <v>49</v>
      </c>
      <c r="J992" t="s">
        <v>94</v>
      </c>
      <c r="K992" t="s">
        <v>38</v>
      </c>
      <c r="L992">
        <v>3</v>
      </c>
      <c r="M992">
        <v>541</v>
      </c>
      <c r="N992">
        <v>81.150000000000006</v>
      </c>
      <c r="O992">
        <v>30</v>
      </c>
      <c r="P992">
        <v>1623</v>
      </c>
      <c r="Q992">
        <v>1571.85</v>
      </c>
      <c r="R992" t="s">
        <v>75</v>
      </c>
      <c r="S992" t="s">
        <v>31</v>
      </c>
      <c r="T992" t="s">
        <v>40</v>
      </c>
      <c r="U992">
        <v>50</v>
      </c>
      <c r="V992">
        <v>2.4</v>
      </c>
      <c r="W992">
        <f>Table2[[#This Row],[Quantity]]*Table2[[#This Row],[Item_Price]]</f>
        <v>1623</v>
      </c>
    </row>
    <row r="993" spans="1:23" x14ac:dyDescent="0.25">
      <c r="A993" t="s">
        <v>1089</v>
      </c>
      <c r="B993" s="1">
        <v>45730</v>
      </c>
      <c r="C993" t="s">
        <v>910</v>
      </c>
      <c r="D993">
        <v>3</v>
      </c>
      <c r="E993">
        <v>14</v>
      </c>
      <c r="F993" t="s">
        <v>114</v>
      </c>
      <c r="G993" t="s">
        <v>80</v>
      </c>
      <c r="H993" t="s">
        <v>81</v>
      </c>
      <c r="I993" t="s">
        <v>27</v>
      </c>
      <c r="J993" t="s">
        <v>82</v>
      </c>
      <c r="K993" t="s">
        <v>38</v>
      </c>
      <c r="L993">
        <v>1</v>
      </c>
      <c r="M993">
        <v>728</v>
      </c>
      <c r="N993">
        <v>182</v>
      </c>
      <c r="O993">
        <v>0</v>
      </c>
      <c r="P993">
        <v>728</v>
      </c>
      <c r="Q993">
        <v>546</v>
      </c>
      <c r="R993" t="s">
        <v>75</v>
      </c>
      <c r="S993" t="s">
        <v>31</v>
      </c>
      <c r="T993" t="s">
        <v>32</v>
      </c>
      <c r="U993">
        <v>51</v>
      </c>
      <c r="V993">
        <v>4.2</v>
      </c>
      <c r="W993">
        <f>Table2[[#This Row],[Quantity]]*Table2[[#This Row],[Item_Price]]</f>
        <v>728</v>
      </c>
    </row>
    <row r="994" spans="1:23" x14ac:dyDescent="0.25">
      <c r="A994" t="s">
        <v>1090</v>
      </c>
      <c r="B994" s="1">
        <v>45730</v>
      </c>
      <c r="C994" t="s">
        <v>910</v>
      </c>
      <c r="D994">
        <v>3</v>
      </c>
      <c r="E994">
        <v>14</v>
      </c>
      <c r="F994" t="s">
        <v>114</v>
      </c>
      <c r="G994" t="s">
        <v>84</v>
      </c>
      <c r="H994" t="s">
        <v>68</v>
      </c>
      <c r="I994" t="s">
        <v>85</v>
      </c>
      <c r="J994" t="s">
        <v>37</v>
      </c>
      <c r="K994" t="s">
        <v>29</v>
      </c>
      <c r="L994">
        <v>1</v>
      </c>
      <c r="M994">
        <v>547</v>
      </c>
      <c r="N994">
        <v>109.4</v>
      </c>
      <c r="O994">
        <v>0</v>
      </c>
      <c r="P994">
        <v>547</v>
      </c>
      <c r="Q994">
        <v>437.6</v>
      </c>
      <c r="R994" t="s">
        <v>112</v>
      </c>
      <c r="S994" t="s">
        <v>110</v>
      </c>
      <c r="T994" t="s">
        <v>40</v>
      </c>
      <c r="U994">
        <v>22</v>
      </c>
      <c r="W994">
        <f>Table2[[#This Row],[Quantity]]*Table2[[#This Row],[Item_Price]]</f>
        <v>547</v>
      </c>
    </row>
    <row r="995" spans="1:23" x14ac:dyDescent="0.25">
      <c r="A995" t="s">
        <v>1091</v>
      </c>
      <c r="B995" s="1">
        <v>45730</v>
      </c>
      <c r="C995" t="s">
        <v>910</v>
      </c>
      <c r="D995">
        <v>3</v>
      </c>
      <c r="E995">
        <v>14</v>
      </c>
      <c r="F995" t="s">
        <v>114</v>
      </c>
      <c r="G995" t="s">
        <v>73</v>
      </c>
      <c r="H995" t="s">
        <v>139</v>
      </c>
      <c r="I995" t="s">
        <v>36</v>
      </c>
      <c r="J995" t="s">
        <v>94</v>
      </c>
      <c r="K995" t="s">
        <v>38</v>
      </c>
      <c r="L995">
        <v>2</v>
      </c>
      <c r="M995">
        <v>599</v>
      </c>
      <c r="N995">
        <v>59.9</v>
      </c>
      <c r="O995">
        <v>50</v>
      </c>
      <c r="P995">
        <v>1198</v>
      </c>
      <c r="Q995">
        <v>1188.0999999999999</v>
      </c>
      <c r="R995" t="s">
        <v>75</v>
      </c>
      <c r="S995" t="s">
        <v>31</v>
      </c>
      <c r="T995" t="s">
        <v>40</v>
      </c>
      <c r="U995">
        <v>62</v>
      </c>
      <c r="V995">
        <v>4.4000000000000004</v>
      </c>
      <c r="W995">
        <f>Table2[[#This Row],[Quantity]]*Table2[[#This Row],[Item_Price]]</f>
        <v>1198</v>
      </c>
    </row>
    <row r="996" spans="1:23" x14ac:dyDescent="0.25">
      <c r="A996" t="s">
        <v>1092</v>
      </c>
      <c r="B996" s="1">
        <v>45730</v>
      </c>
      <c r="C996" t="s">
        <v>910</v>
      </c>
      <c r="D996">
        <v>3</v>
      </c>
      <c r="E996">
        <v>14</v>
      </c>
      <c r="F996" t="s">
        <v>114</v>
      </c>
      <c r="G996" t="s">
        <v>55</v>
      </c>
      <c r="H996" t="s">
        <v>42</v>
      </c>
      <c r="I996" t="s">
        <v>43</v>
      </c>
      <c r="J996" t="s">
        <v>28</v>
      </c>
      <c r="K996" t="s">
        <v>29</v>
      </c>
      <c r="L996">
        <v>3</v>
      </c>
      <c r="M996">
        <v>134</v>
      </c>
      <c r="N996">
        <v>13.4</v>
      </c>
      <c r="O996">
        <v>20</v>
      </c>
      <c r="P996">
        <v>402</v>
      </c>
      <c r="Q996">
        <v>408.6</v>
      </c>
      <c r="R996" t="s">
        <v>39</v>
      </c>
      <c r="S996" t="s">
        <v>31</v>
      </c>
      <c r="T996" t="s">
        <v>40</v>
      </c>
      <c r="U996">
        <v>69</v>
      </c>
      <c r="V996">
        <v>4.9000000000000004</v>
      </c>
      <c r="W996">
        <f>Table2[[#This Row],[Quantity]]*Table2[[#This Row],[Item_Price]]</f>
        <v>402</v>
      </c>
    </row>
    <row r="997" spans="1:23" x14ac:dyDescent="0.25">
      <c r="A997" t="s">
        <v>1093</v>
      </c>
      <c r="B997" s="1">
        <v>45730</v>
      </c>
      <c r="C997" t="s">
        <v>910</v>
      </c>
      <c r="D997">
        <v>3</v>
      </c>
      <c r="E997">
        <v>14</v>
      </c>
      <c r="F997" t="s">
        <v>114</v>
      </c>
      <c r="G997" t="s">
        <v>84</v>
      </c>
      <c r="H997" t="s">
        <v>52</v>
      </c>
      <c r="I997" t="s">
        <v>36</v>
      </c>
      <c r="J997" t="s">
        <v>101</v>
      </c>
      <c r="K997" t="s">
        <v>38</v>
      </c>
      <c r="L997">
        <v>3</v>
      </c>
      <c r="M997">
        <v>869</v>
      </c>
      <c r="N997">
        <v>130.35</v>
      </c>
      <c r="O997">
        <v>0</v>
      </c>
      <c r="P997">
        <v>2607</v>
      </c>
      <c r="Q997">
        <v>2476.65</v>
      </c>
      <c r="R997" t="s">
        <v>112</v>
      </c>
      <c r="S997" t="s">
        <v>31</v>
      </c>
      <c r="T997" t="s">
        <v>40</v>
      </c>
      <c r="U997">
        <v>60</v>
      </c>
      <c r="V997">
        <v>4</v>
      </c>
      <c r="W997">
        <f>Table2[[#This Row],[Quantity]]*Table2[[#This Row],[Item_Price]]</f>
        <v>2607</v>
      </c>
    </row>
    <row r="998" spans="1:23" x14ac:dyDescent="0.25">
      <c r="A998" t="s">
        <v>1094</v>
      </c>
      <c r="B998" s="1">
        <v>45730</v>
      </c>
      <c r="C998" t="s">
        <v>910</v>
      </c>
      <c r="D998">
        <v>3</v>
      </c>
      <c r="E998">
        <v>14</v>
      </c>
      <c r="F998" t="s">
        <v>114</v>
      </c>
      <c r="G998" t="s">
        <v>115</v>
      </c>
      <c r="H998" t="s">
        <v>68</v>
      </c>
      <c r="I998" t="s">
        <v>97</v>
      </c>
      <c r="J998" t="s">
        <v>101</v>
      </c>
      <c r="K998" t="s">
        <v>38</v>
      </c>
      <c r="L998">
        <v>2</v>
      </c>
      <c r="M998">
        <v>244</v>
      </c>
      <c r="N998">
        <v>36.6</v>
      </c>
      <c r="O998">
        <v>60</v>
      </c>
      <c r="P998">
        <v>488</v>
      </c>
      <c r="Q998">
        <v>511.4</v>
      </c>
      <c r="R998" t="s">
        <v>39</v>
      </c>
      <c r="S998" t="s">
        <v>31</v>
      </c>
      <c r="T998" t="s">
        <v>40</v>
      </c>
      <c r="U998">
        <v>65</v>
      </c>
      <c r="V998">
        <v>3.6</v>
      </c>
      <c r="W998">
        <f>Table2[[#This Row],[Quantity]]*Table2[[#This Row],[Item_Price]]</f>
        <v>488</v>
      </c>
    </row>
    <row r="999" spans="1:23" x14ac:dyDescent="0.25">
      <c r="A999" t="s">
        <v>1095</v>
      </c>
      <c r="B999" s="1">
        <v>45730</v>
      </c>
      <c r="C999" t="s">
        <v>910</v>
      </c>
      <c r="D999">
        <v>3</v>
      </c>
      <c r="E999">
        <v>14</v>
      </c>
      <c r="F999" t="s">
        <v>114</v>
      </c>
      <c r="G999" t="s">
        <v>115</v>
      </c>
      <c r="H999" t="s">
        <v>135</v>
      </c>
      <c r="I999" t="s">
        <v>57</v>
      </c>
      <c r="J999" t="s">
        <v>66</v>
      </c>
      <c r="K999" t="s">
        <v>45</v>
      </c>
      <c r="L999">
        <v>2</v>
      </c>
      <c r="M999">
        <v>254</v>
      </c>
      <c r="N999">
        <v>38.1</v>
      </c>
      <c r="O999">
        <v>60</v>
      </c>
      <c r="P999">
        <v>508</v>
      </c>
      <c r="Q999">
        <v>529.9</v>
      </c>
      <c r="R999" t="s">
        <v>75</v>
      </c>
      <c r="S999" t="s">
        <v>31</v>
      </c>
      <c r="T999" t="s">
        <v>40</v>
      </c>
      <c r="U999">
        <v>50</v>
      </c>
      <c r="V999">
        <v>4.8</v>
      </c>
      <c r="W999">
        <f>Table2[[#This Row],[Quantity]]*Table2[[#This Row],[Item_Price]]</f>
        <v>508</v>
      </c>
    </row>
    <row r="1000" spans="1:23" x14ac:dyDescent="0.25">
      <c r="A1000" t="s">
        <v>1096</v>
      </c>
      <c r="B1000" s="1">
        <v>45730</v>
      </c>
      <c r="C1000" t="s">
        <v>910</v>
      </c>
      <c r="D1000">
        <v>3</v>
      </c>
      <c r="E1000">
        <v>14</v>
      </c>
      <c r="F1000" t="s">
        <v>114</v>
      </c>
      <c r="G1000" t="s">
        <v>25</v>
      </c>
      <c r="H1000" t="s">
        <v>56</v>
      </c>
      <c r="I1000" t="s">
        <v>69</v>
      </c>
      <c r="J1000" t="s">
        <v>172</v>
      </c>
      <c r="K1000" t="s">
        <v>38</v>
      </c>
      <c r="L1000">
        <v>2</v>
      </c>
      <c r="M1000">
        <v>529</v>
      </c>
      <c r="N1000">
        <v>52.9</v>
      </c>
      <c r="O1000">
        <v>20</v>
      </c>
      <c r="P1000">
        <v>1058</v>
      </c>
      <c r="Q1000">
        <v>1025.0999999999999</v>
      </c>
      <c r="R1000" t="s">
        <v>39</v>
      </c>
      <c r="S1000" t="s">
        <v>31</v>
      </c>
      <c r="T1000" t="s">
        <v>40</v>
      </c>
      <c r="U1000">
        <v>62</v>
      </c>
      <c r="V1000">
        <v>2.6</v>
      </c>
      <c r="W1000">
        <f>Table2[[#This Row],[Quantity]]*Table2[[#This Row],[Item_Price]]</f>
        <v>1058</v>
      </c>
    </row>
    <row r="1001" spans="1:23" x14ac:dyDescent="0.25">
      <c r="A1001" t="s">
        <v>1097</v>
      </c>
      <c r="B1001" s="1">
        <v>45730</v>
      </c>
      <c r="C1001" t="s">
        <v>910</v>
      </c>
      <c r="D1001">
        <v>3</v>
      </c>
      <c r="E1001">
        <v>14</v>
      </c>
      <c r="F1001" t="s">
        <v>114</v>
      </c>
      <c r="G1001" t="s">
        <v>84</v>
      </c>
      <c r="H1001" t="s">
        <v>108</v>
      </c>
      <c r="I1001" t="s">
        <v>43</v>
      </c>
      <c r="J1001" t="s">
        <v>82</v>
      </c>
      <c r="K1001" t="s">
        <v>38</v>
      </c>
      <c r="L1001">
        <v>2</v>
      </c>
      <c r="M1001">
        <v>752</v>
      </c>
      <c r="N1001">
        <v>0</v>
      </c>
      <c r="O1001">
        <v>70</v>
      </c>
      <c r="P1001">
        <v>1504</v>
      </c>
      <c r="Q1001">
        <v>1574</v>
      </c>
      <c r="R1001" t="s">
        <v>39</v>
      </c>
      <c r="S1001" t="s">
        <v>31</v>
      </c>
      <c r="T1001" t="s">
        <v>32</v>
      </c>
      <c r="U1001">
        <v>67</v>
      </c>
      <c r="V1001">
        <v>4</v>
      </c>
      <c r="W1001">
        <f>Table2[[#This Row],[Quantity]]*Table2[[#This Row],[Item_Price]]</f>
        <v>1504</v>
      </c>
    </row>
    <row r="1002" spans="1:23" x14ac:dyDescent="0.25">
      <c r="A1002" t="s">
        <v>1098</v>
      </c>
      <c r="B1002" s="1">
        <v>45731</v>
      </c>
      <c r="C1002" t="s">
        <v>910</v>
      </c>
      <c r="D1002">
        <v>3</v>
      </c>
      <c r="E1002">
        <v>15</v>
      </c>
      <c r="F1002" t="s">
        <v>134</v>
      </c>
      <c r="G1002" t="s">
        <v>115</v>
      </c>
      <c r="H1002" t="s">
        <v>60</v>
      </c>
      <c r="I1002" t="s">
        <v>69</v>
      </c>
      <c r="J1002" t="s">
        <v>78</v>
      </c>
      <c r="K1002" t="s">
        <v>45</v>
      </c>
      <c r="L1002">
        <v>1</v>
      </c>
      <c r="M1002">
        <v>663</v>
      </c>
      <c r="N1002">
        <v>66.3</v>
      </c>
      <c r="O1002">
        <v>30</v>
      </c>
      <c r="P1002">
        <v>663</v>
      </c>
      <c r="Q1002">
        <v>626.70000000000005</v>
      </c>
      <c r="R1002" t="s">
        <v>39</v>
      </c>
      <c r="S1002" t="s">
        <v>31</v>
      </c>
      <c r="T1002" t="s">
        <v>32</v>
      </c>
      <c r="U1002">
        <v>46</v>
      </c>
      <c r="V1002">
        <v>3.4</v>
      </c>
      <c r="W1002">
        <f>Table2[[#This Row],[Quantity]]*Table2[[#This Row],[Item_Price]]</f>
        <v>663</v>
      </c>
    </row>
    <row r="1003" spans="1:23" x14ac:dyDescent="0.25">
      <c r="A1003" t="s">
        <v>1099</v>
      </c>
      <c r="B1003" s="1">
        <v>45731</v>
      </c>
      <c r="C1003" t="s">
        <v>910</v>
      </c>
      <c r="D1003">
        <v>3</v>
      </c>
      <c r="E1003">
        <v>15</v>
      </c>
      <c r="F1003" t="s">
        <v>134</v>
      </c>
      <c r="G1003" t="s">
        <v>64</v>
      </c>
      <c r="H1003" t="s">
        <v>35</v>
      </c>
      <c r="I1003" t="s">
        <v>103</v>
      </c>
      <c r="J1003" t="s">
        <v>44</v>
      </c>
      <c r="K1003" t="s">
        <v>45</v>
      </c>
      <c r="L1003">
        <v>3</v>
      </c>
      <c r="M1003">
        <v>555</v>
      </c>
      <c r="N1003">
        <v>55.5</v>
      </c>
      <c r="O1003">
        <v>40</v>
      </c>
      <c r="P1003">
        <v>1665</v>
      </c>
      <c r="Q1003">
        <v>1649.5</v>
      </c>
      <c r="R1003" t="s">
        <v>39</v>
      </c>
      <c r="S1003" t="s">
        <v>31</v>
      </c>
      <c r="T1003" t="s">
        <v>40</v>
      </c>
      <c r="U1003">
        <v>56</v>
      </c>
      <c r="V1003">
        <v>5</v>
      </c>
      <c r="W1003">
        <f>Table2[[#This Row],[Quantity]]*Table2[[#This Row],[Item_Price]]</f>
        <v>1665</v>
      </c>
    </row>
    <row r="1004" spans="1:23" x14ac:dyDescent="0.25">
      <c r="A1004" t="s">
        <v>1100</v>
      </c>
      <c r="B1004" s="1">
        <v>45731</v>
      </c>
      <c r="C1004" t="s">
        <v>910</v>
      </c>
      <c r="D1004">
        <v>3</v>
      </c>
      <c r="E1004">
        <v>15</v>
      </c>
      <c r="F1004" t="s">
        <v>134</v>
      </c>
      <c r="G1004" t="s">
        <v>64</v>
      </c>
      <c r="H1004" t="s">
        <v>139</v>
      </c>
      <c r="I1004" t="s">
        <v>103</v>
      </c>
      <c r="J1004" t="s">
        <v>28</v>
      </c>
      <c r="K1004" t="s">
        <v>38</v>
      </c>
      <c r="L1004">
        <v>1</v>
      </c>
      <c r="M1004">
        <v>868</v>
      </c>
      <c r="N1004">
        <v>86.8</v>
      </c>
      <c r="O1004">
        <v>50</v>
      </c>
      <c r="P1004">
        <v>868</v>
      </c>
      <c r="Q1004">
        <v>831.2</v>
      </c>
      <c r="R1004" t="s">
        <v>75</v>
      </c>
      <c r="S1004" t="s">
        <v>91</v>
      </c>
      <c r="T1004" t="s">
        <v>40</v>
      </c>
      <c r="U1004">
        <v>48</v>
      </c>
      <c r="W1004">
        <f>Table2[[#This Row],[Quantity]]*Table2[[#This Row],[Item_Price]]</f>
        <v>868</v>
      </c>
    </row>
    <row r="1005" spans="1:23" x14ac:dyDescent="0.25">
      <c r="A1005" t="s">
        <v>1101</v>
      </c>
      <c r="B1005" s="1">
        <v>45731</v>
      </c>
      <c r="C1005" t="s">
        <v>910</v>
      </c>
      <c r="D1005">
        <v>3</v>
      </c>
      <c r="E1005">
        <v>15</v>
      </c>
      <c r="F1005" t="s">
        <v>134</v>
      </c>
      <c r="G1005" t="s">
        <v>34</v>
      </c>
      <c r="H1005" t="s">
        <v>48</v>
      </c>
      <c r="I1005" t="s">
        <v>27</v>
      </c>
      <c r="J1005" t="s">
        <v>119</v>
      </c>
      <c r="K1005" t="s">
        <v>45</v>
      </c>
      <c r="L1005">
        <v>1</v>
      </c>
      <c r="M1005">
        <v>239</v>
      </c>
      <c r="N1005">
        <v>11.95</v>
      </c>
      <c r="O1005">
        <v>50</v>
      </c>
      <c r="P1005">
        <v>239</v>
      </c>
      <c r="Q1005">
        <v>277.05</v>
      </c>
      <c r="R1005" t="s">
        <v>30</v>
      </c>
      <c r="S1005" t="s">
        <v>46</v>
      </c>
      <c r="T1005" t="s">
        <v>32</v>
      </c>
      <c r="U1005">
        <v>69</v>
      </c>
      <c r="W1005">
        <f>Table2[[#This Row],[Quantity]]*Table2[[#This Row],[Item_Price]]</f>
        <v>239</v>
      </c>
    </row>
    <row r="1006" spans="1:23" x14ac:dyDescent="0.25">
      <c r="A1006" t="s">
        <v>1102</v>
      </c>
      <c r="B1006" s="1">
        <v>45731</v>
      </c>
      <c r="C1006" t="s">
        <v>910</v>
      </c>
      <c r="D1006">
        <v>3</v>
      </c>
      <c r="E1006">
        <v>15</v>
      </c>
      <c r="F1006" t="s">
        <v>134</v>
      </c>
      <c r="G1006" t="s">
        <v>115</v>
      </c>
      <c r="H1006" t="s">
        <v>35</v>
      </c>
      <c r="I1006" t="s">
        <v>85</v>
      </c>
      <c r="J1006" t="s">
        <v>44</v>
      </c>
      <c r="K1006" t="s">
        <v>29</v>
      </c>
      <c r="L1006">
        <v>2</v>
      </c>
      <c r="M1006">
        <v>465</v>
      </c>
      <c r="N1006">
        <v>0</v>
      </c>
      <c r="O1006">
        <v>20</v>
      </c>
      <c r="P1006">
        <v>930</v>
      </c>
      <c r="Q1006">
        <v>950</v>
      </c>
      <c r="R1006" t="s">
        <v>39</v>
      </c>
      <c r="S1006" t="s">
        <v>31</v>
      </c>
      <c r="T1006" t="s">
        <v>32</v>
      </c>
      <c r="U1006">
        <v>29</v>
      </c>
      <c r="V1006">
        <v>3.7</v>
      </c>
      <c r="W1006">
        <f>Table2[[#This Row],[Quantity]]*Table2[[#This Row],[Item_Price]]</f>
        <v>930</v>
      </c>
    </row>
    <row r="1007" spans="1:23" x14ac:dyDescent="0.25">
      <c r="A1007" t="s">
        <v>1103</v>
      </c>
      <c r="B1007" s="1">
        <v>45731</v>
      </c>
      <c r="C1007" t="s">
        <v>910</v>
      </c>
      <c r="D1007">
        <v>3</v>
      </c>
      <c r="E1007">
        <v>15</v>
      </c>
      <c r="F1007" t="s">
        <v>134</v>
      </c>
      <c r="G1007" t="s">
        <v>64</v>
      </c>
      <c r="H1007" t="s">
        <v>135</v>
      </c>
      <c r="I1007" t="s">
        <v>103</v>
      </c>
      <c r="J1007" t="s">
        <v>74</v>
      </c>
      <c r="K1007" t="s">
        <v>38</v>
      </c>
      <c r="L1007">
        <v>2</v>
      </c>
      <c r="M1007">
        <v>166</v>
      </c>
      <c r="N1007">
        <v>41.5</v>
      </c>
      <c r="O1007">
        <v>30</v>
      </c>
      <c r="P1007">
        <v>332</v>
      </c>
      <c r="Q1007">
        <v>320.5</v>
      </c>
      <c r="R1007" t="s">
        <v>30</v>
      </c>
      <c r="S1007" t="s">
        <v>31</v>
      </c>
      <c r="T1007" t="s">
        <v>40</v>
      </c>
      <c r="U1007">
        <v>19</v>
      </c>
      <c r="V1007">
        <v>3.6</v>
      </c>
      <c r="W1007">
        <f>Table2[[#This Row],[Quantity]]*Table2[[#This Row],[Item_Price]]</f>
        <v>332</v>
      </c>
    </row>
    <row r="1008" spans="1:23" x14ac:dyDescent="0.25">
      <c r="A1008" t="s">
        <v>1104</v>
      </c>
      <c r="B1008" s="1">
        <v>45731</v>
      </c>
      <c r="C1008" t="s">
        <v>910</v>
      </c>
      <c r="D1008">
        <v>3</v>
      </c>
      <c r="E1008">
        <v>15</v>
      </c>
      <c r="F1008" t="s">
        <v>134</v>
      </c>
      <c r="G1008" t="s">
        <v>64</v>
      </c>
      <c r="H1008" t="s">
        <v>42</v>
      </c>
      <c r="I1008" t="s">
        <v>43</v>
      </c>
      <c r="J1008" t="s">
        <v>70</v>
      </c>
      <c r="K1008" t="s">
        <v>38</v>
      </c>
      <c r="L1008">
        <v>2</v>
      </c>
      <c r="M1008">
        <v>238</v>
      </c>
      <c r="N1008">
        <v>35.700000000000003</v>
      </c>
      <c r="O1008">
        <v>0</v>
      </c>
      <c r="P1008">
        <v>476</v>
      </c>
      <c r="Q1008">
        <v>440.3</v>
      </c>
      <c r="R1008" t="s">
        <v>39</v>
      </c>
      <c r="S1008" t="s">
        <v>31</v>
      </c>
      <c r="T1008" t="s">
        <v>40</v>
      </c>
      <c r="U1008">
        <v>50</v>
      </c>
      <c r="V1008">
        <v>3.7</v>
      </c>
      <c r="W1008">
        <f>Table2[[#This Row],[Quantity]]*Table2[[#This Row],[Item_Price]]</f>
        <v>476</v>
      </c>
    </row>
    <row r="1009" spans="1:23" x14ac:dyDescent="0.25">
      <c r="A1009" t="s">
        <v>1105</v>
      </c>
      <c r="B1009" s="1">
        <v>45731</v>
      </c>
      <c r="C1009" t="s">
        <v>910</v>
      </c>
      <c r="D1009">
        <v>3</v>
      </c>
      <c r="E1009">
        <v>15</v>
      </c>
      <c r="F1009" t="s">
        <v>134</v>
      </c>
      <c r="G1009" t="s">
        <v>64</v>
      </c>
      <c r="H1009" t="s">
        <v>105</v>
      </c>
      <c r="I1009" t="s">
        <v>43</v>
      </c>
      <c r="J1009" t="s">
        <v>66</v>
      </c>
      <c r="K1009" t="s">
        <v>38</v>
      </c>
      <c r="L1009">
        <v>2</v>
      </c>
      <c r="M1009">
        <v>470</v>
      </c>
      <c r="N1009">
        <v>23.5</v>
      </c>
      <c r="O1009">
        <v>30</v>
      </c>
      <c r="P1009">
        <v>940</v>
      </c>
      <c r="Q1009">
        <v>946.5</v>
      </c>
      <c r="R1009" t="s">
        <v>39</v>
      </c>
      <c r="S1009" t="s">
        <v>110</v>
      </c>
      <c r="T1009" t="s">
        <v>32</v>
      </c>
      <c r="U1009">
        <v>30</v>
      </c>
      <c r="W1009">
        <f>Table2[[#This Row],[Quantity]]*Table2[[#This Row],[Item_Price]]</f>
        <v>940</v>
      </c>
    </row>
    <row r="1010" spans="1:23" x14ac:dyDescent="0.25">
      <c r="A1010" t="s">
        <v>1106</v>
      </c>
      <c r="B1010" s="1">
        <v>45731</v>
      </c>
      <c r="C1010" t="s">
        <v>910</v>
      </c>
      <c r="D1010">
        <v>3</v>
      </c>
      <c r="E1010">
        <v>15</v>
      </c>
      <c r="F1010" t="s">
        <v>134</v>
      </c>
      <c r="G1010" t="s">
        <v>73</v>
      </c>
      <c r="H1010" t="s">
        <v>139</v>
      </c>
      <c r="I1010" t="s">
        <v>61</v>
      </c>
      <c r="J1010" t="s">
        <v>37</v>
      </c>
      <c r="K1010" t="s">
        <v>45</v>
      </c>
      <c r="L1010">
        <v>2</v>
      </c>
      <c r="M1010">
        <v>780</v>
      </c>
      <c r="N1010">
        <v>195</v>
      </c>
      <c r="O1010">
        <v>50</v>
      </c>
      <c r="P1010">
        <v>1560</v>
      </c>
      <c r="Q1010">
        <v>1415</v>
      </c>
      <c r="R1010" t="s">
        <v>39</v>
      </c>
      <c r="S1010" t="s">
        <v>91</v>
      </c>
      <c r="T1010" t="s">
        <v>32</v>
      </c>
      <c r="U1010">
        <v>18</v>
      </c>
      <c r="W1010">
        <f>Table2[[#This Row],[Quantity]]*Table2[[#This Row],[Item_Price]]</f>
        <v>1560</v>
      </c>
    </row>
    <row r="1011" spans="1:23" x14ac:dyDescent="0.25">
      <c r="A1011" t="s">
        <v>1107</v>
      </c>
      <c r="B1011" s="1">
        <v>45731</v>
      </c>
      <c r="C1011" t="s">
        <v>910</v>
      </c>
      <c r="D1011">
        <v>3</v>
      </c>
      <c r="E1011">
        <v>15</v>
      </c>
      <c r="F1011" t="s">
        <v>134</v>
      </c>
      <c r="G1011" t="s">
        <v>34</v>
      </c>
      <c r="H1011" t="s">
        <v>42</v>
      </c>
      <c r="I1011" t="s">
        <v>27</v>
      </c>
      <c r="J1011" t="s">
        <v>78</v>
      </c>
      <c r="K1011" t="s">
        <v>38</v>
      </c>
      <c r="L1011">
        <v>3</v>
      </c>
      <c r="M1011">
        <v>614</v>
      </c>
      <c r="N1011">
        <v>153.5</v>
      </c>
      <c r="O1011">
        <v>50</v>
      </c>
      <c r="P1011">
        <v>1842</v>
      </c>
      <c r="Q1011">
        <v>1738.5</v>
      </c>
      <c r="R1011" t="s">
        <v>30</v>
      </c>
      <c r="S1011" t="s">
        <v>31</v>
      </c>
      <c r="T1011" t="s">
        <v>40</v>
      </c>
      <c r="U1011">
        <v>58</v>
      </c>
      <c r="V1011">
        <v>3.8</v>
      </c>
      <c r="W1011">
        <f>Table2[[#This Row],[Quantity]]*Table2[[#This Row],[Item_Price]]</f>
        <v>1842</v>
      </c>
    </row>
    <row r="1012" spans="1:23" x14ac:dyDescent="0.25">
      <c r="A1012" t="s">
        <v>1108</v>
      </c>
      <c r="B1012" s="1">
        <v>45731</v>
      </c>
      <c r="C1012" t="s">
        <v>910</v>
      </c>
      <c r="D1012">
        <v>3</v>
      </c>
      <c r="E1012">
        <v>15</v>
      </c>
      <c r="F1012" t="s">
        <v>134</v>
      </c>
      <c r="G1012" t="s">
        <v>90</v>
      </c>
      <c r="H1012" t="s">
        <v>68</v>
      </c>
      <c r="I1012" t="s">
        <v>36</v>
      </c>
      <c r="J1012" t="s">
        <v>37</v>
      </c>
      <c r="K1012" t="s">
        <v>38</v>
      </c>
      <c r="L1012">
        <v>1</v>
      </c>
      <c r="M1012">
        <v>311</v>
      </c>
      <c r="N1012">
        <v>62.2</v>
      </c>
      <c r="O1012">
        <v>0</v>
      </c>
      <c r="P1012">
        <v>311</v>
      </c>
      <c r="Q1012">
        <v>248.8</v>
      </c>
      <c r="R1012" t="s">
        <v>39</v>
      </c>
      <c r="S1012" t="s">
        <v>31</v>
      </c>
      <c r="T1012" t="s">
        <v>32</v>
      </c>
      <c r="U1012">
        <v>43</v>
      </c>
      <c r="V1012">
        <v>3.9</v>
      </c>
      <c r="W1012">
        <f>Table2[[#This Row],[Quantity]]*Table2[[#This Row],[Item_Price]]</f>
        <v>311</v>
      </c>
    </row>
    <row r="1013" spans="1:23" x14ac:dyDescent="0.25">
      <c r="A1013" t="s">
        <v>1109</v>
      </c>
      <c r="B1013" s="1">
        <v>45732</v>
      </c>
      <c r="C1013" t="s">
        <v>910</v>
      </c>
      <c r="D1013">
        <v>3</v>
      </c>
      <c r="E1013">
        <v>16</v>
      </c>
      <c r="F1013" t="s">
        <v>149</v>
      </c>
      <c r="G1013" t="s">
        <v>34</v>
      </c>
      <c r="H1013" t="s">
        <v>139</v>
      </c>
      <c r="I1013" t="s">
        <v>36</v>
      </c>
      <c r="J1013" t="s">
        <v>50</v>
      </c>
      <c r="K1013" t="s">
        <v>38</v>
      </c>
      <c r="L1013">
        <v>1</v>
      </c>
      <c r="M1013">
        <v>552</v>
      </c>
      <c r="N1013">
        <v>55.2</v>
      </c>
      <c r="O1013">
        <v>40</v>
      </c>
      <c r="P1013">
        <v>552</v>
      </c>
      <c r="Q1013">
        <v>536.79999999999995</v>
      </c>
      <c r="R1013" t="s">
        <v>75</v>
      </c>
      <c r="S1013" t="s">
        <v>31</v>
      </c>
      <c r="T1013" t="s">
        <v>32</v>
      </c>
      <c r="U1013">
        <v>38</v>
      </c>
      <c r="V1013">
        <v>3.2</v>
      </c>
      <c r="W1013">
        <f>Table2[[#This Row],[Quantity]]*Table2[[#This Row],[Item_Price]]</f>
        <v>552</v>
      </c>
    </row>
    <row r="1014" spans="1:23" x14ac:dyDescent="0.25">
      <c r="A1014" t="s">
        <v>1110</v>
      </c>
      <c r="B1014" s="1">
        <v>45732</v>
      </c>
      <c r="C1014" t="s">
        <v>910</v>
      </c>
      <c r="D1014">
        <v>3</v>
      </c>
      <c r="E1014">
        <v>16</v>
      </c>
      <c r="F1014" t="s">
        <v>149</v>
      </c>
      <c r="G1014" t="s">
        <v>25</v>
      </c>
      <c r="H1014" t="s">
        <v>56</v>
      </c>
      <c r="I1014" t="s">
        <v>27</v>
      </c>
      <c r="J1014" t="s">
        <v>66</v>
      </c>
      <c r="K1014" t="s">
        <v>38</v>
      </c>
      <c r="L1014">
        <v>1</v>
      </c>
      <c r="M1014">
        <v>354</v>
      </c>
      <c r="N1014">
        <v>70.8</v>
      </c>
      <c r="O1014">
        <v>70</v>
      </c>
      <c r="P1014">
        <v>354</v>
      </c>
      <c r="Q1014">
        <v>353.2</v>
      </c>
      <c r="R1014" t="s">
        <v>112</v>
      </c>
      <c r="S1014" t="s">
        <v>31</v>
      </c>
      <c r="T1014" t="s">
        <v>32</v>
      </c>
      <c r="U1014">
        <v>64</v>
      </c>
      <c r="V1014">
        <v>3.8</v>
      </c>
      <c r="W1014">
        <f>Table2[[#This Row],[Quantity]]*Table2[[#This Row],[Item_Price]]</f>
        <v>354</v>
      </c>
    </row>
    <row r="1015" spans="1:23" x14ac:dyDescent="0.25">
      <c r="A1015" t="s">
        <v>1111</v>
      </c>
      <c r="B1015" s="1">
        <v>45732</v>
      </c>
      <c r="C1015" t="s">
        <v>910</v>
      </c>
      <c r="D1015">
        <v>3</v>
      </c>
      <c r="E1015">
        <v>16</v>
      </c>
      <c r="F1015" t="s">
        <v>149</v>
      </c>
      <c r="G1015" t="s">
        <v>84</v>
      </c>
      <c r="H1015" t="s">
        <v>56</v>
      </c>
      <c r="I1015" t="s">
        <v>57</v>
      </c>
      <c r="J1015" t="s">
        <v>119</v>
      </c>
      <c r="K1015" t="s">
        <v>45</v>
      </c>
      <c r="L1015">
        <v>2</v>
      </c>
      <c r="M1015">
        <v>673</v>
      </c>
      <c r="N1015">
        <v>168.25</v>
      </c>
      <c r="O1015">
        <v>30</v>
      </c>
      <c r="P1015">
        <v>1346</v>
      </c>
      <c r="Q1015">
        <v>1207.75</v>
      </c>
      <c r="R1015" t="s">
        <v>75</v>
      </c>
      <c r="S1015" t="s">
        <v>31</v>
      </c>
      <c r="T1015" t="s">
        <v>40</v>
      </c>
      <c r="U1015">
        <v>52</v>
      </c>
      <c r="V1015">
        <v>3.6</v>
      </c>
      <c r="W1015">
        <f>Table2[[#This Row],[Quantity]]*Table2[[#This Row],[Item_Price]]</f>
        <v>1346</v>
      </c>
    </row>
    <row r="1016" spans="1:23" x14ac:dyDescent="0.25">
      <c r="A1016" t="s">
        <v>1112</v>
      </c>
      <c r="B1016" s="1">
        <v>45732</v>
      </c>
      <c r="C1016" t="s">
        <v>910</v>
      </c>
      <c r="D1016">
        <v>3</v>
      </c>
      <c r="E1016">
        <v>16</v>
      </c>
      <c r="F1016" t="s">
        <v>149</v>
      </c>
      <c r="G1016" t="s">
        <v>84</v>
      </c>
      <c r="H1016" t="s">
        <v>56</v>
      </c>
      <c r="I1016" t="s">
        <v>69</v>
      </c>
      <c r="J1016" t="s">
        <v>101</v>
      </c>
      <c r="K1016" t="s">
        <v>38</v>
      </c>
      <c r="L1016">
        <v>1</v>
      </c>
      <c r="M1016">
        <v>678</v>
      </c>
      <c r="N1016">
        <v>135.6</v>
      </c>
      <c r="O1016">
        <v>50</v>
      </c>
      <c r="P1016">
        <v>678</v>
      </c>
      <c r="Q1016">
        <v>592.4</v>
      </c>
      <c r="R1016" t="s">
        <v>112</v>
      </c>
      <c r="S1016" t="s">
        <v>31</v>
      </c>
      <c r="T1016" t="s">
        <v>32</v>
      </c>
      <c r="U1016">
        <v>18</v>
      </c>
      <c r="V1016">
        <v>4.5999999999999996</v>
      </c>
      <c r="W1016">
        <f>Table2[[#This Row],[Quantity]]*Table2[[#This Row],[Item_Price]]</f>
        <v>678</v>
      </c>
    </row>
    <row r="1017" spans="1:23" x14ac:dyDescent="0.25">
      <c r="A1017" t="s">
        <v>1113</v>
      </c>
      <c r="B1017" s="1">
        <v>45732</v>
      </c>
      <c r="C1017" t="s">
        <v>910</v>
      </c>
      <c r="D1017">
        <v>3</v>
      </c>
      <c r="E1017">
        <v>16</v>
      </c>
      <c r="F1017" t="s">
        <v>149</v>
      </c>
      <c r="G1017" t="s">
        <v>115</v>
      </c>
      <c r="H1017" t="s">
        <v>105</v>
      </c>
      <c r="I1017" t="s">
        <v>36</v>
      </c>
      <c r="J1017" t="s">
        <v>123</v>
      </c>
      <c r="K1017" t="s">
        <v>38</v>
      </c>
      <c r="L1017">
        <v>3</v>
      </c>
      <c r="M1017">
        <v>407</v>
      </c>
      <c r="N1017">
        <v>40.700000000000003</v>
      </c>
      <c r="O1017">
        <v>50</v>
      </c>
      <c r="P1017">
        <v>1221</v>
      </c>
      <c r="Q1017">
        <v>1230.3</v>
      </c>
      <c r="R1017" t="s">
        <v>75</v>
      </c>
      <c r="S1017" t="s">
        <v>31</v>
      </c>
      <c r="T1017" t="s">
        <v>40</v>
      </c>
      <c r="U1017">
        <v>34</v>
      </c>
      <c r="V1017">
        <v>4</v>
      </c>
      <c r="W1017">
        <f>Table2[[#This Row],[Quantity]]*Table2[[#This Row],[Item_Price]]</f>
        <v>1221</v>
      </c>
    </row>
    <row r="1018" spans="1:23" x14ac:dyDescent="0.25">
      <c r="A1018" t="s">
        <v>1114</v>
      </c>
      <c r="B1018" s="1">
        <v>45732</v>
      </c>
      <c r="C1018" t="s">
        <v>910</v>
      </c>
      <c r="D1018">
        <v>3</v>
      </c>
      <c r="E1018">
        <v>16</v>
      </c>
      <c r="F1018" t="s">
        <v>149</v>
      </c>
      <c r="G1018" t="s">
        <v>25</v>
      </c>
      <c r="H1018" t="s">
        <v>65</v>
      </c>
      <c r="I1018" t="s">
        <v>27</v>
      </c>
      <c r="J1018" t="s">
        <v>70</v>
      </c>
      <c r="K1018" t="s">
        <v>38</v>
      </c>
      <c r="L1018">
        <v>1</v>
      </c>
      <c r="M1018">
        <v>394</v>
      </c>
      <c r="N1018">
        <v>59.1</v>
      </c>
      <c r="O1018">
        <v>0</v>
      </c>
      <c r="P1018">
        <v>394</v>
      </c>
      <c r="Q1018">
        <v>334.9</v>
      </c>
      <c r="R1018" t="s">
        <v>75</v>
      </c>
      <c r="S1018" t="s">
        <v>31</v>
      </c>
      <c r="T1018" t="s">
        <v>32</v>
      </c>
      <c r="U1018">
        <v>35</v>
      </c>
      <c r="V1018">
        <v>4.8</v>
      </c>
      <c r="W1018">
        <f>Table2[[#This Row],[Quantity]]*Table2[[#This Row],[Item_Price]]</f>
        <v>394</v>
      </c>
    </row>
    <row r="1019" spans="1:23" x14ac:dyDescent="0.25">
      <c r="A1019" t="s">
        <v>1115</v>
      </c>
      <c r="B1019" s="1">
        <v>45732</v>
      </c>
      <c r="C1019" t="s">
        <v>910</v>
      </c>
      <c r="D1019">
        <v>3</v>
      </c>
      <c r="E1019">
        <v>16</v>
      </c>
      <c r="F1019" t="s">
        <v>149</v>
      </c>
      <c r="G1019" t="s">
        <v>73</v>
      </c>
      <c r="H1019" t="s">
        <v>52</v>
      </c>
      <c r="I1019" t="s">
        <v>57</v>
      </c>
      <c r="J1019" t="s">
        <v>119</v>
      </c>
      <c r="K1019" t="s">
        <v>45</v>
      </c>
      <c r="L1019">
        <v>2</v>
      </c>
      <c r="M1019">
        <v>667</v>
      </c>
      <c r="N1019">
        <v>100.05</v>
      </c>
      <c r="O1019">
        <v>50</v>
      </c>
      <c r="P1019">
        <v>1334</v>
      </c>
      <c r="Q1019">
        <v>1283.95</v>
      </c>
      <c r="R1019" t="s">
        <v>39</v>
      </c>
      <c r="S1019" t="s">
        <v>31</v>
      </c>
      <c r="T1019" t="s">
        <v>40</v>
      </c>
      <c r="U1019">
        <v>39</v>
      </c>
      <c r="V1019">
        <v>3.3</v>
      </c>
      <c r="W1019">
        <f>Table2[[#This Row],[Quantity]]*Table2[[#This Row],[Item_Price]]</f>
        <v>1334</v>
      </c>
    </row>
    <row r="1020" spans="1:23" x14ac:dyDescent="0.25">
      <c r="A1020" t="s">
        <v>1116</v>
      </c>
      <c r="B1020" s="1">
        <v>45732</v>
      </c>
      <c r="C1020" t="s">
        <v>910</v>
      </c>
      <c r="D1020">
        <v>3</v>
      </c>
      <c r="E1020">
        <v>16</v>
      </c>
      <c r="F1020" t="s">
        <v>149</v>
      </c>
      <c r="G1020" t="s">
        <v>80</v>
      </c>
      <c r="H1020" t="s">
        <v>81</v>
      </c>
      <c r="I1020" t="s">
        <v>103</v>
      </c>
      <c r="J1020" t="s">
        <v>70</v>
      </c>
      <c r="K1020" t="s">
        <v>38</v>
      </c>
      <c r="L1020">
        <v>1</v>
      </c>
      <c r="M1020">
        <v>398</v>
      </c>
      <c r="N1020">
        <v>39.799999999999997</v>
      </c>
      <c r="O1020">
        <v>60</v>
      </c>
      <c r="P1020">
        <v>398</v>
      </c>
      <c r="Q1020">
        <v>418.2</v>
      </c>
      <c r="R1020" t="s">
        <v>39</v>
      </c>
      <c r="S1020" t="s">
        <v>46</v>
      </c>
      <c r="T1020" t="s">
        <v>40</v>
      </c>
      <c r="U1020">
        <v>21</v>
      </c>
      <c r="W1020">
        <f>Table2[[#This Row],[Quantity]]*Table2[[#This Row],[Item_Price]]</f>
        <v>398</v>
      </c>
    </row>
    <row r="1021" spans="1:23" x14ac:dyDescent="0.25">
      <c r="A1021" t="s">
        <v>1117</v>
      </c>
      <c r="B1021" s="1">
        <v>45732</v>
      </c>
      <c r="C1021" t="s">
        <v>910</v>
      </c>
      <c r="D1021">
        <v>3</v>
      </c>
      <c r="E1021">
        <v>16</v>
      </c>
      <c r="F1021" t="s">
        <v>149</v>
      </c>
      <c r="G1021" t="s">
        <v>34</v>
      </c>
      <c r="H1021" t="s">
        <v>105</v>
      </c>
      <c r="I1021" t="s">
        <v>103</v>
      </c>
      <c r="J1021" t="s">
        <v>53</v>
      </c>
      <c r="K1021" t="s">
        <v>38</v>
      </c>
      <c r="L1021">
        <v>1</v>
      </c>
      <c r="M1021">
        <v>727</v>
      </c>
      <c r="N1021">
        <v>145.4</v>
      </c>
      <c r="O1021">
        <v>30</v>
      </c>
      <c r="P1021">
        <v>727</v>
      </c>
      <c r="Q1021">
        <v>611.6</v>
      </c>
      <c r="R1021" t="s">
        <v>39</v>
      </c>
      <c r="S1021" t="s">
        <v>31</v>
      </c>
      <c r="T1021" t="s">
        <v>40</v>
      </c>
      <c r="U1021">
        <v>45</v>
      </c>
      <c r="V1021">
        <v>4.4000000000000004</v>
      </c>
      <c r="W1021">
        <f>Table2[[#This Row],[Quantity]]*Table2[[#This Row],[Item_Price]]</f>
        <v>727</v>
      </c>
    </row>
    <row r="1022" spans="1:23" x14ac:dyDescent="0.25">
      <c r="A1022" t="s">
        <v>1118</v>
      </c>
      <c r="B1022" s="1">
        <v>45732</v>
      </c>
      <c r="C1022" t="s">
        <v>910</v>
      </c>
      <c r="D1022">
        <v>3</v>
      </c>
      <c r="E1022">
        <v>16</v>
      </c>
      <c r="F1022" t="s">
        <v>149</v>
      </c>
      <c r="G1022" t="s">
        <v>34</v>
      </c>
      <c r="H1022" t="s">
        <v>42</v>
      </c>
      <c r="I1022" t="s">
        <v>69</v>
      </c>
      <c r="J1022" t="s">
        <v>94</v>
      </c>
      <c r="K1022" t="s">
        <v>38</v>
      </c>
      <c r="L1022">
        <v>2</v>
      </c>
      <c r="M1022">
        <v>632</v>
      </c>
      <c r="N1022">
        <v>63.2</v>
      </c>
      <c r="O1022">
        <v>50</v>
      </c>
      <c r="P1022">
        <v>1264</v>
      </c>
      <c r="Q1022">
        <v>1250.8</v>
      </c>
      <c r="R1022" t="s">
        <v>112</v>
      </c>
      <c r="S1022" t="s">
        <v>31</v>
      </c>
      <c r="T1022" t="s">
        <v>40</v>
      </c>
      <c r="U1022">
        <v>20</v>
      </c>
      <c r="V1022">
        <v>4.7</v>
      </c>
      <c r="W1022">
        <f>Table2[[#This Row],[Quantity]]*Table2[[#This Row],[Item_Price]]</f>
        <v>1264</v>
      </c>
    </row>
    <row r="1023" spans="1:23" x14ac:dyDescent="0.25">
      <c r="A1023" t="s">
        <v>1119</v>
      </c>
      <c r="B1023" s="1">
        <v>45732</v>
      </c>
      <c r="C1023" t="s">
        <v>910</v>
      </c>
      <c r="D1023">
        <v>3</v>
      </c>
      <c r="E1023">
        <v>16</v>
      </c>
      <c r="F1023" t="s">
        <v>149</v>
      </c>
      <c r="G1023" t="s">
        <v>80</v>
      </c>
      <c r="H1023" t="s">
        <v>108</v>
      </c>
      <c r="I1023" t="s">
        <v>61</v>
      </c>
      <c r="J1023" t="s">
        <v>66</v>
      </c>
      <c r="K1023" t="s">
        <v>38</v>
      </c>
      <c r="L1023">
        <v>3</v>
      </c>
      <c r="M1023">
        <v>709</v>
      </c>
      <c r="N1023">
        <v>141.80000000000001</v>
      </c>
      <c r="O1023">
        <v>40</v>
      </c>
      <c r="P1023">
        <v>2127</v>
      </c>
      <c r="Q1023">
        <v>2025.2</v>
      </c>
      <c r="R1023" t="s">
        <v>112</v>
      </c>
      <c r="S1023" t="s">
        <v>31</v>
      </c>
      <c r="T1023" t="s">
        <v>40</v>
      </c>
      <c r="U1023">
        <v>47</v>
      </c>
      <c r="V1023">
        <v>4.8</v>
      </c>
      <c r="W1023">
        <f>Table2[[#This Row],[Quantity]]*Table2[[#This Row],[Item_Price]]</f>
        <v>2127</v>
      </c>
    </row>
    <row r="1024" spans="1:23" x14ac:dyDescent="0.25">
      <c r="A1024" t="s">
        <v>1120</v>
      </c>
      <c r="B1024" s="1">
        <v>45732</v>
      </c>
      <c r="C1024" t="s">
        <v>910</v>
      </c>
      <c r="D1024">
        <v>3</v>
      </c>
      <c r="E1024">
        <v>16</v>
      </c>
      <c r="F1024" t="s">
        <v>149</v>
      </c>
      <c r="G1024" t="s">
        <v>55</v>
      </c>
      <c r="H1024" t="s">
        <v>77</v>
      </c>
      <c r="I1024" t="s">
        <v>97</v>
      </c>
      <c r="J1024" t="s">
        <v>66</v>
      </c>
      <c r="K1024" t="s">
        <v>38</v>
      </c>
      <c r="L1024">
        <v>2</v>
      </c>
      <c r="M1024">
        <v>149</v>
      </c>
      <c r="N1024">
        <v>0</v>
      </c>
      <c r="O1024">
        <v>30</v>
      </c>
      <c r="P1024">
        <v>298</v>
      </c>
      <c r="Q1024">
        <v>328</v>
      </c>
      <c r="R1024" t="s">
        <v>112</v>
      </c>
      <c r="S1024" t="s">
        <v>31</v>
      </c>
      <c r="T1024" t="s">
        <v>40</v>
      </c>
      <c r="U1024">
        <v>48</v>
      </c>
      <c r="V1024">
        <v>3.6</v>
      </c>
      <c r="W1024">
        <f>Table2[[#This Row],[Quantity]]*Table2[[#This Row],[Item_Price]]</f>
        <v>298</v>
      </c>
    </row>
    <row r="1025" spans="1:23" x14ac:dyDescent="0.25">
      <c r="A1025" t="s">
        <v>1121</v>
      </c>
      <c r="B1025" s="1">
        <v>45732</v>
      </c>
      <c r="C1025" t="s">
        <v>910</v>
      </c>
      <c r="D1025">
        <v>3</v>
      </c>
      <c r="E1025">
        <v>16</v>
      </c>
      <c r="F1025" t="s">
        <v>149</v>
      </c>
      <c r="G1025" t="s">
        <v>73</v>
      </c>
      <c r="H1025" t="s">
        <v>135</v>
      </c>
      <c r="I1025" t="s">
        <v>61</v>
      </c>
      <c r="J1025" t="s">
        <v>101</v>
      </c>
      <c r="K1025" t="s">
        <v>38</v>
      </c>
      <c r="L1025">
        <v>3</v>
      </c>
      <c r="M1025">
        <v>538</v>
      </c>
      <c r="N1025">
        <v>26.9</v>
      </c>
      <c r="O1025">
        <v>20</v>
      </c>
      <c r="P1025">
        <v>1614</v>
      </c>
      <c r="Q1025">
        <v>1607.1</v>
      </c>
      <c r="R1025" t="s">
        <v>75</v>
      </c>
      <c r="S1025" t="s">
        <v>31</v>
      </c>
      <c r="T1025" t="s">
        <v>40</v>
      </c>
      <c r="U1025">
        <v>21</v>
      </c>
      <c r="V1025">
        <v>4.3</v>
      </c>
      <c r="W1025">
        <f>Table2[[#This Row],[Quantity]]*Table2[[#This Row],[Item_Price]]</f>
        <v>1614</v>
      </c>
    </row>
    <row r="1026" spans="1:23" x14ac:dyDescent="0.25">
      <c r="A1026" t="s">
        <v>1122</v>
      </c>
      <c r="B1026" s="1">
        <v>45732</v>
      </c>
      <c r="C1026" t="s">
        <v>910</v>
      </c>
      <c r="D1026">
        <v>3</v>
      </c>
      <c r="E1026">
        <v>16</v>
      </c>
      <c r="F1026" t="s">
        <v>149</v>
      </c>
      <c r="G1026" t="s">
        <v>55</v>
      </c>
      <c r="H1026" t="s">
        <v>60</v>
      </c>
      <c r="I1026" t="s">
        <v>85</v>
      </c>
      <c r="J1026" t="s">
        <v>70</v>
      </c>
      <c r="K1026" t="s">
        <v>38</v>
      </c>
      <c r="L1026">
        <v>2</v>
      </c>
      <c r="M1026">
        <v>289</v>
      </c>
      <c r="N1026">
        <v>57.8</v>
      </c>
      <c r="O1026">
        <v>50</v>
      </c>
      <c r="P1026">
        <v>578</v>
      </c>
      <c r="Q1026">
        <v>570.20000000000005</v>
      </c>
      <c r="R1026" t="s">
        <v>98</v>
      </c>
      <c r="S1026" t="s">
        <v>31</v>
      </c>
      <c r="T1026" t="s">
        <v>32</v>
      </c>
      <c r="U1026">
        <v>24</v>
      </c>
      <c r="V1026">
        <v>4.7</v>
      </c>
      <c r="W1026">
        <f>Table2[[#This Row],[Quantity]]*Table2[[#This Row],[Item_Price]]</f>
        <v>578</v>
      </c>
    </row>
    <row r="1027" spans="1:23" x14ac:dyDescent="0.25">
      <c r="A1027" t="s">
        <v>1123</v>
      </c>
      <c r="B1027" s="1">
        <v>45732</v>
      </c>
      <c r="C1027" t="s">
        <v>910</v>
      </c>
      <c r="D1027">
        <v>3</v>
      </c>
      <c r="E1027">
        <v>16</v>
      </c>
      <c r="F1027" t="s">
        <v>149</v>
      </c>
      <c r="G1027" t="s">
        <v>80</v>
      </c>
      <c r="H1027" t="s">
        <v>77</v>
      </c>
      <c r="I1027" t="s">
        <v>43</v>
      </c>
      <c r="J1027" t="s">
        <v>123</v>
      </c>
      <c r="K1027" t="s">
        <v>38</v>
      </c>
      <c r="L1027">
        <v>1</v>
      </c>
      <c r="M1027">
        <v>526</v>
      </c>
      <c r="N1027">
        <v>78.900000000000006</v>
      </c>
      <c r="O1027">
        <v>70</v>
      </c>
      <c r="P1027">
        <v>526</v>
      </c>
      <c r="Q1027">
        <v>517.1</v>
      </c>
      <c r="R1027" t="s">
        <v>75</v>
      </c>
      <c r="S1027" t="s">
        <v>31</v>
      </c>
      <c r="T1027" t="s">
        <v>32</v>
      </c>
      <c r="U1027">
        <v>47</v>
      </c>
      <c r="V1027">
        <v>4.3</v>
      </c>
      <c r="W1027">
        <f>Table2[[#This Row],[Quantity]]*Table2[[#This Row],[Item_Price]]</f>
        <v>526</v>
      </c>
    </row>
    <row r="1028" spans="1:23" x14ac:dyDescent="0.25">
      <c r="A1028" t="s">
        <v>1124</v>
      </c>
      <c r="B1028" s="1">
        <v>45732</v>
      </c>
      <c r="C1028" t="s">
        <v>910</v>
      </c>
      <c r="D1028">
        <v>3</v>
      </c>
      <c r="E1028">
        <v>16</v>
      </c>
      <c r="F1028" t="s">
        <v>149</v>
      </c>
      <c r="G1028" t="s">
        <v>64</v>
      </c>
      <c r="H1028" t="s">
        <v>68</v>
      </c>
      <c r="I1028" t="s">
        <v>69</v>
      </c>
      <c r="J1028" t="s">
        <v>50</v>
      </c>
      <c r="K1028" t="s">
        <v>38</v>
      </c>
      <c r="L1028">
        <v>1</v>
      </c>
      <c r="M1028">
        <v>793</v>
      </c>
      <c r="N1028">
        <v>79.3</v>
      </c>
      <c r="O1028">
        <v>50</v>
      </c>
      <c r="P1028">
        <v>793</v>
      </c>
      <c r="Q1028">
        <v>763.7</v>
      </c>
      <c r="R1028" t="s">
        <v>39</v>
      </c>
      <c r="S1028" t="s">
        <v>91</v>
      </c>
      <c r="T1028" t="s">
        <v>40</v>
      </c>
      <c r="U1028">
        <v>37</v>
      </c>
      <c r="W1028">
        <f>Table2[[#This Row],[Quantity]]*Table2[[#This Row],[Item_Price]]</f>
        <v>793</v>
      </c>
    </row>
    <row r="1029" spans="1:23" x14ac:dyDescent="0.25">
      <c r="A1029" t="s">
        <v>1125</v>
      </c>
      <c r="B1029" s="1">
        <v>45732</v>
      </c>
      <c r="C1029" t="s">
        <v>910</v>
      </c>
      <c r="D1029">
        <v>3</v>
      </c>
      <c r="E1029">
        <v>16</v>
      </c>
      <c r="F1029" t="s">
        <v>149</v>
      </c>
      <c r="G1029" t="s">
        <v>96</v>
      </c>
      <c r="H1029" t="s">
        <v>81</v>
      </c>
      <c r="I1029" t="s">
        <v>69</v>
      </c>
      <c r="J1029" t="s">
        <v>50</v>
      </c>
      <c r="K1029" t="s">
        <v>38</v>
      </c>
      <c r="L1029">
        <v>1</v>
      </c>
      <c r="M1029">
        <v>300</v>
      </c>
      <c r="N1029">
        <v>75</v>
      </c>
      <c r="O1029">
        <v>50</v>
      </c>
      <c r="P1029">
        <v>300</v>
      </c>
      <c r="Q1029">
        <v>275</v>
      </c>
      <c r="R1029" t="s">
        <v>39</v>
      </c>
      <c r="S1029" t="s">
        <v>31</v>
      </c>
      <c r="T1029" t="s">
        <v>40</v>
      </c>
      <c r="U1029">
        <v>36</v>
      </c>
      <c r="V1029">
        <v>3.2</v>
      </c>
      <c r="W1029">
        <f>Table2[[#This Row],[Quantity]]*Table2[[#This Row],[Item_Price]]</f>
        <v>300</v>
      </c>
    </row>
    <row r="1030" spans="1:23" x14ac:dyDescent="0.25">
      <c r="A1030" t="s">
        <v>1126</v>
      </c>
      <c r="B1030" s="1">
        <v>45733</v>
      </c>
      <c r="C1030" t="s">
        <v>910</v>
      </c>
      <c r="D1030">
        <v>3</v>
      </c>
      <c r="E1030">
        <v>17</v>
      </c>
      <c r="F1030" t="s">
        <v>168</v>
      </c>
      <c r="G1030" t="s">
        <v>80</v>
      </c>
      <c r="H1030" t="s">
        <v>48</v>
      </c>
      <c r="I1030" t="s">
        <v>69</v>
      </c>
      <c r="J1030" t="s">
        <v>123</v>
      </c>
      <c r="K1030" t="s">
        <v>38</v>
      </c>
      <c r="L1030">
        <v>2</v>
      </c>
      <c r="M1030">
        <v>464</v>
      </c>
      <c r="N1030">
        <v>69.599999999999994</v>
      </c>
      <c r="O1030">
        <v>30</v>
      </c>
      <c r="P1030">
        <v>928</v>
      </c>
      <c r="Q1030">
        <v>888.4</v>
      </c>
      <c r="R1030" t="s">
        <v>39</v>
      </c>
      <c r="S1030" t="s">
        <v>31</v>
      </c>
      <c r="T1030" t="s">
        <v>40</v>
      </c>
      <c r="U1030">
        <v>31</v>
      </c>
      <c r="V1030">
        <v>3.9</v>
      </c>
      <c r="W1030">
        <f>Table2[[#This Row],[Quantity]]*Table2[[#This Row],[Item_Price]]</f>
        <v>928</v>
      </c>
    </row>
    <row r="1031" spans="1:23" x14ac:dyDescent="0.25">
      <c r="A1031" t="s">
        <v>1127</v>
      </c>
      <c r="B1031" s="1">
        <v>45733</v>
      </c>
      <c r="C1031" t="s">
        <v>910</v>
      </c>
      <c r="D1031">
        <v>3</v>
      </c>
      <c r="E1031">
        <v>17</v>
      </c>
      <c r="F1031" t="s">
        <v>168</v>
      </c>
      <c r="G1031" t="s">
        <v>80</v>
      </c>
      <c r="H1031" t="s">
        <v>65</v>
      </c>
      <c r="I1031" t="s">
        <v>97</v>
      </c>
      <c r="J1031" t="s">
        <v>62</v>
      </c>
      <c r="K1031" t="s">
        <v>38</v>
      </c>
      <c r="L1031">
        <v>3</v>
      </c>
      <c r="M1031">
        <v>609</v>
      </c>
      <c r="N1031">
        <v>121.8</v>
      </c>
      <c r="O1031">
        <v>20</v>
      </c>
      <c r="P1031">
        <v>1827</v>
      </c>
      <c r="Q1031">
        <v>1725.2</v>
      </c>
      <c r="R1031" t="s">
        <v>75</v>
      </c>
      <c r="S1031" t="s">
        <v>31</v>
      </c>
      <c r="T1031" t="s">
        <v>40</v>
      </c>
      <c r="U1031">
        <v>64</v>
      </c>
      <c r="V1031">
        <v>4.2</v>
      </c>
      <c r="W1031">
        <f>Table2[[#This Row],[Quantity]]*Table2[[#This Row],[Item_Price]]</f>
        <v>1827</v>
      </c>
    </row>
    <row r="1032" spans="1:23" x14ac:dyDescent="0.25">
      <c r="A1032" t="s">
        <v>1128</v>
      </c>
      <c r="B1032" s="1">
        <v>45733</v>
      </c>
      <c r="C1032" t="s">
        <v>910</v>
      </c>
      <c r="D1032">
        <v>3</v>
      </c>
      <c r="E1032">
        <v>17</v>
      </c>
      <c r="F1032" t="s">
        <v>168</v>
      </c>
      <c r="G1032" t="s">
        <v>34</v>
      </c>
      <c r="H1032" t="s">
        <v>48</v>
      </c>
      <c r="I1032" t="s">
        <v>61</v>
      </c>
      <c r="J1032" t="s">
        <v>82</v>
      </c>
      <c r="K1032" t="s">
        <v>38</v>
      </c>
      <c r="L1032">
        <v>1</v>
      </c>
      <c r="M1032">
        <v>361</v>
      </c>
      <c r="N1032">
        <v>36.1</v>
      </c>
      <c r="O1032">
        <v>50</v>
      </c>
      <c r="P1032">
        <v>361</v>
      </c>
      <c r="Q1032">
        <v>374.9</v>
      </c>
      <c r="R1032" t="s">
        <v>39</v>
      </c>
      <c r="S1032" t="s">
        <v>31</v>
      </c>
      <c r="T1032" t="s">
        <v>40</v>
      </c>
      <c r="U1032">
        <v>68</v>
      </c>
      <c r="V1032">
        <v>2.5</v>
      </c>
      <c r="W1032">
        <f>Table2[[#This Row],[Quantity]]*Table2[[#This Row],[Item_Price]]</f>
        <v>361</v>
      </c>
    </row>
    <row r="1033" spans="1:23" x14ac:dyDescent="0.25">
      <c r="A1033" t="s">
        <v>1129</v>
      </c>
      <c r="B1033" s="1">
        <v>45733</v>
      </c>
      <c r="C1033" t="s">
        <v>910</v>
      </c>
      <c r="D1033">
        <v>3</v>
      </c>
      <c r="E1033">
        <v>17</v>
      </c>
      <c r="F1033" t="s">
        <v>168</v>
      </c>
      <c r="G1033" t="s">
        <v>115</v>
      </c>
      <c r="H1033" t="s">
        <v>108</v>
      </c>
      <c r="I1033" t="s">
        <v>85</v>
      </c>
      <c r="J1033" t="s">
        <v>37</v>
      </c>
      <c r="K1033" t="s">
        <v>38</v>
      </c>
      <c r="L1033">
        <v>3</v>
      </c>
      <c r="M1033">
        <v>545</v>
      </c>
      <c r="N1033">
        <v>54.5</v>
      </c>
      <c r="O1033">
        <v>40</v>
      </c>
      <c r="P1033">
        <v>1635</v>
      </c>
      <c r="Q1033">
        <v>1620.5</v>
      </c>
      <c r="R1033" t="s">
        <v>75</v>
      </c>
      <c r="S1033" t="s">
        <v>110</v>
      </c>
      <c r="T1033" t="s">
        <v>40</v>
      </c>
      <c r="U1033">
        <v>44</v>
      </c>
      <c r="W1033">
        <f>Table2[[#This Row],[Quantity]]*Table2[[#This Row],[Item_Price]]</f>
        <v>1635</v>
      </c>
    </row>
    <row r="1034" spans="1:23" x14ac:dyDescent="0.25">
      <c r="A1034" t="s">
        <v>1130</v>
      </c>
      <c r="B1034" s="1">
        <v>45733</v>
      </c>
      <c r="C1034" t="s">
        <v>910</v>
      </c>
      <c r="D1034">
        <v>3</v>
      </c>
      <c r="E1034">
        <v>17</v>
      </c>
      <c r="F1034" t="s">
        <v>168</v>
      </c>
      <c r="G1034" t="s">
        <v>55</v>
      </c>
      <c r="H1034" t="s">
        <v>52</v>
      </c>
      <c r="I1034" t="s">
        <v>103</v>
      </c>
      <c r="J1034" t="s">
        <v>74</v>
      </c>
      <c r="K1034" t="s">
        <v>38</v>
      </c>
      <c r="L1034">
        <v>1</v>
      </c>
      <c r="M1034">
        <v>281</v>
      </c>
      <c r="N1034">
        <v>28.1</v>
      </c>
      <c r="O1034">
        <v>50</v>
      </c>
      <c r="P1034">
        <v>281</v>
      </c>
      <c r="Q1034">
        <v>302.89999999999998</v>
      </c>
      <c r="R1034" t="s">
        <v>39</v>
      </c>
      <c r="S1034" t="s">
        <v>31</v>
      </c>
      <c r="T1034" t="s">
        <v>32</v>
      </c>
      <c r="U1034">
        <v>53</v>
      </c>
      <c r="V1034">
        <v>5</v>
      </c>
      <c r="W1034">
        <f>Table2[[#This Row],[Quantity]]*Table2[[#This Row],[Item_Price]]</f>
        <v>281</v>
      </c>
    </row>
    <row r="1035" spans="1:23" x14ac:dyDescent="0.25">
      <c r="A1035" t="s">
        <v>1131</v>
      </c>
      <c r="B1035" s="1">
        <v>45733</v>
      </c>
      <c r="C1035" t="s">
        <v>910</v>
      </c>
      <c r="D1035">
        <v>3</v>
      </c>
      <c r="E1035">
        <v>17</v>
      </c>
      <c r="F1035" t="s">
        <v>168</v>
      </c>
      <c r="G1035" t="s">
        <v>84</v>
      </c>
      <c r="H1035" t="s">
        <v>139</v>
      </c>
      <c r="I1035" t="s">
        <v>36</v>
      </c>
      <c r="J1035" t="s">
        <v>82</v>
      </c>
      <c r="K1035" t="s">
        <v>38</v>
      </c>
      <c r="L1035">
        <v>2</v>
      </c>
      <c r="M1035">
        <v>255</v>
      </c>
      <c r="N1035">
        <v>63.75</v>
      </c>
      <c r="O1035">
        <v>50</v>
      </c>
      <c r="P1035">
        <v>510</v>
      </c>
      <c r="Q1035">
        <v>496.25</v>
      </c>
      <c r="R1035" t="s">
        <v>39</v>
      </c>
      <c r="S1035" t="s">
        <v>31</v>
      </c>
      <c r="T1035" t="s">
        <v>40</v>
      </c>
      <c r="U1035">
        <v>32</v>
      </c>
      <c r="V1035">
        <v>5</v>
      </c>
      <c r="W1035">
        <f>Table2[[#This Row],[Quantity]]*Table2[[#This Row],[Item_Price]]</f>
        <v>510</v>
      </c>
    </row>
    <row r="1036" spans="1:23" x14ac:dyDescent="0.25">
      <c r="A1036" t="s">
        <v>1132</v>
      </c>
      <c r="B1036" s="1">
        <v>45733</v>
      </c>
      <c r="C1036" t="s">
        <v>910</v>
      </c>
      <c r="D1036">
        <v>3</v>
      </c>
      <c r="E1036">
        <v>17</v>
      </c>
      <c r="F1036" t="s">
        <v>168</v>
      </c>
      <c r="G1036" t="s">
        <v>115</v>
      </c>
      <c r="H1036" t="s">
        <v>81</v>
      </c>
      <c r="I1036" t="s">
        <v>61</v>
      </c>
      <c r="J1036" t="s">
        <v>123</v>
      </c>
      <c r="K1036" t="s">
        <v>38</v>
      </c>
      <c r="L1036">
        <v>1</v>
      </c>
      <c r="M1036">
        <v>886</v>
      </c>
      <c r="N1036">
        <v>0</v>
      </c>
      <c r="O1036">
        <v>40</v>
      </c>
      <c r="P1036">
        <v>886</v>
      </c>
      <c r="Q1036">
        <v>926</v>
      </c>
      <c r="R1036" t="s">
        <v>75</v>
      </c>
      <c r="S1036" t="s">
        <v>31</v>
      </c>
      <c r="T1036" t="s">
        <v>40</v>
      </c>
      <c r="U1036">
        <v>42</v>
      </c>
      <c r="V1036">
        <v>4.8</v>
      </c>
      <c r="W1036">
        <f>Table2[[#This Row],[Quantity]]*Table2[[#This Row],[Item_Price]]</f>
        <v>886</v>
      </c>
    </row>
    <row r="1037" spans="1:23" x14ac:dyDescent="0.25">
      <c r="A1037" t="s">
        <v>1133</v>
      </c>
      <c r="B1037" s="1">
        <v>45733</v>
      </c>
      <c r="C1037" t="s">
        <v>910</v>
      </c>
      <c r="D1037">
        <v>3</v>
      </c>
      <c r="E1037">
        <v>17</v>
      </c>
      <c r="F1037" t="s">
        <v>168</v>
      </c>
      <c r="G1037" t="s">
        <v>34</v>
      </c>
      <c r="H1037" t="s">
        <v>139</v>
      </c>
      <c r="I1037" t="s">
        <v>43</v>
      </c>
      <c r="J1037" t="s">
        <v>37</v>
      </c>
      <c r="K1037" t="s">
        <v>45</v>
      </c>
      <c r="L1037">
        <v>1</v>
      </c>
      <c r="M1037">
        <v>760</v>
      </c>
      <c r="N1037">
        <v>190</v>
      </c>
      <c r="O1037">
        <v>30</v>
      </c>
      <c r="P1037">
        <v>760</v>
      </c>
      <c r="Q1037">
        <v>600</v>
      </c>
      <c r="R1037" t="s">
        <v>112</v>
      </c>
      <c r="S1037" t="s">
        <v>31</v>
      </c>
      <c r="T1037" t="s">
        <v>40</v>
      </c>
      <c r="U1037">
        <v>54</v>
      </c>
      <c r="V1037">
        <v>4.5999999999999996</v>
      </c>
      <c r="W1037">
        <f>Table2[[#This Row],[Quantity]]*Table2[[#This Row],[Item_Price]]</f>
        <v>760</v>
      </c>
    </row>
    <row r="1038" spans="1:23" x14ac:dyDescent="0.25">
      <c r="A1038" t="s">
        <v>1134</v>
      </c>
      <c r="B1038" s="1">
        <v>45733</v>
      </c>
      <c r="C1038" t="s">
        <v>910</v>
      </c>
      <c r="D1038">
        <v>3</v>
      </c>
      <c r="E1038">
        <v>17</v>
      </c>
      <c r="F1038" t="s">
        <v>168</v>
      </c>
      <c r="G1038" t="s">
        <v>64</v>
      </c>
      <c r="H1038" t="s">
        <v>139</v>
      </c>
      <c r="I1038" t="s">
        <v>97</v>
      </c>
      <c r="J1038" t="s">
        <v>70</v>
      </c>
      <c r="K1038" t="s">
        <v>29</v>
      </c>
      <c r="L1038">
        <v>2</v>
      </c>
      <c r="M1038">
        <v>804</v>
      </c>
      <c r="N1038">
        <v>80.400000000000006</v>
      </c>
      <c r="O1038">
        <v>20</v>
      </c>
      <c r="P1038">
        <v>1608</v>
      </c>
      <c r="Q1038">
        <v>1547.6</v>
      </c>
      <c r="R1038" t="s">
        <v>75</v>
      </c>
      <c r="S1038" t="s">
        <v>31</v>
      </c>
      <c r="T1038" t="s">
        <v>40</v>
      </c>
      <c r="U1038">
        <v>23</v>
      </c>
      <c r="V1038">
        <v>4.3</v>
      </c>
      <c r="W1038">
        <f>Table2[[#This Row],[Quantity]]*Table2[[#This Row],[Item_Price]]</f>
        <v>1608</v>
      </c>
    </row>
    <row r="1039" spans="1:23" x14ac:dyDescent="0.25">
      <c r="A1039" t="s">
        <v>1135</v>
      </c>
      <c r="B1039" s="1">
        <v>45733</v>
      </c>
      <c r="C1039" t="s">
        <v>910</v>
      </c>
      <c r="D1039">
        <v>3</v>
      </c>
      <c r="E1039">
        <v>17</v>
      </c>
      <c r="F1039" t="s">
        <v>168</v>
      </c>
      <c r="G1039" t="s">
        <v>64</v>
      </c>
      <c r="H1039" t="s">
        <v>35</v>
      </c>
      <c r="I1039" t="s">
        <v>57</v>
      </c>
      <c r="J1039" t="s">
        <v>28</v>
      </c>
      <c r="K1039" t="s">
        <v>29</v>
      </c>
      <c r="L1039">
        <v>1</v>
      </c>
      <c r="M1039">
        <v>622</v>
      </c>
      <c r="N1039">
        <v>124.4</v>
      </c>
      <c r="O1039">
        <v>60</v>
      </c>
      <c r="P1039">
        <v>622</v>
      </c>
      <c r="Q1039">
        <v>557.6</v>
      </c>
      <c r="R1039" t="s">
        <v>39</v>
      </c>
      <c r="S1039" t="s">
        <v>31</v>
      </c>
      <c r="T1039" t="s">
        <v>40</v>
      </c>
      <c r="U1039">
        <v>23</v>
      </c>
      <c r="V1039">
        <v>4.8</v>
      </c>
      <c r="W1039">
        <f>Table2[[#This Row],[Quantity]]*Table2[[#This Row],[Item_Price]]</f>
        <v>622</v>
      </c>
    </row>
    <row r="1040" spans="1:23" x14ac:dyDescent="0.25">
      <c r="A1040" t="s">
        <v>1136</v>
      </c>
      <c r="B1040" s="1">
        <v>45733</v>
      </c>
      <c r="C1040" t="s">
        <v>910</v>
      </c>
      <c r="D1040">
        <v>3</v>
      </c>
      <c r="E1040">
        <v>17</v>
      </c>
      <c r="F1040" t="s">
        <v>168</v>
      </c>
      <c r="G1040" t="s">
        <v>34</v>
      </c>
      <c r="H1040" t="s">
        <v>77</v>
      </c>
      <c r="I1040" t="s">
        <v>97</v>
      </c>
      <c r="J1040" t="s">
        <v>172</v>
      </c>
      <c r="K1040" t="s">
        <v>38</v>
      </c>
      <c r="L1040">
        <v>3</v>
      </c>
      <c r="M1040">
        <v>703</v>
      </c>
      <c r="N1040">
        <v>35.15</v>
      </c>
      <c r="O1040">
        <v>20</v>
      </c>
      <c r="P1040">
        <v>2109</v>
      </c>
      <c r="Q1040">
        <v>2093.85</v>
      </c>
      <c r="R1040" t="s">
        <v>39</v>
      </c>
      <c r="S1040" t="s">
        <v>91</v>
      </c>
      <c r="T1040" t="s">
        <v>40</v>
      </c>
      <c r="U1040">
        <v>47</v>
      </c>
      <c r="W1040">
        <f>Table2[[#This Row],[Quantity]]*Table2[[#This Row],[Item_Price]]</f>
        <v>2109</v>
      </c>
    </row>
    <row r="1041" spans="1:23" x14ac:dyDescent="0.25">
      <c r="A1041" t="s">
        <v>1137</v>
      </c>
      <c r="B1041" s="1">
        <v>45733</v>
      </c>
      <c r="C1041" t="s">
        <v>910</v>
      </c>
      <c r="D1041">
        <v>3</v>
      </c>
      <c r="E1041">
        <v>17</v>
      </c>
      <c r="F1041" t="s">
        <v>168</v>
      </c>
      <c r="G1041" t="s">
        <v>80</v>
      </c>
      <c r="H1041" t="s">
        <v>65</v>
      </c>
      <c r="I1041" t="s">
        <v>69</v>
      </c>
      <c r="J1041" t="s">
        <v>50</v>
      </c>
      <c r="K1041" t="s">
        <v>45</v>
      </c>
      <c r="L1041">
        <v>2</v>
      </c>
      <c r="M1041">
        <v>247</v>
      </c>
      <c r="N1041">
        <v>24.7</v>
      </c>
      <c r="O1041">
        <v>40</v>
      </c>
      <c r="P1041">
        <v>494</v>
      </c>
      <c r="Q1041">
        <v>509.3</v>
      </c>
      <c r="R1041" t="s">
        <v>30</v>
      </c>
      <c r="S1041" t="s">
        <v>31</v>
      </c>
      <c r="T1041" t="s">
        <v>40</v>
      </c>
      <c r="U1041">
        <v>54</v>
      </c>
      <c r="V1041">
        <v>4.5999999999999996</v>
      </c>
      <c r="W1041">
        <f>Table2[[#This Row],[Quantity]]*Table2[[#This Row],[Item_Price]]</f>
        <v>494</v>
      </c>
    </row>
    <row r="1042" spans="1:23" x14ac:dyDescent="0.25">
      <c r="A1042" t="s">
        <v>1138</v>
      </c>
      <c r="B1042" s="1">
        <v>45733</v>
      </c>
      <c r="C1042" t="s">
        <v>910</v>
      </c>
      <c r="D1042">
        <v>3</v>
      </c>
      <c r="E1042">
        <v>17</v>
      </c>
      <c r="F1042" t="s">
        <v>168</v>
      </c>
      <c r="G1042" t="s">
        <v>64</v>
      </c>
      <c r="H1042" t="s">
        <v>56</v>
      </c>
      <c r="I1042" t="s">
        <v>57</v>
      </c>
      <c r="J1042" t="s">
        <v>44</v>
      </c>
      <c r="K1042" t="s">
        <v>38</v>
      </c>
      <c r="L1042">
        <v>2</v>
      </c>
      <c r="M1042">
        <v>821</v>
      </c>
      <c r="N1042">
        <v>164.2</v>
      </c>
      <c r="O1042">
        <v>40</v>
      </c>
      <c r="P1042">
        <v>1642</v>
      </c>
      <c r="Q1042">
        <v>1517.8</v>
      </c>
      <c r="R1042" t="s">
        <v>39</v>
      </c>
      <c r="S1042" t="s">
        <v>31</v>
      </c>
      <c r="T1042" t="s">
        <v>40</v>
      </c>
      <c r="U1042">
        <v>62</v>
      </c>
      <c r="V1042">
        <v>4.8</v>
      </c>
      <c r="W1042">
        <f>Table2[[#This Row],[Quantity]]*Table2[[#This Row],[Item_Price]]</f>
        <v>1642</v>
      </c>
    </row>
    <row r="1043" spans="1:23" x14ac:dyDescent="0.25">
      <c r="A1043" t="s">
        <v>1139</v>
      </c>
      <c r="B1043" s="1">
        <v>45733</v>
      </c>
      <c r="C1043" t="s">
        <v>910</v>
      </c>
      <c r="D1043">
        <v>3</v>
      </c>
      <c r="E1043">
        <v>17</v>
      </c>
      <c r="F1043" t="s">
        <v>168</v>
      </c>
      <c r="G1043" t="s">
        <v>34</v>
      </c>
      <c r="H1043" t="s">
        <v>68</v>
      </c>
      <c r="I1043" t="s">
        <v>27</v>
      </c>
      <c r="J1043" t="s">
        <v>70</v>
      </c>
      <c r="K1043" t="s">
        <v>38</v>
      </c>
      <c r="L1043">
        <v>2</v>
      </c>
      <c r="M1043">
        <v>331</v>
      </c>
      <c r="N1043">
        <v>33.1</v>
      </c>
      <c r="O1043">
        <v>0</v>
      </c>
      <c r="P1043">
        <v>662</v>
      </c>
      <c r="Q1043">
        <v>628.9</v>
      </c>
      <c r="R1043" t="s">
        <v>75</v>
      </c>
      <c r="S1043" t="s">
        <v>31</v>
      </c>
      <c r="T1043" t="s">
        <v>40</v>
      </c>
      <c r="U1043">
        <v>63</v>
      </c>
      <c r="V1043">
        <v>2.8</v>
      </c>
      <c r="W1043">
        <f>Table2[[#This Row],[Quantity]]*Table2[[#This Row],[Item_Price]]</f>
        <v>662</v>
      </c>
    </row>
    <row r="1044" spans="1:23" x14ac:dyDescent="0.25">
      <c r="A1044" t="s">
        <v>1140</v>
      </c>
      <c r="B1044" s="1">
        <v>45733</v>
      </c>
      <c r="C1044" t="s">
        <v>910</v>
      </c>
      <c r="D1044">
        <v>3</v>
      </c>
      <c r="E1044">
        <v>17</v>
      </c>
      <c r="F1044" t="s">
        <v>168</v>
      </c>
      <c r="G1044" t="s">
        <v>80</v>
      </c>
      <c r="H1044" t="s">
        <v>81</v>
      </c>
      <c r="I1044" t="s">
        <v>27</v>
      </c>
      <c r="J1044" t="s">
        <v>44</v>
      </c>
      <c r="K1044" t="s">
        <v>29</v>
      </c>
      <c r="L1044">
        <v>2</v>
      </c>
      <c r="M1044">
        <v>695</v>
      </c>
      <c r="N1044">
        <v>69.5</v>
      </c>
      <c r="O1044">
        <v>50</v>
      </c>
      <c r="P1044">
        <v>1390</v>
      </c>
      <c r="Q1044">
        <v>1370.5</v>
      </c>
      <c r="R1044" t="s">
        <v>39</v>
      </c>
      <c r="S1044" t="s">
        <v>31</v>
      </c>
      <c r="T1044" t="s">
        <v>40</v>
      </c>
      <c r="U1044">
        <v>58</v>
      </c>
      <c r="V1044">
        <v>4.0999999999999996</v>
      </c>
      <c r="W1044">
        <f>Table2[[#This Row],[Quantity]]*Table2[[#This Row],[Item_Price]]</f>
        <v>1390</v>
      </c>
    </row>
    <row r="1045" spans="1:23" x14ac:dyDescent="0.25">
      <c r="A1045" t="s">
        <v>1141</v>
      </c>
      <c r="B1045" s="1">
        <v>45733</v>
      </c>
      <c r="C1045" t="s">
        <v>910</v>
      </c>
      <c r="D1045">
        <v>3</v>
      </c>
      <c r="E1045">
        <v>17</v>
      </c>
      <c r="F1045" t="s">
        <v>168</v>
      </c>
      <c r="G1045" t="s">
        <v>55</v>
      </c>
      <c r="H1045" t="s">
        <v>81</v>
      </c>
      <c r="I1045" t="s">
        <v>61</v>
      </c>
      <c r="J1045" t="s">
        <v>50</v>
      </c>
      <c r="K1045" t="s">
        <v>38</v>
      </c>
      <c r="L1045">
        <v>1</v>
      </c>
      <c r="M1045">
        <v>509</v>
      </c>
      <c r="N1045">
        <v>76.349999999999994</v>
      </c>
      <c r="O1045">
        <v>30</v>
      </c>
      <c r="P1045">
        <v>509</v>
      </c>
      <c r="Q1045">
        <v>462.65</v>
      </c>
      <c r="R1045" t="s">
        <v>75</v>
      </c>
      <c r="S1045" t="s">
        <v>31</v>
      </c>
      <c r="T1045" t="s">
        <v>40</v>
      </c>
      <c r="U1045">
        <v>45</v>
      </c>
      <c r="V1045">
        <v>5</v>
      </c>
      <c r="W1045">
        <f>Table2[[#This Row],[Quantity]]*Table2[[#This Row],[Item_Price]]</f>
        <v>509</v>
      </c>
    </row>
    <row r="1046" spans="1:23" x14ac:dyDescent="0.25">
      <c r="A1046" t="s">
        <v>1142</v>
      </c>
      <c r="B1046" s="1">
        <v>45734</v>
      </c>
      <c r="C1046" t="s">
        <v>910</v>
      </c>
      <c r="D1046">
        <v>3</v>
      </c>
      <c r="E1046">
        <v>18</v>
      </c>
      <c r="F1046" t="s">
        <v>178</v>
      </c>
      <c r="G1046" t="s">
        <v>80</v>
      </c>
      <c r="H1046" t="s">
        <v>56</v>
      </c>
      <c r="I1046" t="s">
        <v>97</v>
      </c>
      <c r="J1046" t="s">
        <v>70</v>
      </c>
      <c r="K1046" t="s">
        <v>38</v>
      </c>
      <c r="L1046">
        <v>2</v>
      </c>
      <c r="M1046">
        <v>593</v>
      </c>
      <c r="N1046">
        <v>88.95</v>
      </c>
      <c r="O1046">
        <v>0</v>
      </c>
      <c r="P1046">
        <v>1186</v>
      </c>
      <c r="Q1046">
        <v>1097.05</v>
      </c>
      <c r="R1046" t="s">
        <v>112</v>
      </c>
      <c r="S1046" t="s">
        <v>31</v>
      </c>
      <c r="T1046" t="s">
        <v>32</v>
      </c>
      <c r="U1046">
        <v>59</v>
      </c>
      <c r="V1046">
        <v>4</v>
      </c>
      <c r="W1046">
        <f>Table2[[#This Row],[Quantity]]*Table2[[#This Row],[Item_Price]]</f>
        <v>1186</v>
      </c>
    </row>
    <row r="1047" spans="1:23" x14ac:dyDescent="0.25">
      <c r="A1047" t="s">
        <v>1143</v>
      </c>
      <c r="B1047" s="1">
        <v>45734</v>
      </c>
      <c r="C1047" t="s">
        <v>910</v>
      </c>
      <c r="D1047">
        <v>3</v>
      </c>
      <c r="E1047">
        <v>18</v>
      </c>
      <c r="F1047" t="s">
        <v>178</v>
      </c>
      <c r="G1047" t="s">
        <v>64</v>
      </c>
      <c r="H1047" t="s">
        <v>77</v>
      </c>
      <c r="I1047" t="s">
        <v>69</v>
      </c>
      <c r="J1047" t="s">
        <v>62</v>
      </c>
      <c r="K1047" t="s">
        <v>45</v>
      </c>
      <c r="L1047">
        <v>3</v>
      </c>
      <c r="M1047">
        <v>586</v>
      </c>
      <c r="N1047">
        <v>0</v>
      </c>
      <c r="O1047">
        <v>60</v>
      </c>
      <c r="P1047">
        <v>1758</v>
      </c>
      <c r="Q1047">
        <v>1818</v>
      </c>
      <c r="R1047" t="s">
        <v>30</v>
      </c>
      <c r="S1047" t="s">
        <v>31</v>
      </c>
      <c r="T1047" t="s">
        <v>40</v>
      </c>
      <c r="U1047">
        <v>30</v>
      </c>
      <c r="V1047">
        <v>4.0999999999999996</v>
      </c>
      <c r="W1047">
        <f>Table2[[#This Row],[Quantity]]*Table2[[#This Row],[Item_Price]]</f>
        <v>1758</v>
      </c>
    </row>
    <row r="1048" spans="1:23" x14ac:dyDescent="0.25">
      <c r="A1048" t="s">
        <v>1144</v>
      </c>
      <c r="B1048" s="1">
        <v>45734</v>
      </c>
      <c r="C1048" t="s">
        <v>910</v>
      </c>
      <c r="D1048">
        <v>3</v>
      </c>
      <c r="E1048">
        <v>18</v>
      </c>
      <c r="F1048" t="s">
        <v>178</v>
      </c>
      <c r="G1048" t="s">
        <v>73</v>
      </c>
      <c r="H1048" t="s">
        <v>135</v>
      </c>
      <c r="I1048" t="s">
        <v>97</v>
      </c>
      <c r="J1048" t="s">
        <v>44</v>
      </c>
      <c r="K1048" t="s">
        <v>38</v>
      </c>
      <c r="L1048">
        <v>2</v>
      </c>
      <c r="M1048">
        <v>830</v>
      </c>
      <c r="N1048">
        <v>83</v>
      </c>
      <c r="O1048">
        <v>0</v>
      </c>
      <c r="P1048">
        <v>1660</v>
      </c>
      <c r="Q1048">
        <v>1577</v>
      </c>
      <c r="R1048" t="s">
        <v>39</v>
      </c>
      <c r="S1048" t="s">
        <v>31</v>
      </c>
      <c r="T1048" t="s">
        <v>40</v>
      </c>
      <c r="U1048">
        <v>33</v>
      </c>
      <c r="V1048">
        <v>4.2</v>
      </c>
      <c r="W1048">
        <f>Table2[[#This Row],[Quantity]]*Table2[[#This Row],[Item_Price]]</f>
        <v>1660</v>
      </c>
    </row>
    <row r="1049" spans="1:23" x14ac:dyDescent="0.25">
      <c r="A1049" t="s">
        <v>1145</v>
      </c>
      <c r="B1049" s="1">
        <v>45734</v>
      </c>
      <c r="C1049" t="s">
        <v>910</v>
      </c>
      <c r="D1049">
        <v>3</v>
      </c>
      <c r="E1049">
        <v>18</v>
      </c>
      <c r="F1049" t="s">
        <v>178</v>
      </c>
      <c r="G1049" t="s">
        <v>34</v>
      </c>
      <c r="H1049" t="s">
        <v>42</v>
      </c>
      <c r="I1049" t="s">
        <v>85</v>
      </c>
      <c r="J1049" t="s">
        <v>66</v>
      </c>
      <c r="K1049" t="s">
        <v>45</v>
      </c>
      <c r="L1049">
        <v>1</v>
      </c>
      <c r="M1049">
        <v>455</v>
      </c>
      <c r="N1049">
        <v>68.25</v>
      </c>
      <c r="O1049">
        <v>40</v>
      </c>
      <c r="P1049">
        <v>455</v>
      </c>
      <c r="Q1049">
        <v>426.75</v>
      </c>
      <c r="R1049" t="s">
        <v>30</v>
      </c>
      <c r="S1049" t="s">
        <v>31</v>
      </c>
      <c r="T1049" t="s">
        <v>32</v>
      </c>
      <c r="U1049">
        <v>57</v>
      </c>
      <c r="V1049">
        <v>4.3</v>
      </c>
      <c r="W1049">
        <f>Table2[[#This Row],[Quantity]]*Table2[[#This Row],[Item_Price]]</f>
        <v>455</v>
      </c>
    </row>
    <row r="1050" spans="1:23" x14ac:dyDescent="0.25">
      <c r="A1050" t="s">
        <v>1146</v>
      </c>
      <c r="B1050" s="1">
        <v>45734</v>
      </c>
      <c r="C1050" t="s">
        <v>910</v>
      </c>
      <c r="D1050">
        <v>3</v>
      </c>
      <c r="E1050">
        <v>18</v>
      </c>
      <c r="F1050" t="s">
        <v>178</v>
      </c>
      <c r="G1050" t="s">
        <v>64</v>
      </c>
      <c r="H1050" t="s">
        <v>60</v>
      </c>
      <c r="I1050" t="s">
        <v>69</v>
      </c>
      <c r="J1050" t="s">
        <v>50</v>
      </c>
      <c r="K1050" t="s">
        <v>38</v>
      </c>
      <c r="L1050">
        <v>2</v>
      </c>
      <c r="M1050">
        <v>420</v>
      </c>
      <c r="N1050">
        <v>42</v>
      </c>
      <c r="O1050">
        <v>20</v>
      </c>
      <c r="P1050">
        <v>840</v>
      </c>
      <c r="Q1050">
        <v>818</v>
      </c>
      <c r="R1050" t="s">
        <v>75</v>
      </c>
      <c r="S1050" t="s">
        <v>31</v>
      </c>
      <c r="T1050" t="s">
        <v>40</v>
      </c>
      <c r="U1050">
        <v>69</v>
      </c>
      <c r="V1050">
        <v>4.5</v>
      </c>
      <c r="W1050">
        <f>Table2[[#This Row],[Quantity]]*Table2[[#This Row],[Item_Price]]</f>
        <v>840</v>
      </c>
    </row>
    <row r="1051" spans="1:23" x14ac:dyDescent="0.25">
      <c r="A1051" t="s">
        <v>1147</v>
      </c>
      <c r="B1051" s="1">
        <v>45734</v>
      </c>
      <c r="C1051" t="s">
        <v>910</v>
      </c>
      <c r="D1051">
        <v>3</v>
      </c>
      <c r="E1051">
        <v>18</v>
      </c>
      <c r="F1051" t="s">
        <v>178</v>
      </c>
      <c r="G1051" t="s">
        <v>64</v>
      </c>
      <c r="H1051" t="s">
        <v>42</v>
      </c>
      <c r="I1051" t="s">
        <v>85</v>
      </c>
      <c r="J1051" t="s">
        <v>62</v>
      </c>
      <c r="K1051" t="s">
        <v>45</v>
      </c>
      <c r="L1051">
        <v>2</v>
      </c>
      <c r="M1051">
        <v>547</v>
      </c>
      <c r="N1051">
        <v>82.05</v>
      </c>
      <c r="O1051">
        <v>60</v>
      </c>
      <c r="P1051">
        <v>1094</v>
      </c>
      <c r="Q1051">
        <v>1071.95</v>
      </c>
      <c r="R1051" t="s">
        <v>112</v>
      </c>
      <c r="S1051" t="s">
        <v>31</v>
      </c>
      <c r="T1051" t="s">
        <v>40</v>
      </c>
      <c r="U1051">
        <v>20</v>
      </c>
      <c r="V1051">
        <v>4.8</v>
      </c>
      <c r="W1051">
        <f>Table2[[#This Row],[Quantity]]*Table2[[#This Row],[Item_Price]]</f>
        <v>1094</v>
      </c>
    </row>
    <row r="1052" spans="1:23" x14ac:dyDescent="0.25">
      <c r="A1052" t="s">
        <v>1148</v>
      </c>
      <c r="B1052" s="1">
        <v>45734</v>
      </c>
      <c r="C1052" t="s">
        <v>910</v>
      </c>
      <c r="D1052">
        <v>3</v>
      </c>
      <c r="E1052">
        <v>18</v>
      </c>
      <c r="F1052" t="s">
        <v>178</v>
      </c>
      <c r="G1052" t="s">
        <v>55</v>
      </c>
      <c r="H1052" t="s">
        <v>35</v>
      </c>
      <c r="I1052" t="s">
        <v>85</v>
      </c>
      <c r="J1052" t="s">
        <v>50</v>
      </c>
      <c r="K1052" t="s">
        <v>38</v>
      </c>
      <c r="L1052">
        <v>1</v>
      </c>
      <c r="M1052">
        <v>788</v>
      </c>
      <c r="N1052">
        <v>118.2</v>
      </c>
      <c r="O1052">
        <v>40</v>
      </c>
      <c r="P1052">
        <v>788</v>
      </c>
      <c r="Q1052">
        <v>709.8</v>
      </c>
      <c r="R1052" t="s">
        <v>75</v>
      </c>
      <c r="S1052" t="s">
        <v>91</v>
      </c>
      <c r="T1052" t="s">
        <v>40</v>
      </c>
      <c r="U1052">
        <v>51</v>
      </c>
      <c r="W1052">
        <f>Table2[[#This Row],[Quantity]]*Table2[[#This Row],[Item_Price]]</f>
        <v>788</v>
      </c>
    </row>
    <row r="1053" spans="1:23" x14ac:dyDescent="0.25">
      <c r="A1053" t="s">
        <v>1149</v>
      </c>
      <c r="B1053" s="1">
        <v>45734</v>
      </c>
      <c r="C1053" t="s">
        <v>910</v>
      </c>
      <c r="D1053">
        <v>3</v>
      </c>
      <c r="E1053">
        <v>18</v>
      </c>
      <c r="F1053" t="s">
        <v>178</v>
      </c>
      <c r="G1053" t="s">
        <v>55</v>
      </c>
      <c r="H1053" t="s">
        <v>26</v>
      </c>
      <c r="I1053" t="s">
        <v>97</v>
      </c>
      <c r="J1053" t="s">
        <v>66</v>
      </c>
      <c r="K1053" t="s">
        <v>38</v>
      </c>
      <c r="L1053">
        <v>1</v>
      </c>
      <c r="M1053">
        <v>404</v>
      </c>
      <c r="N1053">
        <v>101</v>
      </c>
      <c r="O1053">
        <v>40</v>
      </c>
      <c r="P1053">
        <v>404</v>
      </c>
      <c r="Q1053">
        <v>343</v>
      </c>
      <c r="R1053" t="s">
        <v>39</v>
      </c>
      <c r="S1053" t="s">
        <v>31</v>
      </c>
      <c r="T1053" t="s">
        <v>32</v>
      </c>
      <c r="U1053">
        <v>25</v>
      </c>
      <c r="V1053">
        <v>4.3</v>
      </c>
      <c r="W1053">
        <f>Table2[[#This Row],[Quantity]]*Table2[[#This Row],[Item_Price]]</f>
        <v>404</v>
      </c>
    </row>
    <row r="1054" spans="1:23" x14ac:dyDescent="0.25">
      <c r="A1054" t="s">
        <v>1150</v>
      </c>
      <c r="B1054" s="1">
        <v>45735</v>
      </c>
      <c r="C1054" t="s">
        <v>910</v>
      </c>
      <c r="D1054">
        <v>3</v>
      </c>
      <c r="E1054">
        <v>19</v>
      </c>
      <c r="F1054" t="s">
        <v>24</v>
      </c>
      <c r="G1054" t="s">
        <v>80</v>
      </c>
      <c r="H1054" t="s">
        <v>105</v>
      </c>
      <c r="I1054" t="s">
        <v>103</v>
      </c>
      <c r="J1054" t="s">
        <v>50</v>
      </c>
      <c r="K1054" t="s">
        <v>38</v>
      </c>
      <c r="L1054">
        <v>3</v>
      </c>
      <c r="M1054">
        <v>553</v>
      </c>
      <c r="N1054">
        <v>27.65</v>
      </c>
      <c r="O1054">
        <v>20</v>
      </c>
      <c r="P1054">
        <v>1659</v>
      </c>
      <c r="Q1054">
        <v>1651.35</v>
      </c>
      <c r="R1054" t="s">
        <v>75</v>
      </c>
      <c r="S1054" t="s">
        <v>31</v>
      </c>
      <c r="T1054" t="s">
        <v>40</v>
      </c>
      <c r="U1054">
        <v>53</v>
      </c>
      <c r="V1054">
        <v>5</v>
      </c>
      <c r="W1054">
        <f>Table2[[#This Row],[Quantity]]*Table2[[#This Row],[Item_Price]]</f>
        <v>1659</v>
      </c>
    </row>
    <row r="1055" spans="1:23" x14ac:dyDescent="0.25">
      <c r="A1055" t="s">
        <v>1151</v>
      </c>
      <c r="B1055" s="1">
        <v>45735</v>
      </c>
      <c r="C1055" t="s">
        <v>910</v>
      </c>
      <c r="D1055">
        <v>3</v>
      </c>
      <c r="E1055">
        <v>19</v>
      </c>
      <c r="F1055" t="s">
        <v>24</v>
      </c>
      <c r="G1055" t="s">
        <v>73</v>
      </c>
      <c r="H1055" t="s">
        <v>105</v>
      </c>
      <c r="I1055" t="s">
        <v>85</v>
      </c>
      <c r="J1055" t="s">
        <v>101</v>
      </c>
      <c r="K1055" t="s">
        <v>38</v>
      </c>
      <c r="L1055">
        <v>1</v>
      </c>
      <c r="M1055">
        <v>179</v>
      </c>
      <c r="N1055">
        <v>35.799999999999997</v>
      </c>
      <c r="O1055">
        <v>30</v>
      </c>
      <c r="P1055">
        <v>179</v>
      </c>
      <c r="Q1055">
        <v>173.2</v>
      </c>
      <c r="R1055" t="s">
        <v>30</v>
      </c>
      <c r="S1055" t="s">
        <v>31</v>
      </c>
      <c r="T1055" t="s">
        <v>40</v>
      </c>
      <c r="U1055">
        <v>57</v>
      </c>
      <c r="V1055">
        <v>4.5999999999999996</v>
      </c>
      <c r="W1055">
        <f>Table2[[#This Row],[Quantity]]*Table2[[#This Row],[Item_Price]]</f>
        <v>179</v>
      </c>
    </row>
    <row r="1056" spans="1:23" x14ac:dyDescent="0.25">
      <c r="A1056" t="s">
        <v>1152</v>
      </c>
      <c r="B1056" s="1">
        <v>45735</v>
      </c>
      <c r="C1056" t="s">
        <v>910</v>
      </c>
      <c r="D1056">
        <v>3</v>
      </c>
      <c r="E1056">
        <v>19</v>
      </c>
      <c r="F1056" t="s">
        <v>24</v>
      </c>
      <c r="G1056" t="s">
        <v>90</v>
      </c>
      <c r="H1056" t="s">
        <v>60</v>
      </c>
      <c r="I1056" t="s">
        <v>57</v>
      </c>
      <c r="J1056" t="s">
        <v>66</v>
      </c>
      <c r="K1056" t="s">
        <v>38</v>
      </c>
      <c r="L1056">
        <v>3</v>
      </c>
      <c r="M1056">
        <v>700</v>
      </c>
      <c r="N1056">
        <v>70</v>
      </c>
      <c r="O1056">
        <v>30</v>
      </c>
      <c r="P1056">
        <v>2100</v>
      </c>
      <c r="Q1056">
        <v>2060</v>
      </c>
      <c r="R1056" t="s">
        <v>39</v>
      </c>
      <c r="S1056" t="s">
        <v>110</v>
      </c>
      <c r="T1056" t="s">
        <v>32</v>
      </c>
      <c r="U1056">
        <v>49</v>
      </c>
      <c r="W1056">
        <f>Table2[[#This Row],[Quantity]]*Table2[[#This Row],[Item_Price]]</f>
        <v>2100</v>
      </c>
    </row>
    <row r="1057" spans="1:23" x14ac:dyDescent="0.25">
      <c r="A1057" t="s">
        <v>1153</v>
      </c>
      <c r="B1057" s="1">
        <v>45735</v>
      </c>
      <c r="C1057" t="s">
        <v>910</v>
      </c>
      <c r="D1057">
        <v>3</v>
      </c>
      <c r="E1057">
        <v>19</v>
      </c>
      <c r="F1057" t="s">
        <v>24</v>
      </c>
      <c r="G1057" t="s">
        <v>90</v>
      </c>
      <c r="H1057" t="s">
        <v>65</v>
      </c>
      <c r="I1057" t="s">
        <v>61</v>
      </c>
      <c r="J1057" t="s">
        <v>28</v>
      </c>
      <c r="K1057" t="s">
        <v>38</v>
      </c>
      <c r="L1057">
        <v>2</v>
      </c>
      <c r="M1057">
        <v>126</v>
      </c>
      <c r="N1057">
        <v>12.6</v>
      </c>
      <c r="O1057">
        <v>0</v>
      </c>
      <c r="P1057">
        <v>252</v>
      </c>
      <c r="Q1057">
        <v>239.4</v>
      </c>
      <c r="R1057" t="s">
        <v>75</v>
      </c>
      <c r="S1057" t="s">
        <v>31</v>
      </c>
      <c r="T1057" t="s">
        <v>40</v>
      </c>
      <c r="U1057">
        <v>64</v>
      </c>
      <c r="V1057">
        <v>3.8</v>
      </c>
      <c r="W1057">
        <f>Table2[[#This Row],[Quantity]]*Table2[[#This Row],[Item_Price]]</f>
        <v>252</v>
      </c>
    </row>
    <row r="1058" spans="1:23" x14ac:dyDescent="0.25">
      <c r="A1058" t="s">
        <v>1154</v>
      </c>
      <c r="B1058" s="1">
        <v>45735</v>
      </c>
      <c r="C1058" t="s">
        <v>910</v>
      </c>
      <c r="D1058">
        <v>3</v>
      </c>
      <c r="E1058">
        <v>19</v>
      </c>
      <c r="F1058" t="s">
        <v>24</v>
      </c>
      <c r="G1058" t="s">
        <v>64</v>
      </c>
      <c r="H1058" t="s">
        <v>42</v>
      </c>
      <c r="I1058" t="s">
        <v>43</v>
      </c>
      <c r="J1058" t="s">
        <v>123</v>
      </c>
      <c r="K1058" t="s">
        <v>38</v>
      </c>
      <c r="L1058">
        <v>1</v>
      </c>
      <c r="M1058">
        <v>208</v>
      </c>
      <c r="N1058">
        <v>31.2</v>
      </c>
      <c r="O1058">
        <v>30</v>
      </c>
      <c r="P1058">
        <v>208</v>
      </c>
      <c r="Q1058">
        <v>206.8</v>
      </c>
      <c r="R1058" t="s">
        <v>112</v>
      </c>
      <c r="S1058" t="s">
        <v>31</v>
      </c>
      <c r="T1058" t="s">
        <v>40</v>
      </c>
      <c r="U1058">
        <v>51</v>
      </c>
      <c r="V1058">
        <v>3.6</v>
      </c>
      <c r="W1058">
        <f>Table2[[#This Row],[Quantity]]*Table2[[#This Row],[Item_Price]]</f>
        <v>208</v>
      </c>
    </row>
    <row r="1059" spans="1:23" x14ac:dyDescent="0.25">
      <c r="A1059" t="s">
        <v>1155</v>
      </c>
      <c r="B1059" s="1">
        <v>45735</v>
      </c>
      <c r="C1059" t="s">
        <v>910</v>
      </c>
      <c r="D1059">
        <v>3</v>
      </c>
      <c r="E1059">
        <v>19</v>
      </c>
      <c r="F1059" t="s">
        <v>24</v>
      </c>
      <c r="G1059" t="s">
        <v>64</v>
      </c>
      <c r="H1059" t="s">
        <v>52</v>
      </c>
      <c r="I1059" t="s">
        <v>97</v>
      </c>
      <c r="J1059" t="s">
        <v>78</v>
      </c>
      <c r="K1059" t="s">
        <v>38</v>
      </c>
      <c r="L1059">
        <v>3</v>
      </c>
      <c r="M1059">
        <v>711</v>
      </c>
      <c r="N1059">
        <v>0</v>
      </c>
      <c r="O1059">
        <v>30</v>
      </c>
      <c r="P1059">
        <v>2133</v>
      </c>
      <c r="Q1059">
        <v>2163</v>
      </c>
      <c r="R1059" t="s">
        <v>30</v>
      </c>
      <c r="S1059" t="s">
        <v>31</v>
      </c>
      <c r="T1059" t="s">
        <v>32</v>
      </c>
      <c r="U1059">
        <v>41</v>
      </c>
      <c r="V1059">
        <v>4.5999999999999996</v>
      </c>
      <c r="W1059">
        <f>Table2[[#This Row],[Quantity]]*Table2[[#This Row],[Item_Price]]</f>
        <v>2133</v>
      </c>
    </row>
    <row r="1060" spans="1:23" x14ac:dyDescent="0.25">
      <c r="A1060" t="s">
        <v>1156</v>
      </c>
      <c r="B1060" s="1">
        <v>45735</v>
      </c>
      <c r="C1060" t="s">
        <v>910</v>
      </c>
      <c r="D1060">
        <v>3</v>
      </c>
      <c r="E1060">
        <v>19</v>
      </c>
      <c r="F1060" t="s">
        <v>24</v>
      </c>
      <c r="G1060" t="s">
        <v>34</v>
      </c>
      <c r="H1060" t="s">
        <v>139</v>
      </c>
      <c r="I1060" t="s">
        <v>103</v>
      </c>
      <c r="J1060" t="s">
        <v>28</v>
      </c>
      <c r="K1060" t="s">
        <v>38</v>
      </c>
      <c r="L1060">
        <v>2</v>
      </c>
      <c r="M1060">
        <v>871</v>
      </c>
      <c r="N1060">
        <v>0</v>
      </c>
      <c r="O1060">
        <v>50</v>
      </c>
      <c r="P1060">
        <v>1742</v>
      </c>
      <c r="Q1060">
        <v>1792</v>
      </c>
      <c r="R1060" t="s">
        <v>39</v>
      </c>
      <c r="S1060" t="s">
        <v>31</v>
      </c>
      <c r="T1060" t="s">
        <v>40</v>
      </c>
      <c r="U1060">
        <v>27</v>
      </c>
      <c r="V1060">
        <v>4.0999999999999996</v>
      </c>
      <c r="W1060">
        <f>Table2[[#This Row],[Quantity]]*Table2[[#This Row],[Item_Price]]</f>
        <v>1742</v>
      </c>
    </row>
    <row r="1061" spans="1:23" x14ac:dyDescent="0.25">
      <c r="A1061" t="s">
        <v>1157</v>
      </c>
      <c r="B1061" s="1">
        <v>45735</v>
      </c>
      <c r="C1061" t="s">
        <v>910</v>
      </c>
      <c r="D1061">
        <v>3</v>
      </c>
      <c r="E1061">
        <v>19</v>
      </c>
      <c r="F1061" t="s">
        <v>24</v>
      </c>
      <c r="G1061" t="s">
        <v>80</v>
      </c>
      <c r="H1061" t="s">
        <v>26</v>
      </c>
      <c r="I1061" t="s">
        <v>69</v>
      </c>
      <c r="J1061" t="s">
        <v>37</v>
      </c>
      <c r="K1061" t="s">
        <v>45</v>
      </c>
      <c r="L1061">
        <v>2</v>
      </c>
      <c r="M1061">
        <v>504</v>
      </c>
      <c r="N1061">
        <v>75.599999999999994</v>
      </c>
      <c r="O1061">
        <v>30</v>
      </c>
      <c r="P1061">
        <v>1008</v>
      </c>
      <c r="Q1061">
        <v>962.4</v>
      </c>
      <c r="R1061" t="s">
        <v>30</v>
      </c>
      <c r="S1061" t="s">
        <v>31</v>
      </c>
      <c r="T1061" t="s">
        <v>40</v>
      </c>
      <c r="U1061">
        <v>56</v>
      </c>
      <c r="V1061">
        <v>4.0999999999999996</v>
      </c>
      <c r="W1061">
        <f>Table2[[#This Row],[Quantity]]*Table2[[#This Row],[Item_Price]]</f>
        <v>1008</v>
      </c>
    </row>
    <row r="1062" spans="1:23" x14ac:dyDescent="0.25">
      <c r="A1062" t="s">
        <v>1158</v>
      </c>
      <c r="B1062" s="1">
        <v>45735</v>
      </c>
      <c r="C1062" t="s">
        <v>910</v>
      </c>
      <c r="D1062">
        <v>3</v>
      </c>
      <c r="E1062">
        <v>19</v>
      </c>
      <c r="F1062" t="s">
        <v>24</v>
      </c>
      <c r="G1062" t="s">
        <v>90</v>
      </c>
      <c r="H1062" t="s">
        <v>81</v>
      </c>
      <c r="I1062" t="s">
        <v>43</v>
      </c>
      <c r="J1062" t="s">
        <v>94</v>
      </c>
      <c r="K1062" t="s">
        <v>45</v>
      </c>
      <c r="L1062">
        <v>1</v>
      </c>
      <c r="M1062">
        <v>791</v>
      </c>
      <c r="N1062">
        <v>79.099999999999994</v>
      </c>
      <c r="O1062">
        <v>0</v>
      </c>
      <c r="P1062">
        <v>791</v>
      </c>
      <c r="Q1062">
        <v>711.9</v>
      </c>
      <c r="R1062" t="s">
        <v>39</v>
      </c>
      <c r="S1062" t="s">
        <v>31</v>
      </c>
      <c r="T1062" t="s">
        <v>32</v>
      </c>
      <c r="U1062">
        <v>29</v>
      </c>
      <c r="V1062">
        <v>4</v>
      </c>
      <c r="W1062">
        <f>Table2[[#This Row],[Quantity]]*Table2[[#This Row],[Item_Price]]</f>
        <v>791</v>
      </c>
    </row>
    <row r="1063" spans="1:23" x14ac:dyDescent="0.25">
      <c r="A1063" t="s">
        <v>1159</v>
      </c>
      <c r="B1063" s="1">
        <v>45735</v>
      </c>
      <c r="C1063" t="s">
        <v>910</v>
      </c>
      <c r="D1063">
        <v>3</v>
      </c>
      <c r="E1063">
        <v>19</v>
      </c>
      <c r="F1063" t="s">
        <v>24</v>
      </c>
      <c r="G1063" t="s">
        <v>64</v>
      </c>
      <c r="H1063" t="s">
        <v>135</v>
      </c>
      <c r="I1063" t="s">
        <v>69</v>
      </c>
      <c r="J1063" t="s">
        <v>82</v>
      </c>
      <c r="K1063" t="s">
        <v>45</v>
      </c>
      <c r="L1063">
        <v>2</v>
      </c>
      <c r="M1063">
        <v>390</v>
      </c>
      <c r="N1063">
        <v>78</v>
      </c>
      <c r="O1063">
        <v>50</v>
      </c>
      <c r="P1063">
        <v>780</v>
      </c>
      <c r="Q1063">
        <v>752</v>
      </c>
      <c r="R1063" t="s">
        <v>39</v>
      </c>
      <c r="S1063" t="s">
        <v>31</v>
      </c>
      <c r="T1063" t="s">
        <v>40</v>
      </c>
      <c r="U1063">
        <v>64</v>
      </c>
      <c r="V1063">
        <v>3.2</v>
      </c>
      <c r="W1063">
        <f>Table2[[#This Row],[Quantity]]*Table2[[#This Row],[Item_Price]]</f>
        <v>780</v>
      </c>
    </row>
    <row r="1064" spans="1:23" x14ac:dyDescent="0.25">
      <c r="A1064" t="s">
        <v>1160</v>
      </c>
      <c r="B1064" s="1">
        <v>45735</v>
      </c>
      <c r="C1064" t="s">
        <v>910</v>
      </c>
      <c r="D1064">
        <v>3</v>
      </c>
      <c r="E1064">
        <v>19</v>
      </c>
      <c r="F1064" t="s">
        <v>24</v>
      </c>
      <c r="G1064" t="s">
        <v>25</v>
      </c>
      <c r="H1064" t="s">
        <v>81</v>
      </c>
      <c r="I1064" t="s">
        <v>97</v>
      </c>
      <c r="J1064" t="s">
        <v>70</v>
      </c>
      <c r="K1064" t="s">
        <v>38</v>
      </c>
      <c r="L1064">
        <v>2</v>
      </c>
      <c r="M1064">
        <v>706</v>
      </c>
      <c r="N1064">
        <v>105.9</v>
      </c>
      <c r="O1064">
        <v>60</v>
      </c>
      <c r="P1064">
        <v>1412</v>
      </c>
      <c r="Q1064">
        <v>1366.1</v>
      </c>
      <c r="R1064" t="s">
        <v>30</v>
      </c>
      <c r="S1064" t="s">
        <v>31</v>
      </c>
      <c r="T1064" t="s">
        <v>32</v>
      </c>
      <c r="U1064">
        <v>19</v>
      </c>
      <c r="V1064">
        <v>4.0999999999999996</v>
      </c>
      <c r="W1064">
        <f>Table2[[#This Row],[Quantity]]*Table2[[#This Row],[Item_Price]]</f>
        <v>1412</v>
      </c>
    </row>
    <row r="1065" spans="1:23" x14ac:dyDescent="0.25">
      <c r="A1065" t="s">
        <v>1161</v>
      </c>
      <c r="B1065" s="1">
        <v>45736</v>
      </c>
      <c r="C1065" t="s">
        <v>910</v>
      </c>
      <c r="D1065">
        <v>3</v>
      </c>
      <c r="E1065">
        <v>20</v>
      </c>
      <c r="F1065" t="s">
        <v>88</v>
      </c>
      <c r="G1065" t="s">
        <v>34</v>
      </c>
      <c r="H1065" t="s">
        <v>108</v>
      </c>
      <c r="I1065" t="s">
        <v>43</v>
      </c>
      <c r="J1065" t="s">
        <v>119</v>
      </c>
      <c r="K1065" t="s">
        <v>38</v>
      </c>
      <c r="L1065">
        <v>2</v>
      </c>
      <c r="M1065">
        <v>483</v>
      </c>
      <c r="N1065">
        <v>72.45</v>
      </c>
      <c r="O1065">
        <v>0</v>
      </c>
      <c r="P1065">
        <v>966</v>
      </c>
      <c r="Q1065">
        <v>893.55</v>
      </c>
      <c r="R1065" t="s">
        <v>75</v>
      </c>
      <c r="S1065" t="s">
        <v>31</v>
      </c>
      <c r="T1065" t="s">
        <v>40</v>
      </c>
      <c r="U1065">
        <v>46</v>
      </c>
      <c r="V1065">
        <v>4.4000000000000004</v>
      </c>
      <c r="W1065">
        <f>Table2[[#This Row],[Quantity]]*Table2[[#This Row],[Item_Price]]</f>
        <v>966</v>
      </c>
    </row>
    <row r="1066" spans="1:23" x14ac:dyDescent="0.25">
      <c r="A1066" t="s">
        <v>1162</v>
      </c>
      <c r="B1066" s="1">
        <v>45736</v>
      </c>
      <c r="C1066" t="s">
        <v>910</v>
      </c>
      <c r="D1066">
        <v>3</v>
      </c>
      <c r="E1066">
        <v>20</v>
      </c>
      <c r="F1066" t="s">
        <v>88</v>
      </c>
      <c r="G1066" t="s">
        <v>73</v>
      </c>
      <c r="H1066" t="s">
        <v>35</v>
      </c>
      <c r="I1066" t="s">
        <v>43</v>
      </c>
      <c r="J1066" t="s">
        <v>37</v>
      </c>
      <c r="K1066" t="s">
        <v>58</v>
      </c>
      <c r="L1066">
        <v>1</v>
      </c>
      <c r="M1066">
        <v>607</v>
      </c>
      <c r="N1066">
        <v>91.05</v>
      </c>
      <c r="O1066">
        <v>20</v>
      </c>
      <c r="P1066">
        <v>607</v>
      </c>
      <c r="Q1066">
        <v>535.95000000000005</v>
      </c>
      <c r="R1066" t="s">
        <v>112</v>
      </c>
      <c r="S1066" t="s">
        <v>31</v>
      </c>
      <c r="T1066" t="s">
        <v>40</v>
      </c>
      <c r="U1066">
        <v>51</v>
      </c>
      <c r="V1066">
        <v>2.7</v>
      </c>
      <c r="W1066">
        <f>Table2[[#This Row],[Quantity]]*Table2[[#This Row],[Item_Price]]</f>
        <v>607</v>
      </c>
    </row>
    <row r="1067" spans="1:23" x14ac:dyDescent="0.25">
      <c r="A1067" t="s">
        <v>1163</v>
      </c>
      <c r="B1067" s="1">
        <v>45736</v>
      </c>
      <c r="C1067" t="s">
        <v>910</v>
      </c>
      <c r="D1067">
        <v>3</v>
      </c>
      <c r="E1067">
        <v>20</v>
      </c>
      <c r="F1067" t="s">
        <v>88</v>
      </c>
      <c r="G1067" t="s">
        <v>25</v>
      </c>
      <c r="H1067" t="s">
        <v>52</v>
      </c>
      <c r="I1067" t="s">
        <v>61</v>
      </c>
      <c r="J1067" t="s">
        <v>74</v>
      </c>
      <c r="K1067" t="s">
        <v>45</v>
      </c>
      <c r="L1067">
        <v>3</v>
      </c>
      <c r="M1067">
        <v>186</v>
      </c>
      <c r="N1067">
        <v>27.9</v>
      </c>
      <c r="O1067">
        <v>0</v>
      </c>
      <c r="P1067">
        <v>558</v>
      </c>
      <c r="Q1067">
        <v>530.1</v>
      </c>
      <c r="R1067" t="s">
        <v>39</v>
      </c>
      <c r="S1067" t="s">
        <v>31</v>
      </c>
      <c r="T1067" t="s">
        <v>32</v>
      </c>
      <c r="U1067">
        <v>46</v>
      </c>
      <c r="V1067">
        <v>3.5</v>
      </c>
      <c r="W1067">
        <f>Table2[[#This Row],[Quantity]]*Table2[[#This Row],[Item_Price]]</f>
        <v>558</v>
      </c>
    </row>
    <row r="1068" spans="1:23" x14ac:dyDescent="0.25">
      <c r="A1068" t="s">
        <v>1164</v>
      </c>
      <c r="B1068" s="1">
        <v>45736</v>
      </c>
      <c r="C1068" t="s">
        <v>910</v>
      </c>
      <c r="D1068">
        <v>3</v>
      </c>
      <c r="E1068">
        <v>20</v>
      </c>
      <c r="F1068" t="s">
        <v>88</v>
      </c>
      <c r="G1068" t="s">
        <v>84</v>
      </c>
      <c r="H1068" t="s">
        <v>56</v>
      </c>
      <c r="I1068" t="s">
        <v>57</v>
      </c>
      <c r="J1068" t="s">
        <v>37</v>
      </c>
      <c r="K1068" t="s">
        <v>38</v>
      </c>
      <c r="L1068">
        <v>3</v>
      </c>
      <c r="M1068">
        <v>144</v>
      </c>
      <c r="N1068">
        <v>0</v>
      </c>
      <c r="O1068">
        <v>50</v>
      </c>
      <c r="P1068">
        <v>432</v>
      </c>
      <c r="Q1068">
        <v>482</v>
      </c>
      <c r="R1068" t="s">
        <v>39</v>
      </c>
      <c r="S1068" t="s">
        <v>31</v>
      </c>
      <c r="T1068" t="s">
        <v>40</v>
      </c>
      <c r="U1068">
        <v>28</v>
      </c>
      <c r="V1068">
        <v>3.9</v>
      </c>
      <c r="W1068">
        <f>Table2[[#This Row],[Quantity]]*Table2[[#This Row],[Item_Price]]</f>
        <v>432</v>
      </c>
    </row>
    <row r="1069" spans="1:23" x14ac:dyDescent="0.25">
      <c r="A1069" t="s">
        <v>1165</v>
      </c>
      <c r="B1069" s="1">
        <v>45736</v>
      </c>
      <c r="C1069" t="s">
        <v>910</v>
      </c>
      <c r="D1069">
        <v>3</v>
      </c>
      <c r="E1069">
        <v>20</v>
      </c>
      <c r="F1069" t="s">
        <v>88</v>
      </c>
      <c r="G1069" t="s">
        <v>90</v>
      </c>
      <c r="H1069" t="s">
        <v>105</v>
      </c>
      <c r="I1069" t="s">
        <v>97</v>
      </c>
      <c r="J1069" t="s">
        <v>123</v>
      </c>
      <c r="K1069" t="s">
        <v>38</v>
      </c>
      <c r="L1069">
        <v>1</v>
      </c>
      <c r="M1069">
        <v>396</v>
      </c>
      <c r="N1069">
        <v>19.8</v>
      </c>
      <c r="O1069">
        <v>60</v>
      </c>
      <c r="P1069">
        <v>396</v>
      </c>
      <c r="Q1069">
        <v>436.2</v>
      </c>
      <c r="R1069" t="s">
        <v>98</v>
      </c>
      <c r="S1069" t="s">
        <v>31</v>
      </c>
      <c r="T1069" t="s">
        <v>40</v>
      </c>
      <c r="U1069">
        <v>21</v>
      </c>
      <c r="V1069">
        <v>3.8</v>
      </c>
      <c r="W1069">
        <f>Table2[[#This Row],[Quantity]]*Table2[[#This Row],[Item_Price]]</f>
        <v>396</v>
      </c>
    </row>
    <row r="1070" spans="1:23" x14ac:dyDescent="0.25">
      <c r="A1070" t="s">
        <v>1166</v>
      </c>
      <c r="B1070" s="1">
        <v>45736</v>
      </c>
      <c r="C1070" t="s">
        <v>910</v>
      </c>
      <c r="D1070">
        <v>3</v>
      </c>
      <c r="E1070">
        <v>20</v>
      </c>
      <c r="F1070" t="s">
        <v>88</v>
      </c>
      <c r="G1070" t="s">
        <v>115</v>
      </c>
      <c r="H1070" t="s">
        <v>139</v>
      </c>
      <c r="I1070" t="s">
        <v>36</v>
      </c>
      <c r="J1070" t="s">
        <v>44</v>
      </c>
      <c r="K1070" t="s">
        <v>38</v>
      </c>
      <c r="L1070">
        <v>2</v>
      </c>
      <c r="M1070">
        <v>878</v>
      </c>
      <c r="N1070">
        <v>175.6</v>
      </c>
      <c r="O1070">
        <v>70</v>
      </c>
      <c r="P1070">
        <v>1756</v>
      </c>
      <c r="Q1070">
        <v>1650.4</v>
      </c>
      <c r="R1070" t="s">
        <v>39</v>
      </c>
      <c r="S1070" t="s">
        <v>31</v>
      </c>
      <c r="T1070" t="s">
        <v>40</v>
      </c>
      <c r="U1070">
        <v>42</v>
      </c>
      <c r="V1070">
        <v>4.8</v>
      </c>
      <c r="W1070">
        <f>Table2[[#This Row],[Quantity]]*Table2[[#This Row],[Item_Price]]</f>
        <v>1756</v>
      </c>
    </row>
    <row r="1071" spans="1:23" x14ac:dyDescent="0.25">
      <c r="A1071" t="s">
        <v>1167</v>
      </c>
      <c r="B1071" s="1">
        <v>45736</v>
      </c>
      <c r="C1071" t="s">
        <v>910</v>
      </c>
      <c r="D1071">
        <v>3</v>
      </c>
      <c r="E1071">
        <v>20</v>
      </c>
      <c r="F1071" t="s">
        <v>88</v>
      </c>
      <c r="G1071" t="s">
        <v>80</v>
      </c>
      <c r="H1071" t="s">
        <v>65</v>
      </c>
      <c r="I1071" t="s">
        <v>27</v>
      </c>
      <c r="J1071" t="s">
        <v>119</v>
      </c>
      <c r="K1071" t="s">
        <v>29</v>
      </c>
      <c r="L1071">
        <v>2</v>
      </c>
      <c r="M1071">
        <v>431</v>
      </c>
      <c r="N1071">
        <v>43.1</v>
      </c>
      <c r="O1071">
        <v>0</v>
      </c>
      <c r="P1071">
        <v>862</v>
      </c>
      <c r="Q1071">
        <v>818.9</v>
      </c>
      <c r="R1071" t="s">
        <v>98</v>
      </c>
      <c r="S1071" t="s">
        <v>46</v>
      </c>
      <c r="T1071" t="s">
        <v>40</v>
      </c>
      <c r="U1071">
        <v>42</v>
      </c>
      <c r="W1071">
        <f>Table2[[#This Row],[Quantity]]*Table2[[#This Row],[Item_Price]]</f>
        <v>862</v>
      </c>
    </row>
    <row r="1072" spans="1:23" x14ac:dyDescent="0.25">
      <c r="A1072" t="s">
        <v>1168</v>
      </c>
      <c r="B1072" s="1">
        <v>45736</v>
      </c>
      <c r="C1072" t="s">
        <v>910</v>
      </c>
      <c r="D1072">
        <v>3</v>
      </c>
      <c r="E1072">
        <v>20</v>
      </c>
      <c r="F1072" t="s">
        <v>88</v>
      </c>
      <c r="G1072" t="s">
        <v>25</v>
      </c>
      <c r="H1072" t="s">
        <v>48</v>
      </c>
      <c r="I1072" t="s">
        <v>85</v>
      </c>
      <c r="J1072" t="s">
        <v>37</v>
      </c>
      <c r="K1072" t="s">
        <v>45</v>
      </c>
      <c r="L1072">
        <v>1</v>
      </c>
      <c r="M1072">
        <v>124</v>
      </c>
      <c r="N1072">
        <v>12.4</v>
      </c>
      <c r="O1072">
        <v>60</v>
      </c>
      <c r="P1072">
        <v>124</v>
      </c>
      <c r="Q1072">
        <v>171.6</v>
      </c>
      <c r="R1072" t="s">
        <v>39</v>
      </c>
      <c r="S1072" t="s">
        <v>31</v>
      </c>
      <c r="T1072" t="s">
        <v>32</v>
      </c>
      <c r="U1072">
        <v>44</v>
      </c>
      <c r="V1072">
        <v>3.7</v>
      </c>
      <c r="W1072">
        <f>Table2[[#This Row],[Quantity]]*Table2[[#This Row],[Item_Price]]</f>
        <v>124</v>
      </c>
    </row>
    <row r="1073" spans="1:23" x14ac:dyDescent="0.25">
      <c r="A1073" t="s">
        <v>1169</v>
      </c>
      <c r="B1073" s="1">
        <v>45736</v>
      </c>
      <c r="C1073" t="s">
        <v>910</v>
      </c>
      <c r="D1073">
        <v>3</v>
      </c>
      <c r="E1073">
        <v>20</v>
      </c>
      <c r="F1073" t="s">
        <v>88</v>
      </c>
      <c r="G1073" t="s">
        <v>80</v>
      </c>
      <c r="H1073" t="s">
        <v>52</v>
      </c>
      <c r="I1073" t="s">
        <v>57</v>
      </c>
      <c r="J1073" t="s">
        <v>172</v>
      </c>
      <c r="K1073" t="s">
        <v>38</v>
      </c>
      <c r="L1073">
        <v>1</v>
      </c>
      <c r="M1073">
        <v>211</v>
      </c>
      <c r="N1073">
        <v>0</v>
      </c>
      <c r="O1073">
        <v>40</v>
      </c>
      <c r="P1073">
        <v>211</v>
      </c>
      <c r="Q1073">
        <v>251</v>
      </c>
      <c r="R1073" t="s">
        <v>39</v>
      </c>
      <c r="S1073" t="s">
        <v>31</v>
      </c>
      <c r="T1073" t="s">
        <v>40</v>
      </c>
      <c r="U1073">
        <v>54</v>
      </c>
      <c r="V1073">
        <v>3.9</v>
      </c>
      <c r="W1073">
        <f>Table2[[#This Row],[Quantity]]*Table2[[#This Row],[Item_Price]]</f>
        <v>211</v>
      </c>
    </row>
    <row r="1074" spans="1:23" x14ac:dyDescent="0.25">
      <c r="A1074" t="s">
        <v>1170</v>
      </c>
      <c r="B1074" s="1">
        <v>45736</v>
      </c>
      <c r="C1074" t="s">
        <v>910</v>
      </c>
      <c r="D1074">
        <v>3</v>
      </c>
      <c r="E1074">
        <v>20</v>
      </c>
      <c r="F1074" t="s">
        <v>88</v>
      </c>
      <c r="G1074" t="s">
        <v>55</v>
      </c>
      <c r="H1074" t="s">
        <v>56</v>
      </c>
      <c r="I1074" t="s">
        <v>85</v>
      </c>
      <c r="J1074" t="s">
        <v>119</v>
      </c>
      <c r="K1074" t="s">
        <v>38</v>
      </c>
      <c r="L1074">
        <v>1</v>
      </c>
      <c r="M1074">
        <v>681</v>
      </c>
      <c r="N1074">
        <v>0</v>
      </c>
      <c r="O1074">
        <v>60</v>
      </c>
      <c r="P1074">
        <v>681</v>
      </c>
      <c r="Q1074">
        <v>741</v>
      </c>
      <c r="R1074" t="s">
        <v>39</v>
      </c>
      <c r="S1074" t="s">
        <v>31</v>
      </c>
      <c r="T1074" t="s">
        <v>40</v>
      </c>
      <c r="U1074">
        <v>34</v>
      </c>
      <c r="V1074">
        <v>5</v>
      </c>
      <c r="W1074">
        <f>Table2[[#This Row],[Quantity]]*Table2[[#This Row],[Item_Price]]</f>
        <v>681</v>
      </c>
    </row>
    <row r="1075" spans="1:23" x14ac:dyDescent="0.25">
      <c r="A1075" t="s">
        <v>1171</v>
      </c>
      <c r="B1075" s="1">
        <v>45736</v>
      </c>
      <c r="C1075" t="s">
        <v>910</v>
      </c>
      <c r="D1075">
        <v>3</v>
      </c>
      <c r="E1075">
        <v>20</v>
      </c>
      <c r="F1075" t="s">
        <v>88</v>
      </c>
      <c r="G1075" t="s">
        <v>115</v>
      </c>
      <c r="H1075" t="s">
        <v>56</v>
      </c>
      <c r="I1075" t="s">
        <v>57</v>
      </c>
      <c r="J1075" t="s">
        <v>101</v>
      </c>
      <c r="K1075" t="s">
        <v>45</v>
      </c>
      <c r="L1075">
        <v>2</v>
      </c>
      <c r="M1075">
        <v>557</v>
      </c>
      <c r="N1075">
        <v>111.4</v>
      </c>
      <c r="O1075">
        <v>0</v>
      </c>
      <c r="P1075">
        <v>1114</v>
      </c>
      <c r="Q1075">
        <v>1002.6</v>
      </c>
      <c r="R1075" t="s">
        <v>30</v>
      </c>
      <c r="S1075" t="s">
        <v>46</v>
      </c>
      <c r="T1075" t="s">
        <v>40</v>
      </c>
      <c r="U1075">
        <v>65</v>
      </c>
      <c r="W1075">
        <f>Table2[[#This Row],[Quantity]]*Table2[[#This Row],[Item_Price]]</f>
        <v>1114</v>
      </c>
    </row>
    <row r="1076" spans="1:23" x14ac:dyDescent="0.25">
      <c r="A1076" t="s">
        <v>1172</v>
      </c>
      <c r="B1076" s="1">
        <v>45737</v>
      </c>
      <c r="C1076" t="s">
        <v>910</v>
      </c>
      <c r="D1076">
        <v>3</v>
      </c>
      <c r="E1076">
        <v>21</v>
      </c>
      <c r="F1076" t="s">
        <v>114</v>
      </c>
      <c r="G1076" t="s">
        <v>80</v>
      </c>
      <c r="H1076" t="s">
        <v>65</v>
      </c>
      <c r="I1076" t="s">
        <v>49</v>
      </c>
      <c r="J1076" t="s">
        <v>82</v>
      </c>
      <c r="K1076" t="s">
        <v>38</v>
      </c>
      <c r="L1076">
        <v>1</v>
      </c>
      <c r="M1076">
        <v>559</v>
      </c>
      <c r="N1076">
        <v>55.9</v>
      </c>
      <c r="O1076">
        <v>30</v>
      </c>
      <c r="P1076">
        <v>559</v>
      </c>
      <c r="Q1076">
        <v>533.1</v>
      </c>
      <c r="R1076" t="s">
        <v>39</v>
      </c>
      <c r="S1076" t="s">
        <v>31</v>
      </c>
      <c r="T1076" t="s">
        <v>32</v>
      </c>
      <c r="U1076">
        <v>65</v>
      </c>
      <c r="V1076">
        <v>3.6</v>
      </c>
      <c r="W1076">
        <f>Table2[[#This Row],[Quantity]]*Table2[[#This Row],[Item_Price]]</f>
        <v>559</v>
      </c>
    </row>
    <row r="1077" spans="1:23" x14ac:dyDescent="0.25">
      <c r="A1077" t="s">
        <v>1173</v>
      </c>
      <c r="B1077" s="1">
        <v>45737</v>
      </c>
      <c r="C1077" t="s">
        <v>910</v>
      </c>
      <c r="D1077">
        <v>3</v>
      </c>
      <c r="E1077">
        <v>21</v>
      </c>
      <c r="F1077" t="s">
        <v>114</v>
      </c>
      <c r="G1077" t="s">
        <v>55</v>
      </c>
      <c r="H1077" t="s">
        <v>35</v>
      </c>
      <c r="I1077" t="s">
        <v>69</v>
      </c>
      <c r="J1077" t="s">
        <v>53</v>
      </c>
      <c r="K1077" t="s">
        <v>38</v>
      </c>
      <c r="L1077">
        <v>3</v>
      </c>
      <c r="M1077">
        <v>648</v>
      </c>
      <c r="N1077">
        <v>162</v>
      </c>
      <c r="O1077">
        <v>30</v>
      </c>
      <c r="P1077">
        <v>1944</v>
      </c>
      <c r="Q1077">
        <v>1812</v>
      </c>
      <c r="R1077" t="s">
        <v>39</v>
      </c>
      <c r="S1077" t="s">
        <v>91</v>
      </c>
      <c r="T1077" t="s">
        <v>40</v>
      </c>
      <c r="U1077">
        <v>68</v>
      </c>
      <c r="W1077">
        <f>Table2[[#This Row],[Quantity]]*Table2[[#This Row],[Item_Price]]</f>
        <v>1944</v>
      </c>
    </row>
    <row r="1078" spans="1:23" x14ac:dyDescent="0.25">
      <c r="A1078" t="s">
        <v>1174</v>
      </c>
      <c r="B1078" s="1">
        <v>45737</v>
      </c>
      <c r="C1078" t="s">
        <v>910</v>
      </c>
      <c r="D1078">
        <v>3</v>
      </c>
      <c r="E1078">
        <v>21</v>
      </c>
      <c r="F1078" t="s">
        <v>114</v>
      </c>
      <c r="G1078" t="s">
        <v>55</v>
      </c>
      <c r="H1078" t="s">
        <v>68</v>
      </c>
      <c r="I1078" t="s">
        <v>27</v>
      </c>
      <c r="J1078" t="s">
        <v>66</v>
      </c>
      <c r="K1078" t="s">
        <v>38</v>
      </c>
      <c r="L1078">
        <v>1</v>
      </c>
      <c r="M1078">
        <v>346</v>
      </c>
      <c r="N1078">
        <v>34.6</v>
      </c>
      <c r="O1078">
        <v>50</v>
      </c>
      <c r="P1078">
        <v>346</v>
      </c>
      <c r="Q1078">
        <v>361.4</v>
      </c>
      <c r="R1078" t="s">
        <v>39</v>
      </c>
      <c r="S1078" t="s">
        <v>31</v>
      </c>
      <c r="T1078" t="s">
        <v>32</v>
      </c>
      <c r="U1078">
        <v>44</v>
      </c>
      <c r="V1078">
        <v>5</v>
      </c>
      <c r="W1078">
        <f>Table2[[#This Row],[Quantity]]*Table2[[#This Row],[Item_Price]]</f>
        <v>346</v>
      </c>
    </row>
    <row r="1079" spans="1:23" x14ac:dyDescent="0.25">
      <c r="A1079" t="s">
        <v>1175</v>
      </c>
      <c r="B1079" s="1">
        <v>45737</v>
      </c>
      <c r="C1079" t="s">
        <v>910</v>
      </c>
      <c r="D1079">
        <v>3</v>
      </c>
      <c r="E1079">
        <v>21</v>
      </c>
      <c r="F1079" t="s">
        <v>114</v>
      </c>
      <c r="G1079" t="s">
        <v>64</v>
      </c>
      <c r="H1079" t="s">
        <v>108</v>
      </c>
      <c r="I1079" t="s">
        <v>69</v>
      </c>
      <c r="J1079" t="s">
        <v>123</v>
      </c>
      <c r="K1079" t="s">
        <v>38</v>
      </c>
      <c r="L1079">
        <v>1</v>
      </c>
      <c r="M1079">
        <v>307</v>
      </c>
      <c r="N1079">
        <v>76.75</v>
      </c>
      <c r="O1079">
        <v>40</v>
      </c>
      <c r="P1079">
        <v>307</v>
      </c>
      <c r="Q1079">
        <v>270.25</v>
      </c>
      <c r="R1079" t="s">
        <v>75</v>
      </c>
      <c r="S1079" t="s">
        <v>31</v>
      </c>
      <c r="T1079" t="s">
        <v>40</v>
      </c>
      <c r="U1079">
        <v>66</v>
      </c>
      <c r="V1079">
        <v>5</v>
      </c>
      <c r="W1079">
        <f>Table2[[#This Row],[Quantity]]*Table2[[#This Row],[Item_Price]]</f>
        <v>307</v>
      </c>
    </row>
    <row r="1080" spans="1:23" x14ac:dyDescent="0.25">
      <c r="A1080" t="s">
        <v>1176</v>
      </c>
      <c r="B1080" s="1">
        <v>45737</v>
      </c>
      <c r="C1080" t="s">
        <v>910</v>
      </c>
      <c r="D1080">
        <v>3</v>
      </c>
      <c r="E1080">
        <v>21</v>
      </c>
      <c r="F1080" t="s">
        <v>114</v>
      </c>
      <c r="G1080" t="s">
        <v>34</v>
      </c>
      <c r="H1080" t="s">
        <v>56</v>
      </c>
      <c r="I1080" t="s">
        <v>43</v>
      </c>
      <c r="J1080" t="s">
        <v>70</v>
      </c>
      <c r="K1080" t="s">
        <v>38</v>
      </c>
      <c r="L1080">
        <v>3</v>
      </c>
      <c r="M1080">
        <v>486</v>
      </c>
      <c r="N1080">
        <v>48.6</v>
      </c>
      <c r="O1080">
        <v>70</v>
      </c>
      <c r="P1080">
        <v>1458</v>
      </c>
      <c r="Q1080">
        <v>1479.4</v>
      </c>
      <c r="R1080" t="s">
        <v>39</v>
      </c>
      <c r="S1080" t="s">
        <v>31</v>
      </c>
      <c r="T1080" t="s">
        <v>40</v>
      </c>
      <c r="U1080">
        <v>38</v>
      </c>
      <c r="V1080">
        <v>4.5</v>
      </c>
      <c r="W1080">
        <f>Table2[[#This Row],[Quantity]]*Table2[[#This Row],[Item_Price]]</f>
        <v>1458</v>
      </c>
    </row>
    <row r="1081" spans="1:23" x14ac:dyDescent="0.25">
      <c r="A1081" t="s">
        <v>1177</v>
      </c>
      <c r="B1081" s="1">
        <v>45737</v>
      </c>
      <c r="C1081" t="s">
        <v>910</v>
      </c>
      <c r="D1081">
        <v>3</v>
      </c>
      <c r="E1081">
        <v>21</v>
      </c>
      <c r="F1081" t="s">
        <v>114</v>
      </c>
      <c r="G1081" t="s">
        <v>25</v>
      </c>
      <c r="H1081" t="s">
        <v>81</v>
      </c>
      <c r="I1081" t="s">
        <v>103</v>
      </c>
      <c r="J1081" t="s">
        <v>123</v>
      </c>
      <c r="K1081" t="s">
        <v>38</v>
      </c>
      <c r="L1081">
        <v>1</v>
      </c>
      <c r="M1081">
        <v>754</v>
      </c>
      <c r="N1081">
        <v>75.400000000000006</v>
      </c>
      <c r="O1081">
        <v>50</v>
      </c>
      <c r="P1081">
        <v>754</v>
      </c>
      <c r="Q1081">
        <v>728.6</v>
      </c>
      <c r="R1081" t="s">
        <v>39</v>
      </c>
      <c r="S1081" t="s">
        <v>31</v>
      </c>
      <c r="T1081" t="s">
        <v>40</v>
      </c>
      <c r="U1081">
        <v>27</v>
      </c>
      <c r="V1081">
        <v>3.8</v>
      </c>
      <c r="W1081">
        <f>Table2[[#This Row],[Quantity]]*Table2[[#This Row],[Item_Price]]</f>
        <v>754</v>
      </c>
    </row>
    <row r="1082" spans="1:23" x14ac:dyDescent="0.25">
      <c r="A1082" t="s">
        <v>1178</v>
      </c>
      <c r="B1082" s="1">
        <v>45738</v>
      </c>
      <c r="C1082" t="s">
        <v>910</v>
      </c>
      <c r="D1082">
        <v>3</v>
      </c>
      <c r="E1082">
        <v>22</v>
      </c>
      <c r="F1082" t="s">
        <v>134</v>
      </c>
      <c r="G1082" t="s">
        <v>55</v>
      </c>
      <c r="H1082" t="s">
        <v>60</v>
      </c>
      <c r="I1082" t="s">
        <v>103</v>
      </c>
      <c r="J1082" t="s">
        <v>94</v>
      </c>
      <c r="K1082" t="s">
        <v>38</v>
      </c>
      <c r="L1082">
        <v>3</v>
      </c>
      <c r="M1082">
        <v>414</v>
      </c>
      <c r="N1082">
        <v>41.4</v>
      </c>
      <c r="O1082">
        <v>40</v>
      </c>
      <c r="P1082">
        <v>1242</v>
      </c>
      <c r="Q1082">
        <v>1240.5999999999999</v>
      </c>
      <c r="R1082" t="s">
        <v>30</v>
      </c>
      <c r="S1082" t="s">
        <v>31</v>
      </c>
      <c r="T1082" t="s">
        <v>40</v>
      </c>
      <c r="U1082">
        <v>24</v>
      </c>
      <c r="V1082">
        <v>3.9</v>
      </c>
      <c r="W1082">
        <f>Table2[[#This Row],[Quantity]]*Table2[[#This Row],[Item_Price]]</f>
        <v>1242</v>
      </c>
    </row>
    <row r="1083" spans="1:23" x14ac:dyDescent="0.25">
      <c r="A1083" t="s">
        <v>1179</v>
      </c>
      <c r="B1083" s="1">
        <v>45738</v>
      </c>
      <c r="C1083" t="s">
        <v>910</v>
      </c>
      <c r="D1083">
        <v>3</v>
      </c>
      <c r="E1083">
        <v>22</v>
      </c>
      <c r="F1083" t="s">
        <v>134</v>
      </c>
      <c r="G1083" t="s">
        <v>73</v>
      </c>
      <c r="H1083" t="s">
        <v>60</v>
      </c>
      <c r="I1083" t="s">
        <v>97</v>
      </c>
      <c r="J1083" t="s">
        <v>28</v>
      </c>
      <c r="K1083" t="s">
        <v>45</v>
      </c>
      <c r="L1083">
        <v>1</v>
      </c>
      <c r="M1083">
        <v>354</v>
      </c>
      <c r="N1083">
        <v>35.4</v>
      </c>
      <c r="O1083">
        <v>70</v>
      </c>
      <c r="P1083">
        <v>354</v>
      </c>
      <c r="Q1083">
        <v>388.6</v>
      </c>
      <c r="R1083" t="s">
        <v>39</v>
      </c>
      <c r="S1083" t="s">
        <v>31</v>
      </c>
      <c r="T1083" t="s">
        <v>40</v>
      </c>
      <c r="U1083">
        <v>67</v>
      </c>
      <c r="V1083">
        <v>3.5</v>
      </c>
      <c r="W1083">
        <f>Table2[[#This Row],[Quantity]]*Table2[[#This Row],[Item_Price]]</f>
        <v>354</v>
      </c>
    </row>
    <row r="1084" spans="1:23" x14ac:dyDescent="0.25">
      <c r="A1084" t="s">
        <v>1180</v>
      </c>
      <c r="B1084" s="1">
        <v>45738</v>
      </c>
      <c r="C1084" t="s">
        <v>910</v>
      </c>
      <c r="D1084">
        <v>3</v>
      </c>
      <c r="E1084">
        <v>22</v>
      </c>
      <c r="F1084" t="s">
        <v>134</v>
      </c>
      <c r="G1084" t="s">
        <v>115</v>
      </c>
      <c r="H1084" t="s">
        <v>139</v>
      </c>
      <c r="I1084" t="s">
        <v>61</v>
      </c>
      <c r="J1084" t="s">
        <v>172</v>
      </c>
      <c r="K1084" t="s">
        <v>38</v>
      </c>
      <c r="L1084">
        <v>2</v>
      </c>
      <c r="M1084">
        <v>875</v>
      </c>
      <c r="N1084">
        <v>87.5</v>
      </c>
      <c r="O1084">
        <v>60</v>
      </c>
      <c r="P1084">
        <v>1750</v>
      </c>
      <c r="Q1084">
        <v>1722.5</v>
      </c>
      <c r="R1084" t="s">
        <v>39</v>
      </c>
      <c r="S1084" t="s">
        <v>31</v>
      </c>
      <c r="T1084" t="s">
        <v>32</v>
      </c>
      <c r="U1084">
        <v>59</v>
      </c>
      <c r="V1084">
        <v>5</v>
      </c>
      <c r="W1084">
        <f>Table2[[#This Row],[Quantity]]*Table2[[#This Row],[Item_Price]]</f>
        <v>1750</v>
      </c>
    </row>
    <row r="1085" spans="1:23" x14ac:dyDescent="0.25">
      <c r="A1085" t="s">
        <v>1181</v>
      </c>
      <c r="B1085" s="1">
        <v>45738</v>
      </c>
      <c r="C1085" t="s">
        <v>910</v>
      </c>
      <c r="D1085">
        <v>3</v>
      </c>
      <c r="E1085">
        <v>22</v>
      </c>
      <c r="F1085" t="s">
        <v>134</v>
      </c>
      <c r="G1085" t="s">
        <v>64</v>
      </c>
      <c r="H1085" t="s">
        <v>60</v>
      </c>
      <c r="I1085" t="s">
        <v>85</v>
      </c>
      <c r="J1085" t="s">
        <v>70</v>
      </c>
      <c r="K1085" t="s">
        <v>38</v>
      </c>
      <c r="L1085">
        <v>1</v>
      </c>
      <c r="M1085">
        <v>256</v>
      </c>
      <c r="N1085">
        <v>0</v>
      </c>
      <c r="O1085">
        <v>50</v>
      </c>
      <c r="P1085">
        <v>256</v>
      </c>
      <c r="Q1085">
        <v>306</v>
      </c>
      <c r="R1085" t="s">
        <v>98</v>
      </c>
      <c r="S1085" t="s">
        <v>31</v>
      </c>
      <c r="T1085" t="s">
        <v>32</v>
      </c>
      <c r="U1085">
        <v>53</v>
      </c>
      <c r="V1085">
        <v>4.4000000000000004</v>
      </c>
      <c r="W1085">
        <f>Table2[[#This Row],[Quantity]]*Table2[[#This Row],[Item_Price]]</f>
        <v>256</v>
      </c>
    </row>
    <row r="1086" spans="1:23" x14ac:dyDescent="0.25">
      <c r="A1086" t="s">
        <v>1182</v>
      </c>
      <c r="B1086" s="1">
        <v>45738</v>
      </c>
      <c r="C1086" t="s">
        <v>910</v>
      </c>
      <c r="D1086">
        <v>3</v>
      </c>
      <c r="E1086">
        <v>22</v>
      </c>
      <c r="F1086" t="s">
        <v>134</v>
      </c>
      <c r="G1086" t="s">
        <v>90</v>
      </c>
      <c r="H1086" t="s">
        <v>108</v>
      </c>
      <c r="I1086" t="s">
        <v>103</v>
      </c>
      <c r="J1086" t="s">
        <v>28</v>
      </c>
      <c r="K1086" t="s">
        <v>38</v>
      </c>
      <c r="L1086">
        <v>2</v>
      </c>
      <c r="M1086">
        <v>199</v>
      </c>
      <c r="N1086">
        <v>29.85</v>
      </c>
      <c r="O1086">
        <v>30</v>
      </c>
      <c r="P1086">
        <v>398</v>
      </c>
      <c r="Q1086">
        <v>398.15</v>
      </c>
      <c r="R1086" t="s">
        <v>75</v>
      </c>
      <c r="S1086" t="s">
        <v>31</v>
      </c>
      <c r="T1086" t="s">
        <v>40</v>
      </c>
      <c r="U1086">
        <v>70</v>
      </c>
      <c r="V1086">
        <v>4.7</v>
      </c>
      <c r="W1086">
        <f>Table2[[#This Row],[Quantity]]*Table2[[#This Row],[Item_Price]]</f>
        <v>398</v>
      </c>
    </row>
    <row r="1087" spans="1:23" x14ac:dyDescent="0.25">
      <c r="A1087" t="s">
        <v>1183</v>
      </c>
      <c r="B1087" s="1">
        <v>45738</v>
      </c>
      <c r="C1087" t="s">
        <v>910</v>
      </c>
      <c r="D1087">
        <v>3</v>
      </c>
      <c r="E1087">
        <v>22</v>
      </c>
      <c r="F1087" t="s">
        <v>134</v>
      </c>
      <c r="G1087" t="s">
        <v>64</v>
      </c>
      <c r="H1087" t="s">
        <v>26</v>
      </c>
      <c r="I1087" t="s">
        <v>85</v>
      </c>
      <c r="J1087" t="s">
        <v>74</v>
      </c>
      <c r="K1087" t="s">
        <v>38</v>
      </c>
      <c r="L1087">
        <v>1</v>
      </c>
      <c r="M1087">
        <v>334</v>
      </c>
      <c r="N1087">
        <v>66.8</v>
      </c>
      <c r="O1087">
        <v>30</v>
      </c>
      <c r="P1087">
        <v>334</v>
      </c>
      <c r="Q1087">
        <v>297.2</v>
      </c>
      <c r="R1087" t="s">
        <v>39</v>
      </c>
      <c r="S1087" t="s">
        <v>31</v>
      </c>
      <c r="T1087" t="s">
        <v>32</v>
      </c>
      <c r="U1087">
        <v>56</v>
      </c>
      <c r="V1087">
        <v>5</v>
      </c>
      <c r="W1087">
        <f>Table2[[#This Row],[Quantity]]*Table2[[#This Row],[Item_Price]]</f>
        <v>334</v>
      </c>
    </row>
    <row r="1088" spans="1:23" x14ac:dyDescent="0.25">
      <c r="A1088" t="s">
        <v>1184</v>
      </c>
      <c r="B1088" s="1">
        <v>45738</v>
      </c>
      <c r="C1088" t="s">
        <v>910</v>
      </c>
      <c r="D1088">
        <v>3</v>
      </c>
      <c r="E1088">
        <v>22</v>
      </c>
      <c r="F1088" t="s">
        <v>134</v>
      </c>
      <c r="G1088" t="s">
        <v>34</v>
      </c>
      <c r="H1088" t="s">
        <v>135</v>
      </c>
      <c r="I1088" t="s">
        <v>103</v>
      </c>
      <c r="J1088" t="s">
        <v>94</v>
      </c>
      <c r="K1088" t="s">
        <v>45</v>
      </c>
      <c r="L1088">
        <v>2</v>
      </c>
      <c r="M1088">
        <v>331</v>
      </c>
      <c r="N1088">
        <v>82.75</v>
      </c>
      <c r="O1088">
        <v>50</v>
      </c>
      <c r="P1088">
        <v>662</v>
      </c>
      <c r="Q1088">
        <v>629.25</v>
      </c>
      <c r="R1088" t="s">
        <v>30</v>
      </c>
      <c r="S1088" t="s">
        <v>31</v>
      </c>
      <c r="T1088" t="s">
        <v>32</v>
      </c>
      <c r="U1088">
        <v>22</v>
      </c>
      <c r="V1088">
        <v>5</v>
      </c>
      <c r="W1088">
        <f>Table2[[#This Row],[Quantity]]*Table2[[#This Row],[Item_Price]]</f>
        <v>662</v>
      </c>
    </row>
    <row r="1089" spans="1:23" x14ac:dyDescent="0.25">
      <c r="A1089" t="s">
        <v>1185</v>
      </c>
      <c r="B1089" s="1">
        <v>45738</v>
      </c>
      <c r="C1089" t="s">
        <v>910</v>
      </c>
      <c r="D1089">
        <v>3</v>
      </c>
      <c r="E1089">
        <v>22</v>
      </c>
      <c r="F1089" t="s">
        <v>134</v>
      </c>
      <c r="G1089" t="s">
        <v>90</v>
      </c>
      <c r="H1089" t="s">
        <v>52</v>
      </c>
      <c r="I1089" t="s">
        <v>57</v>
      </c>
      <c r="J1089" t="s">
        <v>123</v>
      </c>
      <c r="K1089" t="s">
        <v>45</v>
      </c>
      <c r="L1089">
        <v>1</v>
      </c>
      <c r="M1089">
        <v>433</v>
      </c>
      <c r="N1089">
        <v>64.95</v>
      </c>
      <c r="O1089">
        <v>30</v>
      </c>
      <c r="P1089">
        <v>433</v>
      </c>
      <c r="Q1089">
        <v>398.05</v>
      </c>
      <c r="R1089" t="s">
        <v>39</v>
      </c>
      <c r="S1089" t="s">
        <v>31</v>
      </c>
      <c r="T1089" t="s">
        <v>40</v>
      </c>
      <c r="U1089">
        <v>22</v>
      </c>
      <c r="V1089">
        <v>3.6</v>
      </c>
      <c r="W1089">
        <f>Table2[[#This Row],[Quantity]]*Table2[[#This Row],[Item_Price]]</f>
        <v>433</v>
      </c>
    </row>
    <row r="1090" spans="1:23" x14ac:dyDescent="0.25">
      <c r="A1090" t="s">
        <v>1186</v>
      </c>
      <c r="B1090" s="1">
        <v>45738</v>
      </c>
      <c r="C1090" t="s">
        <v>910</v>
      </c>
      <c r="D1090">
        <v>3</v>
      </c>
      <c r="E1090">
        <v>22</v>
      </c>
      <c r="F1090" t="s">
        <v>134</v>
      </c>
      <c r="G1090" t="s">
        <v>84</v>
      </c>
      <c r="H1090" t="s">
        <v>26</v>
      </c>
      <c r="I1090" t="s">
        <v>85</v>
      </c>
      <c r="J1090" t="s">
        <v>44</v>
      </c>
      <c r="K1090" t="s">
        <v>38</v>
      </c>
      <c r="L1090">
        <v>2</v>
      </c>
      <c r="M1090">
        <v>858</v>
      </c>
      <c r="N1090">
        <v>85.8</v>
      </c>
      <c r="O1090">
        <v>70</v>
      </c>
      <c r="P1090">
        <v>1716</v>
      </c>
      <c r="Q1090">
        <v>1700.2</v>
      </c>
      <c r="R1090" t="s">
        <v>39</v>
      </c>
      <c r="S1090" t="s">
        <v>91</v>
      </c>
      <c r="T1090" t="s">
        <v>32</v>
      </c>
      <c r="U1090">
        <v>55</v>
      </c>
      <c r="W1090">
        <f>Table2[[#This Row],[Quantity]]*Table2[[#This Row],[Item_Price]]</f>
        <v>1716</v>
      </c>
    </row>
    <row r="1091" spans="1:23" x14ac:dyDescent="0.25">
      <c r="A1091" t="s">
        <v>1187</v>
      </c>
      <c r="B1091" s="1">
        <v>45738</v>
      </c>
      <c r="C1091" t="s">
        <v>910</v>
      </c>
      <c r="D1091">
        <v>3</v>
      </c>
      <c r="E1091">
        <v>22</v>
      </c>
      <c r="F1091" t="s">
        <v>134</v>
      </c>
      <c r="G1091" t="s">
        <v>73</v>
      </c>
      <c r="H1091" t="s">
        <v>108</v>
      </c>
      <c r="I1091" t="s">
        <v>36</v>
      </c>
      <c r="J1091" t="s">
        <v>119</v>
      </c>
      <c r="K1091" t="s">
        <v>58</v>
      </c>
      <c r="L1091">
        <v>1</v>
      </c>
      <c r="M1091">
        <v>585</v>
      </c>
      <c r="N1091">
        <v>117</v>
      </c>
      <c r="O1091">
        <v>50</v>
      </c>
      <c r="P1091">
        <v>585</v>
      </c>
      <c r="Q1091">
        <v>518</v>
      </c>
      <c r="R1091" t="s">
        <v>39</v>
      </c>
      <c r="S1091" t="s">
        <v>31</v>
      </c>
      <c r="T1091" t="s">
        <v>40</v>
      </c>
      <c r="U1091">
        <v>45</v>
      </c>
      <c r="V1091">
        <v>4.3</v>
      </c>
      <c r="W1091">
        <f>Table2[[#This Row],[Quantity]]*Table2[[#This Row],[Item_Price]]</f>
        <v>585</v>
      </c>
    </row>
    <row r="1092" spans="1:23" x14ac:dyDescent="0.25">
      <c r="A1092" t="s">
        <v>1188</v>
      </c>
      <c r="B1092" s="1">
        <v>45738</v>
      </c>
      <c r="C1092" t="s">
        <v>910</v>
      </c>
      <c r="D1092">
        <v>3</v>
      </c>
      <c r="E1092">
        <v>22</v>
      </c>
      <c r="F1092" t="s">
        <v>134</v>
      </c>
      <c r="G1092" t="s">
        <v>55</v>
      </c>
      <c r="H1092" t="s">
        <v>42</v>
      </c>
      <c r="I1092" t="s">
        <v>36</v>
      </c>
      <c r="J1092" t="s">
        <v>66</v>
      </c>
      <c r="K1092" t="s">
        <v>38</v>
      </c>
      <c r="L1092">
        <v>1</v>
      </c>
      <c r="M1092">
        <v>261</v>
      </c>
      <c r="N1092">
        <v>65.25</v>
      </c>
      <c r="O1092">
        <v>60</v>
      </c>
      <c r="P1092">
        <v>261</v>
      </c>
      <c r="Q1092">
        <v>255.75</v>
      </c>
      <c r="R1092" t="s">
        <v>39</v>
      </c>
      <c r="S1092" t="s">
        <v>31</v>
      </c>
      <c r="T1092" t="s">
        <v>32</v>
      </c>
      <c r="U1092">
        <v>36</v>
      </c>
      <c r="V1092">
        <v>3.9</v>
      </c>
      <c r="W1092">
        <f>Table2[[#This Row],[Quantity]]*Table2[[#This Row],[Item_Price]]</f>
        <v>261</v>
      </c>
    </row>
    <row r="1093" spans="1:23" x14ac:dyDescent="0.25">
      <c r="A1093" t="s">
        <v>1189</v>
      </c>
      <c r="B1093" s="1">
        <v>45738</v>
      </c>
      <c r="C1093" t="s">
        <v>910</v>
      </c>
      <c r="D1093">
        <v>3</v>
      </c>
      <c r="E1093">
        <v>22</v>
      </c>
      <c r="F1093" t="s">
        <v>134</v>
      </c>
      <c r="G1093" t="s">
        <v>84</v>
      </c>
      <c r="H1093" t="s">
        <v>52</v>
      </c>
      <c r="I1093" t="s">
        <v>103</v>
      </c>
      <c r="J1093" t="s">
        <v>70</v>
      </c>
      <c r="K1093" t="s">
        <v>29</v>
      </c>
      <c r="L1093">
        <v>1</v>
      </c>
      <c r="M1093">
        <v>753</v>
      </c>
      <c r="N1093">
        <v>37.65</v>
      </c>
      <c r="O1093">
        <v>40</v>
      </c>
      <c r="P1093">
        <v>753</v>
      </c>
      <c r="Q1093">
        <v>755.35</v>
      </c>
      <c r="R1093" t="s">
        <v>39</v>
      </c>
      <c r="S1093" t="s">
        <v>31</v>
      </c>
      <c r="T1093" t="s">
        <v>32</v>
      </c>
      <c r="U1093">
        <v>47</v>
      </c>
      <c r="V1093">
        <v>3.5</v>
      </c>
      <c r="W1093">
        <f>Table2[[#This Row],[Quantity]]*Table2[[#This Row],[Item_Price]]</f>
        <v>753</v>
      </c>
    </row>
    <row r="1094" spans="1:23" x14ac:dyDescent="0.25">
      <c r="A1094" t="s">
        <v>1190</v>
      </c>
      <c r="B1094" s="1">
        <v>45738</v>
      </c>
      <c r="C1094" t="s">
        <v>910</v>
      </c>
      <c r="D1094">
        <v>3</v>
      </c>
      <c r="E1094">
        <v>22</v>
      </c>
      <c r="F1094" t="s">
        <v>134</v>
      </c>
      <c r="G1094" t="s">
        <v>96</v>
      </c>
      <c r="H1094" t="s">
        <v>35</v>
      </c>
      <c r="I1094" t="s">
        <v>61</v>
      </c>
      <c r="J1094" t="s">
        <v>50</v>
      </c>
      <c r="K1094" t="s">
        <v>38</v>
      </c>
      <c r="L1094">
        <v>2</v>
      </c>
      <c r="M1094">
        <v>429</v>
      </c>
      <c r="N1094">
        <v>42.9</v>
      </c>
      <c r="O1094">
        <v>30</v>
      </c>
      <c r="P1094">
        <v>858</v>
      </c>
      <c r="Q1094">
        <v>845.1</v>
      </c>
      <c r="R1094" t="s">
        <v>75</v>
      </c>
      <c r="S1094" t="s">
        <v>31</v>
      </c>
      <c r="T1094" t="s">
        <v>40</v>
      </c>
      <c r="U1094">
        <v>19</v>
      </c>
      <c r="V1094">
        <v>4.2</v>
      </c>
      <c r="W1094">
        <f>Table2[[#This Row],[Quantity]]*Table2[[#This Row],[Item_Price]]</f>
        <v>858</v>
      </c>
    </row>
    <row r="1095" spans="1:23" x14ac:dyDescent="0.25">
      <c r="A1095" t="s">
        <v>1191</v>
      </c>
      <c r="B1095" s="1">
        <v>45739</v>
      </c>
      <c r="C1095" t="s">
        <v>910</v>
      </c>
      <c r="D1095">
        <v>3</v>
      </c>
      <c r="E1095">
        <v>23</v>
      </c>
      <c r="F1095" t="s">
        <v>149</v>
      </c>
      <c r="G1095" t="s">
        <v>80</v>
      </c>
      <c r="H1095" t="s">
        <v>81</v>
      </c>
      <c r="I1095" t="s">
        <v>43</v>
      </c>
      <c r="J1095" t="s">
        <v>66</v>
      </c>
      <c r="K1095" t="s">
        <v>38</v>
      </c>
      <c r="L1095">
        <v>1</v>
      </c>
      <c r="M1095">
        <v>401</v>
      </c>
      <c r="N1095">
        <v>20.05</v>
      </c>
      <c r="O1095">
        <v>40</v>
      </c>
      <c r="P1095">
        <v>401</v>
      </c>
      <c r="Q1095">
        <v>420.95</v>
      </c>
      <c r="R1095" t="s">
        <v>39</v>
      </c>
      <c r="S1095" t="s">
        <v>46</v>
      </c>
      <c r="T1095" t="s">
        <v>40</v>
      </c>
      <c r="U1095">
        <v>59</v>
      </c>
      <c r="W1095">
        <f>Table2[[#This Row],[Quantity]]*Table2[[#This Row],[Item_Price]]</f>
        <v>401</v>
      </c>
    </row>
    <row r="1096" spans="1:23" x14ac:dyDescent="0.25">
      <c r="A1096" t="s">
        <v>1192</v>
      </c>
      <c r="B1096" s="1">
        <v>45739</v>
      </c>
      <c r="C1096" t="s">
        <v>910</v>
      </c>
      <c r="D1096">
        <v>3</v>
      </c>
      <c r="E1096">
        <v>23</v>
      </c>
      <c r="F1096" t="s">
        <v>149</v>
      </c>
      <c r="G1096" t="s">
        <v>80</v>
      </c>
      <c r="H1096" t="s">
        <v>77</v>
      </c>
      <c r="I1096" t="s">
        <v>57</v>
      </c>
      <c r="J1096" t="s">
        <v>50</v>
      </c>
      <c r="K1096" t="s">
        <v>45</v>
      </c>
      <c r="L1096">
        <v>2</v>
      </c>
      <c r="M1096">
        <v>437</v>
      </c>
      <c r="N1096">
        <v>109.25</v>
      </c>
      <c r="O1096">
        <v>30</v>
      </c>
      <c r="P1096">
        <v>874</v>
      </c>
      <c r="Q1096">
        <v>794.75</v>
      </c>
      <c r="R1096" t="s">
        <v>30</v>
      </c>
      <c r="S1096" t="s">
        <v>31</v>
      </c>
      <c r="T1096" t="s">
        <v>32</v>
      </c>
      <c r="U1096">
        <v>68</v>
      </c>
      <c r="V1096">
        <v>4.5999999999999996</v>
      </c>
      <c r="W1096">
        <f>Table2[[#This Row],[Quantity]]*Table2[[#This Row],[Item_Price]]</f>
        <v>874</v>
      </c>
    </row>
    <row r="1097" spans="1:23" x14ac:dyDescent="0.25">
      <c r="A1097" t="s">
        <v>1193</v>
      </c>
      <c r="B1097" s="1">
        <v>45739</v>
      </c>
      <c r="C1097" t="s">
        <v>910</v>
      </c>
      <c r="D1097">
        <v>3</v>
      </c>
      <c r="E1097">
        <v>23</v>
      </c>
      <c r="F1097" t="s">
        <v>149</v>
      </c>
      <c r="G1097" t="s">
        <v>25</v>
      </c>
      <c r="H1097" t="s">
        <v>52</v>
      </c>
      <c r="I1097" t="s">
        <v>85</v>
      </c>
      <c r="J1097" t="s">
        <v>78</v>
      </c>
      <c r="K1097" t="s">
        <v>38</v>
      </c>
      <c r="L1097">
        <v>2</v>
      </c>
      <c r="M1097">
        <v>767</v>
      </c>
      <c r="N1097">
        <v>153.4</v>
      </c>
      <c r="O1097">
        <v>40</v>
      </c>
      <c r="P1097">
        <v>1534</v>
      </c>
      <c r="Q1097">
        <v>1420.6</v>
      </c>
      <c r="R1097" t="s">
        <v>75</v>
      </c>
      <c r="S1097" t="s">
        <v>31</v>
      </c>
      <c r="T1097" t="s">
        <v>40</v>
      </c>
      <c r="U1097">
        <v>67</v>
      </c>
      <c r="V1097">
        <v>4</v>
      </c>
      <c r="W1097">
        <f>Table2[[#This Row],[Quantity]]*Table2[[#This Row],[Item_Price]]</f>
        <v>1534</v>
      </c>
    </row>
    <row r="1098" spans="1:23" x14ac:dyDescent="0.25">
      <c r="A1098" t="s">
        <v>1194</v>
      </c>
      <c r="B1098" s="1">
        <v>45739</v>
      </c>
      <c r="C1098" t="s">
        <v>910</v>
      </c>
      <c r="D1098">
        <v>3</v>
      </c>
      <c r="E1098">
        <v>23</v>
      </c>
      <c r="F1098" t="s">
        <v>149</v>
      </c>
      <c r="G1098" t="s">
        <v>115</v>
      </c>
      <c r="H1098" t="s">
        <v>68</v>
      </c>
      <c r="I1098" t="s">
        <v>103</v>
      </c>
      <c r="J1098" t="s">
        <v>66</v>
      </c>
      <c r="K1098" t="s">
        <v>38</v>
      </c>
      <c r="L1098">
        <v>2</v>
      </c>
      <c r="M1098">
        <v>438</v>
      </c>
      <c r="N1098">
        <v>0</v>
      </c>
      <c r="O1098">
        <v>60</v>
      </c>
      <c r="P1098">
        <v>876</v>
      </c>
      <c r="Q1098">
        <v>936</v>
      </c>
      <c r="R1098" t="s">
        <v>39</v>
      </c>
      <c r="S1098" t="s">
        <v>31</v>
      </c>
      <c r="T1098" t="s">
        <v>32</v>
      </c>
      <c r="U1098">
        <v>61</v>
      </c>
      <c r="V1098">
        <v>4.4000000000000004</v>
      </c>
      <c r="W1098">
        <f>Table2[[#This Row],[Quantity]]*Table2[[#This Row],[Item_Price]]</f>
        <v>876</v>
      </c>
    </row>
    <row r="1099" spans="1:23" x14ac:dyDescent="0.25">
      <c r="A1099" t="s">
        <v>1195</v>
      </c>
      <c r="B1099" s="1">
        <v>45739</v>
      </c>
      <c r="C1099" t="s">
        <v>910</v>
      </c>
      <c r="D1099">
        <v>3</v>
      </c>
      <c r="E1099">
        <v>23</v>
      </c>
      <c r="F1099" t="s">
        <v>149</v>
      </c>
      <c r="G1099" t="s">
        <v>80</v>
      </c>
      <c r="H1099" t="s">
        <v>68</v>
      </c>
      <c r="I1099" t="s">
        <v>27</v>
      </c>
      <c r="J1099" t="s">
        <v>78</v>
      </c>
      <c r="K1099" t="s">
        <v>38</v>
      </c>
      <c r="L1099">
        <v>3</v>
      </c>
      <c r="M1099">
        <v>472</v>
      </c>
      <c r="N1099">
        <v>23.6</v>
      </c>
      <c r="O1099">
        <v>40</v>
      </c>
      <c r="P1099">
        <v>1416</v>
      </c>
      <c r="Q1099">
        <v>1432.4</v>
      </c>
      <c r="R1099" t="s">
        <v>39</v>
      </c>
      <c r="S1099" t="s">
        <v>31</v>
      </c>
      <c r="T1099" t="s">
        <v>40</v>
      </c>
      <c r="U1099">
        <v>35</v>
      </c>
      <c r="V1099">
        <v>3.4</v>
      </c>
      <c r="W1099">
        <f>Table2[[#This Row],[Quantity]]*Table2[[#This Row],[Item_Price]]</f>
        <v>1416</v>
      </c>
    </row>
    <row r="1100" spans="1:23" x14ac:dyDescent="0.25">
      <c r="A1100" t="s">
        <v>1196</v>
      </c>
      <c r="B1100" s="1">
        <v>45739</v>
      </c>
      <c r="C1100" t="s">
        <v>910</v>
      </c>
      <c r="D1100">
        <v>3</v>
      </c>
      <c r="E1100">
        <v>23</v>
      </c>
      <c r="F1100" t="s">
        <v>149</v>
      </c>
      <c r="G1100" t="s">
        <v>64</v>
      </c>
      <c r="H1100" t="s">
        <v>108</v>
      </c>
      <c r="I1100" t="s">
        <v>49</v>
      </c>
      <c r="J1100" t="s">
        <v>74</v>
      </c>
      <c r="K1100" t="s">
        <v>38</v>
      </c>
      <c r="L1100">
        <v>1</v>
      </c>
      <c r="M1100">
        <v>830</v>
      </c>
      <c r="N1100">
        <v>0</v>
      </c>
      <c r="O1100">
        <v>20</v>
      </c>
      <c r="P1100">
        <v>830</v>
      </c>
      <c r="Q1100">
        <v>850</v>
      </c>
      <c r="R1100" t="s">
        <v>39</v>
      </c>
      <c r="S1100" t="s">
        <v>31</v>
      </c>
      <c r="T1100" t="s">
        <v>40</v>
      </c>
      <c r="U1100">
        <v>35</v>
      </c>
      <c r="V1100">
        <v>4.9000000000000004</v>
      </c>
      <c r="W1100">
        <f>Table2[[#This Row],[Quantity]]*Table2[[#This Row],[Item_Price]]</f>
        <v>830</v>
      </c>
    </row>
    <row r="1101" spans="1:23" x14ac:dyDescent="0.25">
      <c r="A1101" t="s">
        <v>1197</v>
      </c>
      <c r="B1101" s="1">
        <v>45739</v>
      </c>
      <c r="C1101" t="s">
        <v>910</v>
      </c>
      <c r="D1101">
        <v>3</v>
      </c>
      <c r="E1101">
        <v>23</v>
      </c>
      <c r="F1101" t="s">
        <v>149</v>
      </c>
      <c r="G1101" t="s">
        <v>115</v>
      </c>
      <c r="H1101" t="s">
        <v>52</v>
      </c>
      <c r="I1101" t="s">
        <v>43</v>
      </c>
      <c r="J1101" t="s">
        <v>172</v>
      </c>
      <c r="K1101" t="s">
        <v>38</v>
      </c>
      <c r="L1101">
        <v>1</v>
      </c>
      <c r="M1101">
        <v>126</v>
      </c>
      <c r="N1101">
        <v>31.5</v>
      </c>
      <c r="O1101">
        <v>40</v>
      </c>
      <c r="P1101">
        <v>126</v>
      </c>
      <c r="Q1101">
        <v>134.5</v>
      </c>
      <c r="R1101" t="s">
        <v>75</v>
      </c>
      <c r="S1101" t="s">
        <v>31</v>
      </c>
      <c r="T1101" t="s">
        <v>32</v>
      </c>
      <c r="U1101">
        <v>20</v>
      </c>
      <c r="V1101">
        <v>4.8</v>
      </c>
      <c r="W1101">
        <f>Table2[[#This Row],[Quantity]]*Table2[[#This Row],[Item_Price]]</f>
        <v>126</v>
      </c>
    </row>
    <row r="1102" spans="1:23" x14ac:dyDescent="0.25">
      <c r="A1102" t="s">
        <v>1198</v>
      </c>
      <c r="B1102" s="1">
        <v>45739</v>
      </c>
      <c r="C1102" t="s">
        <v>910</v>
      </c>
      <c r="D1102">
        <v>3</v>
      </c>
      <c r="E1102">
        <v>23</v>
      </c>
      <c r="F1102" t="s">
        <v>149</v>
      </c>
      <c r="G1102" t="s">
        <v>25</v>
      </c>
      <c r="H1102" t="s">
        <v>26</v>
      </c>
      <c r="I1102" t="s">
        <v>97</v>
      </c>
      <c r="J1102" t="s">
        <v>123</v>
      </c>
      <c r="K1102" t="s">
        <v>38</v>
      </c>
      <c r="L1102">
        <v>2</v>
      </c>
      <c r="M1102">
        <v>749</v>
      </c>
      <c r="N1102">
        <v>37.450000000000003</v>
      </c>
      <c r="O1102">
        <v>60</v>
      </c>
      <c r="P1102">
        <v>1498</v>
      </c>
      <c r="Q1102">
        <v>1520.55</v>
      </c>
      <c r="R1102" t="s">
        <v>112</v>
      </c>
      <c r="S1102" t="s">
        <v>31</v>
      </c>
      <c r="T1102" t="s">
        <v>32</v>
      </c>
      <c r="U1102">
        <v>66</v>
      </c>
      <c r="V1102">
        <v>4.2</v>
      </c>
      <c r="W1102">
        <f>Table2[[#This Row],[Quantity]]*Table2[[#This Row],[Item_Price]]</f>
        <v>1498</v>
      </c>
    </row>
    <row r="1103" spans="1:23" x14ac:dyDescent="0.25">
      <c r="A1103" t="s">
        <v>1199</v>
      </c>
      <c r="B1103" s="1">
        <v>45739</v>
      </c>
      <c r="C1103" t="s">
        <v>910</v>
      </c>
      <c r="D1103">
        <v>3</v>
      </c>
      <c r="E1103">
        <v>23</v>
      </c>
      <c r="F1103" t="s">
        <v>149</v>
      </c>
      <c r="G1103" t="s">
        <v>34</v>
      </c>
      <c r="H1103" t="s">
        <v>135</v>
      </c>
      <c r="I1103" t="s">
        <v>85</v>
      </c>
      <c r="J1103" t="s">
        <v>62</v>
      </c>
      <c r="K1103" t="s">
        <v>45</v>
      </c>
      <c r="L1103">
        <v>1</v>
      </c>
      <c r="M1103">
        <v>829</v>
      </c>
      <c r="N1103">
        <v>41.45</v>
      </c>
      <c r="O1103">
        <v>60</v>
      </c>
      <c r="P1103">
        <v>829</v>
      </c>
      <c r="Q1103">
        <v>847.55</v>
      </c>
      <c r="R1103" t="s">
        <v>98</v>
      </c>
      <c r="S1103" t="s">
        <v>91</v>
      </c>
      <c r="T1103" t="s">
        <v>40</v>
      </c>
      <c r="U1103">
        <v>38</v>
      </c>
      <c r="W1103">
        <f>Table2[[#This Row],[Quantity]]*Table2[[#This Row],[Item_Price]]</f>
        <v>829</v>
      </c>
    </row>
    <row r="1104" spans="1:23" x14ac:dyDescent="0.25">
      <c r="A1104" t="s">
        <v>1200</v>
      </c>
      <c r="B1104" s="1">
        <v>45739</v>
      </c>
      <c r="C1104" t="s">
        <v>910</v>
      </c>
      <c r="D1104">
        <v>3</v>
      </c>
      <c r="E1104">
        <v>23</v>
      </c>
      <c r="F1104" t="s">
        <v>149</v>
      </c>
      <c r="G1104" t="s">
        <v>80</v>
      </c>
      <c r="H1104" t="s">
        <v>108</v>
      </c>
      <c r="I1104" t="s">
        <v>103</v>
      </c>
      <c r="J1104" t="s">
        <v>82</v>
      </c>
      <c r="K1104" t="s">
        <v>45</v>
      </c>
      <c r="L1104">
        <v>2</v>
      </c>
      <c r="M1104">
        <v>819</v>
      </c>
      <c r="N1104">
        <v>122.85</v>
      </c>
      <c r="O1104">
        <v>50</v>
      </c>
      <c r="P1104">
        <v>1638</v>
      </c>
      <c r="Q1104">
        <v>1565.15</v>
      </c>
      <c r="R1104" t="s">
        <v>39</v>
      </c>
      <c r="S1104" t="s">
        <v>31</v>
      </c>
      <c r="T1104" t="s">
        <v>40</v>
      </c>
      <c r="U1104">
        <v>50</v>
      </c>
      <c r="V1104">
        <v>4.0999999999999996</v>
      </c>
      <c r="W1104">
        <f>Table2[[#This Row],[Quantity]]*Table2[[#This Row],[Item_Price]]</f>
        <v>1638</v>
      </c>
    </row>
    <row r="1105" spans="1:23" x14ac:dyDescent="0.25">
      <c r="A1105" t="s">
        <v>1201</v>
      </c>
      <c r="B1105" s="1">
        <v>45739</v>
      </c>
      <c r="C1105" t="s">
        <v>910</v>
      </c>
      <c r="D1105">
        <v>3</v>
      </c>
      <c r="E1105">
        <v>23</v>
      </c>
      <c r="F1105" t="s">
        <v>149</v>
      </c>
      <c r="G1105" t="s">
        <v>34</v>
      </c>
      <c r="H1105" t="s">
        <v>65</v>
      </c>
      <c r="I1105" t="s">
        <v>61</v>
      </c>
      <c r="J1105" t="s">
        <v>62</v>
      </c>
      <c r="K1105" t="s">
        <v>45</v>
      </c>
      <c r="L1105">
        <v>1</v>
      </c>
      <c r="M1105">
        <v>509</v>
      </c>
      <c r="N1105">
        <v>76.349999999999994</v>
      </c>
      <c r="O1105">
        <v>30</v>
      </c>
      <c r="P1105">
        <v>509</v>
      </c>
      <c r="Q1105">
        <v>462.65</v>
      </c>
      <c r="R1105" t="s">
        <v>112</v>
      </c>
      <c r="S1105" t="s">
        <v>110</v>
      </c>
      <c r="T1105" t="s">
        <v>32</v>
      </c>
      <c r="U1105">
        <v>23</v>
      </c>
      <c r="W1105">
        <f>Table2[[#This Row],[Quantity]]*Table2[[#This Row],[Item_Price]]</f>
        <v>509</v>
      </c>
    </row>
    <row r="1106" spans="1:23" x14ac:dyDescent="0.25">
      <c r="A1106" t="s">
        <v>1202</v>
      </c>
      <c r="B1106" s="1">
        <v>45739</v>
      </c>
      <c r="C1106" t="s">
        <v>910</v>
      </c>
      <c r="D1106">
        <v>3</v>
      </c>
      <c r="E1106">
        <v>23</v>
      </c>
      <c r="F1106" t="s">
        <v>149</v>
      </c>
      <c r="G1106" t="s">
        <v>73</v>
      </c>
      <c r="H1106" t="s">
        <v>56</v>
      </c>
      <c r="I1106" t="s">
        <v>57</v>
      </c>
      <c r="J1106" t="s">
        <v>123</v>
      </c>
      <c r="K1106" t="s">
        <v>38</v>
      </c>
      <c r="L1106">
        <v>1</v>
      </c>
      <c r="M1106">
        <v>789</v>
      </c>
      <c r="N1106">
        <v>0</v>
      </c>
      <c r="O1106">
        <v>50</v>
      </c>
      <c r="P1106">
        <v>789</v>
      </c>
      <c r="Q1106">
        <v>839</v>
      </c>
      <c r="R1106" t="s">
        <v>98</v>
      </c>
      <c r="S1106" t="s">
        <v>31</v>
      </c>
      <c r="T1106" t="s">
        <v>40</v>
      </c>
      <c r="U1106">
        <v>70</v>
      </c>
      <c r="V1106">
        <v>5</v>
      </c>
      <c r="W1106">
        <f>Table2[[#This Row],[Quantity]]*Table2[[#This Row],[Item_Price]]</f>
        <v>789</v>
      </c>
    </row>
    <row r="1107" spans="1:23" x14ac:dyDescent="0.25">
      <c r="A1107" t="s">
        <v>1203</v>
      </c>
      <c r="B1107" s="1">
        <v>45739</v>
      </c>
      <c r="C1107" t="s">
        <v>910</v>
      </c>
      <c r="D1107">
        <v>3</v>
      </c>
      <c r="E1107">
        <v>23</v>
      </c>
      <c r="F1107" t="s">
        <v>149</v>
      </c>
      <c r="G1107" t="s">
        <v>115</v>
      </c>
      <c r="H1107" t="s">
        <v>65</v>
      </c>
      <c r="I1107" t="s">
        <v>27</v>
      </c>
      <c r="J1107" t="s">
        <v>28</v>
      </c>
      <c r="K1107" t="s">
        <v>38</v>
      </c>
      <c r="L1107">
        <v>3</v>
      </c>
      <c r="M1107">
        <v>727</v>
      </c>
      <c r="N1107">
        <v>181.75</v>
      </c>
      <c r="O1107">
        <v>30</v>
      </c>
      <c r="P1107">
        <v>2181</v>
      </c>
      <c r="Q1107">
        <v>2029.25</v>
      </c>
      <c r="R1107" t="s">
        <v>30</v>
      </c>
      <c r="S1107" t="s">
        <v>31</v>
      </c>
      <c r="T1107" t="s">
        <v>40</v>
      </c>
      <c r="U1107">
        <v>33</v>
      </c>
      <c r="V1107">
        <v>4.4000000000000004</v>
      </c>
      <c r="W1107">
        <f>Table2[[#This Row],[Quantity]]*Table2[[#This Row],[Item_Price]]</f>
        <v>2181</v>
      </c>
    </row>
    <row r="1108" spans="1:23" x14ac:dyDescent="0.25">
      <c r="A1108" t="s">
        <v>1204</v>
      </c>
      <c r="B1108" s="1">
        <v>45739</v>
      </c>
      <c r="C1108" t="s">
        <v>910</v>
      </c>
      <c r="D1108">
        <v>3</v>
      </c>
      <c r="E1108">
        <v>23</v>
      </c>
      <c r="F1108" t="s">
        <v>149</v>
      </c>
      <c r="G1108" t="s">
        <v>55</v>
      </c>
      <c r="H1108" t="s">
        <v>56</v>
      </c>
      <c r="I1108" t="s">
        <v>69</v>
      </c>
      <c r="J1108" t="s">
        <v>101</v>
      </c>
      <c r="K1108" t="s">
        <v>38</v>
      </c>
      <c r="L1108">
        <v>3</v>
      </c>
      <c r="M1108">
        <v>277</v>
      </c>
      <c r="N1108">
        <v>27.7</v>
      </c>
      <c r="O1108">
        <v>30</v>
      </c>
      <c r="P1108">
        <v>831</v>
      </c>
      <c r="Q1108">
        <v>833.3</v>
      </c>
      <c r="R1108" t="s">
        <v>98</v>
      </c>
      <c r="S1108" t="s">
        <v>31</v>
      </c>
      <c r="T1108" t="s">
        <v>40</v>
      </c>
      <c r="U1108">
        <v>26</v>
      </c>
      <c r="V1108">
        <v>4.5999999999999996</v>
      </c>
      <c r="W1108">
        <f>Table2[[#This Row],[Quantity]]*Table2[[#This Row],[Item_Price]]</f>
        <v>831</v>
      </c>
    </row>
    <row r="1109" spans="1:23" x14ac:dyDescent="0.25">
      <c r="A1109" t="s">
        <v>1205</v>
      </c>
      <c r="B1109" s="1">
        <v>45739</v>
      </c>
      <c r="C1109" t="s">
        <v>910</v>
      </c>
      <c r="D1109">
        <v>3</v>
      </c>
      <c r="E1109">
        <v>23</v>
      </c>
      <c r="F1109" t="s">
        <v>149</v>
      </c>
      <c r="G1109" t="s">
        <v>64</v>
      </c>
      <c r="H1109" t="s">
        <v>139</v>
      </c>
      <c r="I1109" t="s">
        <v>43</v>
      </c>
      <c r="J1109" t="s">
        <v>119</v>
      </c>
      <c r="K1109" t="s">
        <v>38</v>
      </c>
      <c r="L1109">
        <v>1</v>
      </c>
      <c r="M1109">
        <v>694</v>
      </c>
      <c r="N1109">
        <v>138.80000000000001</v>
      </c>
      <c r="O1109">
        <v>40</v>
      </c>
      <c r="P1109">
        <v>694</v>
      </c>
      <c r="Q1109">
        <v>595.20000000000005</v>
      </c>
      <c r="R1109" t="s">
        <v>39</v>
      </c>
      <c r="S1109" t="s">
        <v>91</v>
      </c>
      <c r="T1109" t="s">
        <v>32</v>
      </c>
      <c r="U1109">
        <v>65</v>
      </c>
      <c r="W1109">
        <f>Table2[[#This Row],[Quantity]]*Table2[[#This Row],[Item_Price]]</f>
        <v>694</v>
      </c>
    </row>
    <row r="1110" spans="1:23" x14ac:dyDescent="0.25">
      <c r="A1110" t="s">
        <v>1206</v>
      </c>
      <c r="B1110" s="1">
        <v>45740</v>
      </c>
      <c r="C1110" t="s">
        <v>910</v>
      </c>
      <c r="D1110">
        <v>3</v>
      </c>
      <c r="E1110">
        <v>24</v>
      </c>
      <c r="F1110" t="s">
        <v>168</v>
      </c>
      <c r="G1110" t="s">
        <v>34</v>
      </c>
      <c r="H1110" t="s">
        <v>77</v>
      </c>
      <c r="I1110" t="s">
        <v>49</v>
      </c>
      <c r="J1110" t="s">
        <v>82</v>
      </c>
      <c r="K1110" t="s">
        <v>58</v>
      </c>
      <c r="L1110">
        <v>2</v>
      </c>
      <c r="M1110">
        <v>742</v>
      </c>
      <c r="N1110">
        <v>148.4</v>
      </c>
      <c r="O1110">
        <v>30</v>
      </c>
      <c r="P1110">
        <v>1484</v>
      </c>
      <c r="Q1110">
        <v>1365.6</v>
      </c>
      <c r="R1110" t="s">
        <v>39</v>
      </c>
      <c r="S1110" t="s">
        <v>31</v>
      </c>
      <c r="T1110" t="s">
        <v>40</v>
      </c>
      <c r="U1110">
        <v>46</v>
      </c>
      <c r="V1110">
        <v>3.6</v>
      </c>
      <c r="W1110">
        <f>Table2[[#This Row],[Quantity]]*Table2[[#This Row],[Item_Price]]</f>
        <v>1484</v>
      </c>
    </row>
    <row r="1111" spans="1:23" x14ac:dyDescent="0.25">
      <c r="A1111" t="s">
        <v>1207</v>
      </c>
      <c r="B1111" s="1">
        <v>45740</v>
      </c>
      <c r="C1111" t="s">
        <v>910</v>
      </c>
      <c r="D1111">
        <v>3</v>
      </c>
      <c r="E1111">
        <v>24</v>
      </c>
      <c r="F1111" t="s">
        <v>168</v>
      </c>
      <c r="G1111" t="s">
        <v>80</v>
      </c>
      <c r="H1111" t="s">
        <v>108</v>
      </c>
      <c r="I1111" t="s">
        <v>43</v>
      </c>
      <c r="J1111" t="s">
        <v>50</v>
      </c>
      <c r="K1111" t="s">
        <v>45</v>
      </c>
      <c r="L1111">
        <v>1</v>
      </c>
      <c r="M1111">
        <v>793</v>
      </c>
      <c r="N1111">
        <v>79.3</v>
      </c>
      <c r="O1111">
        <v>30</v>
      </c>
      <c r="P1111">
        <v>793</v>
      </c>
      <c r="Q1111">
        <v>743.7</v>
      </c>
      <c r="R1111" t="s">
        <v>39</v>
      </c>
      <c r="S1111" t="s">
        <v>31</v>
      </c>
      <c r="T1111" t="s">
        <v>32</v>
      </c>
      <c r="U1111">
        <v>62</v>
      </c>
      <c r="V1111">
        <v>3.9</v>
      </c>
      <c r="W1111">
        <f>Table2[[#This Row],[Quantity]]*Table2[[#This Row],[Item_Price]]</f>
        <v>793</v>
      </c>
    </row>
    <row r="1112" spans="1:23" x14ac:dyDescent="0.25">
      <c r="A1112" t="s">
        <v>1208</v>
      </c>
      <c r="B1112" s="1">
        <v>45740</v>
      </c>
      <c r="C1112" t="s">
        <v>910</v>
      </c>
      <c r="D1112">
        <v>3</v>
      </c>
      <c r="E1112">
        <v>24</v>
      </c>
      <c r="F1112" t="s">
        <v>168</v>
      </c>
      <c r="G1112" t="s">
        <v>25</v>
      </c>
      <c r="H1112" t="s">
        <v>42</v>
      </c>
      <c r="I1112" t="s">
        <v>103</v>
      </c>
      <c r="J1112" t="s">
        <v>101</v>
      </c>
      <c r="K1112" t="s">
        <v>38</v>
      </c>
      <c r="L1112">
        <v>3</v>
      </c>
      <c r="M1112">
        <v>512</v>
      </c>
      <c r="N1112">
        <v>51.2</v>
      </c>
      <c r="O1112">
        <v>60</v>
      </c>
      <c r="P1112">
        <v>1536</v>
      </c>
      <c r="Q1112">
        <v>1544.8</v>
      </c>
      <c r="R1112" t="s">
        <v>75</v>
      </c>
      <c r="S1112" t="s">
        <v>31</v>
      </c>
      <c r="T1112" t="s">
        <v>40</v>
      </c>
      <c r="U1112">
        <v>48</v>
      </c>
      <c r="V1112">
        <v>3.6</v>
      </c>
      <c r="W1112">
        <f>Table2[[#This Row],[Quantity]]*Table2[[#This Row],[Item_Price]]</f>
        <v>1536</v>
      </c>
    </row>
    <row r="1113" spans="1:23" x14ac:dyDescent="0.25">
      <c r="A1113" t="s">
        <v>1209</v>
      </c>
      <c r="B1113" s="1">
        <v>45740</v>
      </c>
      <c r="C1113" t="s">
        <v>910</v>
      </c>
      <c r="D1113">
        <v>3</v>
      </c>
      <c r="E1113">
        <v>24</v>
      </c>
      <c r="F1113" t="s">
        <v>168</v>
      </c>
      <c r="G1113" t="s">
        <v>64</v>
      </c>
      <c r="H1113" t="s">
        <v>42</v>
      </c>
      <c r="I1113" t="s">
        <v>97</v>
      </c>
      <c r="J1113" t="s">
        <v>66</v>
      </c>
      <c r="K1113" t="s">
        <v>58</v>
      </c>
      <c r="L1113">
        <v>2</v>
      </c>
      <c r="M1113">
        <v>446</v>
      </c>
      <c r="N1113">
        <v>66.900000000000006</v>
      </c>
      <c r="O1113">
        <v>0</v>
      </c>
      <c r="P1113">
        <v>892</v>
      </c>
      <c r="Q1113">
        <v>825.1</v>
      </c>
      <c r="R1113" t="s">
        <v>98</v>
      </c>
      <c r="S1113" t="s">
        <v>31</v>
      </c>
      <c r="T1113" t="s">
        <v>40</v>
      </c>
      <c r="U1113">
        <v>22</v>
      </c>
      <c r="V1113">
        <v>3.2</v>
      </c>
      <c r="W1113">
        <f>Table2[[#This Row],[Quantity]]*Table2[[#This Row],[Item_Price]]</f>
        <v>892</v>
      </c>
    </row>
    <row r="1114" spans="1:23" x14ac:dyDescent="0.25">
      <c r="A1114" t="s">
        <v>1210</v>
      </c>
      <c r="B1114" s="1">
        <v>45740</v>
      </c>
      <c r="C1114" t="s">
        <v>910</v>
      </c>
      <c r="D1114">
        <v>3</v>
      </c>
      <c r="E1114">
        <v>24</v>
      </c>
      <c r="F1114" t="s">
        <v>168</v>
      </c>
      <c r="G1114" t="s">
        <v>80</v>
      </c>
      <c r="H1114" t="s">
        <v>42</v>
      </c>
      <c r="I1114" t="s">
        <v>97</v>
      </c>
      <c r="J1114" t="s">
        <v>66</v>
      </c>
      <c r="K1114" t="s">
        <v>38</v>
      </c>
      <c r="L1114">
        <v>2</v>
      </c>
      <c r="M1114">
        <v>125</v>
      </c>
      <c r="N1114">
        <v>0</v>
      </c>
      <c r="O1114">
        <v>40</v>
      </c>
      <c r="P1114">
        <v>250</v>
      </c>
      <c r="Q1114">
        <v>290</v>
      </c>
      <c r="R1114" t="s">
        <v>39</v>
      </c>
      <c r="S1114" t="s">
        <v>31</v>
      </c>
      <c r="T1114" t="s">
        <v>40</v>
      </c>
      <c r="U1114">
        <v>70</v>
      </c>
      <c r="V1114">
        <v>3.8</v>
      </c>
      <c r="W1114">
        <f>Table2[[#This Row],[Quantity]]*Table2[[#This Row],[Item_Price]]</f>
        <v>250</v>
      </c>
    </row>
    <row r="1115" spans="1:23" x14ac:dyDescent="0.25">
      <c r="A1115" t="s">
        <v>1211</v>
      </c>
      <c r="B1115" s="1">
        <v>45740</v>
      </c>
      <c r="C1115" t="s">
        <v>910</v>
      </c>
      <c r="D1115">
        <v>3</v>
      </c>
      <c r="E1115">
        <v>24</v>
      </c>
      <c r="F1115" t="s">
        <v>168</v>
      </c>
      <c r="G1115" t="s">
        <v>25</v>
      </c>
      <c r="H1115" t="s">
        <v>135</v>
      </c>
      <c r="I1115" t="s">
        <v>49</v>
      </c>
      <c r="J1115" t="s">
        <v>62</v>
      </c>
      <c r="K1115" t="s">
        <v>38</v>
      </c>
      <c r="L1115">
        <v>1</v>
      </c>
      <c r="M1115">
        <v>894</v>
      </c>
      <c r="N1115">
        <v>178.8</v>
      </c>
      <c r="O1115">
        <v>30</v>
      </c>
      <c r="P1115">
        <v>894</v>
      </c>
      <c r="Q1115">
        <v>745.2</v>
      </c>
      <c r="R1115" t="s">
        <v>98</v>
      </c>
      <c r="S1115" t="s">
        <v>110</v>
      </c>
      <c r="T1115" t="s">
        <v>40</v>
      </c>
      <c r="U1115">
        <v>66</v>
      </c>
      <c r="W1115">
        <f>Table2[[#This Row],[Quantity]]*Table2[[#This Row],[Item_Price]]</f>
        <v>894</v>
      </c>
    </row>
    <row r="1116" spans="1:23" x14ac:dyDescent="0.25">
      <c r="A1116" t="s">
        <v>1212</v>
      </c>
      <c r="B1116" s="1">
        <v>45740</v>
      </c>
      <c r="C1116" t="s">
        <v>910</v>
      </c>
      <c r="D1116">
        <v>3</v>
      </c>
      <c r="E1116">
        <v>24</v>
      </c>
      <c r="F1116" t="s">
        <v>168</v>
      </c>
      <c r="G1116" t="s">
        <v>64</v>
      </c>
      <c r="H1116" t="s">
        <v>139</v>
      </c>
      <c r="I1116" t="s">
        <v>85</v>
      </c>
      <c r="J1116" t="s">
        <v>62</v>
      </c>
      <c r="K1116" t="s">
        <v>45</v>
      </c>
      <c r="L1116">
        <v>1</v>
      </c>
      <c r="M1116">
        <v>564</v>
      </c>
      <c r="N1116">
        <v>56.4</v>
      </c>
      <c r="O1116">
        <v>40</v>
      </c>
      <c r="P1116">
        <v>564</v>
      </c>
      <c r="Q1116">
        <v>547.6</v>
      </c>
      <c r="R1116" t="s">
        <v>75</v>
      </c>
      <c r="S1116" t="s">
        <v>31</v>
      </c>
      <c r="T1116" t="s">
        <v>32</v>
      </c>
      <c r="U1116">
        <v>57</v>
      </c>
      <c r="V1116">
        <v>4.0999999999999996</v>
      </c>
      <c r="W1116">
        <f>Table2[[#This Row],[Quantity]]*Table2[[#This Row],[Item_Price]]</f>
        <v>564</v>
      </c>
    </row>
    <row r="1117" spans="1:23" x14ac:dyDescent="0.25">
      <c r="A1117" t="s">
        <v>1213</v>
      </c>
      <c r="B1117" s="1">
        <v>45740</v>
      </c>
      <c r="C1117" t="s">
        <v>910</v>
      </c>
      <c r="D1117">
        <v>3</v>
      </c>
      <c r="E1117">
        <v>24</v>
      </c>
      <c r="F1117" t="s">
        <v>168</v>
      </c>
      <c r="G1117" t="s">
        <v>64</v>
      </c>
      <c r="H1117" t="s">
        <v>108</v>
      </c>
      <c r="I1117" t="s">
        <v>69</v>
      </c>
      <c r="J1117" t="s">
        <v>172</v>
      </c>
      <c r="K1117" t="s">
        <v>45</v>
      </c>
      <c r="L1117">
        <v>3</v>
      </c>
      <c r="M1117">
        <v>804</v>
      </c>
      <c r="N1117">
        <v>80.400000000000006</v>
      </c>
      <c r="O1117">
        <v>60</v>
      </c>
      <c r="P1117">
        <v>2412</v>
      </c>
      <c r="Q1117">
        <v>2391.6</v>
      </c>
      <c r="R1117" t="s">
        <v>39</v>
      </c>
      <c r="S1117" t="s">
        <v>31</v>
      </c>
      <c r="T1117" t="s">
        <v>32</v>
      </c>
      <c r="U1117">
        <v>57</v>
      </c>
      <c r="V1117">
        <v>3.8</v>
      </c>
      <c r="W1117">
        <f>Table2[[#This Row],[Quantity]]*Table2[[#This Row],[Item_Price]]</f>
        <v>2412</v>
      </c>
    </row>
    <row r="1118" spans="1:23" x14ac:dyDescent="0.25">
      <c r="A1118" t="s">
        <v>1214</v>
      </c>
      <c r="B1118" s="1">
        <v>45740</v>
      </c>
      <c r="C1118" t="s">
        <v>910</v>
      </c>
      <c r="D1118">
        <v>3</v>
      </c>
      <c r="E1118">
        <v>24</v>
      </c>
      <c r="F1118" t="s">
        <v>168</v>
      </c>
      <c r="G1118" t="s">
        <v>25</v>
      </c>
      <c r="H1118" t="s">
        <v>68</v>
      </c>
      <c r="I1118" t="s">
        <v>57</v>
      </c>
      <c r="J1118" t="s">
        <v>44</v>
      </c>
      <c r="K1118" t="s">
        <v>38</v>
      </c>
      <c r="L1118">
        <v>2</v>
      </c>
      <c r="M1118">
        <v>526</v>
      </c>
      <c r="N1118">
        <v>131.5</v>
      </c>
      <c r="O1118">
        <v>0</v>
      </c>
      <c r="P1118">
        <v>1052</v>
      </c>
      <c r="Q1118">
        <v>920.5</v>
      </c>
      <c r="R1118" t="s">
        <v>39</v>
      </c>
      <c r="S1118" t="s">
        <v>31</v>
      </c>
      <c r="T1118" t="s">
        <v>40</v>
      </c>
      <c r="U1118">
        <v>41</v>
      </c>
      <c r="V1118">
        <v>3.7</v>
      </c>
      <c r="W1118">
        <f>Table2[[#This Row],[Quantity]]*Table2[[#This Row],[Item_Price]]</f>
        <v>1052</v>
      </c>
    </row>
    <row r="1119" spans="1:23" x14ac:dyDescent="0.25">
      <c r="A1119" t="s">
        <v>1215</v>
      </c>
      <c r="B1119" s="1">
        <v>45740</v>
      </c>
      <c r="C1119" t="s">
        <v>910</v>
      </c>
      <c r="D1119">
        <v>3</v>
      </c>
      <c r="E1119">
        <v>24</v>
      </c>
      <c r="F1119" t="s">
        <v>168</v>
      </c>
      <c r="G1119" t="s">
        <v>25</v>
      </c>
      <c r="H1119" t="s">
        <v>139</v>
      </c>
      <c r="I1119" t="s">
        <v>27</v>
      </c>
      <c r="J1119" t="s">
        <v>94</v>
      </c>
      <c r="K1119" t="s">
        <v>38</v>
      </c>
      <c r="L1119">
        <v>1</v>
      </c>
      <c r="M1119">
        <v>774</v>
      </c>
      <c r="N1119">
        <v>0</v>
      </c>
      <c r="O1119">
        <v>50</v>
      </c>
      <c r="P1119">
        <v>774</v>
      </c>
      <c r="Q1119">
        <v>824</v>
      </c>
      <c r="R1119" t="s">
        <v>39</v>
      </c>
      <c r="S1119" t="s">
        <v>31</v>
      </c>
      <c r="T1119" t="s">
        <v>40</v>
      </c>
      <c r="U1119">
        <v>56</v>
      </c>
      <c r="V1119">
        <v>3.5</v>
      </c>
      <c r="W1119">
        <f>Table2[[#This Row],[Quantity]]*Table2[[#This Row],[Item_Price]]</f>
        <v>774</v>
      </c>
    </row>
    <row r="1120" spans="1:23" x14ac:dyDescent="0.25">
      <c r="A1120" t="s">
        <v>1216</v>
      </c>
      <c r="B1120" s="1">
        <v>45741</v>
      </c>
      <c r="C1120" t="s">
        <v>910</v>
      </c>
      <c r="D1120">
        <v>3</v>
      </c>
      <c r="E1120">
        <v>25</v>
      </c>
      <c r="F1120" t="s">
        <v>178</v>
      </c>
      <c r="G1120" t="s">
        <v>73</v>
      </c>
      <c r="H1120" t="s">
        <v>56</v>
      </c>
      <c r="I1120" t="s">
        <v>61</v>
      </c>
      <c r="J1120" t="s">
        <v>74</v>
      </c>
      <c r="K1120" t="s">
        <v>38</v>
      </c>
      <c r="L1120">
        <v>1</v>
      </c>
      <c r="M1120">
        <v>622</v>
      </c>
      <c r="N1120">
        <v>124.4</v>
      </c>
      <c r="O1120">
        <v>50</v>
      </c>
      <c r="P1120">
        <v>622</v>
      </c>
      <c r="Q1120">
        <v>547.6</v>
      </c>
      <c r="R1120" t="s">
        <v>98</v>
      </c>
      <c r="S1120" t="s">
        <v>31</v>
      </c>
      <c r="T1120" t="s">
        <v>40</v>
      </c>
      <c r="U1120">
        <v>57</v>
      </c>
      <c r="V1120">
        <v>3.3</v>
      </c>
      <c r="W1120">
        <f>Table2[[#This Row],[Quantity]]*Table2[[#This Row],[Item_Price]]</f>
        <v>622</v>
      </c>
    </row>
    <row r="1121" spans="1:23" x14ac:dyDescent="0.25">
      <c r="A1121" t="s">
        <v>1217</v>
      </c>
      <c r="B1121" s="1">
        <v>45741</v>
      </c>
      <c r="C1121" t="s">
        <v>910</v>
      </c>
      <c r="D1121">
        <v>3</v>
      </c>
      <c r="E1121">
        <v>25</v>
      </c>
      <c r="F1121" t="s">
        <v>178</v>
      </c>
      <c r="G1121" t="s">
        <v>80</v>
      </c>
      <c r="H1121" t="s">
        <v>56</v>
      </c>
      <c r="I1121" t="s">
        <v>36</v>
      </c>
      <c r="J1121" t="s">
        <v>50</v>
      </c>
      <c r="K1121" t="s">
        <v>45</v>
      </c>
      <c r="L1121">
        <v>2</v>
      </c>
      <c r="M1121">
        <v>663</v>
      </c>
      <c r="N1121">
        <v>33.15</v>
      </c>
      <c r="O1121">
        <v>40</v>
      </c>
      <c r="P1121">
        <v>1326</v>
      </c>
      <c r="Q1121">
        <v>1332.85</v>
      </c>
      <c r="R1121" t="s">
        <v>39</v>
      </c>
      <c r="S1121" t="s">
        <v>31</v>
      </c>
      <c r="T1121" t="s">
        <v>32</v>
      </c>
      <c r="U1121">
        <v>57</v>
      </c>
      <c r="V1121">
        <v>3.8</v>
      </c>
      <c r="W1121">
        <f>Table2[[#This Row],[Quantity]]*Table2[[#This Row],[Item_Price]]</f>
        <v>1326</v>
      </c>
    </row>
    <row r="1122" spans="1:23" x14ac:dyDescent="0.25">
      <c r="A1122" t="s">
        <v>1218</v>
      </c>
      <c r="B1122" s="1">
        <v>45741</v>
      </c>
      <c r="C1122" t="s">
        <v>910</v>
      </c>
      <c r="D1122">
        <v>3</v>
      </c>
      <c r="E1122">
        <v>25</v>
      </c>
      <c r="F1122" t="s">
        <v>178</v>
      </c>
      <c r="G1122" t="s">
        <v>80</v>
      </c>
      <c r="H1122" t="s">
        <v>52</v>
      </c>
      <c r="I1122" t="s">
        <v>103</v>
      </c>
      <c r="J1122" t="s">
        <v>82</v>
      </c>
      <c r="K1122" t="s">
        <v>45</v>
      </c>
      <c r="L1122">
        <v>1</v>
      </c>
      <c r="M1122">
        <v>283</v>
      </c>
      <c r="N1122">
        <v>0</v>
      </c>
      <c r="O1122">
        <v>70</v>
      </c>
      <c r="P1122">
        <v>283</v>
      </c>
      <c r="Q1122">
        <v>353</v>
      </c>
      <c r="R1122" t="s">
        <v>39</v>
      </c>
      <c r="S1122" t="s">
        <v>31</v>
      </c>
      <c r="T1122" t="s">
        <v>40</v>
      </c>
      <c r="U1122">
        <v>26</v>
      </c>
      <c r="V1122">
        <v>4.9000000000000004</v>
      </c>
      <c r="W1122">
        <f>Table2[[#This Row],[Quantity]]*Table2[[#This Row],[Item_Price]]</f>
        <v>283</v>
      </c>
    </row>
    <row r="1123" spans="1:23" x14ac:dyDescent="0.25">
      <c r="A1123" t="s">
        <v>1219</v>
      </c>
      <c r="B1123" s="1">
        <v>45741</v>
      </c>
      <c r="C1123" t="s">
        <v>910</v>
      </c>
      <c r="D1123">
        <v>3</v>
      </c>
      <c r="E1123">
        <v>25</v>
      </c>
      <c r="F1123" t="s">
        <v>178</v>
      </c>
      <c r="G1123" t="s">
        <v>55</v>
      </c>
      <c r="H1123" t="s">
        <v>105</v>
      </c>
      <c r="I1123" t="s">
        <v>61</v>
      </c>
      <c r="J1123" t="s">
        <v>28</v>
      </c>
      <c r="K1123" t="s">
        <v>38</v>
      </c>
      <c r="L1123">
        <v>1</v>
      </c>
      <c r="M1123">
        <v>392</v>
      </c>
      <c r="N1123">
        <v>19.600000000000001</v>
      </c>
      <c r="O1123">
        <v>50</v>
      </c>
      <c r="P1123">
        <v>392</v>
      </c>
      <c r="Q1123">
        <v>422.4</v>
      </c>
      <c r="R1123" t="s">
        <v>39</v>
      </c>
      <c r="S1123" t="s">
        <v>46</v>
      </c>
      <c r="T1123" t="s">
        <v>32</v>
      </c>
      <c r="U1123">
        <v>64</v>
      </c>
      <c r="W1123">
        <f>Table2[[#This Row],[Quantity]]*Table2[[#This Row],[Item_Price]]</f>
        <v>392</v>
      </c>
    </row>
    <row r="1124" spans="1:23" x14ac:dyDescent="0.25">
      <c r="A1124" t="s">
        <v>1220</v>
      </c>
      <c r="B1124" s="1">
        <v>45741</v>
      </c>
      <c r="C1124" t="s">
        <v>910</v>
      </c>
      <c r="D1124">
        <v>3</v>
      </c>
      <c r="E1124">
        <v>25</v>
      </c>
      <c r="F1124" t="s">
        <v>178</v>
      </c>
      <c r="G1124" t="s">
        <v>80</v>
      </c>
      <c r="H1124" t="s">
        <v>81</v>
      </c>
      <c r="I1124" t="s">
        <v>97</v>
      </c>
      <c r="J1124" t="s">
        <v>74</v>
      </c>
      <c r="K1124" t="s">
        <v>29</v>
      </c>
      <c r="L1124">
        <v>1</v>
      </c>
      <c r="M1124">
        <v>814</v>
      </c>
      <c r="N1124">
        <v>81.400000000000006</v>
      </c>
      <c r="O1124">
        <v>40</v>
      </c>
      <c r="P1124">
        <v>814</v>
      </c>
      <c r="Q1124">
        <v>772.6</v>
      </c>
      <c r="R1124" t="s">
        <v>98</v>
      </c>
      <c r="S1124" t="s">
        <v>31</v>
      </c>
      <c r="T1124" t="s">
        <v>32</v>
      </c>
      <c r="U1124">
        <v>32</v>
      </c>
      <c r="V1124">
        <v>4.8</v>
      </c>
      <c r="W1124">
        <f>Table2[[#This Row],[Quantity]]*Table2[[#This Row],[Item_Price]]</f>
        <v>814</v>
      </c>
    </row>
    <row r="1125" spans="1:23" x14ac:dyDescent="0.25">
      <c r="A1125" t="s">
        <v>1221</v>
      </c>
      <c r="B1125" s="1">
        <v>45741</v>
      </c>
      <c r="C1125" t="s">
        <v>910</v>
      </c>
      <c r="D1125">
        <v>3</v>
      </c>
      <c r="E1125">
        <v>25</v>
      </c>
      <c r="F1125" t="s">
        <v>178</v>
      </c>
      <c r="G1125" t="s">
        <v>25</v>
      </c>
      <c r="H1125" t="s">
        <v>26</v>
      </c>
      <c r="I1125" t="s">
        <v>49</v>
      </c>
      <c r="J1125" t="s">
        <v>70</v>
      </c>
      <c r="K1125" t="s">
        <v>38</v>
      </c>
      <c r="L1125">
        <v>1</v>
      </c>
      <c r="M1125">
        <v>350</v>
      </c>
      <c r="N1125">
        <v>17.5</v>
      </c>
      <c r="O1125">
        <v>70</v>
      </c>
      <c r="P1125">
        <v>350</v>
      </c>
      <c r="Q1125">
        <v>402.5</v>
      </c>
      <c r="R1125" t="s">
        <v>39</v>
      </c>
      <c r="S1125" t="s">
        <v>31</v>
      </c>
      <c r="T1125" t="s">
        <v>40</v>
      </c>
      <c r="U1125">
        <v>48</v>
      </c>
      <c r="V1125">
        <v>3.3</v>
      </c>
      <c r="W1125">
        <f>Table2[[#This Row],[Quantity]]*Table2[[#This Row],[Item_Price]]</f>
        <v>350</v>
      </c>
    </row>
    <row r="1126" spans="1:23" x14ac:dyDescent="0.25">
      <c r="A1126" t="s">
        <v>1222</v>
      </c>
      <c r="B1126" s="1">
        <v>45741</v>
      </c>
      <c r="C1126" t="s">
        <v>910</v>
      </c>
      <c r="D1126">
        <v>3</v>
      </c>
      <c r="E1126">
        <v>25</v>
      </c>
      <c r="F1126" t="s">
        <v>178</v>
      </c>
      <c r="G1126" t="s">
        <v>115</v>
      </c>
      <c r="H1126" t="s">
        <v>42</v>
      </c>
      <c r="I1126" t="s">
        <v>85</v>
      </c>
      <c r="J1126" t="s">
        <v>62</v>
      </c>
      <c r="K1126" t="s">
        <v>38</v>
      </c>
      <c r="L1126">
        <v>2</v>
      </c>
      <c r="M1126">
        <v>418</v>
      </c>
      <c r="N1126">
        <v>0</v>
      </c>
      <c r="O1126">
        <v>40</v>
      </c>
      <c r="P1126">
        <v>836</v>
      </c>
      <c r="Q1126">
        <v>876</v>
      </c>
      <c r="R1126" t="s">
        <v>112</v>
      </c>
      <c r="S1126" t="s">
        <v>31</v>
      </c>
      <c r="T1126" t="s">
        <v>40</v>
      </c>
      <c r="U1126">
        <v>41</v>
      </c>
      <c r="V1126">
        <v>4.5</v>
      </c>
      <c r="W1126">
        <f>Table2[[#This Row],[Quantity]]*Table2[[#This Row],[Item_Price]]</f>
        <v>836</v>
      </c>
    </row>
    <row r="1127" spans="1:23" x14ac:dyDescent="0.25">
      <c r="A1127" t="s">
        <v>1223</v>
      </c>
      <c r="B1127" s="1">
        <v>45741</v>
      </c>
      <c r="C1127" t="s">
        <v>910</v>
      </c>
      <c r="D1127">
        <v>3</v>
      </c>
      <c r="E1127">
        <v>25</v>
      </c>
      <c r="F1127" t="s">
        <v>178</v>
      </c>
      <c r="G1127" t="s">
        <v>115</v>
      </c>
      <c r="H1127" t="s">
        <v>77</v>
      </c>
      <c r="I1127" t="s">
        <v>49</v>
      </c>
      <c r="J1127" t="s">
        <v>53</v>
      </c>
      <c r="K1127" t="s">
        <v>38</v>
      </c>
      <c r="L1127">
        <v>2</v>
      </c>
      <c r="M1127">
        <v>624</v>
      </c>
      <c r="N1127">
        <v>124.8</v>
      </c>
      <c r="O1127">
        <v>30</v>
      </c>
      <c r="P1127">
        <v>1248</v>
      </c>
      <c r="Q1127">
        <v>1153.2</v>
      </c>
      <c r="R1127" t="s">
        <v>75</v>
      </c>
      <c r="S1127" t="s">
        <v>31</v>
      </c>
      <c r="T1127" t="s">
        <v>40</v>
      </c>
      <c r="U1127">
        <v>49</v>
      </c>
      <c r="V1127">
        <v>3.7</v>
      </c>
      <c r="W1127">
        <f>Table2[[#This Row],[Quantity]]*Table2[[#This Row],[Item_Price]]</f>
        <v>1248</v>
      </c>
    </row>
    <row r="1128" spans="1:23" x14ac:dyDescent="0.25">
      <c r="A1128" t="s">
        <v>1224</v>
      </c>
      <c r="B1128" s="1">
        <v>45741</v>
      </c>
      <c r="C1128" t="s">
        <v>910</v>
      </c>
      <c r="D1128">
        <v>3</v>
      </c>
      <c r="E1128">
        <v>25</v>
      </c>
      <c r="F1128" t="s">
        <v>178</v>
      </c>
      <c r="G1128" t="s">
        <v>64</v>
      </c>
      <c r="H1128" t="s">
        <v>108</v>
      </c>
      <c r="I1128" t="s">
        <v>57</v>
      </c>
      <c r="J1128" t="s">
        <v>44</v>
      </c>
      <c r="K1128" t="s">
        <v>45</v>
      </c>
      <c r="L1128">
        <v>3</v>
      </c>
      <c r="M1128">
        <v>446</v>
      </c>
      <c r="N1128">
        <v>66.900000000000006</v>
      </c>
      <c r="O1128">
        <v>20</v>
      </c>
      <c r="P1128">
        <v>1338</v>
      </c>
      <c r="Q1128">
        <v>1291.0999999999999</v>
      </c>
      <c r="R1128" t="s">
        <v>75</v>
      </c>
      <c r="S1128" t="s">
        <v>91</v>
      </c>
      <c r="T1128" t="s">
        <v>32</v>
      </c>
      <c r="U1128">
        <v>56</v>
      </c>
      <c r="W1128">
        <f>Table2[[#This Row],[Quantity]]*Table2[[#This Row],[Item_Price]]</f>
        <v>1338</v>
      </c>
    </row>
    <row r="1129" spans="1:23" x14ac:dyDescent="0.25">
      <c r="A1129" t="s">
        <v>1225</v>
      </c>
      <c r="B1129" s="1">
        <v>45741</v>
      </c>
      <c r="C1129" t="s">
        <v>910</v>
      </c>
      <c r="D1129">
        <v>3</v>
      </c>
      <c r="E1129">
        <v>25</v>
      </c>
      <c r="F1129" t="s">
        <v>178</v>
      </c>
      <c r="G1129" t="s">
        <v>34</v>
      </c>
      <c r="H1129" t="s">
        <v>60</v>
      </c>
      <c r="I1129" t="s">
        <v>36</v>
      </c>
      <c r="J1129" t="s">
        <v>37</v>
      </c>
      <c r="K1129" t="s">
        <v>38</v>
      </c>
      <c r="L1129">
        <v>1</v>
      </c>
      <c r="M1129">
        <v>678</v>
      </c>
      <c r="N1129">
        <v>169.5</v>
      </c>
      <c r="O1129">
        <v>60</v>
      </c>
      <c r="P1129">
        <v>678</v>
      </c>
      <c r="Q1129">
        <v>568.5</v>
      </c>
      <c r="R1129" t="s">
        <v>39</v>
      </c>
      <c r="S1129" t="s">
        <v>31</v>
      </c>
      <c r="T1129" t="s">
        <v>40</v>
      </c>
      <c r="U1129">
        <v>19</v>
      </c>
      <c r="V1129">
        <v>4.8</v>
      </c>
      <c r="W1129">
        <f>Table2[[#This Row],[Quantity]]*Table2[[#This Row],[Item_Price]]</f>
        <v>678</v>
      </c>
    </row>
    <row r="1130" spans="1:23" x14ac:dyDescent="0.25">
      <c r="A1130" t="s">
        <v>1226</v>
      </c>
      <c r="B1130" s="1">
        <v>45741</v>
      </c>
      <c r="C1130" t="s">
        <v>910</v>
      </c>
      <c r="D1130">
        <v>3</v>
      </c>
      <c r="E1130">
        <v>25</v>
      </c>
      <c r="F1130" t="s">
        <v>178</v>
      </c>
      <c r="G1130" t="s">
        <v>34</v>
      </c>
      <c r="H1130" t="s">
        <v>105</v>
      </c>
      <c r="I1130" t="s">
        <v>85</v>
      </c>
      <c r="J1130" t="s">
        <v>119</v>
      </c>
      <c r="K1130" t="s">
        <v>45</v>
      </c>
      <c r="L1130">
        <v>1</v>
      </c>
      <c r="M1130">
        <v>874</v>
      </c>
      <c r="N1130">
        <v>131.1</v>
      </c>
      <c r="O1130">
        <v>50</v>
      </c>
      <c r="P1130">
        <v>874</v>
      </c>
      <c r="Q1130">
        <v>792.9</v>
      </c>
      <c r="R1130" t="s">
        <v>75</v>
      </c>
      <c r="S1130" t="s">
        <v>91</v>
      </c>
      <c r="T1130" t="s">
        <v>32</v>
      </c>
      <c r="U1130">
        <v>69</v>
      </c>
      <c r="W1130">
        <f>Table2[[#This Row],[Quantity]]*Table2[[#This Row],[Item_Price]]</f>
        <v>874</v>
      </c>
    </row>
    <row r="1131" spans="1:23" x14ac:dyDescent="0.25">
      <c r="A1131" t="s">
        <v>1227</v>
      </c>
      <c r="B1131" s="1">
        <v>45741</v>
      </c>
      <c r="C1131" t="s">
        <v>910</v>
      </c>
      <c r="D1131">
        <v>3</v>
      </c>
      <c r="E1131">
        <v>25</v>
      </c>
      <c r="F1131" t="s">
        <v>178</v>
      </c>
      <c r="G1131" t="s">
        <v>34</v>
      </c>
      <c r="H1131" t="s">
        <v>42</v>
      </c>
      <c r="I1131" t="s">
        <v>85</v>
      </c>
      <c r="J1131" t="s">
        <v>123</v>
      </c>
      <c r="K1131" t="s">
        <v>38</v>
      </c>
      <c r="L1131">
        <v>3</v>
      </c>
      <c r="M1131">
        <v>456</v>
      </c>
      <c r="N1131">
        <v>22.8</v>
      </c>
      <c r="O1131">
        <v>30</v>
      </c>
      <c r="P1131">
        <v>1368</v>
      </c>
      <c r="Q1131">
        <v>1375.2</v>
      </c>
      <c r="R1131" t="s">
        <v>39</v>
      </c>
      <c r="S1131" t="s">
        <v>31</v>
      </c>
      <c r="T1131" t="s">
        <v>40</v>
      </c>
      <c r="U1131">
        <v>66</v>
      </c>
      <c r="V1131">
        <v>4.5</v>
      </c>
      <c r="W1131">
        <f>Table2[[#This Row],[Quantity]]*Table2[[#This Row],[Item_Price]]</f>
        <v>1368</v>
      </c>
    </row>
    <row r="1132" spans="1:23" x14ac:dyDescent="0.25">
      <c r="A1132" t="s">
        <v>1228</v>
      </c>
      <c r="B1132" s="1">
        <v>45741</v>
      </c>
      <c r="C1132" t="s">
        <v>910</v>
      </c>
      <c r="D1132">
        <v>3</v>
      </c>
      <c r="E1132">
        <v>25</v>
      </c>
      <c r="F1132" t="s">
        <v>178</v>
      </c>
      <c r="G1132" t="s">
        <v>80</v>
      </c>
      <c r="H1132" t="s">
        <v>42</v>
      </c>
      <c r="I1132" t="s">
        <v>43</v>
      </c>
      <c r="J1132" t="s">
        <v>37</v>
      </c>
      <c r="K1132" t="s">
        <v>38</v>
      </c>
      <c r="L1132">
        <v>1</v>
      </c>
      <c r="M1132">
        <v>882</v>
      </c>
      <c r="N1132">
        <v>220.5</v>
      </c>
      <c r="O1132">
        <v>50</v>
      </c>
      <c r="P1132">
        <v>882</v>
      </c>
      <c r="Q1132">
        <v>711.5</v>
      </c>
      <c r="R1132" t="s">
        <v>39</v>
      </c>
      <c r="S1132" t="s">
        <v>31</v>
      </c>
      <c r="T1132" t="s">
        <v>40</v>
      </c>
      <c r="U1132">
        <v>44</v>
      </c>
      <c r="V1132">
        <v>4</v>
      </c>
      <c r="W1132">
        <f>Table2[[#This Row],[Quantity]]*Table2[[#This Row],[Item_Price]]</f>
        <v>882</v>
      </c>
    </row>
    <row r="1133" spans="1:23" x14ac:dyDescent="0.25">
      <c r="A1133" t="s">
        <v>1229</v>
      </c>
      <c r="B1133" s="1">
        <v>45741</v>
      </c>
      <c r="C1133" t="s">
        <v>910</v>
      </c>
      <c r="D1133">
        <v>3</v>
      </c>
      <c r="E1133">
        <v>25</v>
      </c>
      <c r="F1133" t="s">
        <v>178</v>
      </c>
      <c r="G1133" t="s">
        <v>90</v>
      </c>
      <c r="H1133" t="s">
        <v>135</v>
      </c>
      <c r="I1133" t="s">
        <v>69</v>
      </c>
      <c r="J1133" t="s">
        <v>119</v>
      </c>
      <c r="K1133" t="s">
        <v>38</v>
      </c>
      <c r="L1133">
        <v>2</v>
      </c>
      <c r="M1133">
        <v>840</v>
      </c>
      <c r="N1133">
        <v>126</v>
      </c>
      <c r="O1133">
        <v>70</v>
      </c>
      <c r="P1133">
        <v>1680</v>
      </c>
      <c r="Q1133">
        <v>1624</v>
      </c>
      <c r="R1133" t="s">
        <v>75</v>
      </c>
      <c r="S1133" t="s">
        <v>31</v>
      </c>
      <c r="T1133" t="s">
        <v>40</v>
      </c>
      <c r="U1133">
        <v>70</v>
      </c>
      <c r="V1133">
        <v>4.8</v>
      </c>
      <c r="W1133">
        <f>Table2[[#This Row],[Quantity]]*Table2[[#This Row],[Item_Price]]</f>
        <v>1680</v>
      </c>
    </row>
    <row r="1134" spans="1:23" x14ac:dyDescent="0.25">
      <c r="A1134" t="s">
        <v>1230</v>
      </c>
      <c r="B1134" s="1">
        <v>45741</v>
      </c>
      <c r="C1134" t="s">
        <v>910</v>
      </c>
      <c r="D1134">
        <v>3</v>
      </c>
      <c r="E1134">
        <v>25</v>
      </c>
      <c r="F1134" t="s">
        <v>178</v>
      </c>
      <c r="G1134" t="s">
        <v>90</v>
      </c>
      <c r="H1134" t="s">
        <v>42</v>
      </c>
      <c r="I1134" t="s">
        <v>61</v>
      </c>
      <c r="J1134" t="s">
        <v>28</v>
      </c>
      <c r="K1134" t="s">
        <v>38</v>
      </c>
      <c r="L1134">
        <v>1</v>
      </c>
      <c r="M1134">
        <v>171</v>
      </c>
      <c r="N1134">
        <v>0</v>
      </c>
      <c r="O1134">
        <v>30</v>
      </c>
      <c r="P1134">
        <v>171</v>
      </c>
      <c r="Q1134">
        <v>201</v>
      </c>
      <c r="R1134" t="s">
        <v>98</v>
      </c>
      <c r="S1134" t="s">
        <v>31</v>
      </c>
      <c r="T1134" t="s">
        <v>32</v>
      </c>
      <c r="U1134">
        <v>26</v>
      </c>
      <c r="V1134">
        <v>4.3</v>
      </c>
      <c r="W1134">
        <f>Table2[[#This Row],[Quantity]]*Table2[[#This Row],[Item_Price]]</f>
        <v>171</v>
      </c>
    </row>
    <row r="1135" spans="1:23" x14ac:dyDescent="0.25">
      <c r="A1135" t="s">
        <v>1231</v>
      </c>
      <c r="B1135" s="1">
        <v>45741</v>
      </c>
      <c r="C1135" t="s">
        <v>910</v>
      </c>
      <c r="D1135">
        <v>3</v>
      </c>
      <c r="E1135">
        <v>25</v>
      </c>
      <c r="F1135" t="s">
        <v>178</v>
      </c>
      <c r="G1135" t="s">
        <v>64</v>
      </c>
      <c r="H1135" t="s">
        <v>42</v>
      </c>
      <c r="I1135" t="s">
        <v>57</v>
      </c>
      <c r="J1135" t="s">
        <v>172</v>
      </c>
      <c r="K1135" t="s">
        <v>45</v>
      </c>
      <c r="L1135">
        <v>2</v>
      </c>
      <c r="M1135">
        <v>328</v>
      </c>
      <c r="N1135">
        <v>49.2</v>
      </c>
      <c r="O1135">
        <v>20</v>
      </c>
      <c r="P1135">
        <v>656</v>
      </c>
      <c r="Q1135">
        <v>626.79999999999995</v>
      </c>
      <c r="R1135" t="s">
        <v>75</v>
      </c>
      <c r="S1135" t="s">
        <v>31</v>
      </c>
      <c r="T1135" t="s">
        <v>32</v>
      </c>
      <c r="U1135">
        <v>66</v>
      </c>
      <c r="V1135">
        <v>4</v>
      </c>
      <c r="W1135">
        <f>Table2[[#This Row],[Quantity]]*Table2[[#This Row],[Item_Price]]</f>
        <v>656</v>
      </c>
    </row>
    <row r="1136" spans="1:23" x14ac:dyDescent="0.25">
      <c r="A1136" t="s">
        <v>1232</v>
      </c>
      <c r="B1136" s="1">
        <v>45741</v>
      </c>
      <c r="C1136" t="s">
        <v>910</v>
      </c>
      <c r="D1136">
        <v>3</v>
      </c>
      <c r="E1136">
        <v>25</v>
      </c>
      <c r="F1136" t="s">
        <v>178</v>
      </c>
      <c r="G1136" t="s">
        <v>84</v>
      </c>
      <c r="H1136" t="s">
        <v>81</v>
      </c>
      <c r="I1136" t="s">
        <v>103</v>
      </c>
      <c r="J1136" t="s">
        <v>50</v>
      </c>
      <c r="K1136" t="s">
        <v>45</v>
      </c>
      <c r="L1136">
        <v>2</v>
      </c>
      <c r="M1136">
        <v>773</v>
      </c>
      <c r="N1136">
        <v>0</v>
      </c>
      <c r="O1136">
        <v>20</v>
      </c>
      <c r="P1136">
        <v>1546</v>
      </c>
      <c r="Q1136">
        <v>1566</v>
      </c>
      <c r="R1136" t="s">
        <v>39</v>
      </c>
      <c r="S1136" t="s">
        <v>31</v>
      </c>
      <c r="T1136" t="s">
        <v>40</v>
      </c>
      <c r="U1136">
        <v>31</v>
      </c>
      <c r="V1136">
        <v>3.4</v>
      </c>
      <c r="W1136">
        <f>Table2[[#This Row],[Quantity]]*Table2[[#This Row],[Item_Price]]</f>
        <v>1546</v>
      </c>
    </row>
    <row r="1137" spans="1:23" x14ac:dyDescent="0.25">
      <c r="A1137" t="s">
        <v>1233</v>
      </c>
      <c r="B1137" s="1">
        <v>45741</v>
      </c>
      <c r="C1137" t="s">
        <v>910</v>
      </c>
      <c r="D1137">
        <v>3</v>
      </c>
      <c r="E1137">
        <v>25</v>
      </c>
      <c r="F1137" t="s">
        <v>178</v>
      </c>
      <c r="G1137" t="s">
        <v>96</v>
      </c>
      <c r="H1137" t="s">
        <v>35</v>
      </c>
      <c r="I1137" t="s">
        <v>69</v>
      </c>
      <c r="J1137" t="s">
        <v>94</v>
      </c>
      <c r="K1137" t="s">
        <v>38</v>
      </c>
      <c r="L1137">
        <v>3</v>
      </c>
      <c r="M1137">
        <v>855</v>
      </c>
      <c r="N1137">
        <v>42.75</v>
      </c>
      <c r="O1137">
        <v>0</v>
      </c>
      <c r="P1137">
        <v>2565</v>
      </c>
      <c r="Q1137">
        <v>2522.25</v>
      </c>
      <c r="R1137" t="s">
        <v>39</v>
      </c>
      <c r="S1137" t="s">
        <v>46</v>
      </c>
      <c r="T1137" t="s">
        <v>40</v>
      </c>
      <c r="U1137">
        <v>38</v>
      </c>
      <c r="W1137">
        <f>Table2[[#This Row],[Quantity]]*Table2[[#This Row],[Item_Price]]</f>
        <v>2565</v>
      </c>
    </row>
    <row r="1138" spans="1:23" x14ac:dyDescent="0.25">
      <c r="A1138" t="s">
        <v>1234</v>
      </c>
      <c r="B1138" s="1">
        <v>45741</v>
      </c>
      <c r="C1138" t="s">
        <v>910</v>
      </c>
      <c r="D1138">
        <v>3</v>
      </c>
      <c r="E1138">
        <v>25</v>
      </c>
      <c r="F1138" t="s">
        <v>178</v>
      </c>
      <c r="G1138" t="s">
        <v>80</v>
      </c>
      <c r="H1138" t="s">
        <v>60</v>
      </c>
      <c r="I1138" t="s">
        <v>85</v>
      </c>
      <c r="J1138" t="s">
        <v>53</v>
      </c>
      <c r="K1138" t="s">
        <v>38</v>
      </c>
      <c r="L1138">
        <v>3</v>
      </c>
      <c r="M1138">
        <v>283</v>
      </c>
      <c r="N1138">
        <v>14.15</v>
      </c>
      <c r="O1138">
        <v>30</v>
      </c>
      <c r="P1138">
        <v>849</v>
      </c>
      <c r="Q1138">
        <v>864.85</v>
      </c>
      <c r="R1138" t="s">
        <v>112</v>
      </c>
      <c r="S1138" t="s">
        <v>31</v>
      </c>
      <c r="T1138" t="s">
        <v>40</v>
      </c>
      <c r="U1138">
        <v>23</v>
      </c>
      <c r="V1138">
        <v>3.4</v>
      </c>
      <c r="W1138">
        <f>Table2[[#This Row],[Quantity]]*Table2[[#This Row],[Item_Price]]</f>
        <v>849</v>
      </c>
    </row>
    <row r="1139" spans="1:23" x14ac:dyDescent="0.25">
      <c r="A1139" t="s">
        <v>1235</v>
      </c>
      <c r="B1139" s="1">
        <v>45741</v>
      </c>
      <c r="C1139" t="s">
        <v>910</v>
      </c>
      <c r="D1139">
        <v>3</v>
      </c>
      <c r="E1139">
        <v>25</v>
      </c>
      <c r="F1139" t="s">
        <v>178</v>
      </c>
      <c r="G1139" t="s">
        <v>90</v>
      </c>
      <c r="H1139" t="s">
        <v>68</v>
      </c>
      <c r="I1139" t="s">
        <v>27</v>
      </c>
      <c r="J1139" t="s">
        <v>50</v>
      </c>
      <c r="K1139" t="s">
        <v>38</v>
      </c>
      <c r="L1139">
        <v>1</v>
      </c>
      <c r="M1139">
        <v>753</v>
      </c>
      <c r="N1139">
        <v>112.95</v>
      </c>
      <c r="O1139">
        <v>70</v>
      </c>
      <c r="P1139">
        <v>753</v>
      </c>
      <c r="Q1139">
        <v>710.05</v>
      </c>
      <c r="R1139" t="s">
        <v>112</v>
      </c>
      <c r="S1139" t="s">
        <v>31</v>
      </c>
      <c r="T1139" t="s">
        <v>40</v>
      </c>
      <c r="U1139">
        <v>24</v>
      </c>
      <c r="V1139">
        <v>3.1</v>
      </c>
      <c r="W1139">
        <f>Table2[[#This Row],[Quantity]]*Table2[[#This Row],[Item_Price]]</f>
        <v>753</v>
      </c>
    </row>
    <row r="1140" spans="1:23" x14ac:dyDescent="0.25">
      <c r="A1140" t="s">
        <v>1236</v>
      </c>
      <c r="B1140" s="1">
        <v>45741</v>
      </c>
      <c r="C1140" t="s">
        <v>910</v>
      </c>
      <c r="D1140">
        <v>3</v>
      </c>
      <c r="E1140">
        <v>25</v>
      </c>
      <c r="F1140" t="s">
        <v>178</v>
      </c>
      <c r="G1140" t="s">
        <v>80</v>
      </c>
      <c r="H1140" t="s">
        <v>42</v>
      </c>
      <c r="I1140" t="s">
        <v>43</v>
      </c>
      <c r="J1140" t="s">
        <v>70</v>
      </c>
      <c r="K1140" t="s">
        <v>45</v>
      </c>
      <c r="L1140">
        <v>1</v>
      </c>
      <c r="M1140">
        <v>265</v>
      </c>
      <c r="N1140">
        <v>26.5</v>
      </c>
      <c r="O1140">
        <v>20</v>
      </c>
      <c r="P1140">
        <v>265</v>
      </c>
      <c r="Q1140">
        <v>258.5</v>
      </c>
      <c r="R1140" t="s">
        <v>39</v>
      </c>
      <c r="S1140" t="s">
        <v>31</v>
      </c>
      <c r="T1140" t="s">
        <v>32</v>
      </c>
      <c r="U1140">
        <v>29</v>
      </c>
      <c r="V1140">
        <v>4.4000000000000004</v>
      </c>
      <c r="W1140">
        <f>Table2[[#This Row],[Quantity]]*Table2[[#This Row],[Item_Price]]</f>
        <v>265</v>
      </c>
    </row>
    <row r="1141" spans="1:23" x14ac:dyDescent="0.25">
      <c r="A1141" t="s">
        <v>1237</v>
      </c>
      <c r="B1141" s="1">
        <v>45741</v>
      </c>
      <c r="C1141" t="s">
        <v>910</v>
      </c>
      <c r="D1141">
        <v>3</v>
      </c>
      <c r="E1141">
        <v>25</v>
      </c>
      <c r="F1141" t="s">
        <v>178</v>
      </c>
      <c r="G1141" t="s">
        <v>64</v>
      </c>
      <c r="H1141" t="s">
        <v>105</v>
      </c>
      <c r="I1141" t="s">
        <v>57</v>
      </c>
      <c r="J1141" t="s">
        <v>78</v>
      </c>
      <c r="K1141" t="s">
        <v>38</v>
      </c>
      <c r="L1141">
        <v>2</v>
      </c>
      <c r="M1141">
        <v>163</v>
      </c>
      <c r="N1141">
        <v>32.6</v>
      </c>
      <c r="O1141">
        <v>0</v>
      </c>
      <c r="P1141">
        <v>326</v>
      </c>
      <c r="Q1141">
        <v>293.39999999999998</v>
      </c>
      <c r="R1141" t="s">
        <v>39</v>
      </c>
      <c r="S1141" t="s">
        <v>31</v>
      </c>
      <c r="T1141" t="s">
        <v>40</v>
      </c>
      <c r="U1141">
        <v>43</v>
      </c>
      <c r="V1141">
        <v>4.5999999999999996</v>
      </c>
      <c r="W1141">
        <f>Table2[[#This Row],[Quantity]]*Table2[[#This Row],[Item_Price]]</f>
        <v>326</v>
      </c>
    </row>
    <row r="1142" spans="1:23" x14ac:dyDescent="0.25">
      <c r="A1142" t="s">
        <v>1238</v>
      </c>
      <c r="B1142" s="1">
        <v>45742</v>
      </c>
      <c r="C1142" t="s">
        <v>910</v>
      </c>
      <c r="D1142">
        <v>3</v>
      </c>
      <c r="E1142">
        <v>26</v>
      </c>
      <c r="F1142" t="s">
        <v>24</v>
      </c>
      <c r="G1142" t="s">
        <v>34</v>
      </c>
      <c r="H1142" t="s">
        <v>48</v>
      </c>
      <c r="I1142" t="s">
        <v>49</v>
      </c>
      <c r="J1142" t="s">
        <v>101</v>
      </c>
      <c r="K1142" t="s">
        <v>38</v>
      </c>
      <c r="L1142">
        <v>3</v>
      </c>
      <c r="M1142">
        <v>643</v>
      </c>
      <c r="N1142">
        <v>64.3</v>
      </c>
      <c r="O1142">
        <v>50</v>
      </c>
      <c r="P1142">
        <v>1929</v>
      </c>
      <c r="Q1142">
        <v>1914.7</v>
      </c>
      <c r="R1142" t="s">
        <v>112</v>
      </c>
      <c r="S1142" t="s">
        <v>31</v>
      </c>
      <c r="T1142" t="s">
        <v>40</v>
      </c>
      <c r="U1142">
        <v>40</v>
      </c>
      <c r="V1142">
        <v>3.9</v>
      </c>
      <c r="W1142">
        <f>Table2[[#This Row],[Quantity]]*Table2[[#This Row],[Item_Price]]</f>
        <v>1929</v>
      </c>
    </row>
    <row r="1143" spans="1:23" x14ac:dyDescent="0.25">
      <c r="A1143" t="s">
        <v>1239</v>
      </c>
      <c r="B1143" s="1">
        <v>45742</v>
      </c>
      <c r="C1143" t="s">
        <v>910</v>
      </c>
      <c r="D1143">
        <v>3</v>
      </c>
      <c r="E1143">
        <v>26</v>
      </c>
      <c r="F1143" t="s">
        <v>24</v>
      </c>
      <c r="G1143" t="s">
        <v>90</v>
      </c>
      <c r="H1143" t="s">
        <v>108</v>
      </c>
      <c r="I1143" t="s">
        <v>85</v>
      </c>
      <c r="J1143" t="s">
        <v>119</v>
      </c>
      <c r="K1143" t="s">
        <v>38</v>
      </c>
      <c r="L1143">
        <v>2</v>
      </c>
      <c r="M1143">
        <v>620</v>
      </c>
      <c r="N1143">
        <v>62</v>
      </c>
      <c r="O1143">
        <v>50</v>
      </c>
      <c r="P1143">
        <v>1240</v>
      </c>
      <c r="Q1143">
        <v>1228</v>
      </c>
      <c r="R1143" t="s">
        <v>98</v>
      </c>
      <c r="S1143" t="s">
        <v>31</v>
      </c>
      <c r="T1143" t="s">
        <v>40</v>
      </c>
      <c r="U1143">
        <v>32</v>
      </c>
      <c r="V1143">
        <v>3.8</v>
      </c>
      <c r="W1143">
        <f>Table2[[#This Row],[Quantity]]*Table2[[#This Row],[Item_Price]]</f>
        <v>1240</v>
      </c>
    </row>
    <row r="1144" spans="1:23" x14ac:dyDescent="0.25">
      <c r="A1144" t="s">
        <v>1240</v>
      </c>
      <c r="B1144" s="1">
        <v>45742</v>
      </c>
      <c r="C1144" t="s">
        <v>910</v>
      </c>
      <c r="D1144">
        <v>3</v>
      </c>
      <c r="E1144">
        <v>26</v>
      </c>
      <c r="F1144" t="s">
        <v>24</v>
      </c>
      <c r="G1144" t="s">
        <v>34</v>
      </c>
      <c r="H1144" t="s">
        <v>77</v>
      </c>
      <c r="I1144" t="s">
        <v>97</v>
      </c>
      <c r="J1144" t="s">
        <v>37</v>
      </c>
      <c r="K1144" t="s">
        <v>38</v>
      </c>
      <c r="L1144">
        <v>1</v>
      </c>
      <c r="M1144">
        <v>714</v>
      </c>
      <c r="N1144">
        <v>178.5</v>
      </c>
      <c r="O1144">
        <v>60</v>
      </c>
      <c r="P1144">
        <v>714</v>
      </c>
      <c r="Q1144">
        <v>595.5</v>
      </c>
      <c r="R1144" t="s">
        <v>75</v>
      </c>
      <c r="S1144" t="s">
        <v>31</v>
      </c>
      <c r="T1144" t="s">
        <v>40</v>
      </c>
      <c r="U1144">
        <v>27</v>
      </c>
      <c r="V1144">
        <v>4.0999999999999996</v>
      </c>
      <c r="W1144">
        <f>Table2[[#This Row],[Quantity]]*Table2[[#This Row],[Item_Price]]</f>
        <v>714</v>
      </c>
    </row>
    <row r="1145" spans="1:23" x14ac:dyDescent="0.25">
      <c r="A1145" t="s">
        <v>1241</v>
      </c>
      <c r="B1145" s="1">
        <v>45742</v>
      </c>
      <c r="C1145" t="s">
        <v>910</v>
      </c>
      <c r="D1145">
        <v>3</v>
      </c>
      <c r="E1145">
        <v>26</v>
      </c>
      <c r="F1145" t="s">
        <v>24</v>
      </c>
      <c r="G1145" t="s">
        <v>73</v>
      </c>
      <c r="H1145" t="s">
        <v>48</v>
      </c>
      <c r="I1145" t="s">
        <v>61</v>
      </c>
      <c r="J1145" t="s">
        <v>94</v>
      </c>
      <c r="K1145" t="s">
        <v>29</v>
      </c>
      <c r="L1145">
        <v>1</v>
      </c>
      <c r="M1145">
        <v>447</v>
      </c>
      <c r="N1145">
        <v>22.35</v>
      </c>
      <c r="O1145">
        <v>40</v>
      </c>
      <c r="P1145">
        <v>447</v>
      </c>
      <c r="Q1145">
        <v>464.65</v>
      </c>
      <c r="R1145" t="s">
        <v>98</v>
      </c>
      <c r="S1145" t="s">
        <v>31</v>
      </c>
      <c r="T1145" t="s">
        <v>32</v>
      </c>
      <c r="U1145">
        <v>30</v>
      </c>
      <c r="V1145">
        <v>5</v>
      </c>
      <c r="W1145">
        <f>Table2[[#This Row],[Quantity]]*Table2[[#This Row],[Item_Price]]</f>
        <v>447</v>
      </c>
    </row>
    <row r="1146" spans="1:23" x14ac:dyDescent="0.25">
      <c r="A1146" t="s">
        <v>1242</v>
      </c>
      <c r="B1146" s="1">
        <v>45742</v>
      </c>
      <c r="C1146" t="s">
        <v>910</v>
      </c>
      <c r="D1146">
        <v>3</v>
      </c>
      <c r="E1146">
        <v>26</v>
      </c>
      <c r="F1146" t="s">
        <v>24</v>
      </c>
      <c r="G1146" t="s">
        <v>73</v>
      </c>
      <c r="H1146" t="s">
        <v>135</v>
      </c>
      <c r="I1146" t="s">
        <v>43</v>
      </c>
      <c r="J1146" t="s">
        <v>119</v>
      </c>
      <c r="K1146" t="s">
        <v>45</v>
      </c>
      <c r="L1146">
        <v>2</v>
      </c>
      <c r="M1146">
        <v>522</v>
      </c>
      <c r="N1146">
        <v>26.1</v>
      </c>
      <c r="O1146">
        <v>60</v>
      </c>
      <c r="P1146">
        <v>1044</v>
      </c>
      <c r="Q1146">
        <v>1077.9000000000001</v>
      </c>
      <c r="R1146" t="s">
        <v>39</v>
      </c>
      <c r="S1146" t="s">
        <v>31</v>
      </c>
      <c r="T1146" t="s">
        <v>40</v>
      </c>
      <c r="U1146">
        <v>35</v>
      </c>
      <c r="V1146">
        <v>4.5</v>
      </c>
      <c r="W1146">
        <f>Table2[[#This Row],[Quantity]]*Table2[[#This Row],[Item_Price]]</f>
        <v>1044</v>
      </c>
    </row>
    <row r="1147" spans="1:23" x14ac:dyDescent="0.25">
      <c r="A1147" t="s">
        <v>1243</v>
      </c>
      <c r="B1147" s="1">
        <v>45742</v>
      </c>
      <c r="C1147" t="s">
        <v>910</v>
      </c>
      <c r="D1147">
        <v>3</v>
      </c>
      <c r="E1147">
        <v>26</v>
      </c>
      <c r="F1147" t="s">
        <v>24</v>
      </c>
      <c r="G1147" t="s">
        <v>115</v>
      </c>
      <c r="H1147" t="s">
        <v>48</v>
      </c>
      <c r="I1147" t="s">
        <v>36</v>
      </c>
      <c r="J1147" t="s">
        <v>82</v>
      </c>
      <c r="K1147" t="s">
        <v>38</v>
      </c>
      <c r="L1147">
        <v>1</v>
      </c>
      <c r="M1147">
        <v>723</v>
      </c>
      <c r="N1147">
        <v>0</v>
      </c>
      <c r="O1147">
        <v>40</v>
      </c>
      <c r="P1147">
        <v>723</v>
      </c>
      <c r="Q1147">
        <v>763</v>
      </c>
      <c r="R1147" t="s">
        <v>39</v>
      </c>
      <c r="S1147" t="s">
        <v>110</v>
      </c>
      <c r="T1147" t="s">
        <v>32</v>
      </c>
      <c r="U1147">
        <v>69</v>
      </c>
      <c r="W1147">
        <f>Table2[[#This Row],[Quantity]]*Table2[[#This Row],[Item_Price]]</f>
        <v>723</v>
      </c>
    </row>
    <row r="1148" spans="1:23" x14ac:dyDescent="0.25">
      <c r="A1148" t="s">
        <v>1244</v>
      </c>
      <c r="B1148" s="1">
        <v>45742</v>
      </c>
      <c r="C1148" t="s">
        <v>910</v>
      </c>
      <c r="D1148">
        <v>3</v>
      </c>
      <c r="E1148">
        <v>26</v>
      </c>
      <c r="F1148" t="s">
        <v>24</v>
      </c>
      <c r="G1148" t="s">
        <v>96</v>
      </c>
      <c r="H1148" t="s">
        <v>35</v>
      </c>
      <c r="I1148" t="s">
        <v>36</v>
      </c>
      <c r="J1148" t="s">
        <v>62</v>
      </c>
      <c r="K1148" t="s">
        <v>38</v>
      </c>
      <c r="L1148">
        <v>1</v>
      </c>
      <c r="M1148">
        <v>606</v>
      </c>
      <c r="N1148">
        <v>121.2</v>
      </c>
      <c r="O1148">
        <v>20</v>
      </c>
      <c r="P1148">
        <v>606</v>
      </c>
      <c r="Q1148">
        <v>504.8</v>
      </c>
      <c r="R1148" t="s">
        <v>39</v>
      </c>
      <c r="S1148" t="s">
        <v>31</v>
      </c>
      <c r="T1148" t="s">
        <v>40</v>
      </c>
      <c r="U1148">
        <v>23</v>
      </c>
      <c r="V1148">
        <v>5</v>
      </c>
      <c r="W1148">
        <f>Table2[[#This Row],[Quantity]]*Table2[[#This Row],[Item_Price]]</f>
        <v>606</v>
      </c>
    </row>
    <row r="1149" spans="1:23" x14ac:dyDescent="0.25">
      <c r="A1149" t="s">
        <v>1245</v>
      </c>
      <c r="B1149" s="1">
        <v>45743</v>
      </c>
      <c r="C1149" t="s">
        <v>910</v>
      </c>
      <c r="D1149">
        <v>3</v>
      </c>
      <c r="E1149">
        <v>27</v>
      </c>
      <c r="F1149" t="s">
        <v>88</v>
      </c>
      <c r="G1149" t="s">
        <v>25</v>
      </c>
      <c r="H1149" t="s">
        <v>48</v>
      </c>
      <c r="I1149" t="s">
        <v>43</v>
      </c>
      <c r="J1149" t="s">
        <v>44</v>
      </c>
      <c r="K1149" t="s">
        <v>38</v>
      </c>
      <c r="L1149">
        <v>1</v>
      </c>
      <c r="M1149">
        <v>276</v>
      </c>
      <c r="N1149">
        <v>27.6</v>
      </c>
      <c r="O1149">
        <v>40</v>
      </c>
      <c r="P1149">
        <v>276</v>
      </c>
      <c r="Q1149">
        <v>288.39999999999998</v>
      </c>
      <c r="R1149" t="s">
        <v>98</v>
      </c>
      <c r="S1149" t="s">
        <v>31</v>
      </c>
      <c r="T1149" t="s">
        <v>40</v>
      </c>
      <c r="U1149">
        <v>69</v>
      </c>
      <c r="V1149">
        <v>4.4000000000000004</v>
      </c>
      <c r="W1149">
        <f>Table2[[#This Row],[Quantity]]*Table2[[#This Row],[Item_Price]]</f>
        <v>276</v>
      </c>
    </row>
    <row r="1150" spans="1:23" x14ac:dyDescent="0.25">
      <c r="A1150" t="s">
        <v>1246</v>
      </c>
      <c r="B1150" s="1">
        <v>45743</v>
      </c>
      <c r="C1150" t="s">
        <v>910</v>
      </c>
      <c r="D1150">
        <v>3</v>
      </c>
      <c r="E1150">
        <v>27</v>
      </c>
      <c r="F1150" t="s">
        <v>88</v>
      </c>
      <c r="G1150" t="s">
        <v>64</v>
      </c>
      <c r="H1150" t="s">
        <v>42</v>
      </c>
      <c r="I1150" t="s">
        <v>61</v>
      </c>
      <c r="J1150" t="s">
        <v>94</v>
      </c>
      <c r="K1150" t="s">
        <v>58</v>
      </c>
      <c r="L1150">
        <v>2</v>
      </c>
      <c r="M1150">
        <v>461</v>
      </c>
      <c r="N1150">
        <v>69.150000000000006</v>
      </c>
      <c r="O1150">
        <v>20</v>
      </c>
      <c r="P1150">
        <v>922</v>
      </c>
      <c r="Q1150">
        <v>872.85</v>
      </c>
      <c r="R1150" t="s">
        <v>39</v>
      </c>
      <c r="S1150" t="s">
        <v>31</v>
      </c>
      <c r="T1150" t="s">
        <v>32</v>
      </c>
      <c r="U1150">
        <v>60</v>
      </c>
      <c r="V1150">
        <v>4.3</v>
      </c>
      <c r="W1150">
        <f>Table2[[#This Row],[Quantity]]*Table2[[#This Row],[Item_Price]]</f>
        <v>922</v>
      </c>
    </row>
    <row r="1151" spans="1:23" x14ac:dyDescent="0.25">
      <c r="A1151" t="s">
        <v>1247</v>
      </c>
      <c r="B1151" s="1">
        <v>45743</v>
      </c>
      <c r="C1151" t="s">
        <v>910</v>
      </c>
      <c r="D1151">
        <v>3</v>
      </c>
      <c r="E1151">
        <v>27</v>
      </c>
      <c r="F1151" t="s">
        <v>88</v>
      </c>
      <c r="G1151" t="s">
        <v>96</v>
      </c>
      <c r="H1151" t="s">
        <v>52</v>
      </c>
      <c r="I1151" t="s">
        <v>36</v>
      </c>
      <c r="J1151" t="s">
        <v>101</v>
      </c>
      <c r="K1151" t="s">
        <v>45</v>
      </c>
      <c r="L1151">
        <v>1</v>
      </c>
      <c r="M1151">
        <v>139</v>
      </c>
      <c r="N1151">
        <v>20.85</v>
      </c>
      <c r="O1151">
        <v>30</v>
      </c>
      <c r="P1151">
        <v>139</v>
      </c>
      <c r="Q1151">
        <v>148.15</v>
      </c>
      <c r="R1151" t="s">
        <v>39</v>
      </c>
      <c r="S1151" t="s">
        <v>31</v>
      </c>
      <c r="T1151" t="s">
        <v>32</v>
      </c>
      <c r="U1151">
        <v>41</v>
      </c>
      <c r="V1151">
        <v>4.5</v>
      </c>
      <c r="W1151">
        <f>Table2[[#This Row],[Quantity]]*Table2[[#This Row],[Item_Price]]</f>
        <v>139</v>
      </c>
    </row>
    <row r="1152" spans="1:23" x14ac:dyDescent="0.25">
      <c r="A1152" t="s">
        <v>1248</v>
      </c>
      <c r="B1152" s="1">
        <v>45743</v>
      </c>
      <c r="C1152" t="s">
        <v>910</v>
      </c>
      <c r="D1152">
        <v>3</v>
      </c>
      <c r="E1152">
        <v>27</v>
      </c>
      <c r="F1152" t="s">
        <v>88</v>
      </c>
      <c r="G1152" t="s">
        <v>64</v>
      </c>
      <c r="H1152" t="s">
        <v>48</v>
      </c>
      <c r="I1152" t="s">
        <v>103</v>
      </c>
      <c r="J1152" t="s">
        <v>82</v>
      </c>
      <c r="K1152" t="s">
        <v>45</v>
      </c>
      <c r="L1152">
        <v>2</v>
      </c>
      <c r="M1152">
        <v>157</v>
      </c>
      <c r="N1152">
        <v>7.85</v>
      </c>
      <c r="O1152">
        <v>0</v>
      </c>
      <c r="P1152">
        <v>314</v>
      </c>
      <c r="Q1152">
        <v>306.14999999999998</v>
      </c>
      <c r="R1152" t="s">
        <v>39</v>
      </c>
      <c r="S1152" t="s">
        <v>31</v>
      </c>
      <c r="T1152" t="s">
        <v>40</v>
      </c>
      <c r="U1152">
        <v>40</v>
      </c>
      <c r="V1152">
        <v>3.6</v>
      </c>
      <c r="W1152">
        <f>Table2[[#This Row],[Quantity]]*Table2[[#This Row],[Item_Price]]</f>
        <v>314</v>
      </c>
    </row>
    <row r="1153" spans="1:23" x14ac:dyDescent="0.25">
      <c r="A1153" t="s">
        <v>1249</v>
      </c>
      <c r="B1153" s="1">
        <v>45743</v>
      </c>
      <c r="C1153" t="s">
        <v>910</v>
      </c>
      <c r="D1153">
        <v>3</v>
      </c>
      <c r="E1153">
        <v>27</v>
      </c>
      <c r="F1153" t="s">
        <v>88</v>
      </c>
      <c r="G1153" t="s">
        <v>34</v>
      </c>
      <c r="H1153" t="s">
        <v>48</v>
      </c>
      <c r="I1153" t="s">
        <v>103</v>
      </c>
      <c r="J1153" t="s">
        <v>82</v>
      </c>
      <c r="K1153" t="s">
        <v>58</v>
      </c>
      <c r="L1153">
        <v>2</v>
      </c>
      <c r="M1153">
        <v>683</v>
      </c>
      <c r="N1153">
        <v>136.6</v>
      </c>
      <c r="O1153">
        <v>30</v>
      </c>
      <c r="P1153">
        <v>1366</v>
      </c>
      <c r="Q1153">
        <v>1259.4000000000001</v>
      </c>
      <c r="R1153" t="s">
        <v>39</v>
      </c>
      <c r="S1153" t="s">
        <v>31</v>
      </c>
      <c r="T1153" t="s">
        <v>40</v>
      </c>
      <c r="U1153">
        <v>42</v>
      </c>
      <c r="V1153">
        <v>4.9000000000000004</v>
      </c>
      <c r="W1153">
        <f>Table2[[#This Row],[Quantity]]*Table2[[#This Row],[Item_Price]]</f>
        <v>1366</v>
      </c>
    </row>
    <row r="1154" spans="1:23" x14ac:dyDescent="0.25">
      <c r="A1154" t="s">
        <v>1250</v>
      </c>
      <c r="B1154" s="1">
        <v>45743</v>
      </c>
      <c r="C1154" t="s">
        <v>910</v>
      </c>
      <c r="D1154">
        <v>3</v>
      </c>
      <c r="E1154">
        <v>27</v>
      </c>
      <c r="F1154" t="s">
        <v>88</v>
      </c>
      <c r="G1154" t="s">
        <v>115</v>
      </c>
      <c r="H1154" t="s">
        <v>26</v>
      </c>
      <c r="I1154" t="s">
        <v>97</v>
      </c>
      <c r="J1154" t="s">
        <v>119</v>
      </c>
      <c r="K1154" t="s">
        <v>38</v>
      </c>
      <c r="L1154">
        <v>2</v>
      </c>
      <c r="M1154">
        <v>880</v>
      </c>
      <c r="N1154">
        <v>132</v>
      </c>
      <c r="O1154">
        <v>70</v>
      </c>
      <c r="P1154">
        <v>1760</v>
      </c>
      <c r="Q1154">
        <v>1698</v>
      </c>
      <c r="R1154" t="s">
        <v>98</v>
      </c>
      <c r="S1154" t="s">
        <v>91</v>
      </c>
      <c r="T1154" t="s">
        <v>32</v>
      </c>
      <c r="U1154">
        <v>33</v>
      </c>
      <c r="W1154">
        <f>Table2[[#This Row],[Quantity]]*Table2[[#This Row],[Item_Price]]</f>
        <v>1760</v>
      </c>
    </row>
    <row r="1155" spans="1:23" x14ac:dyDescent="0.25">
      <c r="A1155" t="s">
        <v>1251</v>
      </c>
      <c r="B1155" s="1">
        <v>45743</v>
      </c>
      <c r="C1155" t="s">
        <v>910</v>
      </c>
      <c r="D1155">
        <v>3</v>
      </c>
      <c r="E1155">
        <v>27</v>
      </c>
      <c r="F1155" t="s">
        <v>88</v>
      </c>
      <c r="G1155" t="s">
        <v>55</v>
      </c>
      <c r="H1155" t="s">
        <v>108</v>
      </c>
      <c r="I1155" t="s">
        <v>57</v>
      </c>
      <c r="J1155" t="s">
        <v>119</v>
      </c>
      <c r="K1155" t="s">
        <v>38</v>
      </c>
      <c r="L1155">
        <v>2</v>
      </c>
      <c r="M1155">
        <v>255</v>
      </c>
      <c r="N1155">
        <v>38.25</v>
      </c>
      <c r="O1155">
        <v>20</v>
      </c>
      <c r="P1155">
        <v>510</v>
      </c>
      <c r="Q1155">
        <v>491.75</v>
      </c>
      <c r="R1155" t="s">
        <v>112</v>
      </c>
      <c r="S1155" t="s">
        <v>31</v>
      </c>
      <c r="T1155" t="s">
        <v>32</v>
      </c>
      <c r="U1155">
        <v>43</v>
      </c>
      <c r="V1155">
        <v>4.7</v>
      </c>
      <c r="W1155">
        <f>Table2[[#This Row],[Quantity]]*Table2[[#This Row],[Item_Price]]</f>
        <v>510</v>
      </c>
    </row>
    <row r="1156" spans="1:23" x14ac:dyDescent="0.25">
      <c r="A1156" t="s">
        <v>1252</v>
      </c>
      <c r="B1156" s="1">
        <v>45743</v>
      </c>
      <c r="C1156" t="s">
        <v>910</v>
      </c>
      <c r="D1156">
        <v>3</v>
      </c>
      <c r="E1156">
        <v>27</v>
      </c>
      <c r="F1156" t="s">
        <v>88</v>
      </c>
      <c r="G1156" t="s">
        <v>84</v>
      </c>
      <c r="H1156" t="s">
        <v>65</v>
      </c>
      <c r="I1156" t="s">
        <v>27</v>
      </c>
      <c r="J1156" t="s">
        <v>44</v>
      </c>
      <c r="K1156" t="s">
        <v>45</v>
      </c>
      <c r="L1156">
        <v>1</v>
      </c>
      <c r="M1156">
        <v>837</v>
      </c>
      <c r="N1156">
        <v>125.55</v>
      </c>
      <c r="O1156">
        <v>40</v>
      </c>
      <c r="P1156">
        <v>837</v>
      </c>
      <c r="Q1156">
        <v>751.45</v>
      </c>
      <c r="R1156" t="s">
        <v>98</v>
      </c>
      <c r="S1156" t="s">
        <v>110</v>
      </c>
      <c r="T1156" t="s">
        <v>40</v>
      </c>
      <c r="U1156">
        <v>53</v>
      </c>
      <c r="W1156">
        <f>Table2[[#This Row],[Quantity]]*Table2[[#This Row],[Item_Price]]</f>
        <v>837</v>
      </c>
    </row>
    <row r="1157" spans="1:23" x14ac:dyDescent="0.25">
      <c r="A1157" t="s">
        <v>1253</v>
      </c>
      <c r="B1157" s="1">
        <v>45743</v>
      </c>
      <c r="C1157" t="s">
        <v>910</v>
      </c>
      <c r="D1157">
        <v>3</v>
      </c>
      <c r="E1157">
        <v>27</v>
      </c>
      <c r="F1157" t="s">
        <v>88</v>
      </c>
      <c r="G1157" t="s">
        <v>73</v>
      </c>
      <c r="H1157" t="s">
        <v>108</v>
      </c>
      <c r="I1157" t="s">
        <v>57</v>
      </c>
      <c r="J1157" t="s">
        <v>70</v>
      </c>
      <c r="K1157" t="s">
        <v>38</v>
      </c>
      <c r="L1157">
        <v>2</v>
      </c>
      <c r="M1157">
        <v>174</v>
      </c>
      <c r="N1157">
        <v>8.6999999999999993</v>
      </c>
      <c r="O1157">
        <v>40</v>
      </c>
      <c r="P1157">
        <v>348</v>
      </c>
      <c r="Q1157">
        <v>379.3</v>
      </c>
      <c r="R1157" t="s">
        <v>39</v>
      </c>
      <c r="S1157" t="s">
        <v>46</v>
      </c>
      <c r="T1157" t="s">
        <v>40</v>
      </c>
      <c r="U1157">
        <v>53</v>
      </c>
      <c r="W1157">
        <f>Table2[[#This Row],[Quantity]]*Table2[[#This Row],[Item_Price]]</f>
        <v>348</v>
      </c>
    </row>
    <row r="1158" spans="1:23" x14ac:dyDescent="0.25">
      <c r="A1158" t="s">
        <v>1254</v>
      </c>
      <c r="B1158" s="1">
        <v>45743</v>
      </c>
      <c r="C1158" t="s">
        <v>910</v>
      </c>
      <c r="D1158">
        <v>3</v>
      </c>
      <c r="E1158">
        <v>27</v>
      </c>
      <c r="F1158" t="s">
        <v>88</v>
      </c>
      <c r="G1158" t="s">
        <v>73</v>
      </c>
      <c r="H1158" t="s">
        <v>52</v>
      </c>
      <c r="I1158" t="s">
        <v>43</v>
      </c>
      <c r="J1158" t="s">
        <v>78</v>
      </c>
      <c r="K1158" t="s">
        <v>45</v>
      </c>
      <c r="L1158">
        <v>1</v>
      </c>
      <c r="M1158">
        <v>356</v>
      </c>
      <c r="N1158">
        <v>53.4</v>
      </c>
      <c r="O1158">
        <v>0</v>
      </c>
      <c r="P1158">
        <v>356</v>
      </c>
      <c r="Q1158">
        <v>302.60000000000002</v>
      </c>
      <c r="R1158" t="s">
        <v>30</v>
      </c>
      <c r="S1158" t="s">
        <v>31</v>
      </c>
      <c r="T1158" t="s">
        <v>32</v>
      </c>
      <c r="U1158">
        <v>26</v>
      </c>
      <c r="V1158">
        <v>4.8</v>
      </c>
      <c r="W1158">
        <f>Table2[[#This Row],[Quantity]]*Table2[[#This Row],[Item_Price]]</f>
        <v>356</v>
      </c>
    </row>
    <row r="1159" spans="1:23" x14ac:dyDescent="0.25">
      <c r="A1159" t="s">
        <v>1255</v>
      </c>
      <c r="B1159" s="1">
        <v>45743</v>
      </c>
      <c r="C1159" t="s">
        <v>910</v>
      </c>
      <c r="D1159">
        <v>3</v>
      </c>
      <c r="E1159">
        <v>27</v>
      </c>
      <c r="F1159" t="s">
        <v>88</v>
      </c>
      <c r="G1159" t="s">
        <v>55</v>
      </c>
      <c r="H1159" t="s">
        <v>68</v>
      </c>
      <c r="I1159" t="s">
        <v>57</v>
      </c>
      <c r="J1159" t="s">
        <v>70</v>
      </c>
      <c r="K1159" t="s">
        <v>38</v>
      </c>
      <c r="L1159">
        <v>1</v>
      </c>
      <c r="M1159">
        <v>603</v>
      </c>
      <c r="N1159">
        <v>60.3</v>
      </c>
      <c r="O1159">
        <v>40</v>
      </c>
      <c r="P1159">
        <v>603</v>
      </c>
      <c r="Q1159">
        <v>582.70000000000005</v>
      </c>
      <c r="R1159" t="s">
        <v>39</v>
      </c>
      <c r="S1159" t="s">
        <v>46</v>
      </c>
      <c r="T1159" t="s">
        <v>32</v>
      </c>
      <c r="U1159">
        <v>50</v>
      </c>
      <c r="W1159">
        <f>Table2[[#This Row],[Quantity]]*Table2[[#This Row],[Item_Price]]</f>
        <v>603</v>
      </c>
    </row>
    <row r="1160" spans="1:23" x14ac:dyDescent="0.25">
      <c r="A1160" t="s">
        <v>1256</v>
      </c>
      <c r="B1160" s="1">
        <v>45743</v>
      </c>
      <c r="C1160" t="s">
        <v>910</v>
      </c>
      <c r="D1160">
        <v>3</v>
      </c>
      <c r="E1160">
        <v>27</v>
      </c>
      <c r="F1160" t="s">
        <v>88</v>
      </c>
      <c r="G1160" t="s">
        <v>115</v>
      </c>
      <c r="H1160" t="s">
        <v>65</v>
      </c>
      <c r="I1160" t="s">
        <v>85</v>
      </c>
      <c r="J1160" t="s">
        <v>74</v>
      </c>
      <c r="K1160" t="s">
        <v>38</v>
      </c>
      <c r="L1160">
        <v>3</v>
      </c>
      <c r="M1160">
        <v>338</v>
      </c>
      <c r="N1160">
        <v>0</v>
      </c>
      <c r="O1160">
        <v>40</v>
      </c>
      <c r="P1160">
        <v>1014</v>
      </c>
      <c r="Q1160">
        <v>1054</v>
      </c>
      <c r="R1160" t="s">
        <v>112</v>
      </c>
      <c r="S1160" t="s">
        <v>110</v>
      </c>
      <c r="T1160" t="s">
        <v>32</v>
      </c>
      <c r="U1160">
        <v>26</v>
      </c>
      <c r="W1160">
        <f>Table2[[#This Row],[Quantity]]*Table2[[#This Row],[Item_Price]]</f>
        <v>1014</v>
      </c>
    </row>
    <row r="1161" spans="1:23" x14ac:dyDescent="0.25">
      <c r="A1161" t="s">
        <v>1257</v>
      </c>
      <c r="B1161" s="1">
        <v>45743</v>
      </c>
      <c r="C1161" t="s">
        <v>910</v>
      </c>
      <c r="D1161">
        <v>3</v>
      </c>
      <c r="E1161">
        <v>27</v>
      </c>
      <c r="F1161" t="s">
        <v>88</v>
      </c>
      <c r="G1161" t="s">
        <v>90</v>
      </c>
      <c r="H1161" t="s">
        <v>65</v>
      </c>
      <c r="I1161" t="s">
        <v>61</v>
      </c>
      <c r="J1161" t="s">
        <v>66</v>
      </c>
      <c r="K1161" t="s">
        <v>58</v>
      </c>
      <c r="L1161">
        <v>1</v>
      </c>
      <c r="M1161">
        <v>640</v>
      </c>
      <c r="N1161">
        <v>0</v>
      </c>
      <c r="O1161">
        <v>60</v>
      </c>
      <c r="P1161">
        <v>640</v>
      </c>
      <c r="Q1161">
        <v>700</v>
      </c>
      <c r="R1161" t="s">
        <v>98</v>
      </c>
      <c r="S1161" t="s">
        <v>31</v>
      </c>
      <c r="T1161" t="s">
        <v>40</v>
      </c>
      <c r="U1161">
        <v>31</v>
      </c>
      <c r="V1161">
        <v>3.8</v>
      </c>
      <c r="W1161">
        <f>Table2[[#This Row],[Quantity]]*Table2[[#This Row],[Item_Price]]</f>
        <v>640</v>
      </c>
    </row>
    <row r="1162" spans="1:23" x14ac:dyDescent="0.25">
      <c r="A1162" t="s">
        <v>1258</v>
      </c>
      <c r="B1162" s="1">
        <v>45743</v>
      </c>
      <c r="C1162" t="s">
        <v>910</v>
      </c>
      <c r="D1162">
        <v>3</v>
      </c>
      <c r="E1162">
        <v>27</v>
      </c>
      <c r="F1162" t="s">
        <v>88</v>
      </c>
      <c r="G1162" t="s">
        <v>115</v>
      </c>
      <c r="H1162" t="s">
        <v>77</v>
      </c>
      <c r="I1162" t="s">
        <v>103</v>
      </c>
      <c r="J1162" t="s">
        <v>123</v>
      </c>
      <c r="K1162" t="s">
        <v>38</v>
      </c>
      <c r="L1162">
        <v>2</v>
      </c>
      <c r="M1162">
        <v>258</v>
      </c>
      <c r="N1162">
        <v>12.9</v>
      </c>
      <c r="O1162">
        <v>30</v>
      </c>
      <c r="P1162">
        <v>516</v>
      </c>
      <c r="Q1162">
        <v>533.1</v>
      </c>
      <c r="R1162" t="s">
        <v>30</v>
      </c>
      <c r="S1162" t="s">
        <v>31</v>
      </c>
      <c r="T1162" t="s">
        <v>40</v>
      </c>
      <c r="U1162">
        <v>35</v>
      </c>
      <c r="V1162">
        <v>3.9</v>
      </c>
      <c r="W1162">
        <f>Table2[[#This Row],[Quantity]]*Table2[[#This Row],[Item_Price]]</f>
        <v>516</v>
      </c>
    </row>
    <row r="1163" spans="1:23" x14ac:dyDescent="0.25">
      <c r="A1163" t="s">
        <v>1259</v>
      </c>
      <c r="B1163" s="1">
        <v>45743</v>
      </c>
      <c r="C1163" t="s">
        <v>910</v>
      </c>
      <c r="D1163">
        <v>3</v>
      </c>
      <c r="E1163">
        <v>27</v>
      </c>
      <c r="F1163" t="s">
        <v>88</v>
      </c>
      <c r="G1163" t="s">
        <v>80</v>
      </c>
      <c r="H1163" t="s">
        <v>68</v>
      </c>
      <c r="I1163" t="s">
        <v>97</v>
      </c>
      <c r="J1163" t="s">
        <v>82</v>
      </c>
      <c r="K1163" t="s">
        <v>38</v>
      </c>
      <c r="L1163">
        <v>1</v>
      </c>
      <c r="M1163">
        <v>259</v>
      </c>
      <c r="N1163">
        <v>12.95</v>
      </c>
      <c r="O1163">
        <v>50</v>
      </c>
      <c r="P1163">
        <v>259</v>
      </c>
      <c r="Q1163">
        <v>296.05</v>
      </c>
      <c r="R1163" t="s">
        <v>39</v>
      </c>
      <c r="S1163" t="s">
        <v>31</v>
      </c>
      <c r="T1163" t="s">
        <v>40</v>
      </c>
      <c r="U1163">
        <v>67</v>
      </c>
      <c r="V1163">
        <v>4.2</v>
      </c>
      <c r="W1163">
        <f>Table2[[#This Row],[Quantity]]*Table2[[#This Row],[Item_Price]]</f>
        <v>259</v>
      </c>
    </row>
    <row r="1164" spans="1:23" x14ac:dyDescent="0.25">
      <c r="A1164" t="s">
        <v>1260</v>
      </c>
      <c r="B1164" s="1">
        <v>45743</v>
      </c>
      <c r="C1164" t="s">
        <v>910</v>
      </c>
      <c r="D1164">
        <v>3</v>
      </c>
      <c r="E1164">
        <v>27</v>
      </c>
      <c r="F1164" t="s">
        <v>88</v>
      </c>
      <c r="G1164" t="s">
        <v>34</v>
      </c>
      <c r="H1164" t="s">
        <v>65</v>
      </c>
      <c r="I1164" t="s">
        <v>36</v>
      </c>
      <c r="J1164" t="s">
        <v>119</v>
      </c>
      <c r="K1164" t="s">
        <v>38</v>
      </c>
      <c r="L1164">
        <v>2</v>
      </c>
      <c r="M1164">
        <v>172</v>
      </c>
      <c r="N1164">
        <v>17.2</v>
      </c>
      <c r="O1164">
        <v>60</v>
      </c>
      <c r="P1164">
        <v>344</v>
      </c>
      <c r="Q1164">
        <v>386.8</v>
      </c>
      <c r="R1164" t="s">
        <v>30</v>
      </c>
      <c r="S1164" t="s">
        <v>31</v>
      </c>
      <c r="T1164" t="s">
        <v>40</v>
      </c>
      <c r="U1164">
        <v>33</v>
      </c>
      <c r="V1164">
        <v>3.8</v>
      </c>
      <c r="W1164">
        <f>Table2[[#This Row],[Quantity]]*Table2[[#This Row],[Item_Price]]</f>
        <v>344</v>
      </c>
    </row>
    <row r="1165" spans="1:23" x14ac:dyDescent="0.25">
      <c r="A1165" t="s">
        <v>1261</v>
      </c>
      <c r="B1165" s="1">
        <v>45743</v>
      </c>
      <c r="C1165" t="s">
        <v>910</v>
      </c>
      <c r="D1165">
        <v>3</v>
      </c>
      <c r="E1165">
        <v>27</v>
      </c>
      <c r="F1165" t="s">
        <v>88</v>
      </c>
      <c r="G1165" t="s">
        <v>64</v>
      </c>
      <c r="H1165" t="s">
        <v>77</v>
      </c>
      <c r="I1165" t="s">
        <v>43</v>
      </c>
      <c r="J1165" t="s">
        <v>37</v>
      </c>
      <c r="K1165" t="s">
        <v>45</v>
      </c>
      <c r="L1165">
        <v>2</v>
      </c>
      <c r="M1165">
        <v>218</v>
      </c>
      <c r="N1165">
        <v>10.9</v>
      </c>
      <c r="O1165">
        <v>60</v>
      </c>
      <c r="P1165">
        <v>436</v>
      </c>
      <c r="Q1165">
        <v>485.1</v>
      </c>
      <c r="R1165" t="s">
        <v>112</v>
      </c>
      <c r="S1165" t="s">
        <v>31</v>
      </c>
      <c r="T1165" t="s">
        <v>40</v>
      </c>
      <c r="U1165">
        <v>70</v>
      </c>
      <c r="V1165">
        <v>4.5</v>
      </c>
      <c r="W1165">
        <f>Table2[[#This Row],[Quantity]]*Table2[[#This Row],[Item_Price]]</f>
        <v>436</v>
      </c>
    </row>
    <row r="1166" spans="1:23" x14ac:dyDescent="0.25">
      <c r="A1166" t="s">
        <v>1262</v>
      </c>
      <c r="B1166" s="1">
        <v>45743</v>
      </c>
      <c r="C1166" t="s">
        <v>910</v>
      </c>
      <c r="D1166">
        <v>3</v>
      </c>
      <c r="E1166">
        <v>27</v>
      </c>
      <c r="F1166" t="s">
        <v>88</v>
      </c>
      <c r="G1166" t="s">
        <v>64</v>
      </c>
      <c r="H1166" t="s">
        <v>35</v>
      </c>
      <c r="I1166" t="s">
        <v>36</v>
      </c>
      <c r="J1166" t="s">
        <v>28</v>
      </c>
      <c r="K1166" t="s">
        <v>38</v>
      </c>
      <c r="L1166">
        <v>2</v>
      </c>
      <c r="M1166">
        <v>165</v>
      </c>
      <c r="N1166">
        <v>16.5</v>
      </c>
      <c r="O1166">
        <v>70</v>
      </c>
      <c r="P1166">
        <v>330</v>
      </c>
      <c r="Q1166">
        <v>383.5</v>
      </c>
      <c r="R1166" t="s">
        <v>75</v>
      </c>
      <c r="S1166" t="s">
        <v>91</v>
      </c>
      <c r="T1166" t="s">
        <v>40</v>
      </c>
      <c r="U1166">
        <v>53</v>
      </c>
      <c r="W1166">
        <f>Table2[[#This Row],[Quantity]]*Table2[[#This Row],[Item_Price]]</f>
        <v>330</v>
      </c>
    </row>
    <row r="1167" spans="1:23" x14ac:dyDescent="0.25">
      <c r="A1167" t="s">
        <v>1263</v>
      </c>
      <c r="B1167" s="1">
        <v>45744</v>
      </c>
      <c r="C1167" t="s">
        <v>910</v>
      </c>
      <c r="D1167">
        <v>3</v>
      </c>
      <c r="E1167">
        <v>28</v>
      </c>
      <c r="F1167" t="s">
        <v>114</v>
      </c>
      <c r="G1167" t="s">
        <v>64</v>
      </c>
      <c r="H1167" t="s">
        <v>42</v>
      </c>
      <c r="I1167" t="s">
        <v>36</v>
      </c>
      <c r="J1167" t="s">
        <v>37</v>
      </c>
      <c r="K1167" t="s">
        <v>45</v>
      </c>
      <c r="L1167">
        <v>2</v>
      </c>
      <c r="M1167">
        <v>817</v>
      </c>
      <c r="N1167">
        <v>204.25</v>
      </c>
      <c r="O1167">
        <v>50</v>
      </c>
      <c r="P1167">
        <v>1634</v>
      </c>
      <c r="Q1167">
        <v>1479.75</v>
      </c>
      <c r="R1167" t="s">
        <v>39</v>
      </c>
      <c r="S1167" t="s">
        <v>31</v>
      </c>
      <c r="T1167" t="s">
        <v>32</v>
      </c>
      <c r="U1167">
        <v>20</v>
      </c>
      <c r="V1167">
        <v>4.5</v>
      </c>
      <c r="W1167">
        <f>Table2[[#This Row],[Quantity]]*Table2[[#This Row],[Item_Price]]</f>
        <v>1634</v>
      </c>
    </row>
    <row r="1168" spans="1:23" x14ac:dyDescent="0.25">
      <c r="A1168" t="s">
        <v>1264</v>
      </c>
      <c r="B1168" s="1">
        <v>45744</v>
      </c>
      <c r="C1168" t="s">
        <v>910</v>
      </c>
      <c r="D1168">
        <v>3</v>
      </c>
      <c r="E1168">
        <v>28</v>
      </c>
      <c r="F1168" t="s">
        <v>114</v>
      </c>
      <c r="G1168" t="s">
        <v>25</v>
      </c>
      <c r="H1168" t="s">
        <v>108</v>
      </c>
      <c r="I1168" t="s">
        <v>85</v>
      </c>
      <c r="J1168" t="s">
        <v>37</v>
      </c>
      <c r="K1168" t="s">
        <v>38</v>
      </c>
      <c r="L1168">
        <v>1</v>
      </c>
      <c r="M1168">
        <v>406</v>
      </c>
      <c r="N1168">
        <v>40.6</v>
      </c>
      <c r="O1168">
        <v>50</v>
      </c>
      <c r="P1168">
        <v>406</v>
      </c>
      <c r="Q1168">
        <v>415.4</v>
      </c>
      <c r="R1168" t="s">
        <v>112</v>
      </c>
      <c r="S1168" t="s">
        <v>31</v>
      </c>
      <c r="T1168" t="s">
        <v>40</v>
      </c>
      <c r="U1168">
        <v>62</v>
      </c>
      <c r="V1168">
        <v>4.0999999999999996</v>
      </c>
      <c r="W1168">
        <f>Table2[[#This Row],[Quantity]]*Table2[[#This Row],[Item_Price]]</f>
        <v>406</v>
      </c>
    </row>
    <row r="1169" spans="1:23" x14ac:dyDescent="0.25">
      <c r="A1169" t="s">
        <v>1265</v>
      </c>
      <c r="B1169" s="1">
        <v>45744</v>
      </c>
      <c r="C1169" t="s">
        <v>910</v>
      </c>
      <c r="D1169">
        <v>3</v>
      </c>
      <c r="E1169">
        <v>28</v>
      </c>
      <c r="F1169" t="s">
        <v>114</v>
      </c>
      <c r="G1169" t="s">
        <v>25</v>
      </c>
      <c r="H1169" t="s">
        <v>35</v>
      </c>
      <c r="I1169" t="s">
        <v>61</v>
      </c>
      <c r="J1169" t="s">
        <v>50</v>
      </c>
      <c r="K1169" t="s">
        <v>38</v>
      </c>
      <c r="L1169">
        <v>2</v>
      </c>
      <c r="M1169">
        <v>353</v>
      </c>
      <c r="N1169">
        <v>70.599999999999994</v>
      </c>
      <c r="O1169">
        <v>30</v>
      </c>
      <c r="P1169">
        <v>706</v>
      </c>
      <c r="Q1169">
        <v>665.4</v>
      </c>
      <c r="R1169" t="s">
        <v>39</v>
      </c>
      <c r="S1169" t="s">
        <v>31</v>
      </c>
      <c r="T1169" t="s">
        <v>32</v>
      </c>
      <c r="U1169">
        <v>38</v>
      </c>
      <c r="V1169">
        <v>4.3</v>
      </c>
      <c r="W1169">
        <f>Table2[[#This Row],[Quantity]]*Table2[[#This Row],[Item_Price]]</f>
        <v>706</v>
      </c>
    </row>
    <row r="1170" spans="1:23" x14ac:dyDescent="0.25">
      <c r="A1170" t="s">
        <v>1266</v>
      </c>
      <c r="B1170" s="1">
        <v>45744</v>
      </c>
      <c r="C1170" t="s">
        <v>910</v>
      </c>
      <c r="D1170">
        <v>3</v>
      </c>
      <c r="E1170">
        <v>28</v>
      </c>
      <c r="F1170" t="s">
        <v>114</v>
      </c>
      <c r="G1170" t="s">
        <v>115</v>
      </c>
      <c r="H1170" t="s">
        <v>81</v>
      </c>
      <c r="I1170" t="s">
        <v>103</v>
      </c>
      <c r="J1170" t="s">
        <v>74</v>
      </c>
      <c r="K1170" t="s">
        <v>38</v>
      </c>
      <c r="L1170">
        <v>1</v>
      </c>
      <c r="M1170">
        <v>661</v>
      </c>
      <c r="N1170">
        <v>66.099999999999994</v>
      </c>
      <c r="O1170">
        <v>50</v>
      </c>
      <c r="P1170">
        <v>661</v>
      </c>
      <c r="Q1170">
        <v>644.9</v>
      </c>
      <c r="R1170" t="s">
        <v>98</v>
      </c>
      <c r="S1170" t="s">
        <v>31</v>
      </c>
      <c r="T1170" t="s">
        <v>40</v>
      </c>
      <c r="U1170">
        <v>57</v>
      </c>
      <c r="V1170">
        <v>4.0999999999999996</v>
      </c>
      <c r="W1170">
        <f>Table2[[#This Row],[Quantity]]*Table2[[#This Row],[Item_Price]]</f>
        <v>661</v>
      </c>
    </row>
    <row r="1171" spans="1:23" x14ac:dyDescent="0.25">
      <c r="A1171" t="s">
        <v>1267</v>
      </c>
      <c r="B1171" s="1">
        <v>45744</v>
      </c>
      <c r="C1171" t="s">
        <v>910</v>
      </c>
      <c r="D1171">
        <v>3</v>
      </c>
      <c r="E1171">
        <v>28</v>
      </c>
      <c r="F1171" t="s">
        <v>114</v>
      </c>
      <c r="G1171" t="s">
        <v>73</v>
      </c>
      <c r="H1171" t="s">
        <v>105</v>
      </c>
      <c r="I1171" t="s">
        <v>27</v>
      </c>
      <c r="J1171" t="s">
        <v>101</v>
      </c>
      <c r="K1171" t="s">
        <v>45</v>
      </c>
      <c r="L1171">
        <v>2</v>
      </c>
      <c r="M1171">
        <v>590</v>
      </c>
      <c r="N1171">
        <v>0</v>
      </c>
      <c r="O1171">
        <v>0</v>
      </c>
      <c r="P1171">
        <v>1180</v>
      </c>
      <c r="Q1171">
        <v>1180</v>
      </c>
      <c r="R1171" t="s">
        <v>112</v>
      </c>
      <c r="S1171" t="s">
        <v>31</v>
      </c>
      <c r="T1171" t="s">
        <v>40</v>
      </c>
      <c r="U1171">
        <v>70</v>
      </c>
      <c r="V1171">
        <v>4.5999999999999996</v>
      </c>
      <c r="W1171">
        <f>Table2[[#This Row],[Quantity]]*Table2[[#This Row],[Item_Price]]</f>
        <v>1180</v>
      </c>
    </row>
    <row r="1172" spans="1:23" x14ac:dyDescent="0.25">
      <c r="A1172" t="s">
        <v>1268</v>
      </c>
      <c r="B1172" s="1">
        <v>45744</v>
      </c>
      <c r="C1172" t="s">
        <v>910</v>
      </c>
      <c r="D1172">
        <v>3</v>
      </c>
      <c r="E1172">
        <v>28</v>
      </c>
      <c r="F1172" t="s">
        <v>114</v>
      </c>
      <c r="G1172" t="s">
        <v>55</v>
      </c>
      <c r="H1172" t="s">
        <v>35</v>
      </c>
      <c r="I1172" t="s">
        <v>61</v>
      </c>
      <c r="J1172" t="s">
        <v>70</v>
      </c>
      <c r="K1172" t="s">
        <v>45</v>
      </c>
      <c r="L1172">
        <v>2</v>
      </c>
      <c r="M1172">
        <v>633</v>
      </c>
      <c r="N1172">
        <v>31.65</v>
      </c>
      <c r="O1172">
        <v>30</v>
      </c>
      <c r="P1172">
        <v>1266</v>
      </c>
      <c r="Q1172">
        <v>1264.3499999999999</v>
      </c>
      <c r="R1172" t="s">
        <v>39</v>
      </c>
      <c r="S1172" t="s">
        <v>31</v>
      </c>
      <c r="T1172" t="s">
        <v>40</v>
      </c>
      <c r="U1172">
        <v>30</v>
      </c>
      <c r="V1172">
        <v>3.2</v>
      </c>
      <c r="W1172">
        <f>Table2[[#This Row],[Quantity]]*Table2[[#This Row],[Item_Price]]</f>
        <v>1266</v>
      </c>
    </row>
    <row r="1173" spans="1:23" x14ac:dyDescent="0.25">
      <c r="A1173" t="s">
        <v>1269</v>
      </c>
      <c r="B1173" s="1">
        <v>45744</v>
      </c>
      <c r="C1173" t="s">
        <v>910</v>
      </c>
      <c r="D1173">
        <v>3</v>
      </c>
      <c r="E1173">
        <v>28</v>
      </c>
      <c r="F1173" t="s">
        <v>114</v>
      </c>
      <c r="G1173" t="s">
        <v>64</v>
      </c>
      <c r="H1173" t="s">
        <v>42</v>
      </c>
      <c r="I1173" t="s">
        <v>61</v>
      </c>
      <c r="J1173" t="s">
        <v>74</v>
      </c>
      <c r="K1173" t="s">
        <v>45</v>
      </c>
      <c r="L1173">
        <v>2</v>
      </c>
      <c r="M1173">
        <v>878</v>
      </c>
      <c r="N1173">
        <v>0</v>
      </c>
      <c r="O1173">
        <v>20</v>
      </c>
      <c r="P1173">
        <v>1756</v>
      </c>
      <c r="Q1173">
        <v>1776</v>
      </c>
      <c r="R1173" t="s">
        <v>75</v>
      </c>
      <c r="S1173" t="s">
        <v>31</v>
      </c>
      <c r="T1173" t="s">
        <v>32</v>
      </c>
      <c r="U1173">
        <v>53</v>
      </c>
      <c r="V1173">
        <v>3.2</v>
      </c>
      <c r="W1173">
        <f>Table2[[#This Row],[Quantity]]*Table2[[#This Row],[Item_Price]]</f>
        <v>1756</v>
      </c>
    </row>
    <row r="1174" spans="1:23" x14ac:dyDescent="0.25">
      <c r="A1174" t="s">
        <v>1270</v>
      </c>
      <c r="B1174" s="1">
        <v>45744</v>
      </c>
      <c r="C1174" t="s">
        <v>910</v>
      </c>
      <c r="D1174">
        <v>3</v>
      </c>
      <c r="E1174">
        <v>28</v>
      </c>
      <c r="F1174" t="s">
        <v>114</v>
      </c>
      <c r="G1174" t="s">
        <v>80</v>
      </c>
      <c r="H1174" t="s">
        <v>77</v>
      </c>
      <c r="I1174" t="s">
        <v>85</v>
      </c>
      <c r="J1174" t="s">
        <v>94</v>
      </c>
      <c r="K1174" t="s">
        <v>38</v>
      </c>
      <c r="L1174">
        <v>3</v>
      </c>
      <c r="M1174">
        <v>657</v>
      </c>
      <c r="N1174">
        <v>98.55</v>
      </c>
      <c r="O1174">
        <v>20</v>
      </c>
      <c r="P1174">
        <v>1971</v>
      </c>
      <c r="Q1174">
        <v>1892.45</v>
      </c>
      <c r="R1174" t="s">
        <v>75</v>
      </c>
      <c r="S1174" t="s">
        <v>31</v>
      </c>
      <c r="T1174" t="s">
        <v>32</v>
      </c>
      <c r="U1174">
        <v>58</v>
      </c>
      <c r="V1174">
        <v>4</v>
      </c>
      <c r="W1174">
        <f>Table2[[#This Row],[Quantity]]*Table2[[#This Row],[Item_Price]]</f>
        <v>1971</v>
      </c>
    </row>
    <row r="1175" spans="1:23" x14ac:dyDescent="0.25">
      <c r="A1175" t="s">
        <v>1271</v>
      </c>
      <c r="B1175" s="1">
        <v>45744</v>
      </c>
      <c r="C1175" t="s">
        <v>910</v>
      </c>
      <c r="D1175">
        <v>3</v>
      </c>
      <c r="E1175">
        <v>28</v>
      </c>
      <c r="F1175" t="s">
        <v>114</v>
      </c>
      <c r="G1175" t="s">
        <v>90</v>
      </c>
      <c r="H1175" t="s">
        <v>135</v>
      </c>
      <c r="I1175" t="s">
        <v>36</v>
      </c>
      <c r="J1175" t="s">
        <v>101</v>
      </c>
      <c r="K1175" t="s">
        <v>38</v>
      </c>
      <c r="L1175">
        <v>3</v>
      </c>
      <c r="M1175">
        <v>384</v>
      </c>
      <c r="N1175">
        <v>19.2</v>
      </c>
      <c r="O1175">
        <v>60</v>
      </c>
      <c r="P1175">
        <v>1152</v>
      </c>
      <c r="Q1175">
        <v>1192.8</v>
      </c>
      <c r="R1175" t="s">
        <v>39</v>
      </c>
      <c r="S1175" t="s">
        <v>91</v>
      </c>
      <c r="T1175" t="s">
        <v>40</v>
      </c>
      <c r="U1175">
        <v>25</v>
      </c>
      <c r="W1175">
        <f>Table2[[#This Row],[Quantity]]*Table2[[#This Row],[Item_Price]]</f>
        <v>1152</v>
      </c>
    </row>
    <row r="1176" spans="1:23" x14ac:dyDescent="0.25">
      <c r="A1176" t="s">
        <v>1272</v>
      </c>
      <c r="B1176" s="1">
        <v>45744</v>
      </c>
      <c r="C1176" t="s">
        <v>910</v>
      </c>
      <c r="D1176">
        <v>3</v>
      </c>
      <c r="E1176">
        <v>28</v>
      </c>
      <c r="F1176" t="s">
        <v>114</v>
      </c>
      <c r="G1176" t="s">
        <v>80</v>
      </c>
      <c r="H1176" t="s">
        <v>26</v>
      </c>
      <c r="I1176" t="s">
        <v>97</v>
      </c>
      <c r="J1176" t="s">
        <v>82</v>
      </c>
      <c r="K1176" t="s">
        <v>38</v>
      </c>
      <c r="L1176">
        <v>1</v>
      </c>
      <c r="M1176">
        <v>628</v>
      </c>
      <c r="N1176">
        <v>31.4</v>
      </c>
      <c r="O1176">
        <v>40</v>
      </c>
      <c r="P1176">
        <v>628</v>
      </c>
      <c r="Q1176">
        <v>636.6</v>
      </c>
      <c r="R1176" t="s">
        <v>30</v>
      </c>
      <c r="S1176" t="s">
        <v>31</v>
      </c>
      <c r="T1176" t="s">
        <v>32</v>
      </c>
      <c r="U1176">
        <v>29</v>
      </c>
      <c r="V1176">
        <v>4.5</v>
      </c>
      <c r="W1176">
        <f>Table2[[#This Row],[Quantity]]*Table2[[#This Row],[Item_Price]]</f>
        <v>628</v>
      </c>
    </row>
    <row r="1177" spans="1:23" x14ac:dyDescent="0.25">
      <c r="A1177" t="s">
        <v>1273</v>
      </c>
      <c r="B1177" s="1">
        <v>45744</v>
      </c>
      <c r="C1177" t="s">
        <v>910</v>
      </c>
      <c r="D1177">
        <v>3</v>
      </c>
      <c r="E1177">
        <v>28</v>
      </c>
      <c r="F1177" t="s">
        <v>114</v>
      </c>
      <c r="G1177" t="s">
        <v>34</v>
      </c>
      <c r="H1177" t="s">
        <v>108</v>
      </c>
      <c r="I1177" t="s">
        <v>97</v>
      </c>
      <c r="J1177" t="s">
        <v>28</v>
      </c>
      <c r="K1177" t="s">
        <v>38</v>
      </c>
      <c r="L1177">
        <v>1</v>
      </c>
      <c r="M1177">
        <v>339</v>
      </c>
      <c r="N1177">
        <v>84.75</v>
      </c>
      <c r="O1177">
        <v>40</v>
      </c>
      <c r="P1177">
        <v>339</v>
      </c>
      <c r="Q1177">
        <v>294.25</v>
      </c>
      <c r="R1177" t="s">
        <v>30</v>
      </c>
      <c r="S1177" t="s">
        <v>31</v>
      </c>
      <c r="T1177" t="s">
        <v>32</v>
      </c>
      <c r="U1177">
        <v>51</v>
      </c>
      <c r="V1177">
        <v>3.4</v>
      </c>
      <c r="W1177">
        <f>Table2[[#This Row],[Quantity]]*Table2[[#This Row],[Item_Price]]</f>
        <v>339</v>
      </c>
    </row>
    <row r="1178" spans="1:23" x14ac:dyDescent="0.25">
      <c r="A1178" t="s">
        <v>1274</v>
      </c>
      <c r="B1178" s="1">
        <v>45745</v>
      </c>
      <c r="C1178" t="s">
        <v>910</v>
      </c>
      <c r="D1178">
        <v>3</v>
      </c>
      <c r="E1178">
        <v>29</v>
      </c>
      <c r="F1178" t="s">
        <v>134</v>
      </c>
      <c r="G1178" t="s">
        <v>64</v>
      </c>
      <c r="H1178" t="s">
        <v>26</v>
      </c>
      <c r="I1178" t="s">
        <v>103</v>
      </c>
      <c r="J1178" t="s">
        <v>94</v>
      </c>
      <c r="K1178" t="s">
        <v>38</v>
      </c>
      <c r="L1178">
        <v>3</v>
      </c>
      <c r="M1178">
        <v>560</v>
      </c>
      <c r="N1178">
        <v>56</v>
      </c>
      <c r="O1178">
        <v>20</v>
      </c>
      <c r="P1178">
        <v>1680</v>
      </c>
      <c r="Q1178">
        <v>1644</v>
      </c>
      <c r="R1178" t="s">
        <v>75</v>
      </c>
      <c r="S1178" t="s">
        <v>91</v>
      </c>
      <c r="T1178" t="s">
        <v>40</v>
      </c>
      <c r="U1178">
        <v>60</v>
      </c>
      <c r="W1178">
        <f>Table2[[#This Row],[Quantity]]*Table2[[#This Row],[Item_Price]]</f>
        <v>1680</v>
      </c>
    </row>
    <row r="1179" spans="1:23" x14ac:dyDescent="0.25">
      <c r="A1179" t="s">
        <v>1275</v>
      </c>
      <c r="B1179" s="1">
        <v>45745</v>
      </c>
      <c r="C1179" t="s">
        <v>910</v>
      </c>
      <c r="D1179">
        <v>3</v>
      </c>
      <c r="E1179">
        <v>29</v>
      </c>
      <c r="F1179" t="s">
        <v>134</v>
      </c>
      <c r="G1179" t="s">
        <v>90</v>
      </c>
      <c r="H1179" t="s">
        <v>105</v>
      </c>
      <c r="I1179" t="s">
        <v>27</v>
      </c>
      <c r="J1179" t="s">
        <v>94</v>
      </c>
      <c r="K1179" t="s">
        <v>38</v>
      </c>
      <c r="L1179">
        <v>1</v>
      </c>
      <c r="M1179">
        <v>319</v>
      </c>
      <c r="N1179">
        <v>47.85</v>
      </c>
      <c r="O1179">
        <v>40</v>
      </c>
      <c r="P1179">
        <v>319</v>
      </c>
      <c r="Q1179">
        <v>311.14999999999998</v>
      </c>
      <c r="R1179" t="s">
        <v>75</v>
      </c>
      <c r="S1179" t="s">
        <v>31</v>
      </c>
      <c r="T1179" t="s">
        <v>32</v>
      </c>
      <c r="U1179">
        <v>22</v>
      </c>
      <c r="V1179">
        <v>4.8</v>
      </c>
      <c r="W1179">
        <f>Table2[[#This Row],[Quantity]]*Table2[[#This Row],[Item_Price]]</f>
        <v>319</v>
      </c>
    </row>
    <row r="1180" spans="1:23" x14ac:dyDescent="0.25">
      <c r="A1180" t="s">
        <v>1276</v>
      </c>
      <c r="B1180" s="1">
        <v>45745</v>
      </c>
      <c r="C1180" t="s">
        <v>910</v>
      </c>
      <c r="D1180">
        <v>3</v>
      </c>
      <c r="E1180">
        <v>29</v>
      </c>
      <c r="F1180" t="s">
        <v>134</v>
      </c>
      <c r="G1180" t="s">
        <v>64</v>
      </c>
      <c r="H1180" t="s">
        <v>135</v>
      </c>
      <c r="I1180" t="s">
        <v>85</v>
      </c>
      <c r="J1180" t="s">
        <v>123</v>
      </c>
      <c r="K1180" t="s">
        <v>38</v>
      </c>
      <c r="L1180">
        <v>2</v>
      </c>
      <c r="M1180">
        <v>380</v>
      </c>
      <c r="N1180">
        <v>95</v>
      </c>
      <c r="O1180">
        <v>20</v>
      </c>
      <c r="P1180">
        <v>760</v>
      </c>
      <c r="Q1180">
        <v>685</v>
      </c>
      <c r="R1180" t="s">
        <v>39</v>
      </c>
      <c r="S1180" t="s">
        <v>31</v>
      </c>
      <c r="T1180" t="s">
        <v>40</v>
      </c>
      <c r="U1180">
        <v>42</v>
      </c>
      <c r="V1180">
        <v>3.9</v>
      </c>
      <c r="W1180">
        <f>Table2[[#This Row],[Quantity]]*Table2[[#This Row],[Item_Price]]</f>
        <v>760</v>
      </c>
    </row>
    <row r="1181" spans="1:23" x14ac:dyDescent="0.25">
      <c r="A1181" t="s">
        <v>1277</v>
      </c>
      <c r="B1181" s="1">
        <v>45745</v>
      </c>
      <c r="C1181" t="s">
        <v>910</v>
      </c>
      <c r="D1181">
        <v>3</v>
      </c>
      <c r="E1181">
        <v>29</v>
      </c>
      <c r="F1181" t="s">
        <v>134</v>
      </c>
      <c r="G1181" t="s">
        <v>73</v>
      </c>
      <c r="H1181" t="s">
        <v>52</v>
      </c>
      <c r="I1181" t="s">
        <v>43</v>
      </c>
      <c r="J1181" t="s">
        <v>62</v>
      </c>
      <c r="K1181" t="s">
        <v>29</v>
      </c>
      <c r="L1181">
        <v>3</v>
      </c>
      <c r="M1181">
        <v>193</v>
      </c>
      <c r="N1181">
        <v>38.6</v>
      </c>
      <c r="O1181">
        <v>0</v>
      </c>
      <c r="P1181">
        <v>579</v>
      </c>
      <c r="Q1181">
        <v>540.4</v>
      </c>
      <c r="R1181" t="s">
        <v>98</v>
      </c>
      <c r="S1181" t="s">
        <v>31</v>
      </c>
      <c r="T1181" t="s">
        <v>40</v>
      </c>
      <c r="U1181">
        <v>30</v>
      </c>
      <c r="V1181">
        <v>3.9</v>
      </c>
      <c r="W1181">
        <f>Table2[[#This Row],[Quantity]]*Table2[[#This Row],[Item_Price]]</f>
        <v>579</v>
      </c>
    </row>
    <row r="1182" spans="1:23" x14ac:dyDescent="0.25">
      <c r="A1182" t="s">
        <v>1278</v>
      </c>
      <c r="B1182" s="1">
        <v>45745</v>
      </c>
      <c r="C1182" t="s">
        <v>910</v>
      </c>
      <c r="D1182">
        <v>3</v>
      </c>
      <c r="E1182">
        <v>29</v>
      </c>
      <c r="F1182" t="s">
        <v>134</v>
      </c>
      <c r="G1182" t="s">
        <v>64</v>
      </c>
      <c r="H1182" t="s">
        <v>60</v>
      </c>
      <c r="I1182" t="s">
        <v>103</v>
      </c>
      <c r="J1182" t="s">
        <v>53</v>
      </c>
      <c r="K1182" t="s">
        <v>38</v>
      </c>
      <c r="L1182">
        <v>1</v>
      </c>
      <c r="M1182">
        <v>534</v>
      </c>
      <c r="N1182">
        <v>106.8</v>
      </c>
      <c r="O1182">
        <v>60</v>
      </c>
      <c r="P1182">
        <v>534</v>
      </c>
      <c r="Q1182">
        <v>487.2</v>
      </c>
      <c r="R1182" t="s">
        <v>39</v>
      </c>
      <c r="S1182" t="s">
        <v>31</v>
      </c>
      <c r="T1182" t="s">
        <v>40</v>
      </c>
      <c r="U1182">
        <v>53</v>
      </c>
      <c r="V1182">
        <v>4</v>
      </c>
      <c r="W1182">
        <f>Table2[[#This Row],[Quantity]]*Table2[[#This Row],[Item_Price]]</f>
        <v>534</v>
      </c>
    </row>
    <row r="1183" spans="1:23" x14ac:dyDescent="0.25">
      <c r="A1183" t="s">
        <v>1279</v>
      </c>
      <c r="B1183" s="1">
        <v>45745</v>
      </c>
      <c r="C1183" t="s">
        <v>910</v>
      </c>
      <c r="D1183">
        <v>3</v>
      </c>
      <c r="E1183">
        <v>29</v>
      </c>
      <c r="F1183" t="s">
        <v>134</v>
      </c>
      <c r="G1183" t="s">
        <v>34</v>
      </c>
      <c r="H1183" t="s">
        <v>65</v>
      </c>
      <c r="I1183" t="s">
        <v>27</v>
      </c>
      <c r="J1183" t="s">
        <v>70</v>
      </c>
      <c r="K1183" t="s">
        <v>38</v>
      </c>
      <c r="L1183">
        <v>2</v>
      </c>
      <c r="M1183">
        <v>459</v>
      </c>
      <c r="N1183">
        <v>45.9</v>
      </c>
      <c r="O1183">
        <v>60</v>
      </c>
      <c r="P1183">
        <v>918</v>
      </c>
      <c r="Q1183">
        <v>932.1</v>
      </c>
      <c r="R1183" t="s">
        <v>39</v>
      </c>
      <c r="S1183" t="s">
        <v>31</v>
      </c>
      <c r="T1183" t="s">
        <v>32</v>
      </c>
      <c r="U1183">
        <v>51</v>
      </c>
      <c r="V1183">
        <v>3.7</v>
      </c>
      <c r="W1183">
        <f>Table2[[#This Row],[Quantity]]*Table2[[#This Row],[Item_Price]]</f>
        <v>918</v>
      </c>
    </row>
    <row r="1184" spans="1:23" x14ac:dyDescent="0.25">
      <c r="A1184" t="s">
        <v>1280</v>
      </c>
      <c r="B1184" s="1">
        <v>45745</v>
      </c>
      <c r="C1184" t="s">
        <v>910</v>
      </c>
      <c r="D1184">
        <v>3</v>
      </c>
      <c r="E1184">
        <v>29</v>
      </c>
      <c r="F1184" t="s">
        <v>134</v>
      </c>
      <c r="G1184" t="s">
        <v>96</v>
      </c>
      <c r="H1184" t="s">
        <v>42</v>
      </c>
      <c r="I1184" t="s">
        <v>69</v>
      </c>
      <c r="J1184" t="s">
        <v>62</v>
      </c>
      <c r="K1184" t="s">
        <v>29</v>
      </c>
      <c r="L1184">
        <v>1</v>
      </c>
      <c r="M1184">
        <v>771</v>
      </c>
      <c r="N1184">
        <v>0</v>
      </c>
      <c r="O1184">
        <v>70</v>
      </c>
      <c r="P1184">
        <v>771</v>
      </c>
      <c r="Q1184">
        <v>841</v>
      </c>
      <c r="R1184" t="s">
        <v>39</v>
      </c>
      <c r="S1184" t="s">
        <v>31</v>
      </c>
      <c r="T1184" t="s">
        <v>40</v>
      </c>
      <c r="U1184">
        <v>35</v>
      </c>
      <c r="V1184">
        <v>3.4</v>
      </c>
      <c r="W1184">
        <f>Table2[[#This Row],[Quantity]]*Table2[[#This Row],[Item_Price]]</f>
        <v>771</v>
      </c>
    </row>
    <row r="1185" spans="1:23" x14ac:dyDescent="0.25">
      <c r="A1185" t="s">
        <v>1281</v>
      </c>
      <c r="B1185" s="1">
        <v>45745</v>
      </c>
      <c r="C1185" t="s">
        <v>910</v>
      </c>
      <c r="D1185">
        <v>3</v>
      </c>
      <c r="E1185">
        <v>29</v>
      </c>
      <c r="F1185" t="s">
        <v>134</v>
      </c>
      <c r="G1185" t="s">
        <v>55</v>
      </c>
      <c r="H1185" t="s">
        <v>77</v>
      </c>
      <c r="I1185" t="s">
        <v>57</v>
      </c>
      <c r="J1185" t="s">
        <v>70</v>
      </c>
      <c r="K1185" t="s">
        <v>38</v>
      </c>
      <c r="L1185">
        <v>1</v>
      </c>
      <c r="M1185">
        <v>446</v>
      </c>
      <c r="N1185">
        <v>22.3</v>
      </c>
      <c r="O1185">
        <v>50</v>
      </c>
      <c r="P1185">
        <v>446</v>
      </c>
      <c r="Q1185">
        <v>473.7</v>
      </c>
      <c r="R1185" t="s">
        <v>39</v>
      </c>
      <c r="S1185" t="s">
        <v>31</v>
      </c>
      <c r="T1185" t="s">
        <v>40</v>
      </c>
      <c r="U1185">
        <v>66</v>
      </c>
      <c r="V1185">
        <v>4.3</v>
      </c>
      <c r="W1185">
        <f>Table2[[#This Row],[Quantity]]*Table2[[#This Row],[Item_Price]]</f>
        <v>446</v>
      </c>
    </row>
    <row r="1186" spans="1:23" x14ac:dyDescent="0.25">
      <c r="A1186" t="s">
        <v>1282</v>
      </c>
      <c r="B1186" s="1">
        <v>45745</v>
      </c>
      <c r="C1186" t="s">
        <v>910</v>
      </c>
      <c r="D1186">
        <v>3</v>
      </c>
      <c r="E1186">
        <v>29</v>
      </c>
      <c r="F1186" t="s">
        <v>134</v>
      </c>
      <c r="G1186" t="s">
        <v>115</v>
      </c>
      <c r="H1186" t="s">
        <v>56</v>
      </c>
      <c r="I1186" t="s">
        <v>61</v>
      </c>
      <c r="J1186" t="s">
        <v>78</v>
      </c>
      <c r="K1186" t="s">
        <v>58</v>
      </c>
      <c r="L1186">
        <v>1</v>
      </c>
      <c r="M1186">
        <v>595</v>
      </c>
      <c r="N1186">
        <v>0</v>
      </c>
      <c r="O1186">
        <v>0</v>
      </c>
      <c r="P1186">
        <v>595</v>
      </c>
      <c r="Q1186">
        <v>595</v>
      </c>
      <c r="R1186" t="s">
        <v>75</v>
      </c>
      <c r="S1186" t="s">
        <v>91</v>
      </c>
      <c r="T1186" t="s">
        <v>32</v>
      </c>
      <c r="U1186">
        <v>41</v>
      </c>
      <c r="W1186">
        <f>Table2[[#This Row],[Quantity]]*Table2[[#This Row],[Item_Price]]</f>
        <v>595</v>
      </c>
    </row>
    <row r="1187" spans="1:23" x14ac:dyDescent="0.25">
      <c r="A1187" t="s">
        <v>1283</v>
      </c>
      <c r="B1187" s="1">
        <v>45746</v>
      </c>
      <c r="C1187" t="s">
        <v>910</v>
      </c>
      <c r="D1187">
        <v>3</v>
      </c>
      <c r="E1187">
        <v>30</v>
      </c>
      <c r="F1187" t="s">
        <v>149</v>
      </c>
      <c r="G1187" t="s">
        <v>80</v>
      </c>
      <c r="H1187" t="s">
        <v>65</v>
      </c>
      <c r="I1187" t="s">
        <v>57</v>
      </c>
      <c r="J1187" t="s">
        <v>94</v>
      </c>
      <c r="K1187" t="s">
        <v>38</v>
      </c>
      <c r="L1187">
        <v>1</v>
      </c>
      <c r="M1187">
        <v>804</v>
      </c>
      <c r="N1187">
        <v>0</v>
      </c>
      <c r="O1187">
        <v>20</v>
      </c>
      <c r="P1187">
        <v>804</v>
      </c>
      <c r="Q1187">
        <v>824</v>
      </c>
      <c r="R1187" t="s">
        <v>39</v>
      </c>
      <c r="S1187" t="s">
        <v>31</v>
      </c>
      <c r="T1187" t="s">
        <v>40</v>
      </c>
      <c r="U1187">
        <v>54</v>
      </c>
      <c r="V1187">
        <v>3.4</v>
      </c>
      <c r="W1187">
        <f>Table2[[#This Row],[Quantity]]*Table2[[#This Row],[Item_Price]]</f>
        <v>804</v>
      </c>
    </row>
    <row r="1188" spans="1:23" x14ac:dyDescent="0.25">
      <c r="A1188" t="s">
        <v>1284</v>
      </c>
      <c r="B1188" s="1">
        <v>45746</v>
      </c>
      <c r="C1188" t="s">
        <v>910</v>
      </c>
      <c r="D1188">
        <v>3</v>
      </c>
      <c r="E1188">
        <v>30</v>
      </c>
      <c r="F1188" t="s">
        <v>149</v>
      </c>
      <c r="G1188" t="s">
        <v>55</v>
      </c>
      <c r="H1188" t="s">
        <v>81</v>
      </c>
      <c r="I1188" t="s">
        <v>61</v>
      </c>
      <c r="J1188" t="s">
        <v>44</v>
      </c>
      <c r="K1188" t="s">
        <v>38</v>
      </c>
      <c r="L1188">
        <v>1</v>
      </c>
      <c r="M1188">
        <v>375</v>
      </c>
      <c r="N1188">
        <v>56.25</v>
      </c>
      <c r="O1188">
        <v>20</v>
      </c>
      <c r="P1188">
        <v>375</v>
      </c>
      <c r="Q1188">
        <v>338.75</v>
      </c>
      <c r="R1188" t="s">
        <v>75</v>
      </c>
      <c r="S1188" t="s">
        <v>31</v>
      </c>
      <c r="T1188" t="s">
        <v>32</v>
      </c>
      <c r="U1188">
        <v>66</v>
      </c>
      <c r="V1188">
        <v>4.0999999999999996</v>
      </c>
      <c r="W1188">
        <f>Table2[[#This Row],[Quantity]]*Table2[[#This Row],[Item_Price]]</f>
        <v>375</v>
      </c>
    </row>
    <row r="1189" spans="1:23" x14ac:dyDescent="0.25">
      <c r="A1189" t="s">
        <v>1285</v>
      </c>
      <c r="B1189" s="1">
        <v>45746</v>
      </c>
      <c r="C1189" t="s">
        <v>910</v>
      </c>
      <c r="D1189">
        <v>3</v>
      </c>
      <c r="E1189">
        <v>30</v>
      </c>
      <c r="F1189" t="s">
        <v>149</v>
      </c>
      <c r="G1189" t="s">
        <v>115</v>
      </c>
      <c r="H1189" t="s">
        <v>65</v>
      </c>
      <c r="I1189" t="s">
        <v>97</v>
      </c>
      <c r="J1189" t="s">
        <v>28</v>
      </c>
      <c r="K1189" t="s">
        <v>38</v>
      </c>
      <c r="L1189">
        <v>1</v>
      </c>
      <c r="M1189">
        <v>291</v>
      </c>
      <c r="N1189">
        <v>43.65</v>
      </c>
      <c r="O1189">
        <v>40</v>
      </c>
      <c r="P1189">
        <v>291</v>
      </c>
      <c r="Q1189">
        <v>287.35000000000002</v>
      </c>
      <c r="R1189" t="s">
        <v>98</v>
      </c>
      <c r="S1189" t="s">
        <v>31</v>
      </c>
      <c r="T1189" t="s">
        <v>40</v>
      </c>
      <c r="U1189">
        <v>48</v>
      </c>
      <c r="V1189">
        <v>4.8</v>
      </c>
      <c r="W1189">
        <f>Table2[[#This Row],[Quantity]]*Table2[[#This Row],[Item_Price]]</f>
        <v>291</v>
      </c>
    </row>
    <row r="1190" spans="1:23" x14ac:dyDescent="0.25">
      <c r="A1190" t="s">
        <v>1286</v>
      </c>
      <c r="B1190" s="1">
        <v>45746</v>
      </c>
      <c r="C1190" t="s">
        <v>910</v>
      </c>
      <c r="D1190">
        <v>3</v>
      </c>
      <c r="E1190">
        <v>30</v>
      </c>
      <c r="F1190" t="s">
        <v>149</v>
      </c>
      <c r="G1190" t="s">
        <v>80</v>
      </c>
      <c r="H1190" t="s">
        <v>81</v>
      </c>
      <c r="I1190" t="s">
        <v>85</v>
      </c>
      <c r="J1190" t="s">
        <v>50</v>
      </c>
      <c r="K1190" t="s">
        <v>29</v>
      </c>
      <c r="L1190">
        <v>3</v>
      </c>
      <c r="M1190">
        <v>699</v>
      </c>
      <c r="N1190">
        <v>69.900000000000006</v>
      </c>
      <c r="O1190">
        <v>40</v>
      </c>
      <c r="P1190">
        <v>2097</v>
      </c>
      <c r="Q1190">
        <v>2067.1</v>
      </c>
      <c r="R1190" t="s">
        <v>39</v>
      </c>
      <c r="S1190" t="s">
        <v>31</v>
      </c>
      <c r="T1190" t="s">
        <v>32</v>
      </c>
      <c r="U1190">
        <v>37</v>
      </c>
      <c r="V1190">
        <v>4.0999999999999996</v>
      </c>
      <c r="W1190">
        <f>Table2[[#This Row],[Quantity]]*Table2[[#This Row],[Item_Price]]</f>
        <v>2097</v>
      </c>
    </row>
    <row r="1191" spans="1:23" x14ac:dyDescent="0.25">
      <c r="A1191" t="s">
        <v>1287</v>
      </c>
      <c r="B1191" s="1">
        <v>45746</v>
      </c>
      <c r="C1191" t="s">
        <v>910</v>
      </c>
      <c r="D1191">
        <v>3</v>
      </c>
      <c r="E1191">
        <v>30</v>
      </c>
      <c r="F1191" t="s">
        <v>149</v>
      </c>
      <c r="G1191" t="s">
        <v>73</v>
      </c>
      <c r="H1191" t="s">
        <v>81</v>
      </c>
      <c r="I1191" t="s">
        <v>97</v>
      </c>
      <c r="J1191" t="s">
        <v>78</v>
      </c>
      <c r="K1191" t="s">
        <v>38</v>
      </c>
      <c r="L1191">
        <v>2</v>
      </c>
      <c r="M1191">
        <v>493</v>
      </c>
      <c r="N1191">
        <v>0</v>
      </c>
      <c r="O1191">
        <v>20</v>
      </c>
      <c r="P1191">
        <v>986</v>
      </c>
      <c r="Q1191">
        <v>1006</v>
      </c>
      <c r="R1191" t="s">
        <v>112</v>
      </c>
      <c r="S1191" t="s">
        <v>31</v>
      </c>
      <c r="T1191" t="s">
        <v>40</v>
      </c>
      <c r="U1191">
        <v>59</v>
      </c>
      <c r="V1191">
        <v>3.8</v>
      </c>
      <c r="W1191">
        <f>Table2[[#This Row],[Quantity]]*Table2[[#This Row],[Item_Price]]</f>
        <v>986</v>
      </c>
    </row>
    <row r="1192" spans="1:23" x14ac:dyDescent="0.25">
      <c r="A1192" t="s">
        <v>1288</v>
      </c>
      <c r="B1192" s="1">
        <v>45746</v>
      </c>
      <c r="C1192" t="s">
        <v>910</v>
      </c>
      <c r="D1192">
        <v>3</v>
      </c>
      <c r="E1192">
        <v>30</v>
      </c>
      <c r="F1192" t="s">
        <v>149</v>
      </c>
      <c r="G1192" t="s">
        <v>55</v>
      </c>
      <c r="H1192" t="s">
        <v>48</v>
      </c>
      <c r="I1192" t="s">
        <v>43</v>
      </c>
      <c r="J1192" t="s">
        <v>66</v>
      </c>
      <c r="K1192" t="s">
        <v>38</v>
      </c>
      <c r="L1192">
        <v>3</v>
      </c>
      <c r="M1192">
        <v>577</v>
      </c>
      <c r="N1192">
        <v>115.4</v>
      </c>
      <c r="O1192">
        <v>40</v>
      </c>
      <c r="P1192">
        <v>1731</v>
      </c>
      <c r="Q1192">
        <v>1655.6</v>
      </c>
      <c r="R1192" t="s">
        <v>75</v>
      </c>
      <c r="S1192" t="s">
        <v>31</v>
      </c>
      <c r="T1192" t="s">
        <v>32</v>
      </c>
      <c r="U1192">
        <v>35</v>
      </c>
      <c r="V1192">
        <v>3.7</v>
      </c>
      <c r="W1192">
        <f>Table2[[#This Row],[Quantity]]*Table2[[#This Row],[Item_Price]]</f>
        <v>1731</v>
      </c>
    </row>
    <row r="1193" spans="1:23" x14ac:dyDescent="0.25">
      <c r="A1193" t="s">
        <v>1289</v>
      </c>
      <c r="B1193" s="1">
        <v>45746</v>
      </c>
      <c r="C1193" t="s">
        <v>910</v>
      </c>
      <c r="D1193">
        <v>3</v>
      </c>
      <c r="E1193">
        <v>30</v>
      </c>
      <c r="F1193" t="s">
        <v>149</v>
      </c>
      <c r="G1193" t="s">
        <v>64</v>
      </c>
      <c r="H1193" t="s">
        <v>48</v>
      </c>
      <c r="I1193" t="s">
        <v>103</v>
      </c>
      <c r="J1193" t="s">
        <v>28</v>
      </c>
      <c r="K1193" t="s">
        <v>38</v>
      </c>
      <c r="L1193">
        <v>2</v>
      </c>
      <c r="M1193">
        <v>749</v>
      </c>
      <c r="N1193">
        <v>112.35</v>
      </c>
      <c r="O1193">
        <v>60</v>
      </c>
      <c r="P1193">
        <v>1498</v>
      </c>
      <c r="Q1193">
        <v>1445.65</v>
      </c>
      <c r="R1193" t="s">
        <v>39</v>
      </c>
      <c r="S1193" t="s">
        <v>110</v>
      </c>
      <c r="T1193" t="s">
        <v>40</v>
      </c>
      <c r="U1193">
        <v>27</v>
      </c>
      <c r="W1193">
        <f>Table2[[#This Row],[Quantity]]*Table2[[#This Row],[Item_Price]]</f>
        <v>1498</v>
      </c>
    </row>
    <row r="1194" spans="1:23" x14ac:dyDescent="0.25">
      <c r="A1194" t="s">
        <v>1290</v>
      </c>
      <c r="B1194" s="1">
        <v>45746</v>
      </c>
      <c r="C1194" t="s">
        <v>910</v>
      </c>
      <c r="D1194">
        <v>3</v>
      </c>
      <c r="E1194">
        <v>30</v>
      </c>
      <c r="F1194" t="s">
        <v>149</v>
      </c>
      <c r="G1194" t="s">
        <v>34</v>
      </c>
      <c r="H1194" t="s">
        <v>35</v>
      </c>
      <c r="I1194" t="s">
        <v>43</v>
      </c>
      <c r="J1194" t="s">
        <v>78</v>
      </c>
      <c r="K1194" t="s">
        <v>38</v>
      </c>
      <c r="L1194">
        <v>1</v>
      </c>
      <c r="M1194">
        <v>238</v>
      </c>
      <c r="N1194">
        <v>35.700000000000003</v>
      </c>
      <c r="O1194">
        <v>60</v>
      </c>
      <c r="P1194">
        <v>238</v>
      </c>
      <c r="Q1194">
        <v>262.3</v>
      </c>
      <c r="R1194" t="s">
        <v>112</v>
      </c>
      <c r="S1194" t="s">
        <v>31</v>
      </c>
      <c r="T1194" t="s">
        <v>32</v>
      </c>
      <c r="U1194">
        <v>41</v>
      </c>
      <c r="V1194">
        <v>4.2</v>
      </c>
      <c r="W1194">
        <f>Table2[[#This Row],[Quantity]]*Table2[[#This Row],[Item_Price]]</f>
        <v>238</v>
      </c>
    </row>
    <row r="1195" spans="1:23" x14ac:dyDescent="0.25">
      <c r="A1195" t="s">
        <v>1291</v>
      </c>
      <c r="B1195" s="1">
        <v>45746</v>
      </c>
      <c r="C1195" t="s">
        <v>910</v>
      </c>
      <c r="D1195">
        <v>3</v>
      </c>
      <c r="E1195">
        <v>30</v>
      </c>
      <c r="F1195" t="s">
        <v>149</v>
      </c>
      <c r="G1195" t="s">
        <v>64</v>
      </c>
      <c r="H1195" t="s">
        <v>42</v>
      </c>
      <c r="I1195" t="s">
        <v>36</v>
      </c>
      <c r="J1195" t="s">
        <v>70</v>
      </c>
      <c r="K1195" t="s">
        <v>29</v>
      </c>
      <c r="L1195">
        <v>2</v>
      </c>
      <c r="M1195">
        <v>654</v>
      </c>
      <c r="N1195">
        <v>98.1</v>
      </c>
      <c r="O1195">
        <v>30</v>
      </c>
      <c r="P1195">
        <v>1308</v>
      </c>
      <c r="Q1195">
        <v>1239.9000000000001</v>
      </c>
      <c r="R1195" t="s">
        <v>39</v>
      </c>
      <c r="S1195" t="s">
        <v>31</v>
      </c>
      <c r="T1195" t="s">
        <v>32</v>
      </c>
      <c r="U1195">
        <v>25</v>
      </c>
      <c r="V1195">
        <v>4.4000000000000004</v>
      </c>
      <c r="W1195">
        <f>Table2[[#This Row],[Quantity]]*Table2[[#This Row],[Item_Price]]</f>
        <v>1308</v>
      </c>
    </row>
    <row r="1196" spans="1:23" x14ac:dyDescent="0.25">
      <c r="A1196" t="s">
        <v>1292</v>
      </c>
      <c r="B1196" s="1">
        <v>45746</v>
      </c>
      <c r="C1196" t="s">
        <v>910</v>
      </c>
      <c r="D1196">
        <v>3</v>
      </c>
      <c r="E1196">
        <v>30</v>
      </c>
      <c r="F1196" t="s">
        <v>149</v>
      </c>
      <c r="G1196" t="s">
        <v>25</v>
      </c>
      <c r="H1196" t="s">
        <v>105</v>
      </c>
      <c r="I1196" t="s">
        <v>36</v>
      </c>
      <c r="J1196" t="s">
        <v>123</v>
      </c>
      <c r="K1196" t="s">
        <v>38</v>
      </c>
      <c r="L1196">
        <v>1</v>
      </c>
      <c r="M1196">
        <v>888</v>
      </c>
      <c r="N1196">
        <v>133.19999999999999</v>
      </c>
      <c r="O1196">
        <v>30</v>
      </c>
      <c r="P1196">
        <v>888</v>
      </c>
      <c r="Q1196">
        <v>784.8</v>
      </c>
      <c r="R1196" t="s">
        <v>112</v>
      </c>
      <c r="S1196" t="s">
        <v>31</v>
      </c>
      <c r="T1196" t="s">
        <v>32</v>
      </c>
      <c r="U1196">
        <v>64</v>
      </c>
      <c r="V1196">
        <v>4.5</v>
      </c>
      <c r="W1196">
        <f>Table2[[#This Row],[Quantity]]*Table2[[#This Row],[Item_Price]]</f>
        <v>888</v>
      </c>
    </row>
    <row r="1197" spans="1:23" x14ac:dyDescent="0.25">
      <c r="A1197" t="s">
        <v>1293</v>
      </c>
      <c r="B1197" s="1">
        <v>45746</v>
      </c>
      <c r="C1197" t="s">
        <v>910</v>
      </c>
      <c r="D1197">
        <v>3</v>
      </c>
      <c r="E1197">
        <v>30</v>
      </c>
      <c r="F1197" t="s">
        <v>149</v>
      </c>
      <c r="G1197" t="s">
        <v>34</v>
      </c>
      <c r="H1197" t="s">
        <v>65</v>
      </c>
      <c r="I1197" t="s">
        <v>49</v>
      </c>
      <c r="J1197" t="s">
        <v>78</v>
      </c>
      <c r="K1197" t="s">
        <v>38</v>
      </c>
      <c r="L1197">
        <v>2</v>
      </c>
      <c r="M1197">
        <v>511</v>
      </c>
      <c r="N1197">
        <v>127.75</v>
      </c>
      <c r="O1197">
        <v>20</v>
      </c>
      <c r="P1197">
        <v>1022</v>
      </c>
      <c r="Q1197">
        <v>914.25</v>
      </c>
      <c r="R1197" t="s">
        <v>30</v>
      </c>
      <c r="S1197" t="s">
        <v>31</v>
      </c>
      <c r="T1197" t="s">
        <v>40</v>
      </c>
      <c r="U1197">
        <v>47</v>
      </c>
      <c r="V1197">
        <v>4.7</v>
      </c>
      <c r="W1197">
        <f>Table2[[#This Row],[Quantity]]*Table2[[#This Row],[Item_Price]]</f>
        <v>1022</v>
      </c>
    </row>
    <row r="1198" spans="1:23" x14ac:dyDescent="0.25">
      <c r="A1198" t="s">
        <v>1294</v>
      </c>
      <c r="B1198" s="1">
        <v>45746</v>
      </c>
      <c r="C1198" t="s">
        <v>910</v>
      </c>
      <c r="D1198">
        <v>3</v>
      </c>
      <c r="E1198">
        <v>30</v>
      </c>
      <c r="F1198" t="s">
        <v>149</v>
      </c>
      <c r="G1198" t="s">
        <v>84</v>
      </c>
      <c r="H1198" t="s">
        <v>26</v>
      </c>
      <c r="I1198" t="s">
        <v>43</v>
      </c>
      <c r="J1198" t="s">
        <v>119</v>
      </c>
      <c r="K1198" t="s">
        <v>38</v>
      </c>
      <c r="L1198">
        <v>3</v>
      </c>
      <c r="M1198">
        <v>556</v>
      </c>
      <c r="N1198">
        <v>111.2</v>
      </c>
      <c r="O1198">
        <v>40</v>
      </c>
      <c r="P1198">
        <v>1668</v>
      </c>
      <c r="Q1198">
        <v>1596.8</v>
      </c>
      <c r="R1198" t="s">
        <v>30</v>
      </c>
      <c r="S1198" t="s">
        <v>110</v>
      </c>
      <c r="T1198" t="s">
        <v>32</v>
      </c>
      <c r="U1198">
        <v>45</v>
      </c>
      <c r="W1198">
        <f>Table2[[#This Row],[Quantity]]*Table2[[#This Row],[Item_Price]]</f>
        <v>1668</v>
      </c>
    </row>
    <row r="1199" spans="1:23" x14ac:dyDescent="0.25">
      <c r="A1199" t="s">
        <v>1295</v>
      </c>
      <c r="B1199" s="1">
        <v>45746</v>
      </c>
      <c r="C1199" t="s">
        <v>910</v>
      </c>
      <c r="D1199">
        <v>3</v>
      </c>
      <c r="E1199">
        <v>30</v>
      </c>
      <c r="F1199" t="s">
        <v>149</v>
      </c>
      <c r="G1199" t="s">
        <v>84</v>
      </c>
      <c r="H1199" t="s">
        <v>68</v>
      </c>
      <c r="I1199" t="s">
        <v>43</v>
      </c>
      <c r="J1199" t="s">
        <v>50</v>
      </c>
      <c r="K1199" t="s">
        <v>38</v>
      </c>
      <c r="L1199">
        <v>1</v>
      </c>
      <c r="M1199">
        <v>592</v>
      </c>
      <c r="N1199">
        <v>0</v>
      </c>
      <c r="O1199">
        <v>40</v>
      </c>
      <c r="P1199">
        <v>592</v>
      </c>
      <c r="Q1199">
        <v>632</v>
      </c>
      <c r="R1199" t="s">
        <v>39</v>
      </c>
      <c r="S1199" t="s">
        <v>31</v>
      </c>
      <c r="T1199" t="s">
        <v>40</v>
      </c>
      <c r="U1199">
        <v>33</v>
      </c>
      <c r="V1199">
        <v>3.3</v>
      </c>
      <c r="W1199">
        <f>Table2[[#This Row],[Quantity]]*Table2[[#This Row],[Item_Price]]</f>
        <v>592</v>
      </c>
    </row>
    <row r="1200" spans="1:23" x14ac:dyDescent="0.25">
      <c r="A1200" t="s">
        <v>1296</v>
      </c>
      <c r="B1200" s="1">
        <v>45747</v>
      </c>
      <c r="C1200" t="s">
        <v>910</v>
      </c>
      <c r="D1200">
        <v>3</v>
      </c>
      <c r="E1200">
        <v>31</v>
      </c>
      <c r="F1200" t="s">
        <v>168</v>
      </c>
      <c r="G1200" t="s">
        <v>80</v>
      </c>
      <c r="H1200" t="s">
        <v>26</v>
      </c>
      <c r="I1200" t="s">
        <v>103</v>
      </c>
      <c r="J1200" t="s">
        <v>78</v>
      </c>
      <c r="K1200" t="s">
        <v>38</v>
      </c>
      <c r="L1200">
        <v>2</v>
      </c>
      <c r="M1200">
        <v>289</v>
      </c>
      <c r="N1200">
        <v>57.8</v>
      </c>
      <c r="O1200">
        <v>0</v>
      </c>
      <c r="P1200">
        <v>578</v>
      </c>
      <c r="Q1200">
        <v>520.20000000000005</v>
      </c>
      <c r="R1200" t="s">
        <v>39</v>
      </c>
      <c r="S1200" t="s">
        <v>31</v>
      </c>
      <c r="T1200" t="s">
        <v>40</v>
      </c>
      <c r="U1200">
        <v>53</v>
      </c>
      <c r="V1200">
        <v>2.6</v>
      </c>
      <c r="W1200">
        <f>Table2[[#This Row],[Quantity]]*Table2[[#This Row],[Item_Price]]</f>
        <v>578</v>
      </c>
    </row>
    <row r="1201" spans="1:23" x14ac:dyDescent="0.25">
      <c r="A1201" t="s">
        <v>1297</v>
      </c>
      <c r="B1201" s="1">
        <v>45747</v>
      </c>
      <c r="C1201" t="s">
        <v>910</v>
      </c>
      <c r="D1201">
        <v>3</v>
      </c>
      <c r="E1201">
        <v>31</v>
      </c>
      <c r="F1201" t="s">
        <v>168</v>
      </c>
      <c r="G1201" t="s">
        <v>64</v>
      </c>
      <c r="H1201" t="s">
        <v>77</v>
      </c>
      <c r="I1201" t="s">
        <v>43</v>
      </c>
      <c r="J1201" t="s">
        <v>123</v>
      </c>
      <c r="K1201" t="s">
        <v>45</v>
      </c>
      <c r="L1201">
        <v>2</v>
      </c>
      <c r="M1201">
        <v>296</v>
      </c>
      <c r="N1201">
        <v>74</v>
      </c>
      <c r="O1201">
        <v>30</v>
      </c>
      <c r="P1201">
        <v>592</v>
      </c>
      <c r="Q1201">
        <v>548</v>
      </c>
      <c r="R1201" t="s">
        <v>98</v>
      </c>
      <c r="S1201" t="s">
        <v>31</v>
      </c>
      <c r="T1201" t="s">
        <v>32</v>
      </c>
      <c r="U1201">
        <v>36</v>
      </c>
      <c r="V1201">
        <v>4.9000000000000004</v>
      </c>
      <c r="W1201">
        <f>Table2[[#This Row],[Quantity]]*Table2[[#This Row],[Item_Price]]</f>
        <v>592</v>
      </c>
    </row>
    <row r="1202" spans="1:23" x14ac:dyDescent="0.25">
      <c r="A1202" t="s">
        <v>1298</v>
      </c>
      <c r="B1202" s="1">
        <v>45747</v>
      </c>
      <c r="C1202" t="s">
        <v>910</v>
      </c>
      <c r="D1202">
        <v>3</v>
      </c>
      <c r="E1202">
        <v>31</v>
      </c>
      <c r="F1202" t="s">
        <v>168</v>
      </c>
      <c r="G1202" t="s">
        <v>115</v>
      </c>
      <c r="H1202" t="s">
        <v>77</v>
      </c>
      <c r="I1202" t="s">
        <v>69</v>
      </c>
      <c r="J1202" t="s">
        <v>78</v>
      </c>
      <c r="K1202" t="s">
        <v>38</v>
      </c>
      <c r="L1202">
        <v>1</v>
      </c>
      <c r="M1202">
        <v>445</v>
      </c>
      <c r="N1202">
        <v>66.75</v>
      </c>
      <c r="O1202">
        <v>0</v>
      </c>
      <c r="P1202">
        <v>445</v>
      </c>
      <c r="Q1202">
        <v>378.25</v>
      </c>
      <c r="R1202" t="s">
        <v>112</v>
      </c>
      <c r="S1202" t="s">
        <v>31</v>
      </c>
      <c r="T1202" t="s">
        <v>40</v>
      </c>
      <c r="U1202">
        <v>66</v>
      </c>
      <c r="V1202">
        <v>3.4</v>
      </c>
      <c r="W1202">
        <f>Table2[[#This Row],[Quantity]]*Table2[[#This Row],[Item_Price]]</f>
        <v>445</v>
      </c>
    </row>
    <row r="1203" spans="1:23" x14ac:dyDescent="0.25">
      <c r="A1203" t="s">
        <v>1299</v>
      </c>
      <c r="B1203" s="1">
        <v>45747</v>
      </c>
      <c r="C1203" t="s">
        <v>910</v>
      </c>
      <c r="D1203">
        <v>3</v>
      </c>
      <c r="E1203">
        <v>31</v>
      </c>
      <c r="F1203" t="s">
        <v>168</v>
      </c>
      <c r="G1203" t="s">
        <v>115</v>
      </c>
      <c r="H1203" t="s">
        <v>81</v>
      </c>
      <c r="I1203" t="s">
        <v>43</v>
      </c>
      <c r="J1203" t="s">
        <v>44</v>
      </c>
      <c r="K1203" t="s">
        <v>38</v>
      </c>
      <c r="L1203">
        <v>2</v>
      </c>
      <c r="M1203">
        <v>279</v>
      </c>
      <c r="N1203">
        <v>55.8</v>
      </c>
      <c r="O1203">
        <v>30</v>
      </c>
      <c r="P1203">
        <v>558</v>
      </c>
      <c r="Q1203">
        <v>532.20000000000005</v>
      </c>
      <c r="R1203" t="s">
        <v>75</v>
      </c>
      <c r="S1203" t="s">
        <v>31</v>
      </c>
      <c r="T1203" t="s">
        <v>32</v>
      </c>
      <c r="U1203">
        <v>36</v>
      </c>
      <c r="V1203">
        <v>3.7</v>
      </c>
      <c r="W1203">
        <f>Table2[[#This Row],[Quantity]]*Table2[[#This Row],[Item_Price]]</f>
        <v>558</v>
      </c>
    </row>
    <row r="1204" spans="1:23" x14ac:dyDescent="0.25">
      <c r="A1204" t="s">
        <v>1300</v>
      </c>
      <c r="B1204" s="1">
        <v>45747</v>
      </c>
      <c r="C1204" t="s">
        <v>910</v>
      </c>
      <c r="D1204">
        <v>3</v>
      </c>
      <c r="E1204">
        <v>31</v>
      </c>
      <c r="F1204" t="s">
        <v>168</v>
      </c>
      <c r="G1204" t="s">
        <v>64</v>
      </c>
      <c r="H1204" t="s">
        <v>52</v>
      </c>
      <c r="I1204" t="s">
        <v>85</v>
      </c>
      <c r="J1204" t="s">
        <v>70</v>
      </c>
      <c r="K1204" t="s">
        <v>38</v>
      </c>
      <c r="L1204">
        <v>3</v>
      </c>
      <c r="M1204">
        <v>324</v>
      </c>
      <c r="N1204">
        <v>0</v>
      </c>
      <c r="O1204">
        <v>0</v>
      </c>
      <c r="P1204">
        <v>972</v>
      </c>
      <c r="Q1204">
        <v>972</v>
      </c>
      <c r="R1204" t="s">
        <v>98</v>
      </c>
      <c r="S1204" t="s">
        <v>31</v>
      </c>
      <c r="T1204" t="s">
        <v>40</v>
      </c>
      <c r="U1204">
        <v>24</v>
      </c>
      <c r="V1204">
        <v>3.7</v>
      </c>
      <c r="W1204">
        <f>Table2[[#This Row],[Quantity]]*Table2[[#This Row],[Item_Price]]</f>
        <v>972</v>
      </c>
    </row>
    <row r="1205" spans="1:23" x14ac:dyDescent="0.25">
      <c r="A1205" t="s">
        <v>1301</v>
      </c>
      <c r="B1205" s="1">
        <v>45747</v>
      </c>
      <c r="C1205" t="s">
        <v>910</v>
      </c>
      <c r="D1205">
        <v>3</v>
      </c>
      <c r="E1205">
        <v>31</v>
      </c>
      <c r="F1205" t="s">
        <v>168</v>
      </c>
      <c r="G1205" t="s">
        <v>64</v>
      </c>
      <c r="H1205" t="s">
        <v>52</v>
      </c>
      <c r="I1205" t="s">
        <v>57</v>
      </c>
      <c r="J1205" t="s">
        <v>50</v>
      </c>
      <c r="K1205" t="s">
        <v>38</v>
      </c>
      <c r="L1205">
        <v>3</v>
      </c>
      <c r="M1205">
        <v>735</v>
      </c>
      <c r="N1205">
        <v>73.5</v>
      </c>
      <c r="O1205">
        <v>50</v>
      </c>
      <c r="P1205">
        <v>2205</v>
      </c>
      <c r="Q1205">
        <v>2181.5</v>
      </c>
      <c r="R1205" t="s">
        <v>75</v>
      </c>
      <c r="S1205" t="s">
        <v>46</v>
      </c>
      <c r="T1205" t="s">
        <v>32</v>
      </c>
      <c r="U1205">
        <v>57</v>
      </c>
      <c r="W1205">
        <f>Table2[[#This Row],[Quantity]]*Table2[[#This Row],[Item_Price]]</f>
        <v>2205</v>
      </c>
    </row>
    <row r="1206" spans="1:23" x14ac:dyDescent="0.25">
      <c r="A1206" t="s">
        <v>1302</v>
      </c>
      <c r="B1206" s="1">
        <v>45747</v>
      </c>
      <c r="C1206" t="s">
        <v>910</v>
      </c>
      <c r="D1206">
        <v>3</v>
      </c>
      <c r="E1206">
        <v>31</v>
      </c>
      <c r="F1206" t="s">
        <v>168</v>
      </c>
      <c r="G1206" t="s">
        <v>115</v>
      </c>
      <c r="H1206" t="s">
        <v>81</v>
      </c>
      <c r="I1206" t="s">
        <v>61</v>
      </c>
      <c r="J1206" t="s">
        <v>70</v>
      </c>
      <c r="K1206" t="s">
        <v>38</v>
      </c>
      <c r="L1206">
        <v>2</v>
      </c>
      <c r="M1206">
        <v>784</v>
      </c>
      <c r="N1206">
        <v>78.400000000000006</v>
      </c>
      <c r="O1206">
        <v>30</v>
      </c>
      <c r="P1206">
        <v>1568</v>
      </c>
      <c r="Q1206">
        <v>1519.6</v>
      </c>
      <c r="R1206" t="s">
        <v>39</v>
      </c>
      <c r="S1206" t="s">
        <v>31</v>
      </c>
      <c r="T1206" t="s">
        <v>32</v>
      </c>
      <c r="U1206">
        <v>41</v>
      </c>
      <c r="V1206">
        <v>4.5</v>
      </c>
      <c r="W1206">
        <f>Table2[[#This Row],[Quantity]]*Table2[[#This Row],[Item_Price]]</f>
        <v>1568</v>
      </c>
    </row>
    <row r="1207" spans="1:23" x14ac:dyDescent="0.25">
      <c r="A1207" t="s">
        <v>1303</v>
      </c>
      <c r="B1207" s="1">
        <v>45747</v>
      </c>
      <c r="C1207" t="s">
        <v>910</v>
      </c>
      <c r="D1207">
        <v>3</v>
      </c>
      <c r="E1207">
        <v>31</v>
      </c>
      <c r="F1207" t="s">
        <v>168</v>
      </c>
      <c r="G1207" t="s">
        <v>25</v>
      </c>
      <c r="H1207" t="s">
        <v>26</v>
      </c>
      <c r="I1207" t="s">
        <v>69</v>
      </c>
      <c r="J1207" t="s">
        <v>53</v>
      </c>
      <c r="K1207" t="s">
        <v>38</v>
      </c>
      <c r="L1207">
        <v>1</v>
      </c>
      <c r="M1207">
        <v>271</v>
      </c>
      <c r="N1207">
        <v>40.65</v>
      </c>
      <c r="O1207">
        <v>30</v>
      </c>
      <c r="P1207">
        <v>271</v>
      </c>
      <c r="Q1207">
        <v>260.35000000000002</v>
      </c>
      <c r="R1207" t="s">
        <v>30</v>
      </c>
      <c r="S1207" t="s">
        <v>31</v>
      </c>
      <c r="T1207" t="s">
        <v>40</v>
      </c>
      <c r="U1207">
        <v>58</v>
      </c>
      <c r="V1207">
        <v>4</v>
      </c>
      <c r="W1207">
        <f>Table2[[#This Row],[Quantity]]*Table2[[#This Row],[Item_Price]]</f>
        <v>271</v>
      </c>
    </row>
    <row r="1208" spans="1:23" x14ac:dyDescent="0.25">
      <c r="A1208" t="s">
        <v>1304</v>
      </c>
      <c r="B1208" s="1">
        <v>45747</v>
      </c>
      <c r="C1208" t="s">
        <v>910</v>
      </c>
      <c r="D1208">
        <v>3</v>
      </c>
      <c r="E1208">
        <v>31</v>
      </c>
      <c r="F1208" t="s">
        <v>168</v>
      </c>
      <c r="G1208" t="s">
        <v>64</v>
      </c>
      <c r="H1208" t="s">
        <v>56</v>
      </c>
      <c r="I1208" t="s">
        <v>49</v>
      </c>
      <c r="J1208" t="s">
        <v>74</v>
      </c>
      <c r="K1208" t="s">
        <v>45</v>
      </c>
      <c r="L1208">
        <v>1</v>
      </c>
      <c r="M1208">
        <v>463</v>
      </c>
      <c r="N1208">
        <v>46.3</v>
      </c>
      <c r="O1208">
        <v>30</v>
      </c>
      <c r="P1208">
        <v>463</v>
      </c>
      <c r="Q1208">
        <v>446.7</v>
      </c>
      <c r="R1208" t="s">
        <v>39</v>
      </c>
      <c r="S1208" t="s">
        <v>46</v>
      </c>
      <c r="T1208" t="s">
        <v>40</v>
      </c>
      <c r="U1208">
        <v>65</v>
      </c>
      <c r="W1208">
        <f>Table2[[#This Row],[Quantity]]*Table2[[#This Row],[Item_Price]]</f>
        <v>463</v>
      </c>
    </row>
    <row r="1209" spans="1:23" x14ac:dyDescent="0.25">
      <c r="A1209" t="s">
        <v>1305</v>
      </c>
      <c r="B1209" s="1">
        <v>45747</v>
      </c>
      <c r="C1209" t="s">
        <v>910</v>
      </c>
      <c r="D1209">
        <v>3</v>
      </c>
      <c r="E1209">
        <v>31</v>
      </c>
      <c r="F1209" t="s">
        <v>168</v>
      </c>
      <c r="G1209" t="s">
        <v>64</v>
      </c>
      <c r="H1209" t="s">
        <v>48</v>
      </c>
      <c r="I1209" t="s">
        <v>27</v>
      </c>
      <c r="J1209" t="s">
        <v>28</v>
      </c>
      <c r="K1209" t="s">
        <v>38</v>
      </c>
      <c r="L1209">
        <v>2</v>
      </c>
      <c r="M1209">
        <v>547</v>
      </c>
      <c r="N1209">
        <v>27.35</v>
      </c>
      <c r="O1209">
        <v>70</v>
      </c>
      <c r="P1209">
        <v>1094</v>
      </c>
      <c r="Q1209">
        <v>1136.6500000000001</v>
      </c>
      <c r="R1209" t="s">
        <v>39</v>
      </c>
      <c r="S1209" t="s">
        <v>31</v>
      </c>
      <c r="T1209" t="s">
        <v>32</v>
      </c>
      <c r="U1209">
        <v>52</v>
      </c>
      <c r="V1209">
        <v>5</v>
      </c>
      <c r="W1209">
        <f>Table2[[#This Row],[Quantity]]*Table2[[#This Row],[Item_Price]]</f>
        <v>1094</v>
      </c>
    </row>
    <row r="1210" spans="1:23" x14ac:dyDescent="0.25">
      <c r="A1210" t="s">
        <v>1306</v>
      </c>
      <c r="B1210" s="1">
        <v>45747</v>
      </c>
      <c r="C1210" t="s">
        <v>910</v>
      </c>
      <c r="D1210">
        <v>3</v>
      </c>
      <c r="E1210">
        <v>31</v>
      </c>
      <c r="F1210" t="s">
        <v>168</v>
      </c>
      <c r="G1210" t="s">
        <v>34</v>
      </c>
      <c r="H1210" t="s">
        <v>68</v>
      </c>
      <c r="I1210" t="s">
        <v>36</v>
      </c>
      <c r="J1210" t="s">
        <v>82</v>
      </c>
      <c r="K1210" t="s">
        <v>45</v>
      </c>
      <c r="L1210">
        <v>1</v>
      </c>
      <c r="M1210">
        <v>309</v>
      </c>
      <c r="N1210">
        <v>30.9</v>
      </c>
      <c r="O1210">
        <v>30</v>
      </c>
      <c r="P1210">
        <v>309</v>
      </c>
      <c r="Q1210">
        <v>308.10000000000002</v>
      </c>
      <c r="R1210" t="s">
        <v>75</v>
      </c>
      <c r="S1210" t="s">
        <v>31</v>
      </c>
      <c r="T1210" t="s">
        <v>32</v>
      </c>
      <c r="U1210">
        <v>64</v>
      </c>
      <c r="V1210">
        <v>3.3</v>
      </c>
      <c r="W1210">
        <f>Table2[[#This Row],[Quantity]]*Table2[[#This Row],[Item_Price]]</f>
        <v>309</v>
      </c>
    </row>
    <row r="1211" spans="1:23" x14ac:dyDescent="0.25">
      <c r="A1211" t="s">
        <v>1307</v>
      </c>
      <c r="B1211" s="1">
        <v>45747</v>
      </c>
      <c r="C1211" t="s">
        <v>910</v>
      </c>
      <c r="D1211">
        <v>3</v>
      </c>
      <c r="E1211">
        <v>31</v>
      </c>
      <c r="F1211" t="s">
        <v>168</v>
      </c>
      <c r="G1211" t="s">
        <v>96</v>
      </c>
      <c r="H1211" t="s">
        <v>105</v>
      </c>
      <c r="I1211" t="s">
        <v>103</v>
      </c>
      <c r="J1211" t="s">
        <v>70</v>
      </c>
      <c r="K1211" t="s">
        <v>29</v>
      </c>
      <c r="L1211">
        <v>2</v>
      </c>
      <c r="M1211">
        <v>462</v>
      </c>
      <c r="N1211">
        <v>69.3</v>
      </c>
      <c r="O1211">
        <v>40</v>
      </c>
      <c r="P1211">
        <v>924</v>
      </c>
      <c r="Q1211">
        <v>894.7</v>
      </c>
      <c r="R1211" t="s">
        <v>39</v>
      </c>
      <c r="S1211" t="s">
        <v>31</v>
      </c>
      <c r="T1211" t="s">
        <v>32</v>
      </c>
      <c r="U1211">
        <v>23</v>
      </c>
      <c r="V1211">
        <v>5</v>
      </c>
      <c r="W1211">
        <f>Table2[[#This Row],[Quantity]]*Table2[[#This Row],[Item_Price]]</f>
        <v>924</v>
      </c>
    </row>
    <row r="1212" spans="1:23" x14ac:dyDescent="0.25">
      <c r="A1212" t="s">
        <v>1308</v>
      </c>
      <c r="B1212" s="1">
        <v>45747</v>
      </c>
      <c r="C1212" t="s">
        <v>910</v>
      </c>
      <c r="D1212">
        <v>3</v>
      </c>
      <c r="E1212">
        <v>31</v>
      </c>
      <c r="F1212" t="s">
        <v>168</v>
      </c>
      <c r="G1212" t="s">
        <v>73</v>
      </c>
      <c r="H1212" t="s">
        <v>139</v>
      </c>
      <c r="I1212" t="s">
        <v>43</v>
      </c>
      <c r="J1212" t="s">
        <v>70</v>
      </c>
      <c r="K1212" t="s">
        <v>45</v>
      </c>
      <c r="L1212">
        <v>1</v>
      </c>
      <c r="M1212">
        <v>491</v>
      </c>
      <c r="N1212">
        <v>0</v>
      </c>
      <c r="O1212">
        <v>40</v>
      </c>
      <c r="P1212">
        <v>491</v>
      </c>
      <c r="Q1212">
        <v>531</v>
      </c>
      <c r="R1212" t="s">
        <v>30</v>
      </c>
      <c r="S1212" t="s">
        <v>31</v>
      </c>
      <c r="T1212" t="s">
        <v>40</v>
      </c>
      <c r="U1212">
        <v>33</v>
      </c>
      <c r="V1212">
        <v>4</v>
      </c>
      <c r="W1212">
        <f>Table2[[#This Row],[Quantity]]*Table2[[#This Row],[Item_Price]]</f>
        <v>491</v>
      </c>
    </row>
    <row r="1213" spans="1:23" x14ac:dyDescent="0.25">
      <c r="A1213" t="s">
        <v>1309</v>
      </c>
      <c r="B1213" s="1">
        <v>45747</v>
      </c>
      <c r="C1213" t="s">
        <v>910</v>
      </c>
      <c r="D1213">
        <v>3</v>
      </c>
      <c r="E1213">
        <v>31</v>
      </c>
      <c r="F1213" t="s">
        <v>168</v>
      </c>
      <c r="G1213" t="s">
        <v>115</v>
      </c>
      <c r="H1213" t="s">
        <v>77</v>
      </c>
      <c r="I1213" t="s">
        <v>97</v>
      </c>
      <c r="J1213" t="s">
        <v>123</v>
      </c>
      <c r="K1213" t="s">
        <v>38</v>
      </c>
      <c r="L1213">
        <v>2</v>
      </c>
      <c r="M1213">
        <v>728</v>
      </c>
      <c r="N1213">
        <v>36.4</v>
      </c>
      <c r="O1213">
        <v>40</v>
      </c>
      <c r="P1213">
        <v>1456</v>
      </c>
      <c r="Q1213">
        <v>1459.6</v>
      </c>
      <c r="R1213" t="s">
        <v>75</v>
      </c>
      <c r="S1213" t="s">
        <v>31</v>
      </c>
      <c r="T1213" t="s">
        <v>32</v>
      </c>
      <c r="U1213">
        <v>19</v>
      </c>
      <c r="V1213">
        <v>3.2</v>
      </c>
      <c r="W1213">
        <f>Table2[[#This Row],[Quantity]]*Table2[[#This Row],[Item_Price]]</f>
        <v>1456</v>
      </c>
    </row>
    <row r="1214" spans="1:23" x14ac:dyDescent="0.25">
      <c r="A1214" t="s">
        <v>1310</v>
      </c>
      <c r="B1214" s="1">
        <v>45747</v>
      </c>
      <c r="C1214" t="s">
        <v>910</v>
      </c>
      <c r="D1214">
        <v>3</v>
      </c>
      <c r="E1214">
        <v>31</v>
      </c>
      <c r="F1214" t="s">
        <v>168</v>
      </c>
      <c r="G1214" t="s">
        <v>34</v>
      </c>
      <c r="H1214" t="s">
        <v>65</v>
      </c>
      <c r="I1214" t="s">
        <v>49</v>
      </c>
      <c r="J1214" t="s">
        <v>82</v>
      </c>
      <c r="K1214" t="s">
        <v>58</v>
      </c>
      <c r="L1214">
        <v>2</v>
      </c>
      <c r="M1214">
        <v>522</v>
      </c>
      <c r="N1214">
        <v>130.5</v>
      </c>
      <c r="O1214">
        <v>0</v>
      </c>
      <c r="P1214">
        <v>1044</v>
      </c>
      <c r="Q1214">
        <v>913.5</v>
      </c>
      <c r="R1214" t="s">
        <v>39</v>
      </c>
      <c r="S1214" t="s">
        <v>31</v>
      </c>
      <c r="T1214" t="s">
        <v>40</v>
      </c>
      <c r="U1214">
        <v>67</v>
      </c>
      <c r="V1214">
        <v>4.3</v>
      </c>
      <c r="W1214">
        <f>Table2[[#This Row],[Quantity]]*Table2[[#This Row],[Item_Price]]</f>
        <v>1044</v>
      </c>
    </row>
    <row r="1215" spans="1:23" x14ac:dyDescent="0.25">
      <c r="A1215" t="s">
        <v>1311</v>
      </c>
      <c r="B1215" s="1">
        <v>45747</v>
      </c>
      <c r="C1215" t="s">
        <v>910</v>
      </c>
      <c r="D1215">
        <v>3</v>
      </c>
      <c r="E1215">
        <v>31</v>
      </c>
      <c r="F1215" t="s">
        <v>168</v>
      </c>
      <c r="G1215" t="s">
        <v>84</v>
      </c>
      <c r="H1215" t="s">
        <v>56</v>
      </c>
      <c r="I1215" t="s">
        <v>69</v>
      </c>
      <c r="J1215" t="s">
        <v>74</v>
      </c>
      <c r="K1215" t="s">
        <v>58</v>
      </c>
      <c r="L1215">
        <v>2</v>
      </c>
      <c r="M1215">
        <v>343</v>
      </c>
      <c r="N1215">
        <v>51.45</v>
      </c>
      <c r="O1215">
        <v>30</v>
      </c>
      <c r="P1215">
        <v>686</v>
      </c>
      <c r="Q1215">
        <v>664.55</v>
      </c>
      <c r="R1215" t="s">
        <v>112</v>
      </c>
      <c r="S1215" t="s">
        <v>31</v>
      </c>
      <c r="T1215" t="s">
        <v>32</v>
      </c>
      <c r="U1215">
        <v>54</v>
      </c>
      <c r="V1215">
        <v>5</v>
      </c>
      <c r="W1215">
        <f>Table2[[#This Row],[Quantity]]*Table2[[#This Row],[Item_Price]]</f>
        <v>686</v>
      </c>
    </row>
    <row r="1216" spans="1:23" x14ac:dyDescent="0.25">
      <c r="A1216" t="s">
        <v>1312</v>
      </c>
      <c r="B1216" s="1">
        <v>45747</v>
      </c>
      <c r="C1216" t="s">
        <v>910</v>
      </c>
      <c r="D1216">
        <v>3</v>
      </c>
      <c r="E1216">
        <v>31</v>
      </c>
      <c r="F1216" t="s">
        <v>168</v>
      </c>
      <c r="G1216" t="s">
        <v>25</v>
      </c>
      <c r="H1216" t="s">
        <v>56</v>
      </c>
      <c r="I1216" t="s">
        <v>49</v>
      </c>
      <c r="J1216" t="s">
        <v>74</v>
      </c>
      <c r="K1216" t="s">
        <v>38</v>
      </c>
      <c r="L1216">
        <v>2</v>
      </c>
      <c r="M1216">
        <v>227</v>
      </c>
      <c r="N1216">
        <v>0</v>
      </c>
      <c r="O1216">
        <v>20</v>
      </c>
      <c r="P1216">
        <v>454</v>
      </c>
      <c r="Q1216">
        <v>474</v>
      </c>
      <c r="R1216" t="s">
        <v>39</v>
      </c>
      <c r="S1216" t="s">
        <v>31</v>
      </c>
      <c r="T1216" t="s">
        <v>32</v>
      </c>
      <c r="U1216">
        <v>57</v>
      </c>
      <c r="V1216">
        <v>5</v>
      </c>
      <c r="W1216">
        <f>Table2[[#This Row],[Quantity]]*Table2[[#This Row],[Item_Price]]</f>
        <v>454</v>
      </c>
    </row>
    <row r="1217" spans="1:23" x14ac:dyDescent="0.25">
      <c r="A1217" t="s">
        <v>1313</v>
      </c>
      <c r="B1217" s="1">
        <v>45747</v>
      </c>
      <c r="C1217" t="s">
        <v>910</v>
      </c>
      <c r="D1217">
        <v>3</v>
      </c>
      <c r="E1217">
        <v>31</v>
      </c>
      <c r="F1217" t="s">
        <v>168</v>
      </c>
      <c r="G1217" t="s">
        <v>64</v>
      </c>
      <c r="H1217" t="s">
        <v>135</v>
      </c>
      <c r="I1217" t="s">
        <v>43</v>
      </c>
      <c r="J1217" t="s">
        <v>172</v>
      </c>
      <c r="K1217" t="s">
        <v>45</v>
      </c>
      <c r="L1217">
        <v>1</v>
      </c>
      <c r="M1217">
        <v>537</v>
      </c>
      <c r="N1217">
        <v>53.7</v>
      </c>
      <c r="O1217">
        <v>50</v>
      </c>
      <c r="P1217">
        <v>537</v>
      </c>
      <c r="Q1217">
        <v>533.29999999999995</v>
      </c>
      <c r="R1217" t="s">
        <v>112</v>
      </c>
      <c r="S1217" t="s">
        <v>91</v>
      </c>
      <c r="T1217" t="s">
        <v>40</v>
      </c>
      <c r="U1217">
        <v>62</v>
      </c>
      <c r="W1217">
        <f>Table2[[#This Row],[Quantity]]*Table2[[#This Row],[Item_Price]]</f>
        <v>537</v>
      </c>
    </row>
    <row r="1218" spans="1:23" x14ac:dyDescent="0.25">
      <c r="A1218" t="s">
        <v>1314</v>
      </c>
      <c r="B1218" s="1">
        <v>45748</v>
      </c>
      <c r="C1218" t="s">
        <v>1315</v>
      </c>
      <c r="D1218">
        <v>4</v>
      </c>
      <c r="E1218">
        <v>1</v>
      </c>
      <c r="F1218" t="s">
        <v>178</v>
      </c>
      <c r="G1218" t="s">
        <v>73</v>
      </c>
      <c r="H1218" t="s">
        <v>42</v>
      </c>
      <c r="I1218" t="s">
        <v>61</v>
      </c>
      <c r="J1218" t="s">
        <v>53</v>
      </c>
      <c r="K1218" t="s">
        <v>38</v>
      </c>
      <c r="L1218">
        <v>1</v>
      </c>
      <c r="M1218">
        <v>892</v>
      </c>
      <c r="N1218">
        <v>178.4</v>
      </c>
      <c r="O1218">
        <v>40</v>
      </c>
      <c r="P1218">
        <v>892</v>
      </c>
      <c r="Q1218">
        <v>753.6</v>
      </c>
      <c r="R1218" t="s">
        <v>75</v>
      </c>
      <c r="S1218" t="s">
        <v>31</v>
      </c>
      <c r="T1218" t="s">
        <v>40</v>
      </c>
      <c r="U1218">
        <v>37</v>
      </c>
      <c r="V1218">
        <v>4.5</v>
      </c>
      <c r="W1218">
        <f>Table2[[#This Row],[Quantity]]*Table2[[#This Row],[Item_Price]]</f>
        <v>892</v>
      </c>
    </row>
    <row r="1219" spans="1:23" x14ac:dyDescent="0.25">
      <c r="A1219" t="s">
        <v>1316</v>
      </c>
      <c r="B1219" s="1">
        <v>45748</v>
      </c>
      <c r="C1219" t="s">
        <v>1315</v>
      </c>
      <c r="D1219">
        <v>4</v>
      </c>
      <c r="E1219">
        <v>1</v>
      </c>
      <c r="F1219" t="s">
        <v>178</v>
      </c>
      <c r="G1219" t="s">
        <v>84</v>
      </c>
      <c r="H1219" t="s">
        <v>139</v>
      </c>
      <c r="I1219" t="s">
        <v>27</v>
      </c>
      <c r="J1219" t="s">
        <v>37</v>
      </c>
      <c r="K1219" t="s">
        <v>38</v>
      </c>
      <c r="L1219">
        <v>2</v>
      </c>
      <c r="M1219">
        <v>881</v>
      </c>
      <c r="N1219">
        <v>88.1</v>
      </c>
      <c r="O1219">
        <v>30</v>
      </c>
      <c r="P1219">
        <v>1762</v>
      </c>
      <c r="Q1219">
        <v>1703.9</v>
      </c>
      <c r="R1219" t="s">
        <v>39</v>
      </c>
      <c r="S1219" t="s">
        <v>91</v>
      </c>
      <c r="T1219" t="s">
        <v>40</v>
      </c>
      <c r="U1219">
        <v>42</v>
      </c>
      <c r="W1219">
        <f>Table2[[#This Row],[Quantity]]*Table2[[#This Row],[Item_Price]]</f>
        <v>1762</v>
      </c>
    </row>
    <row r="1220" spans="1:23" x14ac:dyDescent="0.25">
      <c r="A1220" t="s">
        <v>1317</v>
      </c>
      <c r="B1220" s="1">
        <v>45748</v>
      </c>
      <c r="C1220" t="s">
        <v>1315</v>
      </c>
      <c r="D1220">
        <v>4</v>
      </c>
      <c r="E1220">
        <v>1</v>
      </c>
      <c r="F1220" t="s">
        <v>178</v>
      </c>
      <c r="G1220" t="s">
        <v>73</v>
      </c>
      <c r="H1220" t="s">
        <v>65</v>
      </c>
      <c r="I1220" t="s">
        <v>69</v>
      </c>
      <c r="J1220" t="s">
        <v>37</v>
      </c>
      <c r="K1220" t="s">
        <v>38</v>
      </c>
      <c r="L1220">
        <v>1</v>
      </c>
      <c r="M1220">
        <v>165</v>
      </c>
      <c r="N1220">
        <v>8.25</v>
      </c>
      <c r="O1220">
        <v>40</v>
      </c>
      <c r="P1220">
        <v>165</v>
      </c>
      <c r="Q1220">
        <v>196.75</v>
      </c>
      <c r="R1220" t="s">
        <v>75</v>
      </c>
      <c r="S1220" t="s">
        <v>31</v>
      </c>
      <c r="T1220" t="s">
        <v>32</v>
      </c>
      <c r="U1220">
        <v>58</v>
      </c>
      <c r="V1220">
        <v>4.9000000000000004</v>
      </c>
      <c r="W1220">
        <f>Table2[[#This Row],[Quantity]]*Table2[[#This Row],[Item_Price]]</f>
        <v>165</v>
      </c>
    </row>
    <row r="1221" spans="1:23" x14ac:dyDescent="0.25">
      <c r="A1221" t="s">
        <v>1318</v>
      </c>
      <c r="B1221" s="1">
        <v>45748</v>
      </c>
      <c r="C1221" t="s">
        <v>1315</v>
      </c>
      <c r="D1221">
        <v>4</v>
      </c>
      <c r="E1221">
        <v>1</v>
      </c>
      <c r="F1221" t="s">
        <v>178</v>
      </c>
      <c r="G1221" t="s">
        <v>73</v>
      </c>
      <c r="H1221" t="s">
        <v>56</v>
      </c>
      <c r="I1221" t="s">
        <v>57</v>
      </c>
      <c r="J1221" t="s">
        <v>82</v>
      </c>
      <c r="K1221" t="s">
        <v>38</v>
      </c>
      <c r="L1221">
        <v>3</v>
      </c>
      <c r="M1221">
        <v>254</v>
      </c>
      <c r="N1221">
        <v>25.4</v>
      </c>
      <c r="O1221">
        <v>50</v>
      </c>
      <c r="P1221">
        <v>762</v>
      </c>
      <c r="Q1221">
        <v>786.6</v>
      </c>
      <c r="R1221" t="s">
        <v>30</v>
      </c>
      <c r="S1221" t="s">
        <v>31</v>
      </c>
      <c r="T1221" t="s">
        <v>40</v>
      </c>
      <c r="U1221">
        <v>39</v>
      </c>
      <c r="V1221">
        <v>4</v>
      </c>
      <c r="W1221">
        <f>Table2[[#This Row],[Quantity]]*Table2[[#This Row],[Item_Price]]</f>
        <v>762</v>
      </c>
    </row>
    <row r="1222" spans="1:23" x14ac:dyDescent="0.25">
      <c r="A1222" t="s">
        <v>1319</v>
      </c>
      <c r="B1222" s="1">
        <v>45748</v>
      </c>
      <c r="C1222" t="s">
        <v>1315</v>
      </c>
      <c r="D1222">
        <v>4</v>
      </c>
      <c r="E1222">
        <v>1</v>
      </c>
      <c r="F1222" t="s">
        <v>178</v>
      </c>
      <c r="G1222" t="s">
        <v>73</v>
      </c>
      <c r="H1222" t="s">
        <v>35</v>
      </c>
      <c r="I1222" t="s">
        <v>49</v>
      </c>
      <c r="J1222" t="s">
        <v>66</v>
      </c>
      <c r="K1222" t="s">
        <v>58</v>
      </c>
      <c r="L1222">
        <v>2</v>
      </c>
      <c r="M1222">
        <v>267</v>
      </c>
      <c r="N1222">
        <v>53.4</v>
      </c>
      <c r="O1222">
        <v>40</v>
      </c>
      <c r="P1222">
        <v>534</v>
      </c>
      <c r="Q1222">
        <v>520.6</v>
      </c>
      <c r="R1222" t="s">
        <v>39</v>
      </c>
      <c r="S1222" t="s">
        <v>31</v>
      </c>
      <c r="T1222" t="s">
        <v>40</v>
      </c>
      <c r="U1222">
        <v>58</v>
      </c>
      <c r="V1222">
        <v>4.9000000000000004</v>
      </c>
      <c r="W1222">
        <f>Table2[[#This Row],[Quantity]]*Table2[[#This Row],[Item_Price]]</f>
        <v>534</v>
      </c>
    </row>
    <row r="1223" spans="1:23" x14ac:dyDescent="0.25">
      <c r="A1223" t="s">
        <v>1320</v>
      </c>
      <c r="B1223" s="1">
        <v>45748</v>
      </c>
      <c r="C1223" t="s">
        <v>1315</v>
      </c>
      <c r="D1223">
        <v>4</v>
      </c>
      <c r="E1223">
        <v>1</v>
      </c>
      <c r="F1223" t="s">
        <v>178</v>
      </c>
      <c r="G1223" t="s">
        <v>90</v>
      </c>
      <c r="H1223" t="s">
        <v>35</v>
      </c>
      <c r="I1223" t="s">
        <v>61</v>
      </c>
      <c r="J1223" t="s">
        <v>172</v>
      </c>
      <c r="K1223" t="s">
        <v>38</v>
      </c>
      <c r="L1223">
        <v>1</v>
      </c>
      <c r="M1223">
        <v>181</v>
      </c>
      <c r="N1223">
        <v>0</v>
      </c>
      <c r="O1223">
        <v>20</v>
      </c>
      <c r="P1223">
        <v>181</v>
      </c>
      <c r="Q1223">
        <v>201</v>
      </c>
      <c r="R1223" t="s">
        <v>75</v>
      </c>
      <c r="S1223" t="s">
        <v>31</v>
      </c>
      <c r="T1223" t="s">
        <v>40</v>
      </c>
      <c r="U1223">
        <v>35</v>
      </c>
      <c r="V1223">
        <v>3.9</v>
      </c>
      <c r="W1223">
        <f>Table2[[#This Row],[Quantity]]*Table2[[#This Row],[Item_Price]]</f>
        <v>181</v>
      </c>
    </row>
    <row r="1224" spans="1:23" x14ac:dyDescent="0.25">
      <c r="A1224" t="s">
        <v>1321</v>
      </c>
      <c r="B1224" s="1">
        <v>45748</v>
      </c>
      <c r="C1224" t="s">
        <v>1315</v>
      </c>
      <c r="D1224">
        <v>4</v>
      </c>
      <c r="E1224">
        <v>1</v>
      </c>
      <c r="F1224" t="s">
        <v>178</v>
      </c>
      <c r="G1224" t="s">
        <v>64</v>
      </c>
      <c r="H1224" t="s">
        <v>42</v>
      </c>
      <c r="I1224" t="s">
        <v>43</v>
      </c>
      <c r="J1224" t="s">
        <v>123</v>
      </c>
      <c r="K1224" t="s">
        <v>29</v>
      </c>
      <c r="L1224">
        <v>2</v>
      </c>
      <c r="M1224">
        <v>417</v>
      </c>
      <c r="N1224">
        <v>20.85</v>
      </c>
      <c r="O1224">
        <v>40</v>
      </c>
      <c r="P1224">
        <v>834</v>
      </c>
      <c r="Q1224">
        <v>853.15</v>
      </c>
      <c r="R1224" t="s">
        <v>39</v>
      </c>
      <c r="S1224" t="s">
        <v>31</v>
      </c>
      <c r="T1224" t="s">
        <v>32</v>
      </c>
      <c r="U1224">
        <v>23</v>
      </c>
      <c r="V1224">
        <v>3.2</v>
      </c>
      <c r="W1224">
        <f>Table2[[#This Row],[Quantity]]*Table2[[#This Row],[Item_Price]]</f>
        <v>834</v>
      </c>
    </row>
    <row r="1225" spans="1:23" x14ac:dyDescent="0.25">
      <c r="A1225" t="s">
        <v>1322</v>
      </c>
      <c r="B1225" s="1">
        <v>45748</v>
      </c>
      <c r="C1225" t="s">
        <v>1315</v>
      </c>
      <c r="D1225">
        <v>4</v>
      </c>
      <c r="E1225">
        <v>1</v>
      </c>
      <c r="F1225" t="s">
        <v>178</v>
      </c>
      <c r="G1225" t="s">
        <v>84</v>
      </c>
      <c r="H1225" t="s">
        <v>105</v>
      </c>
      <c r="I1225" t="s">
        <v>97</v>
      </c>
      <c r="J1225" t="s">
        <v>66</v>
      </c>
      <c r="K1225" t="s">
        <v>58</v>
      </c>
      <c r="L1225">
        <v>2</v>
      </c>
      <c r="M1225">
        <v>668</v>
      </c>
      <c r="N1225">
        <v>133.6</v>
      </c>
      <c r="O1225">
        <v>70</v>
      </c>
      <c r="P1225">
        <v>1336</v>
      </c>
      <c r="Q1225">
        <v>1272.4000000000001</v>
      </c>
      <c r="R1225" t="s">
        <v>112</v>
      </c>
      <c r="S1225" t="s">
        <v>31</v>
      </c>
      <c r="T1225" t="s">
        <v>40</v>
      </c>
      <c r="U1225">
        <v>49</v>
      </c>
      <c r="V1225">
        <v>3.8</v>
      </c>
      <c r="W1225">
        <f>Table2[[#This Row],[Quantity]]*Table2[[#This Row],[Item_Price]]</f>
        <v>1336</v>
      </c>
    </row>
    <row r="1226" spans="1:23" x14ac:dyDescent="0.25">
      <c r="A1226" t="s">
        <v>1323</v>
      </c>
      <c r="B1226" s="1">
        <v>45749</v>
      </c>
      <c r="C1226" t="s">
        <v>1315</v>
      </c>
      <c r="D1226">
        <v>4</v>
      </c>
      <c r="E1226">
        <v>2</v>
      </c>
      <c r="F1226" t="s">
        <v>24</v>
      </c>
      <c r="G1226" t="s">
        <v>90</v>
      </c>
      <c r="H1226" t="s">
        <v>77</v>
      </c>
      <c r="I1226" t="s">
        <v>69</v>
      </c>
      <c r="J1226" t="s">
        <v>28</v>
      </c>
      <c r="K1226" t="s">
        <v>38</v>
      </c>
      <c r="L1226">
        <v>1</v>
      </c>
      <c r="M1226">
        <v>146</v>
      </c>
      <c r="N1226">
        <v>36.5</v>
      </c>
      <c r="O1226">
        <v>40</v>
      </c>
      <c r="P1226">
        <v>146</v>
      </c>
      <c r="Q1226">
        <v>149.5</v>
      </c>
      <c r="R1226" t="s">
        <v>75</v>
      </c>
      <c r="S1226" t="s">
        <v>31</v>
      </c>
      <c r="T1226" t="s">
        <v>40</v>
      </c>
      <c r="U1226">
        <v>63</v>
      </c>
      <c r="V1226">
        <v>4.0999999999999996</v>
      </c>
      <c r="W1226">
        <f>Table2[[#This Row],[Quantity]]*Table2[[#This Row],[Item_Price]]</f>
        <v>146</v>
      </c>
    </row>
    <row r="1227" spans="1:23" x14ac:dyDescent="0.25">
      <c r="A1227" t="s">
        <v>1324</v>
      </c>
      <c r="B1227" s="1">
        <v>45749</v>
      </c>
      <c r="C1227" t="s">
        <v>1315</v>
      </c>
      <c r="D1227">
        <v>4</v>
      </c>
      <c r="E1227">
        <v>2</v>
      </c>
      <c r="F1227" t="s">
        <v>24</v>
      </c>
      <c r="G1227" t="s">
        <v>115</v>
      </c>
      <c r="H1227" t="s">
        <v>105</v>
      </c>
      <c r="I1227" t="s">
        <v>43</v>
      </c>
      <c r="J1227" t="s">
        <v>101</v>
      </c>
      <c r="K1227" t="s">
        <v>38</v>
      </c>
      <c r="L1227">
        <v>2</v>
      </c>
      <c r="M1227">
        <v>192</v>
      </c>
      <c r="N1227">
        <v>19.2</v>
      </c>
      <c r="O1227">
        <v>20</v>
      </c>
      <c r="P1227">
        <v>384</v>
      </c>
      <c r="Q1227">
        <v>384.8</v>
      </c>
      <c r="R1227" t="s">
        <v>39</v>
      </c>
      <c r="S1227" t="s">
        <v>91</v>
      </c>
      <c r="T1227" t="s">
        <v>40</v>
      </c>
      <c r="U1227">
        <v>69</v>
      </c>
      <c r="W1227">
        <f>Table2[[#This Row],[Quantity]]*Table2[[#This Row],[Item_Price]]</f>
        <v>384</v>
      </c>
    </row>
    <row r="1228" spans="1:23" x14ac:dyDescent="0.25">
      <c r="A1228" t="s">
        <v>1325</v>
      </c>
      <c r="B1228" s="1">
        <v>45749</v>
      </c>
      <c r="C1228" t="s">
        <v>1315</v>
      </c>
      <c r="D1228">
        <v>4</v>
      </c>
      <c r="E1228">
        <v>2</v>
      </c>
      <c r="F1228" t="s">
        <v>24</v>
      </c>
      <c r="G1228" t="s">
        <v>80</v>
      </c>
      <c r="H1228" t="s">
        <v>77</v>
      </c>
      <c r="I1228" t="s">
        <v>57</v>
      </c>
      <c r="J1228" t="s">
        <v>172</v>
      </c>
      <c r="K1228" t="s">
        <v>38</v>
      </c>
      <c r="L1228">
        <v>3</v>
      </c>
      <c r="M1228">
        <v>582</v>
      </c>
      <c r="N1228">
        <v>58.2</v>
      </c>
      <c r="O1228">
        <v>50</v>
      </c>
      <c r="P1228">
        <v>1746</v>
      </c>
      <c r="Q1228">
        <v>1737.8</v>
      </c>
      <c r="R1228" t="s">
        <v>39</v>
      </c>
      <c r="S1228" t="s">
        <v>31</v>
      </c>
      <c r="T1228" t="s">
        <v>40</v>
      </c>
      <c r="U1228">
        <v>58</v>
      </c>
      <c r="V1228">
        <v>3.2</v>
      </c>
      <c r="W1228">
        <f>Table2[[#This Row],[Quantity]]*Table2[[#This Row],[Item_Price]]</f>
        <v>1746</v>
      </c>
    </row>
    <row r="1229" spans="1:23" x14ac:dyDescent="0.25">
      <c r="A1229" t="s">
        <v>1326</v>
      </c>
      <c r="B1229" s="1">
        <v>45749</v>
      </c>
      <c r="C1229" t="s">
        <v>1315</v>
      </c>
      <c r="D1229">
        <v>4</v>
      </c>
      <c r="E1229">
        <v>2</v>
      </c>
      <c r="F1229" t="s">
        <v>24</v>
      </c>
      <c r="G1229" t="s">
        <v>25</v>
      </c>
      <c r="H1229" t="s">
        <v>42</v>
      </c>
      <c r="I1229" t="s">
        <v>85</v>
      </c>
      <c r="J1229" t="s">
        <v>101</v>
      </c>
      <c r="K1229" t="s">
        <v>38</v>
      </c>
      <c r="L1229">
        <v>1</v>
      </c>
      <c r="M1229">
        <v>394</v>
      </c>
      <c r="N1229">
        <v>59.1</v>
      </c>
      <c r="O1229">
        <v>0</v>
      </c>
      <c r="P1229">
        <v>394</v>
      </c>
      <c r="Q1229">
        <v>334.9</v>
      </c>
      <c r="R1229" t="s">
        <v>112</v>
      </c>
      <c r="S1229" t="s">
        <v>31</v>
      </c>
      <c r="T1229" t="s">
        <v>40</v>
      </c>
      <c r="U1229">
        <v>60</v>
      </c>
      <c r="V1229">
        <v>3.8</v>
      </c>
      <c r="W1229">
        <f>Table2[[#This Row],[Quantity]]*Table2[[#This Row],[Item_Price]]</f>
        <v>394</v>
      </c>
    </row>
    <row r="1230" spans="1:23" x14ac:dyDescent="0.25">
      <c r="A1230" t="s">
        <v>1327</v>
      </c>
      <c r="B1230" s="1">
        <v>45749</v>
      </c>
      <c r="C1230" t="s">
        <v>1315</v>
      </c>
      <c r="D1230">
        <v>4</v>
      </c>
      <c r="E1230">
        <v>2</v>
      </c>
      <c r="F1230" t="s">
        <v>24</v>
      </c>
      <c r="G1230" t="s">
        <v>80</v>
      </c>
      <c r="H1230" t="s">
        <v>26</v>
      </c>
      <c r="I1230" t="s">
        <v>57</v>
      </c>
      <c r="J1230" t="s">
        <v>66</v>
      </c>
      <c r="K1230" t="s">
        <v>38</v>
      </c>
      <c r="L1230">
        <v>3</v>
      </c>
      <c r="M1230">
        <v>276</v>
      </c>
      <c r="N1230">
        <v>55.2</v>
      </c>
      <c r="O1230">
        <v>70</v>
      </c>
      <c r="P1230">
        <v>828</v>
      </c>
      <c r="Q1230">
        <v>842.8</v>
      </c>
      <c r="R1230" t="s">
        <v>39</v>
      </c>
      <c r="S1230" t="s">
        <v>31</v>
      </c>
      <c r="T1230" t="s">
        <v>40</v>
      </c>
      <c r="U1230">
        <v>57</v>
      </c>
      <c r="V1230">
        <v>4</v>
      </c>
      <c r="W1230">
        <f>Table2[[#This Row],[Quantity]]*Table2[[#This Row],[Item_Price]]</f>
        <v>828</v>
      </c>
    </row>
    <row r="1231" spans="1:23" x14ac:dyDescent="0.25">
      <c r="A1231" t="s">
        <v>1328</v>
      </c>
      <c r="B1231" s="1">
        <v>45749</v>
      </c>
      <c r="C1231" t="s">
        <v>1315</v>
      </c>
      <c r="D1231">
        <v>4</v>
      </c>
      <c r="E1231">
        <v>2</v>
      </c>
      <c r="F1231" t="s">
        <v>24</v>
      </c>
      <c r="G1231" t="s">
        <v>64</v>
      </c>
      <c r="H1231" t="s">
        <v>60</v>
      </c>
      <c r="I1231" t="s">
        <v>61</v>
      </c>
      <c r="J1231" t="s">
        <v>101</v>
      </c>
      <c r="K1231" t="s">
        <v>38</v>
      </c>
      <c r="L1231">
        <v>2</v>
      </c>
      <c r="M1231">
        <v>426</v>
      </c>
      <c r="N1231">
        <v>21.3</v>
      </c>
      <c r="O1231">
        <v>60</v>
      </c>
      <c r="P1231">
        <v>852</v>
      </c>
      <c r="Q1231">
        <v>890.7</v>
      </c>
      <c r="R1231" t="s">
        <v>112</v>
      </c>
      <c r="S1231" t="s">
        <v>31</v>
      </c>
      <c r="T1231" t="s">
        <v>32</v>
      </c>
      <c r="U1231">
        <v>25</v>
      </c>
      <c r="V1231">
        <v>3.1</v>
      </c>
      <c r="W1231">
        <f>Table2[[#This Row],[Quantity]]*Table2[[#This Row],[Item_Price]]</f>
        <v>852</v>
      </c>
    </row>
    <row r="1232" spans="1:23" x14ac:dyDescent="0.25">
      <c r="A1232" t="s">
        <v>1329</v>
      </c>
      <c r="B1232" s="1">
        <v>45749</v>
      </c>
      <c r="C1232" t="s">
        <v>1315</v>
      </c>
      <c r="D1232">
        <v>4</v>
      </c>
      <c r="E1232">
        <v>2</v>
      </c>
      <c r="F1232" t="s">
        <v>24</v>
      </c>
      <c r="G1232" t="s">
        <v>64</v>
      </c>
      <c r="H1232" t="s">
        <v>108</v>
      </c>
      <c r="I1232" t="s">
        <v>49</v>
      </c>
      <c r="J1232" t="s">
        <v>66</v>
      </c>
      <c r="K1232" t="s">
        <v>38</v>
      </c>
      <c r="L1232">
        <v>2</v>
      </c>
      <c r="M1232">
        <v>264</v>
      </c>
      <c r="N1232">
        <v>39.6</v>
      </c>
      <c r="O1232">
        <v>50</v>
      </c>
      <c r="P1232">
        <v>528</v>
      </c>
      <c r="Q1232">
        <v>538.4</v>
      </c>
      <c r="R1232" t="s">
        <v>39</v>
      </c>
      <c r="S1232" t="s">
        <v>46</v>
      </c>
      <c r="T1232" t="s">
        <v>40</v>
      </c>
      <c r="U1232">
        <v>45</v>
      </c>
      <c r="W1232">
        <f>Table2[[#This Row],[Quantity]]*Table2[[#This Row],[Item_Price]]</f>
        <v>528</v>
      </c>
    </row>
    <row r="1233" spans="1:23" x14ac:dyDescent="0.25">
      <c r="A1233" t="s">
        <v>1330</v>
      </c>
      <c r="B1233" s="1">
        <v>45749</v>
      </c>
      <c r="C1233" t="s">
        <v>1315</v>
      </c>
      <c r="D1233">
        <v>4</v>
      </c>
      <c r="E1233">
        <v>2</v>
      </c>
      <c r="F1233" t="s">
        <v>24</v>
      </c>
      <c r="G1233" t="s">
        <v>115</v>
      </c>
      <c r="H1233" t="s">
        <v>35</v>
      </c>
      <c r="I1233" t="s">
        <v>85</v>
      </c>
      <c r="J1233" t="s">
        <v>53</v>
      </c>
      <c r="K1233" t="s">
        <v>45</v>
      </c>
      <c r="L1233">
        <v>3</v>
      </c>
      <c r="M1233">
        <v>426</v>
      </c>
      <c r="N1233">
        <v>63.9</v>
      </c>
      <c r="O1233">
        <v>50</v>
      </c>
      <c r="P1233">
        <v>1278</v>
      </c>
      <c r="Q1233">
        <v>1264.0999999999999</v>
      </c>
      <c r="R1233" t="s">
        <v>39</v>
      </c>
      <c r="S1233" t="s">
        <v>31</v>
      </c>
      <c r="T1233" t="s">
        <v>40</v>
      </c>
      <c r="U1233">
        <v>19</v>
      </c>
      <c r="V1233">
        <v>3.3</v>
      </c>
      <c r="W1233">
        <f>Table2[[#This Row],[Quantity]]*Table2[[#This Row],[Item_Price]]</f>
        <v>1278</v>
      </c>
    </row>
    <row r="1234" spans="1:23" x14ac:dyDescent="0.25">
      <c r="A1234" t="s">
        <v>1331</v>
      </c>
      <c r="B1234" s="1">
        <v>45749</v>
      </c>
      <c r="C1234" t="s">
        <v>1315</v>
      </c>
      <c r="D1234">
        <v>4</v>
      </c>
      <c r="E1234">
        <v>2</v>
      </c>
      <c r="F1234" t="s">
        <v>24</v>
      </c>
      <c r="G1234" t="s">
        <v>96</v>
      </c>
      <c r="H1234" t="s">
        <v>26</v>
      </c>
      <c r="I1234" t="s">
        <v>49</v>
      </c>
      <c r="J1234" t="s">
        <v>78</v>
      </c>
      <c r="K1234" t="s">
        <v>58</v>
      </c>
      <c r="L1234">
        <v>3</v>
      </c>
      <c r="M1234">
        <v>377</v>
      </c>
      <c r="N1234">
        <v>0</v>
      </c>
      <c r="O1234">
        <v>70</v>
      </c>
      <c r="P1234">
        <v>1131</v>
      </c>
      <c r="Q1234">
        <v>1201</v>
      </c>
      <c r="R1234" t="s">
        <v>39</v>
      </c>
      <c r="S1234" t="s">
        <v>91</v>
      </c>
      <c r="T1234" t="s">
        <v>40</v>
      </c>
      <c r="U1234">
        <v>47</v>
      </c>
      <c r="W1234">
        <f>Table2[[#This Row],[Quantity]]*Table2[[#This Row],[Item_Price]]</f>
        <v>1131</v>
      </c>
    </row>
    <row r="1235" spans="1:23" x14ac:dyDescent="0.25">
      <c r="A1235" t="s">
        <v>1332</v>
      </c>
      <c r="B1235" s="1">
        <v>45749</v>
      </c>
      <c r="C1235" t="s">
        <v>1315</v>
      </c>
      <c r="D1235">
        <v>4</v>
      </c>
      <c r="E1235">
        <v>2</v>
      </c>
      <c r="F1235" t="s">
        <v>24</v>
      </c>
      <c r="G1235" t="s">
        <v>64</v>
      </c>
      <c r="H1235" t="s">
        <v>48</v>
      </c>
      <c r="I1235" t="s">
        <v>43</v>
      </c>
      <c r="J1235" t="s">
        <v>62</v>
      </c>
      <c r="K1235" t="s">
        <v>38</v>
      </c>
      <c r="L1235">
        <v>2</v>
      </c>
      <c r="M1235">
        <v>790</v>
      </c>
      <c r="N1235">
        <v>39.5</v>
      </c>
      <c r="O1235">
        <v>30</v>
      </c>
      <c r="P1235">
        <v>1580</v>
      </c>
      <c r="Q1235">
        <v>1570.5</v>
      </c>
      <c r="R1235" t="s">
        <v>39</v>
      </c>
      <c r="S1235" t="s">
        <v>31</v>
      </c>
      <c r="T1235" t="s">
        <v>40</v>
      </c>
      <c r="U1235">
        <v>48</v>
      </c>
      <c r="V1235">
        <v>4.8</v>
      </c>
      <c r="W1235">
        <f>Table2[[#This Row],[Quantity]]*Table2[[#This Row],[Item_Price]]</f>
        <v>1580</v>
      </c>
    </row>
    <row r="1236" spans="1:23" x14ac:dyDescent="0.25">
      <c r="A1236" t="s">
        <v>1333</v>
      </c>
      <c r="B1236" s="1">
        <v>45749</v>
      </c>
      <c r="C1236" t="s">
        <v>1315</v>
      </c>
      <c r="D1236">
        <v>4</v>
      </c>
      <c r="E1236">
        <v>2</v>
      </c>
      <c r="F1236" t="s">
        <v>24</v>
      </c>
      <c r="G1236" t="s">
        <v>34</v>
      </c>
      <c r="H1236" t="s">
        <v>81</v>
      </c>
      <c r="I1236" t="s">
        <v>43</v>
      </c>
      <c r="J1236" t="s">
        <v>53</v>
      </c>
      <c r="K1236" t="s">
        <v>38</v>
      </c>
      <c r="L1236">
        <v>1</v>
      </c>
      <c r="M1236">
        <v>137</v>
      </c>
      <c r="N1236">
        <v>13.7</v>
      </c>
      <c r="O1236">
        <v>20</v>
      </c>
      <c r="P1236">
        <v>137</v>
      </c>
      <c r="Q1236">
        <v>143.30000000000001</v>
      </c>
      <c r="R1236" t="s">
        <v>39</v>
      </c>
      <c r="S1236" t="s">
        <v>31</v>
      </c>
      <c r="T1236" t="s">
        <v>40</v>
      </c>
      <c r="U1236">
        <v>40</v>
      </c>
      <c r="V1236">
        <v>4</v>
      </c>
      <c r="W1236">
        <f>Table2[[#This Row],[Quantity]]*Table2[[#This Row],[Item_Price]]</f>
        <v>137</v>
      </c>
    </row>
    <row r="1237" spans="1:23" x14ac:dyDescent="0.25">
      <c r="A1237" t="s">
        <v>1334</v>
      </c>
      <c r="B1237" s="1">
        <v>45749</v>
      </c>
      <c r="C1237" t="s">
        <v>1315</v>
      </c>
      <c r="D1237">
        <v>4</v>
      </c>
      <c r="E1237">
        <v>2</v>
      </c>
      <c r="F1237" t="s">
        <v>24</v>
      </c>
      <c r="G1237" t="s">
        <v>73</v>
      </c>
      <c r="H1237" t="s">
        <v>68</v>
      </c>
      <c r="I1237" t="s">
        <v>43</v>
      </c>
      <c r="J1237" t="s">
        <v>44</v>
      </c>
      <c r="K1237" t="s">
        <v>38</v>
      </c>
      <c r="L1237">
        <v>1</v>
      </c>
      <c r="M1237">
        <v>142</v>
      </c>
      <c r="N1237">
        <v>0</v>
      </c>
      <c r="O1237">
        <v>60</v>
      </c>
      <c r="P1237">
        <v>142</v>
      </c>
      <c r="Q1237">
        <v>202</v>
      </c>
      <c r="R1237" t="s">
        <v>39</v>
      </c>
      <c r="S1237" t="s">
        <v>31</v>
      </c>
      <c r="T1237" t="s">
        <v>40</v>
      </c>
      <c r="U1237">
        <v>69</v>
      </c>
      <c r="V1237">
        <v>2.4</v>
      </c>
      <c r="W1237">
        <f>Table2[[#This Row],[Quantity]]*Table2[[#This Row],[Item_Price]]</f>
        <v>142</v>
      </c>
    </row>
    <row r="1238" spans="1:23" x14ac:dyDescent="0.25">
      <c r="A1238" t="s">
        <v>1335</v>
      </c>
      <c r="B1238" s="1">
        <v>45749</v>
      </c>
      <c r="C1238" t="s">
        <v>1315</v>
      </c>
      <c r="D1238">
        <v>4</v>
      </c>
      <c r="E1238">
        <v>2</v>
      </c>
      <c r="F1238" t="s">
        <v>24</v>
      </c>
      <c r="G1238" t="s">
        <v>64</v>
      </c>
      <c r="H1238" t="s">
        <v>60</v>
      </c>
      <c r="I1238" t="s">
        <v>27</v>
      </c>
      <c r="J1238" t="s">
        <v>28</v>
      </c>
      <c r="K1238" t="s">
        <v>38</v>
      </c>
      <c r="L1238">
        <v>3</v>
      </c>
      <c r="M1238">
        <v>301</v>
      </c>
      <c r="N1238">
        <v>60.2</v>
      </c>
      <c r="O1238">
        <v>30</v>
      </c>
      <c r="P1238">
        <v>903</v>
      </c>
      <c r="Q1238">
        <v>872.8</v>
      </c>
      <c r="R1238" t="s">
        <v>112</v>
      </c>
      <c r="S1238" t="s">
        <v>91</v>
      </c>
      <c r="T1238" t="s">
        <v>40</v>
      </c>
      <c r="U1238">
        <v>58</v>
      </c>
      <c r="W1238">
        <f>Table2[[#This Row],[Quantity]]*Table2[[#This Row],[Item_Price]]</f>
        <v>903</v>
      </c>
    </row>
    <row r="1239" spans="1:23" x14ac:dyDescent="0.25">
      <c r="A1239" t="s">
        <v>1336</v>
      </c>
      <c r="B1239" s="1">
        <v>45749</v>
      </c>
      <c r="C1239" t="s">
        <v>1315</v>
      </c>
      <c r="D1239">
        <v>4</v>
      </c>
      <c r="E1239">
        <v>2</v>
      </c>
      <c r="F1239" t="s">
        <v>24</v>
      </c>
      <c r="G1239" t="s">
        <v>25</v>
      </c>
      <c r="H1239" t="s">
        <v>81</v>
      </c>
      <c r="I1239" t="s">
        <v>69</v>
      </c>
      <c r="J1239" t="s">
        <v>50</v>
      </c>
      <c r="K1239" t="s">
        <v>38</v>
      </c>
      <c r="L1239">
        <v>3</v>
      </c>
      <c r="M1239">
        <v>778</v>
      </c>
      <c r="N1239">
        <v>77.8</v>
      </c>
      <c r="O1239">
        <v>40</v>
      </c>
      <c r="P1239">
        <v>2334</v>
      </c>
      <c r="Q1239">
        <v>2296.1999999999998</v>
      </c>
      <c r="R1239" t="s">
        <v>39</v>
      </c>
      <c r="S1239" t="s">
        <v>91</v>
      </c>
      <c r="T1239" t="s">
        <v>40</v>
      </c>
      <c r="U1239">
        <v>61</v>
      </c>
      <c r="W1239">
        <f>Table2[[#This Row],[Quantity]]*Table2[[#This Row],[Item_Price]]</f>
        <v>2334</v>
      </c>
    </row>
    <row r="1240" spans="1:23" x14ac:dyDescent="0.25">
      <c r="A1240" t="s">
        <v>1337</v>
      </c>
      <c r="B1240" s="1">
        <v>45749</v>
      </c>
      <c r="C1240" t="s">
        <v>1315</v>
      </c>
      <c r="D1240">
        <v>4</v>
      </c>
      <c r="E1240">
        <v>2</v>
      </c>
      <c r="F1240" t="s">
        <v>24</v>
      </c>
      <c r="G1240" t="s">
        <v>115</v>
      </c>
      <c r="H1240" t="s">
        <v>81</v>
      </c>
      <c r="I1240" t="s">
        <v>57</v>
      </c>
      <c r="J1240" t="s">
        <v>50</v>
      </c>
      <c r="K1240" t="s">
        <v>45</v>
      </c>
      <c r="L1240">
        <v>1</v>
      </c>
      <c r="M1240">
        <v>741</v>
      </c>
      <c r="N1240">
        <v>111.15</v>
      </c>
      <c r="O1240">
        <v>30</v>
      </c>
      <c r="P1240">
        <v>741</v>
      </c>
      <c r="Q1240">
        <v>659.85</v>
      </c>
      <c r="R1240" t="s">
        <v>30</v>
      </c>
      <c r="S1240" t="s">
        <v>31</v>
      </c>
      <c r="T1240" t="s">
        <v>40</v>
      </c>
      <c r="U1240">
        <v>45</v>
      </c>
      <c r="V1240">
        <v>3.3</v>
      </c>
      <c r="W1240">
        <f>Table2[[#This Row],[Quantity]]*Table2[[#This Row],[Item_Price]]</f>
        <v>741</v>
      </c>
    </row>
    <row r="1241" spans="1:23" x14ac:dyDescent="0.25">
      <c r="A1241" t="s">
        <v>1338</v>
      </c>
      <c r="B1241" s="1">
        <v>45749</v>
      </c>
      <c r="C1241" t="s">
        <v>1315</v>
      </c>
      <c r="D1241">
        <v>4</v>
      </c>
      <c r="E1241">
        <v>2</v>
      </c>
      <c r="F1241" t="s">
        <v>24</v>
      </c>
      <c r="G1241" t="s">
        <v>73</v>
      </c>
      <c r="H1241" t="s">
        <v>52</v>
      </c>
      <c r="I1241" t="s">
        <v>97</v>
      </c>
      <c r="J1241" t="s">
        <v>50</v>
      </c>
      <c r="K1241" t="s">
        <v>45</v>
      </c>
      <c r="L1241">
        <v>1</v>
      </c>
      <c r="M1241">
        <v>258</v>
      </c>
      <c r="N1241">
        <v>64.5</v>
      </c>
      <c r="O1241">
        <v>20</v>
      </c>
      <c r="P1241">
        <v>258</v>
      </c>
      <c r="Q1241">
        <v>213.5</v>
      </c>
      <c r="R1241" t="s">
        <v>98</v>
      </c>
      <c r="S1241" t="s">
        <v>31</v>
      </c>
      <c r="T1241" t="s">
        <v>40</v>
      </c>
      <c r="U1241">
        <v>43</v>
      </c>
      <c r="V1241">
        <v>3.6</v>
      </c>
      <c r="W1241">
        <f>Table2[[#This Row],[Quantity]]*Table2[[#This Row],[Item_Price]]</f>
        <v>258</v>
      </c>
    </row>
    <row r="1242" spans="1:23" x14ac:dyDescent="0.25">
      <c r="A1242" t="s">
        <v>1339</v>
      </c>
      <c r="B1242" s="1">
        <v>45749</v>
      </c>
      <c r="C1242" t="s">
        <v>1315</v>
      </c>
      <c r="D1242">
        <v>4</v>
      </c>
      <c r="E1242">
        <v>2</v>
      </c>
      <c r="F1242" t="s">
        <v>24</v>
      </c>
      <c r="G1242" t="s">
        <v>64</v>
      </c>
      <c r="H1242" t="s">
        <v>60</v>
      </c>
      <c r="I1242" t="s">
        <v>85</v>
      </c>
      <c r="J1242" t="s">
        <v>50</v>
      </c>
      <c r="K1242" t="s">
        <v>38</v>
      </c>
      <c r="L1242">
        <v>1</v>
      </c>
      <c r="M1242">
        <v>686</v>
      </c>
      <c r="N1242">
        <v>0</v>
      </c>
      <c r="O1242">
        <v>70</v>
      </c>
      <c r="P1242">
        <v>686</v>
      </c>
      <c r="Q1242">
        <v>756</v>
      </c>
      <c r="R1242" t="s">
        <v>75</v>
      </c>
      <c r="S1242" t="s">
        <v>31</v>
      </c>
      <c r="T1242" t="s">
        <v>32</v>
      </c>
      <c r="U1242">
        <v>62</v>
      </c>
      <c r="V1242">
        <v>3.9</v>
      </c>
      <c r="W1242">
        <f>Table2[[#This Row],[Quantity]]*Table2[[#This Row],[Item_Price]]</f>
        <v>686</v>
      </c>
    </row>
    <row r="1243" spans="1:23" x14ac:dyDescent="0.25">
      <c r="A1243" t="s">
        <v>1340</v>
      </c>
      <c r="B1243" s="1">
        <v>45750</v>
      </c>
      <c r="C1243" t="s">
        <v>1315</v>
      </c>
      <c r="D1243">
        <v>4</v>
      </c>
      <c r="E1243">
        <v>3</v>
      </c>
      <c r="F1243" t="s">
        <v>88</v>
      </c>
      <c r="G1243" t="s">
        <v>115</v>
      </c>
      <c r="H1243" t="s">
        <v>135</v>
      </c>
      <c r="I1243" t="s">
        <v>43</v>
      </c>
      <c r="J1243" t="s">
        <v>94</v>
      </c>
      <c r="K1243" t="s">
        <v>38</v>
      </c>
      <c r="L1243">
        <v>2</v>
      </c>
      <c r="M1243">
        <v>318</v>
      </c>
      <c r="N1243">
        <v>47.7</v>
      </c>
      <c r="O1243">
        <v>20</v>
      </c>
      <c r="P1243">
        <v>636</v>
      </c>
      <c r="Q1243">
        <v>608.29999999999995</v>
      </c>
      <c r="R1243" t="s">
        <v>39</v>
      </c>
      <c r="S1243" t="s">
        <v>31</v>
      </c>
      <c r="T1243" t="s">
        <v>40</v>
      </c>
      <c r="U1243">
        <v>33</v>
      </c>
      <c r="V1243">
        <v>4.5999999999999996</v>
      </c>
      <c r="W1243">
        <f>Table2[[#This Row],[Quantity]]*Table2[[#This Row],[Item_Price]]</f>
        <v>636</v>
      </c>
    </row>
    <row r="1244" spans="1:23" x14ac:dyDescent="0.25">
      <c r="A1244" t="s">
        <v>1341</v>
      </c>
      <c r="B1244" s="1">
        <v>45750</v>
      </c>
      <c r="C1244" t="s">
        <v>1315</v>
      </c>
      <c r="D1244">
        <v>4</v>
      </c>
      <c r="E1244">
        <v>3</v>
      </c>
      <c r="F1244" t="s">
        <v>88</v>
      </c>
      <c r="G1244" t="s">
        <v>64</v>
      </c>
      <c r="H1244" t="s">
        <v>105</v>
      </c>
      <c r="I1244" t="s">
        <v>49</v>
      </c>
      <c r="J1244" t="s">
        <v>78</v>
      </c>
      <c r="K1244" t="s">
        <v>38</v>
      </c>
      <c r="L1244">
        <v>2</v>
      </c>
      <c r="M1244">
        <v>503</v>
      </c>
      <c r="N1244">
        <v>75.45</v>
      </c>
      <c r="O1244">
        <v>20</v>
      </c>
      <c r="P1244">
        <v>1006</v>
      </c>
      <c r="Q1244">
        <v>950.55</v>
      </c>
      <c r="R1244" t="s">
        <v>98</v>
      </c>
      <c r="S1244" t="s">
        <v>31</v>
      </c>
      <c r="T1244" t="s">
        <v>40</v>
      </c>
      <c r="U1244">
        <v>65</v>
      </c>
      <c r="V1244">
        <v>3.6</v>
      </c>
      <c r="W1244">
        <f>Table2[[#This Row],[Quantity]]*Table2[[#This Row],[Item_Price]]</f>
        <v>1006</v>
      </c>
    </row>
    <row r="1245" spans="1:23" x14ac:dyDescent="0.25">
      <c r="A1245" t="s">
        <v>1342</v>
      </c>
      <c r="B1245" s="1">
        <v>45750</v>
      </c>
      <c r="C1245" t="s">
        <v>1315</v>
      </c>
      <c r="D1245">
        <v>4</v>
      </c>
      <c r="E1245">
        <v>3</v>
      </c>
      <c r="F1245" t="s">
        <v>88</v>
      </c>
      <c r="G1245" t="s">
        <v>55</v>
      </c>
      <c r="H1245" t="s">
        <v>56</v>
      </c>
      <c r="I1245" t="s">
        <v>61</v>
      </c>
      <c r="J1245" t="s">
        <v>62</v>
      </c>
      <c r="K1245" t="s">
        <v>38</v>
      </c>
      <c r="L1245">
        <v>2</v>
      </c>
      <c r="M1245">
        <v>498</v>
      </c>
      <c r="N1245">
        <v>49.8</v>
      </c>
      <c r="O1245">
        <v>70</v>
      </c>
      <c r="P1245">
        <v>996</v>
      </c>
      <c r="Q1245">
        <v>1016.2</v>
      </c>
      <c r="R1245" t="s">
        <v>30</v>
      </c>
      <c r="S1245" t="s">
        <v>31</v>
      </c>
      <c r="T1245" t="s">
        <v>40</v>
      </c>
      <c r="U1245">
        <v>28</v>
      </c>
      <c r="V1245">
        <v>3.9</v>
      </c>
      <c r="W1245">
        <f>Table2[[#This Row],[Quantity]]*Table2[[#This Row],[Item_Price]]</f>
        <v>996</v>
      </c>
    </row>
    <row r="1246" spans="1:23" x14ac:dyDescent="0.25">
      <c r="A1246" t="s">
        <v>1343</v>
      </c>
      <c r="B1246" s="1">
        <v>45750</v>
      </c>
      <c r="C1246" t="s">
        <v>1315</v>
      </c>
      <c r="D1246">
        <v>4</v>
      </c>
      <c r="E1246">
        <v>3</v>
      </c>
      <c r="F1246" t="s">
        <v>88</v>
      </c>
      <c r="G1246" t="s">
        <v>115</v>
      </c>
      <c r="H1246" t="s">
        <v>68</v>
      </c>
      <c r="I1246" t="s">
        <v>61</v>
      </c>
      <c r="J1246" t="s">
        <v>70</v>
      </c>
      <c r="K1246" t="s">
        <v>45</v>
      </c>
      <c r="L1246">
        <v>3</v>
      </c>
      <c r="M1246">
        <v>151</v>
      </c>
      <c r="N1246">
        <v>22.65</v>
      </c>
      <c r="O1246">
        <v>20</v>
      </c>
      <c r="P1246">
        <v>453</v>
      </c>
      <c r="Q1246">
        <v>450.35</v>
      </c>
      <c r="R1246" t="s">
        <v>75</v>
      </c>
      <c r="S1246" t="s">
        <v>31</v>
      </c>
      <c r="T1246" t="s">
        <v>40</v>
      </c>
      <c r="U1246">
        <v>29</v>
      </c>
      <c r="V1246">
        <v>4.5</v>
      </c>
      <c r="W1246">
        <f>Table2[[#This Row],[Quantity]]*Table2[[#This Row],[Item_Price]]</f>
        <v>453</v>
      </c>
    </row>
    <row r="1247" spans="1:23" x14ac:dyDescent="0.25">
      <c r="A1247" t="s">
        <v>1344</v>
      </c>
      <c r="B1247" s="1">
        <v>45750</v>
      </c>
      <c r="C1247" t="s">
        <v>1315</v>
      </c>
      <c r="D1247">
        <v>4</v>
      </c>
      <c r="E1247">
        <v>3</v>
      </c>
      <c r="F1247" t="s">
        <v>88</v>
      </c>
      <c r="G1247" t="s">
        <v>90</v>
      </c>
      <c r="H1247" t="s">
        <v>48</v>
      </c>
      <c r="I1247" t="s">
        <v>43</v>
      </c>
      <c r="J1247" t="s">
        <v>53</v>
      </c>
      <c r="K1247" t="s">
        <v>45</v>
      </c>
      <c r="L1247">
        <v>3</v>
      </c>
      <c r="M1247">
        <v>642</v>
      </c>
      <c r="N1247">
        <v>32.1</v>
      </c>
      <c r="O1247">
        <v>40</v>
      </c>
      <c r="P1247">
        <v>1926</v>
      </c>
      <c r="Q1247">
        <v>1933.9</v>
      </c>
      <c r="R1247" t="s">
        <v>75</v>
      </c>
      <c r="S1247" t="s">
        <v>91</v>
      </c>
      <c r="T1247" t="s">
        <v>40</v>
      </c>
      <c r="U1247">
        <v>25</v>
      </c>
      <c r="W1247">
        <f>Table2[[#This Row],[Quantity]]*Table2[[#This Row],[Item_Price]]</f>
        <v>1926</v>
      </c>
    </row>
    <row r="1248" spans="1:23" x14ac:dyDescent="0.25">
      <c r="A1248" t="s">
        <v>1345</v>
      </c>
      <c r="B1248" s="1">
        <v>45750</v>
      </c>
      <c r="C1248" t="s">
        <v>1315</v>
      </c>
      <c r="D1248">
        <v>4</v>
      </c>
      <c r="E1248">
        <v>3</v>
      </c>
      <c r="F1248" t="s">
        <v>88</v>
      </c>
      <c r="G1248" t="s">
        <v>34</v>
      </c>
      <c r="H1248" t="s">
        <v>105</v>
      </c>
      <c r="I1248" t="s">
        <v>97</v>
      </c>
      <c r="J1248" t="s">
        <v>119</v>
      </c>
      <c r="K1248" t="s">
        <v>38</v>
      </c>
      <c r="L1248">
        <v>2</v>
      </c>
      <c r="M1248">
        <v>493</v>
      </c>
      <c r="N1248">
        <v>73.95</v>
      </c>
      <c r="O1248">
        <v>20</v>
      </c>
      <c r="P1248">
        <v>986</v>
      </c>
      <c r="Q1248">
        <v>932.05</v>
      </c>
      <c r="R1248" t="s">
        <v>30</v>
      </c>
      <c r="S1248" t="s">
        <v>110</v>
      </c>
      <c r="T1248" t="s">
        <v>32</v>
      </c>
      <c r="U1248">
        <v>36</v>
      </c>
      <c r="W1248">
        <f>Table2[[#This Row],[Quantity]]*Table2[[#This Row],[Item_Price]]</f>
        <v>986</v>
      </c>
    </row>
    <row r="1249" spans="1:23" x14ac:dyDescent="0.25">
      <c r="A1249" t="s">
        <v>1346</v>
      </c>
      <c r="B1249" s="1">
        <v>45750</v>
      </c>
      <c r="C1249" t="s">
        <v>1315</v>
      </c>
      <c r="D1249">
        <v>4</v>
      </c>
      <c r="E1249">
        <v>3</v>
      </c>
      <c r="F1249" t="s">
        <v>88</v>
      </c>
      <c r="G1249" t="s">
        <v>73</v>
      </c>
      <c r="H1249" t="s">
        <v>65</v>
      </c>
      <c r="I1249" t="s">
        <v>61</v>
      </c>
      <c r="J1249" t="s">
        <v>78</v>
      </c>
      <c r="K1249" t="s">
        <v>38</v>
      </c>
      <c r="L1249">
        <v>2</v>
      </c>
      <c r="M1249">
        <v>652</v>
      </c>
      <c r="N1249">
        <v>65.2</v>
      </c>
      <c r="O1249">
        <v>20</v>
      </c>
      <c r="P1249">
        <v>1304</v>
      </c>
      <c r="Q1249">
        <v>1258.8</v>
      </c>
      <c r="R1249" t="s">
        <v>112</v>
      </c>
      <c r="S1249" t="s">
        <v>31</v>
      </c>
      <c r="T1249" t="s">
        <v>40</v>
      </c>
      <c r="U1249">
        <v>37</v>
      </c>
      <c r="V1249">
        <v>4.2</v>
      </c>
      <c r="W1249">
        <f>Table2[[#This Row],[Quantity]]*Table2[[#This Row],[Item_Price]]</f>
        <v>1304</v>
      </c>
    </row>
    <row r="1250" spans="1:23" x14ac:dyDescent="0.25">
      <c r="A1250" t="s">
        <v>1347</v>
      </c>
      <c r="B1250" s="1">
        <v>45750</v>
      </c>
      <c r="C1250" t="s">
        <v>1315</v>
      </c>
      <c r="D1250">
        <v>4</v>
      </c>
      <c r="E1250">
        <v>3</v>
      </c>
      <c r="F1250" t="s">
        <v>88</v>
      </c>
      <c r="G1250" t="s">
        <v>64</v>
      </c>
      <c r="H1250" t="s">
        <v>60</v>
      </c>
      <c r="I1250" t="s">
        <v>49</v>
      </c>
      <c r="J1250" t="s">
        <v>44</v>
      </c>
      <c r="K1250" t="s">
        <v>38</v>
      </c>
      <c r="L1250">
        <v>2</v>
      </c>
      <c r="M1250">
        <v>267</v>
      </c>
      <c r="N1250">
        <v>0</v>
      </c>
      <c r="O1250">
        <v>20</v>
      </c>
      <c r="P1250">
        <v>534</v>
      </c>
      <c r="Q1250">
        <v>554</v>
      </c>
      <c r="R1250" t="s">
        <v>98</v>
      </c>
      <c r="S1250" t="s">
        <v>31</v>
      </c>
      <c r="T1250" t="s">
        <v>32</v>
      </c>
      <c r="U1250">
        <v>22</v>
      </c>
      <c r="V1250">
        <v>4.4000000000000004</v>
      </c>
      <c r="W1250">
        <f>Table2[[#This Row],[Quantity]]*Table2[[#This Row],[Item_Price]]</f>
        <v>534</v>
      </c>
    </row>
    <row r="1251" spans="1:23" x14ac:dyDescent="0.25">
      <c r="A1251" t="s">
        <v>1348</v>
      </c>
      <c r="B1251" s="1">
        <v>45750</v>
      </c>
      <c r="C1251" t="s">
        <v>1315</v>
      </c>
      <c r="D1251">
        <v>4</v>
      </c>
      <c r="E1251">
        <v>3</v>
      </c>
      <c r="F1251" t="s">
        <v>88</v>
      </c>
      <c r="G1251" t="s">
        <v>80</v>
      </c>
      <c r="H1251" t="s">
        <v>81</v>
      </c>
      <c r="I1251" t="s">
        <v>36</v>
      </c>
      <c r="J1251" t="s">
        <v>74</v>
      </c>
      <c r="K1251" t="s">
        <v>38</v>
      </c>
      <c r="L1251">
        <v>2</v>
      </c>
      <c r="M1251">
        <v>760</v>
      </c>
      <c r="N1251">
        <v>114</v>
      </c>
      <c r="O1251">
        <v>20</v>
      </c>
      <c r="P1251">
        <v>1520</v>
      </c>
      <c r="Q1251">
        <v>1426</v>
      </c>
      <c r="R1251" t="s">
        <v>112</v>
      </c>
      <c r="S1251" t="s">
        <v>46</v>
      </c>
      <c r="T1251" t="s">
        <v>40</v>
      </c>
      <c r="U1251">
        <v>62</v>
      </c>
      <c r="W1251">
        <f>Table2[[#This Row],[Quantity]]*Table2[[#This Row],[Item_Price]]</f>
        <v>1520</v>
      </c>
    </row>
    <row r="1252" spans="1:23" x14ac:dyDescent="0.25">
      <c r="A1252" t="s">
        <v>1349</v>
      </c>
      <c r="B1252" s="1">
        <v>45750</v>
      </c>
      <c r="C1252" t="s">
        <v>1315</v>
      </c>
      <c r="D1252">
        <v>4</v>
      </c>
      <c r="E1252">
        <v>3</v>
      </c>
      <c r="F1252" t="s">
        <v>88</v>
      </c>
      <c r="G1252" t="s">
        <v>25</v>
      </c>
      <c r="H1252" t="s">
        <v>77</v>
      </c>
      <c r="I1252" t="s">
        <v>27</v>
      </c>
      <c r="J1252" t="s">
        <v>28</v>
      </c>
      <c r="K1252" t="s">
        <v>45</v>
      </c>
      <c r="L1252">
        <v>1</v>
      </c>
      <c r="M1252">
        <v>485</v>
      </c>
      <c r="N1252">
        <v>0</v>
      </c>
      <c r="O1252">
        <v>50</v>
      </c>
      <c r="P1252">
        <v>485</v>
      </c>
      <c r="Q1252">
        <v>535</v>
      </c>
      <c r="R1252" t="s">
        <v>30</v>
      </c>
      <c r="S1252" t="s">
        <v>31</v>
      </c>
      <c r="T1252" t="s">
        <v>32</v>
      </c>
      <c r="U1252">
        <v>30</v>
      </c>
      <c r="V1252">
        <v>4.5999999999999996</v>
      </c>
      <c r="W1252">
        <f>Table2[[#This Row],[Quantity]]*Table2[[#This Row],[Item_Price]]</f>
        <v>485</v>
      </c>
    </row>
    <row r="1253" spans="1:23" x14ac:dyDescent="0.25">
      <c r="A1253" t="s">
        <v>1350</v>
      </c>
      <c r="B1253" s="1">
        <v>45750</v>
      </c>
      <c r="C1253" t="s">
        <v>1315</v>
      </c>
      <c r="D1253">
        <v>4</v>
      </c>
      <c r="E1253">
        <v>3</v>
      </c>
      <c r="F1253" t="s">
        <v>88</v>
      </c>
      <c r="G1253" t="s">
        <v>34</v>
      </c>
      <c r="H1253" t="s">
        <v>56</v>
      </c>
      <c r="I1253" t="s">
        <v>49</v>
      </c>
      <c r="J1253" t="s">
        <v>101</v>
      </c>
      <c r="K1253" t="s">
        <v>38</v>
      </c>
      <c r="L1253">
        <v>3</v>
      </c>
      <c r="M1253">
        <v>626</v>
      </c>
      <c r="N1253">
        <v>93.9</v>
      </c>
      <c r="O1253">
        <v>0</v>
      </c>
      <c r="P1253">
        <v>1878</v>
      </c>
      <c r="Q1253">
        <v>1784.1</v>
      </c>
      <c r="R1253" t="s">
        <v>98</v>
      </c>
      <c r="S1253" t="s">
        <v>31</v>
      </c>
      <c r="T1253" t="s">
        <v>32</v>
      </c>
      <c r="U1253">
        <v>31</v>
      </c>
      <c r="V1253">
        <v>3.5</v>
      </c>
      <c r="W1253">
        <f>Table2[[#This Row],[Quantity]]*Table2[[#This Row],[Item_Price]]</f>
        <v>1878</v>
      </c>
    </row>
    <row r="1254" spans="1:23" x14ac:dyDescent="0.25">
      <c r="A1254" t="s">
        <v>1351</v>
      </c>
      <c r="B1254" s="1">
        <v>45750</v>
      </c>
      <c r="C1254" t="s">
        <v>1315</v>
      </c>
      <c r="D1254">
        <v>4</v>
      </c>
      <c r="E1254">
        <v>3</v>
      </c>
      <c r="F1254" t="s">
        <v>88</v>
      </c>
      <c r="G1254" t="s">
        <v>25</v>
      </c>
      <c r="H1254" t="s">
        <v>105</v>
      </c>
      <c r="I1254" t="s">
        <v>43</v>
      </c>
      <c r="J1254" t="s">
        <v>94</v>
      </c>
      <c r="K1254" t="s">
        <v>38</v>
      </c>
      <c r="L1254">
        <v>1</v>
      </c>
      <c r="M1254">
        <v>853</v>
      </c>
      <c r="N1254">
        <v>213.25</v>
      </c>
      <c r="O1254">
        <v>20</v>
      </c>
      <c r="P1254">
        <v>853</v>
      </c>
      <c r="Q1254">
        <v>659.75</v>
      </c>
      <c r="R1254" t="s">
        <v>75</v>
      </c>
      <c r="S1254" t="s">
        <v>31</v>
      </c>
      <c r="T1254" t="s">
        <v>40</v>
      </c>
      <c r="U1254">
        <v>39</v>
      </c>
      <c r="V1254">
        <v>4.9000000000000004</v>
      </c>
      <c r="W1254">
        <f>Table2[[#This Row],[Quantity]]*Table2[[#This Row],[Item_Price]]</f>
        <v>853</v>
      </c>
    </row>
    <row r="1255" spans="1:23" x14ac:dyDescent="0.25">
      <c r="A1255" t="s">
        <v>1352</v>
      </c>
      <c r="B1255" s="1">
        <v>45750</v>
      </c>
      <c r="C1255" t="s">
        <v>1315</v>
      </c>
      <c r="D1255">
        <v>4</v>
      </c>
      <c r="E1255">
        <v>3</v>
      </c>
      <c r="F1255" t="s">
        <v>88</v>
      </c>
      <c r="G1255" t="s">
        <v>25</v>
      </c>
      <c r="H1255" t="s">
        <v>35</v>
      </c>
      <c r="I1255" t="s">
        <v>27</v>
      </c>
      <c r="J1255" t="s">
        <v>50</v>
      </c>
      <c r="K1255" t="s">
        <v>38</v>
      </c>
      <c r="L1255">
        <v>2</v>
      </c>
      <c r="M1255">
        <v>183</v>
      </c>
      <c r="N1255">
        <v>27.45</v>
      </c>
      <c r="O1255">
        <v>60</v>
      </c>
      <c r="P1255">
        <v>366</v>
      </c>
      <c r="Q1255">
        <v>398.55</v>
      </c>
      <c r="R1255" t="s">
        <v>98</v>
      </c>
      <c r="S1255" t="s">
        <v>31</v>
      </c>
      <c r="T1255" t="s">
        <v>32</v>
      </c>
      <c r="U1255">
        <v>66</v>
      </c>
      <c r="V1255">
        <v>3</v>
      </c>
      <c r="W1255">
        <f>Table2[[#This Row],[Quantity]]*Table2[[#This Row],[Item_Price]]</f>
        <v>366</v>
      </c>
    </row>
    <row r="1256" spans="1:23" x14ac:dyDescent="0.25">
      <c r="A1256" t="s">
        <v>1353</v>
      </c>
      <c r="B1256" s="1">
        <v>45750</v>
      </c>
      <c r="C1256" t="s">
        <v>1315</v>
      </c>
      <c r="D1256">
        <v>4</v>
      </c>
      <c r="E1256">
        <v>3</v>
      </c>
      <c r="F1256" t="s">
        <v>88</v>
      </c>
      <c r="G1256" t="s">
        <v>80</v>
      </c>
      <c r="H1256" t="s">
        <v>139</v>
      </c>
      <c r="I1256" t="s">
        <v>57</v>
      </c>
      <c r="J1256" t="s">
        <v>74</v>
      </c>
      <c r="K1256" t="s">
        <v>38</v>
      </c>
      <c r="L1256">
        <v>3</v>
      </c>
      <c r="M1256">
        <v>732</v>
      </c>
      <c r="N1256">
        <v>109.8</v>
      </c>
      <c r="O1256">
        <v>40</v>
      </c>
      <c r="P1256">
        <v>2196</v>
      </c>
      <c r="Q1256">
        <v>2126.1999999999998</v>
      </c>
      <c r="R1256" t="s">
        <v>98</v>
      </c>
      <c r="S1256" t="s">
        <v>110</v>
      </c>
      <c r="T1256" t="s">
        <v>40</v>
      </c>
      <c r="U1256">
        <v>69</v>
      </c>
      <c r="W1256">
        <f>Table2[[#This Row],[Quantity]]*Table2[[#This Row],[Item_Price]]</f>
        <v>2196</v>
      </c>
    </row>
    <row r="1257" spans="1:23" x14ac:dyDescent="0.25">
      <c r="A1257" t="s">
        <v>1354</v>
      </c>
      <c r="B1257" s="1">
        <v>45750</v>
      </c>
      <c r="C1257" t="s">
        <v>1315</v>
      </c>
      <c r="D1257">
        <v>4</v>
      </c>
      <c r="E1257">
        <v>3</v>
      </c>
      <c r="F1257" t="s">
        <v>88</v>
      </c>
      <c r="G1257" t="s">
        <v>80</v>
      </c>
      <c r="H1257" t="s">
        <v>77</v>
      </c>
      <c r="I1257" t="s">
        <v>36</v>
      </c>
      <c r="J1257" t="s">
        <v>101</v>
      </c>
      <c r="K1257" t="s">
        <v>38</v>
      </c>
      <c r="L1257">
        <v>1</v>
      </c>
      <c r="M1257">
        <v>207</v>
      </c>
      <c r="N1257">
        <v>31.05</v>
      </c>
      <c r="O1257">
        <v>30</v>
      </c>
      <c r="P1257">
        <v>207</v>
      </c>
      <c r="Q1257">
        <v>205.95</v>
      </c>
      <c r="R1257" t="s">
        <v>30</v>
      </c>
      <c r="S1257" t="s">
        <v>31</v>
      </c>
      <c r="T1257" t="s">
        <v>32</v>
      </c>
      <c r="U1257">
        <v>31</v>
      </c>
      <c r="V1257">
        <v>5</v>
      </c>
      <c r="W1257">
        <f>Table2[[#This Row],[Quantity]]*Table2[[#This Row],[Item_Price]]</f>
        <v>207</v>
      </c>
    </row>
    <row r="1258" spans="1:23" x14ac:dyDescent="0.25">
      <c r="A1258" t="s">
        <v>1355</v>
      </c>
      <c r="B1258" s="1">
        <v>45750</v>
      </c>
      <c r="C1258" t="s">
        <v>1315</v>
      </c>
      <c r="D1258">
        <v>4</v>
      </c>
      <c r="E1258">
        <v>3</v>
      </c>
      <c r="F1258" t="s">
        <v>88</v>
      </c>
      <c r="G1258" t="s">
        <v>80</v>
      </c>
      <c r="H1258" t="s">
        <v>48</v>
      </c>
      <c r="I1258" t="s">
        <v>27</v>
      </c>
      <c r="J1258" t="s">
        <v>172</v>
      </c>
      <c r="K1258" t="s">
        <v>38</v>
      </c>
      <c r="L1258">
        <v>1</v>
      </c>
      <c r="M1258">
        <v>795</v>
      </c>
      <c r="N1258">
        <v>79.5</v>
      </c>
      <c r="O1258">
        <v>50</v>
      </c>
      <c r="P1258">
        <v>795</v>
      </c>
      <c r="Q1258">
        <v>765.5</v>
      </c>
      <c r="R1258" t="s">
        <v>112</v>
      </c>
      <c r="S1258" t="s">
        <v>31</v>
      </c>
      <c r="T1258" t="s">
        <v>40</v>
      </c>
      <c r="U1258">
        <v>48</v>
      </c>
      <c r="V1258">
        <v>3.4</v>
      </c>
      <c r="W1258">
        <f>Table2[[#This Row],[Quantity]]*Table2[[#This Row],[Item_Price]]</f>
        <v>795</v>
      </c>
    </row>
    <row r="1259" spans="1:23" x14ac:dyDescent="0.25">
      <c r="A1259" t="s">
        <v>1356</v>
      </c>
      <c r="B1259" s="1">
        <v>45750</v>
      </c>
      <c r="C1259" t="s">
        <v>1315</v>
      </c>
      <c r="D1259">
        <v>4</v>
      </c>
      <c r="E1259">
        <v>3</v>
      </c>
      <c r="F1259" t="s">
        <v>88</v>
      </c>
      <c r="G1259" t="s">
        <v>115</v>
      </c>
      <c r="H1259" t="s">
        <v>56</v>
      </c>
      <c r="I1259" t="s">
        <v>57</v>
      </c>
      <c r="J1259" t="s">
        <v>28</v>
      </c>
      <c r="K1259" t="s">
        <v>45</v>
      </c>
      <c r="L1259">
        <v>2</v>
      </c>
      <c r="M1259">
        <v>234</v>
      </c>
      <c r="N1259">
        <v>11.7</v>
      </c>
      <c r="O1259">
        <v>50</v>
      </c>
      <c r="P1259">
        <v>468</v>
      </c>
      <c r="Q1259">
        <v>506.3</v>
      </c>
      <c r="R1259" t="s">
        <v>75</v>
      </c>
      <c r="S1259" t="s">
        <v>31</v>
      </c>
      <c r="T1259" t="s">
        <v>40</v>
      </c>
      <c r="U1259">
        <v>53</v>
      </c>
      <c r="V1259">
        <v>4.5999999999999996</v>
      </c>
      <c r="W1259">
        <f>Table2[[#This Row],[Quantity]]*Table2[[#This Row],[Item_Price]]</f>
        <v>468</v>
      </c>
    </row>
    <row r="1260" spans="1:23" x14ac:dyDescent="0.25">
      <c r="A1260" t="s">
        <v>1357</v>
      </c>
      <c r="B1260" s="1">
        <v>45751</v>
      </c>
      <c r="C1260" t="s">
        <v>1315</v>
      </c>
      <c r="D1260">
        <v>4</v>
      </c>
      <c r="E1260">
        <v>4</v>
      </c>
      <c r="F1260" t="s">
        <v>114</v>
      </c>
      <c r="G1260" t="s">
        <v>80</v>
      </c>
      <c r="H1260" t="s">
        <v>60</v>
      </c>
      <c r="I1260" t="s">
        <v>36</v>
      </c>
      <c r="J1260" t="s">
        <v>50</v>
      </c>
      <c r="K1260" t="s">
        <v>38</v>
      </c>
      <c r="L1260">
        <v>1</v>
      </c>
      <c r="M1260">
        <v>421</v>
      </c>
      <c r="N1260">
        <v>84.2</v>
      </c>
      <c r="O1260">
        <v>0</v>
      </c>
      <c r="P1260">
        <v>421</v>
      </c>
      <c r="Q1260">
        <v>336.8</v>
      </c>
      <c r="R1260" t="s">
        <v>75</v>
      </c>
      <c r="S1260" t="s">
        <v>46</v>
      </c>
      <c r="T1260" t="s">
        <v>32</v>
      </c>
      <c r="U1260">
        <v>51</v>
      </c>
      <c r="W1260">
        <f>Table2[[#This Row],[Quantity]]*Table2[[#This Row],[Item_Price]]</f>
        <v>421</v>
      </c>
    </row>
    <row r="1261" spans="1:23" x14ac:dyDescent="0.25">
      <c r="A1261" t="s">
        <v>1358</v>
      </c>
      <c r="B1261" s="1">
        <v>45751</v>
      </c>
      <c r="C1261" t="s">
        <v>1315</v>
      </c>
      <c r="D1261">
        <v>4</v>
      </c>
      <c r="E1261">
        <v>4</v>
      </c>
      <c r="F1261" t="s">
        <v>114</v>
      </c>
      <c r="G1261" t="s">
        <v>115</v>
      </c>
      <c r="H1261" t="s">
        <v>48</v>
      </c>
      <c r="I1261" t="s">
        <v>49</v>
      </c>
      <c r="J1261" t="s">
        <v>37</v>
      </c>
      <c r="K1261" t="s">
        <v>45</v>
      </c>
      <c r="L1261">
        <v>2</v>
      </c>
      <c r="M1261">
        <v>233</v>
      </c>
      <c r="N1261">
        <v>46.6</v>
      </c>
      <c r="O1261">
        <v>20</v>
      </c>
      <c r="P1261">
        <v>466</v>
      </c>
      <c r="Q1261">
        <v>439.4</v>
      </c>
      <c r="R1261" t="s">
        <v>112</v>
      </c>
      <c r="S1261" t="s">
        <v>31</v>
      </c>
      <c r="T1261" t="s">
        <v>40</v>
      </c>
      <c r="U1261">
        <v>25</v>
      </c>
      <c r="V1261">
        <v>4.3</v>
      </c>
      <c r="W1261">
        <f>Table2[[#This Row],[Quantity]]*Table2[[#This Row],[Item_Price]]</f>
        <v>466</v>
      </c>
    </row>
    <row r="1262" spans="1:23" x14ac:dyDescent="0.25">
      <c r="A1262" t="s">
        <v>1359</v>
      </c>
      <c r="B1262" s="1">
        <v>45751</v>
      </c>
      <c r="C1262" t="s">
        <v>1315</v>
      </c>
      <c r="D1262">
        <v>4</v>
      </c>
      <c r="E1262">
        <v>4</v>
      </c>
      <c r="F1262" t="s">
        <v>114</v>
      </c>
      <c r="G1262" t="s">
        <v>64</v>
      </c>
      <c r="H1262" t="s">
        <v>105</v>
      </c>
      <c r="I1262" t="s">
        <v>69</v>
      </c>
      <c r="J1262" t="s">
        <v>44</v>
      </c>
      <c r="K1262" t="s">
        <v>38</v>
      </c>
      <c r="L1262">
        <v>1</v>
      </c>
      <c r="M1262">
        <v>622</v>
      </c>
      <c r="N1262">
        <v>155.5</v>
      </c>
      <c r="O1262">
        <v>60</v>
      </c>
      <c r="P1262">
        <v>622</v>
      </c>
      <c r="Q1262">
        <v>526.5</v>
      </c>
      <c r="R1262" t="s">
        <v>39</v>
      </c>
      <c r="S1262" t="s">
        <v>31</v>
      </c>
      <c r="T1262" t="s">
        <v>40</v>
      </c>
      <c r="U1262">
        <v>34</v>
      </c>
      <c r="V1262">
        <v>4.4000000000000004</v>
      </c>
      <c r="W1262">
        <f>Table2[[#This Row],[Quantity]]*Table2[[#This Row],[Item_Price]]</f>
        <v>622</v>
      </c>
    </row>
    <row r="1263" spans="1:23" x14ac:dyDescent="0.25">
      <c r="A1263" t="s">
        <v>1360</v>
      </c>
      <c r="B1263" s="1">
        <v>45751</v>
      </c>
      <c r="C1263" t="s">
        <v>1315</v>
      </c>
      <c r="D1263">
        <v>4</v>
      </c>
      <c r="E1263">
        <v>4</v>
      </c>
      <c r="F1263" t="s">
        <v>114</v>
      </c>
      <c r="G1263" t="s">
        <v>34</v>
      </c>
      <c r="H1263" t="s">
        <v>35</v>
      </c>
      <c r="I1263" t="s">
        <v>36</v>
      </c>
      <c r="J1263" t="s">
        <v>78</v>
      </c>
      <c r="K1263" t="s">
        <v>38</v>
      </c>
      <c r="L1263">
        <v>1</v>
      </c>
      <c r="M1263">
        <v>294</v>
      </c>
      <c r="N1263">
        <v>58.8</v>
      </c>
      <c r="O1263">
        <v>20</v>
      </c>
      <c r="P1263">
        <v>294</v>
      </c>
      <c r="Q1263">
        <v>255.2</v>
      </c>
      <c r="R1263" t="s">
        <v>75</v>
      </c>
      <c r="S1263" t="s">
        <v>31</v>
      </c>
      <c r="T1263" t="s">
        <v>32</v>
      </c>
      <c r="U1263">
        <v>31</v>
      </c>
      <c r="V1263">
        <v>3.8</v>
      </c>
      <c r="W1263">
        <f>Table2[[#This Row],[Quantity]]*Table2[[#This Row],[Item_Price]]</f>
        <v>294</v>
      </c>
    </row>
    <row r="1264" spans="1:23" x14ac:dyDescent="0.25">
      <c r="A1264" t="s">
        <v>1361</v>
      </c>
      <c r="B1264" s="1">
        <v>45751</v>
      </c>
      <c r="C1264" t="s">
        <v>1315</v>
      </c>
      <c r="D1264">
        <v>4</v>
      </c>
      <c r="E1264">
        <v>4</v>
      </c>
      <c r="F1264" t="s">
        <v>114</v>
      </c>
      <c r="G1264" t="s">
        <v>80</v>
      </c>
      <c r="H1264" t="s">
        <v>139</v>
      </c>
      <c r="I1264" t="s">
        <v>69</v>
      </c>
      <c r="J1264" t="s">
        <v>53</v>
      </c>
      <c r="K1264" t="s">
        <v>45</v>
      </c>
      <c r="L1264">
        <v>2</v>
      </c>
      <c r="M1264">
        <v>522</v>
      </c>
      <c r="N1264">
        <v>26.1</v>
      </c>
      <c r="O1264">
        <v>60</v>
      </c>
      <c r="P1264">
        <v>1044</v>
      </c>
      <c r="Q1264">
        <v>1077.9000000000001</v>
      </c>
      <c r="R1264" t="s">
        <v>75</v>
      </c>
      <c r="S1264" t="s">
        <v>46</v>
      </c>
      <c r="T1264" t="s">
        <v>40</v>
      </c>
      <c r="U1264">
        <v>33</v>
      </c>
      <c r="W1264">
        <f>Table2[[#This Row],[Quantity]]*Table2[[#This Row],[Item_Price]]</f>
        <v>1044</v>
      </c>
    </row>
    <row r="1265" spans="1:23" x14ac:dyDescent="0.25">
      <c r="A1265" t="s">
        <v>1362</v>
      </c>
      <c r="B1265" s="1">
        <v>45751</v>
      </c>
      <c r="C1265" t="s">
        <v>1315</v>
      </c>
      <c r="D1265">
        <v>4</v>
      </c>
      <c r="E1265">
        <v>4</v>
      </c>
      <c r="F1265" t="s">
        <v>114</v>
      </c>
      <c r="G1265" t="s">
        <v>84</v>
      </c>
      <c r="H1265" t="s">
        <v>135</v>
      </c>
      <c r="I1265" t="s">
        <v>97</v>
      </c>
      <c r="J1265" t="s">
        <v>172</v>
      </c>
      <c r="K1265" t="s">
        <v>45</v>
      </c>
      <c r="L1265">
        <v>3</v>
      </c>
      <c r="M1265">
        <v>252</v>
      </c>
      <c r="N1265">
        <v>12.6</v>
      </c>
      <c r="O1265">
        <v>30</v>
      </c>
      <c r="P1265">
        <v>756</v>
      </c>
      <c r="Q1265">
        <v>773.4</v>
      </c>
      <c r="R1265" t="s">
        <v>75</v>
      </c>
      <c r="S1265" t="s">
        <v>31</v>
      </c>
      <c r="T1265" t="s">
        <v>40</v>
      </c>
      <c r="U1265">
        <v>48</v>
      </c>
      <c r="V1265">
        <v>3.4</v>
      </c>
      <c r="W1265">
        <f>Table2[[#This Row],[Quantity]]*Table2[[#This Row],[Item_Price]]</f>
        <v>756</v>
      </c>
    </row>
    <row r="1266" spans="1:23" x14ac:dyDescent="0.25">
      <c r="A1266" t="s">
        <v>1363</v>
      </c>
      <c r="B1266" s="1">
        <v>45751</v>
      </c>
      <c r="C1266" t="s">
        <v>1315</v>
      </c>
      <c r="D1266">
        <v>4</v>
      </c>
      <c r="E1266">
        <v>4</v>
      </c>
      <c r="F1266" t="s">
        <v>114</v>
      </c>
      <c r="G1266" t="s">
        <v>73</v>
      </c>
      <c r="H1266" t="s">
        <v>56</v>
      </c>
      <c r="I1266" t="s">
        <v>36</v>
      </c>
      <c r="J1266" t="s">
        <v>123</v>
      </c>
      <c r="K1266" t="s">
        <v>38</v>
      </c>
      <c r="L1266">
        <v>1</v>
      </c>
      <c r="M1266">
        <v>606</v>
      </c>
      <c r="N1266">
        <v>0</v>
      </c>
      <c r="O1266">
        <v>40</v>
      </c>
      <c r="P1266">
        <v>606</v>
      </c>
      <c r="Q1266">
        <v>646</v>
      </c>
      <c r="R1266" t="s">
        <v>30</v>
      </c>
      <c r="S1266" t="s">
        <v>31</v>
      </c>
      <c r="T1266" t="s">
        <v>32</v>
      </c>
      <c r="U1266">
        <v>49</v>
      </c>
      <c r="V1266">
        <v>3.3</v>
      </c>
      <c r="W1266">
        <f>Table2[[#This Row],[Quantity]]*Table2[[#This Row],[Item_Price]]</f>
        <v>606</v>
      </c>
    </row>
    <row r="1267" spans="1:23" x14ac:dyDescent="0.25">
      <c r="A1267" t="s">
        <v>1364</v>
      </c>
      <c r="B1267" s="1">
        <v>45751</v>
      </c>
      <c r="C1267" t="s">
        <v>1315</v>
      </c>
      <c r="D1267">
        <v>4</v>
      </c>
      <c r="E1267">
        <v>4</v>
      </c>
      <c r="F1267" t="s">
        <v>114</v>
      </c>
      <c r="G1267" t="s">
        <v>64</v>
      </c>
      <c r="H1267" t="s">
        <v>35</v>
      </c>
      <c r="I1267" t="s">
        <v>61</v>
      </c>
      <c r="J1267" t="s">
        <v>101</v>
      </c>
      <c r="K1267" t="s">
        <v>45</v>
      </c>
      <c r="L1267">
        <v>2</v>
      </c>
      <c r="M1267">
        <v>158</v>
      </c>
      <c r="N1267">
        <v>31.6</v>
      </c>
      <c r="O1267">
        <v>50</v>
      </c>
      <c r="P1267">
        <v>316</v>
      </c>
      <c r="Q1267">
        <v>334.4</v>
      </c>
      <c r="R1267" t="s">
        <v>112</v>
      </c>
      <c r="S1267" t="s">
        <v>91</v>
      </c>
      <c r="T1267" t="s">
        <v>32</v>
      </c>
      <c r="U1267">
        <v>44</v>
      </c>
      <c r="W1267">
        <f>Table2[[#This Row],[Quantity]]*Table2[[#This Row],[Item_Price]]</f>
        <v>316</v>
      </c>
    </row>
    <row r="1268" spans="1:23" x14ac:dyDescent="0.25">
      <c r="A1268" t="s">
        <v>1365</v>
      </c>
      <c r="B1268" s="1">
        <v>45751</v>
      </c>
      <c r="C1268" t="s">
        <v>1315</v>
      </c>
      <c r="D1268">
        <v>4</v>
      </c>
      <c r="E1268">
        <v>4</v>
      </c>
      <c r="F1268" t="s">
        <v>114</v>
      </c>
      <c r="G1268" t="s">
        <v>80</v>
      </c>
      <c r="H1268" t="s">
        <v>105</v>
      </c>
      <c r="I1268" t="s">
        <v>61</v>
      </c>
      <c r="J1268" t="s">
        <v>50</v>
      </c>
      <c r="K1268" t="s">
        <v>38</v>
      </c>
      <c r="L1268">
        <v>1</v>
      </c>
      <c r="M1268">
        <v>124</v>
      </c>
      <c r="N1268">
        <v>24.8</v>
      </c>
      <c r="O1268">
        <v>60</v>
      </c>
      <c r="P1268">
        <v>124</v>
      </c>
      <c r="Q1268">
        <v>159.19999999999999</v>
      </c>
      <c r="R1268" t="s">
        <v>75</v>
      </c>
      <c r="S1268" t="s">
        <v>110</v>
      </c>
      <c r="T1268" t="s">
        <v>32</v>
      </c>
      <c r="U1268">
        <v>62</v>
      </c>
      <c r="W1268">
        <f>Table2[[#This Row],[Quantity]]*Table2[[#This Row],[Item_Price]]</f>
        <v>124</v>
      </c>
    </row>
    <row r="1269" spans="1:23" x14ac:dyDescent="0.25">
      <c r="A1269" t="s">
        <v>1366</v>
      </c>
      <c r="B1269" s="1">
        <v>45751</v>
      </c>
      <c r="C1269" t="s">
        <v>1315</v>
      </c>
      <c r="D1269">
        <v>4</v>
      </c>
      <c r="E1269">
        <v>4</v>
      </c>
      <c r="F1269" t="s">
        <v>114</v>
      </c>
      <c r="G1269" t="s">
        <v>34</v>
      </c>
      <c r="H1269" t="s">
        <v>108</v>
      </c>
      <c r="I1269" t="s">
        <v>85</v>
      </c>
      <c r="J1269" t="s">
        <v>74</v>
      </c>
      <c r="K1269" t="s">
        <v>38</v>
      </c>
      <c r="L1269">
        <v>1</v>
      </c>
      <c r="M1269">
        <v>450</v>
      </c>
      <c r="N1269">
        <v>22.5</v>
      </c>
      <c r="O1269">
        <v>60</v>
      </c>
      <c r="P1269">
        <v>450</v>
      </c>
      <c r="Q1269">
        <v>487.5</v>
      </c>
      <c r="R1269" t="s">
        <v>30</v>
      </c>
      <c r="S1269" t="s">
        <v>31</v>
      </c>
      <c r="T1269" t="s">
        <v>32</v>
      </c>
      <c r="U1269">
        <v>33</v>
      </c>
      <c r="V1269">
        <v>3.1</v>
      </c>
      <c r="W1269">
        <f>Table2[[#This Row],[Quantity]]*Table2[[#This Row],[Item_Price]]</f>
        <v>450</v>
      </c>
    </row>
    <row r="1270" spans="1:23" x14ac:dyDescent="0.25">
      <c r="A1270" t="s">
        <v>1367</v>
      </c>
      <c r="B1270" s="1">
        <v>45752</v>
      </c>
      <c r="C1270" t="s">
        <v>1315</v>
      </c>
      <c r="D1270">
        <v>4</v>
      </c>
      <c r="E1270">
        <v>5</v>
      </c>
      <c r="F1270" t="s">
        <v>134</v>
      </c>
      <c r="G1270" t="s">
        <v>64</v>
      </c>
      <c r="H1270" t="s">
        <v>108</v>
      </c>
      <c r="I1270" t="s">
        <v>27</v>
      </c>
      <c r="J1270" t="s">
        <v>82</v>
      </c>
      <c r="K1270" t="s">
        <v>45</v>
      </c>
      <c r="L1270">
        <v>2</v>
      </c>
      <c r="M1270">
        <v>503</v>
      </c>
      <c r="N1270">
        <v>75.45</v>
      </c>
      <c r="O1270">
        <v>30</v>
      </c>
      <c r="P1270">
        <v>1006</v>
      </c>
      <c r="Q1270">
        <v>960.55</v>
      </c>
      <c r="R1270" t="s">
        <v>30</v>
      </c>
      <c r="S1270" t="s">
        <v>110</v>
      </c>
      <c r="T1270" t="s">
        <v>32</v>
      </c>
      <c r="U1270">
        <v>39</v>
      </c>
      <c r="W1270">
        <f>Table2[[#This Row],[Quantity]]*Table2[[#This Row],[Item_Price]]</f>
        <v>1006</v>
      </c>
    </row>
    <row r="1271" spans="1:23" x14ac:dyDescent="0.25">
      <c r="A1271" t="s">
        <v>1368</v>
      </c>
      <c r="B1271" s="1">
        <v>45752</v>
      </c>
      <c r="C1271" t="s">
        <v>1315</v>
      </c>
      <c r="D1271">
        <v>4</v>
      </c>
      <c r="E1271">
        <v>5</v>
      </c>
      <c r="F1271" t="s">
        <v>134</v>
      </c>
      <c r="G1271" t="s">
        <v>84</v>
      </c>
      <c r="H1271" t="s">
        <v>105</v>
      </c>
      <c r="I1271" t="s">
        <v>85</v>
      </c>
      <c r="J1271" t="s">
        <v>82</v>
      </c>
      <c r="K1271" t="s">
        <v>38</v>
      </c>
      <c r="L1271">
        <v>1</v>
      </c>
      <c r="M1271">
        <v>216</v>
      </c>
      <c r="N1271">
        <v>21.6</v>
      </c>
      <c r="O1271">
        <v>50</v>
      </c>
      <c r="P1271">
        <v>216</v>
      </c>
      <c r="Q1271">
        <v>244.4</v>
      </c>
      <c r="R1271" t="s">
        <v>30</v>
      </c>
      <c r="S1271" t="s">
        <v>31</v>
      </c>
      <c r="T1271" t="s">
        <v>40</v>
      </c>
      <c r="U1271">
        <v>62</v>
      </c>
      <c r="V1271">
        <v>3.7</v>
      </c>
      <c r="W1271">
        <f>Table2[[#This Row],[Quantity]]*Table2[[#This Row],[Item_Price]]</f>
        <v>216</v>
      </c>
    </row>
    <row r="1272" spans="1:23" x14ac:dyDescent="0.25">
      <c r="A1272" t="s">
        <v>1369</v>
      </c>
      <c r="B1272" s="1">
        <v>45752</v>
      </c>
      <c r="C1272" t="s">
        <v>1315</v>
      </c>
      <c r="D1272">
        <v>4</v>
      </c>
      <c r="E1272">
        <v>5</v>
      </c>
      <c r="F1272" t="s">
        <v>134</v>
      </c>
      <c r="G1272" t="s">
        <v>64</v>
      </c>
      <c r="H1272" t="s">
        <v>65</v>
      </c>
      <c r="I1272" t="s">
        <v>69</v>
      </c>
      <c r="J1272" t="s">
        <v>53</v>
      </c>
      <c r="K1272" t="s">
        <v>38</v>
      </c>
      <c r="L1272">
        <v>3</v>
      </c>
      <c r="M1272">
        <v>260</v>
      </c>
      <c r="N1272">
        <v>13</v>
      </c>
      <c r="O1272">
        <v>30</v>
      </c>
      <c r="P1272">
        <v>780</v>
      </c>
      <c r="Q1272">
        <v>797</v>
      </c>
      <c r="R1272" t="s">
        <v>112</v>
      </c>
      <c r="S1272" t="s">
        <v>31</v>
      </c>
      <c r="T1272" t="s">
        <v>40</v>
      </c>
      <c r="U1272">
        <v>56</v>
      </c>
      <c r="V1272">
        <v>4.9000000000000004</v>
      </c>
      <c r="W1272">
        <f>Table2[[#This Row],[Quantity]]*Table2[[#This Row],[Item_Price]]</f>
        <v>780</v>
      </c>
    </row>
    <row r="1273" spans="1:23" x14ac:dyDescent="0.25">
      <c r="A1273" t="s">
        <v>1370</v>
      </c>
      <c r="B1273" s="1">
        <v>45752</v>
      </c>
      <c r="C1273" t="s">
        <v>1315</v>
      </c>
      <c r="D1273">
        <v>4</v>
      </c>
      <c r="E1273">
        <v>5</v>
      </c>
      <c r="F1273" t="s">
        <v>134</v>
      </c>
      <c r="G1273" t="s">
        <v>34</v>
      </c>
      <c r="H1273" t="s">
        <v>65</v>
      </c>
      <c r="I1273" t="s">
        <v>27</v>
      </c>
      <c r="J1273" t="s">
        <v>66</v>
      </c>
      <c r="K1273" t="s">
        <v>38</v>
      </c>
      <c r="L1273">
        <v>1</v>
      </c>
      <c r="M1273">
        <v>158</v>
      </c>
      <c r="N1273">
        <v>31.6</v>
      </c>
      <c r="O1273">
        <v>0</v>
      </c>
      <c r="P1273">
        <v>158</v>
      </c>
      <c r="Q1273">
        <v>126.4</v>
      </c>
      <c r="R1273" t="s">
        <v>98</v>
      </c>
      <c r="S1273" t="s">
        <v>46</v>
      </c>
      <c r="T1273" t="s">
        <v>32</v>
      </c>
      <c r="U1273">
        <v>59</v>
      </c>
      <c r="W1273">
        <f>Table2[[#This Row],[Quantity]]*Table2[[#This Row],[Item_Price]]</f>
        <v>158</v>
      </c>
    </row>
    <row r="1274" spans="1:23" x14ac:dyDescent="0.25">
      <c r="A1274" t="s">
        <v>1371</v>
      </c>
      <c r="B1274" s="1">
        <v>45752</v>
      </c>
      <c r="C1274" t="s">
        <v>1315</v>
      </c>
      <c r="D1274">
        <v>4</v>
      </c>
      <c r="E1274">
        <v>5</v>
      </c>
      <c r="F1274" t="s">
        <v>134</v>
      </c>
      <c r="G1274" t="s">
        <v>80</v>
      </c>
      <c r="H1274" t="s">
        <v>68</v>
      </c>
      <c r="I1274" t="s">
        <v>103</v>
      </c>
      <c r="J1274" t="s">
        <v>74</v>
      </c>
      <c r="K1274" t="s">
        <v>38</v>
      </c>
      <c r="L1274">
        <v>1</v>
      </c>
      <c r="M1274">
        <v>663</v>
      </c>
      <c r="N1274">
        <v>99.45</v>
      </c>
      <c r="O1274">
        <v>20</v>
      </c>
      <c r="P1274">
        <v>663</v>
      </c>
      <c r="Q1274">
        <v>583.54999999999995</v>
      </c>
      <c r="R1274" t="s">
        <v>30</v>
      </c>
      <c r="S1274" t="s">
        <v>31</v>
      </c>
      <c r="T1274" t="s">
        <v>32</v>
      </c>
      <c r="U1274">
        <v>33</v>
      </c>
      <c r="V1274">
        <v>4</v>
      </c>
      <c r="W1274">
        <f>Table2[[#This Row],[Quantity]]*Table2[[#This Row],[Item_Price]]</f>
        <v>663</v>
      </c>
    </row>
    <row r="1275" spans="1:23" x14ac:dyDescent="0.25">
      <c r="A1275" t="s">
        <v>1372</v>
      </c>
      <c r="B1275" s="1">
        <v>45752</v>
      </c>
      <c r="C1275" t="s">
        <v>1315</v>
      </c>
      <c r="D1275">
        <v>4</v>
      </c>
      <c r="E1275">
        <v>5</v>
      </c>
      <c r="F1275" t="s">
        <v>134</v>
      </c>
      <c r="G1275" t="s">
        <v>25</v>
      </c>
      <c r="H1275" t="s">
        <v>56</v>
      </c>
      <c r="I1275" t="s">
        <v>61</v>
      </c>
      <c r="J1275" t="s">
        <v>50</v>
      </c>
      <c r="K1275" t="s">
        <v>38</v>
      </c>
      <c r="L1275">
        <v>2</v>
      </c>
      <c r="M1275">
        <v>645</v>
      </c>
      <c r="N1275">
        <v>96.75</v>
      </c>
      <c r="O1275">
        <v>20</v>
      </c>
      <c r="P1275">
        <v>1290</v>
      </c>
      <c r="Q1275">
        <v>1213.25</v>
      </c>
      <c r="R1275" t="s">
        <v>30</v>
      </c>
      <c r="S1275" t="s">
        <v>31</v>
      </c>
      <c r="T1275" t="s">
        <v>40</v>
      </c>
      <c r="U1275">
        <v>66</v>
      </c>
      <c r="V1275">
        <v>4.7</v>
      </c>
      <c r="W1275">
        <f>Table2[[#This Row],[Quantity]]*Table2[[#This Row],[Item_Price]]</f>
        <v>1290</v>
      </c>
    </row>
    <row r="1276" spans="1:23" x14ac:dyDescent="0.25">
      <c r="A1276" t="s">
        <v>1373</v>
      </c>
      <c r="B1276" s="1">
        <v>45752</v>
      </c>
      <c r="C1276" t="s">
        <v>1315</v>
      </c>
      <c r="D1276">
        <v>4</v>
      </c>
      <c r="E1276">
        <v>5</v>
      </c>
      <c r="F1276" t="s">
        <v>134</v>
      </c>
      <c r="G1276" t="s">
        <v>64</v>
      </c>
      <c r="H1276" t="s">
        <v>135</v>
      </c>
      <c r="I1276" t="s">
        <v>43</v>
      </c>
      <c r="J1276" t="s">
        <v>53</v>
      </c>
      <c r="K1276" t="s">
        <v>38</v>
      </c>
      <c r="L1276">
        <v>3</v>
      </c>
      <c r="M1276">
        <v>767</v>
      </c>
      <c r="N1276">
        <v>153.4</v>
      </c>
      <c r="O1276">
        <v>30</v>
      </c>
      <c r="P1276">
        <v>2301</v>
      </c>
      <c r="Q1276">
        <v>2177.6</v>
      </c>
      <c r="R1276" t="s">
        <v>30</v>
      </c>
      <c r="S1276" t="s">
        <v>110</v>
      </c>
      <c r="T1276" t="s">
        <v>40</v>
      </c>
      <c r="U1276">
        <v>29</v>
      </c>
      <c r="W1276">
        <f>Table2[[#This Row],[Quantity]]*Table2[[#This Row],[Item_Price]]</f>
        <v>2301</v>
      </c>
    </row>
    <row r="1277" spans="1:23" x14ac:dyDescent="0.25">
      <c r="A1277" t="s">
        <v>1374</v>
      </c>
      <c r="B1277" s="1">
        <v>45752</v>
      </c>
      <c r="C1277" t="s">
        <v>1315</v>
      </c>
      <c r="D1277">
        <v>4</v>
      </c>
      <c r="E1277">
        <v>5</v>
      </c>
      <c r="F1277" t="s">
        <v>134</v>
      </c>
      <c r="G1277" t="s">
        <v>73</v>
      </c>
      <c r="H1277" t="s">
        <v>60</v>
      </c>
      <c r="I1277" t="s">
        <v>57</v>
      </c>
      <c r="J1277" t="s">
        <v>37</v>
      </c>
      <c r="K1277" t="s">
        <v>58</v>
      </c>
      <c r="L1277">
        <v>2</v>
      </c>
      <c r="M1277">
        <v>881</v>
      </c>
      <c r="N1277">
        <v>0</v>
      </c>
      <c r="O1277">
        <v>0</v>
      </c>
      <c r="P1277">
        <v>1762</v>
      </c>
      <c r="Q1277">
        <v>1762</v>
      </c>
      <c r="R1277" t="s">
        <v>30</v>
      </c>
      <c r="S1277" t="s">
        <v>31</v>
      </c>
      <c r="T1277" t="s">
        <v>40</v>
      </c>
      <c r="U1277">
        <v>44</v>
      </c>
      <c r="V1277">
        <v>3.9</v>
      </c>
      <c r="W1277">
        <f>Table2[[#This Row],[Quantity]]*Table2[[#This Row],[Item_Price]]</f>
        <v>1762</v>
      </c>
    </row>
    <row r="1278" spans="1:23" x14ac:dyDescent="0.25">
      <c r="A1278" t="s">
        <v>1375</v>
      </c>
      <c r="B1278" s="1">
        <v>45752</v>
      </c>
      <c r="C1278" t="s">
        <v>1315</v>
      </c>
      <c r="D1278">
        <v>4</v>
      </c>
      <c r="E1278">
        <v>5</v>
      </c>
      <c r="F1278" t="s">
        <v>134</v>
      </c>
      <c r="G1278" t="s">
        <v>64</v>
      </c>
      <c r="H1278" t="s">
        <v>77</v>
      </c>
      <c r="I1278" t="s">
        <v>27</v>
      </c>
      <c r="J1278" t="s">
        <v>123</v>
      </c>
      <c r="K1278" t="s">
        <v>38</v>
      </c>
      <c r="L1278">
        <v>1</v>
      </c>
      <c r="M1278">
        <v>386</v>
      </c>
      <c r="N1278">
        <v>0</v>
      </c>
      <c r="O1278">
        <v>20</v>
      </c>
      <c r="P1278">
        <v>386</v>
      </c>
      <c r="Q1278">
        <v>406</v>
      </c>
      <c r="R1278" t="s">
        <v>39</v>
      </c>
      <c r="S1278" t="s">
        <v>31</v>
      </c>
      <c r="T1278" t="s">
        <v>40</v>
      </c>
      <c r="U1278">
        <v>25</v>
      </c>
      <c r="V1278">
        <v>4.8</v>
      </c>
      <c r="W1278">
        <f>Table2[[#This Row],[Quantity]]*Table2[[#This Row],[Item_Price]]</f>
        <v>386</v>
      </c>
    </row>
    <row r="1279" spans="1:23" x14ac:dyDescent="0.25">
      <c r="A1279" t="s">
        <v>1376</v>
      </c>
      <c r="B1279" s="1">
        <v>45752</v>
      </c>
      <c r="C1279" t="s">
        <v>1315</v>
      </c>
      <c r="D1279">
        <v>4</v>
      </c>
      <c r="E1279">
        <v>5</v>
      </c>
      <c r="F1279" t="s">
        <v>134</v>
      </c>
      <c r="G1279" t="s">
        <v>96</v>
      </c>
      <c r="H1279" t="s">
        <v>77</v>
      </c>
      <c r="I1279" t="s">
        <v>103</v>
      </c>
      <c r="J1279" t="s">
        <v>66</v>
      </c>
      <c r="K1279" t="s">
        <v>29</v>
      </c>
      <c r="L1279">
        <v>1</v>
      </c>
      <c r="M1279">
        <v>362</v>
      </c>
      <c r="N1279">
        <v>54.3</v>
      </c>
      <c r="O1279">
        <v>60</v>
      </c>
      <c r="P1279">
        <v>362</v>
      </c>
      <c r="Q1279">
        <v>367.7</v>
      </c>
      <c r="R1279" t="s">
        <v>39</v>
      </c>
      <c r="S1279" t="s">
        <v>31</v>
      </c>
      <c r="T1279" t="s">
        <v>32</v>
      </c>
      <c r="U1279">
        <v>32</v>
      </c>
      <c r="V1279">
        <v>5</v>
      </c>
      <c r="W1279">
        <f>Table2[[#This Row],[Quantity]]*Table2[[#This Row],[Item_Price]]</f>
        <v>362</v>
      </c>
    </row>
    <row r="1280" spans="1:23" x14ac:dyDescent="0.25">
      <c r="A1280" t="s">
        <v>1377</v>
      </c>
      <c r="B1280" s="1">
        <v>45752</v>
      </c>
      <c r="C1280" t="s">
        <v>1315</v>
      </c>
      <c r="D1280">
        <v>4</v>
      </c>
      <c r="E1280">
        <v>5</v>
      </c>
      <c r="F1280" t="s">
        <v>134</v>
      </c>
      <c r="G1280" t="s">
        <v>73</v>
      </c>
      <c r="H1280" t="s">
        <v>60</v>
      </c>
      <c r="I1280" t="s">
        <v>27</v>
      </c>
      <c r="J1280" t="s">
        <v>50</v>
      </c>
      <c r="K1280" t="s">
        <v>38</v>
      </c>
      <c r="L1280">
        <v>2</v>
      </c>
      <c r="M1280">
        <v>516</v>
      </c>
      <c r="N1280">
        <v>103.2</v>
      </c>
      <c r="O1280">
        <v>30</v>
      </c>
      <c r="P1280">
        <v>1032</v>
      </c>
      <c r="Q1280">
        <v>958.8</v>
      </c>
      <c r="R1280" t="s">
        <v>39</v>
      </c>
      <c r="S1280" t="s">
        <v>31</v>
      </c>
      <c r="T1280" t="s">
        <v>32</v>
      </c>
      <c r="U1280">
        <v>18</v>
      </c>
      <c r="V1280">
        <v>3.8</v>
      </c>
      <c r="W1280">
        <f>Table2[[#This Row],[Quantity]]*Table2[[#This Row],[Item_Price]]</f>
        <v>1032</v>
      </c>
    </row>
    <row r="1281" spans="1:23" x14ac:dyDescent="0.25">
      <c r="A1281" t="s">
        <v>1378</v>
      </c>
      <c r="B1281" s="1">
        <v>45752</v>
      </c>
      <c r="C1281" t="s">
        <v>1315</v>
      </c>
      <c r="D1281">
        <v>4</v>
      </c>
      <c r="E1281">
        <v>5</v>
      </c>
      <c r="F1281" t="s">
        <v>134</v>
      </c>
      <c r="G1281" t="s">
        <v>64</v>
      </c>
      <c r="H1281" t="s">
        <v>42</v>
      </c>
      <c r="I1281" t="s">
        <v>61</v>
      </c>
      <c r="J1281" t="s">
        <v>44</v>
      </c>
      <c r="K1281" t="s">
        <v>38</v>
      </c>
      <c r="L1281">
        <v>2</v>
      </c>
      <c r="M1281">
        <v>164</v>
      </c>
      <c r="N1281">
        <v>16.399999999999999</v>
      </c>
      <c r="O1281">
        <v>30</v>
      </c>
      <c r="P1281">
        <v>328</v>
      </c>
      <c r="Q1281">
        <v>341.6</v>
      </c>
      <c r="R1281" t="s">
        <v>75</v>
      </c>
      <c r="S1281" t="s">
        <v>31</v>
      </c>
      <c r="T1281" t="s">
        <v>40</v>
      </c>
      <c r="U1281">
        <v>55</v>
      </c>
      <c r="V1281">
        <v>3.7</v>
      </c>
      <c r="W1281">
        <f>Table2[[#This Row],[Quantity]]*Table2[[#This Row],[Item_Price]]</f>
        <v>328</v>
      </c>
    </row>
    <row r="1282" spans="1:23" x14ac:dyDescent="0.25">
      <c r="A1282" t="s">
        <v>1379</v>
      </c>
      <c r="B1282" s="1">
        <v>45753</v>
      </c>
      <c r="C1282" t="s">
        <v>1315</v>
      </c>
      <c r="D1282">
        <v>4</v>
      </c>
      <c r="E1282">
        <v>6</v>
      </c>
      <c r="F1282" t="s">
        <v>149</v>
      </c>
      <c r="G1282" t="s">
        <v>80</v>
      </c>
      <c r="H1282" t="s">
        <v>108</v>
      </c>
      <c r="I1282" t="s">
        <v>43</v>
      </c>
      <c r="J1282" t="s">
        <v>74</v>
      </c>
      <c r="K1282" t="s">
        <v>38</v>
      </c>
      <c r="L1282">
        <v>1</v>
      </c>
      <c r="M1282">
        <v>783</v>
      </c>
      <c r="N1282">
        <v>39.15</v>
      </c>
      <c r="O1282">
        <v>20</v>
      </c>
      <c r="P1282">
        <v>783</v>
      </c>
      <c r="Q1282">
        <v>763.85</v>
      </c>
      <c r="R1282" t="s">
        <v>112</v>
      </c>
      <c r="S1282" t="s">
        <v>31</v>
      </c>
      <c r="T1282" t="s">
        <v>32</v>
      </c>
      <c r="U1282">
        <v>56</v>
      </c>
      <c r="V1282">
        <v>4.5</v>
      </c>
      <c r="W1282">
        <f>Table2[[#This Row],[Quantity]]*Table2[[#This Row],[Item_Price]]</f>
        <v>783</v>
      </c>
    </row>
    <row r="1283" spans="1:23" x14ac:dyDescent="0.25">
      <c r="A1283" t="s">
        <v>1380</v>
      </c>
      <c r="B1283" s="1">
        <v>45753</v>
      </c>
      <c r="C1283" t="s">
        <v>1315</v>
      </c>
      <c r="D1283">
        <v>4</v>
      </c>
      <c r="E1283">
        <v>6</v>
      </c>
      <c r="F1283" t="s">
        <v>149</v>
      </c>
      <c r="G1283" t="s">
        <v>73</v>
      </c>
      <c r="H1283" t="s">
        <v>35</v>
      </c>
      <c r="I1283" t="s">
        <v>49</v>
      </c>
      <c r="J1283" t="s">
        <v>74</v>
      </c>
      <c r="K1283" t="s">
        <v>38</v>
      </c>
      <c r="L1283">
        <v>1</v>
      </c>
      <c r="M1283">
        <v>560</v>
      </c>
      <c r="N1283">
        <v>56</v>
      </c>
      <c r="O1283">
        <v>30</v>
      </c>
      <c r="P1283">
        <v>560</v>
      </c>
      <c r="Q1283">
        <v>534</v>
      </c>
      <c r="R1283" t="s">
        <v>98</v>
      </c>
      <c r="S1283" t="s">
        <v>31</v>
      </c>
      <c r="T1283" t="s">
        <v>40</v>
      </c>
      <c r="U1283">
        <v>69</v>
      </c>
      <c r="V1283">
        <v>3.1</v>
      </c>
      <c r="W1283">
        <f>Table2[[#This Row],[Quantity]]*Table2[[#This Row],[Item_Price]]</f>
        <v>560</v>
      </c>
    </row>
    <row r="1284" spans="1:23" x14ac:dyDescent="0.25">
      <c r="A1284" t="s">
        <v>1381</v>
      </c>
      <c r="B1284" s="1">
        <v>45753</v>
      </c>
      <c r="C1284" t="s">
        <v>1315</v>
      </c>
      <c r="D1284">
        <v>4</v>
      </c>
      <c r="E1284">
        <v>6</v>
      </c>
      <c r="F1284" t="s">
        <v>149</v>
      </c>
      <c r="G1284" t="s">
        <v>64</v>
      </c>
      <c r="H1284" t="s">
        <v>42</v>
      </c>
      <c r="I1284" t="s">
        <v>85</v>
      </c>
      <c r="J1284" t="s">
        <v>44</v>
      </c>
      <c r="K1284" t="s">
        <v>38</v>
      </c>
      <c r="L1284">
        <v>2</v>
      </c>
      <c r="M1284">
        <v>291</v>
      </c>
      <c r="N1284">
        <v>43.65</v>
      </c>
      <c r="O1284">
        <v>30</v>
      </c>
      <c r="P1284">
        <v>582</v>
      </c>
      <c r="Q1284">
        <v>568.35</v>
      </c>
      <c r="R1284" t="s">
        <v>30</v>
      </c>
      <c r="S1284" t="s">
        <v>31</v>
      </c>
      <c r="T1284" t="s">
        <v>32</v>
      </c>
      <c r="U1284">
        <v>21</v>
      </c>
      <c r="V1284">
        <v>4</v>
      </c>
      <c r="W1284">
        <f>Table2[[#This Row],[Quantity]]*Table2[[#This Row],[Item_Price]]</f>
        <v>582</v>
      </c>
    </row>
    <row r="1285" spans="1:23" x14ac:dyDescent="0.25">
      <c r="A1285" t="s">
        <v>1382</v>
      </c>
      <c r="B1285" s="1">
        <v>45753</v>
      </c>
      <c r="C1285" t="s">
        <v>1315</v>
      </c>
      <c r="D1285">
        <v>4</v>
      </c>
      <c r="E1285">
        <v>6</v>
      </c>
      <c r="F1285" t="s">
        <v>149</v>
      </c>
      <c r="G1285" t="s">
        <v>64</v>
      </c>
      <c r="H1285" t="s">
        <v>77</v>
      </c>
      <c r="I1285" t="s">
        <v>36</v>
      </c>
      <c r="J1285" t="s">
        <v>123</v>
      </c>
      <c r="K1285" t="s">
        <v>38</v>
      </c>
      <c r="L1285">
        <v>3</v>
      </c>
      <c r="M1285">
        <v>542</v>
      </c>
      <c r="N1285">
        <v>27.1</v>
      </c>
      <c r="O1285">
        <v>40</v>
      </c>
      <c r="P1285">
        <v>1626</v>
      </c>
      <c r="Q1285">
        <v>1638.9</v>
      </c>
      <c r="R1285" t="s">
        <v>39</v>
      </c>
      <c r="S1285" t="s">
        <v>110</v>
      </c>
      <c r="T1285" t="s">
        <v>40</v>
      </c>
      <c r="U1285">
        <v>22</v>
      </c>
      <c r="W1285">
        <f>Table2[[#This Row],[Quantity]]*Table2[[#This Row],[Item_Price]]</f>
        <v>1626</v>
      </c>
    </row>
    <row r="1286" spans="1:23" x14ac:dyDescent="0.25">
      <c r="A1286" t="s">
        <v>1383</v>
      </c>
      <c r="B1286" s="1">
        <v>45753</v>
      </c>
      <c r="C1286" t="s">
        <v>1315</v>
      </c>
      <c r="D1286">
        <v>4</v>
      </c>
      <c r="E1286">
        <v>6</v>
      </c>
      <c r="F1286" t="s">
        <v>149</v>
      </c>
      <c r="G1286" t="s">
        <v>34</v>
      </c>
      <c r="H1286" t="s">
        <v>139</v>
      </c>
      <c r="I1286" t="s">
        <v>49</v>
      </c>
      <c r="J1286" t="s">
        <v>70</v>
      </c>
      <c r="K1286" t="s">
        <v>45</v>
      </c>
      <c r="L1286">
        <v>1</v>
      </c>
      <c r="M1286">
        <v>216</v>
      </c>
      <c r="N1286">
        <v>43.2</v>
      </c>
      <c r="O1286">
        <v>70</v>
      </c>
      <c r="P1286">
        <v>216</v>
      </c>
      <c r="Q1286">
        <v>242.8</v>
      </c>
      <c r="R1286" t="s">
        <v>112</v>
      </c>
      <c r="S1286" t="s">
        <v>31</v>
      </c>
      <c r="T1286" t="s">
        <v>40</v>
      </c>
      <c r="U1286">
        <v>35</v>
      </c>
      <c r="V1286">
        <v>5</v>
      </c>
      <c r="W1286">
        <f>Table2[[#This Row],[Quantity]]*Table2[[#This Row],[Item_Price]]</f>
        <v>216</v>
      </c>
    </row>
    <row r="1287" spans="1:23" x14ac:dyDescent="0.25">
      <c r="A1287" t="s">
        <v>1384</v>
      </c>
      <c r="B1287" s="1">
        <v>45753</v>
      </c>
      <c r="C1287" t="s">
        <v>1315</v>
      </c>
      <c r="D1287">
        <v>4</v>
      </c>
      <c r="E1287">
        <v>6</v>
      </c>
      <c r="F1287" t="s">
        <v>149</v>
      </c>
      <c r="G1287" t="s">
        <v>73</v>
      </c>
      <c r="H1287" t="s">
        <v>26</v>
      </c>
      <c r="I1287" t="s">
        <v>57</v>
      </c>
      <c r="J1287" t="s">
        <v>78</v>
      </c>
      <c r="K1287" t="s">
        <v>38</v>
      </c>
      <c r="L1287">
        <v>2</v>
      </c>
      <c r="M1287">
        <v>663</v>
      </c>
      <c r="N1287">
        <v>132.6</v>
      </c>
      <c r="O1287">
        <v>20</v>
      </c>
      <c r="P1287">
        <v>1326</v>
      </c>
      <c r="Q1287">
        <v>1213.4000000000001</v>
      </c>
      <c r="R1287" t="s">
        <v>30</v>
      </c>
      <c r="S1287" t="s">
        <v>31</v>
      </c>
      <c r="T1287" t="s">
        <v>40</v>
      </c>
      <c r="U1287">
        <v>68</v>
      </c>
      <c r="V1287">
        <v>4.4000000000000004</v>
      </c>
      <c r="W1287">
        <f>Table2[[#This Row],[Quantity]]*Table2[[#This Row],[Item_Price]]</f>
        <v>1326</v>
      </c>
    </row>
    <row r="1288" spans="1:23" x14ac:dyDescent="0.25">
      <c r="A1288" t="s">
        <v>1385</v>
      </c>
      <c r="B1288" s="1">
        <v>45753</v>
      </c>
      <c r="C1288" t="s">
        <v>1315</v>
      </c>
      <c r="D1288">
        <v>4</v>
      </c>
      <c r="E1288">
        <v>6</v>
      </c>
      <c r="F1288" t="s">
        <v>149</v>
      </c>
      <c r="G1288" t="s">
        <v>80</v>
      </c>
      <c r="H1288" t="s">
        <v>65</v>
      </c>
      <c r="I1288" t="s">
        <v>27</v>
      </c>
      <c r="J1288" t="s">
        <v>44</v>
      </c>
      <c r="K1288" t="s">
        <v>38</v>
      </c>
      <c r="L1288">
        <v>1</v>
      </c>
      <c r="M1288">
        <v>353</v>
      </c>
      <c r="N1288">
        <v>52.95</v>
      </c>
      <c r="O1288">
        <v>40</v>
      </c>
      <c r="P1288">
        <v>353</v>
      </c>
      <c r="Q1288">
        <v>340.05</v>
      </c>
      <c r="R1288" t="s">
        <v>39</v>
      </c>
      <c r="S1288" t="s">
        <v>31</v>
      </c>
      <c r="T1288" t="s">
        <v>40</v>
      </c>
      <c r="U1288">
        <v>56</v>
      </c>
      <c r="V1288">
        <v>5</v>
      </c>
      <c r="W1288">
        <f>Table2[[#This Row],[Quantity]]*Table2[[#This Row],[Item_Price]]</f>
        <v>353</v>
      </c>
    </row>
    <row r="1289" spans="1:23" x14ac:dyDescent="0.25">
      <c r="A1289" t="s">
        <v>1386</v>
      </c>
      <c r="B1289" s="1">
        <v>45753</v>
      </c>
      <c r="C1289" t="s">
        <v>1315</v>
      </c>
      <c r="D1289">
        <v>4</v>
      </c>
      <c r="E1289">
        <v>6</v>
      </c>
      <c r="F1289" t="s">
        <v>149</v>
      </c>
      <c r="G1289" t="s">
        <v>64</v>
      </c>
      <c r="H1289" t="s">
        <v>108</v>
      </c>
      <c r="I1289" t="s">
        <v>85</v>
      </c>
      <c r="J1289" t="s">
        <v>82</v>
      </c>
      <c r="K1289" t="s">
        <v>38</v>
      </c>
      <c r="L1289">
        <v>1</v>
      </c>
      <c r="M1289">
        <v>427</v>
      </c>
      <c r="N1289">
        <v>42.7</v>
      </c>
      <c r="O1289">
        <v>40</v>
      </c>
      <c r="P1289">
        <v>427</v>
      </c>
      <c r="Q1289">
        <v>424.3</v>
      </c>
      <c r="R1289" t="s">
        <v>39</v>
      </c>
      <c r="S1289" t="s">
        <v>110</v>
      </c>
      <c r="T1289" t="s">
        <v>40</v>
      </c>
      <c r="U1289">
        <v>52</v>
      </c>
      <c r="W1289">
        <f>Table2[[#This Row],[Quantity]]*Table2[[#This Row],[Item_Price]]</f>
        <v>427</v>
      </c>
    </row>
    <row r="1290" spans="1:23" x14ac:dyDescent="0.25">
      <c r="A1290" t="s">
        <v>1387</v>
      </c>
      <c r="B1290" s="1">
        <v>45753</v>
      </c>
      <c r="C1290" t="s">
        <v>1315</v>
      </c>
      <c r="D1290">
        <v>4</v>
      </c>
      <c r="E1290">
        <v>6</v>
      </c>
      <c r="F1290" t="s">
        <v>149</v>
      </c>
      <c r="G1290" t="s">
        <v>25</v>
      </c>
      <c r="H1290" t="s">
        <v>68</v>
      </c>
      <c r="I1290" t="s">
        <v>57</v>
      </c>
      <c r="J1290" t="s">
        <v>123</v>
      </c>
      <c r="K1290" t="s">
        <v>45</v>
      </c>
      <c r="L1290">
        <v>2</v>
      </c>
      <c r="M1290">
        <v>876</v>
      </c>
      <c r="N1290">
        <v>131.4</v>
      </c>
      <c r="O1290">
        <v>0</v>
      </c>
      <c r="P1290">
        <v>1752</v>
      </c>
      <c r="Q1290">
        <v>1620.6</v>
      </c>
      <c r="R1290" t="s">
        <v>39</v>
      </c>
      <c r="S1290" t="s">
        <v>31</v>
      </c>
      <c r="T1290" t="s">
        <v>32</v>
      </c>
      <c r="U1290">
        <v>33</v>
      </c>
      <c r="V1290">
        <v>5</v>
      </c>
      <c r="W1290">
        <f>Table2[[#This Row],[Quantity]]*Table2[[#This Row],[Item_Price]]</f>
        <v>1752</v>
      </c>
    </row>
    <row r="1291" spans="1:23" x14ac:dyDescent="0.25">
      <c r="A1291" t="s">
        <v>1388</v>
      </c>
      <c r="B1291" s="1">
        <v>45753</v>
      </c>
      <c r="C1291" t="s">
        <v>1315</v>
      </c>
      <c r="D1291">
        <v>4</v>
      </c>
      <c r="E1291">
        <v>6</v>
      </c>
      <c r="F1291" t="s">
        <v>149</v>
      </c>
      <c r="G1291" t="s">
        <v>115</v>
      </c>
      <c r="H1291" t="s">
        <v>48</v>
      </c>
      <c r="I1291" t="s">
        <v>49</v>
      </c>
      <c r="J1291" t="s">
        <v>62</v>
      </c>
      <c r="K1291" t="s">
        <v>38</v>
      </c>
      <c r="L1291">
        <v>1</v>
      </c>
      <c r="M1291">
        <v>542</v>
      </c>
      <c r="N1291">
        <v>81.3</v>
      </c>
      <c r="O1291">
        <v>60</v>
      </c>
      <c r="P1291">
        <v>542</v>
      </c>
      <c r="Q1291">
        <v>520.70000000000005</v>
      </c>
      <c r="R1291" t="s">
        <v>39</v>
      </c>
      <c r="S1291" t="s">
        <v>31</v>
      </c>
      <c r="T1291" t="s">
        <v>40</v>
      </c>
      <c r="U1291">
        <v>38</v>
      </c>
      <c r="V1291">
        <v>3.7</v>
      </c>
      <c r="W1291">
        <f>Table2[[#This Row],[Quantity]]*Table2[[#This Row],[Item_Price]]</f>
        <v>542</v>
      </c>
    </row>
    <row r="1292" spans="1:23" x14ac:dyDescent="0.25">
      <c r="A1292" t="s">
        <v>1389</v>
      </c>
      <c r="B1292" s="1">
        <v>45753</v>
      </c>
      <c r="C1292" t="s">
        <v>1315</v>
      </c>
      <c r="D1292">
        <v>4</v>
      </c>
      <c r="E1292">
        <v>6</v>
      </c>
      <c r="F1292" t="s">
        <v>149</v>
      </c>
      <c r="G1292" t="s">
        <v>34</v>
      </c>
      <c r="H1292" t="s">
        <v>42</v>
      </c>
      <c r="I1292" t="s">
        <v>57</v>
      </c>
      <c r="J1292" t="s">
        <v>172</v>
      </c>
      <c r="K1292" t="s">
        <v>38</v>
      </c>
      <c r="L1292">
        <v>1</v>
      </c>
      <c r="M1292">
        <v>631</v>
      </c>
      <c r="N1292">
        <v>63.1</v>
      </c>
      <c r="O1292">
        <v>50</v>
      </c>
      <c r="P1292">
        <v>631</v>
      </c>
      <c r="Q1292">
        <v>617.9</v>
      </c>
      <c r="R1292" t="s">
        <v>39</v>
      </c>
      <c r="S1292" t="s">
        <v>31</v>
      </c>
      <c r="T1292" t="s">
        <v>40</v>
      </c>
      <c r="U1292">
        <v>62</v>
      </c>
      <c r="V1292">
        <v>3.3</v>
      </c>
      <c r="W1292">
        <f>Table2[[#This Row],[Quantity]]*Table2[[#This Row],[Item_Price]]</f>
        <v>631</v>
      </c>
    </row>
    <row r="1293" spans="1:23" x14ac:dyDescent="0.25">
      <c r="A1293" t="s">
        <v>1390</v>
      </c>
      <c r="B1293" s="1">
        <v>45753</v>
      </c>
      <c r="C1293" t="s">
        <v>1315</v>
      </c>
      <c r="D1293">
        <v>4</v>
      </c>
      <c r="E1293">
        <v>6</v>
      </c>
      <c r="F1293" t="s">
        <v>149</v>
      </c>
      <c r="G1293" t="s">
        <v>115</v>
      </c>
      <c r="H1293" t="s">
        <v>135</v>
      </c>
      <c r="I1293" t="s">
        <v>97</v>
      </c>
      <c r="J1293" t="s">
        <v>44</v>
      </c>
      <c r="K1293" t="s">
        <v>45</v>
      </c>
      <c r="L1293">
        <v>1</v>
      </c>
      <c r="M1293">
        <v>419</v>
      </c>
      <c r="N1293">
        <v>62.85</v>
      </c>
      <c r="O1293">
        <v>70</v>
      </c>
      <c r="P1293">
        <v>419</v>
      </c>
      <c r="Q1293">
        <v>426.15</v>
      </c>
      <c r="R1293" t="s">
        <v>30</v>
      </c>
      <c r="S1293" t="s">
        <v>31</v>
      </c>
      <c r="T1293" t="s">
        <v>40</v>
      </c>
      <c r="U1293">
        <v>49</v>
      </c>
      <c r="V1293">
        <v>3.6</v>
      </c>
      <c r="W1293">
        <f>Table2[[#This Row],[Quantity]]*Table2[[#This Row],[Item_Price]]</f>
        <v>419</v>
      </c>
    </row>
    <row r="1294" spans="1:23" x14ac:dyDescent="0.25">
      <c r="A1294" t="s">
        <v>1391</v>
      </c>
      <c r="B1294" s="1">
        <v>45753</v>
      </c>
      <c r="C1294" t="s">
        <v>1315</v>
      </c>
      <c r="D1294">
        <v>4</v>
      </c>
      <c r="E1294">
        <v>6</v>
      </c>
      <c r="F1294" t="s">
        <v>149</v>
      </c>
      <c r="G1294" t="s">
        <v>34</v>
      </c>
      <c r="H1294" t="s">
        <v>60</v>
      </c>
      <c r="I1294" t="s">
        <v>103</v>
      </c>
      <c r="J1294" t="s">
        <v>28</v>
      </c>
      <c r="K1294" t="s">
        <v>38</v>
      </c>
      <c r="L1294">
        <v>2</v>
      </c>
      <c r="M1294">
        <v>201</v>
      </c>
      <c r="N1294">
        <v>10.050000000000001</v>
      </c>
      <c r="O1294">
        <v>0</v>
      </c>
      <c r="P1294">
        <v>402</v>
      </c>
      <c r="Q1294">
        <v>391.95</v>
      </c>
      <c r="R1294" t="s">
        <v>112</v>
      </c>
      <c r="S1294" t="s">
        <v>31</v>
      </c>
      <c r="T1294" t="s">
        <v>40</v>
      </c>
      <c r="U1294">
        <v>58</v>
      </c>
      <c r="V1294">
        <v>3.9</v>
      </c>
      <c r="W1294">
        <f>Table2[[#This Row],[Quantity]]*Table2[[#This Row],[Item_Price]]</f>
        <v>402</v>
      </c>
    </row>
    <row r="1295" spans="1:23" x14ac:dyDescent="0.25">
      <c r="A1295" t="s">
        <v>1392</v>
      </c>
      <c r="B1295" s="1">
        <v>45753</v>
      </c>
      <c r="C1295" t="s">
        <v>1315</v>
      </c>
      <c r="D1295">
        <v>4</v>
      </c>
      <c r="E1295">
        <v>6</v>
      </c>
      <c r="F1295" t="s">
        <v>149</v>
      </c>
      <c r="G1295" t="s">
        <v>25</v>
      </c>
      <c r="H1295" t="s">
        <v>48</v>
      </c>
      <c r="I1295" t="s">
        <v>69</v>
      </c>
      <c r="J1295" t="s">
        <v>28</v>
      </c>
      <c r="K1295" t="s">
        <v>38</v>
      </c>
      <c r="L1295">
        <v>1</v>
      </c>
      <c r="M1295">
        <v>175</v>
      </c>
      <c r="N1295">
        <v>8.75</v>
      </c>
      <c r="O1295">
        <v>0</v>
      </c>
      <c r="P1295">
        <v>175</v>
      </c>
      <c r="Q1295">
        <v>166.25</v>
      </c>
      <c r="R1295" t="s">
        <v>39</v>
      </c>
      <c r="S1295" t="s">
        <v>31</v>
      </c>
      <c r="T1295" t="s">
        <v>40</v>
      </c>
      <c r="U1295">
        <v>26</v>
      </c>
      <c r="V1295">
        <v>5</v>
      </c>
      <c r="W1295">
        <f>Table2[[#This Row],[Quantity]]*Table2[[#This Row],[Item_Price]]</f>
        <v>175</v>
      </c>
    </row>
    <row r="1296" spans="1:23" x14ac:dyDescent="0.25">
      <c r="A1296" t="s">
        <v>1393</v>
      </c>
      <c r="B1296" s="1">
        <v>45754</v>
      </c>
      <c r="C1296" t="s">
        <v>1315</v>
      </c>
      <c r="D1296">
        <v>4</v>
      </c>
      <c r="E1296">
        <v>7</v>
      </c>
      <c r="F1296" t="s">
        <v>168</v>
      </c>
      <c r="G1296" t="s">
        <v>55</v>
      </c>
      <c r="H1296" t="s">
        <v>77</v>
      </c>
      <c r="I1296" t="s">
        <v>27</v>
      </c>
      <c r="J1296" t="s">
        <v>82</v>
      </c>
      <c r="K1296" t="s">
        <v>38</v>
      </c>
      <c r="L1296">
        <v>3</v>
      </c>
      <c r="M1296">
        <v>464</v>
      </c>
      <c r="N1296">
        <v>0</v>
      </c>
      <c r="O1296">
        <v>50</v>
      </c>
      <c r="P1296">
        <v>1392</v>
      </c>
      <c r="Q1296">
        <v>1442</v>
      </c>
      <c r="R1296" t="s">
        <v>39</v>
      </c>
      <c r="S1296" t="s">
        <v>31</v>
      </c>
      <c r="T1296" t="s">
        <v>40</v>
      </c>
      <c r="U1296">
        <v>34</v>
      </c>
      <c r="V1296">
        <v>5</v>
      </c>
      <c r="W1296">
        <f>Table2[[#This Row],[Quantity]]*Table2[[#This Row],[Item_Price]]</f>
        <v>1392</v>
      </c>
    </row>
    <row r="1297" spans="1:23" x14ac:dyDescent="0.25">
      <c r="A1297" t="s">
        <v>1394</v>
      </c>
      <c r="B1297" s="1">
        <v>45754</v>
      </c>
      <c r="C1297" t="s">
        <v>1315</v>
      </c>
      <c r="D1297">
        <v>4</v>
      </c>
      <c r="E1297">
        <v>7</v>
      </c>
      <c r="F1297" t="s">
        <v>168</v>
      </c>
      <c r="G1297" t="s">
        <v>34</v>
      </c>
      <c r="H1297" t="s">
        <v>81</v>
      </c>
      <c r="I1297" t="s">
        <v>27</v>
      </c>
      <c r="J1297" t="s">
        <v>74</v>
      </c>
      <c r="K1297" t="s">
        <v>38</v>
      </c>
      <c r="L1297">
        <v>3</v>
      </c>
      <c r="M1297">
        <v>755</v>
      </c>
      <c r="N1297">
        <v>37.75</v>
      </c>
      <c r="O1297">
        <v>30</v>
      </c>
      <c r="P1297">
        <v>2265</v>
      </c>
      <c r="Q1297">
        <v>2257.25</v>
      </c>
      <c r="R1297" t="s">
        <v>30</v>
      </c>
      <c r="S1297" t="s">
        <v>110</v>
      </c>
      <c r="T1297" t="s">
        <v>40</v>
      </c>
      <c r="U1297">
        <v>18</v>
      </c>
      <c r="W1297">
        <f>Table2[[#This Row],[Quantity]]*Table2[[#This Row],[Item_Price]]</f>
        <v>2265</v>
      </c>
    </row>
    <row r="1298" spans="1:23" x14ac:dyDescent="0.25">
      <c r="A1298" t="s">
        <v>1395</v>
      </c>
      <c r="B1298" s="1">
        <v>45754</v>
      </c>
      <c r="C1298" t="s">
        <v>1315</v>
      </c>
      <c r="D1298">
        <v>4</v>
      </c>
      <c r="E1298">
        <v>7</v>
      </c>
      <c r="F1298" t="s">
        <v>168</v>
      </c>
      <c r="G1298" t="s">
        <v>80</v>
      </c>
      <c r="H1298" t="s">
        <v>35</v>
      </c>
      <c r="I1298" t="s">
        <v>36</v>
      </c>
      <c r="J1298" t="s">
        <v>70</v>
      </c>
      <c r="K1298" t="s">
        <v>45</v>
      </c>
      <c r="L1298">
        <v>2</v>
      </c>
      <c r="M1298">
        <v>194</v>
      </c>
      <c r="N1298">
        <v>9.6999999999999993</v>
      </c>
      <c r="O1298">
        <v>0</v>
      </c>
      <c r="P1298">
        <v>388</v>
      </c>
      <c r="Q1298">
        <v>378.3</v>
      </c>
      <c r="R1298" t="s">
        <v>39</v>
      </c>
      <c r="S1298" t="s">
        <v>31</v>
      </c>
      <c r="T1298" t="s">
        <v>32</v>
      </c>
      <c r="U1298">
        <v>19</v>
      </c>
      <c r="V1298">
        <v>3.7</v>
      </c>
      <c r="W1298">
        <f>Table2[[#This Row],[Quantity]]*Table2[[#This Row],[Item_Price]]</f>
        <v>388</v>
      </c>
    </row>
    <row r="1299" spans="1:23" x14ac:dyDescent="0.25">
      <c r="A1299" t="s">
        <v>1396</v>
      </c>
      <c r="B1299" s="1">
        <v>45754</v>
      </c>
      <c r="C1299" t="s">
        <v>1315</v>
      </c>
      <c r="D1299">
        <v>4</v>
      </c>
      <c r="E1299">
        <v>7</v>
      </c>
      <c r="F1299" t="s">
        <v>168</v>
      </c>
      <c r="G1299" t="s">
        <v>115</v>
      </c>
      <c r="H1299" t="s">
        <v>81</v>
      </c>
      <c r="I1299" t="s">
        <v>61</v>
      </c>
      <c r="J1299" t="s">
        <v>94</v>
      </c>
      <c r="K1299" t="s">
        <v>45</v>
      </c>
      <c r="L1299">
        <v>1</v>
      </c>
      <c r="M1299">
        <v>436</v>
      </c>
      <c r="N1299">
        <v>43.6</v>
      </c>
      <c r="O1299">
        <v>40</v>
      </c>
      <c r="P1299">
        <v>436</v>
      </c>
      <c r="Q1299">
        <v>432.4</v>
      </c>
      <c r="R1299" t="s">
        <v>39</v>
      </c>
      <c r="S1299" t="s">
        <v>31</v>
      </c>
      <c r="T1299" t="s">
        <v>32</v>
      </c>
      <c r="U1299">
        <v>70</v>
      </c>
      <c r="V1299">
        <v>2.2999999999999998</v>
      </c>
      <c r="W1299">
        <f>Table2[[#This Row],[Quantity]]*Table2[[#This Row],[Item_Price]]</f>
        <v>436</v>
      </c>
    </row>
    <row r="1300" spans="1:23" x14ac:dyDescent="0.25">
      <c r="A1300" t="s">
        <v>1397</v>
      </c>
      <c r="B1300" s="1">
        <v>45754</v>
      </c>
      <c r="C1300" t="s">
        <v>1315</v>
      </c>
      <c r="D1300">
        <v>4</v>
      </c>
      <c r="E1300">
        <v>7</v>
      </c>
      <c r="F1300" t="s">
        <v>168</v>
      </c>
      <c r="G1300" t="s">
        <v>96</v>
      </c>
      <c r="H1300" t="s">
        <v>65</v>
      </c>
      <c r="I1300" t="s">
        <v>61</v>
      </c>
      <c r="J1300" t="s">
        <v>82</v>
      </c>
      <c r="K1300" t="s">
        <v>38</v>
      </c>
      <c r="L1300">
        <v>2</v>
      </c>
      <c r="M1300">
        <v>497</v>
      </c>
      <c r="N1300">
        <v>0</v>
      </c>
      <c r="O1300">
        <v>50</v>
      </c>
      <c r="P1300">
        <v>994</v>
      </c>
      <c r="Q1300">
        <v>1044</v>
      </c>
      <c r="R1300" t="s">
        <v>39</v>
      </c>
      <c r="S1300" t="s">
        <v>31</v>
      </c>
      <c r="T1300" t="s">
        <v>40</v>
      </c>
      <c r="U1300">
        <v>46</v>
      </c>
      <c r="V1300">
        <v>3.6</v>
      </c>
      <c r="W1300">
        <f>Table2[[#This Row],[Quantity]]*Table2[[#This Row],[Item_Price]]</f>
        <v>994</v>
      </c>
    </row>
    <row r="1301" spans="1:23" x14ac:dyDescent="0.25">
      <c r="A1301" t="s">
        <v>1398</v>
      </c>
      <c r="B1301" s="1">
        <v>45754</v>
      </c>
      <c r="C1301" t="s">
        <v>1315</v>
      </c>
      <c r="D1301">
        <v>4</v>
      </c>
      <c r="E1301">
        <v>7</v>
      </c>
      <c r="F1301" t="s">
        <v>168</v>
      </c>
      <c r="G1301" t="s">
        <v>55</v>
      </c>
      <c r="H1301" t="s">
        <v>42</v>
      </c>
      <c r="I1301" t="s">
        <v>49</v>
      </c>
      <c r="J1301" t="s">
        <v>62</v>
      </c>
      <c r="K1301" t="s">
        <v>38</v>
      </c>
      <c r="L1301">
        <v>3</v>
      </c>
      <c r="M1301">
        <v>672</v>
      </c>
      <c r="N1301">
        <v>100.8</v>
      </c>
      <c r="O1301">
        <v>70</v>
      </c>
      <c r="P1301">
        <v>2016</v>
      </c>
      <c r="Q1301">
        <v>1985.2</v>
      </c>
      <c r="R1301" t="s">
        <v>30</v>
      </c>
      <c r="S1301" t="s">
        <v>31</v>
      </c>
      <c r="T1301" t="s">
        <v>32</v>
      </c>
      <c r="U1301">
        <v>55</v>
      </c>
      <c r="V1301">
        <v>4.8</v>
      </c>
      <c r="W1301">
        <f>Table2[[#This Row],[Quantity]]*Table2[[#This Row],[Item_Price]]</f>
        <v>2016</v>
      </c>
    </row>
    <row r="1302" spans="1:23" x14ac:dyDescent="0.25">
      <c r="A1302" t="s">
        <v>1399</v>
      </c>
      <c r="B1302" s="1">
        <v>45754</v>
      </c>
      <c r="C1302" t="s">
        <v>1315</v>
      </c>
      <c r="D1302">
        <v>4</v>
      </c>
      <c r="E1302">
        <v>7</v>
      </c>
      <c r="F1302" t="s">
        <v>168</v>
      </c>
      <c r="G1302" t="s">
        <v>80</v>
      </c>
      <c r="H1302" t="s">
        <v>68</v>
      </c>
      <c r="I1302" t="s">
        <v>97</v>
      </c>
      <c r="J1302" t="s">
        <v>172</v>
      </c>
      <c r="K1302" t="s">
        <v>38</v>
      </c>
      <c r="L1302">
        <v>1</v>
      </c>
      <c r="M1302">
        <v>650</v>
      </c>
      <c r="N1302">
        <v>0</v>
      </c>
      <c r="O1302">
        <v>30</v>
      </c>
      <c r="P1302">
        <v>650</v>
      </c>
      <c r="Q1302">
        <v>680</v>
      </c>
      <c r="R1302" t="s">
        <v>30</v>
      </c>
      <c r="S1302" t="s">
        <v>31</v>
      </c>
      <c r="T1302" t="s">
        <v>32</v>
      </c>
      <c r="U1302">
        <v>24</v>
      </c>
      <c r="V1302">
        <v>5</v>
      </c>
      <c r="W1302">
        <f>Table2[[#This Row],[Quantity]]*Table2[[#This Row],[Item_Price]]</f>
        <v>650</v>
      </c>
    </row>
    <row r="1303" spans="1:23" x14ac:dyDescent="0.25">
      <c r="A1303" t="s">
        <v>1400</v>
      </c>
      <c r="B1303" s="1">
        <v>45754</v>
      </c>
      <c r="C1303" t="s">
        <v>1315</v>
      </c>
      <c r="D1303">
        <v>4</v>
      </c>
      <c r="E1303">
        <v>7</v>
      </c>
      <c r="F1303" t="s">
        <v>168</v>
      </c>
      <c r="G1303" t="s">
        <v>80</v>
      </c>
      <c r="H1303" t="s">
        <v>77</v>
      </c>
      <c r="I1303" t="s">
        <v>43</v>
      </c>
      <c r="J1303" t="s">
        <v>28</v>
      </c>
      <c r="K1303" t="s">
        <v>38</v>
      </c>
      <c r="L1303">
        <v>2</v>
      </c>
      <c r="M1303">
        <v>462</v>
      </c>
      <c r="N1303">
        <v>23.1</v>
      </c>
      <c r="O1303">
        <v>0</v>
      </c>
      <c r="P1303">
        <v>924</v>
      </c>
      <c r="Q1303">
        <v>900.9</v>
      </c>
      <c r="R1303" t="s">
        <v>75</v>
      </c>
      <c r="S1303" t="s">
        <v>31</v>
      </c>
      <c r="T1303" t="s">
        <v>32</v>
      </c>
      <c r="U1303">
        <v>43</v>
      </c>
      <c r="V1303">
        <v>5</v>
      </c>
      <c r="W1303">
        <f>Table2[[#This Row],[Quantity]]*Table2[[#This Row],[Item_Price]]</f>
        <v>924</v>
      </c>
    </row>
    <row r="1304" spans="1:23" x14ac:dyDescent="0.25">
      <c r="A1304" t="s">
        <v>1401</v>
      </c>
      <c r="B1304" s="1">
        <v>45754</v>
      </c>
      <c r="C1304" t="s">
        <v>1315</v>
      </c>
      <c r="D1304">
        <v>4</v>
      </c>
      <c r="E1304">
        <v>7</v>
      </c>
      <c r="F1304" t="s">
        <v>168</v>
      </c>
      <c r="G1304" t="s">
        <v>80</v>
      </c>
      <c r="H1304" t="s">
        <v>35</v>
      </c>
      <c r="I1304" t="s">
        <v>43</v>
      </c>
      <c r="J1304" t="s">
        <v>70</v>
      </c>
      <c r="K1304" t="s">
        <v>58</v>
      </c>
      <c r="L1304">
        <v>3</v>
      </c>
      <c r="M1304">
        <v>822</v>
      </c>
      <c r="N1304">
        <v>123.3</v>
      </c>
      <c r="O1304">
        <v>70</v>
      </c>
      <c r="P1304">
        <v>2466</v>
      </c>
      <c r="Q1304">
        <v>2412.6999999999998</v>
      </c>
      <c r="R1304" t="s">
        <v>75</v>
      </c>
      <c r="S1304" t="s">
        <v>31</v>
      </c>
      <c r="T1304" t="s">
        <v>40</v>
      </c>
      <c r="U1304">
        <v>61</v>
      </c>
      <c r="V1304">
        <v>4.5</v>
      </c>
      <c r="W1304">
        <f>Table2[[#This Row],[Quantity]]*Table2[[#This Row],[Item_Price]]</f>
        <v>2466</v>
      </c>
    </row>
    <row r="1305" spans="1:23" x14ac:dyDescent="0.25">
      <c r="A1305" t="s">
        <v>1402</v>
      </c>
      <c r="B1305" s="1">
        <v>45755</v>
      </c>
      <c r="C1305" t="s">
        <v>1315</v>
      </c>
      <c r="D1305">
        <v>4</v>
      </c>
      <c r="E1305">
        <v>8</v>
      </c>
      <c r="F1305" t="s">
        <v>178</v>
      </c>
      <c r="G1305" t="s">
        <v>80</v>
      </c>
      <c r="H1305" t="s">
        <v>68</v>
      </c>
      <c r="I1305" t="s">
        <v>57</v>
      </c>
      <c r="J1305" t="s">
        <v>78</v>
      </c>
      <c r="K1305" t="s">
        <v>45</v>
      </c>
      <c r="L1305">
        <v>1</v>
      </c>
      <c r="M1305">
        <v>804</v>
      </c>
      <c r="N1305">
        <v>40.200000000000003</v>
      </c>
      <c r="O1305">
        <v>20</v>
      </c>
      <c r="P1305">
        <v>804</v>
      </c>
      <c r="Q1305">
        <v>783.8</v>
      </c>
      <c r="R1305" t="s">
        <v>30</v>
      </c>
      <c r="S1305" t="s">
        <v>31</v>
      </c>
      <c r="T1305" t="s">
        <v>32</v>
      </c>
      <c r="U1305">
        <v>33</v>
      </c>
      <c r="V1305">
        <v>3.4</v>
      </c>
      <c r="W1305">
        <f>Table2[[#This Row],[Quantity]]*Table2[[#This Row],[Item_Price]]</f>
        <v>804</v>
      </c>
    </row>
    <row r="1306" spans="1:23" x14ac:dyDescent="0.25">
      <c r="A1306" t="s">
        <v>1403</v>
      </c>
      <c r="B1306" s="1">
        <v>45755</v>
      </c>
      <c r="C1306" t="s">
        <v>1315</v>
      </c>
      <c r="D1306">
        <v>4</v>
      </c>
      <c r="E1306">
        <v>8</v>
      </c>
      <c r="F1306" t="s">
        <v>178</v>
      </c>
      <c r="G1306" t="s">
        <v>90</v>
      </c>
      <c r="H1306" t="s">
        <v>56</v>
      </c>
      <c r="I1306" t="s">
        <v>85</v>
      </c>
      <c r="J1306" t="s">
        <v>74</v>
      </c>
      <c r="K1306" t="s">
        <v>38</v>
      </c>
      <c r="L1306">
        <v>1</v>
      </c>
      <c r="M1306">
        <v>554</v>
      </c>
      <c r="N1306">
        <v>55.4</v>
      </c>
      <c r="O1306">
        <v>50</v>
      </c>
      <c r="P1306">
        <v>554</v>
      </c>
      <c r="Q1306">
        <v>548.6</v>
      </c>
      <c r="R1306" t="s">
        <v>39</v>
      </c>
      <c r="S1306" t="s">
        <v>31</v>
      </c>
      <c r="T1306" t="s">
        <v>40</v>
      </c>
      <c r="U1306">
        <v>55</v>
      </c>
      <c r="V1306">
        <v>3.7</v>
      </c>
      <c r="W1306">
        <f>Table2[[#This Row],[Quantity]]*Table2[[#This Row],[Item_Price]]</f>
        <v>554</v>
      </c>
    </row>
    <row r="1307" spans="1:23" x14ac:dyDescent="0.25">
      <c r="A1307" t="s">
        <v>1404</v>
      </c>
      <c r="B1307" s="1">
        <v>45755</v>
      </c>
      <c r="C1307" t="s">
        <v>1315</v>
      </c>
      <c r="D1307">
        <v>4</v>
      </c>
      <c r="E1307">
        <v>8</v>
      </c>
      <c r="F1307" t="s">
        <v>178</v>
      </c>
      <c r="G1307" t="s">
        <v>73</v>
      </c>
      <c r="H1307" t="s">
        <v>81</v>
      </c>
      <c r="I1307" t="s">
        <v>85</v>
      </c>
      <c r="J1307" t="s">
        <v>172</v>
      </c>
      <c r="K1307" t="s">
        <v>29</v>
      </c>
      <c r="L1307">
        <v>3</v>
      </c>
      <c r="M1307">
        <v>188</v>
      </c>
      <c r="N1307">
        <v>18.8</v>
      </c>
      <c r="O1307">
        <v>50</v>
      </c>
      <c r="P1307">
        <v>564</v>
      </c>
      <c r="Q1307">
        <v>595.20000000000005</v>
      </c>
      <c r="R1307" t="s">
        <v>39</v>
      </c>
      <c r="S1307" t="s">
        <v>46</v>
      </c>
      <c r="T1307" t="s">
        <v>32</v>
      </c>
      <c r="U1307">
        <v>42</v>
      </c>
      <c r="W1307">
        <f>Table2[[#This Row],[Quantity]]*Table2[[#This Row],[Item_Price]]</f>
        <v>564</v>
      </c>
    </row>
    <row r="1308" spans="1:23" x14ac:dyDescent="0.25">
      <c r="A1308" t="s">
        <v>1405</v>
      </c>
      <c r="B1308" s="1">
        <v>45755</v>
      </c>
      <c r="C1308" t="s">
        <v>1315</v>
      </c>
      <c r="D1308">
        <v>4</v>
      </c>
      <c r="E1308">
        <v>8</v>
      </c>
      <c r="F1308" t="s">
        <v>178</v>
      </c>
      <c r="G1308" t="s">
        <v>80</v>
      </c>
      <c r="H1308" t="s">
        <v>60</v>
      </c>
      <c r="I1308" t="s">
        <v>49</v>
      </c>
      <c r="J1308" t="s">
        <v>123</v>
      </c>
      <c r="K1308" t="s">
        <v>58</v>
      </c>
      <c r="L1308">
        <v>2</v>
      </c>
      <c r="M1308">
        <v>311</v>
      </c>
      <c r="N1308">
        <v>46.65</v>
      </c>
      <c r="O1308">
        <v>30</v>
      </c>
      <c r="P1308">
        <v>622</v>
      </c>
      <c r="Q1308">
        <v>605.35</v>
      </c>
      <c r="R1308" t="s">
        <v>39</v>
      </c>
      <c r="S1308" t="s">
        <v>31</v>
      </c>
      <c r="T1308" t="s">
        <v>40</v>
      </c>
      <c r="U1308">
        <v>61</v>
      </c>
      <c r="V1308">
        <v>5</v>
      </c>
      <c r="W1308">
        <f>Table2[[#This Row],[Quantity]]*Table2[[#This Row],[Item_Price]]</f>
        <v>622</v>
      </c>
    </row>
    <row r="1309" spans="1:23" x14ac:dyDescent="0.25">
      <c r="A1309" t="s">
        <v>1406</v>
      </c>
      <c r="B1309" s="1">
        <v>45755</v>
      </c>
      <c r="C1309" t="s">
        <v>1315</v>
      </c>
      <c r="D1309">
        <v>4</v>
      </c>
      <c r="E1309">
        <v>8</v>
      </c>
      <c r="F1309" t="s">
        <v>178</v>
      </c>
      <c r="G1309" t="s">
        <v>34</v>
      </c>
      <c r="H1309" t="s">
        <v>105</v>
      </c>
      <c r="I1309" t="s">
        <v>49</v>
      </c>
      <c r="J1309" t="s">
        <v>123</v>
      </c>
      <c r="K1309" t="s">
        <v>38</v>
      </c>
      <c r="L1309">
        <v>1</v>
      </c>
      <c r="M1309">
        <v>440</v>
      </c>
      <c r="N1309">
        <v>44</v>
      </c>
      <c r="O1309">
        <v>20</v>
      </c>
      <c r="P1309">
        <v>440</v>
      </c>
      <c r="Q1309">
        <v>416</v>
      </c>
      <c r="R1309" t="s">
        <v>75</v>
      </c>
      <c r="S1309" t="s">
        <v>46</v>
      </c>
      <c r="T1309" t="s">
        <v>40</v>
      </c>
      <c r="U1309">
        <v>60</v>
      </c>
      <c r="W1309">
        <f>Table2[[#This Row],[Quantity]]*Table2[[#This Row],[Item_Price]]</f>
        <v>440</v>
      </c>
    </row>
    <row r="1310" spans="1:23" x14ac:dyDescent="0.25">
      <c r="A1310" t="s">
        <v>1407</v>
      </c>
      <c r="B1310" s="1">
        <v>45755</v>
      </c>
      <c r="C1310" t="s">
        <v>1315</v>
      </c>
      <c r="D1310">
        <v>4</v>
      </c>
      <c r="E1310">
        <v>8</v>
      </c>
      <c r="F1310" t="s">
        <v>178</v>
      </c>
      <c r="G1310" t="s">
        <v>115</v>
      </c>
      <c r="H1310" t="s">
        <v>42</v>
      </c>
      <c r="I1310" t="s">
        <v>57</v>
      </c>
      <c r="J1310" t="s">
        <v>78</v>
      </c>
      <c r="K1310" t="s">
        <v>45</v>
      </c>
      <c r="L1310">
        <v>1</v>
      </c>
      <c r="M1310">
        <v>370</v>
      </c>
      <c r="N1310">
        <v>18.5</v>
      </c>
      <c r="O1310">
        <v>50</v>
      </c>
      <c r="P1310">
        <v>370</v>
      </c>
      <c r="Q1310">
        <v>401.5</v>
      </c>
      <c r="R1310" t="s">
        <v>39</v>
      </c>
      <c r="S1310" t="s">
        <v>31</v>
      </c>
      <c r="T1310" t="s">
        <v>32</v>
      </c>
      <c r="U1310">
        <v>36</v>
      </c>
      <c r="V1310">
        <v>3.9</v>
      </c>
      <c r="W1310">
        <f>Table2[[#This Row],[Quantity]]*Table2[[#This Row],[Item_Price]]</f>
        <v>370</v>
      </c>
    </row>
    <row r="1311" spans="1:23" x14ac:dyDescent="0.25">
      <c r="A1311" t="s">
        <v>1408</v>
      </c>
      <c r="B1311" s="1">
        <v>45755</v>
      </c>
      <c r="C1311" t="s">
        <v>1315</v>
      </c>
      <c r="D1311">
        <v>4</v>
      </c>
      <c r="E1311">
        <v>8</v>
      </c>
      <c r="F1311" t="s">
        <v>178</v>
      </c>
      <c r="G1311" t="s">
        <v>84</v>
      </c>
      <c r="H1311" t="s">
        <v>48</v>
      </c>
      <c r="I1311" t="s">
        <v>43</v>
      </c>
      <c r="J1311" t="s">
        <v>78</v>
      </c>
      <c r="K1311" t="s">
        <v>58</v>
      </c>
      <c r="L1311">
        <v>1</v>
      </c>
      <c r="M1311">
        <v>338</v>
      </c>
      <c r="N1311">
        <v>16.899999999999999</v>
      </c>
      <c r="O1311">
        <v>20</v>
      </c>
      <c r="P1311">
        <v>338</v>
      </c>
      <c r="Q1311">
        <v>341.1</v>
      </c>
      <c r="R1311" t="s">
        <v>75</v>
      </c>
      <c r="S1311" t="s">
        <v>91</v>
      </c>
      <c r="T1311" t="s">
        <v>40</v>
      </c>
      <c r="U1311">
        <v>57</v>
      </c>
      <c r="W1311">
        <f>Table2[[#This Row],[Quantity]]*Table2[[#This Row],[Item_Price]]</f>
        <v>338</v>
      </c>
    </row>
    <row r="1312" spans="1:23" x14ac:dyDescent="0.25">
      <c r="A1312" t="s">
        <v>1409</v>
      </c>
      <c r="B1312" s="1">
        <v>45755</v>
      </c>
      <c r="C1312" t="s">
        <v>1315</v>
      </c>
      <c r="D1312">
        <v>4</v>
      </c>
      <c r="E1312">
        <v>8</v>
      </c>
      <c r="F1312" t="s">
        <v>178</v>
      </c>
      <c r="G1312" t="s">
        <v>80</v>
      </c>
      <c r="H1312" t="s">
        <v>68</v>
      </c>
      <c r="I1312" t="s">
        <v>85</v>
      </c>
      <c r="J1312" t="s">
        <v>78</v>
      </c>
      <c r="K1312" t="s">
        <v>38</v>
      </c>
      <c r="L1312">
        <v>2</v>
      </c>
      <c r="M1312">
        <v>712</v>
      </c>
      <c r="N1312">
        <v>106.8</v>
      </c>
      <c r="O1312">
        <v>30</v>
      </c>
      <c r="P1312">
        <v>1424</v>
      </c>
      <c r="Q1312">
        <v>1347.2</v>
      </c>
      <c r="R1312" t="s">
        <v>39</v>
      </c>
      <c r="S1312" t="s">
        <v>31</v>
      </c>
      <c r="T1312" t="s">
        <v>32</v>
      </c>
      <c r="U1312">
        <v>51</v>
      </c>
      <c r="V1312">
        <v>2.8</v>
      </c>
      <c r="W1312">
        <f>Table2[[#This Row],[Quantity]]*Table2[[#This Row],[Item_Price]]</f>
        <v>1424</v>
      </c>
    </row>
    <row r="1313" spans="1:23" x14ac:dyDescent="0.25">
      <c r="A1313" t="s">
        <v>1410</v>
      </c>
      <c r="B1313" s="1">
        <v>45755</v>
      </c>
      <c r="C1313" t="s">
        <v>1315</v>
      </c>
      <c r="D1313">
        <v>4</v>
      </c>
      <c r="E1313">
        <v>8</v>
      </c>
      <c r="F1313" t="s">
        <v>178</v>
      </c>
      <c r="G1313" t="s">
        <v>80</v>
      </c>
      <c r="H1313" t="s">
        <v>52</v>
      </c>
      <c r="I1313" t="s">
        <v>36</v>
      </c>
      <c r="J1313" t="s">
        <v>78</v>
      </c>
      <c r="K1313" t="s">
        <v>38</v>
      </c>
      <c r="L1313">
        <v>3</v>
      </c>
      <c r="M1313">
        <v>448</v>
      </c>
      <c r="N1313">
        <v>89.6</v>
      </c>
      <c r="O1313">
        <v>50</v>
      </c>
      <c r="P1313">
        <v>1344</v>
      </c>
      <c r="Q1313">
        <v>1304.4000000000001</v>
      </c>
      <c r="R1313" t="s">
        <v>39</v>
      </c>
      <c r="S1313" t="s">
        <v>31</v>
      </c>
      <c r="T1313" t="s">
        <v>40</v>
      </c>
      <c r="U1313">
        <v>40</v>
      </c>
      <c r="V1313">
        <v>4</v>
      </c>
      <c r="W1313">
        <f>Table2[[#This Row],[Quantity]]*Table2[[#This Row],[Item_Price]]</f>
        <v>1344</v>
      </c>
    </row>
    <row r="1314" spans="1:23" x14ac:dyDescent="0.25">
      <c r="A1314" t="s">
        <v>1411</v>
      </c>
      <c r="B1314" s="1">
        <v>45755</v>
      </c>
      <c r="C1314" t="s">
        <v>1315</v>
      </c>
      <c r="D1314">
        <v>4</v>
      </c>
      <c r="E1314">
        <v>8</v>
      </c>
      <c r="F1314" t="s">
        <v>178</v>
      </c>
      <c r="G1314" t="s">
        <v>73</v>
      </c>
      <c r="H1314" t="s">
        <v>77</v>
      </c>
      <c r="I1314" t="s">
        <v>85</v>
      </c>
      <c r="J1314" t="s">
        <v>123</v>
      </c>
      <c r="K1314" t="s">
        <v>58</v>
      </c>
      <c r="L1314">
        <v>2</v>
      </c>
      <c r="M1314">
        <v>477</v>
      </c>
      <c r="N1314">
        <v>95.4</v>
      </c>
      <c r="O1314">
        <v>20</v>
      </c>
      <c r="P1314">
        <v>954</v>
      </c>
      <c r="Q1314">
        <v>878.6</v>
      </c>
      <c r="R1314" t="s">
        <v>39</v>
      </c>
      <c r="S1314" t="s">
        <v>31</v>
      </c>
      <c r="T1314" t="s">
        <v>40</v>
      </c>
      <c r="U1314">
        <v>25</v>
      </c>
      <c r="V1314">
        <v>4</v>
      </c>
      <c r="W1314">
        <f>Table2[[#This Row],[Quantity]]*Table2[[#This Row],[Item_Price]]</f>
        <v>954</v>
      </c>
    </row>
    <row r="1315" spans="1:23" x14ac:dyDescent="0.25">
      <c r="A1315" t="s">
        <v>1412</v>
      </c>
      <c r="B1315" s="1">
        <v>45755</v>
      </c>
      <c r="C1315" t="s">
        <v>1315</v>
      </c>
      <c r="D1315">
        <v>4</v>
      </c>
      <c r="E1315">
        <v>8</v>
      </c>
      <c r="F1315" t="s">
        <v>178</v>
      </c>
      <c r="G1315" t="s">
        <v>84</v>
      </c>
      <c r="H1315" t="s">
        <v>42</v>
      </c>
      <c r="I1315" t="s">
        <v>97</v>
      </c>
      <c r="J1315" t="s">
        <v>101</v>
      </c>
      <c r="K1315" t="s">
        <v>45</v>
      </c>
      <c r="L1315">
        <v>2</v>
      </c>
      <c r="M1315">
        <v>802</v>
      </c>
      <c r="N1315">
        <v>200.5</v>
      </c>
      <c r="O1315">
        <v>0</v>
      </c>
      <c r="P1315">
        <v>1604</v>
      </c>
      <c r="Q1315">
        <v>1403.5</v>
      </c>
      <c r="R1315" t="s">
        <v>39</v>
      </c>
      <c r="S1315" t="s">
        <v>31</v>
      </c>
      <c r="T1315" t="s">
        <v>32</v>
      </c>
      <c r="U1315">
        <v>47</v>
      </c>
      <c r="V1315">
        <v>3.1</v>
      </c>
      <c r="W1315">
        <f>Table2[[#This Row],[Quantity]]*Table2[[#This Row],[Item_Price]]</f>
        <v>1604</v>
      </c>
    </row>
    <row r="1316" spans="1:23" x14ac:dyDescent="0.25">
      <c r="A1316" t="s">
        <v>1413</v>
      </c>
      <c r="B1316" s="1">
        <v>45755</v>
      </c>
      <c r="C1316" t="s">
        <v>1315</v>
      </c>
      <c r="D1316">
        <v>4</v>
      </c>
      <c r="E1316">
        <v>8</v>
      </c>
      <c r="F1316" t="s">
        <v>178</v>
      </c>
      <c r="G1316" t="s">
        <v>25</v>
      </c>
      <c r="H1316" t="s">
        <v>68</v>
      </c>
      <c r="I1316" t="s">
        <v>69</v>
      </c>
      <c r="J1316" t="s">
        <v>101</v>
      </c>
      <c r="K1316" t="s">
        <v>38</v>
      </c>
      <c r="L1316">
        <v>1</v>
      </c>
      <c r="M1316">
        <v>447</v>
      </c>
      <c r="N1316">
        <v>22.35</v>
      </c>
      <c r="O1316">
        <v>20</v>
      </c>
      <c r="P1316">
        <v>447</v>
      </c>
      <c r="Q1316">
        <v>444.65</v>
      </c>
      <c r="R1316" t="s">
        <v>98</v>
      </c>
      <c r="S1316" t="s">
        <v>31</v>
      </c>
      <c r="T1316" t="s">
        <v>40</v>
      </c>
      <c r="U1316">
        <v>23</v>
      </c>
      <c r="V1316">
        <v>4.4000000000000004</v>
      </c>
      <c r="W1316">
        <f>Table2[[#This Row],[Quantity]]*Table2[[#This Row],[Item_Price]]</f>
        <v>447</v>
      </c>
    </row>
    <row r="1317" spans="1:23" x14ac:dyDescent="0.25">
      <c r="A1317" t="s">
        <v>1414</v>
      </c>
      <c r="B1317" s="1">
        <v>45755</v>
      </c>
      <c r="C1317" t="s">
        <v>1315</v>
      </c>
      <c r="D1317">
        <v>4</v>
      </c>
      <c r="E1317">
        <v>8</v>
      </c>
      <c r="F1317" t="s">
        <v>178</v>
      </c>
      <c r="G1317" t="s">
        <v>80</v>
      </c>
      <c r="H1317" t="s">
        <v>68</v>
      </c>
      <c r="I1317" t="s">
        <v>43</v>
      </c>
      <c r="J1317" t="s">
        <v>50</v>
      </c>
      <c r="K1317" t="s">
        <v>45</v>
      </c>
      <c r="L1317">
        <v>2</v>
      </c>
      <c r="M1317">
        <v>593</v>
      </c>
      <c r="N1317">
        <v>118.6</v>
      </c>
      <c r="O1317">
        <v>0</v>
      </c>
      <c r="P1317">
        <v>1186</v>
      </c>
      <c r="Q1317">
        <v>1067.4000000000001</v>
      </c>
      <c r="R1317" t="s">
        <v>30</v>
      </c>
      <c r="S1317" t="s">
        <v>31</v>
      </c>
      <c r="T1317" t="s">
        <v>32</v>
      </c>
      <c r="U1317">
        <v>29</v>
      </c>
      <c r="V1317">
        <v>4.5</v>
      </c>
      <c r="W1317">
        <f>Table2[[#This Row],[Quantity]]*Table2[[#This Row],[Item_Price]]</f>
        <v>1186</v>
      </c>
    </row>
    <row r="1318" spans="1:23" x14ac:dyDescent="0.25">
      <c r="A1318" t="s">
        <v>1415</v>
      </c>
      <c r="B1318" s="1">
        <v>45755</v>
      </c>
      <c r="C1318" t="s">
        <v>1315</v>
      </c>
      <c r="D1318">
        <v>4</v>
      </c>
      <c r="E1318">
        <v>8</v>
      </c>
      <c r="F1318" t="s">
        <v>178</v>
      </c>
      <c r="G1318" t="s">
        <v>80</v>
      </c>
      <c r="H1318" t="s">
        <v>35</v>
      </c>
      <c r="I1318" t="s">
        <v>85</v>
      </c>
      <c r="J1318" t="s">
        <v>70</v>
      </c>
      <c r="K1318" t="s">
        <v>38</v>
      </c>
      <c r="L1318">
        <v>3</v>
      </c>
      <c r="M1318">
        <v>568</v>
      </c>
      <c r="N1318">
        <v>85.2</v>
      </c>
      <c r="O1318">
        <v>50</v>
      </c>
      <c r="P1318">
        <v>1704</v>
      </c>
      <c r="Q1318">
        <v>1668.8</v>
      </c>
      <c r="R1318" t="s">
        <v>30</v>
      </c>
      <c r="S1318" t="s">
        <v>46</v>
      </c>
      <c r="T1318" t="s">
        <v>32</v>
      </c>
      <c r="U1318">
        <v>24</v>
      </c>
      <c r="W1318">
        <f>Table2[[#This Row],[Quantity]]*Table2[[#This Row],[Item_Price]]</f>
        <v>1704</v>
      </c>
    </row>
    <row r="1319" spans="1:23" x14ac:dyDescent="0.25">
      <c r="A1319" t="s">
        <v>1416</v>
      </c>
      <c r="B1319" s="1">
        <v>45755</v>
      </c>
      <c r="C1319" t="s">
        <v>1315</v>
      </c>
      <c r="D1319">
        <v>4</v>
      </c>
      <c r="E1319">
        <v>8</v>
      </c>
      <c r="F1319" t="s">
        <v>178</v>
      </c>
      <c r="G1319" t="s">
        <v>64</v>
      </c>
      <c r="H1319" t="s">
        <v>52</v>
      </c>
      <c r="I1319" t="s">
        <v>36</v>
      </c>
      <c r="J1319" t="s">
        <v>70</v>
      </c>
      <c r="K1319" t="s">
        <v>45</v>
      </c>
      <c r="L1319">
        <v>2</v>
      </c>
      <c r="M1319">
        <v>560</v>
      </c>
      <c r="N1319">
        <v>28</v>
      </c>
      <c r="O1319">
        <v>30</v>
      </c>
      <c r="P1319">
        <v>1120</v>
      </c>
      <c r="Q1319">
        <v>1122</v>
      </c>
      <c r="R1319" t="s">
        <v>98</v>
      </c>
      <c r="S1319" t="s">
        <v>46</v>
      </c>
      <c r="T1319" t="s">
        <v>32</v>
      </c>
      <c r="U1319">
        <v>23</v>
      </c>
      <c r="W1319">
        <f>Table2[[#This Row],[Quantity]]*Table2[[#This Row],[Item_Price]]</f>
        <v>1120</v>
      </c>
    </row>
    <row r="1320" spans="1:23" x14ac:dyDescent="0.25">
      <c r="A1320" t="s">
        <v>1417</v>
      </c>
      <c r="B1320" s="1">
        <v>45755</v>
      </c>
      <c r="C1320" t="s">
        <v>1315</v>
      </c>
      <c r="D1320">
        <v>4</v>
      </c>
      <c r="E1320">
        <v>8</v>
      </c>
      <c r="F1320" t="s">
        <v>178</v>
      </c>
      <c r="G1320" t="s">
        <v>64</v>
      </c>
      <c r="H1320" t="s">
        <v>60</v>
      </c>
      <c r="I1320" t="s">
        <v>69</v>
      </c>
      <c r="J1320" t="s">
        <v>82</v>
      </c>
      <c r="K1320" t="s">
        <v>45</v>
      </c>
      <c r="L1320">
        <v>2</v>
      </c>
      <c r="M1320">
        <v>671</v>
      </c>
      <c r="N1320">
        <v>100.65</v>
      </c>
      <c r="O1320">
        <v>0</v>
      </c>
      <c r="P1320">
        <v>1342</v>
      </c>
      <c r="Q1320">
        <v>1241.3499999999999</v>
      </c>
      <c r="R1320" t="s">
        <v>75</v>
      </c>
      <c r="S1320" t="s">
        <v>31</v>
      </c>
      <c r="T1320" t="s">
        <v>32</v>
      </c>
      <c r="U1320">
        <v>42</v>
      </c>
      <c r="V1320">
        <v>5</v>
      </c>
      <c r="W1320">
        <f>Table2[[#This Row],[Quantity]]*Table2[[#This Row],[Item_Price]]</f>
        <v>1342</v>
      </c>
    </row>
    <row r="1321" spans="1:23" x14ac:dyDescent="0.25">
      <c r="A1321" t="s">
        <v>1418</v>
      </c>
      <c r="B1321" s="1">
        <v>45756</v>
      </c>
      <c r="C1321" t="s">
        <v>1315</v>
      </c>
      <c r="D1321">
        <v>4</v>
      </c>
      <c r="E1321">
        <v>9</v>
      </c>
      <c r="F1321" t="s">
        <v>24</v>
      </c>
      <c r="G1321" t="s">
        <v>64</v>
      </c>
      <c r="H1321" t="s">
        <v>60</v>
      </c>
      <c r="I1321" t="s">
        <v>57</v>
      </c>
      <c r="J1321" t="s">
        <v>44</v>
      </c>
      <c r="K1321" t="s">
        <v>38</v>
      </c>
      <c r="L1321">
        <v>3</v>
      </c>
      <c r="M1321">
        <v>133</v>
      </c>
      <c r="N1321">
        <v>33.25</v>
      </c>
      <c r="O1321">
        <v>30</v>
      </c>
      <c r="P1321">
        <v>399</v>
      </c>
      <c r="Q1321">
        <v>395.75</v>
      </c>
      <c r="R1321" t="s">
        <v>98</v>
      </c>
      <c r="S1321" t="s">
        <v>91</v>
      </c>
      <c r="T1321" t="s">
        <v>40</v>
      </c>
      <c r="U1321">
        <v>29</v>
      </c>
      <c r="W1321">
        <f>Table2[[#This Row],[Quantity]]*Table2[[#This Row],[Item_Price]]</f>
        <v>399</v>
      </c>
    </row>
    <row r="1322" spans="1:23" x14ac:dyDescent="0.25">
      <c r="A1322" t="s">
        <v>1419</v>
      </c>
      <c r="B1322" s="1">
        <v>45756</v>
      </c>
      <c r="C1322" t="s">
        <v>1315</v>
      </c>
      <c r="D1322">
        <v>4</v>
      </c>
      <c r="E1322">
        <v>9</v>
      </c>
      <c r="F1322" t="s">
        <v>24</v>
      </c>
      <c r="G1322" t="s">
        <v>64</v>
      </c>
      <c r="H1322" t="s">
        <v>68</v>
      </c>
      <c r="I1322" t="s">
        <v>27</v>
      </c>
      <c r="J1322" t="s">
        <v>50</v>
      </c>
      <c r="K1322" t="s">
        <v>38</v>
      </c>
      <c r="L1322">
        <v>1</v>
      </c>
      <c r="M1322">
        <v>526</v>
      </c>
      <c r="N1322">
        <v>78.900000000000006</v>
      </c>
      <c r="O1322">
        <v>60</v>
      </c>
      <c r="P1322">
        <v>526</v>
      </c>
      <c r="Q1322">
        <v>507.1</v>
      </c>
      <c r="R1322" t="s">
        <v>39</v>
      </c>
      <c r="S1322" t="s">
        <v>31</v>
      </c>
      <c r="T1322" t="s">
        <v>40</v>
      </c>
      <c r="U1322">
        <v>29</v>
      </c>
      <c r="V1322">
        <v>4.2</v>
      </c>
      <c r="W1322">
        <f>Table2[[#This Row],[Quantity]]*Table2[[#This Row],[Item_Price]]</f>
        <v>526</v>
      </c>
    </row>
    <row r="1323" spans="1:23" x14ac:dyDescent="0.25">
      <c r="A1323" t="s">
        <v>1420</v>
      </c>
      <c r="B1323" s="1">
        <v>45756</v>
      </c>
      <c r="C1323" t="s">
        <v>1315</v>
      </c>
      <c r="D1323">
        <v>4</v>
      </c>
      <c r="E1323">
        <v>9</v>
      </c>
      <c r="F1323" t="s">
        <v>24</v>
      </c>
      <c r="G1323" t="s">
        <v>96</v>
      </c>
      <c r="H1323" t="s">
        <v>52</v>
      </c>
      <c r="I1323" t="s">
        <v>43</v>
      </c>
      <c r="J1323" t="s">
        <v>119</v>
      </c>
      <c r="K1323" t="s">
        <v>45</v>
      </c>
      <c r="L1323">
        <v>1</v>
      </c>
      <c r="M1323">
        <v>495</v>
      </c>
      <c r="N1323">
        <v>123.75</v>
      </c>
      <c r="O1323">
        <v>20</v>
      </c>
      <c r="P1323">
        <v>495</v>
      </c>
      <c r="Q1323">
        <v>391.25</v>
      </c>
      <c r="R1323" t="s">
        <v>112</v>
      </c>
      <c r="S1323" t="s">
        <v>31</v>
      </c>
      <c r="T1323" t="s">
        <v>40</v>
      </c>
      <c r="U1323">
        <v>32</v>
      </c>
      <c r="V1323">
        <v>4.3</v>
      </c>
      <c r="W1323">
        <f>Table2[[#This Row],[Quantity]]*Table2[[#This Row],[Item_Price]]</f>
        <v>495</v>
      </c>
    </row>
    <row r="1324" spans="1:23" x14ac:dyDescent="0.25">
      <c r="A1324" t="s">
        <v>1421</v>
      </c>
      <c r="B1324" s="1">
        <v>45756</v>
      </c>
      <c r="C1324" t="s">
        <v>1315</v>
      </c>
      <c r="D1324">
        <v>4</v>
      </c>
      <c r="E1324">
        <v>9</v>
      </c>
      <c r="F1324" t="s">
        <v>24</v>
      </c>
      <c r="G1324" t="s">
        <v>25</v>
      </c>
      <c r="H1324" t="s">
        <v>52</v>
      </c>
      <c r="I1324" t="s">
        <v>61</v>
      </c>
      <c r="J1324" t="s">
        <v>66</v>
      </c>
      <c r="K1324" t="s">
        <v>45</v>
      </c>
      <c r="L1324">
        <v>2</v>
      </c>
      <c r="M1324">
        <v>747</v>
      </c>
      <c r="N1324">
        <v>74.7</v>
      </c>
      <c r="O1324">
        <v>60</v>
      </c>
      <c r="P1324">
        <v>1494</v>
      </c>
      <c r="Q1324">
        <v>1479.3</v>
      </c>
      <c r="R1324" t="s">
        <v>39</v>
      </c>
      <c r="S1324" t="s">
        <v>31</v>
      </c>
      <c r="T1324" t="s">
        <v>40</v>
      </c>
      <c r="U1324">
        <v>43</v>
      </c>
      <c r="V1324">
        <v>3.7</v>
      </c>
      <c r="W1324">
        <f>Table2[[#This Row],[Quantity]]*Table2[[#This Row],[Item_Price]]</f>
        <v>1494</v>
      </c>
    </row>
    <row r="1325" spans="1:23" x14ac:dyDescent="0.25">
      <c r="A1325" t="s">
        <v>1422</v>
      </c>
      <c r="B1325" s="1">
        <v>45756</v>
      </c>
      <c r="C1325" t="s">
        <v>1315</v>
      </c>
      <c r="D1325">
        <v>4</v>
      </c>
      <c r="E1325">
        <v>9</v>
      </c>
      <c r="F1325" t="s">
        <v>24</v>
      </c>
      <c r="G1325" t="s">
        <v>73</v>
      </c>
      <c r="H1325" t="s">
        <v>68</v>
      </c>
      <c r="I1325" t="s">
        <v>49</v>
      </c>
      <c r="J1325" t="s">
        <v>172</v>
      </c>
      <c r="K1325" t="s">
        <v>45</v>
      </c>
      <c r="L1325">
        <v>2</v>
      </c>
      <c r="M1325">
        <v>698</v>
      </c>
      <c r="N1325">
        <v>69.8</v>
      </c>
      <c r="O1325">
        <v>60</v>
      </c>
      <c r="P1325">
        <v>1396</v>
      </c>
      <c r="Q1325">
        <v>1386.2</v>
      </c>
      <c r="R1325" t="s">
        <v>75</v>
      </c>
      <c r="S1325" t="s">
        <v>31</v>
      </c>
      <c r="T1325" t="s">
        <v>40</v>
      </c>
      <c r="U1325">
        <v>23</v>
      </c>
      <c r="V1325">
        <v>3.9</v>
      </c>
      <c r="W1325">
        <f>Table2[[#This Row],[Quantity]]*Table2[[#This Row],[Item_Price]]</f>
        <v>1396</v>
      </c>
    </row>
    <row r="1326" spans="1:23" x14ac:dyDescent="0.25">
      <c r="A1326" t="s">
        <v>1423</v>
      </c>
      <c r="B1326" s="1">
        <v>45756</v>
      </c>
      <c r="C1326" t="s">
        <v>1315</v>
      </c>
      <c r="D1326">
        <v>4</v>
      </c>
      <c r="E1326">
        <v>9</v>
      </c>
      <c r="F1326" t="s">
        <v>24</v>
      </c>
      <c r="G1326" t="s">
        <v>25</v>
      </c>
      <c r="H1326" t="s">
        <v>52</v>
      </c>
      <c r="I1326" t="s">
        <v>57</v>
      </c>
      <c r="J1326" t="s">
        <v>74</v>
      </c>
      <c r="K1326" t="s">
        <v>45</v>
      </c>
      <c r="L1326">
        <v>1</v>
      </c>
      <c r="M1326">
        <v>556</v>
      </c>
      <c r="N1326">
        <v>55.6</v>
      </c>
      <c r="O1326">
        <v>30</v>
      </c>
      <c r="P1326">
        <v>556</v>
      </c>
      <c r="Q1326">
        <v>530.4</v>
      </c>
      <c r="R1326" t="s">
        <v>39</v>
      </c>
      <c r="S1326" t="s">
        <v>31</v>
      </c>
      <c r="T1326" t="s">
        <v>32</v>
      </c>
      <c r="U1326">
        <v>20</v>
      </c>
      <c r="V1326">
        <v>3</v>
      </c>
      <c r="W1326">
        <f>Table2[[#This Row],[Quantity]]*Table2[[#This Row],[Item_Price]]</f>
        <v>556</v>
      </c>
    </row>
    <row r="1327" spans="1:23" x14ac:dyDescent="0.25">
      <c r="A1327" t="s">
        <v>1424</v>
      </c>
      <c r="B1327" s="1">
        <v>45756</v>
      </c>
      <c r="C1327" t="s">
        <v>1315</v>
      </c>
      <c r="D1327">
        <v>4</v>
      </c>
      <c r="E1327">
        <v>9</v>
      </c>
      <c r="F1327" t="s">
        <v>24</v>
      </c>
      <c r="G1327" t="s">
        <v>115</v>
      </c>
      <c r="H1327" t="s">
        <v>81</v>
      </c>
      <c r="I1327" t="s">
        <v>61</v>
      </c>
      <c r="J1327" t="s">
        <v>119</v>
      </c>
      <c r="K1327" t="s">
        <v>45</v>
      </c>
      <c r="L1327">
        <v>1</v>
      </c>
      <c r="M1327">
        <v>215</v>
      </c>
      <c r="N1327">
        <v>21.5</v>
      </c>
      <c r="O1327">
        <v>70</v>
      </c>
      <c r="P1327">
        <v>215</v>
      </c>
      <c r="Q1327">
        <v>263.5</v>
      </c>
      <c r="R1327" t="s">
        <v>39</v>
      </c>
      <c r="S1327" t="s">
        <v>31</v>
      </c>
      <c r="T1327" t="s">
        <v>40</v>
      </c>
      <c r="U1327">
        <v>34</v>
      </c>
      <c r="V1327">
        <v>4.3</v>
      </c>
      <c r="W1327">
        <f>Table2[[#This Row],[Quantity]]*Table2[[#This Row],[Item_Price]]</f>
        <v>215</v>
      </c>
    </row>
    <row r="1328" spans="1:23" x14ac:dyDescent="0.25">
      <c r="A1328" t="s">
        <v>1425</v>
      </c>
      <c r="B1328" s="1">
        <v>45756</v>
      </c>
      <c r="C1328" t="s">
        <v>1315</v>
      </c>
      <c r="D1328">
        <v>4</v>
      </c>
      <c r="E1328">
        <v>9</v>
      </c>
      <c r="F1328" t="s">
        <v>24</v>
      </c>
      <c r="G1328" t="s">
        <v>73</v>
      </c>
      <c r="H1328" t="s">
        <v>77</v>
      </c>
      <c r="I1328" t="s">
        <v>97</v>
      </c>
      <c r="J1328" t="s">
        <v>28</v>
      </c>
      <c r="K1328" t="s">
        <v>38</v>
      </c>
      <c r="L1328">
        <v>2</v>
      </c>
      <c r="M1328">
        <v>795</v>
      </c>
      <c r="N1328">
        <v>79.5</v>
      </c>
      <c r="O1328">
        <v>50</v>
      </c>
      <c r="P1328">
        <v>1590</v>
      </c>
      <c r="Q1328">
        <v>1560.5</v>
      </c>
      <c r="R1328" t="s">
        <v>30</v>
      </c>
      <c r="S1328" t="s">
        <v>31</v>
      </c>
      <c r="T1328" t="s">
        <v>40</v>
      </c>
      <c r="U1328">
        <v>64</v>
      </c>
      <c r="V1328">
        <v>3.1</v>
      </c>
      <c r="W1328">
        <f>Table2[[#This Row],[Quantity]]*Table2[[#This Row],[Item_Price]]</f>
        <v>1590</v>
      </c>
    </row>
    <row r="1329" spans="1:23" x14ac:dyDescent="0.25">
      <c r="A1329" t="s">
        <v>1426</v>
      </c>
      <c r="B1329" s="1">
        <v>45756</v>
      </c>
      <c r="C1329" t="s">
        <v>1315</v>
      </c>
      <c r="D1329">
        <v>4</v>
      </c>
      <c r="E1329">
        <v>9</v>
      </c>
      <c r="F1329" t="s">
        <v>24</v>
      </c>
      <c r="G1329" t="s">
        <v>55</v>
      </c>
      <c r="H1329" t="s">
        <v>135</v>
      </c>
      <c r="I1329" t="s">
        <v>61</v>
      </c>
      <c r="J1329" t="s">
        <v>172</v>
      </c>
      <c r="K1329" t="s">
        <v>38</v>
      </c>
      <c r="L1329">
        <v>2</v>
      </c>
      <c r="M1329">
        <v>581</v>
      </c>
      <c r="N1329">
        <v>116.2</v>
      </c>
      <c r="O1329">
        <v>50</v>
      </c>
      <c r="P1329">
        <v>1162</v>
      </c>
      <c r="Q1329">
        <v>1095.8</v>
      </c>
      <c r="R1329" t="s">
        <v>39</v>
      </c>
      <c r="S1329" t="s">
        <v>31</v>
      </c>
      <c r="T1329" t="s">
        <v>40</v>
      </c>
      <c r="U1329">
        <v>58</v>
      </c>
      <c r="V1329">
        <v>4.5</v>
      </c>
      <c r="W1329">
        <f>Table2[[#This Row],[Quantity]]*Table2[[#This Row],[Item_Price]]</f>
        <v>1162</v>
      </c>
    </row>
    <row r="1330" spans="1:23" x14ac:dyDescent="0.25">
      <c r="A1330" t="s">
        <v>1427</v>
      </c>
      <c r="B1330" s="1">
        <v>45756</v>
      </c>
      <c r="C1330" t="s">
        <v>1315</v>
      </c>
      <c r="D1330">
        <v>4</v>
      </c>
      <c r="E1330">
        <v>9</v>
      </c>
      <c r="F1330" t="s">
        <v>24</v>
      </c>
      <c r="G1330" t="s">
        <v>34</v>
      </c>
      <c r="H1330" t="s">
        <v>77</v>
      </c>
      <c r="I1330" t="s">
        <v>27</v>
      </c>
      <c r="J1330" t="s">
        <v>119</v>
      </c>
      <c r="K1330" t="s">
        <v>38</v>
      </c>
      <c r="L1330">
        <v>3</v>
      </c>
      <c r="M1330">
        <v>838</v>
      </c>
      <c r="N1330">
        <v>83.8</v>
      </c>
      <c r="O1330">
        <v>50</v>
      </c>
      <c r="P1330">
        <v>2514</v>
      </c>
      <c r="Q1330">
        <v>2480.1999999999998</v>
      </c>
      <c r="R1330" t="s">
        <v>39</v>
      </c>
      <c r="S1330" t="s">
        <v>31</v>
      </c>
      <c r="T1330" t="s">
        <v>32</v>
      </c>
      <c r="U1330">
        <v>41</v>
      </c>
      <c r="V1330">
        <v>4.3</v>
      </c>
      <c r="W1330">
        <f>Table2[[#This Row],[Quantity]]*Table2[[#This Row],[Item_Price]]</f>
        <v>2514</v>
      </c>
    </row>
    <row r="1331" spans="1:23" x14ac:dyDescent="0.25">
      <c r="A1331" t="s">
        <v>1428</v>
      </c>
      <c r="B1331" s="1">
        <v>45756</v>
      </c>
      <c r="C1331" t="s">
        <v>1315</v>
      </c>
      <c r="D1331">
        <v>4</v>
      </c>
      <c r="E1331">
        <v>9</v>
      </c>
      <c r="F1331" t="s">
        <v>24</v>
      </c>
      <c r="G1331" t="s">
        <v>80</v>
      </c>
      <c r="H1331" t="s">
        <v>108</v>
      </c>
      <c r="I1331" t="s">
        <v>61</v>
      </c>
      <c r="J1331" t="s">
        <v>37</v>
      </c>
      <c r="K1331" t="s">
        <v>38</v>
      </c>
      <c r="L1331">
        <v>3</v>
      </c>
      <c r="M1331">
        <v>294</v>
      </c>
      <c r="N1331">
        <v>58.8</v>
      </c>
      <c r="O1331">
        <v>20</v>
      </c>
      <c r="P1331">
        <v>882</v>
      </c>
      <c r="Q1331">
        <v>843.2</v>
      </c>
      <c r="R1331" t="s">
        <v>30</v>
      </c>
      <c r="S1331" t="s">
        <v>31</v>
      </c>
      <c r="T1331" t="s">
        <v>40</v>
      </c>
      <c r="U1331">
        <v>43</v>
      </c>
      <c r="V1331">
        <v>2.6</v>
      </c>
      <c r="W1331">
        <f>Table2[[#This Row],[Quantity]]*Table2[[#This Row],[Item_Price]]</f>
        <v>882</v>
      </c>
    </row>
    <row r="1332" spans="1:23" x14ac:dyDescent="0.25">
      <c r="A1332" t="s">
        <v>1429</v>
      </c>
      <c r="B1332" s="1">
        <v>45756</v>
      </c>
      <c r="C1332" t="s">
        <v>1315</v>
      </c>
      <c r="D1332">
        <v>4</v>
      </c>
      <c r="E1332">
        <v>9</v>
      </c>
      <c r="F1332" t="s">
        <v>24</v>
      </c>
      <c r="G1332" t="s">
        <v>80</v>
      </c>
      <c r="H1332" t="s">
        <v>135</v>
      </c>
      <c r="I1332" t="s">
        <v>69</v>
      </c>
      <c r="J1332" t="s">
        <v>74</v>
      </c>
      <c r="K1332" t="s">
        <v>38</v>
      </c>
      <c r="L1332">
        <v>1</v>
      </c>
      <c r="M1332">
        <v>453</v>
      </c>
      <c r="N1332">
        <v>0</v>
      </c>
      <c r="O1332">
        <v>40</v>
      </c>
      <c r="P1332">
        <v>453</v>
      </c>
      <c r="Q1332">
        <v>493</v>
      </c>
      <c r="R1332" t="s">
        <v>39</v>
      </c>
      <c r="S1332" t="s">
        <v>31</v>
      </c>
      <c r="T1332" t="s">
        <v>40</v>
      </c>
      <c r="U1332">
        <v>24</v>
      </c>
      <c r="V1332">
        <v>3.6</v>
      </c>
      <c r="W1332">
        <f>Table2[[#This Row],[Quantity]]*Table2[[#This Row],[Item_Price]]</f>
        <v>453</v>
      </c>
    </row>
    <row r="1333" spans="1:23" x14ac:dyDescent="0.25">
      <c r="A1333" t="s">
        <v>1430</v>
      </c>
      <c r="B1333" s="1">
        <v>45756</v>
      </c>
      <c r="C1333" t="s">
        <v>1315</v>
      </c>
      <c r="D1333">
        <v>4</v>
      </c>
      <c r="E1333">
        <v>9</v>
      </c>
      <c r="F1333" t="s">
        <v>24</v>
      </c>
      <c r="G1333" t="s">
        <v>80</v>
      </c>
      <c r="H1333" t="s">
        <v>77</v>
      </c>
      <c r="I1333" t="s">
        <v>103</v>
      </c>
      <c r="J1333" t="s">
        <v>94</v>
      </c>
      <c r="K1333" t="s">
        <v>45</v>
      </c>
      <c r="L1333">
        <v>1</v>
      </c>
      <c r="M1333">
        <v>586</v>
      </c>
      <c r="N1333">
        <v>117.2</v>
      </c>
      <c r="O1333">
        <v>30</v>
      </c>
      <c r="P1333">
        <v>586</v>
      </c>
      <c r="Q1333">
        <v>498.8</v>
      </c>
      <c r="R1333" t="s">
        <v>30</v>
      </c>
      <c r="S1333" t="s">
        <v>31</v>
      </c>
      <c r="T1333" t="s">
        <v>40</v>
      </c>
      <c r="U1333">
        <v>29</v>
      </c>
      <c r="V1333">
        <v>2.5</v>
      </c>
      <c r="W1333">
        <f>Table2[[#This Row],[Quantity]]*Table2[[#This Row],[Item_Price]]</f>
        <v>586</v>
      </c>
    </row>
    <row r="1334" spans="1:23" x14ac:dyDescent="0.25">
      <c r="A1334" t="s">
        <v>1431</v>
      </c>
      <c r="B1334" s="1">
        <v>45756</v>
      </c>
      <c r="C1334" t="s">
        <v>1315</v>
      </c>
      <c r="D1334">
        <v>4</v>
      </c>
      <c r="E1334">
        <v>9</v>
      </c>
      <c r="F1334" t="s">
        <v>24</v>
      </c>
      <c r="G1334" t="s">
        <v>64</v>
      </c>
      <c r="H1334" t="s">
        <v>35</v>
      </c>
      <c r="I1334" t="s">
        <v>69</v>
      </c>
      <c r="J1334" t="s">
        <v>82</v>
      </c>
      <c r="K1334" t="s">
        <v>38</v>
      </c>
      <c r="L1334">
        <v>2</v>
      </c>
      <c r="M1334">
        <v>886</v>
      </c>
      <c r="N1334">
        <v>132.9</v>
      </c>
      <c r="O1334">
        <v>0</v>
      </c>
      <c r="P1334">
        <v>1772</v>
      </c>
      <c r="Q1334">
        <v>1639.1</v>
      </c>
      <c r="R1334" t="s">
        <v>75</v>
      </c>
      <c r="S1334" t="s">
        <v>31</v>
      </c>
      <c r="T1334" t="s">
        <v>40</v>
      </c>
      <c r="U1334">
        <v>48</v>
      </c>
      <c r="V1334">
        <v>4.0999999999999996</v>
      </c>
      <c r="W1334">
        <f>Table2[[#This Row],[Quantity]]*Table2[[#This Row],[Item_Price]]</f>
        <v>1772</v>
      </c>
    </row>
    <row r="1335" spans="1:23" x14ac:dyDescent="0.25">
      <c r="A1335" t="s">
        <v>1432</v>
      </c>
      <c r="B1335" s="1">
        <v>45756</v>
      </c>
      <c r="C1335" t="s">
        <v>1315</v>
      </c>
      <c r="D1335">
        <v>4</v>
      </c>
      <c r="E1335">
        <v>9</v>
      </c>
      <c r="F1335" t="s">
        <v>24</v>
      </c>
      <c r="G1335" t="s">
        <v>80</v>
      </c>
      <c r="H1335" t="s">
        <v>60</v>
      </c>
      <c r="I1335" t="s">
        <v>61</v>
      </c>
      <c r="J1335" t="s">
        <v>37</v>
      </c>
      <c r="K1335" t="s">
        <v>38</v>
      </c>
      <c r="L1335">
        <v>2</v>
      </c>
      <c r="M1335">
        <v>680</v>
      </c>
      <c r="N1335">
        <v>68</v>
      </c>
      <c r="O1335">
        <v>40</v>
      </c>
      <c r="P1335">
        <v>1360</v>
      </c>
      <c r="Q1335">
        <v>1332</v>
      </c>
      <c r="R1335" t="s">
        <v>75</v>
      </c>
      <c r="S1335" t="s">
        <v>110</v>
      </c>
      <c r="T1335" t="s">
        <v>40</v>
      </c>
      <c r="U1335">
        <v>63</v>
      </c>
      <c r="W1335">
        <f>Table2[[#This Row],[Quantity]]*Table2[[#This Row],[Item_Price]]</f>
        <v>1360</v>
      </c>
    </row>
    <row r="1336" spans="1:23" x14ac:dyDescent="0.25">
      <c r="A1336" t="s">
        <v>1433</v>
      </c>
      <c r="B1336" s="1">
        <v>45756</v>
      </c>
      <c r="C1336" t="s">
        <v>1315</v>
      </c>
      <c r="D1336">
        <v>4</v>
      </c>
      <c r="E1336">
        <v>9</v>
      </c>
      <c r="F1336" t="s">
        <v>24</v>
      </c>
      <c r="G1336" t="s">
        <v>90</v>
      </c>
      <c r="H1336" t="s">
        <v>68</v>
      </c>
      <c r="I1336" t="s">
        <v>57</v>
      </c>
      <c r="J1336" t="s">
        <v>119</v>
      </c>
      <c r="K1336" t="s">
        <v>45</v>
      </c>
      <c r="L1336">
        <v>3</v>
      </c>
      <c r="M1336">
        <v>572</v>
      </c>
      <c r="N1336">
        <v>85.8</v>
      </c>
      <c r="O1336">
        <v>50</v>
      </c>
      <c r="P1336">
        <v>1716</v>
      </c>
      <c r="Q1336">
        <v>1680.2</v>
      </c>
      <c r="R1336" t="s">
        <v>98</v>
      </c>
      <c r="S1336" t="s">
        <v>110</v>
      </c>
      <c r="T1336" t="s">
        <v>40</v>
      </c>
      <c r="U1336">
        <v>37</v>
      </c>
      <c r="W1336">
        <f>Table2[[#This Row],[Quantity]]*Table2[[#This Row],[Item_Price]]</f>
        <v>1716</v>
      </c>
    </row>
    <row r="1337" spans="1:23" x14ac:dyDescent="0.25">
      <c r="A1337" t="s">
        <v>1434</v>
      </c>
      <c r="B1337" s="1">
        <v>45756</v>
      </c>
      <c r="C1337" t="s">
        <v>1315</v>
      </c>
      <c r="D1337">
        <v>4</v>
      </c>
      <c r="E1337">
        <v>9</v>
      </c>
      <c r="F1337" t="s">
        <v>24</v>
      </c>
      <c r="G1337" t="s">
        <v>80</v>
      </c>
      <c r="H1337" t="s">
        <v>68</v>
      </c>
      <c r="I1337" t="s">
        <v>49</v>
      </c>
      <c r="J1337" t="s">
        <v>62</v>
      </c>
      <c r="K1337" t="s">
        <v>58</v>
      </c>
      <c r="L1337">
        <v>1</v>
      </c>
      <c r="M1337">
        <v>324</v>
      </c>
      <c r="N1337">
        <v>0</v>
      </c>
      <c r="O1337">
        <v>50</v>
      </c>
      <c r="P1337">
        <v>324</v>
      </c>
      <c r="Q1337">
        <v>374</v>
      </c>
      <c r="R1337" t="s">
        <v>39</v>
      </c>
      <c r="S1337" t="s">
        <v>110</v>
      </c>
      <c r="T1337" t="s">
        <v>32</v>
      </c>
      <c r="U1337">
        <v>70</v>
      </c>
      <c r="W1337">
        <f>Table2[[#This Row],[Quantity]]*Table2[[#This Row],[Item_Price]]</f>
        <v>324</v>
      </c>
    </row>
    <row r="1338" spans="1:23" x14ac:dyDescent="0.25">
      <c r="A1338" t="s">
        <v>1435</v>
      </c>
      <c r="B1338" s="1">
        <v>45757</v>
      </c>
      <c r="C1338" t="s">
        <v>1315</v>
      </c>
      <c r="D1338">
        <v>4</v>
      </c>
      <c r="E1338">
        <v>10</v>
      </c>
      <c r="F1338" t="s">
        <v>88</v>
      </c>
      <c r="G1338" t="s">
        <v>73</v>
      </c>
      <c r="H1338" t="s">
        <v>48</v>
      </c>
      <c r="I1338" t="s">
        <v>85</v>
      </c>
      <c r="J1338" t="s">
        <v>44</v>
      </c>
      <c r="K1338" t="s">
        <v>38</v>
      </c>
      <c r="L1338">
        <v>2</v>
      </c>
      <c r="M1338">
        <v>644</v>
      </c>
      <c r="N1338">
        <v>64.400000000000006</v>
      </c>
      <c r="O1338">
        <v>30</v>
      </c>
      <c r="P1338">
        <v>1288</v>
      </c>
      <c r="Q1338">
        <v>1253.5999999999999</v>
      </c>
      <c r="R1338" t="s">
        <v>30</v>
      </c>
      <c r="S1338" t="s">
        <v>110</v>
      </c>
      <c r="T1338" t="s">
        <v>32</v>
      </c>
      <c r="U1338">
        <v>22</v>
      </c>
      <c r="W1338">
        <f>Table2[[#This Row],[Quantity]]*Table2[[#This Row],[Item_Price]]</f>
        <v>1288</v>
      </c>
    </row>
    <row r="1339" spans="1:23" x14ac:dyDescent="0.25">
      <c r="A1339" t="s">
        <v>1436</v>
      </c>
      <c r="B1339" s="1">
        <v>45757</v>
      </c>
      <c r="C1339" t="s">
        <v>1315</v>
      </c>
      <c r="D1339">
        <v>4</v>
      </c>
      <c r="E1339">
        <v>10</v>
      </c>
      <c r="F1339" t="s">
        <v>88</v>
      </c>
      <c r="G1339" t="s">
        <v>80</v>
      </c>
      <c r="H1339" t="s">
        <v>56</v>
      </c>
      <c r="I1339" t="s">
        <v>49</v>
      </c>
      <c r="J1339" t="s">
        <v>53</v>
      </c>
      <c r="K1339" t="s">
        <v>38</v>
      </c>
      <c r="L1339">
        <v>2</v>
      </c>
      <c r="M1339">
        <v>456</v>
      </c>
      <c r="N1339">
        <v>0</v>
      </c>
      <c r="O1339">
        <v>40</v>
      </c>
      <c r="P1339">
        <v>912</v>
      </c>
      <c r="Q1339">
        <v>952</v>
      </c>
      <c r="R1339" t="s">
        <v>39</v>
      </c>
      <c r="S1339" t="s">
        <v>31</v>
      </c>
      <c r="T1339" t="s">
        <v>40</v>
      </c>
      <c r="U1339">
        <v>23</v>
      </c>
      <c r="V1339">
        <v>3.7</v>
      </c>
      <c r="W1339">
        <f>Table2[[#This Row],[Quantity]]*Table2[[#This Row],[Item_Price]]</f>
        <v>912</v>
      </c>
    </row>
    <row r="1340" spans="1:23" x14ac:dyDescent="0.25">
      <c r="A1340" t="s">
        <v>1437</v>
      </c>
      <c r="B1340" s="1">
        <v>45757</v>
      </c>
      <c r="C1340" t="s">
        <v>1315</v>
      </c>
      <c r="D1340">
        <v>4</v>
      </c>
      <c r="E1340">
        <v>10</v>
      </c>
      <c r="F1340" t="s">
        <v>88</v>
      </c>
      <c r="G1340" t="s">
        <v>64</v>
      </c>
      <c r="H1340" t="s">
        <v>81</v>
      </c>
      <c r="I1340" t="s">
        <v>49</v>
      </c>
      <c r="J1340" t="s">
        <v>53</v>
      </c>
      <c r="K1340" t="s">
        <v>38</v>
      </c>
      <c r="L1340">
        <v>3</v>
      </c>
      <c r="M1340">
        <v>811</v>
      </c>
      <c r="N1340">
        <v>121.65</v>
      </c>
      <c r="O1340">
        <v>40</v>
      </c>
      <c r="P1340">
        <v>2433</v>
      </c>
      <c r="Q1340">
        <v>2351.35</v>
      </c>
      <c r="R1340" t="s">
        <v>30</v>
      </c>
      <c r="S1340" t="s">
        <v>91</v>
      </c>
      <c r="T1340" t="s">
        <v>32</v>
      </c>
      <c r="U1340">
        <v>47</v>
      </c>
      <c r="W1340">
        <f>Table2[[#This Row],[Quantity]]*Table2[[#This Row],[Item_Price]]</f>
        <v>2433</v>
      </c>
    </row>
    <row r="1341" spans="1:23" x14ac:dyDescent="0.25">
      <c r="A1341" t="s">
        <v>1438</v>
      </c>
      <c r="B1341" s="1">
        <v>45757</v>
      </c>
      <c r="C1341" t="s">
        <v>1315</v>
      </c>
      <c r="D1341">
        <v>4</v>
      </c>
      <c r="E1341">
        <v>10</v>
      </c>
      <c r="F1341" t="s">
        <v>88</v>
      </c>
      <c r="G1341" t="s">
        <v>84</v>
      </c>
      <c r="H1341" t="s">
        <v>60</v>
      </c>
      <c r="I1341" t="s">
        <v>43</v>
      </c>
      <c r="J1341" t="s">
        <v>123</v>
      </c>
      <c r="K1341" t="s">
        <v>38</v>
      </c>
      <c r="L1341">
        <v>1</v>
      </c>
      <c r="M1341">
        <v>529</v>
      </c>
      <c r="N1341">
        <v>52.9</v>
      </c>
      <c r="O1341">
        <v>40</v>
      </c>
      <c r="P1341">
        <v>529</v>
      </c>
      <c r="Q1341">
        <v>516.1</v>
      </c>
      <c r="R1341" t="s">
        <v>98</v>
      </c>
      <c r="S1341" t="s">
        <v>31</v>
      </c>
      <c r="T1341" t="s">
        <v>40</v>
      </c>
      <c r="U1341">
        <v>58</v>
      </c>
      <c r="V1341">
        <v>3.7</v>
      </c>
      <c r="W1341">
        <f>Table2[[#This Row],[Quantity]]*Table2[[#This Row],[Item_Price]]</f>
        <v>529</v>
      </c>
    </row>
    <row r="1342" spans="1:23" x14ac:dyDescent="0.25">
      <c r="A1342" t="s">
        <v>1439</v>
      </c>
      <c r="B1342" s="1">
        <v>45757</v>
      </c>
      <c r="C1342" t="s">
        <v>1315</v>
      </c>
      <c r="D1342">
        <v>4</v>
      </c>
      <c r="E1342">
        <v>10</v>
      </c>
      <c r="F1342" t="s">
        <v>88</v>
      </c>
      <c r="G1342" t="s">
        <v>80</v>
      </c>
      <c r="H1342" t="s">
        <v>35</v>
      </c>
      <c r="I1342" t="s">
        <v>85</v>
      </c>
      <c r="J1342" t="s">
        <v>78</v>
      </c>
      <c r="K1342" t="s">
        <v>38</v>
      </c>
      <c r="L1342">
        <v>2</v>
      </c>
      <c r="M1342">
        <v>429</v>
      </c>
      <c r="N1342">
        <v>85.8</v>
      </c>
      <c r="O1342">
        <v>50</v>
      </c>
      <c r="P1342">
        <v>858</v>
      </c>
      <c r="Q1342">
        <v>822.2</v>
      </c>
      <c r="R1342" t="s">
        <v>39</v>
      </c>
      <c r="S1342" t="s">
        <v>31</v>
      </c>
      <c r="T1342" t="s">
        <v>40</v>
      </c>
      <c r="U1342">
        <v>24</v>
      </c>
      <c r="V1342">
        <v>5</v>
      </c>
      <c r="W1342">
        <f>Table2[[#This Row],[Quantity]]*Table2[[#This Row],[Item_Price]]</f>
        <v>858</v>
      </c>
    </row>
    <row r="1343" spans="1:23" x14ac:dyDescent="0.25">
      <c r="A1343" t="s">
        <v>1440</v>
      </c>
      <c r="B1343" s="1">
        <v>45757</v>
      </c>
      <c r="C1343" t="s">
        <v>1315</v>
      </c>
      <c r="D1343">
        <v>4</v>
      </c>
      <c r="E1343">
        <v>10</v>
      </c>
      <c r="F1343" t="s">
        <v>88</v>
      </c>
      <c r="G1343" t="s">
        <v>90</v>
      </c>
      <c r="H1343" t="s">
        <v>35</v>
      </c>
      <c r="I1343" t="s">
        <v>61</v>
      </c>
      <c r="J1343" t="s">
        <v>66</v>
      </c>
      <c r="K1343" t="s">
        <v>38</v>
      </c>
      <c r="L1343">
        <v>2</v>
      </c>
      <c r="M1343">
        <v>543</v>
      </c>
      <c r="N1343">
        <v>108.6</v>
      </c>
      <c r="O1343">
        <v>40</v>
      </c>
      <c r="P1343">
        <v>1086</v>
      </c>
      <c r="Q1343">
        <v>1017.4</v>
      </c>
      <c r="R1343" t="s">
        <v>75</v>
      </c>
      <c r="S1343" t="s">
        <v>46</v>
      </c>
      <c r="T1343" t="s">
        <v>40</v>
      </c>
      <c r="U1343">
        <v>59</v>
      </c>
      <c r="W1343">
        <f>Table2[[#This Row],[Quantity]]*Table2[[#This Row],[Item_Price]]</f>
        <v>1086</v>
      </c>
    </row>
    <row r="1344" spans="1:23" x14ac:dyDescent="0.25">
      <c r="A1344" t="s">
        <v>1441</v>
      </c>
      <c r="B1344" s="1">
        <v>45757</v>
      </c>
      <c r="C1344" t="s">
        <v>1315</v>
      </c>
      <c r="D1344">
        <v>4</v>
      </c>
      <c r="E1344">
        <v>10</v>
      </c>
      <c r="F1344" t="s">
        <v>88</v>
      </c>
      <c r="G1344" t="s">
        <v>96</v>
      </c>
      <c r="H1344" t="s">
        <v>77</v>
      </c>
      <c r="I1344" t="s">
        <v>85</v>
      </c>
      <c r="J1344" t="s">
        <v>119</v>
      </c>
      <c r="K1344" t="s">
        <v>38</v>
      </c>
      <c r="L1344">
        <v>1</v>
      </c>
      <c r="M1344">
        <v>413</v>
      </c>
      <c r="N1344">
        <v>0</v>
      </c>
      <c r="O1344">
        <v>50</v>
      </c>
      <c r="P1344">
        <v>413</v>
      </c>
      <c r="Q1344">
        <v>463</v>
      </c>
      <c r="R1344" t="s">
        <v>39</v>
      </c>
      <c r="S1344" t="s">
        <v>31</v>
      </c>
      <c r="T1344" t="s">
        <v>32</v>
      </c>
      <c r="U1344">
        <v>37</v>
      </c>
      <c r="V1344">
        <v>4.5999999999999996</v>
      </c>
      <c r="W1344">
        <f>Table2[[#This Row],[Quantity]]*Table2[[#This Row],[Item_Price]]</f>
        <v>413</v>
      </c>
    </row>
    <row r="1345" spans="1:23" x14ac:dyDescent="0.25">
      <c r="A1345" t="s">
        <v>1442</v>
      </c>
      <c r="B1345" s="1">
        <v>45757</v>
      </c>
      <c r="C1345" t="s">
        <v>1315</v>
      </c>
      <c r="D1345">
        <v>4</v>
      </c>
      <c r="E1345">
        <v>10</v>
      </c>
      <c r="F1345" t="s">
        <v>88</v>
      </c>
      <c r="G1345" t="s">
        <v>73</v>
      </c>
      <c r="H1345" t="s">
        <v>108</v>
      </c>
      <c r="I1345" t="s">
        <v>36</v>
      </c>
      <c r="J1345" t="s">
        <v>78</v>
      </c>
      <c r="K1345" t="s">
        <v>38</v>
      </c>
      <c r="L1345">
        <v>2</v>
      </c>
      <c r="M1345">
        <v>597</v>
      </c>
      <c r="N1345">
        <v>89.55</v>
      </c>
      <c r="O1345">
        <v>40</v>
      </c>
      <c r="P1345">
        <v>1194</v>
      </c>
      <c r="Q1345">
        <v>1144.45</v>
      </c>
      <c r="R1345" t="s">
        <v>39</v>
      </c>
      <c r="S1345" t="s">
        <v>31</v>
      </c>
      <c r="T1345" t="s">
        <v>32</v>
      </c>
      <c r="U1345">
        <v>20</v>
      </c>
      <c r="V1345">
        <v>2.6</v>
      </c>
      <c r="W1345">
        <f>Table2[[#This Row],[Quantity]]*Table2[[#This Row],[Item_Price]]</f>
        <v>1194</v>
      </c>
    </row>
    <row r="1346" spans="1:23" x14ac:dyDescent="0.25">
      <c r="A1346" t="s">
        <v>1443</v>
      </c>
      <c r="B1346" s="1">
        <v>45757</v>
      </c>
      <c r="C1346" t="s">
        <v>1315</v>
      </c>
      <c r="D1346">
        <v>4</v>
      </c>
      <c r="E1346">
        <v>10</v>
      </c>
      <c r="F1346" t="s">
        <v>88</v>
      </c>
      <c r="G1346" t="s">
        <v>55</v>
      </c>
      <c r="H1346" t="s">
        <v>108</v>
      </c>
      <c r="I1346" t="s">
        <v>97</v>
      </c>
      <c r="J1346" t="s">
        <v>37</v>
      </c>
      <c r="K1346" t="s">
        <v>38</v>
      </c>
      <c r="L1346">
        <v>1</v>
      </c>
      <c r="M1346">
        <v>292</v>
      </c>
      <c r="N1346">
        <v>58.4</v>
      </c>
      <c r="O1346">
        <v>40</v>
      </c>
      <c r="P1346">
        <v>292</v>
      </c>
      <c r="Q1346">
        <v>273.60000000000002</v>
      </c>
      <c r="R1346" t="s">
        <v>75</v>
      </c>
      <c r="S1346" t="s">
        <v>31</v>
      </c>
      <c r="T1346" t="s">
        <v>32</v>
      </c>
      <c r="U1346">
        <v>33</v>
      </c>
      <c r="V1346">
        <v>3.6</v>
      </c>
      <c r="W1346">
        <f>Table2[[#This Row],[Quantity]]*Table2[[#This Row],[Item_Price]]</f>
        <v>292</v>
      </c>
    </row>
    <row r="1347" spans="1:23" x14ac:dyDescent="0.25">
      <c r="A1347" t="s">
        <v>1444</v>
      </c>
      <c r="B1347" s="1">
        <v>45757</v>
      </c>
      <c r="C1347" t="s">
        <v>1315</v>
      </c>
      <c r="D1347">
        <v>4</v>
      </c>
      <c r="E1347">
        <v>10</v>
      </c>
      <c r="F1347" t="s">
        <v>88</v>
      </c>
      <c r="G1347" t="s">
        <v>34</v>
      </c>
      <c r="H1347" t="s">
        <v>26</v>
      </c>
      <c r="I1347" t="s">
        <v>85</v>
      </c>
      <c r="J1347" t="s">
        <v>119</v>
      </c>
      <c r="K1347" t="s">
        <v>38</v>
      </c>
      <c r="L1347">
        <v>2</v>
      </c>
      <c r="M1347">
        <v>493</v>
      </c>
      <c r="N1347">
        <v>49.3</v>
      </c>
      <c r="O1347">
        <v>30</v>
      </c>
      <c r="P1347">
        <v>986</v>
      </c>
      <c r="Q1347">
        <v>966.7</v>
      </c>
      <c r="R1347" t="s">
        <v>112</v>
      </c>
      <c r="S1347" t="s">
        <v>31</v>
      </c>
      <c r="T1347" t="s">
        <v>40</v>
      </c>
      <c r="U1347">
        <v>22</v>
      </c>
      <c r="V1347">
        <v>5</v>
      </c>
      <c r="W1347">
        <f>Table2[[#This Row],[Quantity]]*Table2[[#This Row],[Item_Price]]</f>
        <v>986</v>
      </c>
    </row>
    <row r="1348" spans="1:23" x14ac:dyDescent="0.25">
      <c r="A1348" t="s">
        <v>1445</v>
      </c>
      <c r="B1348" s="1">
        <v>45757</v>
      </c>
      <c r="C1348" t="s">
        <v>1315</v>
      </c>
      <c r="D1348">
        <v>4</v>
      </c>
      <c r="E1348">
        <v>10</v>
      </c>
      <c r="F1348" t="s">
        <v>88</v>
      </c>
      <c r="G1348" t="s">
        <v>84</v>
      </c>
      <c r="H1348" t="s">
        <v>135</v>
      </c>
      <c r="I1348" t="s">
        <v>69</v>
      </c>
      <c r="J1348" t="s">
        <v>94</v>
      </c>
      <c r="K1348" t="s">
        <v>45</v>
      </c>
      <c r="L1348">
        <v>3</v>
      </c>
      <c r="M1348">
        <v>814</v>
      </c>
      <c r="N1348">
        <v>122.1</v>
      </c>
      <c r="O1348">
        <v>40</v>
      </c>
      <c r="P1348">
        <v>2442</v>
      </c>
      <c r="Q1348">
        <v>2359.9</v>
      </c>
      <c r="R1348" t="s">
        <v>39</v>
      </c>
      <c r="S1348" t="s">
        <v>31</v>
      </c>
      <c r="T1348" t="s">
        <v>40</v>
      </c>
      <c r="U1348">
        <v>42</v>
      </c>
      <c r="V1348">
        <v>4.5999999999999996</v>
      </c>
      <c r="W1348">
        <f>Table2[[#This Row],[Quantity]]*Table2[[#This Row],[Item_Price]]</f>
        <v>2442</v>
      </c>
    </row>
    <row r="1349" spans="1:23" x14ac:dyDescent="0.25">
      <c r="A1349" t="s">
        <v>1446</v>
      </c>
      <c r="B1349" s="1">
        <v>45757</v>
      </c>
      <c r="C1349" t="s">
        <v>1315</v>
      </c>
      <c r="D1349">
        <v>4</v>
      </c>
      <c r="E1349">
        <v>10</v>
      </c>
      <c r="F1349" t="s">
        <v>88</v>
      </c>
      <c r="G1349" t="s">
        <v>73</v>
      </c>
      <c r="H1349" t="s">
        <v>108</v>
      </c>
      <c r="I1349" t="s">
        <v>49</v>
      </c>
      <c r="J1349" t="s">
        <v>78</v>
      </c>
      <c r="K1349" t="s">
        <v>38</v>
      </c>
      <c r="L1349">
        <v>1</v>
      </c>
      <c r="M1349">
        <v>520</v>
      </c>
      <c r="N1349">
        <v>78</v>
      </c>
      <c r="O1349">
        <v>0</v>
      </c>
      <c r="P1349">
        <v>520</v>
      </c>
      <c r="Q1349">
        <v>442</v>
      </c>
      <c r="R1349" t="s">
        <v>112</v>
      </c>
      <c r="S1349" t="s">
        <v>31</v>
      </c>
      <c r="T1349" t="s">
        <v>40</v>
      </c>
      <c r="U1349">
        <v>36</v>
      </c>
      <c r="V1349">
        <v>4.2</v>
      </c>
      <c r="W1349">
        <f>Table2[[#This Row],[Quantity]]*Table2[[#This Row],[Item_Price]]</f>
        <v>520</v>
      </c>
    </row>
    <row r="1350" spans="1:23" x14ac:dyDescent="0.25">
      <c r="A1350" t="s">
        <v>1447</v>
      </c>
      <c r="B1350" s="1">
        <v>45757</v>
      </c>
      <c r="C1350" t="s">
        <v>1315</v>
      </c>
      <c r="D1350">
        <v>4</v>
      </c>
      <c r="E1350">
        <v>10</v>
      </c>
      <c r="F1350" t="s">
        <v>88</v>
      </c>
      <c r="G1350" t="s">
        <v>34</v>
      </c>
      <c r="H1350" t="s">
        <v>26</v>
      </c>
      <c r="I1350" t="s">
        <v>36</v>
      </c>
      <c r="J1350" t="s">
        <v>28</v>
      </c>
      <c r="K1350" t="s">
        <v>38</v>
      </c>
      <c r="L1350">
        <v>3</v>
      </c>
      <c r="M1350">
        <v>636</v>
      </c>
      <c r="N1350">
        <v>95.4</v>
      </c>
      <c r="O1350">
        <v>0</v>
      </c>
      <c r="P1350">
        <v>1908</v>
      </c>
      <c r="Q1350">
        <v>1812.6</v>
      </c>
      <c r="R1350" t="s">
        <v>39</v>
      </c>
      <c r="S1350" t="s">
        <v>31</v>
      </c>
      <c r="T1350" t="s">
        <v>40</v>
      </c>
      <c r="U1350">
        <v>31</v>
      </c>
      <c r="V1350">
        <v>4.0999999999999996</v>
      </c>
      <c r="W1350">
        <f>Table2[[#This Row],[Quantity]]*Table2[[#This Row],[Item_Price]]</f>
        <v>1908</v>
      </c>
    </row>
    <row r="1351" spans="1:23" x14ac:dyDescent="0.25">
      <c r="A1351" t="s">
        <v>1448</v>
      </c>
      <c r="B1351" s="1">
        <v>45757</v>
      </c>
      <c r="C1351" t="s">
        <v>1315</v>
      </c>
      <c r="D1351">
        <v>4</v>
      </c>
      <c r="E1351">
        <v>10</v>
      </c>
      <c r="F1351" t="s">
        <v>88</v>
      </c>
      <c r="G1351" t="s">
        <v>64</v>
      </c>
      <c r="H1351" t="s">
        <v>105</v>
      </c>
      <c r="I1351" t="s">
        <v>27</v>
      </c>
      <c r="J1351" t="s">
        <v>37</v>
      </c>
      <c r="K1351" t="s">
        <v>45</v>
      </c>
      <c r="L1351">
        <v>2</v>
      </c>
      <c r="M1351">
        <v>445</v>
      </c>
      <c r="N1351">
        <v>22.25</v>
      </c>
      <c r="O1351">
        <v>40</v>
      </c>
      <c r="P1351">
        <v>890</v>
      </c>
      <c r="Q1351">
        <v>907.75</v>
      </c>
      <c r="R1351" t="s">
        <v>39</v>
      </c>
      <c r="S1351" t="s">
        <v>31</v>
      </c>
      <c r="T1351" t="s">
        <v>32</v>
      </c>
      <c r="U1351">
        <v>30</v>
      </c>
      <c r="V1351">
        <v>4.8</v>
      </c>
      <c r="W1351">
        <f>Table2[[#This Row],[Quantity]]*Table2[[#This Row],[Item_Price]]</f>
        <v>890</v>
      </c>
    </row>
    <row r="1352" spans="1:23" x14ac:dyDescent="0.25">
      <c r="A1352" t="s">
        <v>1449</v>
      </c>
      <c r="B1352" s="1">
        <v>45758</v>
      </c>
      <c r="C1352" t="s">
        <v>1315</v>
      </c>
      <c r="D1352">
        <v>4</v>
      </c>
      <c r="E1352">
        <v>11</v>
      </c>
      <c r="F1352" t="s">
        <v>114</v>
      </c>
      <c r="G1352" t="s">
        <v>90</v>
      </c>
      <c r="H1352" t="s">
        <v>52</v>
      </c>
      <c r="I1352" t="s">
        <v>43</v>
      </c>
      <c r="J1352" t="s">
        <v>53</v>
      </c>
      <c r="K1352" t="s">
        <v>38</v>
      </c>
      <c r="L1352">
        <v>1</v>
      </c>
      <c r="M1352">
        <v>424</v>
      </c>
      <c r="N1352">
        <v>42.4</v>
      </c>
      <c r="O1352">
        <v>50</v>
      </c>
      <c r="P1352">
        <v>424</v>
      </c>
      <c r="Q1352">
        <v>431.6</v>
      </c>
      <c r="R1352" t="s">
        <v>98</v>
      </c>
      <c r="S1352" t="s">
        <v>31</v>
      </c>
      <c r="T1352" t="s">
        <v>40</v>
      </c>
      <c r="U1352">
        <v>22</v>
      </c>
      <c r="V1352">
        <v>3.9</v>
      </c>
      <c r="W1352">
        <f>Table2[[#This Row],[Quantity]]*Table2[[#This Row],[Item_Price]]</f>
        <v>424</v>
      </c>
    </row>
    <row r="1353" spans="1:23" x14ac:dyDescent="0.25">
      <c r="A1353" t="s">
        <v>1450</v>
      </c>
      <c r="B1353" s="1">
        <v>45758</v>
      </c>
      <c r="C1353" t="s">
        <v>1315</v>
      </c>
      <c r="D1353">
        <v>4</v>
      </c>
      <c r="E1353">
        <v>11</v>
      </c>
      <c r="F1353" t="s">
        <v>114</v>
      </c>
      <c r="G1353" t="s">
        <v>55</v>
      </c>
      <c r="H1353" t="s">
        <v>42</v>
      </c>
      <c r="I1353" t="s">
        <v>97</v>
      </c>
      <c r="J1353" t="s">
        <v>78</v>
      </c>
      <c r="K1353" t="s">
        <v>38</v>
      </c>
      <c r="L1353">
        <v>1</v>
      </c>
      <c r="M1353">
        <v>829</v>
      </c>
      <c r="N1353">
        <v>124.35</v>
      </c>
      <c r="O1353">
        <v>50</v>
      </c>
      <c r="P1353">
        <v>829</v>
      </c>
      <c r="Q1353">
        <v>754.65</v>
      </c>
      <c r="R1353" t="s">
        <v>98</v>
      </c>
      <c r="S1353" t="s">
        <v>31</v>
      </c>
      <c r="T1353" t="s">
        <v>40</v>
      </c>
      <c r="U1353">
        <v>20</v>
      </c>
      <c r="V1353">
        <v>3.6</v>
      </c>
      <c r="W1353">
        <f>Table2[[#This Row],[Quantity]]*Table2[[#This Row],[Item_Price]]</f>
        <v>829</v>
      </c>
    </row>
    <row r="1354" spans="1:23" x14ac:dyDescent="0.25">
      <c r="A1354" t="s">
        <v>1451</v>
      </c>
      <c r="B1354" s="1">
        <v>45758</v>
      </c>
      <c r="C1354" t="s">
        <v>1315</v>
      </c>
      <c r="D1354">
        <v>4</v>
      </c>
      <c r="E1354">
        <v>11</v>
      </c>
      <c r="F1354" t="s">
        <v>114</v>
      </c>
      <c r="G1354" t="s">
        <v>73</v>
      </c>
      <c r="H1354" t="s">
        <v>68</v>
      </c>
      <c r="I1354" t="s">
        <v>43</v>
      </c>
      <c r="J1354" t="s">
        <v>50</v>
      </c>
      <c r="K1354" t="s">
        <v>45</v>
      </c>
      <c r="L1354">
        <v>3</v>
      </c>
      <c r="M1354">
        <v>152</v>
      </c>
      <c r="N1354">
        <v>22.8</v>
      </c>
      <c r="O1354">
        <v>30</v>
      </c>
      <c r="P1354">
        <v>456</v>
      </c>
      <c r="Q1354">
        <v>463.2</v>
      </c>
      <c r="R1354" t="s">
        <v>75</v>
      </c>
      <c r="S1354" t="s">
        <v>31</v>
      </c>
      <c r="T1354" t="s">
        <v>40</v>
      </c>
      <c r="U1354">
        <v>43</v>
      </c>
      <c r="V1354">
        <v>4.0999999999999996</v>
      </c>
      <c r="W1354">
        <f>Table2[[#This Row],[Quantity]]*Table2[[#This Row],[Item_Price]]</f>
        <v>456</v>
      </c>
    </row>
    <row r="1355" spans="1:23" x14ac:dyDescent="0.25">
      <c r="A1355" t="s">
        <v>1452</v>
      </c>
      <c r="B1355" s="1">
        <v>45758</v>
      </c>
      <c r="C1355" t="s">
        <v>1315</v>
      </c>
      <c r="D1355">
        <v>4</v>
      </c>
      <c r="E1355">
        <v>11</v>
      </c>
      <c r="F1355" t="s">
        <v>114</v>
      </c>
      <c r="G1355" t="s">
        <v>34</v>
      </c>
      <c r="H1355" t="s">
        <v>48</v>
      </c>
      <c r="I1355" t="s">
        <v>49</v>
      </c>
      <c r="J1355" t="s">
        <v>70</v>
      </c>
      <c r="K1355" t="s">
        <v>38</v>
      </c>
      <c r="L1355">
        <v>1</v>
      </c>
      <c r="M1355">
        <v>327</v>
      </c>
      <c r="N1355">
        <v>32.700000000000003</v>
      </c>
      <c r="O1355">
        <v>20</v>
      </c>
      <c r="P1355">
        <v>327</v>
      </c>
      <c r="Q1355">
        <v>314.3</v>
      </c>
      <c r="R1355" t="s">
        <v>30</v>
      </c>
      <c r="S1355" t="s">
        <v>91</v>
      </c>
      <c r="T1355" t="s">
        <v>32</v>
      </c>
      <c r="U1355">
        <v>66</v>
      </c>
      <c r="W1355">
        <f>Table2[[#This Row],[Quantity]]*Table2[[#This Row],[Item_Price]]</f>
        <v>327</v>
      </c>
    </row>
    <row r="1356" spans="1:23" x14ac:dyDescent="0.25">
      <c r="A1356" t="s">
        <v>1453</v>
      </c>
      <c r="B1356" s="1">
        <v>45758</v>
      </c>
      <c r="C1356" t="s">
        <v>1315</v>
      </c>
      <c r="D1356">
        <v>4</v>
      </c>
      <c r="E1356">
        <v>11</v>
      </c>
      <c r="F1356" t="s">
        <v>114</v>
      </c>
      <c r="G1356" t="s">
        <v>64</v>
      </c>
      <c r="H1356" t="s">
        <v>81</v>
      </c>
      <c r="I1356" t="s">
        <v>97</v>
      </c>
      <c r="J1356" t="s">
        <v>62</v>
      </c>
      <c r="K1356" t="s">
        <v>38</v>
      </c>
      <c r="L1356">
        <v>2</v>
      </c>
      <c r="M1356">
        <v>779</v>
      </c>
      <c r="N1356">
        <v>155.80000000000001</v>
      </c>
      <c r="O1356">
        <v>30</v>
      </c>
      <c r="P1356">
        <v>1558</v>
      </c>
      <c r="Q1356">
        <v>1432.2</v>
      </c>
      <c r="R1356" t="s">
        <v>112</v>
      </c>
      <c r="S1356" t="s">
        <v>31</v>
      </c>
      <c r="T1356" t="s">
        <v>32</v>
      </c>
      <c r="U1356">
        <v>30</v>
      </c>
      <c r="V1356">
        <v>4</v>
      </c>
      <c r="W1356">
        <f>Table2[[#This Row],[Quantity]]*Table2[[#This Row],[Item_Price]]</f>
        <v>1558</v>
      </c>
    </row>
    <row r="1357" spans="1:23" x14ac:dyDescent="0.25">
      <c r="A1357" t="s">
        <v>1454</v>
      </c>
      <c r="B1357" s="1">
        <v>45758</v>
      </c>
      <c r="C1357" t="s">
        <v>1315</v>
      </c>
      <c r="D1357">
        <v>4</v>
      </c>
      <c r="E1357">
        <v>11</v>
      </c>
      <c r="F1357" t="s">
        <v>114</v>
      </c>
      <c r="G1357" t="s">
        <v>34</v>
      </c>
      <c r="H1357" t="s">
        <v>56</v>
      </c>
      <c r="I1357" t="s">
        <v>69</v>
      </c>
      <c r="J1357" t="s">
        <v>119</v>
      </c>
      <c r="K1357" t="s">
        <v>38</v>
      </c>
      <c r="L1357">
        <v>2</v>
      </c>
      <c r="M1357">
        <v>762</v>
      </c>
      <c r="N1357">
        <v>76.2</v>
      </c>
      <c r="O1357">
        <v>40</v>
      </c>
      <c r="P1357">
        <v>1524</v>
      </c>
      <c r="Q1357">
        <v>1487.8</v>
      </c>
      <c r="R1357" t="s">
        <v>30</v>
      </c>
      <c r="S1357" t="s">
        <v>110</v>
      </c>
      <c r="T1357" t="s">
        <v>40</v>
      </c>
      <c r="U1357">
        <v>42</v>
      </c>
      <c r="W1357">
        <f>Table2[[#This Row],[Quantity]]*Table2[[#This Row],[Item_Price]]</f>
        <v>1524</v>
      </c>
    </row>
    <row r="1358" spans="1:23" x14ac:dyDescent="0.25">
      <c r="A1358" t="s">
        <v>1455</v>
      </c>
      <c r="B1358" s="1">
        <v>45758</v>
      </c>
      <c r="C1358" t="s">
        <v>1315</v>
      </c>
      <c r="D1358">
        <v>4</v>
      </c>
      <c r="E1358">
        <v>11</v>
      </c>
      <c r="F1358" t="s">
        <v>114</v>
      </c>
      <c r="G1358" t="s">
        <v>84</v>
      </c>
      <c r="H1358" t="s">
        <v>139</v>
      </c>
      <c r="I1358" t="s">
        <v>57</v>
      </c>
      <c r="J1358" t="s">
        <v>53</v>
      </c>
      <c r="K1358" t="s">
        <v>29</v>
      </c>
      <c r="L1358">
        <v>3</v>
      </c>
      <c r="M1358">
        <v>821</v>
      </c>
      <c r="N1358">
        <v>123.15</v>
      </c>
      <c r="O1358">
        <v>50</v>
      </c>
      <c r="P1358">
        <v>2463</v>
      </c>
      <c r="Q1358">
        <v>2389.85</v>
      </c>
      <c r="R1358" t="s">
        <v>39</v>
      </c>
      <c r="S1358" t="s">
        <v>31</v>
      </c>
      <c r="T1358" t="s">
        <v>40</v>
      </c>
      <c r="U1358">
        <v>40</v>
      </c>
      <c r="V1358">
        <v>4.5</v>
      </c>
      <c r="W1358">
        <f>Table2[[#This Row],[Quantity]]*Table2[[#This Row],[Item_Price]]</f>
        <v>2463</v>
      </c>
    </row>
    <row r="1359" spans="1:23" x14ac:dyDescent="0.25">
      <c r="A1359" t="s">
        <v>1456</v>
      </c>
      <c r="B1359" s="1">
        <v>45758</v>
      </c>
      <c r="C1359" t="s">
        <v>1315</v>
      </c>
      <c r="D1359">
        <v>4</v>
      </c>
      <c r="E1359">
        <v>11</v>
      </c>
      <c r="F1359" t="s">
        <v>114</v>
      </c>
      <c r="G1359" t="s">
        <v>115</v>
      </c>
      <c r="H1359" t="s">
        <v>26</v>
      </c>
      <c r="I1359" t="s">
        <v>61</v>
      </c>
      <c r="J1359" t="s">
        <v>119</v>
      </c>
      <c r="K1359" t="s">
        <v>38</v>
      </c>
      <c r="L1359">
        <v>2</v>
      </c>
      <c r="M1359">
        <v>354</v>
      </c>
      <c r="N1359">
        <v>88.5</v>
      </c>
      <c r="O1359">
        <v>0</v>
      </c>
      <c r="P1359">
        <v>708</v>
      </c>
      <c r="Q1359">
        <v>619.5</v>
      </c>
      <c r="R1359" t="s">
        <v>39</v>
      </c>
      <c r="S1359" t="s">
        <v>31</v>
      </c>
      <c r="T1359" t="s">
        <v>40</v>
      </c>
      <c r="U1359">
        <v>63</v>
      </c>
      <c r="V1359">
        <v>2.9</v>
      </c>
      <c r="W1359">
        <f>Table2[[#This Row],[Quantity]]*Table2[[#This Row],[Item_Price]]</f>
        <v>708</v>
      </c>
    </row>
    <row r="1360" spans="1:23" x14ac:dyDescent="0.25">
      <c r="A1360" t="s">
        <v>1457</v>
      </c>
      <c r="B1360" s="1">
        <v>45758</v>
      </c>
      <c r="C1360" t="s">
        <v>1315</v>
      </c>
      <c r="D1360">
        <v>4</v>
      </c>
      <c r="E1360">
        <v>11</v>
      </c>
      <c r="F1360" t="s">
        <v>114</v>
      </c>
      <c r="G1360" t="s">
        <v>34</v>
      </c>
      <c r="H1360" t="s">
        <v>77</v>
      </c>
      <c r="I1360" t="s">
        <v>27</v>
      </c>
      <c r="J1360" t="s">
        <v>44</v>
      </c>
      <c r="K1360" t="s">
        <v>38</v>
      </c>
      <c r="L1360">
        <v>2</v>
      </c>
      <c r="M1360">
        <v>774</v>
      </c>
      <c r="N1360">
        <v>38.700000000000003</v>
      </c>
      <c r="O1360">
        <v>50</v>
      </c>
      <c r="P1360">
        <v>1548</v>
      </c>
      <c r="Q1360">
        <v>1559.3</v>
      </c>
      <c r="R1360" t="s">
        <v>98</v>
      </c>
      <c r="S1360" t="s">
        <v>31</v>
      </c>
      <c r="T1360" t="s">
        <v>40</v>
      </c>
      <c r="U1360">
        <v>65</v>
      </c>
      <c r="V1360">
        <v>5</v>
      </c>
      <c r="W1360">
        <f>Table2[[#This Row],[Quantity]]*Table2[[#This Row],[Item_Price]]</f>
        <v>1548</v>
      </c>
    </row>
    <row r="1361" spans="1:23" x14ac:dyDescent="0.25">
      <c r="A1361" t="s">
        <v>1458</v>
      </c>
      <c r="B1361" s="1">
        <v>45758</v>
      </c>
      <c r="C1361" t="s">
        <v>1315</v>
      </c>
      <c r="D1361">
        <v>4</v>
      </c>
      <c r="E1361">
        <v>11</v>
      </c>
      <c r="F1361" t="s">
        <v>114</v>
      </c>
      <c r="G1361" t="s">
        <v>34</v>
      </c>
      <c r="H1361" t="s">
        <v>108</v>
      </c>
      <c r="I1361" t="s">
        <v>103</v>
      </c>
      <c r="J1361" t="s">
        <v>94</v>
      </c>
      <c r="K1361" t="s">
        <v>38</v>
      </c>
      <c r="L1361">
        <v>1</v>
      </c>
      <c r="M1361">
        <v>548</v>
      </c>
      <c r="N1361">
        <v>137</v>
      </c>
      <c r="O1361">
        <v>30</v>
      </c>
      <c r="P1361">
        <v>548</v>
      </c>
      <c r="Q1361">
        <v>441</v>
      </c>
      <c r="R1361" t="s">
        <v>39</v>
      </c>
      <c r="S1361" t="s">
        <v>31</v>
      </c>
      <c r="T1361" t="s">
        <v>40</v>
      </c>
      <c r="U1361">
        <v>32</v>
      </c>
      <c r="V1361">
        <v>3.7</v>
      </c>
      <c r="W1361">
        <f>Table2[[#This Row],[Quantity]]*Table2[[#This Row],[Item_Price]]</f>
        <v>548</v>
      </c>
    </row>
    <row r="1362" spans="1:23" x14ac:dyDescent="0.25">
      <c r="A1362" t="s">
        <v>1459</v>
      </c>
      <c r="B1362" s="1">
        <v>45758</v>
      </c>
      <c r="C1362" t="s">
        <v>1315</v>
      </c>
      <c r="D1362">
        <v>4</v>
      </c>
      <c r="E1362">
        <v>11</v>
      </c>
      <c r="F1362" t="s">
        <v>114</v>
      </c>
      <c r="G1362" t="s">
        <v>80</v>
      </c>
      <c r="H1362" t="s">
        <v>105</v>
      </c>
      <c r="I1362" t="s">
        <v>97</v>
      </c>
      <c r="J1362" t="s">
        <v>62</v>
      </c>
      <c r="K1362" t="s">
        <v>38</v>
      </c>
      <c r="L1362">
        <v>1</v>
      </c>
      <c r="M1362">
        <v>536</v>
      </c>
      <c r="N1362">
        <v>53.6</v>
      </c>
      <c r="O1362">
        <v>20</v>
      </c>
      <c r="P1362">
        <v>536</v>
      </c>
      <c r="Q1362">
        <v>502.4</v>
      </c>
      <c r="R1362" t="s">
        <v>30</v>
      </c>
      <c r="S1362" t="s">
        <v>91</v>
      </c>
      <c r="T1362" t="s">
        <v>40</v>
      </c>
      <c r="U1362">
        <v>44</v>
      </c>
      <c r="W1362">
        <f>Table2[[#This Row],[Quantity]]*Table2[[#This Row],[Item_Price]]</f>
        <v>536</v>
      </c>
    </row>
    <row r="1363" spans="1:23" x14ac:dyDescent="0.25">
      <c r="A1363" t="s">
        <v>1460</v>
      </c>
      <c r="B1363" s="1">
        <v>45758</v>
      </c>
      <c r="C1363" t="s">
        <v>1315</v>
      </c>
      <c r="D1363">
        <v>4</v>
      </c>
      <c r="E1363">
        <v>11</v>
      </c>
      <c r="F1363" t="s">
        <v>114</v>
      </c>
      <c r="G1363" t="s">
        <v>90</v>
      </c>
      <c r="H1363" t="s">
        <v>56</v>
      </c>
      <c r="I1363" t="s">
        <v>85</v>
      </c>
      <c r="J1363" t="s">
        <v>44</v>
      </c>
      <c r="K1363" t="s">
        <v>38</v>
      </c>
      <c r="L1363">
        <v>2</v>
      </c>
      <c r="M1363">
        <v>848</v>
      </c>
      <c r="N1363">
        <v>42.4</v>
      </c>
      <c r="O1363">
        <v>40</v>
      </c>
      <c r="P1363">
        <v>1696</v>
      </c>
      <c r="Q1363">
        <v>1693.6</v>
      </c>
      <c r="R1363" t="s">
        <v>30</v>
      </c>
      <c r="S1363" t="s">
        <v>31</v>
      </c>
      <c r="T1363" t="s">
        <v>32</v>
      </c>
      <c r="U1363">
        <v>60</v>
      </c>
      <c r="V1363">
        <v>2.7</v>
      </c>
      <c r="W1363">
        <f>Table2[[#This Row],[Quantity]]*Table2[[#This Row],[Item_Price]]</f>
        <v>1696</v>
      </c>
    </row>
    <row r="1364" spans="1:23" x14ac:dyDescent="0.25">
      <c r="A1364" t="s">
        <v>1461</v>
      </c>
      <c r="B1364" s="1">
        <v>45758</v>
      </c>
      <c r="C1364" t="s">
        <v>1315</v>
      </c>
      <c r="D1364">
        <v>4</v>
      </c>
      <c r="E1364">
        <v>11</v>
      </c>
      <c r="F1364" t="s">
        <v>114</v>
      </c>
      <c r="G1364" t="s">
        <v>73</v>
      </c>
      <c r="H1364" t="s">
        <v>105</v>
      </c>
      <c r="I1364" t="s">
        <v>103</v>
      </c>
      <c r="J1364" t="s">
        <v>44</v>
      </c>
      <c r="K1364" t="s">
        <v>38</v>
      </c>
      <c r="L1364">
        <v>1</v>
      </c>
      <c r="M1364">
        <v>893</v>
      </c>
      <c r="N1364">
        <v>0</v>
      </c>
      <c r="O1364">
        <v>40</v>
      </c>
      <c r="P1364">
        <v>893</v>
      </c>
      <c r="Q1364">
        <v>933</v>
      </c>
      <c r="R1364" t="s">
        <v>39</v>
      </c>
      <c r="S1364" t="s">
        <v>31</v>
      </c>
      <c r="T1364" t="s">
        <v>40</v>
      </c>
      <c r="U1364">
        <v>39</v>
      </c>
      <c r="V1364">
        <v>3.1</v>
      </c>
      <c r="W1364">
        <f>Table2[[#This Row],[Quantity]]*Table2[[#This Row],[Item_Price]]</f>
        <v>893</v>
      </c>
    </row>
    <row r="1365" spans="1:23" x14ac:dyDescent="0.25">
      <c r="A1365" t="s">
        <v>1462</v>
      </c>
      <c r="B1365" s="1">
        <v>45758</v>
      </c>
      <c r="C1365" t="s">
        <v>1315</v>
      </c>
      <c r="D1365">
        <v>4</v>
      </c>
      <c r="E1365">
        <v>11</v>
      </c>
      <c r="F1365" t="s">
        <v>114</v>
      </c>
      <c r="G1365" t="s">
        <v>25</v>
      </c>
      <c r="H1365" t="s">
        <v>56</v>
      </c>
      <c r="I1365" t="s">
        <v>69</v>
      </c>
      <c r="J1365" t="s">
        <v>28</v>
      </c>
      <c r="K1365" t="s">
        <v>38</v>
      </c>
      <c r="L1365">
        <v>1</v>
      </c>
      <c r="M1365">
        <v>779</v>
      </c>
      <c r="N1365">
        <v>77.900000000000006</v>
      </c>
      <c r="O1365">
        <v>20</v>
      </c>
      <c r="P1365">
        <v>779</v>
      </c>
      <c r="Q1365">
        <v>721.1</v>
      </c>
      <c r="R1365" t="s">
        <v>75</v>
      </c>
      <c r="S1365" t="s">
        <v>91</v>
      </c>
      <c r="T1365" t="s">
        <v>40</v>
      </c>
      <c r="U1365">
        <v>28</v>
      </c>
      <c r="W1365">
        <f>Table2[[#This Row],[Quantity]]*Table2[[#This Row],[Item_Price]]</f>
        <v>779</v>
      </c>
    </row>
    <row r="1366" spans="1:23" x14ac:dyDescent="0.25">
      <c r="A1366" t="s">
        <v>1463</v>
      </c>
      <c r="B1366" s="1">
        <v>45758</v>
      </c>
      <c r="C1366" t="s">
        <v>1315</v>
      </c>
      <c r="D1366">
        <v>4</v>
      </c>
      <c r="E1366">
        <v>11</v>
      </c>
      <c r="F1366" t="s">
        <v>114</v>
      </c>
      <c r="G1366" t="s">
        <v>64</v>
      </c>
      <c r="H1366" t="s">
        <v>48</v>
      </c>
      <c r="I1366" t="s">
        <v>85</v>
      </c>
      <c r="J1366" t="s">
        <v>123</v>
      </c>
      <c r="K1366" t="s">
        <v>38</v>
      </c>
      <c r="L1366">
        <v>3</v>
      </c>
      <c r="M1366">
        <v>178</v>
      </c>
      <c r="N1366">
        <v>17.8</v>
      </c>
      <c r="O1366">
        <v>30</v>
      </c>
      <c r="P1366">
        <v>534</v>
      </c>
      <c r="Q1366">
        <v>546.20000000000005</v>
      </c>
      <c r="R1366" t="s">
        <v>75</v>
      </c>
      <c r="S1366" t="s">
        <v>31</v>
      </c>
      <c r="T1366" t="s">
        <v>40</v>
      </c>
      <c r="U1366">
        <v>22</v>
      </c>
      <c r="V1366">
        <v>4.0999999999999996</v>
      </c>
      <c r="W1366">
        <f>Table2[[#This Row],[Quantity]]*Table2[[#This Row],[Item_Price]]</f>
        <v>534</v>
      </c>
    </row>
    <row r="1367" spans="1:23" x14ac:dyDescent="0.25">
      <c r="A1367" t="s">
        <v>1464</v>
      </c>
      <c r="B1367" s="1">
        <v>45758</v>
      </c>
      <c r="C1367" t="s">
        <v>1315</v>
      </c>
      <c r="D1367">
        <v>4</v>
      </c>
      <c r="E1367">
        <v>11</v>
      </c>
      <c r="F1367" t="s">
        <v>114</v>
      </c>
      <c r="G1367" t="s">
        <v>73</v>
      </c>
      <c r="H1367" t="s">
        <v>52</v>
      </c>
      <c r="I1367" t="s">
        <v>43</v>
      </c>
      <c r="J1367" t="s">
        <v>78</v>
      </c>
      <c r="K1367" t="s">
        <v>38</v>
      </c>
      <c r="L1367">
        <v>3</v>
      </c>
      <c r="M1367">
        <v>585</v>
      </c>
      <c r="N1367">
        <v>0</v>
      </c>
      <c r="O1367">
        <v>30</v>
      </c>
      <c r="P1367">
        <v>1755</v>
      </c>
      <c r="Q1367">
        <v>1785</v>
      </c>
      <c r="R1367" t="s">
        <v>30</v>
      </c>
      <c r="S1367" t="s">
        <v>31</v>
      </c>
      <c r="T1367" t="s">
        <v>40</v>
      </c>
      <c r="U1367">
        <v>34</v>
      </c>
      <c r="V1367">
        <v>4</v>
      </c>
      <c r="W1367">
        <f>Table2[[#This Row],[Quantity]]*Table2[[#This Row],[Item_Price]]</f>
        <v>1755</v>
      </c>
    </row>
    <row r="1368" spans="1:23" x14ac:dyDescent="0.25">
      <c r="A1368" t="s">
        <v>1465</v>
      </c>
      <c r="B1368" s="1">
        <v>45758</v>
      </c>
      <c r="C1368" t="s">
        <v>1315</v>
      </c>
      <c r="D1368">
        <v>4</v>
      </c>
      <c r="E1368">
        <v>11</v>
      </c>
      <c r="F1368" t="s">
        <v>114</v>
      </c>
      <c r="G1368" t="s">
        <v>80</v>
      </c>
      <c r="H1368" t="s">
        <v>68</v>
      </c>
      <c r="I1368" t="s">
        <v>61</v>
      </c>
      <c r="J1368" t="s">
        <v>28</v>
      </c>
      <c r="K1368" t="s">
        <v>29</v>
      </c>
      <c r="L1368">
        <v>2</v>
      </c>
      <c r="M1368">
        <v>658</v>
      </c>
      <c r="N1368">
        <v>65.8</v>
      </c>
      <c r="O1368">
        <v>20</v>
      </c>
      <c r="P1368">
        <v>1316</v>
      </c>
      <c r="Q1368">
        <v>1270.2</v>
      </c>
      <c r="R1368" t="s">
        <v>30</v>
      </c>
      <c r="S1368" t="s">
        <v>31</v>
      </c>
      <c r="T1368" t="s">
        <v>40</v>
      </c>
      <c r="U1368">
        <v>27</v>
      </c>
      <c r="V1368">
        <v>4.0999999999999996</v>
      </c>
      <c r="W1368">
        <f>Table2[[#This Row],[Quantity]]*Table2[[#This Row],[Item_Price]]</f>
        <v>1316</v>
      </c>
    </row>
    <row r="1369" spans="1:23" x14ac:dyDescent="0.25">
      <c r="A1369" t="s">
        <v>1466</v>
      </c>
      <c r="B1369" s="1">
        <v>45758</v>
      </c>
      <c r="C1369" t="s">
        <v>1315</v>
      </c>
      <c r="D1369">
        <v>4</v>
      </c>
      <c r="E1369">
        <v>11</v>
      </c>
      <c r="F1369" t="s">
        <v>114</v>
      </c>
      <c r="G1369" t="s">
        <v>73</v>
      </c>
      <c r="H1369" t="s">
        <v>77</v>
      </c>
      <c r="I1369" t="s">
        <v>69</v>
      </c>
      <c r="J1369" t="s">
        <v>28</v>
      </c>
      <c r="K1369" t="s">
        <v>38</v>
      </c>
      <c r="L1369">
        <v>1</v>
      </c>
      <c r="M1369">
        <v>858</v>
      </c>
      <c r="N1369">
        <v>128.69999999999999</v>
      </c>
      <c r="O1369">
        <v>60</v>
      </c>
      <c r="P1369">
        <v>858</v>
      </c>
      <c r="Q1369">
        <v>789.3</v>
      </c>
      <c r="R1369" t="s">
        <v>75</v>
      </c>
      <c r="S1369" t="s">
        <v>31</v>
      </c>
      <c r="T1369" t="s">
        <v>40</v>
      </c>
      <c r="U1369">
        <v>45</v>
      </c>
      <c r="V1369">
        <v>4.0999999999999996</v>
      </c>
      <c r="W1369">
        <f>Table2[[#This Row],[Quantity]]*Table2[[#This Row],[Item_Price]]</f>
        <v>858</v>
      </c>
    </row>
    <row r="1370" spans="1:23" x14ac:dyDescent="0.25">
      <c r="A1370" t="s">
        <v>1467</v>
      </c>
      <c r="B1370" s="1">
        <v>45758</v>
      </c>
      <c r="C1370" t="s">
        <v>1315</v>
      </c>
      <c r="D1370">
        <v>4</v>
      </c>
      <c r="E1370">
        <v>11</v>
      </c>
      <c r="F1370" t="s">
        <v>114</v>
      </c>
      <c r="G1370" t="s">
        <v>96</v>
      </c>
      <c r="H1370" t="s">
        <v>56</v>
      </c>
      <c r="I1370" t="s">
        <v>103</v>
      </c>
      <c r="J1370" t="s">
        <v>44</v>
      </c>
      <c r="K1370" t="s">
        <v>38</v>
      </c>
      <c r="L1370">
        <v>2</v>
      </c>
      <c r="M1370">
        <v>171</v>
      </c>
      <c r="N1370">
        <v>25.65</v>
      </c>
      <c r="O1370">
        <v>40</v>
      </c>
      <c r="P1370">
        <v>342</v>
      </c>
      <c r="Q1370">
        <v>356.35</v>
      </c>
      <c r="R1370" t="s">
        <v>75</v>
      </c>
      <c r="S1370" t="s">
        <v>31</v>
      </c>
      <c r="T1370" t="s">
        <v>32</v>
      </c>
      <c r="U1370">
        <v>33</v>
      </c>
      <c r="V1370">
        <v>4.3</v>
      </c>
      <c r="W1370">
        <f>Table2[[#This Row],[Quantity]]*Table2[[#This Row],[Item_Price]]</f>
        <v>342</v>
      </c>
    </row>
    <row r="1371" spans="1:23" x14ac:dyDescent="0.25">
      <c r="A1371" t="s">
        <v>1468</v>
      </c>
      <c r="B1371" s="1">
        <v>45759</v>
      </c>
      <c r="C1371" t="s">
        <v>1315</v>
      </c>
      <c r="D1371">
        <v>4</v>
      </c>
      <c r="E1371">
        <v>12</v>
      </c>
      <c r="F1371" t="s">
        <v>134</v>
      </c>
      <c r="G1371" t="s">
        <v>115</v>
      </c>
      <c r="H1371" t="s">
        <v>81</v>
      </c>
      <c r="I1371" t="s">
        <v>97</v>
      </c>
      <c r="J1371" t="s">
        <v>119</v>
      </c>
      <c r="K1371" t="s">
        <v>38</v>
      </c>
      <c r="L1371">
        <v>1</v>
      </c>
      <c r="M1371">
        <v>181</v>
      </c>
      <c r="N1371">
        <v>36.200000000000003</v>
      </c>
      <c r="O1371">
        <v>40</v>
      </c>
      <c r="P1371">
        <v>181</v>
      </c>
      <c r="Q1371">
        <v>184.8</v>
      </c>
      <c r="R1371" t="s">
        <v>112</v>
      </c>
      <c r="S1371" t="s">
        <v>31</v>
      </c>
      <c r="T1371" t="s">
        <v>40</v>
      </c>
      <c r="U1371">
        <v>24</v>
      </c>
      <c r="V1371">
        <v>4.5999999999999996</v>
      </c>
      <c r="W1371">
        <f>Table2[[#This Row],[Quantity]]*Table2[[#This Row],[Item_Price]]</f>
        <v>181</v>
      </c>
    </row>
    <row r="1372" spans="1:23" x14ac:dyDescent="0.25">
      <c r="A1372" t="s">
        <v>1469</v>
      </c>
      <c r="B1372" s="1">
        <v>45759</v>
      </c>
      <c r="C1372" t="s">
        <v>1315</v>
      </c>
      <c r="D1372">
        <v>4</v>
      </c>
      <c r="E1372">
        <v>12</v>
      </c>
      <c r="F1372" t="s">
        <v>134</v>
      </c>
      <c r="G1372" t="s">
        <v>73</v>
      </c>
      <c r="H1372" t="s">
        <v>26</v>
      </c>
      <c r="I1372" t="s">
        <v>49</v>
      </c>
      <c r="J1372" t="s">
        <v>94</v>
      </c>
      <c r="K1372" t="s">
        <v>38</v>
      </c>
      <c r="L1372">
        <v>1</v>
      </c>
      <c r="M1372">
        <v>751</v>
      </c>
      <c r="N1372">
        <v>37.549999999999997</v>
      </c>
      <c r="O1372">
        <v>60</v>
      </c>
      <c r="P1372">
        <v>751</v>
      </c>
      <c r="Q1372">
        <v>773.45</v>
      </c>
      <c r="R1372" t="s">
        <v>112</v>
      </c>
      <c r="S1372" t="s">
        <v>31</v>
      </c>
      <c r="T1372" t="s">
        <v>40</v>
      </c>
      <c r="U1372">
        <v>43</v>
      </c>
      <c r="V1372">
        <v>2.4</v>
      </c>
      <c r="W1372">
        <f>Table2[[#This Row],[Quantity]]*Table2[[#This Row],[Item_Price]]</f>
        <v>751</v>
      </c>
    </row>
    <row r="1373" spans="1:23" x14ac:dyDescent="0.25">
      <c r="A1373" t="s">
        <v>1470</v>
      </c>
      <c r="B1373" s="1">
        <v>45759</v>
      </c>
      <c r="C1373" t="s">
        <v>1315</v>
      </c>
      <c r="D1373">
        <v>4</v>
      </c>
      <c r="E1373">
        <v>12</v>
      </c>
      <c r="F1373" t="s">
        <v>134</v>
      </c>
      <c r="G1373" t="s">
        <v>84</v>
      </c>
      <c r="H1373" t="s">
        <v>68</v>
      </c>
      <c r="I1373" t="s">
        <v>27</v>
      </c>
      <c r="J1373" t="s">
        <v>119</v>
      </c>
      <c r="K1373" t="s">
        <v>38</v>
      </c>
      <c r="L1373">
        <v>1</v>
      </c>
      <c r="M1373">
        <v>723</v>
      </c>
      <c r="N1373">
        <v>144.6</v>
      </c>
      <c r="O1373">
        <v>50</v>
      </c>
      <c r="P1373">
        <v>723</v>
      </c>
      <c r="Q1373">
        <v>628.4</v>
      </c>
      <c r="R1373" t="s">
        <v>39</v>
      </c>
      <c r="S1373" t="s">
        <v>46</v>
      </c>
      <c r="T1373" t="s">
        <v>40</v>
      </c>
      <c r="U1373">
        <v>44</v>
      </c>
      <c r="W1373">
        <f>Table2[[#This Row],[Quantity]]*Table2[[#This Row],[Item_Price]]</f>
        <v>723</v>
      </c>
    </row>
    <row r="1374" spans="1:23" x14ac:dyDescent="0.25">
      <c r="A1374" t="s">
        <v>1471</v>
      </c>
      <c r="B1374" s="1">
        <v>45759</v>
      </c>
      <c r="C1374" t="s">
        <v>1315</v>
      </c>
      <c r="D1374">
        <v>4</v>
      </c>
      <c r="E1374">
        <v>12</v>
      </c>
      <c r="F1374" t="s">
        <v>134</v>
      </c>
      <c r="G1374" t="s">
        <v>115</v>
      </c>
      <c r="H1374" t="s">
        <v>60</v>
      </c>
      <c r="I1374" t="s">
        <v>85</v>
      </c>
      <c r="J1374" t="s">
        <v>101</v>
      </c>
      <c r="K1374" t="s">
        <v>45</v>
      </c>
      <c r="L1374">
        <v>2</v>
      </c>
      <c r="M1374">
        <v>813</v>
      </c>
      <c r="N1374">
        <v>162.6</v>
      </c>
      <c r="O1374">
        <v>60</v>
      </c>
      <c r="P1374">
        <v>1626</v>
      </c>
      <c r="Q1374">
        <v>1523.4</v>
      </c>
      <c r="R1374" t="s">
        <v>98</v>
      </c>
      <c r="S1374" t="s">
        <v>31</v>
      </c>
      <c r="T1374" t="s">
        <v>40</v>
      </c>
      <c r="U1374">
        <v>54</v>
      </c>
      <c r="V1374">
        <v>4.7</v>
      </c>
      <c r="W1374">
        <f>Table2[[#This Row],[Quantity]]*Table2[[#This Row],[Item_Price]]</f>
        <v>1626</v>
      </c>
    </row>
    <row r="1375" spans="1:23" x14ac:dyDescent="0.25">
      <c r="A1375" t="s">
        <v>1472</v>
      </c>
      <c r="B1375" s="1">
        <v>45759</v>
      </c>
      <c r="C1375" t="s">
        <v>1315</v>
      </c>
      <c r="D1375">
        <v>4</v>
      </c>
      <c r="E1375">
        <v>12</v>
      </c>
      <c r="F1375" t="s">
        <v>134</v>
      </c>
      <c r="G1375" t="s">
        <v>64</v>
      </c>
      <c r="H1375" t="s">
        <v>105</v>
      </c>
      <c r="I1375" t="s">
        <v>57</v>
      </c>
      <c r="J1375" t="s">
        <v>94</v>
      </c>
      <c r="K1375" t="s">
        <v>38</v>
      </c>
      <c r="L1375">
        <v>1</v>
      </c>
      <c r="M1375">
        <v>148</v>
      </c>
      <c r="N1375">
        <v>14.8</v>
      </c>
      <c r="O1375">
        <v>60</v>
      </c>
      <c r="P1375">
        <v>148</v>
      </c>
      <c r="Q1375">
        <v>193.2</v>
      </c>
      <c r="R1375" t="s">
        <v>75</v>
      </c>
      <c r="S1375" t="s">
        <v>91</v>
      </c>
      <c r="T1375" t="s">
        <v>40</v>
      </c>
      <c r="U1375">
        <v>62</v>
      </c>
      <c r="W1375">
        <f>Table2[[#This Row],[Quantity]]*Table2[[#This Row],[Item_Price]]</f>
        <v>148</v>
      </c>
    </row>
    <row r="1376" spans="1:23" x14ac:dyDescent="0.25">
      <c r="A1376" t="s">
        <v>1473</v>
      </c>
      <c r="B1376" s="1">
        <v>45759</v>
      </c>
      <c r="C1376" t="s">
        <v>1315</v>
      </c>
      <c r="D1376">
        <v>4</v>
      </c>
      <c r="E1376">
        <v>12</v>
      </c>
      <c r="F1376" t="s">
        <v>134</v>
      </c>
      <c r="G1376" t="s">
        <v>64</v>
      </c>
      <c r="H1376" t="s">
        <v>42</v>
      </c>
      <c r="I1376" t="s">
        <v>27</v>
      </c>
      <c r="J1376" t="s">
        <v>37</v>
      </c>
      <c r="K1376" t="s">
        <v>38</v>
      </c>
      <c r="L1376">
        <v>2</v>
      </c>
      <c r="M1376">
        <v>289</v>
      </c>
      <c r="N1376">
        <v>0</v>
      </c>
      <c r="O1376">
        <v>60</v>
      </c>
      <c r="P1376">
        <v>578</v>
      </c>
      <c r="Q1376">
        <v>638</v>
      </c>
      <c r="R1376" t="s">
        <v>39</v>
      </c>
      <c r="S1376" t="s">
        <v>31</v>
      </c>
      <c r="T1376" t="s">
        <v>40</v>
      </c>
      <c r="U1376">
        <v>67</v>
      </c>
      <c r="V1376">
        <v>3.4</v>
      </c>
      <c r="W1376">
        <f>Table2[[#This Row],[Quantity]]*Table2[[#This Row],[Item_Price]]</f>
        <v>578</v>
      </c>
    </row>
    <row r="1377" spans="1:23" x14ac:dyDescent="0.25">
      <c r="A1377" t="s">
        <v>1474</v>
      </c>
      <c r="B1377" s="1">
        <v>45759</v>
      </c>
      <c r="C1377" t="s">
        <v>1315</v>
      </c>
      <c r="D1377">
        <v>4</v>
      </c>
      <c r="E1377">
        <v>12</v>
      </c>
      <c r="F1377" t="s">
        <v>134</v>
      </c>
      <c r="G1377" t="s">
        <v>55</v>
      </c>
      <c r="H1377" t="s">
        <v>81</v>
      </c>
      <c r="I1377" t="s">
        <v>69</v>
      </c>
      <c r="J1377" t="s">
        <v>119</v>
      </c>
      <c r="K1377" t="s">
        <v>38</v>
      </c>
      <c r="L1377">
        <v>2</v>
      </c>
      <c r="M1377">
        <v>229</v>
      </c>
      <c r="N1377">
        <v>57.25</v>
      </c>
      <c r="O1377">
        <v>40</v>
      </c>
      <c r="P1377">
        <v>458</v>
      </c>
      <c r="Q1377">
        <v>440.75</v>
      </c>
      <c r="R1377" t="s">
        <v>39</v>
      </c>
      <c r="S1377" t="s">
        <v>91</v>
      </c>
      <c r="T1377" t="s">
        <v>40</v>
      </c>
      <c r="U1377">
        <v>33</v>
      </c>
      <c r="W1377">
        <f>Table2[[#This Row],[Quantity]]*Table2[[#This Row],[Item_Price]]</f>
        <v>458</v>
      </c>
    </row>
    <row r="1378" spans="1:23" x14ac:dyDescent="0.25">
      <c r="A1378" t="s">
        <v>1475</v>
      </c>
      <c r="B1378" s="1">
        <v>45759</v>
      </c>
      <c r="C1378" t="s">
        <v>1315</v>
      </c>
      <c r="D1378">
        <v>4</v>
      </c>
      <c r="E1378">
        <v>12</v>
      </c>
      <c r="F1378" t="s">
        <v>134</v>
      </c>
      <c r="G1378" t="s">
        <v>55</v>
      </c>
      <c r="H1378" t="s">
        <v>42</v>
      </c>
      <c r="I1378" t="s">
        <v>57</v>
      </c>
      <c r="J1378" t="s">
        <v>53</v>
      </c>
      <c r="K1378" t="s">
        <v>38</v>
      </c>
      <c r="L1378">
        <v>2</v>
      </c>
      <c r="M1378">
        <v>689</v>
      </c>
      <c r="N1378">
        <v>137.80000000000001</v>
      </c>
      <c r="O1378">
        <v>40</v>
      </c>
      <c r="P1378">
        <v>1378</v>
      </c>
      <c r="Q1378">
        <v>1280.2</v>
      </c>
      <c r="R1378" t="s">
        <v>39</v>
      </c>
      <c r="S1378" t="s">
        <v>91</v>
      </c>
      <c r="T1378" t="s">
        <v>32</v>
      </c>
      <c r="U1378">
        <v>19</v>
      </c>
      <c r="W1378">
        <f>Table2[[#This Row],[Quantity]]*Table2[[#This Row],[Item_Price]]</f>
        <v>1378</v>
      </c>
    </row>
    <row r="1379" spans="1:23" x14ac:dyDescent="0.25">
      <c r="A1379" t="s">
        <v>1476</v>
      </c>
      <c r="B1379" s="1">
        <v>45759</v>
      </c>
      <c r="C1379" t="s">
        <v>1315</v>
      </c>
      <c r="D1379">
        <v>4</v>
      </c>
      <c r="E1379">
        <v>12</v>
      </c>
      <c r="F1379" t="s">
        <v>134</v>
      </c>
      <c r="G1379" t="s">
        <v>73</v>
      </c>
      <c r="H1379" t="s">
        <v>56</v>
      </c>
      <c r="I1379" t="s">
        <v>57</v>
      </c>
      <c r="J1379" t="s">
        <v>66</v>
      </c>
      <c r="K1379" t="s">
        <v>45</v>
      </c>
      <c r="L1379">
        <v>2</v>
      </c>
      <c r="M1379">
        <v>394</v>
      </c>
      <c r="N1379">
        <v>59.1</v>
      </c>
      <c r="O1379">
        <v>70</v>
      </c>
      <c r="P1379">
        <v>788</v>
      </c>
      <c r="Q1379">
        <v>798.9</v>
      </c>
      <c r="R1379" t="s">
        <v>39</v>
      </c>
      <c r="S1379" t="s">
        <v>31</v>
      </c>
      <c r="T1379" t="s">
        <v>40</v>
      </c>
      <c r="U1379">
        <v>51</v>
      </c>
      <c r="V1379">
        <v>4.4000000000000004</v>
      </c>
      <c r="W1379">
        <f>Table2[[#This Row],[Quantity]]*Table2[[#This Row],[Item_Price]]</f>
        <v>788</v>
      </c>
    </row>
    <row r="1380" spans="1:23" x14ac:dyDescent="0.25">
      <c r="A1380" t="s">
        <v>1477</v>
      </c>
      <c r="B1380" s="1">
        <v>45759</v>
      </c>
      <c r="C1380" t="s">
        <v>1315</v>
      </c>
      <c r="D1380">
        <v>4</v>
      </c>
      <c r="E1380">
        <v>12</v>
      </c>
      <c r="F1380" t="s">
        <v>134</v>
      </c>
      <c r="G1380" t="s">
        <v>115</v>
      </c>
      <c r="H1380" t="s">
        <v>68</v>
      </c>
      <c r="I1380" t="s">
        <v>57</v>
      </c>
      <c r="J1380" t="s">
        <v>94</v>
      </c>
      <c r="K1380" t="s">
        <v>38</v>
      </c>
      <c r="L1380">
        <v>1</v>
      </c>
      <c r="M1380">
        <v>170</v>
      </c>
      <c r="N1380">
        <v>17</v>
      </c>
      <c r="O1380">
        <v>20</v>
      </c>
      <c r="P1380">
        <v>170</v>
      </c>
      <c r="Q1380">
        <v>173</v>
      </c>
      <c r="R1380" t="s">
        <v>39</v>
      </c>
      <c r="S1380" t="s">
        <v>31</v>
      </c>
      <c r="T1380" t="s">
        <v>40</v>
      </c>
      <c r="U1380">
        <v>26</v>
      </c>
      <c r="V1380">
        <v>5</v>
      </c>
      <c r="W1380">
        <f>Table2[[#This Row],[Quantity]]*Table2[[#This Row],[Item_Price]]</f>
        <v>170</v>
      </c>
    </row>
    <row r="1381" spans="1:23" x14ac:dyDescent="0.25">
      <c r="A1381" t="s">
        <v>1478</v>
      </c>
      <c r="B1381" s="1">
        <v>45759</v>
      </c>
      <c r="C1381" t="s">
        <v>1315</v>
      </c>
      <c r="D1381">
        <v>4</v>
      </c>
      <c r="E1381">
        <v>12</v>
      </c>
      <c r="F1381" t="s">
        <v>134</v>
      </c>
      <c r="G1381" t="s">
        <v>34</v>
      </c>
      <c r="H1381" t="s">
        <v>81</v>
      </c>
      <c r="I1381" t="s">
        <v>57</v>
      </c>
      <c r="J1381" t="s">
        <v>119</v>
      </c>
      <c r="K1381" t="s">
        <v>38</v>
      </c>
      <c r="L1381">
        <v>1</v>
      </c>
      <c r="M1381">
        <v>268</v>
      </c>
      <c r="N1381">
        <v>40.200000000000003</v>
      </c>
      <c r="O1381">
        <v>20</v>
      </c>
      <c r="P1381">
        <v>268</v>
      </c>
      <c r="Q1381">
        <v>247.8</v>
      </c>
      <c r="R1381" t="s">
        <v>75</v>
      </c>
      <c r="S1381" t="s">
        <v>31</v>
      </c>
      <c r="T1381" t="s">
        <v>40</v>
      </c>
      <c r="U1381">
        <v>47</v>
      </c>
      <c r="V1381">
        <v>5</v>
      </c>
      <c r="W1381">
        <f>Table2[[#This Row],[Quantity]]*Table2[[#This Row],[Item_Price]]</f>
        <v>268</v>
      </c>
    </row>
    <row r="1382" spans="1:23" x14ac:dyDescent="0.25">
      <c r="A1382" t="s">
        <v>1479</v>
      </c>
      <c r="B1382" s="1">
        <v>45759</v>
      </c>
      <c r="C1382" t="s">
        <v>1315</v>
      </c>
      <c r="D1382">
        <v>4</v>
      </c>
      <c r="E1382">
        <v>12</v>
      </c>
      <c r="F1382" t="s">
        <v>134</v>
      </c>
      <c r="G1382" t="s">
        <v>80</v>
      </c>
      <c r="H1382" t="s">
        <v>105</v>
      </c>
      <c r="I1382" t="s">
        <v>103</v>
      </c>
      <c r="J1382" t="s">
        <v>78</v>
      </c>
      <c r="K1382" t="s">
        <v>38</v>
      </c>
      <c r="L1382">
        <v>2</v>
      </c>
      <c r="M1382">
        <v>747</v>
      </c>
      <c r="N1382">
        <v>0</v>
      </c>
      <c r="O1382">
        <v>0</v>
      </c>
      <c r="P1382">
        <v>1494</v>
      </c>
      <c r="Q1382">
        <v>1494</v>
      </c>
      <c r="R1382" t="s">
        <v>30</v>
      </c>
      <c r="S1382" t="s">
        <v>31</v>
      </c>
      <c r="T1382" t="s">
        <v>32</v>
      </c>
      <c r="U1382">
        <v>27</v>
      </c>
      <c r="V1382">
        <v>2.4</v>
      </c>
      <c r="W1382">
        <f>Table2[[#This Row],[Quantity]]*Table2[[#This Row],[Item_Price]]</f>
        <v>1494</v>
      </c>
    </row>
    <row r="1383" spans="1:23" x14ac:dyDescent="0.25">
      <c r="A1383" t="s">
        <v>1480</v>
      </c>
      <c r="B1383" s="1">
        <v>45759</v>
      </c>
      <c r="C1383" t="s">
        <v>1315</v>
      </c>
      <c r="D1383">
        <v>4</v>
      </c>
      <c r="E1383">
        <v>12</v>
      </c>
      <c r="F1383" t="s">
        <v>134</v>
      </c>
      <c r="G1383" t="s">
        <v>55</v>
      </c>
      <c r="H1383" t="s">
        <v>77</v>
      </c>
      <c r="I1383" t="s">
        <v>103</v>
      </c>
      <c r="J1383" t="s">
        <v>70</v>
      </c>
      <c r="K1383" t="s">
        <v>38</v>
      </c>
      <c r="L1383">
        <v>3</v>
      </c>
      <c r="M1383">
        <v>412</v>
      </c>
      <c r="N1383">
        <v>41.2</v>
      </c>
      <c r="O1383">
        <v>30</v>
      </c>
      <c r="P1383">
        <v>1236</v>
      </c>
      <c r="Q1383">
        <v>1224.8</v>
      </c>
      <c r="R1383" t="s">
        <v>75</v>
      </c>
      <c r="S1383" t="s">
        <v>31</v>
      </c>
      <c r="T1383" t="s">
        <v>40</v>
      </c>
      <c r="U1383">
        <v>65</v>
      </c>
      <c r="V1383">
        <v>4.3</v>
      </c>
      <c r="W1383">
        <f>Table2[[#This Row],[Quantity]]*Table2[[#This Row],[Item_Price]]</f>
        <v>1236</v>
      </c>
    </row>
    <row r="1384" spans="1:23" x14ac:dyDescent="0.25">
      <c r="A1384" t="s">
        <v>1481</v>
      </c>
      <c r="B1384" s="1">
        <v>45759</v>
      </c>
      <c r="C1384" t="s">
        <v>1315</v>
      </c>
      <c r="D1384">
        <v>4</v>
      </c>
      <c r="E1384">
        <v>12</v>
      </c>
      <c r="F1384" t="s">
        <v>134</v>
      </c>
      <c r="G1384" t="s">
        <v>80</v>
      </c>
      <c r="H1384" t="s">
        <v>60</v>
      </c>
      <c r="I1384" t="s">
        <v>36</v>
      </c>
      <c r="J1384" t="s">
        <v>172</v>
      </c>
      <c r="K1384" t="s">
        <v>38</v>
      </c>
      <c r="L1384">
        <v>2</v>
      </c>
      <c r="M1384">
        <v>134</v>
      </c>
      <c r="N1384">
        <v>6.7</v>
      </c>
      <c r="O1384">
        <v>40</v>
      </c>
      <c r="P1384">
        <v>268</v>
      </c>
      <c r="Q1384">
        <v>301.3</v>
      </c>
      <c r="R1384" t="s">
        <v>39</v>
      </c>
      <c r="S1384" t="s">
        <v>31</v>
      </c>
      <c r="T1384" t="s">
        <v>32</v>
      </c>
      <c r="U1384">
        <v>23</v>
      </c>
      <c r="V1384">
        <v>4.4000000000000004</v>
      </c>
      <c r="W1384">
        <f>Table2[[#This Row],[Quantity]]*Table2[[#This Row],[Item_Price]]</f>
        <v>268</v>
      </c>
    </row>
    <row r="1385" spans="1:23" x14ac:dyDescent="0.25">
      <c r="A1385" t="s">
        <v>1482</v>
      </c>
      <c r="B1385" s="1">
        <v>45759</v>
      </c>
      <c r="C1385" t="s">
        <v>1315</v>
      </c>
      <c r="D1385">
        <v>4</v>
      </c>
      <c r="E1385">
        <v>12</v>
      </c>
      <c r="F1385" t="s">
        <v>134</v>
      </c>
      <c r="G1385" t="s">
        <v>25</v>
      </c>
      <c r="H1385" t="s">
        <v>68</v>
      </c>
      <c r="I1385" t="s">
        <v>69</v>
      </c>
      <c r="J1385" t="s">
        <v>62</v>
      </c>
      <c r="K1385" t="s">
        <v>38</v>
      </c>
      <c r="L1385">
        <v>2</v>
      </c>
      <c r="M1385">
        <v>886</v>
      </c>
      <c r="N1385">
        <v>132.9</v>
      </c>
      <c r="O1385">
        <v>0</v>
      </c>
      <c r="P1385">
        <v>1772</v>
      </c>
      <c r="Q1385">
        <v>1639.1</v>
      </c>
      <c r="R1385" t="s">
        <v>75</v>
      </c>
      <c r="S1385" t="s">
        <v>31</v>
      </c>
      <c r="T1385" t="s">
        <v>32</v>
      </c>
      <c r="U1385">
        <v>48</v>
      </c>
      <c r="V1385">
        <v>5</v>
      </c>
      <c r="W1385">
        <f>Table2[[#This Row],[Quantity]]*Table2[[#This Row],[Item_Price]]</f>
        <v>1772</v>
      </c>
    </row>
    <row r="1386" spans="1:23" x14ac:dyDescent="0.25">
      <c r="A1386" t="s">
        <v>1483</v>
      </c>
      <c r="B1386" s="1">
        <v>45760</v>
      </c>
      <c r="C1386" t="s">
        <v>1315</v>
      </c>
      <c r="D1386">
        <v>4</v>
      </c>
      <c r="E1386">
        <v>13</v>
      </c>
      <c r="F1386" t="s">
        <v>149</v>
      </c>
      <c r="G1386" t="s">
        <v>64</v>
      </c>
      <c r="H1386" t="s">
        <v>65</v>
      </c>
      <c r="I1386" t="s">
        <v>43</v>
      </c>
      <c r="J1386" t="s">
        <v>50</v>
      </c>
      <c r="K1386" t="s">
        <v>29</v>
      </c>
      <c r="L1386">
        <v>1</v>
      </c>
      <c r="M1386">
        <v>259</v>
      </c>
      <c r="N1386">
        <v>12.95</v>
      </c>
      <c r="O1386">
        <v>20</v>
      </c>
      <c r="P1386">
        <v>259</v>
      </c>
      <c r="Q1386">
        <v>266.05</v>
      </c>
      <c r="R1386" t="s">
        <v>98</v>
      </c>
      <c r="S1386" t="s">
        <v>31</v>
      </c>
      <c r="T1386" t="s">
        <v>32</v>
      </c>
      <c r="U1386">
        <v>62</v>
      </c>
      <c r="V1386">
        <v>3.2</v>
      </c>
      <c r="W1386">
        <f>Table2[[#This Row],[Quantity]]*Table2[[#This Row],[Item_Price]]</f>
        <v>259</v>
      </c>
    </row>
    <row r="1387" spans="1:23" x14ac:dyDescent="0.25">
      <c r="A1387" t="s">
        <v>1484</v>
      </c>
      <c r="B1387" s="1">
        <v>45760</v>
      </c>
      <c r="C1387" t="s">
        <v>1315</v>
      </c>
      <c r="D1387">
        <v>4</v>
      </c>
      <c r="E1387">
        <v>13</v>
      </c>
      <c r="F1387" t="s">
        <v>149</v>
      </c>
      <c r="G1387" t="s">
        <v>25</v>
      </c>
      <c r="H1387" t="s">
        <v>60</v>
      </c>
      <c r="I1387" t="s">
        <v>97</v>
      </c>
      <c r="J1387" t="s">
        <v>74</v>
      </c>
      <c r="K1387" t="s">
        <v>58</v>
      </c>
      <c r="L1387">
        <v>3</v>
      </c>
      <c r="M1387">
        <v>134</v>
      </c>
      <c r="N1387">
        <v>13.4</v>
      </c>
      <c r="O1387">
        <v>40</v>
      </c>
      <c r="P1387">
        <v>402</v>
      </c>
      <c r="Q1387">
        <v>428.6</v>
      </c>
      <c r="R1387" t="s">
        <v>30</v>
      </c>
      <c r="S1387" t="s">
        <v>46</v>
      </c>
      <c r="T1387" t="s">
        <v>40</v>
      </c>
      <c r="U1387">
        <v>52</v>
      </c>
      <c r="W1387">
        <f>Table2[[#This Row],[Quantity]]*Table2[[#This Row],[Item_Price]]</f>
        <v>402</v>
      </c>
    </row>
    <row r="1388" spans="1:23" x14ac:dyDescent="0.25">
      <c r="A1388" t="s">
        <v>1485</v>
      </c>
      <c r="B1388" s="1">
        <v>45760</v>
      </c>
      <c r="C1388" t="s">
        <v>1315</v>
      </c>
      <c r="D1388">
        <v>4</v>
      </c>
      <c r="E1388">
        <v>13</v>
      </c>
      <c r="F1388" t="s">
        <v>149</v>
      </c>
      <c r="G1388" t="s">
        <v>73</v>
      </c>
      <c r="H1388" t="s">
        <v>135</v>
      </c>
      <c r="I1388" t="s">
        <v>49</v>
      </c>
      <c r="J1388" t="s">
        <v>66</v>
      </c>
      <c r="K1388" t="s">
        <v>38</v>
      </c>
      <c r="L1388">
        <v>1</v>
      </c>
      <c r="M1388">
        <v>429</v>
      </c>
      <c r="N1388">
        <v>21.45</v>
      </c>
      <c r="O1388">
        <v>20</v>
      </c>
      <c r="P1388">
        <v>429</v>
      </c>
      <c r="Q1388">
        <v>427.55</v>
      </c>
      <c r="R1388" t="s">
        <v>39</v>
      </c>
      <c r="S1388" t="s">
        <v>31</v>
      </c>
      <c r="T1388" t="s">
        <v>40</v>
      </c>
      <c r="U1388">
        <v>22</v>
      </c>
      <c r="V1388">
        <v>4</v>
      </c>
      <c r="W1388">
        <f>Table2[[#This Row],[Quantity]]*Table2[[#This Row],[Item_Price]]</f>
        <v>429</v>
      </c>
    </row>
    <row r="1389" spans="1:23" x14ac:dyDescent="0.25">
      <c r="A1389" t="s">
        <v>1486</v>
      </c>
      <c r="B1389" s="1">
        <v>45760</v>
      </c>
      <c r="C1389" t="s">
        <v>1315</v>
      </c>
      <c r="D1389">
        <v>4</v>
      </c>
      <c r="E1389">
        <v>13</v>
      </c>
      <c r="F1389" t="s">
        <v>149</v>
      </c>
      <c r="G1389" t="s">
        <v>34</v>
      </c>
      <c r="H1389" t="s">
        <v>81</v>
      </c>
      <c r="I1389" t="s">
        <v>85</v>
      </c>
      <c r="J1389" t="s">
        <v>28</v>
      </c>
      <c r="K1389" t="s">
        <v>38</v>
      </c>
      <c r="L1389">
        <v>2</v>
      </c>
      <c r="M1389">
        <v>220</v>
      </c>
      <c r="N1389">
        <v>22</v>
      </c>
      <c r="O1389">
        <v>70</v>
      </c>
      <c r="P1389">
        <v>440</v>
      </c>
      <c r="Q1389">
        <v>488</v>
      </c>
      <c r="R1389" t="s">
        <v>39</v>
      </c>
      <c r="S1389" t="s">
        <v>46</v>
      </c>
      <c r="T1389" t="s">
        <v>40</v>
      </c>
      <c r="U1389">
        <v>21</v>
      </c>
      <c r="W1389">
        <f>Table2[[#This Row],[Quantity]]*Table2[[#This Row],[Item_Price]]</f>
        <v>440</v>
      </c>
    </row>
    <row r="1390" spans="1:23" x14ac:dyDescent="0.25">
      <c r="A1390" t="s">
        <v>1487</v>
      </c>
      <c r="B1390" s="1">
        <v>45760</v>
      </c>
      <c r="C1390" t="s">
        <v>1315</v>
      </c>
      <c r="D1390">
        <v>4</v>
      </c>
      <c r="E1390">
        <v>13</v>
      </c>
      <c r="F1390" t="s">
        <v>149</v>
      </c>
      <c r="G1390" t="s">
        <v>25</v>
      </c>
      <c r="H1390" t="s">
        <v>81</v>
      </c>
      <c r="I1390" t="s">
        <v>57</v>
      </c>
      <c r="J1390" t="s">
        <v>37</v>
      </c>
      <c r="K1390" t="s">
        <v>45</v>
      </c>
      <c r="L1390">
        <v>1</v>
      </c>
      <c r="M1390">
        <v>767</v>
      </c>
      <c r="N1390">
        <v>38.35</v>
      </c>
      <c r="O1390">
        <v>30</v>
      </c>
      <c r="P1390">
        <v>767</v>
      </c>
      <c r="Q1390">
        <v>758.65</v>
      </c>
      <c r="R1390" t="s">
        <v>75</v>
      </c>
      <c r="S1390" t="s">
        <v>31</v>
      </c>
      <c r="T1390" t="s">
        <v>32</v>
      </c>
      <c r="U1390">
        <v>22</v>
      </c>
      <c r="V1390">
        <v>3.6</v>
      </c>
      <c r="W1390">
        <f>Table2[[#This Row],[Quantity]]*Table2[[#This Row],[Item_Price]]</f>
        <v>767</v>
      </c>
    </row>
    <row r="1391" spans="1:23" x14ac:dyDescent="0.25">
      <c r="A1391" t="s">
        <v>1488</v>
      </c>
      <c r="B1391" s="1">
        <v>45760</v>
      </c>
      <c r="C1391" t="s">
        <v>1315</v>
      </c>
      <c r="D1391">
        <v>4</v>
      </c>
      <c r="E1391">
        <v>13</v>
      </c>
      <c r="F1391" t="s">
        <v>149</v>
      </c>
      <c r="G1391" t="s">
        <v>84</v>
      </c>
      <c r="H1391" t="s">
        <v>135</v>
      </c>
      <c r="I1391" t="s">
        <v>43</v>
      </c>
      <c r="J1391" t="s">
        <v>28</v>
      </c>
      <c r="K1391" t="s">
        <v>45</v>
      </c>
      <c r="L1391">
        <v>1</v>
      </c>
      <c r="M1391">
        <v>487</v>
      </c>
      <c r="N1391">
        <v>97.4</v>
      </c>
      <c r="O1391">
        <v>60</v>
      </c>
      <c r="P1391">
        <v>487</v>
      </c>
      <c r="Q1391">
        <v>449.6</v>
      </c>
      <c r="R1391" t="s">
        <v>30</v>
      </c>
      <c r="S1391" t="s">
        <v>31</v>
      </c>
      <c r="T1391" t="s">
        <v>40</v>
      </c>
      <c r="U1391">
        <v>64</v>
      </c>
      <c r="V1391">
        <v>4.3</v>
      </c>
      <c r="W1391">
        <f>Table2[[#This Row],[Quantity]]*Table2[[#This Row],[Item_Price]]</f>
        <v>487</v>
      </c>
    </row>
    <row r="1392" spans="1:23" x14ac:dyDescent="0.25">
      <c r="A1392" t="s">
        <v>1489</v>
      </c>
      <c r="B1392" s="1">
        <v>45760</v>
      </c>
      <c r="C1392" t="s">
        <v>1315</v>
      </c>
      <c r="D1392">
        <v>4</v>
      </c>
      <c r="E1392">
        <v>13</v>
      </c>
      <c r="F1392" t="s">
        <v>149</v>
      </c>
      <c r="G1392" t="s">
        <v>73</v>
      </c>
      <c r="H1392" t="s">
        <v>56</v>
      </c>
      <c r="I1392" t="s">
        <v>43</v>
      </c>
      <c r="J1392" t="s">
        <v>74</v>
      </c>
      <c r="K1392" t="s">
        <v>45</v>
      </c>
      <c r="L1392">
        <v>1</v>
      </c>
      <c r="M1392">
        <v>526</v>
      </c>
      <c r="N1392">
        <v>26.3</v>
      </c>
      <c r="O1392">
        <v>30</v>
      </c>
      <c r="P1392">
        <v>526</v>
      </c>
      <c r="Q1392">
        <v>529.70000000000005</v>
      </c>
      <c r="R1392" t="s">
        <v>39</v>
      </c>
      <c r="S1392" t="s">
        <v>31</v>
      </c>
      <c r="T1392" t="s">
        <v>40</v>
      </c>
      <c r="U1392">
        <v>18</v>
      </c>
      <c r="V1392">
        <v>4.5999999999999996</v>
      </c>
      <c r="W1392">
        <f>Table2[[#This Row],[Quantity]]*Table2[[#This Row],[Item_Price]]</f>
        <v>526</v>
      </c>
    </row>
    <row r="1393" spans="1:23" x14ac:dyDescent="0.25">
      <c r="A1393" t="s">
        <v>1490</v>
      </c>
      <c r="B1393" s="1">
        <v>45760</v>
      </c>
      <c r="C1393" t="s">
        <v>1315</v>
      </c>
      <c r="D1393">
        <v>4</v>
      </c>
      <c r="E1393">
        <v>13</v>
      </c>
      <c r="F1393" t="s">
        <v>149</v>
      </c>
      <c r="G1393" t="s">
        <v>55</v>
      </c>
      <c r="H1393" t="s">
        <v>26</v>
      </c>
      <c r="I1393" t="s">
        <v>61</v>
      </c>
      <c r="J1393" t="s">
        <v>53</v>
      </c>
      <c r="K1393" t="s">
        <v>29</v>
      </c>
      <c r="L1393">
        <v>1</v>
      </c>
      <c r="M1393">
        <v>121</v>
      </c>
      <c r="N1393">
        <v>0</v>
      </c>
      <c r="O1393">
        <v>30</v>
      </c>
      <c r="P1393">
        <v>121</v>
      </c>
      <c r="Q1393">
        <v>151</v>
      </c>
      <c r="R1393" t="s">
        <v>30</v>
      </c>
      <c r="S1393" t="s">
        <v>31</v>
      </c>
      <c r="T1393" t="s">
        <v>40</v>
      </c>
      <c r="U1393">
        <v>54</v>
      </c>
      <c r="V1393">
        <v>4.5999999999999996</v>
      </c>
      <c r="W1393">
        <f>Table2[[#This Row],[Quantity]]*Table2[[#This Row],[Item_Price]]</f>
        <v>121</v>
      </c>
    </row>
    <row r="1394" spans="1:23" x14ac:dyDescent="0.25">
      <c r="A1394" t="s">
        <v>1491</v>
      </c>
      <c r="B1394" s="1">
        <v>45760</v>
      </c>
      <c r="C1394" t="s">
        <v>1315</v>
      </c>
      <c r="D1394">
        <v>4</v>
      </c>
      <c r="E1394">
        <v>13</v>
      </c>
      <c r="F1394" t="s">
        <v>149</v>
      </c>
      <c r="G1394" t="s">
        <v>25</v>
      </c>
      <c r="H1394" t="s">
        <v>139</v>
      </c>
      <c r="I1394" t="s">
        <v>103</v>
      </c>
      <c r="J1394" t="s">
        <v>172</v>
      </c>
      <c r="K1394" t="s">
        <v>29</v>
      </c>
      <c r="L1394">
        <v>1</v>
      </c>
      <c r="M1394">
        <v>523</v>
      </c>
      <c r="N1394">
        <v>130.75</v>
      </c>
      <c r="O1394">
        <v>0</v>
      </c>
      <c r="P1394">
        <v>523</v>
      </c>
      <c r="Q1394">
        <v>392.25</v>
      </c>
      <c r="R1394" t="s">
        <v>39</v>
      </c>
      <c r="S1394" t="s">
        <v>91</v>
      </c>
      <c r="T1394" t="s">
        <v>40</v>
      </c>
      <c r="U1394">
        <v>43</v>
      </c>
      <c r="W1394">
        <f>Table2[[#This Row],[Quantity]]*Table2[[#This Row],[Item_Price]]</f>
        <v>523</v>
      </c>
    </row>
    <row r="1395" spans="1:23" x14ac:dyDescent="0.25">
      <c r="A1395" t="s">
        <v>1492</v>
      </c>
      <c r="B1395" s="1">
        <v>45760</v>
      </c>
      <c r="C1395" t="s">
        <v>1315</v>
      </c>
      <c r="D1395">
        <v>4</v>
      </c>
      <c r="E1395">
        <v>13</v>
      </c>
      <c r="F1395" t="s">
        <v>149</v>
      </c>
      <c r="G1395" t="s">
        <v>34</v>
      </c>
      <c r="H1395" t="s">
        <v>48</v>
      </c>
      <c r="I1395" t="s">
        <v>57</v>
      </c>
      <c r="J1395" t="s">
        <v>44</v>
      </c>
      <c r="K1395" t="s">
        <v>38</v>
      </c>
      <c r="L1395">
        <v>1</v>
      </c>
      <c r="M1395">
        <v>656</v>
      </c>
      <c r="N1395">
        <v>65.599999999999994</v>
      </c>
      <c r="O1395">
        <v>20</v>
      </c>
      <c r="P1395">
        <v>656</v>
      </c>
      <c r="Q1395">
        <v>610.4</v>
      </c>
      <c r="R1395" t="s">
        <v>39</v>
      </c>
      <c r="S1395" t="s">
        <v>31</v>
      </c>
      <c r="T1395" t="s">
        <v>32</v>
      </c>
      <c r="U1395">
        <v>67</v>
      </c>
      <c r="V1395">
        <v>4.8</v>
      </c>
      <c r="W1395">
        <f>Table2[[#This Row],[Quantity]]*Table2[[#This Row],[Item_Price]]</f>
        <v>656</v>
      </c>
    </row>
    <row r="1396" spans="1:23" x14ac:dyDescent="0.25">
      <c r="A1396" t="s">
        <v>1493</v>
      </c>
      <c r="B1396" s="1">
        <v>45760</v>
      </c>
      <c r="C1396" t="s">
        <v>1315</v>
      </c>
      <c r="D1396">
        <v>4</v>
      </c>
      <c r="E1396">
        <v>13</v>
      </c>
      <c r="F1396" t="s">
        <v>149</v>
      </c>
      <c r="G1396" t="s">
        <v>90</v>
      </c>
      <c r="H1396" t="s">
        <v>139</v>
      </c>
      <c r="I1396" t="s">
        <v>103</v>
      </c>
      <c r="J1396" t="s">
        <v>172</v>
      </c>
      <c r="K1396" t="s">
        <v>45</v>
      </c>
      <c r="L1396">
        <v>2</v>
      </c>
      <c r="M1396">
        <v>192</v>
      </c>
      <c r="N1396">
        <v>0</v>
      </c>
      <c r="O1396">
        <v>60</v>
      </c>
      <c r="P1396">
        <v>384</v>
      </c>
      <c r="Q1396">
        <v>444</v>
      </c>
      <c r="R1396" t="s">
        <v>39</v>
      </c>
      <c r="S1396" t="s">
        <v>31</v>
      </c>
      <c r="T1396" t="s">
        <v>40</v>
      </c>
      <c r="U1396">
        <v>67</v>
      </c>
      <c r="V1396">
        <v>4.2</v>
      </c>
      <c r="W1396">
        <f>Table2[[#This Row],[Quantity]]*Table2[[#This Row],[Item_Price]]</f>
        <v>384</v>
      </c>
    </row>
    <row r="1397" spans="1:23" x14ac:dyDescent="0.25">
      <c r="A1397" t="s">
        <v>1494</v>
      </c>
      <c r="B1397" s="1">
        <v>45761</v>
      </c>
      <c r="C1397" t="s">
        <v>1315</v>
      </c>
      <c r="D1397">
        <v>4</v>
      </c>
      <c r="E1397">
        <v>14</v>
      </c>
      <c r="F1397" t="s">
        <v>168</v>
      </c>
      <c r="G1397" t="s">
        <v>25</v>
      </c>
      <c r="H1397" t="s">
        <v>42</v>
      </c>
      <c r="I1397" t="s">
        <v>69</v>
      </c>
      <c r="J1397" t="s">
        <v>53</v>
      </c>
      <c r="K1397" t="s">
        <v>38</v>
      </c>
      <c r="L1397">
        <v>1</v>
      </c>
      <c r="M1397">
        <v>426</v>
      </c>
      <c r="N1397">
        <v>85.2</v>
      </c>
      <c r="O1397">
        <v>0</v>
      </c>
      <c r="P1397">
        <v>426</v>
      </c>
      <c r="Q1397">
        <v>340.8</v>
      </c>
      <c r="R1397" t="s">
        <v>98</v>
      </c>
      <c r="S1397" t="s">
        <v>31</v>
      </c>
      <c r="T1397" t="s">
        <v>40</v>
      </c>
      <c r="U1397">
        <v>61</v>
      </c>
      <c r="V1397">
        <v>5</v>
      </c>
      <c r="W1397">
        <f>Table2[[#This Row],[Quantity]]*Table2[[#This Row],[Item_Price]]</f>
        <v>426</v>
      </c>
    </row>
    <row r="1398" spans="1:23" x14ac:dyDescent="0.25">
      <c r="A1398" t="s">
        <v>1495</v>
      </c>
      <c r="B1398" s="1">
        <v>45761</v>
      </c>
      <c r="C1398" t="s">
        <v>1315</v>
      </c>
      <c r="D1398">
        <v>4</v>
      </c>
      <c r="E1398">
        <v>14</v>
      </c>
      <c r="F1398" t="s">
        <v>168</v>
      </c>
      <c r="G1398" t="s">
        <v>90</v>
      </c>
      <c r="H1398" t="s">
        <v>48</v>
      </c>
      <c r="I1398" t="s">
        <v>49</v>
      </c>
      <c r="J1398" t="s">
        <v>37</v>
      </c>
      <c r="K1398" t="s">
        <v>38</v>
      </c>
      <c r="L1398">
        <v>1</v>
      </c>
      <c r="M1398">
        <v>725</v>
      </c>
      <c r="N1398">
        <v>181.25</v>
      </c>
      <c r="O1398">
        <v>70</v>
      </c>
      <c r="P1398">
        <v>725</v>
      </c>
      <c r="Q1398">
        <v>613.75</v>
      </c>
      <c r="R1398" t="s">
        <v>39</v>
      </c>
      <c r="S1398" t="s">
        <v>31</v>
      </c>
      <c r="T1398" t="s">
        <v>40</v>
      </c>
      <c r="U1398">
        <v>58</v>
      </c>
      <c r="V1398">
        <v>5</v>
      </c>
      <c r="W1398">
        <f>Table2[[#This Row],[Quantity]]*Table2[[#This Row],[Item_Price]]</f>
        <v>725</v>
      </c>
    </row>
    <row r="1399" spans="1:23" x14ac:dyDescent="0.25">
      <c r="A1399" t="s">
        <v>1496</v>
      </c>
      <c r="B1399" s="1">
        <v>45761</v>
      </c>
      <c r="C1399" t="s">
        <v>1315</v>
      </c>
      <c r="D1399">
        <v>4</v>
      </c>
      <c r="E1399">
        <v>14</v>
      </c>
      <c r="F1399" t="s">
        <v>168</v>
      </c>
      <c r="G1399" t="s">
        <v>34</v>
      </c>
      <c r="H1399" t="s">
        <v>81</v>
      </c>
      <c r="I1399" t="s">
        <v>103</v>
      </c>
      <c r="J1399" t="s">
        <v>172</v>
      </c>
      <c r="K1399" t="s">
        <v>38</v>
      </c>
      <c r="L1399">
        <v>1</v>
      </c>
      <c r="M1399">
        <v>324</v>
      </c>
      <c r="N1399">
        <v>64.8</v>
      </c>
      <c r="O1399">
        <v>0</v>
      </c>
      <c r="P1399">
        <v>324</v>
      </c>
      <c r="Q1399">
        <v>259.2</v>
      </c>
      <c r="R1399" t="s">
        <v>39</v>
      </c>
      <c r="S1399" t="s">
        <v>91</v>
      </c>
      <c r="T1399" t="s">
        <v>32</v>
      </c>
      <c r="U1399">
        <v>58</v>
      </c>
      <c r="W1399">
        <f>Table2[[#This Row],[Quantity]]*Table2[[#This Row],[Item_Price]]</f>
        <v>324</v>
      </c>
    </row>
    <row r="1400" spans="1:23" x14ac:dyDescent="0.25">
      <c r="A1400" t="s">
        <v>1497</v>
      </c>
      <c r="B1400" s="1">
        <v>45761</v>
      </c>
      <c r="C1400" t="s">
        <v>1315</v>
      </c>
      <c r="D1400">
        <v>4</v>
      </c>
      <c r="E1400">
        <v>14</v>
      </c>
      <c r="F1400" t="s">
        <v>168</v>
      </c>
      <c r="G1400" t="s">
        <v>80</v>
      </c>
      <c r="H1400" t="s">
        <v>81</v>
      </c>
      <c r="I1400" t="s">
        <v>57</v>
      </c>
      <c r="J1400" t="s">
        <v>28</v>
      </c>
      <c r="K1400" t="s">
        <v>29</v>
      </c>
      <c r="L1400">
        <v>2</v>
      </c>
      <c r="M1400">
        <v>162</v>
      </c>
      <c r="N1400">
        <v>16.2</v>
      </c>
      <c r="O1400">
        <v>0</v>
      </c>
      <c r="P1400">
        <v>324</v>
      </c>
      <c r="Q1400">
        <v>307.8</v>
      </c>
      <c r="R1400" t="s">
        <v>39</v>
      </c>
      <c r="S1400" t="s">
        <v>31</v>
      </c>
      <c r="T1400" t="s">
        <v>40</v>
      </c>
      <c r="U1400">
        <v>59</v>
      </c>
      <c r="V1400">
        <v>5</v>
      </c>
      <c r="W1400">
        <f>Table2[[#This Row],[Quantity]]*Table2[[#This Row],[Item_Price]]</f>
        <v>324</v>
      </c>
    </row>
    <row r="1401" spans="1:23" x14ac:dyDescent="0.25">
      <c r="A1401" t="s">
        <v>1498</v>
      </c>
      <c r="B1401" s="1">
        <v>45761</v>
      </c>
      <c r="C1401" t="s">
        <v>1315</v>
      </c>
      <c r="D1401">
        <v>4</v>
      </c>
      <c r="E1401">
        <v>14</v>
      </c>
      <c r="F1401" t="s">
        <v>168</v>
      </c>
      <c r="G1401" t="s">
        <v>115</v>
      </c>
      <c r="H1401" t="s">
        <v>60</v>
      </c>
      <c r="I1401" t="s">
        <v>85</v>
      </c>
      <c r="J1401" t="s">
        <v>28</v>
      </c>
      <c r="K1401" t="s">
        <v>29</v>
      </c>
      <c r="L1401">
        <v>1</v>
      </c>
      <c r="M1401">
        <v>480</v>
      </c>
      <c r="N1401">
        <v>72</v>
      </c>
      <c r="O1401">
        <v>30</v>
      </c>
      <c r="P1401">
        <v>480</v>
      </c>
      <c r="Q1401">
        <v>438</v>
      </c>
      <c r="R1401" t="s">
        <v>39</v>
      </c>
      <c r="S1401" t="s">
        <v>31</v>
      </c>
      <c r="T1401" t="s">
        <v>32</v>
      </c>
      <c r="U1401">
        <v>59</v>
      </c>
      <c r="V1401">
        <v>4.8</v>
      </c>
      <c r="W1401">
        <f>Table2[[#This Row],[Quantity]]*Table2[[#This Row],[Item_Price]]</f>
        <v>480</v>
      </c>
    </row>
    <row r="1402" spans="1:23" x14ac:dyDescent="0.25">
      <c r="A1402" t="s">
        <v>1499</v>
      </c>
      <c r="B1402" s="1">
        <v>45761</v>
      </c>
      <c r="C1402" t="s">
        <v>1315</v>
      </c>
      <c r="D1402">
        <v>4</v>
      </c>
      <c r="E1402">
        <v>14</v>
      </c>
      <c r="F1402" t="s">
        <v>168</v>
      </c>
      <c r="G1402" t="s">
        <v>80</v>
      </c>
      <c r="H1402" t="s">
        <v>60</v>
      </c>
      <c r="I1402" t="s">
        <v>69</v>
      </c>
      <c r="J1402" t="s">
        <v>94</v>
      </c>
      <c r="K1402" t="s">
        <v>38</v>
      </c>
      <c r="L1402">
        <v>2</v>
      </c>
      <c r="M1402">
        <v>562</v>
      </c>
      <c r="N1402">
        <v>56.2</v>
      </c>
      <c r="O1402">
        <v>20</v>
      </c>
      <c r="P1402">
        <v>1124</v>
      </c>
      <c r="Q1402">
        <v>1087.8</v>
      </c>
      <c r="R1402" t="s">
        <v>112</v>
      </c>
      <c r="S1402" t="s">
        <v>31</v>
      </c>
      <c r="T1402" t="s">
        <v>32</v>
      </c>
      <c r="U1402">
        <v>70</v>
      </c>
      <c r="V1402">
        <v>3.7</v>
      </c>
      <c r="W1402">
        <f>Table2[[#This Row],[Quantity]]*Table2[[#This Row],[Item_Price]]</f>
        <v>1124</v>
      </c>
    </row>
    <row r="1403" spans="1:23" x14ac:dyDescent="0.25">
      <c r="A1403" t="s">
        <v>1500</v>
      </c>
      <c r="B1403" s="1">
        <v>45761</v>
      </c>
      <c r="C1403" t="s">
        <v>1315</v>
      </c>
      <c r="D1403">
        <v>4</v>
      </c>
      <c r="E1403">
        <v>14</v>
      </c>
      <c r="F1403" t="s">
        <v>168</v>
      </c>
      <c r="G1403" t="s">
        <v>73</v>
      </c>
      <c r="H1403" t="s">
        <v>52</v>
      </c>
      <c r="I1403" t="s">
        <v>61</v>
      </c>
      <c r="J1403" t="s">
        <v>66</v>
      </c>
      <c r="K1403" t="s">
        <v>45</v>
      </c>
      <c r="L1403">
        <v>2</v>
      </c>
      <c r="M1403">
        <v>812</v>
      </c>
      <c r="N1403">
        <v>40.6</v>
      </c>
      <c r="O1403">
        <v>0</v>
      </c>
      <c r="P1403">
        <v>1624</v>
      </c>
      <c r="Q1403">
        <v>1583.4</v>
      </c>
      <c r="R1403" t="s">
        <v>30</v>
      </c>
      <c r="S1403" t="s">
        <v>31</v>
      </c>
      <c r="T1403" t="s">
        <v>40</v>
      </c>
      <c r="U1403">
        <v>62</v>
      </c>
      <c r="V1403">
        <v>3.8</v>
      </c>
      <c r="W1403">
        <f>Table2[[#This Row],[Quantity]]*Table2[[#This Row],[Item_Price]]</f>
        <v>1624</v>
      </c>
    </row>
    <row r="1404" spans="1:23" x14ac:dyDescent="0.25">
      <c r="A1404" t="s">
        <v>1501</v>
      </c>
      <c r="B1404" s="1">
        <v>45761</v>
      </c>
      <c r="C1404" t="s">
        <v>1315</v>
      </c>
      <c r="D1404">
        <v>4</v>
      </c>
      <c r="E1404">
        <v>14</v>
      </c>
      <c r="F1404" t="s">
        <v>168</v>
      </c>
      <c r="G1404" t="s">
        <v>34</v>
      </c>
      <c r="H1404" t="s">
        <v>68</v>
      </c>
      <c r="I1404" t="s">
        <v>85</v>
      </c>
      <c r="J1404" t="s">
        <v>44</v>
      </c>
      <c r="K1404" t="s">
        <v>58</v>
      </c>
      <c r="L1404">
        <v>1</v>
      </c>
      <c r="M1404">
        <v>587</v>
      </c>
      <c r="N1404">
        <v>29.35</v>
      </c>
      <c r="O1404">
        <v>30</v>
      </c>
      <c r="P1404">
        <v>587</v>
      </c>
      <c r="Q1404">
        <v>587.65</v>
      </c>
      <c r="R1404" t="s">
        <v>39</v>
      </c>
      <c r="S1404" t="s">
        <v>31</v>
      </c>
      <c r="T1404" t="s">
        <v>32</v>
      </c>
      <c r="U1404">
        <v>35</v>
      </c>
      <c r="V1404">
        <v>4.5999999999999996</v>
      </c>
      <c r="W1404">
        <f>Table2[[#This Row],[Quantity]]*Table2[[#This Row],[Item_Price]]</f>
        <v>587</v>
      </c>
    </row>
    <row r="1405" spans="1:23" x14ac:dyDescent="0.25">
      <c r="A1405" t="s">
        <v>1502</v>
      </c>
      <c r="B1405" s="1">
        <v>45761</v>
      </c>
      <c r="C1405" t="s">
        <v>1315</v>
      </c>
      <c r="D1405">
        <v>4</v>
      </c>
      <c r="E1405">
        <v>14</v>
      </c>
      <c r="F1405" t="s">
        <v>168</v>
      </c>
      <c r="G1405" t="s">
        <v>73</v>
      </c>
      <c r="H1405" t="s">
        <v>65</v>
      </c>
      <c r="I1405" t="s">
        <v>36</v>
      </c>
      <c r="J1405" t="s">
        <v>74</v>
      </c>
      <c r="K1405" t="s">
        <v>45</v>
      </c>
      <c r="L1405">
        <v>1</v>
      </c>
      <c r="M1405">
        <v>500</v>
      </c>
      <c r="N1405">
        <v>0</v>
      </c>
      <c r="O1405">
        <v>20</v>
      </c>
      <c r="P1405">
        <v>500</v>
      </c>
      <c r="Q1405">
        <v>520</v>
      </c>
      <c r="R1405" t="s">
        <v>75</v>
      </c>
      <c r="S1405" t="s">
        <v>31</v>
      </c>
      <c r="T1405" t="s">
        <v>40</v>
      </c>
      <c r="U1405">
        <v>45</v>
      </c>
      <c r="V1405">
        <v>4.4000000000000004</v>
      </c>
      <c r="W1405">
        <f>Table2[[#This Row],[Quantity]]*Table2[[#This Row],[Item_Price]]</f>
        <v>500</v>
      </c>
    </row>
    <row r="1406" spans="1:23" x14ac:dyDescent="0.25">
      <c r="A1406" t="s">
        <v>1503</v>
      </c>
      <c r="B1406" s="1">
        <v>45761</v>
      </c>
      <c r="C1406" t="s">
        <v>1315</v>
      </c>
      <c r="D1406">
        <v>4</v>
      </c>
      <c r="E1406">
        <v>14</v>
      </c>
      <c r="F1406" t="s">
        <v>168</v>
      </c>
      <c r="G1406" t="s">
        <v>80</v>
      </c>
      <c r="H1406" t="s">
        <v>65</v>
      </c>
      <c r="I1406" t="s">
        <v>103</v>
      </c>
      <c r="J1406" t="s">
        <v>50</v>
      </c>
      <c r="K1406" t="s">
        <v>45</v>
      </c>
      <c r="L1406">
        <v>2</v>
      </c>
      <c r="M1406">
        <v>152</v>
      </c>
      <c r="N1406">
        <v>7.6</v>
      </c>
      <c r="O1406">
        <v>60</v>
      </c>
      <c r="P1406">
        <v>304</v>
      </c>
      <c r="Q1406">
        <v>356.4</v>
      </c>
      <c r="R1406" t="s">
        <v>30</v>
      </c>
      <c r="S1406" t="s">
        <v>31</v>
      </c>
      <c r="T1406" t="s">
        <v>40</v>
      </c>
      <c r="U1406">
        <v>61</v>
      </c>
      <c r="V1406">
        <v>4.3</v>
      </c>
      <c r="W1406">
        <f>Table2[[#This Row],[Quantity]]*Table2[[#This Row],[Item_Price]]</f>
        <v>304</v>
      </c>
    </row>
    <row r="1407" spans="1:23" x14ac:dyDescent="0.25">
      <c r="A1407" t="s">
        <v>1504</v>
      </c>
      <c r="B1407" s="1">
        <v>45761</v>
      </c>
      <c r="C1407" t="s">
        <v>1315</v>
      </c>
      <c r="D1407">
        <v>4</v>
      </c>
      <c r="E1407">
        <v>14</v>
      </c>
      <c r="F1407" t="s">
        <v>168</v>
      </c>
      <c r="G1407" t="s">
        <v>25</v>
      </c>
      <c r="H1407" t="s">
        <v>56</v>
      </c>
      <c r="I1407" t="s">
        <v>61</v>
      </c>
      <c r="J1407" t="s">
        <v>66</v>
      </c>
      <c r="K1407" t="s">
        <v>38</v>
      </c>
      <c r="L1407">
        <v>1</v>
      </c>
      <c r="M1407">
        <v>624</v>
      </c>
      <c r="N1407">
        <v>62.4</v>
      </c>
      <c r="O1407">
        <v>50</v>
      </c>
      <c r="P1407">
        <v>624</v>
      </c>
      <c r="Q1407">
        <v>611.6</v>
      </c>
      <c r="R1407" t="s">
        <v>39</v>
      </c>
      <c r="S1407" t="s">
        <v>31</v>
      </c>
      <c r="T1407" t="s">
        <v>32</v>
      </c>
      <c r="U1407">
        <v>18</v>
      </c>
      <c r="V1407">
        <v>4.5</v>
      </c>
      <c r="W1407">
        <f>Table2[[#This Row],[Quantity]]*Table2[[#This Row],[Item_Price]]</f>
        <v>624</v>
      </c>
    </row>
    <row r="1408" spans="1:23" x14ac:dyDescent="0.25">
      <c r="A1408" t="s">
        <v>1505</v>
      </c>
      <c r="B1408" s="1">
        <v>45761</v>
      </c>
      <c r="C1408" t="s">
        <v>1315</v>
      </c>
      <c r="D1408">
        <v>4</v>
      </c>
      <c r="E1408">
        <v>14</v>
      </c>
      <c r="F1408" t="s">
        <v>168</v>
      </c>
      <c r="G1408" t="s">
        <v>64</v>
      </c>
      <c r="H1408" t="s">
        <v>48</v>
      </c>
      <c r="I1408" t="s">
        <v>49</v>
      </c>
      <c r="J1408" t="s">
        <v>50</v>
      </c>
      <c r="K1408" t="s">
        <v>38</v>
      </c>
      <c r="L1408">
        <v>2</v>
      </c>
      <c r="M1408">
        <v>176</v>
      </c>
      <c r="N1408">
        <v>0</v>
      </c>
      <c r="O1408">
        <v>30</v>
      </c>
      <c r="P1408">
        <v>352</v>
      </c>
      <c r="Q1408">
        <v>382</v>
      </c>
      <c r="R1408" t="s">
        <v>39</v>
      </c>
      <c r="S1408" t="s">
        <v>31</v>
      </c>
      <c r="T1408" t="s">
        <v>40</v>
      </c>
      <c r="U1408">
        <v>45</v>
      </c>
      <c r="V1408">
        <v>4.3</v>
      </c>
      <c r="W1408">
        <f>Table2[[#This Row],[Quantity]]*Table2[[#This Row],[Item_Price]]</f>
        <v>352</v>
      </c>
    </row>
    <row r="1409" spans="1:23" x14ac:dyDescent="0.25">
      <c r="A1409" t="s">
        <v>1506</v>
      </c>
      <c r="B1409" s="1">
        <v>45761</v>
      </c>
      <c r="C1409" t="s">
        <v>1315</v>
      </c>
      <c r="D1409">
        <v>4</v>
      </c>
      <c r="E1409">
        <v>14</v>
      </c>
      <c r="F1409" t="s">
        <v>168</v>
      </c>
      <c r="G1409" t="s">
        <v>80</v>
      </c>
      <c r="H1409" t="s">
        <v>105</v>
      </c>
      <c r="I1409" t="s">
        <v>43</v>
      </c>
      <c r="J1409" t="s">
        <v>66</v>
      </c>
      <c r="K1409" t="s">
        <v>38</v>
      </c>
      <c r="L1409">
        <v>1</v>
      </c>
      <c r="M1409">
        <v>862</v>
      </c>
      <c r="N1409">
        <v>129.30000000000001</v>
      </c>
      <c r="O1409">
        <v>30</v>
      </c>
      <c r="P1409">
        <v>862</v>
      </c>
      <c r="Q1409">
        <v>762.7</v>
      </c>
      <c r="R1409" t="s">
        <v>75</v>
      </c>
      <c r="S1409" t="s">
        <v>31</v>
      </c>
      <c r="T1409" t="s">
        <v>40</v>
      </c>
      <c r="U1409">
        <v>27</v>
      </c>
      <c r="V1409">
        <v>5</v>
      </c>
      <c r="W1409">
        <f>Table2[[#This Row],[Quantity]]*Table2[[#This Row],[Item_Price]]</f>
        <v>862</v>
      </c>
    </row>
    <row r="1410" spans="1:23" x14ac:dyDescent="0.25">
      <c r="A1410" t="s">
        <v>1507</v>
      </c>
      <c r="B1410" s="1">
        <v>45761</v>
      </c>
      <c r="C1410" t="s">
        <v>1315</v>
      </c>
      <c r="D1410">
        <v>4</v>
      </c>
      <c r="E1410">
        <v>14</v>
      </c>
      <c r="F1410" t="s">
        <v>168</v>
      </c>
      <c r="G1410" t="s">
        <v>64</v>
      </c>
      <c r="H1410" t="s">
        <v>135</v>
      </c>
      <c r="I1410" t="s">
        <v>103</v>
      </c>
      <c r="J1410" t="s">
        <v>172</v>
      </c>
      <c r="K1410" t="s">
        <v>38</v>
      </c>
      <c r="L1410">
        <v>2</v>
      </c>
      <c r="M1410">
        <v>286</v>
      </c>
      <c r="N1410">
        <v>0</v>
      </c>
      <c r="O1410">
        <v>40</v>
      </c>
      <c r="P1410">
        <v>572</v>
      </c>
      <c r="Q1410">
        <v>612</v>
      </c>
      <c r="R1410" t="s">
        <v>75</v>
      </c>
      <c r="S1410" t="s">
        <v>110</v>
      </c>
      <c r="T1410" t="s">
        <v>40</v>
      </c>
      <c r="U1410">
        <v>32</v>
      </c>
      <c r="W1410">
        <f>Table2[[#This Row],[Quantity]]*Table2[[#This Row],[Item_Price]]</f>
        <v>572</v>
      </c>
    </row>
    <row r="1411" spans="1:23" x14ac:dyDescent="0.25">
      <c r="A1411" t="s">
        <v>1508</v>
      </c>
      <c r="B1411" s="1">
        <v>45761</v>
      </c>
      <c r="C1411" t="s">
        <v>1315</v>
      </c>
      <c r="D1411">
        <v>4</v>
      </c>
      <c r="E1411">
        <v>14</v>
      </c>
      <c r="F1411" t="s">
        <v>168</v>
      </c>
      <c r="G1411" t="s">
        <v>73</v>
      </c>
      <c r="H1411" t="s">
        <v>35</v>
      </c>
      <c r="I1411" t="s">
        <v>103</v>
      </c>
      <c r="J1411" t="s">
        <v>62</v>
      </c>
      <c r="K1411" t="s">
        <v>58</v>
      </c>
      <c r="L1411">
        <v>1</v>
      </c>
      <c r="M1411">
        <v>270</v>
      </c>
      <c r="N1411">
        <v>67.5</v>
      </c>
      <c r="O1411">
        <v>50</v>
      </c>
      <c r="P1411">
        <v>270</v>
      </c>
      <c r="Q1411">
        <v>252.5</v>
      </c>
      <c r="R1411" t="s">
        <v>112</v>
      </c>
      <c r="S1411" t="s">
        <v>91</v>
      </c>
      <c r="T1411" t="s">
        <v>32</v>
      </c>
      <c r="U1411">
        <v>57</v>
      </c>
      <c r="W1411">
        <f>Table2[[#This Row],[Quantity]]*Table2[[#This Row],[Item_Price]]</f>
        <v>270</v>
      </c>
    </row>
    <row r="1412" spans="1:23" x14ac:dyDescent="0.25">
      <c r="A1412" t="s">
        <v>1509</v>
      </c>
      <c r="B1412" s="1">
        <v>45761</v>
      </c>
      <c r="C1412" t="s">
        <v>1315</v>
      </c>
      <c r="D1412">
        <v>4</v>
      </c>
      <c r="E1412">
        <v>14</v>
      </c>
      <c r="F1412" t="s">
        <v>168</v>
      </c>
      <c r="G1412" t="s">
        <v>34</v>
      </c>
      <c r="H1412" t="s">
        <v>35</v>
      </c>
      <c r="I1412" t="s">
        <v>49</v>
      </c>
      <c r="J1412" t="s">
        <v>70</v>
      </c>
      <c r="K1412" t="s">
        <v>45</v>
      </c>
      <c r="L1412">
        <v>2</v>
      </c>
      <c r="M1412">
        <v>154</v>
      </c>
      <c r="N1412">
        <v>7.7</v>
      </c>
      <c r="O1412">
        <v>0</v>
      </c>
      <c r="P1412">
        <v>308</v>
      </c>
      <c r="Q1412">
        <v>300.3</v>
      </c>
      <c r="R1412" t="s">
        <v>98</v>
      </c>
      <c r="S1412" t="s">
        <v>110</v>
      </c>
      <c r="T1412" t="s">
        <v>40</v>
      </c>
      <c r="U1412">
        <v>47</v>
      </c>
      <c r="W1412">
        <f>Table2[[#This Row],[Quantity]]*Table2[[#This Row],[Item_Price]]</f>
        <v>308</v>
      </c>
    </row>
    <row r="1413" spans="1:23" x14ac:dyDescent="0.25">
      <c r="A1413" t="s">
        <v>1510</v>
      </c>
      <c r="B1413" s="1">
        <v>45761</v>
      </c>
      <c r="C1413" t="s">
        <v>1315</v>
      </c>
      <c r="D1413">
        <v>4</v>
      </c>
      <c r="E1413">
        <v>14</v>
      </c>
      <c r="F1413" t="s">
        <v>168</v>
      </c>
      <c r="G1413" t="s">
        <v>90</v>
      </c>
      <c r="H1413" t="s">
        <v>77</v>
      </c>
      <c r="I1413" t="s">
        <v>43</v>
      </c>
      <c r="J1413" t="s">
        <v>172</v>
      </c>
      <c r="K1413" t="s">
        <v>38</v>
      </c>
      <c r="L1413">
        <v>1</v>
      </c>
      <c r="M1413">
        <v>443</v>
      </c>
      <c r="N1413">
        <v>44.3</v>
      </c>
      <c r="O1413">
        <v>40</v>
      </c>
      <c r="P1413">
        <v>443</v>
      </c>
      <c r="Q1413">
        <v>438.7</v>
      </c>
      <c r="R1413" t="s">
        <v>30</v>
      </c>
      <c r="S1413" t="s">
        <v>31</v>
      </c>
      <c r="T1413" t="s">
        <v>40</v>
      </c>
      <c r="U1413">
        <v>45</v>
      </c>
      <c r="V1413">
        <v>3.7</v>
      </c>
      <c r="W1413">
        <f>Table2[[#This Row],[Quantity]]*Table2[[#This Row],[Item_Price]]</f>
        <v>443</v>
      </c>
    </row>
    <row r="1414" spans="1:23" x14ac:dyDescent="0.25">
      <c r="A1414" t="s">
        <v>1511</v>
      </c>
      <c r="B1414" s="1">
        <v>45761</v>
      </c>
      <c r="C1414" t="s">
        <v>1315</v>
      </c>
      <c r="D1414">
        <v>4</v>
      </c>
      <c r="E1414">
        <v>14</v>
      </c>
      <c r="F1414" t="s">
        <v>168</v>
      </c>
      <c r="G1414" t="s">
        <v>34</v>
      </c>
      <c r="H1414" t="s">
        <v>135</v>
      </c>
      <c r="I1414" t="s">
        <v>97</v>
      </c>
      <c r="J1414" t="s">
        <v>50</v>
      </c>
      <c r="K1414" t="s">
        <v>38</v>
      </c>
      <c r="L1414">
        <v>1</v>
      </c>
      <c r="M1414">
        <v>437</v>
      </c>
      <c r="N1414">
        <v>65.55</v>
      </c>
      <c r="O1414">
        <v>70</v>
      </c>
      <c r="P1414">
        <v>437</v>
      </c>
      <c r="Q1414">
        <v>441.45</v>
      </c>
      <c r="R1414" t="s">
        <v>75</v>
      </c>
      <c r="S1414" t="s">
        <v>110</v>
      </c>
      <c r="T1414" t="s">
        <v>40</v>
      </c>
      <c r="U1414">
        <v>58</v>
      </c>
      <c r="W1414">
        <f>Table2[[#This Row],[Quantity]]*Table2[[#This Row],[Item_Price]]</f>
        <v>437</v>
      </c>
    </row>
    <row r="1415" spans="1:23" x14ac:dyDescent="0.25">
      <c r="A1415" t="s">
        <v>1512</v>
      </c>
      <c r="B1415" s="1">
        <v>45761</v>
      </c>
      <c r="C1415" t="s">
        <v>1315</v>
      </c>
      <c r="D1415">
        <v>4</v>
      </c>
      <c r="E1415">
        <v>14</v>
      </c>
      <c r="F1415" t="s">
        <v>168</v>
      </c>
      <c r="G1415" t="s">
        <v>80</v>
      </c>
      <c r="H1415" t="s">
        <v>77</v>
      </c>
      <c r="I1415" t="s">
        <v>103</v>
      </c>
      <c r="J1415" t="s">
        <v>50</v>
      </c>
      <c r="K1415" t="s">
        <v>38</v>
      </c>
      <c r="L1415">
        <v>2</v>
      </c>
      <c r="M1415">
        <v>607</v>
      </c>
      <c r="N1415">
        <v>91.05</v>
      </c>
      <c r="O1415">
        <v>40</v>
      </c>
      <c r="P1415">
        <v>1214</v>
      </c>
      <c r="Q1415">
        <v>1162.95</v>
      </c>
      <c r="R1415" t="s">
        <v>75</v>
      </c>
      <c r="S1415" t="s">
        <v>91</v>
      </c>
      <c r="T1415" t="s">
        <v>40</v>
      </c>
      <c r="U1415">
        <v>40</v>
      </c>
      <c r="W1415">
        <f>Table2[[#This Row],[Quantity]]*Table2[[#This Row],[Item_Price]]</f>
        <v>1214</v>
      </c>
    </row>
    <row r="1416" spans="1:23" x14ac:dyDescent="0.25">
      <c r="A1416" t="s">
        <v>1513</v>
      </c>
      <c r="B1416" s="1">
        <v>45761</v>
      </c>
      <c r="C1416" t="s">
        <v>1315</v>
      </c>
      <c r="D1416">
        <v>4</v>
      </c>
      <c r="E1416">
        <v>14</v>
      </c>
      <c r="F1416" t="s">
        <v>168</v>
      </c>
      <c r="G1416" t="s">
        <v>64</v>
      </c>
      <c r="H1416" t="s">
        <v>68</v>
      </c>
      <c r="I1416" t="s">
        <v>69</v>
      </c>
      <c r="J1416" t="s">
        <v>28</v>
      </c>
      <c r="K1416" t="s">
        <v>38</v>
      </c>
      <c r="L1416">
        <v>2</v>
      </c>
      <c r="M1416">
        <v>262</v>
      </c>
      <c r="N1416">
        <v>26.2</v>
      </c>
      <c r="O1416">
        <v>30</v>
      </c>
      <c r="P1416">
        <v>524</v>
      </c>
      <c r="Q1416">
        <v>527.79999999999995</v>
      </c>
      <c r="R1416" t="s">
        <v>30</v>
      </c>
      <c r="S1416" t="s">
        <v>110</v>
      </c>
      <c r="T1416" t="s">
        <v>40</v>
      </c>
      <c r="U1416">
        <v>48</v>
      </c>
      <c r="W1416">
        <f>Table2[[#This Row],[Quantity]]*Table2[[#This Row],[Item_Price]]</f>
        <v>524</v>
      </c>
    </row>
    <row r="1417" spans="1:23" x14ac:dyDescent="0.25">
      <c r="A1417" t="s">
        <v>1514</v>
      </c>
      <c r="B1417" s="1">
        <v>45761</v>
      </c>
      <c r="C1417" t="s">
        <v>1315</v>
      </c>
      <c r="D1417">
        <v>4</v>
      </c>
      <c r="E1417">
        <v>14</v>
      </c>
      <c r="F1417" t="s">
        <v>168</v>
      </c>
      <c r="G1417" t="s">
        <v>55</v>
      </c>
      <c r="H1417" t="s">
        <v>35</v>
      </c>
      <c r="I1417" t="s">
        <v>103</v>
      </c>
      <c r="J1417" t="s">
        <v>123</v>
      </c>
      <c r="K1417" t="s">
        <v>38</v>
      </c>
      <c r="L1417">
        <v>1</v>
      </c>
      <c r="M1417">
        <v>310</v>
      </c>
      <c r="N1417">
        <v>77.5</v>
      </c>
      <c r="O1417">
        <v>50</v>
      </c>
      <c r="P1417">
        <v>310</v>
      </c>
      <c r="Q1417">
        <v>282.5</v>
      </c>
      <c r="R1417" t="s">
        <v>39</v>
      </c>
      <c r="S1417" t="s">
        <v>31</v>
      </c>
      <c r="T1417" t="s">
        <v>40</v>
      </c>
      <c r="U1417">
        <v>60</v>
      </c>
      <c r="V1417">
        <v>3.9</v>
      </c>
      <c r="W1417">
        <f>Table2[[#This Row],[Quantity]]*Table2[[#This Row],[Item_Price]]</f>
        <v>310</v>
      </c>
    </row>
    <row r="1418" spans="1:23" x14ac:dyDescent="0.25">
      <c r="A1418" t="s">
        <v>1515</v>
      </c>
      <c r="B1418" s="1">
        <v>45762</v>
      </c>
      <c r="C1418" t="s">
        <v>1315</v>
      </c>
      <c r="D1418">
        <v>4</v>
      </c>
      <c r="E1418">
        <v>15</v>
      </c>
      <c r="F1418" t="s">
        <v>178</v>
      </c>
      <c r="G1418" t="s">
        <v>73</v>
      </c>
      <c r="H1418" t="s">
        <v>42</v>
      </c>
      <c r="I1418" t="s">
        <v>103</v>
      </c>
      <c r="J1418" t="s">
        <v>119</v>
      </c>
      <c r="K1418" t="s">
        <v>38</v>
      </c>
      <c r="L1418">
        <v>3</v>
      </c>
      <c r="M1418">
        <v>276</v>
      </c>
      <c r="N1418">
        <v>27.6</v>
      </c>
      <c r="O1418">
        <v>30</v>
      </c>
      <c r="P1418">
        <v>828</v>
      </c>
      <c r="Q1418">
        <v>830.4</v>
      </c>
      <c r="R1418" t="s">
        <v>39</v>
      </c>
      <c r="S1418" t="s">
        <v>31</v>
      </c>
      <c r="T1418" t="s">
        <v>40</v>
      </c>
      <c r="U1418">
        <v>31</v>
      </c>
      <c r="V1418">
        <v>4.5</v>
      </c>
      <c r="W1418">
        <f>Table2[[#This Row],[Quantity]]*Table2[[#This Row],[Item_Price]]</f>
        <v>828</v>
      </c>
    </row>
    <row r="1419" spans="1:23" x14ac:dyDescent="0.25">
      <c r="A1419" t="s">
        <v>1516</v>
      </c>
      <c r="B1419" s="1">
        <v>45762</v>
      </c>
      <c r="C1419" t="s">
        <v>1315</v>
      </c>
      <c r="D1419">
        <v>4</v>
      </c>
      <c r="E1419">
        <v>15</v>
      </c>
      <c r="F1419" t="s">
        <v>178</v>
      </c>
      <c r="G1419" t="s">
        <v>64</v>
      </c>
      <c r="H1419" t="s">
        <v>35</v>
      </c>
      <c r="I1419" t="s">
        <v>49</v>
      </c>
      <c r="J1419" t="s">
        <v>123</v>
      </c>
      <c r="K1419" t="s">
        <v>45</v>
      </c>
      <c r="L1419">
        <v>2</v>
      </c>
      <c r="M1419">
        <v>298</v>
      </c>
      <c r="N1419">
        <v>44.7</v>
      </c>
      <c r="O1419">
        <v>0</v>
      </c>
      <c r="P1419">
        <v>596</v>
      </c>
      <c r="Q1419">
        <v>551.29999999999995</v>
      </c>
      <c r="R1419" t="s">
        <v>112</v>
      </c>
      <c r="S1419" t="s">
        <v>91</v>
      </c>
      <c r="T1419" t="s">
        <v>40</v>
      </c>
      <c r="U1419">
        <v>63</v>
      </c>
      <c r="W1419">
        <f>Table2[[#This Row],[Quantity]]*Table2[[#This Row],[Item_Price]]</f>
        <v>596</v>
      </c>
    </row>
    <row r="1420" spans="1:23" x14ac:dyDescent="0.25">
      <c r="A1420" t="s">
        <v>1517</v>
      </c>
      <c r="B1420" s="1">
        <v>45762</v>
      </c>
      <c r="C1420" t="s">
        <v>1315</v>
      </c>
      <c r="D1420">
        <v>4</v>
      </c>
      <c r="E1420">
        <v>15</v>
      </c>
      <c r="F1420" t="s">
        <v>178</v>
      </c>
      <c r="G1420" t="s">
        <v>73</v>
      </c>
      <c r="H1420" t="s">
        <v>60</v>
      </c>
      <c r="I1420" t="s">
        <v>61</v>
      </c>
      <c r="J1420" t="s">
        <v>70</v>
      </c>
      <c r="K1420" t="s">
        <v>45</v>
      </c>
      <c r="L1420">
        <v>1</v>
      </c>
      <c r="M1420">
        <v>416</v>
      </c>
      <c r="N1420">
        <v>83.2</v>
      </c>
      <c r="O1420">
        <v>0</v>
      </c>
      <c r="P1420">
        <v>416</v>
      </c>
      <c r="Q1420">
        <v>332.8</v>
      </c>
      <c r="R1420" t="s">
        <v>112</v>
      </c>
      <c r="S1420" t="s">
        <v>31</v>
      </c>
      <c r="T1420" t="s">
        <v>32</v>
      </c>
      <c r="U1420">
        <v>37</v>
      </c>
      <c r="V1420">
        <v>3.3</v>
      </c>
      <c r="W1420">
        <f>Table2[[#This Row],[Quantity]]*Table2[[#This Row],[Item_Price]]</f>
        <v>416</v>
      </c>
    </row>
    <row r="1421" spans="1:23" x14ac:dyDescent="0.25">
      <c r="A1421" t="s">
        <v>1518</v>
      </c>
      <c r="B1421" s="1">
        <v>45762</v>
      </c>
      <c r="C1421" t="s">
        <v>1315</v>
      </c>
      <c r="D1421">
        <v>4</v>
      </c>
      <c r="E1421">
        <v>15</v>
      </c>
      <c r="F1421" t="s">
        <v>178</v>
      </c>
      <c r="G1421" t="s">
        <v>80</v>
      </c>
      <c r="H1421" t="s">
        <v>77</v>
      </c>
      <c r="I1421" t="s">
        <v>85</v>
      </c>
      <c r="J1421" t="s">
        <v>37</v>
      </c>
      <c r="K1421" t="s">
        <v>38</v>
      </c>
      <c r="L1421">
        <v>2</v>
      </c>
      <c r="M1421">
        <v>141</v>
      </c>
      <c r="N1421">
        <v>35.25</v>
      </c>
      <c r="O1421">
        <v>20</v>
      </c>
      <c r="P1421">
        <v>282</v>
      </c>
      <c r="Q1421">
        <v>266.75</v>
      </c>
      <c r="R1421" t="s">
        <v>75</v>
      </c>
      <c r="S1421" t="s">
        <v>91</v>
      </c>
      <c r="T1421" t="s">
        <v>40</v>
      </c>
      <c r="U1421">
        <v>64</v>
      </c>
      <c r="W1421">
        <f>Table2[[#This Row],[Quantity]]*Table2[[#This Row],[Item_Price]]</f>
        <v>282</v>
      </c>
    </row>
    <row r="1422" spans="1:23" x14ac:dyDescent="0.25">
      <c r="A1422" t="s">
        <v>1519</v>
      </c>
      <c r="B1422" s="1">
        <v>45762</v>
      </c>
      <c r="C1422" t="s">
        <v>1315</v>
      </c>
      <c r="D1422">
        <v>4</v>
      </c>
      <c r="E1422">
        <v>15</v>
      </c>
      <c r="F1422" t="s">
        <v>178</v>
      </c>
      <c r="G1422" t="s">
        <v>25</v>
      </c>
      <c r="H1422" t="s">
        <v>81</v>
      </c>
      <c r="I1422" t="s">
        <v>103</v>
      </c>
      <c r="J1422" t="s">
        <v>70</v>
      </c>
      <c r="K1422" t="s">
        <v>45</v>
      </c>
      <c r="L1422">
        <v>2</v>
      </c>
      <c r="M1422">
        <v>459</v>
      </c>
      <c r="N1422">
        <v>45.9</v>
      </c>
      <c r="O1422">
        <v>40</v>
      </c>
      <c r="P1422">
        <v>918</v>
      </c>
      <c r="Q1422">
        <v>912.1</v>
      </c>
      <c r="R1422" t="s">
        <v>30</v>
      </c>
      <c r="S1422" t="s">
        <v>31</v>
      </c>
      <c r="T1422" t="s">
        <v>40</v>
      </c>
      <c r="U1422">
        <v>56</v>
      </c>
      <c r="V1422">
        <v>4.5999999999999996</v>
      </c>
      <c r="W1422">
        <f>Table2[[#This Row],[Quantity]]*Table2[[#This Row],[Item_Price]]</f>
        <v>918</v>
      </c>
    </row>
    <row r="1423" spans="1:23" x14ac:dyDescent="0.25">
      <c r="A1423" t="s">
        <v>1520</v>
      </c>
      <c r="B1423" s="1">
        <v>45762</v>
      </c>
      <c r="C1423" t="s">
        <v>1315</v>
      </c>
      <c r="D1423">
        <v>4</v>
      </c>
      <c r="E1423">
        <v>15</v>
      </c>
      <c r="F1423" t="s">
        <v>178</v>
      </c>
      <c r="G1423" t="s">
        <v>115</v>
      </c>
      <c r="H1423" t="s">
        <v>48</v>
      </c>
      <c r="I1423" t="s">
        <v>49</v>
      </c>
      <c r="J1423" t="s">
        <v>44</v>
      </c>
      <c r="K1423" t="s">
        <v>45</v>
      </c>
      <c r="L1423">
        <v>2</v>
      </c>
      <c r="M1423">
        <v>875</v>
      </c>
      <c r="N1423">
        <v>0</v>
      </c>
      <c r="O1423">
        <v>30</v>
      </c>
      <c r="P1423">
        <v>1750</v>
      </c>
      <c r="Q1423">
        <v>1780</v>
      </c>
      <c r="R1423" t="s">
        <v>39</v>
      </c>
      <c r="S1423" t="s">
        <v>31</v>
      </c>
      <c r="T1423" t="s">
        <v>40</v>
      </c>
      <c r="U1423">
        <v>63</v>
      </c>
      <c r="V1423">
        <v>4.7</v>
      </c>
      <c r="W1423">
        <f>Table2[[#This Row],[Quantity]]*Table2[[#This Row],[Item_Price]]</f>
        <v>1750</v>
      </c>
    </row>
    <row r="1424" spans="1:23" x14ac:dyDescent="0.25">
      <c r="A1424" t="s">
        <v>1521</v>
      </c>
      <c r="B1424" s="1">
        <v>45762</v>
      </c>
      <c r="C1424" t="s">
        <v>1315</v>
      </c>
      <c r="D1424">
        <v>4</v>
      </c>
      <c r="E1424">
        <v>15</v>
      </c>
      <c r="F1424" t="s">
        <v>178</v>
      </c>
      <c r="G1424" t="s">
        <v>73</v>
      </c>
      <c r="H1424" t="s">
        <v>26</v>
      </c>
      <c r="I1424" t="s">
        <v>69</v>
      </c>
      <c r="J1424" t="s">
        <v>119</v>
      </c>
      <c r="K1424" t="s">
        <v>38</v>
      </c>
      <c r="L1424">
        <v>1</v>
      </c>
      <c r="M1424">
        <v>852</v>
      </c>
      <c r="N1424">
        <v>42.6</v>
      </c>
      <c r="O1424">
        <v>20</v>
      </c>
      <c r="P1424">
        <v>852</v>
      </c>
      <c r="Q1424">
        <v>829.4</v>
      </c>
      <c r="R1424" t="s">
        <v>112</v>
      </c>
      <c r="S1424" t="s">
        <v>31</v>
      </c>
      <c r="T1424" t="s">
        <v>40</v>
      </c>
      <c r="U1424">
        <v>54</v>
      </c>
      <c r="V1424">
        <v>3.6</v>
      </c>
      <c r="W1424">
        <f>Table2[[#This Row],[Quantity]]*Table2[[#This Row],[Item_Price]]</f>
        <v>852</v>
      </c>
    </row>
    <row r="1425" spans="1:23" x14ac:dyDescent="0.25">
      <c r="A1425" t="s">
        <v>1522</v>
      </c>
      <c r="B1425" s="1">
        <v>45762</v>
      </c>
      <c r="C1425" t="s">
        <v>1315</v>
      </c>
      <c r="D1425">
        <v>4</v>
      </c>
      <c r="E1425">
        <v>15</v>
      </c>
      <c r="F1425" t="s">
        <v>178</v>
      </c>
      <c r="G1425" t="s">
        <v>115</v>
      </c>
      <c r="H1425" t="s">
        <v>56</v>
      </c>
      <c r="I1425" t="s">
        <v>103</v>
      </c>
      <c r="J1425" t="s">
        <v>101</v>
      </c>
      <c r="K1425" t="s">
        <v>38</v>
      </c>
      <c r="L1425">
        <v>1</v>
      </c>
      <c r="M1425">
        <v>663</v>
      </c>
      <c r="N1425">
        <v>33.15</v>
      </c>
      <c r="O1425">
        <v>30</v>
      </c>
      <c r="P1425">
        <v>663</v>
      </c>
      <c r="Q1425">
        <v>659.85</v>
      </c>
      <c r="R1425" t="s">
        <v>75</v>
      </c>
      <c r="S1425" t="s">
        <v>31</v>
      </c>
      <c r="T1425" t="s">
        <v>40</v>
      </c>
      <c r="U1425">
        <v>64</v>
      </c>
      <c r="V1425">
        <v>5</v>
      </c>
      <c r="W1425">
        <f>Table2[[#This Row],[Quantity]]*Table2[[#This Row],[Item_Price]]</f>
        <v>663</v>
      </c>
    </row>
    <row r="1426" spans="1:23" x14ac:dyDescent="0.25">
      <c r="A1426" t="s">
        <v>1523</v>
      </c>
      <c r="B1426" s="1">
        <v>45763</v>
      </c>
      <c r="C1426" t="s">
        <v>1315</v>
      </c>
      <c r="D1426">
        <v>4</v>
      </c>
      <c r="E1426">
        <v>16</v>
      </c>
      <c r="F1426" t="s">
        <v>24</v>
      </c>
      <c r="G1426" t="s">
        <v>34</v>
      </c>
      <c r="H1426" t="s">
        <v>139</v>
      </c>
      <c r="I1426" t="s">
        <v>69</v>
      </c>
      <c r="J1426" t="s">
        <v>78</v>
      </c>
      <c r="K1426" t="s">
        <v>45</v>
      </c>
      <c r="L1426">
        <v>1</v>
      </c>
      <c r="M1426">
        <v>559</v>
      </c>
      <c r="N1426">
        <v>55.9</v>
      </c>
      <c r="O1426">
        <v>60</v>
      </c>
      <c r="P1426">
        <v>559</v>
      </c>
      <c r="Q1426">
        <v>563.1</v>
      </c>
      <c r="R1426" t="s">
        <v>39</v>
      </c>
      <c r="S1426" t="s">
        <v>46</v>
      </c>
      <c r="T1426" t="s">
        <v>32</v>
      </c>
      <c r="U1426">
        <v>68</v>
      </c>
      <c r="W1426">
        <f>Table2[[#This Row],[Quantity]]*Table2[[#This Row],[Item_Price]]</f>
        <v>559</v>
      </c>
    </row>
    <row r="1427" spans="1:23" x14ac:dyDescent="0.25">
      <c r="A1427" t="s">
        <v>1524</v>
      </c>
      <c r="B1427" s="1">
        <v>45763</v>
      </c>
      <c r="C1427" t="s">
        <v>1315</v>
      </c>
      <c r="D1427">
        <v>4</v>
      </c>
      <c r="E1427">
        <v>16</v>
      </c>
      <c r="F1427" t="s">
        <v>24</v>
      </c>
      <c r="G1427" t="s">
        <v>73</v>
      </c>
      <c r="H1427" t="s">
        <v>42</v>
      </c>
      <c r="I1427" t="s">
        <v>36</v>
      </c>
      <c r="J1427" t="s">
        <v>74</v>
      </c>
      <c r="K1427" t="s">
        <v>38</v>
      </c>
      <c r="L1427">
        <v>2</v>
      </c>
      <c r="M1427">
        <v>232</v>
      </c>
      <c r="N1427">
        <v>23.2</v>
      </c>
      <c r="O1427">
        <v>70</v>
      </c>
      <c r="P1427">
        <v>464</v>
      </c>
      <c r="Q1427">
        <v>510.8</v>
      </c>
      <c r="R1427" t="s">
        <v>39</v>
      </c>
      <c r="S1427" t="s">
        <v>31</v>
      </c>
      <c r="T1427" t="s">
        <v>32</v>
      </c>
      <c r="U1427">
        <v>29</v>
      </c>
      <c r="V1427">
        <v>3.6</v>
      </c>
      <c r="W1427">
        <f>Table2[[#This Row],[Quantity]]*Table2[[#This Row],[Item_Price]]</f>
        <v>464</v>
      </c>
    </row>
    <row r="1428" spans="1:23" x14ac:dyDescent="0.25">
      <c r="A1428" t="s">
        <v>1525</v>
      </c>
      <c r="B1428" s="1">
        <v>45763</v>
      </c>
      <c r="C1428" t="s">
        <v>1315</v>
      </c>
      <c r="D1428">
        <v>4</v>
      </c>
      <c r="E1428">
        <v>16</v>
      </c>
      <c r="F1428" t="s">
        <v>24</v>
      </c>
      <c r="G1428" t="s">
        <v>90</v>
      </c>
      <c r="H1428" t="s">
        <v>139</v>
      </c>
      <c r="I1428" t="s">
        <v>97</v>
      </c>
      <c r="J1428" t="s">
        <v>119</v>
      </c>
      <c r="K1428" t="s">
        <v>38</v>
      </c>
      <c r="L1428">
        <v>2</v>
      </c>
      <c r="M1428">
        <v>262</v>
      </c>
      <c r="N1428">
        <v>13.1</v>
      </c>
      <c r="O1428">
        <v>40</v>
      </c>
      <c r="P1428">
        <v>524</v>
      </c>
      <c r="Q1428">
        <v>550.9</v>
      </c>
      <c r="R1428" t="s">
        <v>30</v>
      </c>
      <c r="S1428" t="s">
        <v>31</v>
      </c>
      <c r="T1428" t="s">
        <v>32</v>
      </c>
      <c r="U1428">
        <v>34</v>
      </c>
      <c r="V1428">
        <v>3.9</v>
      </c>
      <c r="W1428">
        <f>Table2[[#This Row],[Quantity]]*Table2[[#This Row],[Item_Price]]</f>
        <v>524</v>
      </c>
    </row>
    <row r="1429" spans="1:23" x14ac:dyDescent="0.25">
      <c r="A1429" t="s">
        <v>1526</v>
      </c>
      <c r="B1429" s="1">
        <v>45763</v>
      </c>
      <c r="C1429" t="s">
        <v>1315</v>
      </c>
      <c r="D1429">
        <v>4</v>
      </c>
      <c r="E1429">
        <v>16</v>
      </c>
      <c r="F1429" t="s">
        <v>24</v>
      </c>
      <c r="G1429" t="s">
        <v>90</v>
      </c>
      <c r="H1429" t="s">
        <v>56</v>
      </c>
      <c r="I1429" t="s">
        <v>49</v>
      </c>
      <c r="J1429" t="s">
        <v>74</v>
      </c>
      <c r="K1429" t="s">
        <v>38</v>
      </c>
      <c r="L1429">
        <v>1</v>
      </c>
      <c r="M1429">
        <v>162</v>
      </c>
      <c r="N1429">
        <v>32.4</v>
      </c>
      <c r="O1429">
        <v>30</v>
      </c>
      <c r="P1429">
        <v>162</v>
      </c>
      <c r="Q1429">
        <v>159.6</v>
      </c>
      <c r="R1429" t="s">
        <v>112</v>
      </c>
      <c r="S1429" t="s">
        <v>31</v>
      </c>
      <c r="T1429" t="s">
        <v>32</v>
      </c>
      <c r="U1429">
        <v>50</v>
      </c>
      <c r="V1429">
        <v>4.2</v>
      </c>
      <c r="W1429">
        <f>Table2[[#This Row],[Quantity]]*Table2[[#This Row],[Item_Price]]</f>
        <v>162</v>
      </c>
    </row>
    <row r="1430" spans="1:23" x14ac:dyDescent="0.25">
      <c r="A1430" t="s">
        <v>1527</v>
      </c>
      <c r="B1430" s="1">
        <v>45763</v>
      </c>
      <c r="C1430" t="s">
        <v>1315</v>
      </c>
      <c r="D1430">
        <v>4</v>
      </c>
      <c r="E1430">
        <v>16</v>
      </c>
      <c r="F1430" t="s">
        <v>24</v>
      </c>
      <c r="G1430" t="s">
        <v>55</v>
      </c>
      <c r="H1430" t="s">
        <v>105</v>
      </c>
      <c r="I1430" t="s">
        <v>97</v>
      </c>
      <c r="J1430" t="s">
        <v>94</v>
      </c>
      <c r="K1430" t="s">
        <v>38</v>
      </c>
      <c r="L1430">
        <v>1</v>
      </c>
      <c r="M1430">
        <v>833</v>
      </c>
      <c r="N1430">
        <v>41.65</v>
      </c>
      <c r="O1430">
        <v>30</v>
      </c>
      <c r="P1430">
        <v>833</v>
      </c>
      <c r="Q1430">
        <v>821.35</v>
      </c>
      <c r="R1430" t="s">
        <v>39</v>
      </c>
      <c r="S1430" t="s">
        <v>31</v>
      </c>
      <c r="T1430" t="s">
        <v>32</v>
      </c>
      <c r="U1430">
        <v>52</v>
      </c>
      <c r="V1430">
        <v>4</v>
      </c>
      <c r="W1430">
        <f>Table2[[#This Row],[Quantity]]*Table2[[#This Row],[Item_Price]]</f>
        <v>833</v>
      </c>
    </row>
    <row r="1431" spans="1:23" x14ac:dyDescent="0.25">
      <c r="A1431" t="s">
        <v>1528</v>
      </c>
      <c r="B1431" s="1">
        <v>45763</v>
      </c>
      <c r="C1431" t="s">
        <v>1315</v>
      </c>
      <c r="D1431">
        <v>4</v>
      </c>
      <c r="E1431">
        <v>16</v>
      </c>
      <c r="F1431" t="s">
        <v>24</v>
      </c>
      <c r="G1431" t="s">
        <v>90</v>
      </c>
      <c r="H1431" t="s">
        <v>52</v>
      </c>
      <c r="I1431" t="s">
        <v>97</v>
      </c>
      <c r="J1431" t="s">
        <v>82</v>
      </c>
      <c r="K1431" t="s">
        <v>38</v>
      </c>
      <c r="L1431">
        <v>2</v>
      </c>
      <c r="M1431">
        <v>190</v>
      </c>
      <c r="N1431">
        <v>19</v>
      </c>
      <c r="O1431">
        <v>60</v>
      </c>
      <c r="P1431">
        <v>380</v>
      </c>
      <c r="Q1431">
        <v>421</v>
      </c>
      <c r="R1431" t="s">
        <v>39</v>
      </c>
      <c r="S1431" t="s">
        <v>31</v>
      </c>
      <c r="T1431" t="s">
        <v>32</v>
      </c>
      <c r="U1431">
        <v>53</v>
      </c>
      <c r="V1431">
        <v>3.1</v>
      </c>
      <c r="W1431">
        <f>Table2[[#This Row],[Quantity]]*Table2[[#This Row],[Item_Price]]</f>
        <v>380</v>
      </c>
    </row>
    <row r="1432" spans="1:23" x14ac:dyDescent="0.25">
      <c r="A1432" t="s">
        <v>1529</v>
      </c>
      <c r="B1432" s="1">
        <v>45763</v>
      </c>
      <c r="C1432" t="s">
        <v>1315</v>
      </c>
      <c r="D1432">
        <v>4</v>
      </c>
      <c r="E1432">
        <v>16</v>
      </c>
      <c r="F1432" t="s">
        <v>24</v>
      </c>
      <c r="G1432" t="s">
        <v>80</v>
      </c>
      <c r="H1432" t="s">
        <v>56</v>
      </c>
      <c r="I1432" t="s">
        <v>97</v>
      </c>
      <c r="J1432" t="s">
        <v>50</v>
      </c>
      <c r="K1432" t="s">
        <v>38</v>
      </c>
      <c r="L1432">
        <v>2</v>
      </c>
      <c r="M1432">
        <v>825</v>
      </c>
      <c r="N1432">
        <v>41.25</v>
      </c>
      <c r="O1432">
        <v>60</v>
      </c>
      <c r="P1432">
        <v>1650</v>
      </c>
      <c r="Q1432">
        <v>1668.75</v>
      </c>
      <c r="R1432" t="s">
        <v>98</v>
      </c>
      <c r="S1432" t="s">
        <v>31</v>
      </c>
      <c r="T1432" t="s">
        <v>40</v>
      </c>
      <c r="U1432">
        <v>53</v>
      </c>
      <c r="V1432">
        <v>3.5</v>
      </c>
      <c r="W1432">
        <f>Table2[[#This Row],[Quantity]]*Table2[[#This Row],[Item_Price]]</f>
        <v>1650</v>
      </c>
    </row>
    <row r="1433" spans="1:23" x14ac:dyDescent="0.25">
      <c r="A1433" t="s">
        <v>1530</v>
      </c>
      <c r="B1433" s="1">
        <v>45763</v>
      </c>
      <c r="C1433" t="s">
        <v>1315</v>
      </c>
      <c r="D1433">
        <v>4</v>
      </c>
      <c r="E1433">
        <v>16</v>
      </c>
      <c r="F1433" t="s">
        <v>24</v>
      </c>
      <c r="G1433" t="s">
        <v>34</v>
      </c>
      <c r="H1433" t="s">
        <v>26</v>
      </c>
      <c r="I1433" t="s">
        <v>27</v>
      </c>
      <c r="J1433" t="s">
        <v>50</v>
      </c>
      <c r="K1433" t="s">
        <v>58</v>
      </c>
      <c r="L1433">
        <v>1</v>
      </c>
      <c r="M1433">
        <v>136</v>
      </c>
      <c r="N1433">
        <v>27.2</v>
      </c>
      <c r="O1433">
        <v>50</v>
      </c>
      <c r="P1433">
        <v>136</v>
      </c>
      <c r="Q1433">
        <v>158.80000000000001</v>
      </c>
      <c r="R1433" t="s">
        <v>112</v>
      </c>
      <c r="S1433" t="s">
        <v>91</v>
      </c>
      <c r="T1433" t="s">
        <v>32</v>
      </c>
      <c r="U1433">
        <v>69</v>
      </c>
      <c r="W1433">
        <f>Table2[[#This Row],[Quantity]]*Table2[[#This Row],[Item_Price]]</f>
        <v>136</v>
      </c>
    </row>
    <row r="1434" spans="1:23" x14ac:dyDescent="0.25">
      <c r="A1434" t="s">
        <v>1531</v>
      </c>
      <c r="B1434" s="1">
        <v>45763</v>
      </c>
      <c r="C1434" t="s">
        <v>1315</v>
      </c>
      <c r="D1434">
        <v>4</v>
      </c>
      <c r="E1434">
        <v>16</v>
      </c>
      <c r="F1434" t="s">
        <v>24</v>
      </c>
      <c r="G1434" t="s">
        <v>25</v>
      </c>
      <c r="H1434" t="s">
        <v>139</v>
      </c>
      <c r="I1434" t="s">
        <v>85</v>
      </c>
      <c r="J1434" t="s">
        <v>28</v>
      </c>
      <c r="K1434" t="s">
        <v>38</v>
      </c>
      <c r="L1434">
        <v>1</v>
      </c>
      <c r="M1434">
        <v>621</v>
      </c>
      <c r="N1434">
        <v>155.25</v>
      </c>
      <c r="O1434">
        <v>30</v>
      </c>
      <c r="P1434">
        <v>621</v>
      </c>
      <c r="Q1434">
        <v>495.75</v>
      </c>
      <c r="R1434" t="s">
        <v>98</v>
      </c>
      <c r="S1434" t="s">
        <v>31</v>
      </c>
      <c r="T1434" t="s">
        <v>32</v>
      </c>
      <c r="U1434">
        <v>39</v>
      </c>
      <c r="V1434">
        <v>3</v>
      </c>
      <c r="W1434">
        <f>Table2[[#This Row],[Quantity]]*Table2[[#This Row],[Item_Price]]</f>
        <v>621</v>
      </c>
    </row>
    <row r="1435" spans="1:23" x14ac:dyDescent="0.25">
      <c r="A1435" t="s">
        <v>1532</v>
      </c>
      <c r="B1435" s="1">
        <v>45763</v>
      </c>
      <c r="C1435" t="s">
        <v>1315</v>
      </c>
      <c r="D1435">
        <v>4</v>
      </c>
      <c r="E1435">
        <v>16</v>
      </c>
      <c r="F1435" t="s">
        <v>24</v>
      </c>
      <c r="G1435" t="s">
        <v>25</v>
      </c>
      <c r="H1435" t="s">
        <v>81</v>
      </c>
      <c r="I1435" t="s">
        <v>57</v>
      </c>
      <c r="J1435" t="s">
        <v>101</v>
      </c>
      <c r="K1435" t="s">
        <v>38</v>
      </c>
      <c r="L1435">
        <v>1</v>
      </c>
      <c r="M1435">
        <v>292</v>
      </c>
      <c r="N1435">
        <v>14.6</v>
      </c>
      <c r="O1435">
        <v>60</v>
      </c>
      <c r="P1435">
        <v>292</v>
      </c>
      <c r="Q1435">
        <v>337.4</v>
      </c>
      <c r="R1435" t="s">
        <v>39</v>
      </c>
      <c r="S1435" t="s">
        <v>31</v>
      </c>
      <c r="T1435" t="s">
        <v>32</v>
      </c>
      <c r="U1435">
        <v>27</v>
      </c>
      <c r="V1435">
        <v>3.7</v>
      </c>
      <c r="W1435">
        <f>Table2[[#This Row],[Quantity]]*Table2[[#This Row],[Item_Price]]</f>
        <v>292</v>
      </c>
    </row>
    <row r="1436" spans="1:23" x14ac:dyDescent="0.25">
      <c r="A1436" t="s">
        <v>1533</v>
      </c>
      <c r="B1436" s="1">
        <v>45763</v>
      </c>
      <c r="C1436" t="s">
        <v>1315</v>
      </c>
      <c r="D1436">
        <v>4</v>
      </c>
      <c r="E1436">
        <v>16</v>
      </c>
      <c r="F1436" t="s">
        <v>24</v>
      </c>
      <c r="G1436" t="s">
        <v>64</v>
      </c>
      <c r="H1436" t="s">
        <v>77</v>
      </c>
      <c r="I1436" t="s">
        <v>57</v>
      </c>
      <c r="J1436" t="s">
        <v>94</v>
      </c>
      <c r="K1436" t="s">
        <v>38</v>
      </c>
      <c r="L1436">
        <v>1</v>
      </c>
      <c r="M1436">
        <v>463</v>
      </c>
      <c r="N1436">
        <v>46.3</v>
      </c>
      <c r="O1436">
        <v>60</v>
      </c>
      <c r="P1436">
        <v>463</v>
      </c>
      <c r="Q1436">
        <v>476.7</v>
      </c>
      <c r="R1436" t="s">
        <v>30</v>
      </c>
      <c r="S1436" t="s">
        <v>31</v>
      </c>
      <c r="T1436" t="s">
        <v>40</v>
      </c>
      <c r="U1436">
        <v>24</v>
      </c>
      <c r="V1436">
        <v>4.9000000000000004</v>
      </c>
      <c r="W1436">
        <f>Table2[[#This Row],[Quantity]]*Table2[[#This Row],[Item_Price]]</f>
        <v>463</v>
      </c>
    </row>
    <row r="1437" spans="1:23" x14ac:dyDescent="0.25">
      <c r="A1437" t="s">
        <v>1534</v>
      </c>
      <c r="B1437" s="1">
        <v>45764</v>
      </c>
      <c r="C1437" t="s">
        <v>1315</v>
      </c>
      <c r="D1437">
        <v>4</v>
      </c>
      <c r="E1437">
        <v>17</v>
      </c>
      <c r="F1437" t="s">
        <v>88</v>
      </c>
      <c r="G1437" t="s">
        <v>80</v>
      </c>
      <c r="H1437" t="s">
        <v>135</v>
      </c>
      <c r="I1437" t="s">
        <v>97</v>
      </c>
      <c r="J1437" t="s">
        <v>70</v>
      </c>
      <c r="K1437" t="s">
        <v>45</v>
      </c>
      <c r="L1437">
        <v>1</v>
      </c>
      <c r="M1437">
        <v>660</v>
      </c>
      <c r="N1437">
        <v>66</v>
      </c>
      <c r="O1437">
        <v>40</v>
      </c>
      <c r="P1437">
        <v>660</v>
      </c>
      <c r="Q1437">
        <v>634</v>
      </c>
      <c r="R1437" t="s">
        <v>39</v>
      </c>
      <c r="S1437" t="s">
        <v>31</v>
      </c>
      <c r="T1437" t="s">
        <v>40</v>
      </c>
      <c r="U1437">
        <v>46</v>
      </c>
      <c r="V1437">
        <v>4.4000000000000004</v>
      </c>
      <c r="W1437">
        <f>Table2[[#This Row],[Quantity]]*Table2[[#This Row],[Item_Price]]</f>
        <v>660</v>
      </c>
    </row>
    <row r="1438" spans="1:23" x14ac:dyDescent="0.25">
      <c r="A1438" t="s">
        <v>1535</v>
      </c>
      <c r="B1438" s="1">
        <v>45764</v>
      </c>
      <c r="C1438" t="s">
        <v>1315</v>
      </c>
      <c r="D1438">
        <v>4</v>
      </c>
      <c r="E1438">
        <v>17</v>
      </c>
      <c r="F1438" t="s">
        <v>88</v>
      </c>
      <c r="G1438" t="s">
        <v>84</v>
      </c>
      <c r="H1438" t="s">
        <v>48</v>
      </c>
      <c r="I1438" t="s">
        <v>36</v>
      </c>
      <c r="J1438" t="s">
        <v>62</v>
      </c>
      <c r="K1438" t="s">
        <v>38</v>
      </c>
      <c r="L1438">
        <v>1</v>
      </c>
      <c r="M1438">
        <v>731</v>
      </c>
      <c r="N1438">
        <v>146.19999999999999</v>
      </c>
      <c r="O1438">
        <v>30</v>
      </c>
      <c r="P1438">
        <v>731</v>
      </c>
      <c r="Q1438">
        <v>614.79999999999995</v>
      </c>
      <c r="R1438" t="s">
        <v>75</v>
      </c>
      <c r="S1438" t="s">
        <v>46</v>
      </c>
      <c r="T1438" t="s">
        <v>32</v>
      </c>
      <c r="U1438">
        <v>47</v>
      </c>
      <c r="W1438">
        <f>Table2[[#This Row],[Quantity]]*Table2[[#This Row],[Item_Price]]</f>
        <v>731</v>
      </c>
    </row>
    <row r="1439" spans="1:23" x14ac:dyDescent="0.25">
      <c r="A1439" t="s">
        <v>1536</v>
      </c>
      <c r="B1439" s="1">
        <v>45764</v>
      </c>
      <c r="C1439" t="s">
        <v>1315</v>
      </c>
      <c r="D1439">
        <v>4</v>
      </c>
      <c r="E1439">
        <v>17</v>
      </c>
      <c r="F1439" t="s">
        <v>88</v>
      </c>
      <c r="G1439" t="s">
        <v>34</v>
      </c>
      <c r="H1439" t="s">
        <v>42</v>
      </c>
      <c r="I1439" t="s">
        <v>27</v>
      </c>
      <c r="J1439" t="s">
        <v>74</v>
      </c>
      <c r="K1439" t="s">
        <v>38</v>
      </c>
      <c r="L1439">
        <v>3</v>
      </c>
      <c r="M1439">
        <v>547</v>
      </c>
      <c r="N1439">
        <v>109.4</v>
      </c>
      <c r="O1439">
        <v>60</v>
      </c>
      <c r="P1439">
        <v>1641</v>
      </c>
      <c r="Q1439">
        <v>1591.6</v>
      </c>
      <c r="R1439" t="s">
        <v>39</v>
      </c>
      <c r="S1439" t="s">
        <v>31</v>
      </c>
      <c r="T1439" t="s">
        <v>40</v>
      </c>
      <c r="U1439">
        <v>63</v>
      </c>
      <c r="V1439">
        <v>4.5</v>
      </c>
      <c r="W1439">
        <f>Table2[[#This Row],[Quantity]]*Table2[[#This Row],[Item_Price]]</f>
        <v>1641</v>
      </c>
    </row>
    <row r="1440" spans="1:23" x14ac:dyDescent="0.25">
      <c r="A1440" t="s">
        <v>1537</v>
      </c>
      <c r="B1440" s="1">
        <v>45764</v>
      </c>
      <c r="C1440" t="s">
        <v>1315</v>
      </c>
      <c r="D1440">
        <v>4</v>
      </c>
      <c r="E1440">
        <v>17</v>
      </c>
      <c r="F1440" t="s">
        <v>88</v>
      </c>
      <c r="G1440" t="s">
        <v>34</v>
      </c>
      <c r="H1440" t="s">
        <v>42</v>
      </c>
      <c r="I1440" t="s">
        <v>103</v>
      </c>
      <c r="J1440" t="s">
        <v>172</v>
      </c>
      <c r="K1440" t="s">
        <v>38</v>
      </c>
      <c r="L1440">
        <v>2</v>
      </c>
      <c r="M1440">
        <v>859</v>
      </c>
      <c r="N1440">
        <v>85.9</v>
      </c>
      <c r="O1440">
        <v>0</v>
      </c>
      <c r="P1440">
        <v>1718</v>
      </c>
      <c r="Q1440">
        <v>1632.1</v>
      </c>
      <c r="R1440" t="s">
        <v>39</v>
      </c>
      <c r="S1440" t="s">
        <v>31</v>
      </c>
      <c r="T1440" t="s">
        <v>40</v>
      </c>
      <c r="U1440">
        <v>49</v>
      </c>
      <c r="V1440">
        <v>5</v>
      </c>
      <c r="W1440">
        <f>Table2[[#This Row],[Quantity]]*Table2[[#This Row],[Item_Price]]</f>
        <v>1718</v>
      </c>
    </row>
    <row r="1441" spans="1:23" x14ac:dyDescent="0.25">
      <c r="A1441" t="s">
        <v>1538</v>
      </c>
      <c r="B1441" s="1">
        <v>45764</v>
      </c>
      <c r="C1441" t="s">
        <v>1315</v>
      </c>
      <c r="D1441">
        <v>4</v>
      </c>
      <c r="E1441">
        <v>17</v>
      </c>
      <c r="F1441" t="s">
        <v>88</v>
      </c>
      <c r="G1441" t="s">
        <v>64</v>
      </c>
      <c r="H1441" t="s">
        <v>108</v>
      </c>
      <c r="I1441" t="s">
        <v>57</v>
      </c>
      <c r="J1441" t="s">
        <v>101</v>
      </c>
      <c r="K1441" t="s">
        <v>38</v>
      </c>
      <c r="L1441">
        <v>1</v>
      </c>
      <c r="M1441">
        <v>256</v>
      </c>
      <c r="N1441">
        <v>12.8</v>
      </c>
      <c r="O1441">
        <v>30</v>
      </c>
      <c r="P1441">
        <v>256</v>
      </c>
      <c r="Q1441">
        <v>273.2</v>
      </c>
      <c r="R1441" t="s">
        <v>75</v>
      </c>
      <c r="S1441" t="s">
        <v>31</v>
      </c>
      <c r="T1441" t="s">
        <v>40</v>
      </c>
      <c r="U1441">
        <v>46</v>
      </c>
      <c r="V1441">
        <v>4</v>
      </c>
      <c r="W1441">
        <f>Table2[[#This Row],[Quantity]]*Table2[[#This Row],[Item_Price]]</f>
        <v>256</v>
      </c>
    </row>
    <row r="1442" spans="1:23" x14ac:dyDescent="0.25">
      <c r="A1442" t="s">
        <v>1539</v>
      </c>
      <c r="B1442" s="1">
        <v>45764</v>
      </c>
      <c r="C1442" t="s">
        <v>1315</v>
      </c>
      <c r="D1442">
        <v>4</v>
      </c>
      <c r="E1442">
        <v>17</v>
      </c>
      <c r="F1442" t="s">
        <v>88</v>
      </c>
      <c r="G1442" t="s">
        <v>90</v>
      </c>
      <c r="H1442" t="s">
        <v>139</v>
      </c>
      <c r="I1442" t="s">
        <v>36</v>
      </c>
      <c r="J1442" t="s">
        <v>94</v>
      </c>
      <c r="K1442" t="s">
        <v>38</v>
      </c>
      <c r="L1442">
        <v>3</v>
      </c>
      <c r="M1442">
        <v>877</v>
      </c>
      <c r="N1442">
        <v>87.7</v>
      </c>
      <c r="O1442">
        <v>60</v>
      </c>
      <c r="P1442">
        <v>2631</v>
      </c>
      <c r="Q1442">
        <v>2603.3000000000002</v>
      </c>
      <c r="R1442" t="s">
        <v>30</v>
      </c>
      <c r="S1442" t="s">
        <v>31</v>
      </c>
      <c r="T1442" t="s">
        <v>40</v>
      </c>
      <c r="U1442">
        <v>23</v>
      </c>
      <c r="V1442">
        <v>5</v>
      </c>
      <c r="W1442">
        <f>Table2[[#This Row],[Quantity]]*Table2[[#This Row],[Item_Price]]</f>
        <v>2631</v>
      </c>
    </row>
    <row r="1443" spans="1:23" x14ac:dyDescent="0.25">
      <c r="A1443" t="s">
        <v>1540</v>
      </c>
      <c r="B1443" s="1">
        <v>45764</v>
      </c>
      <c r="C1443" t="s">
        <v>1315</v>
      </c>
      <c r="D1443">
        <v>4</v>
      </c>
      <c r="E1443">
        <v>17</v>
      </c>
      <c r="F1443" t="s">
        <v>88</v>
      </c>
      <c r="G1443" t="s">
        <v>80</v>
      </c>
      <c r="H1443" t="s">
        <v>52</v>
      </c>
      <c r="I1443" t="s">
        <v>36</v>
      </c>
      <c r="J1443" t="s">
        <v>50</v>
      </c>
      <c r="K1443" t="s">
        <v>45</v>
      </c>
      <c r="L1443">
        <v>1</v>
      </c>
      <c r="M1443">
        <v>147</v>
      </c>
      <c r="N1443">
        <v>22.05</v>
      </c>
      <c r="O1443">
        <v>20</v>
      </c>
      <c r="P1443">
        <v>147</v>
      </c>
      <c r="Q1443">
        <v>144.94999999999999</v>
      </c>
      <c r="R1443" t="s">
        <v>112</v>
      </c>
      <c r="S1443" t="s">
        <v>31</v>
      </c>
      <c r="T1443" t="s">
        <v>32</v>
      </c>
      <c r="U1443">
        <v>22</v>
      </c>
      <c r="V1443">
        <v>4.3</v>
      </c>
      <c r="W1443">
        <f>Table2[[#This Row],[Quantity]]*Table2[[#This Row],[Item_Price]]</f>
        <v>147</v>
      </c>
    </row>
    <row r="1444" spans="1:23" x14ac:dyDescent="0.25">
      <c r="A1444" t="s">
        <v>1541</v>
      </c>
      <c r="B1444" s="1">
        <v>45764</v>
      </c>
      <c r="C1444" t="s">
        <v>1315</v>
      </c>
      <c r="D1444">
        <v>4</v>
      </c>
      <c r="E1444">
        <v>17</v>
      </c>
      <c r="F1444" t="s">
        <v>88</v>
      </c>
      <c r="G1444" t="s">
        <v>73</v>
      </c>
      <c r="H1444" t="s">
        <v>48</v>
      </c>
      <c r="I1444" t="s">
        <v>61</v>
      </c>
      <c r="J1444" t="s">
        <v>123</v>
      </c>
      <c r="K1444" t="s">
        <v>38</v>
      </c>
      <c r="L1444">
        <v>1</v>
      </c>
      <c r="M1444">
        <v>128</v>
      </c>
      <c r="N1444">
        <v>0</v>
      </c>
      <c r="O1444">
        <v>0</v>
      </c>
      <c r="P1444">
        <v>128</v>
      </c>
      <c r="Q1444">
        <v>128</v>
      </c>
      <c r="R1444" t="s">
        <v>30</v>
      </c>
      <c r="S1444" t="s">
        <v>46</v>
      </c>
      <c r="T1444" t="s">
        <v>32</v>
      </c>
      <c r="U1444">
        <v>18</v>
      </c>
      <c r="W1444">
        <f>Table2[[#This Row],[Quantity]]*Table2[[#This Row],[Item_Price]]</f>
        <v>128</v>
      </c>
    </row>
    <row r="1445" spans="1:23" x14ac:dyDescent="0.25">
      <c r="A1445" t="s">
        <v>1542</v>
      </c>
      <c r="B1445" s="1">
        <v>45764</v>
      </c>
      <c r="C1445" t="s">
        <v>1315</v>
      </c>
      <c r="D1445">
        <v>4</v>
      </c>
      <c r="E1445">
        <v>17</v>
      </c>
      <c r="F1445" t="s">
        <v>88</v>
      </c>
      <c r="G1445" t="s">
        <v>64</v>
      </c>
      <c r="H1445" t="s">
        <v>105</v>
      </c>
      <c r="I1445" t="s">
        <v>61</v>
      </c>
      <c r="J1445" t="s">
        <v>123</v>
      </c>
      <c r="K1445" t="s">
        <v>45</v>
      </c>
      <c r="L1445">
        <v>1</v>
      </c>
      <c r="M1445">
        <v>381</v>
      </c>
      <c r="N1445">
        <v>76.2</v>
      </c>
      <c r="O1445">
        <v>0</v>
      </c>
      <c r="P1445">
        <v>381</v>
      </c>
      <c r="Q1445">
        <v>304.8</v>
      </c>
      <c r="R1445" t="s">
        <v>30</v>
      </c>
      <c r="S1445" t="s">
        <v>31</v>
      </c>
      <c r="T1445" t="s">
        <v>32</v>
      </c>
      <c r="U1445">
        <v>32</v>
      </c>
      <c r="V1445">
        <v>3.7</v>
      </c>
      <c r="W1445">
        <f>Table2[[#This Row],[Quantity]]*Table2[[#This Row],[Item_Price]]</f>
        <v>381</v>
      </c>
    </row>
    <row r="1446" spans="1:23" x14ac:dyDescent="0.25">
      <c r="A1446" t="s">
        <v>1543</v>
      </c>
      <c r="B1446" s="1">
        <v>45764</v>
      </c>
      <c r="C1446" t="s">
        <v>1315</v>
      </c>
      <c r="D1446">
        <v>4</v>
      </c>
      <c r="E1446">
        <v>17</v>
      </c>
      <c r="F1446" t="s">
        <v>88</v>
      </c>
      <c r="G1446" t="s">
        <v>73</v>
      </c>
      <c r="H1446" t="s">
        <v>65</v>
      </c>
      <c r="I1446" t="s">
        <v>85</v>
      </c>
      <c r="J1446" t="s">
        <v>70</v>
      </c>
      <c r="K1446" t="s">
        <v>38</v>
      </c>
      <c r="L1446">
        <v>1</v>
      </c>
      <c r="M1446">
        <v>658</v>
      </c>
      <c r="N1446">
        <v>131.6</v>
      </c>
      <c r="O1446">
        <v>60</v>
      </c>
      <c r="P1446">
        <v>658</v>
      </c>
      <c r="Q1446">
        <v>586.4</v>
      </c>
      <c r="R1446" t="s">
        <v>39</v>
      </c>
      <c r="S1446" t="s">
        <v>31</v>
      </c>
      <c r="T1446" t="s">
        <v>40</v>
      </c>
      <c r="U1446">
        <v>61</v>
      </c>
      <c r="V1446">
        <v>4.5</v>
      </c>
      <c r="W1446">
        <f>Table2[[#This Row],[Quantity]]*Table2[[#This Row],[Item_Price]]</f>
        <v>658</v>
      </c>
    </row>
    <row r="1447" spans="1:23" x14ac:dyDescent="0.25">
      <c r="A1447" t="s">
        <v>1544</v>
      </c>
      <c r="B1447" s="1">
        <v>45764</v>
      </c>
      <c r="C1447" t="s">
        <v>1315</v>
      </c>
      <c r="D1447">
        <v>4</v>
      </c>
      <c r="E1447">
        <v>17</v>
      </c>
      <c r="F1447" t="s">
        <v>88</v>
      </c>
      <c r="G1447" t="s">
        <v>80</v>
      </c>
      <c r="H1447" t="s">
        <v>108</v>
      </c>
      <c r="I1447" t="s">
        <v>61</v>
      </c>
      <c r="J1447" t="s">
        <v>74</v>
      </c>
      <c r="K1447" t="s">
        <v>38</v>
      </c>
      <c r="L1447">
        <v>3</v>
      </c>
      <c r="M1447">
        <v>348</v>
      </c>
      <c r="N1447">
        <v>17.399999999999999</v>
      </c>
      <c r="O1447">
        <v>60</v>
      </c>
      <c r="P1447">
        <v>1044</v>
      </c>
      <c r="Q1447">
        <v>1086.5999999999999</v>
      </c>
      <c r="R1447" t="s">
        <v>30</v>
      </c>
      <c r="S1447" t="s">
        <v>31</v>
      </c>
      <c r="T1447" t="s">
        <v>32</v>
      </c>
      <c r="U1447">
        <v>65</v>
      </c>
      <c r="V1447">
        <v>3.5</v>
      </c>
      <c r="W1447">
        <f>Table2[[#This Row],[Quantity]]*Table2[[#This Row],[Item_Price]]</f>
        <v>1044</v>
      </c>
    </row>
    <row r="1448" spans="1:23" x14ac:dyDescent="0.25">
      <c r="A1448" t="s">
        <v>1545</v>
      </c>
      <c r="B1448" s="1">
        <v>45764</v>
      </c>
      <c r="C1448" t="s">
        <v>1315</v>
      </c>
      <c r="D1448">
        <v>4</v>
      </c>
      <c r="E1448">
        <v>17</v>
      </c>
      <c r="F1448" t="s">
        <v>88</v>
      </c>
      <c r="G1448" t="s">
        <v>115</v>
      </c>
      <c r="H1448" t="s">
        <v>68</v>
      </c>
      <c r="I1448" t="s">
        <v>36</v>
      </c>
      <c r="J1448" t="s">
        <v>62</v>
      </c>
      <c r="K1448" t="s">
        <v>29</v>
      </c>
      <c r="L1448">
        <v>1</v>
      </c>
      <c r="M1448">
        <v>322</v>
      </c>
      <c r="N1448">
        <v>16.100000000000001</v>
      </c>
      <c r="O1448">
        <v>40</v>
      </c>
      <c r="P1448">
        <v>322</v>
      </c>
      <c r="Q1448">
        <v>345.9</v>
      </c>
      <c r="R1448" t="s">
        <v>39</v>
      </c>
      <c r="S1448" t="s">
        <v>31</v>
      </c>
      <c r="T1448" t="s">
        <v>32</v>
      </c>
      <c r="U1448">
        <v>66</v>
      </c>
      <c r="V1448">
        <v>4</v>
      </c>
      <c r="W1448">
        <f>Table2[[#This Row],[Quantity]]*Table2[[#This Row],[Item_Price]]</f>
        <v>322</v>
      </c>
    </row>
    <row r="1449" spans="1:23" x14ac:dyDescent="0.25">
      <c r="A1449" t="s">
        <v>1546</v>
      </c>
      <c r="B1449" s="1">
        <v>45764</v>
      </c>
      <c r="C1449" t="s">
        <v>1315</v>
      </c>
      <c r="D1449">
        <v>4</v>
      </c>
      <c r="E1449">
        <v>17</v>
      </c>
      <c r="F1449" t="s">
        <v>88</v>
      </c>
      <c r="G1449" t="s">
        <v>73</v>
      </c>
      <c r="H1449" t="s">
        <v>26</v>
      </c>
      <c r="I1449" t="s">
        <v>43</v>
      </c>
      <c r="J1449" t="s">
        <v>123</v>
      </c>
      <c r="K1449" t="s">
        <v>58</v>
      </c>
      <c r="L1449">
        <v>1</v>
      </c>
      <c r="M1449">
        <v>739</v>
      </c>
      <c r="N1449">
        <v>0</v>
      </c>
      <c r="O1449">
        <v>60</v>
      </c>
      <c r="P1449">
        <v>739</v>
      </c>
      <c r="Q1449">
        <v>799</v>
      </c>
      <c r="R1449" t="s">
        <v>30</v>
      </c>
      <c r="S1449" t="s">
        <v>31</v>
      </c>
      <c r="T1449" t="s">
        <v>40</v>
      </c>
      <c r="U1449">
        <v>49</v>
      </c>
      <c r="V1449">
        <v>3.9</v>
      </c>
      <c r="W1449">
        <f>Table2[[#This Row],[Quantity]]*Table2[[#This Row],[Item_Price]]</f>
        <v>739</v>
      </c>
    </row>
    <row r="1450" spans="1:23" x14ac:dyDescent="0.25">
      <c r="A1450" t="s">
        <v>1547</v>
      </c>
      <c r="B1450" s="1">
        <v>45764</v>
      </c>
      <c r="C1450" t="s">
        <v>1315</v>
      </c>
      <c r="D1450">
        <v>4</v>
      </c>
      <c r="E1450">
        <v>17</v>
      </c>
      <c r="F1450" t="s">
        <v>88</v>
      </c>
      <c r="G1450" t="s">
        <v>115</v>
      </c>
      <c r="H1450" t="s">
        <v>26</v>
      </c>
      <c r="I1450" t="s">
        <v>36</v>
      </c>
      <c r="J1450" t="s">
        <v>74</v>
      </c>
      <c r="K1450" t="s">
        <v>58</v>
      </c>
      <c r="L1450">
        <v>1</v>
      </c>
      <c r="M1450">
        <v>245</v>
      </c>
      <c r="N1450">
        <v>0</v>
      </c>
      <c r="O1450">
        <v>40</v>
      </c>
      <c r="P1450">
        <v>245</v>
      </c>
      <c r="Q1450">
        <v>285</v>
      </c>
      <c r="R1450" t="s">
        <v>112</v>
      </c>
      <c r="S1450" t="s">
        <v>31</v>
      </c>
      <c r="T1450" t="s">
        <v>32</v>
      </c>
      <c r="U1450">
        <v>67</v>
      </c>
      <c r="V1450">
        <v>3.5</v>
      </c>
      <c r="W1450">
        <f>Table2[[#This Row],[Quantity]]*Table2[[#This Row],[Item_Price]]</f>
        <v>245</v>
      </c>
    </row>
    <row r="1451" spans="1:23" x14ac:dyDescent="0.25">
      <c r="A1451" t="s">
        <v>1548</v>
      </c>
      <c r="B1451" s="1">
        <v>45765</v>
      </c>
      <c r="C1451" t="s">
        <v>1315</v>
      </c>
      <c r="D1451">
        <v>4</v>
      </c>
      <c r="E1451">
        <v>18</v>
      </c>
      <c r="F1451" t="s">
        <v>114</v>
      </c>
      <c r="G1451" t="s">
        <v>80</v>
      </c>
      <c r="H1451" t="s">
        <v>105</v>
      </c>
      <c r="I1451" t="s">
        <v>49</v>
      </c>
      <c r="J1451" t="s">
        <v>66</v>
      </c>
      <c r="K1451" t="s">
        <v>38</v>
      </c>
      <c r="L1451">
        <v>2</v>
      </c>
      <c r="M1451">
        <v>454</v>
      </c>
      <c r="N1451">
        <v>0</v>
      </c>
      <c r="O1451">
        <v>70</v>
      </c>
      <c r="P1451">
        <v>908</v>
      </c>
      <c r="Q1451">
        <v>978</v>
      </c>
      <c r="R1451" t="s">
        <v>30</v>
      </c>
      <c r="S1451" t="s">
        <v>31</v>
      </c>
      <c r="T1451" t="s">
        <v>32</v>
      </c>
      <c r="U1451">
        <v>65</v>
      </c>
      <c r="V1451">
        <v>4.2</v>
      </c>
      <c r="W1451">
        <f>Table2[[#This Row],[Quantity]]*Table2[[#This Row],[Item_Price]]</f>
        <v>908</v>
      </c>
    </row>
    <row r="1452" spans="1:23" x14ac:dyDescent="0.25">
      <c r="A1452" t="s">
        <v>1549</v>
      </c>
      <c r="B1452" s="1">
        <v>45765</v>
      </c>
      <c r="C1452" t="s">
        <v>1315</v>
      </c>
      <c r="D1452">
        <v>4</v>
      </c>
      <c r="E1452">
        <v>18</v>
      </c>
      <c r="F1452" t="s">
        <v>114</v>
      </c>
      <c r="G1452" t="s">
        <v>64</v>
      </c>
      <c r="H1452" t="s">
        <v>26</v>
      </c>
      <c r="I1452" t="s">
        <v>36</v>
      </c>
      <c r="J1452" t="s">
        <v>172</v>
      </c>
      <c r="K1452" t="s">
        <v>38</v>
      </c>
      <c r="L1452">
        <v>1</v>
      </c>
      <c r="M1452">
        <v>636</v>
      </c>
      <c r="N1452">
        <v>95.4</v>
      </c>
      <c r="O1452">
        <v>20</v>
      </c>
      <c r="P1452">
        <v>636</v>
      </c>
      <c r="Q1452">
        <v>560.6</v>
      </c>
      <c r="R1452" t="s">
        <v>30</v>
      </c>
      <c r="S1452" t="s">
        <v>91</v>
      </c>
      <c r="T1452" t="s">
        <v>32</v>
      </c>
      <c r="U1452">
        <v>36</v>
      </c>
      <c r="W1452">
        <f>Table2[[#This Row],[Quantity]]*Table2[[#This Row],[Item_Price]]</f>
        <v>636</v>
      </c>
    </row>
    <row r="1453" spans="1:23" x14ac:dyDescent="0.25">
      <c r="A1453" t="s">
        <v>1550</v>
      </c>
      <c r="B1453" s="1">
        <v>45765</v>
      </c>
      <c r="C1453" t="s">
        <v>1315</v>
      </c>
      <c r="D1453">
        <v>4</v>
      </c>
      <c r="E1453">
        <v>18</v>
      </c>
      <c r="F1453" t="s">
        <v>114</v>
      </c>
      <c r="G1453" t="s">
        <v>34</v>
      </c>
      <c r="H1453" t="s">
        <v>105</v>
      </c>
      <c r="I1453" t="s">
        <v>43</v>
      </c>
      <c r="J1453" t="s">
        <v>70</v>
      </c>
      <c r="K1453" t="s">
        <v>38</v>
      </c>
      <c r="L1453">
        <v>2</v>
      </c>
      <c r="M1453">
        <v>626</v>
      </c>
      <c r="N1453">
        <v>93.9</v>
      </c>
      <c r="O1453">
        <v>60</v>
      </c>
      <c r="P1453">
        <v>1252</v>
      </c>
      <c r="Q1453">
        <v>1218.0999999999999</v>
      </c>
      <c r="R1453" t="s">
        <v>112</v>
      </c>
      <c r="S1453" t="s">
        <v>31</v>
      </c>
      <c r="T1453" t="s">
        <v>40</v>
      </c>
      <c r="U1453">
        <v>59</v>
      </c>
      <c r="V1453">
        <v>4.7</v>
      </c>
      <c r="W1453">
        <f>Table2[[#This Row],[Quantity]]*Table2[[#This Row],[Item_Price]]</f>
        <v>1252</v>
      </c>
    </row>
    <row r="1454" spans="1:23" x14ac:dyDescent="0.25">
      <c r="A1454" t="s">
        <v>1551</v>
      </c>
      <c r="B1454" s="1">
        <v>45765</v>
      </c>
      <c r="C1454" t="s">
        <v>1315</v>
      </c>
      <c r="D1454">
        <v>4</v>
      </c>
      <c r="E1454">
        <v>18</v>
      </c>
      <c r="F1454" t="s">
        <v>114</v>
      </c>
      <c r="G1454" t="s">
        <v>55</v>
      </c>
      <c r="H1454" t="s">
        <v>68</v>
      </c>
      <c r="I1454" t="s">
        <v>61</v>
      </c>
      <c r="J1454" t="s">
        <v>50</v>
      </c>
      <c r="K1454" t="s">
        <v>38</v>
      </c>
      <c r="L1454">
        <v>2</v>
      </c>
      <c r="M1454">
        <v>769</v>
      </c>
      <c r="N1454">
        <v>153.80000000000001</v>
      </c>
      <c r="O1454">
        <v>70</v>
      </c>
      <c r="P1454">
        <v>1538</v>
      </c>
      <c r="Q1454">
        <v>1454.2</v>
      </c>
      <c r="R1454" t="s">
        <v>39</v>
      </c>
      <c r="S1454" t="s">
        <v>31</v>
      </c>
      <c r="T1454" t="s">
        <v>40</v>
      </c>
      <c r="U1454">
        <v>35</v>
      </c>
      <c r="V1454">
        <v>4.0999999999999996</v>
      </c>
      <c r="W1454">
        <f>Table2[[#This Row],[Quantity]]*Table2[[#This Row],[Item_Price]]</f>
        <v>1538</v>
      </c>
    </row>
    <row r="1455" spans="1:23" x14ac:dyDescent="0.25">
      <c r="A1455" t="s">
        <v>1552</v>
      </c>
      <c r="B1455" s="1">
        <v>45765</v>
      </c>
      <c r="C1455" t="s">
        <v>1315</v>
      </c>
      <c r="D1455">
        <v>4</v>
      </c>
      <c r="E1455">
        <v>18</v>
      </c>
      <c r="F1455" t="s">
        <v>114</v>
      </c>
      <c r="G1455" t="s">
        <v>84</v>
      </c>
      <c r="H1455" t="s">
        <v>60</v>
      </c>
      <c r="I1455" t="s">
        <v>97</v>
      </c>
      <c r="J1455" t="s">
        <v>70</v>
      </c>
      <c r="K1455" t="s">
        <v>38</v>
      </c>
      <c r="L1455">
        <v>1</v>
      </c>
      <c r="M1455">
        <v>207</v>
      </c>
      <c r="N1455">
        <v>51.75</v>
      </c>
      <c r="O1455">
        <v>30</v>
      </c>
      <c r="P1455">
        <v>207</v>
      </c>
      <c r="Q1455">
        <v>185.25</v>
      </c>
      <c r="R1455" t="s">
        <v>98</v>
      </c>
      <c r="S1455" t="s">
        <v>31</v>
      </c>
      <c r="T1455" t="s">
        <v>40</v>
      </c>
      <c r="U1455">
        <v>30</v>
      </c>
      <c r="V1455">
        <v>4.7</v>
      </c>
      <c r="W1455">
        <f>Table2[[#This Row],[Quantity]]*Table2[[#This Row],[Item_Price]]</f>
        <v>207</v>
      </c>
    </row>
    <row r="1456" spans="1:23" x14ac:dyDescent="0.25">
      <c r="A1456" t="s">
        <v>1553</v>
      </c>
      <c r="B1456" s="1">
        <v>45765</v>
      </c>
      <c r="C1456" t="s">
        <v>1315</v>
      </c>
      <c r="D1456">
        <v>4</v>
      </c>
      <c r="E1456">
        <v>18</v>
      </c>
      <c r="F1456" t="s">
        <v>114</v>
      </c>
      <c r="G1456" t="s">
        <v>64</v>
      </c>
      <c r="H1456" t="s">
        <v>105</v>
      </c>
      <c r="I1456" t="s">
        <v>61</v>
      </c>
      <c r="J1456" t="s">
        <v>119</v>
      </c>
      <c r="K1456" t="s">
        <v>38</v>
      </c>
      <c r="L1456">
        <v>1</v>
      </c>
      <c r="M1456">
        <v>674</v>
      </c>
      <c r="N1456">
        <v>101.1</v>
      </c>
      <c r="O1456">
        <v>40</v>
      </c>
      <c r="P1456">
        <v>674</v>
      </c>
      <c r="Q1456">
        <v>612.9</v>
      </c>
      <c r="R1456" t="s">
        <v>98</v>
      </c>
      <c r="S1456" t="s">
        <v>31</v>
      </c>
      <c r="T1456" t="s">
        <v>32</v>
      </c>
      <c r="U1456">
        <v>20</v>
      </c>
      <c r="V1456">
        <v>4.7</v>
      </c>
      <c r="W1456">
        <f>Table2[[#This Row],[Quantity]]*Table2[[#This Row],[Item_Price]]</f>
        <v>674</v>
      </c>
    </row>
    <row r="1457" spans="1:23" x14ac:dyDescent="0.25">
      <c r="A1457" t="s">
        <v>1554</v>
      </c>
      <c r="B1457" s="1">
        <v>45765</v>
      </c>
      <c r="C1457" t="s">
        <v>1315</v>
      </c>
      <c r="D1457">
        <v>4</v>
      </c>
      <c r="E1457">
        <v>18</v>
      </c>
      <c r="F1457" t="s">
        <v>114</v>
      </c>
      <c r="G1457" t="s">
        <v>80</v>
      </c>
      <c r="H1457" t="s">
        <v>139</v>
      </c>
      <c r="I1457" t="s">
        <v>97</v>
      </c>
      <c r="J1457" t="s">
        <v>119</v>
      </c>
      <c r="K1457" t="s">
        <v>29</v>
      </c>
      <c r="L1457">
        <v>1</v>
      </c>
      <c r="M1457">
        <v>410</v>
      </c>
      <c r="N1457">
        <v>61.5</v>
      </c>
      <c r="O1457">
        <v>20</v>
      </c>
      <c r="P1457">
        <v>410</v>
      </c>
      <c r="Q1457">
        <v>368.5</v>
      </c>
      <c r="R1457" t="s">
        <v>39</v>
      </c>
      <c r="S1457" t="s">
        <v>46</v>
      </c>
      <c r="T1457" t="s">
        <v>40</v>
      </c>
      <c r="U1457">
        <v>29</v>
      </c>
      <c r="W1457">
        <f>Table2[[#This Row],[Quantity]]*Table2[[#This Row],[Item_Price]]</f>
        <v>410</v>
      </c>
    </row>
    <row r="1458" spans="1:23" x14ac:dyDescent="0.25">
      <c r="A1458" t="s">
        <v>1555</v>
      </c>
      <c r="B1458" s="1">
        <v>45765</v>
      </c>
      <c r="C1458" t="s">
        <v>1315</v>
      </c>
      <c r="D1458">
        <v>4</v>
      </c>
      <c r="E1458">
        <v>18</v>
      </c>
      <c r="F1458" t="s">
        <v>114</v>
      </c>
      <c r="G1458" t="s">
        <v>115</v>
      </c>
      <c r="H1458" t="s">
        <v>135</v>
      </c>
      <c r="I1458" t="s">
        <v>57</v>
      </c>
      <c r="J1458" t="s">
        <v>123</v>
      </c>
      <c r="K1458" t="s">
        <v>38</v>
      </c>
      <c r="L1458">
        <v>1</v>
      </c>
      <c r="M1458">
        <v>445</v>
      </c>
      <c r="N1458">
        <v>111.25</v>
      </c>
      <c r="O1458">
        <v>30</v>
      </c>
      <c r="P1458">
        <v>445</v>
      </c>
      <c r="Q1458">
        <v>363.75</v>
      </c>
      <c r="R1458" t="s">
        <v>39</v>
      </c>
      <c r="S1458" t="s">
        <v>31</v>
      </c>
      <c r="T1458" t="s">
        <v>40</v>
      </c>
      <c r="U1458">
        <v>24</v>
      </c>
      <c r="V1458">
        <v>4.4000000000000004</v>
      </c>
      <c r="W1458">
        <f>Table2[[#This Row],[Quantity]]*Table2[[#This Row],[Item_Price]]</f>
        <v>445</v>
      </c>
    </row>
    <row r="1459" spans="1:23" x14ac:dyDescent="0.25">
      <c r="A1459" t="s">
        <v>1556</v>
      </c>
      <c r="B1459" s="1">
        <v>45765</v>
      </c>
      <c r="C1459" t="s">
        <v>1315</v>
      </c>
      <c r="D1459">
        <v>4</v>
      </c>
      <c r="E1459">
        <v>18</v>
      </c>
      <c r="F1459" t="s">
        <v>114</v>
      </c>
      <c r="G1459" t="s">
        <v>64</v>
      </c>
      <c r="H1459" t="s">
        <v>68</v>
      </c>
      <c r="I1459" t="s">
        <v>97</v>
      </c>
      <c r="J1459" t="s">
        <v>172</v>
      </c>
      <c r="K1459" t="s">
        <v>38</v>
      </c>
      <c r="L1459">
        <v>1</v>
      </c>
      <c r="M1459">
        <v>363</v>
      </c>
      <c r="N1459">
        <v>0</v>
      </c>
      <c r="O1459">
        <v>20</v>
      </c>
      <c r="P1459">
        <v>363</v>
      </c>
      <c r="Q1459">
        <v>383</v>
      </c>
      <c r="R1459" t="s">
        <v>39</v>
      </c>
      <c r="S1459" t="s">
        <v>31</v>
      </c>
      <c r="T1459" t="s">
        <v>40</v>
      </c>
      <c r="U1459">
        <v>32</v>
      </c>
      <c r="V1459">
        <v>4.3</v>
      </c>
      <c r="W1459">
        <f>Table2[[#This Row],[Quantity]]*Table2[[#This Row],[Item_Price]]</f>
        <v>363</v>
      </c>
    </row>
    <row r="1460" spans="1:23" x14ac:dyDescent="0.25">
      <c r="A1460" t="s">
        <v>1557</v>
      </c>
      <c r="B1460" s="1">
        <v>45765</v>
      </c>
      <c r="C1460" t="s">
        <v>1315</v>
      </c>
      <c r="D1460">
        <v>4</v>
      </c>
      <c r="E1460">
        <v>18</v>
      </c>
      <c r="F1460" t="s">
        <v>114</v>
      </c>
      <c r="G1460" t="s">
        <v>55</v>
      </c>
      <c r="H1460" t="s">
        <v>108</v>
      </c>
      <c r="I1460" t="s">
        <v>27</v>
      </c>
      <c r="J1460" t="s">
        <v>123</v>
      </c>
      <c r="K1460" t="s">
        <v>38</v>
      </c>
      <c r="L1460">
        <v>2</v>
      </c>
      <c r="M1460">
        <v>739</v>
      </c>
      <c r="N1460">
        <v>110.85</v>
      </c>
      <c r="O1460">
        <v>30</v>
      </c>
      <c r="P1460">
        <v>1478</v>
      </c>
      <c r="Q1460">
        <v>1397.15</v>
      </c>
      <c r="R1460" t="s">
        <v>75</v>
      </c>
      <c r="S1460" t="s">
        <v>31</v>
      </c>
      <c r="T1460" t="s">
        <v>40</v>
      </c>
      <c r="U1460">
        <v>37</v>
      </c>
      <c r="V1460">
        <v>3.8</v>
      </c>
      <c r="W1460">
        <f>Table2[[#This Row],[Quantity]]*Table2[[#This Row],[Item_Price]]</f>
        <v>1478</v>
      </c>
    </row>
    <row r="1461" spans="1:23" x14ac:dyDescent="0.25">
      <c r="A1461" t="s">
        <v>1558</v>
      </c>
      <c r="B1461" s="1">
        <v>45765</v>
      </c>
      <c r="C1461" t="s">
        <v>1315</v>
      </c>
      <c r="D1461">
        <v>4</v>
      </c>
      <c r="E1461">
        <v>18</v>
      </c>
      <c r="F1461" t="s">
        <v>114</v>
      </c>
      <c r="G1461" t="s">
        <v>73</v>
      </c>
      <c r="H1461" t="s">
        <v>105</v>
      </c>
      <c r="I1461" t="s">
        <v>27</v>
      </c>
      <c r="J1461" t="s">
        <v>94</v>
      </c>
      <c r="K1461" t="s">
        <v>38</v>
      </c>
      <c r="L1461">
        <v>3</v>
      </c>
      <c r="M1461">
        <v>554</v>
      </c>
      <c r="N1461">
        <v>27.7</v>
      </c>
      <c r="O1461">
        <v>40</v>
      </c>
      <c r="P1461">
        <v>1662</v>
      </c>
      <c r="Q1461">
        <v>1674.3</v>
      </c>
      <c r="R1461" t="s">
        <v>112</v>
      </c>
      <c r="S1461" t="s">
        <v>31</v>
      </c>
      <c r="T1461" t="s">
        <v>40</v>
      </c>
      <c r="U1461">
        <v>25</v>
      </c>
      <c r="V1461">
        <v>3.4</v>
      </c>
      <c r="W1461">
        <f>Table2[[#This Row],[Quantity]]*Table2[[#This Row],[Item_Price]]</f>
        <v>1662</v>
      </c>
    </row>
    <row r="1462" spans="1:23" x14ac:dyDescent="0.25">
      <c r="A1462" t="s">
        <v>1559</v>
      </c>
      <c r="B1462" s="1">
        <v>45765</v>
      </c>
      <c r="C1462" t="s">
        <v>1315</v>
      </c>
      <c r="D1462">
        <v>4</v>
      </c>
      <c r="E1462">
        <v>18</v>
      </c>
      <c r="F1462" t="s">
        <v>114</v>
      </c>
      <c r="G1462" t="s">
        <v>84</v>
      </c>
      <c r="H1462" t="s">
        <v>105</v>
      </c>
      <c r="I1462" t="s">
        <v>61</v>
      </c>
      <c r="J1462" t="s">
        <v>172</v>
      </c>
      <c r="K1462" t="s">
        <v>45</v>
      </c>
      <c r="L1462">
        <v>1</v>
      </c>
      <c r="M1462">
        <v>662</v>
      </c>
      <c r="N1462">
        <v>0</v>
      </c>
      <c r="O1462">
        <v>20</v>
      </c>
      <c r="P1462">
        <v>662</v>
      </c>
      <c r="Q1462">
        <v>682</v>
      </c>
      <c r="R1462" t="s">
        <v>39</v>
      </c>
      <c r="S1462" t="s">
        <v>31</v>
      </c>
      <c r="T1462" t="s">
        <v>32</v>
      </c>
      <c r="U1462">
        <v>47</v>
      </c>
      <c r="V1462">
        <v>3.2</v>
      </c>
      <c r="W1462">
        <f>Table2[[#This Row],[Quantity]]*Table2[[#This Row],[Item_Price]]</f>
        <v>662</v>
      </c>
    </row>
    <row r="1463" spans="1:23" x14ac:dyDescent="0.25">
      <c r="A1463" t="s">
        <v>1560</v>
      </c>
      <c r="B1463" s="1">
        <v>45765</v>
      </c>
      <c r="C1463" t="s">
        <v>1315</v>
      </c>
      <c r="D1463">
        <v>4</v>
      </c>
      <c r="E1463">
        <v>18</v>
      </c>
      <c r="F1463" t="s">
        <v>114</v>
      </c>
      <c r="G1463" t="s">
        <v>80</v>
      </c>
      <c r="H1463" t="s">
        <v>26</v>
      </c>
      <c r="I1463" t="s">
        <v>69</v>
      </c>
      <c r="J1463" t="s">
        <v>172</v>
      </c>
      <c r="K1463" t="s">
        <v>38</v>
      </c>
      <c r="L1463">
        <v>2</v>
      </c>
      <c r="M1463">
        <v>283</v>
      </c>
      <c r="N1463">
        <v>28.3</v>
      </c>
      <c r="O1463">
        <v>30</v>
      </c>
      <c r="P1463">
        <v>566</v>
      </c>
      <c r="Q1463">
        <v>567.70000000000005</v>
      </c>
      <c r="R1463" t="s">
        <v>98</v>
      </c>
      <c r="S1463" t="s">
        <v>31</v>
      </c>
      <c r="T1463" t="s">
        <v>40</v>
      </c>
      <c r="U1463">
        <v>66</v>
      </c>
      <c r="V1463">
        <v>3.5</v>
      </c>
      <c r="W1463">
        <f>Table2[[#This Row],[Quantity]]*Table2[[#This Row],[Item_Price]]</f>
        <v>566</v>
      </c>
    </row>
    <row r="1464" spans="1:23" x14ac:dyDescent="0.25">
      <c r="A1464" t="s">
        <v>1561</v>
      </c>
      <c r="B1464" s="1">
        <v>45765</v>
      </c>
      <c r="C1464" t="s">
        <v>1315</v>
      </c>
      <c r="D1464">
        <v>4</v>
      </c>
      <c r="E1464">
        <v>18</v>
      </c>
      <c r="F1464" t="s">
        <v>114</v>
      </c>
      <c r="G1464" t="s">
        <v>84</v>
      </c>
      <c r="H1464" t="s">
        <v>77</v>
      </c>
      <c r="I1464" t="s">
        <v>43</v>
      </c>
      <c r="J1464" t="s">
        <v>53</v>
      </c>
      <c r="K1464" t="s">
        <v>38</v>
      </c>
      <c r="L1464">
        <v>1</v>
      </c>
      <c r="M1464">
        <v>419</v>
      </c>
      <c r="N1464">
        <v>62.85</v>
      </c>
      <c r="O1464">
        <v>30</v>
      </c>
      <c r="P1464">
        <v>419</v>
      </c>
      <c r="Q1464">
        <v>386.15</v>
      </c>
      <c r="R1464" t="s">
        <v>112</v>
      </c>
      <c r="S1464" t="s">
        <v>31</v>
      </c>
      <c r="T1464" t="s">
        <v>32</v>
      </c>
      <c r="U1464">
        <v>51</v>
      </c>
      <c r="V1464">
        <v>3.6</v>
      </c>
      <c r="W1464">
        <f>Table2[[#This Row],[Quantity]]*Table2[[#This Row],[Item_Price]]</f>
        <v>419</v>
      </c>
    </row>
    <row r="1465" spans="1:23" x14ac:dyDescent="0.25">
      <c r="A1465" t="s">
        <v>1562</v>
      </c>
      <c r="B1465" s="1">
        <v>45765</v>
      </c>
      <c r="C1465" t="s">
        <v>1315</v>
      </c>
      <c r="D1465">
        <v>4</v>
      </c>
      <c r="E1465">
        <v>18</v>
      </c>
      <c r="F1465" t="s">
        <v>114</v>
      </c>
      <c r="G1465" t="s">
        <v>73</v>
      </c>
      <c r="H1465" t="s">
        <v>81</v>
      </c>
      <c r="I1465" t="s">
        <v>97</v>
      </c>
      <c r="J1465" t="s">
        <v>37</v>
      </c>
      <c r="K1465" t="s">
        <v>45</v>
      </c>
      <c r="L1465">
        <v>1</v>
      </c>
      <c r="M1465">
        <v>243</v>
      </c>
      <c r="N1465">
        <v>12.15</v>
      </c>
      <c r="O1465">
        <v>60</v>
      </c>
      <c r="P1465">
        <v>243</v>
      </c>
      <c r="Q1465">
        <v>290.85000000000002</v>
      </c>
      <c r="R1465" t="s">
        <v>30</v>
      </c>
      <c r="S1465" t="s">
        <v>31</v>
      </c>
      <c r="T1465" t="s">
        <v>32</v>
      </c>
      <c r="U1465">
        <v>56</v>
      </c>
      <c r="V1465">
        <v>4.8</v>
      </c>
      <c r="W1465">
        <f>Table2[[#This Row],[Quantity]]*Table2[[#This Row],[Item_Price]]</f>
        <v>243</v>
      </c>
    </row>
    <row r="1466" spans="1:23" x14ac:dyDescent="0.25">
      <c r="A1466" t="s">
        <v>1563</v>
      </c>
      <c r="B1466" s="1">
        <v>45765</v>
      </c>
      <c r="C1466" t="s">
        <v>1315</v>
      </c>
      <c r="D1466">
        <v>4</v>
      </c>
      <c r="E1466">
        <v>18</v>
      </c>
      <c r="F1466" t="s">
        <v>114</v>
      </c>
      <c r="G1466" t="s">
        <v>90</v>
      </c>
      <c r="H1466" t="s">
        <v>77</v>
      </c>
      <c r="I1466" t="s">
        <v>85</v>
      </c>
      <c r="J1466" t="s">
        <v>50</v>
      </c>
      <c r="K1466" t="s">
        <v>29</v>
      </c>
      <c r="L1466">
        <v>1</v>
      </c>
      <c r="M1466">
        <v>868</v>
      </c>
      <c r="N1466">
        <v>86.8</v>
      </c>
      <c r="O1466">
        <v>0</v>
      </c>
      <c r="P1466">
        <v>868</v>
      </c>
      <c r="Q1466">
        <v>781.2</v>
      </c>
      <c r="R1466" t="s">
        <v>112</v>
      </c>
      <c r="S1466" t="s">
        <v>91</v>
      </c>
      <c r="T1466" t="s">
        <v>40</v>
      </c>
      <c r="U1466">
        <v>39</v>
      </c>
      <c r="W1466">
        <f>Table2[[#This Row],[Quantity]]*Table2[[#This Row],[Item_Price]]</f>
        <v>868</v>
      </c>
    </row>
    <row r="1467" spans="1:23" x14ac:dyDescent="0.25">
      <c r="A1467" t="s">
        <v>1564</v>
      </c>
      <c r="B1467" s="1">
        <v>45766</v>
      </c>
      <c r="C1467" t="s">
        <v>1315</v>
      </c>
      <c r="D1467">
        <v>4</v>
      </c>
      <c r="E1467">
        <v>19</v>
      </c>
      <c r="F1467" t="s">
        <v>134</v>
      </c>
      <c r="G1467" t="s">
        <v>80</v>
      </c>
      <c r="H1467" t="s">
        <v>65</v>
      </c>
      <c r="I1467" t="s">
        <v>27</v>
      </c>
      <c r="J1467" t="s">
        <v>62</v>
      </c>
      <c r="K1467" t="s">
        <v>38</v>
      </c>
      <c r="L1467">
        <v>1</v>
      </c>
      <c r="M1467">
        <v>209</v>
      </c>
      <c r="N1467">
        <v>31.35</v>
      </c>
      <c r="O1467">
        <v>0</v>
      </c>
      <c r="P1467">
        <v>209</v>
      </c>
      <c r="Q1467">
        <v>177.65</v>
      </c>
      <c r="R1467" t="s">
        <v>75</v>
      </c>
      <c r="S1467" t="s">
        <v>46</v>
      </c>
      <c r="T1467" t="s">
        <v>32</v>
      </c>
      <c r="U1467">
        <v>45</v>
      </c>
      <c r="W1467">
        <f>Table2[[#This Row],[Quantity]]*Table2[[#This Row],[Item_Price]]</f>
        <v>209</v>
      </c>
    </row>
    <row r="1468" spans="1:23" x14ac:dyDescent="0.25">
      <c r="A1468" t="s">
        <v>1565</v>
      </c>
      <c r="B1468" s="1">
        <v>45766</v>
      </c>
      <c r="C1468" t="s">
        <v>1315</v>
      </c>
      <c r="D1468">
        <v>4</v>
      </c>
      <c r="E1468">
        <v>19</v>
      </c>
      <c r="F1468" t="s">
        <v>134</v>
      </c>
      <c r="G1468" t="s">
        <v>34</v>
      </c>
      <c r="H1468" t="s">
        <v>77</v>
      </c>
      <c r="I1468" t="s">
        <v>69</v>
      </c>
      <c r="J1468" t="s">
        <v>66</v>
      </c>
      <c r="K1468" t="s">
        <v>38</v>
      </c>
      <c r="L1468">
        <v>2</v>
      </c>
      <c r="M1468">
        <v>292</v>
      </c>
      <c r="N1468">
        <v>0</v>
      </c>
      <c r="O1468">
        <v>60</v>
      </c>
      <c r="P1468">
        <v>584</v>
      </c>
      <c r="Q1468">
        <v>644</v>
      </c>
      <c r="R1468" t="s">
        <v>30</v>
      </c>
      <c r="S1468" t="s">
        <v>31</v>
      </c>
      <c r="T1468" t="s">
        <v>40</v>
      </c>
      <c r="U1468">
        <v>61</v>
      </c>
      <c r="V1468">
        <v>3.4</v>
      </c>
      <c r="W1468">
        <f>Table2[[#This Row],[Quantity]]*Table2[[#This Row],[Item_Price]]</f>
        <v>584</v>
      </c>
    </row>
    <row r="1469" spans="1:23" x14ac:dyDescent="0.25">
      <c r="A1469" t="s">
        <v>1566</v>
      </c>
      <c r="B1469" s="1">
        <v>45766</v>
      </c>
      <c r="C1469" t="s">
        <v>1315</v>
      </c>
      <c r="D1469">
        <v>4</v>
      </c>
      <c r="E1469">
        <v>19</v>
      </c>
      <c r="F1469" t="s">
        <v>134</v>
      </c>
      <c r="G1469" t="s">
        <v>34</v>
      </c>
      <c r="H1469" t="s">
        <v>35</v>
      </c>
      <c r="I1469" t="s">
        <v>49</v>
      </c>
      <c r="J1469" t="s">
        <v>28</v>
      </c>
      <c r="K1469" t="s">
        <v>38</v>
      </c>
      <c r="L1469">
        <v>3</v>
      </c>
      <c r="M1469">
        <v>262</v>
      </c>
      <c r="N1469">
        <v>13.1</v>
      </c>
      <c r="O1469">
        <v>0</v>
      </c>
      <c r="P1469">
        <v>786</v>
      </c>
      <c r="Q1469">
        <v>772.9</v>
      </c>
      <c r="R1469" t="s">
        <v>30</v>
      </c>
      <c r="S1469" t="s">
        <v>31</v>
      </c>
      <c r="T1469" t="s">
        <v>40</v>
      </c>
      <c r="U1469">
        <v>37</v>
      </c>
      <c r="V1469">
        <v>5</v>
      </c>
      <c r="W1469">
        <f>Table2[[#This Row],[Quantity]]*Table2[[#This Row],[Item_Price]]</f>
        <v>786</v>
      </c>
    </row>
    <row r="1470" spans="1:23" x14ac:dyDescent="0.25">
      <c r="A1470" t="s">
        <v>1567</v>
      </c>
      <c r="B1470" s="1">
        <v>45766</v>
      </c>
      <c r="C1470" t="s">
        <v>1315</v>
      </c>
      <c r="D1470">
        <v>4</v>
      </c>
      <c r="E1470">
        <v>19</v>
      </c>
      <c r="F1470" t="s">
        <v>134</v>
      </c>
      <c r="G1470" t="s">
        <v>80</v>
      </c>
      <c r="H1470" t="s">
        <v>135</v>
      </c>
      <c r="I1470" t="s">
        <v>61</v>
      </c>
      <c r="J1470" t="s">
        <v>101</v>
      </c>
      <c r="K1470" t="s">
        <v>38</v>
      </c>
      <c r="L1470">
        <v>2</v>
      </c>
      <c r="M1470">
        <v>844</v>
      </c>
      <c r="N1470">
        <v>42.2</v>
      </c>
      <c r="O1470">
        <v>20</v>
      </c>
      <c r="P1470">
        <v>1688</v>
      </c>
      <c r="Q1470">
        <v>1665.8</v>
      </c>
      <c r="R1470" t="s">
        <v>39</v>
      </c>
      <c r="S1470" t="s">
        <v>31</v>
      </c>
      <c r="T1470" t="s">
        <v>32</v>
      </c>
      <c r="U1470">
        <v>62</v>
      </c>
      <c r="V1470">
        <v>4.3</v>
      </c>
      <c r="W1470">
        <f>Table2[[#This Row],[Quantity]]*Table2[[#This Row],[Item_Price]]</f>
        <v>1688</v>
      </c>
    </row>
    <row r="1471" spans="1:23" x14ac:dyDescent="0.25">
      <c r="A1471" t="s">
        <v>1568</v>
      </c>
      <c r="B1471" s="1">
        <v>45766</v>
      </c>
      <c r="C1471" t="s">
        <v>1315</v>
      </c>
      <c r="D1471">
        <v>4</v>
      </c>
      <c r="E1471">
        <v>19</v>
      </c>
      <c r="F1471" t="s">
        <v>134</v>
      </c>
      <c r="G1471" t="s">
        <v>80</v>
      </c>
      <c r="H1471" t="s">
        <v>135</v>
      </c>
      <c r="I1471" t="s">
        <v>49</v>
      </c>
      <c r="J1471" t="s">
        <v>172</v>
      </c>
      <c r="K1471" t="s">
        <v>38</v>
      </c>
      <c r="L1471">
        <v>1</v>
      </c>
      <c r="M1471">
        <v>560</v>
      </c>
      <c r="N1471">
        <v>112</v>
      </c>
      <c r="O1471">
        <v>40</v>
      </c>
      <c r="P1471">
        <v>560</v>
      </c>
      <c r="Q1471">
        <v>488</v>
      </c>
      <c r="R1471" t="s">
        <v>39</v>
      </c>
      <c r="S1471" t="s">
        <v>31</v>
      </c>
      <c r="T1471" t="s">
        <v>32</v>
      </c>
      <c r="U1471">
        <v>65</v>
      </c>
      <c r="V1471">
        <v>3.3</v>
      </c>
      <c r="W1471">
        <f>Table2[[#This Row],[Quantity]]*Table2[[#This Row],[Item_Price]]</f>
        <v>560</v>
      </c>
    </row>
    <row r="1472" spans="1:23" x14ac:dyDescent="0.25">
      <c r="A1472" t="s">
        <v>1569</v>
      </c>
      <c r="B1472" s="1">
        <v>45766</v>
      </c>
      <c r="C1472" t="s">
        <v>1315</v>
      </c>
      <c r="D1472">
        <v>4</v>
      </c>
      <c r="E1472">
        <v>19</v>
      </c>
      <c r="F1472" t="s">
        <v>134</v>
      </c>
      <c r="G1472" t="s">
        <v>115</v>
      </c>
      <c r="H1472" t="s">
        <v>35</v>
      </c>
      <c r="I1472" t="s">
        <v>43</v>
      </c>
      <c r="J1472" t="s">
        <v>70</v>
      </c>
      <c r="K1472" t="s">
        <v>38</v>
      </c>
      <c r="L1472">
        <v>3</v>
      </c>
      <c r="M1472">
        <v>365</v>
      </c>
      <c r="N1472">
        <v>36.5</v>
      </c>
      <c r="O1472">
        <v>30</v>
      </c>
      <c r="P1472">
        <v>1095</v>
      </c>
      <c r="Q1472">
        <v>1088.5</v>
      </c>
      <c r="R1472" t="s">
        <v>75</v>
      </c>
      <c r="S1472" t="s">
        <v>110</v>
      </c>
      <c r="T1472" t="s">
        <v>32</v>
      </c>
      <c r="U1472">
        <v>67</v>
      </c>
      <c r="W1472">
        <f>Table2[[#This Row],[Quantity]]*Table2[[#This Row],[Item_Price]]</f>
        <v>1095</v>
      </c>
    </row>
    <row r="1473" spans="1:23" x14ac:dyDescent="0.25">
      <c r="A1473" t="s">
        <v>1570</v>
      </c>
      <c r="B1473" s="1">
        <v>45766</v>
      </c>
      <c r="C1473" t="s">
        <v>1315</v>
      </c>
      <c r="D1473">
        <v>4</v>
      </c>
      <c r="E1473">
        <v>19</v>
      </c>
      <c r="F1473" t="s">
        <v>134</v>
      </c>
      <c r="G1473" t="s">
        <v>55</v>
      </c>
      <c r="H1473" t="s">
        <v>65</v>
      </c>
      <c r="I1473" t="s">
        <v>97</v>
      </c>
      <c r="J1473" t="s">
        <v>82</v>
      </c>
      <c r="K1473" t="s">
        <v>45</v>
      </c>
      <c r="L1473">
        <v>1</v>
      </c>
      <c r="M1473">
        <v>615</v>
      </c>
      <c r="N1473">
        <v>92.25</v>
      </c>
      <c r="O1473">
        <v>20</v>
      </c>
      <c r="P1473">
        <v>615</v>
      </c>
      <c r="Q1473">
        <v>542.75</v>
      </c>
      <c r="R1473" t="s">
        <v>39</v>
      </c>
      <c r="S1473" t="s">
        <v>31</v>
      </c>
      <c r="T1473" t="s">
        <v>40</v>
      </c>
      <c r="U1473">
        <v>34</v>
      </c>
      <c r="V1473">
        <v>3.9</v>
      </c>
      <c r="W1473">
        <f>Table2[[#This Row],[Quantity]]*Table2[[#This Row],[Item_Price]]</f>
        <v>615</v>
      </c>
    </row>
    <row r="1474" spans="1:23" x14ac:dyDescent="0.25">
      <c r="A1474" t="s">
        <v>1571</v>
      </c>
      <c r="B1474" s="1">
        <v>45766</v>
      </c>
      <c r="C1474" t="s">
        <v>1315</v>
      </c>
      <c r="D1474">
        <v>4</v>
      </c>
      <c r="E1474">
        <v>19</v>
      </c>
      <c r="F1474" t="s">
        <v>134</v>
      </c>
      <c r="G1474" t="s">
        <v>64</v>
      </c>
      <c r="H1474" t="s">
        <v>65</v>
      </c>
      <c r="I1474" t="s">
        <v>61</v>
      </c>
      <c r="J1474" t="s">
        <v>74</v>
      </c>
      <c r="K1474" t="s">
        <v>38</v>
      </c>
      <c r="L1474">
        <v>1</v>
      </c>
      <c r="M1474">
        <v>685</v>
      </c>
      <c r="N1474">
        <v>68.5</v>
      </c>
      <c r="O1474">
        <v>60</v>
      </c>
      <c r="P1474">
        <v>685</v>
      </c>
      <c r="Q1474">
        <v>676.5</v>
      </c>
      <c r="R1474" t="s">
        <v>39</v>
      </c>
      <c r="S1474" t="s">
        <v>31</v>
      </c>
      <c r="T1474" t="s">
        <v>40</v>
      </c>
      <c r="U1474">
        <v>65</v>
      </c>
      <c r="V1474">
        <v>4.2</v>
      </c>
      <c r="W1474">
        <f>Table2[[#This Row],[Quantity]]*Table2[[#This Row],[Item_Price]]</f>
        <v>685</v>
      </c>
    </row>
    <row r="1475" spans="1:23" x14ac:dyDescent="0.25">
      <c r="A1475" t="s">
        <v>1572</v>
      </c>
      <c r="B1475" s="1">
        <v>45766</v>
      </c>
      <c r="C1475" t="s">
        <v>1315</v>
      </c>
      <c r="D1475">
        <v>4</v>
      </c>
      <c r="E1475">
        <v>19</v>
      </c>
      <c r="F1475" t="s">
        <v>134</v>
      </c>
      <c r="G1475" t="s">
        <v>64</v>
      </c>
      <c r="H1475" t="s">
        <v>68</v>
      </c>
      <c r="I1475" t="s">
        <v>57</v>
      </c>
      <c r="J1475" t="s">
        <v>66</v>
      </c>
      <c r="K1475" t="s">
        <v>38</v>
      </c>
      <c r="L1475">
        <v>2</v>
      </c>
      <c r="M1475">
        <v>413</v>
      </c>
      <c r="N1475">
        <v>61.95</v>
      </c>
      <c r="O1475">
        <v>20</v>
      </c>
      <c r="P1475">
        <v>826</v>
      </c>
      <c r="Q1475">
        <v>784.05</v>
      </c>
      <c r="R1475" t="s">
        <v>39</v>
      </c>
      <c r="S1475" t="s">
        <v>31</v>
      </c>
      <c r="T1475" t="s">
        <v>40</v>
      </c>
      <c r="U1475">
        <v>30</v>
      </c>
      <c r="V1475">
        <v>3.8</v>
      </c>
      <c r="W1475">
        <f>Table2[[#This Row],[Quantity]]*Table2[[#This Row],[Item_Price]]</f>
        <v>826</v>
      </c>
    </row>
    <row r="1476" spans="1:23" x14ac:dyDescent="0.25">
      <c r="A1476" t="s">
        <v>1573</v>
      </c>
      <c r="B1476" s="1">
        <v>45766</v>
      </c>
      <c r="C1476" t="s">
        <v>1315</v>
      </c>
      <c r="D1476">
        <v>4</v>
      </c>
      <c r="E1476">
        <v>19</v>
      </c>
      <c r="F1476" t="s">
        <v>134</v>
      </c>
      <c r="G1476" t="s">
        <v>34</v>
      </c>
      <c r="H1476" t="s">
        <v>139</v>
      </c>
      <c r="I1476" t="s">
        <v>49</v>
      </c>
      <c r="J1476" t="s">
        <v>70</v>
      </c>
      <c r="K1476" t="s">
        <v>38</v>
      </c>
      <c r="L1476">
        <v>1</v>
      </c>
      <c r="M1476">
        <v>375</v>
      </c>
      <c r="N1476">
        <v>18.75</v>
      </c>
      <c r="O1476">
        <v>40</v>
      </c>
      <c r="P1476">
        <v>375</v>
      </c>
      <c r="Q1476">
        <v>396.25</v>
      </c>
      <c r="R1476" t="s">
        <v>75</v>
      </c>
      <c r="S1476" t="s">
        <v>31</v>
      </c>
      <c r="T1476" t="s">
        <v>32</v>
      </c>
      <c r="U1476">
        <v>25</v>
      </c>
      <c r="V1476">
        <v>4.9000000000000004</v>
      </c>
      <c r="W1476">
        <f>Table2[[#This Row],[Quantity]]*Table2[[#This Row],[Item_Price]]</f>
        <v>375</v>
      </c>
    </row>
    <row r="1477" spans="1:23" x14ac:dyDescent="0.25">
      <c r="A1477" t="s">
        <v>1574</v>
      </c>
      <c r="B1477" s="1">
        <v>45766</v>
      </c>
      <c r="C1477" t="s">
        <v>1315</v>
      </c>
      <c r="D1477">
        <v>4</v>
      </c>
      <c r="E1477">
        <v>19</v>
      </c>
      <c r="F1477" t="s">
        <v>134</v>
      </c>
      <c r="G1477" t="s">
        <v>90</v>
      </c>
      <c r="H1477" t="s">
        <v>81</v>
      </c>
      <c r="I1477" t="s">
        <v>85</v>
      </c>
      <c r="J1477" t="s">
        <v>50</v>
      </c>
      <c r="K1477" t="s">
        <v>38</v>
      </c>
      <c r="L1477">
        <v>3</v>
      </c>
      <c r="M1477">
        <v>249</v>
      </c>
      <c r="N1477">
        <v>24.9</v>
      </c>
      <c r="O1477">
        <v>70</v>
      </c>
      <c r="P1477">
        <v>747</v>
      </c>
      <c r="Q1477">
        <v>792.1</v>
      </c>
      <c r="R1477" t="s">
        <v>112</v>
      </c>
      <c r="S1477" t="s">
        <v>31</v>
      </c>
      <c r="T1477" t="s">
        <v>32</v>
      </c>
      <c r="U1477">
        <v>37</v>
      </c>
      <c r="V1477">
        <v>5</v>
      </c>
      <c r="W1477">
        <f>Table2[[#This Row],[Quantity]]*Table2[[#This Row],[Item_Price]]</f>
        <v>747</v>
      </c>
    </row>
    <row r="1478" spans="1:23" x14ac:dyDescent="0.25">
      <c r="A1478" t="s">
        <v>1575</v>
      </c>
      <c r="B1478" s="1">
        <v>45766</v>
      </c>
      <c r="C1478" t="s">
        <v>1315</v>
      </c>
      <c r="D1478">
        <v>4</v>
      </c>
      <c r="E1478">
        <v>19</v>
      </c>
      <c r="F1478" t="s">
        <v>134</v>
      </c>
      <c r="G1478" t="s">
        <v>55</v>
      </c>
      <c r="H1478" t="s">
        <v>52</v>
      </c>
      <c r="I1478" t="s">
        <v>43</v>
      </c>
      <c r="J1478" t="s">
        <v>94</v>
      </c>
      <c r="K1478" t="s">
        <v>38</v>
      </c>
      <c r="L1478">
        <v>1</v>
      </c>
      <c r="M1478">
        <v>426</v>
      </c>
      <c r="N1478">
        <v>21.3</v>
      </c>
      <c r="O1478">
        <v>50</v>
      </c>
      <c r="P1478">
        <v>426</v>
      </c>
      <c r="Q1478">
        <v>454.7</v>
      </c>
      <c r="R1478" t="s">
        <v>75</v>
      </c>
      <c r="S1478" t="s">
        <v>31</v>
      </c>
      <c r="T1478" t="s">
        <v>40</v>
      </c>
      <c r="U1478">
        <v>60</v>
      </c>
      <c r="V1478">
        <v>4</v>
      </c>
      <c r="W1478">
        <f>Table2[[#This Row],[Quantity]]*Table2[[#This Row],[Item_Price]]</f>
        <v>426</v>
      </c>
    </row>
    <row r="1479" spans="1:23" x14ac:dyDescent="0.25">
      <c r="A1479" t="s">
        <v>1576</v>
      </c>
      <c r="B1479" s="1">
        <v>45766</v>
      </c>
      <c r="C1479" t="s">
        <v>1315</v>
      </c>
      <c r="D1479">
        <v>4</v>
      </c>
      <c r="E1479">
        <v>19</v>
      </c>
      <c r="F1479" t="s">
        <v>134</v>
      </c>
      <c r="G1479" t="s">
        <v>34</v>
      </c>
      <c r="H1479" t="s">
        <v>108</v>
      </c>
      <c r="I1479" t="s">
        <v>36</v>
      </c>
      <c r="J1479" t="s">
        <v>37</v>
      </c>
      <c r="K1479" t="s">
        <v>29</v>
      </c>
      <c r="L1479">
        <v>1</v>
      </c>
      <c r="M1479">
        <v>208</v>
      </c>
      <c r="N1479">
        <v>52</v>
      </c>
      <c r="O1479">
        <v>30</v>
      </c>
      <c r="P1479">
        <v>208</v>
      </c>
      <c r="Q1479">
        <v>186</v>
      </c>
      <c r="R1479" t="s">
        <v>30</v>
      </c>
      <c r="S1479" t="s">
        <v>31</v>
      </c>
      <c r="T1479" t="s">
        <v>40</v>
      </c>
      <c r="U1479">
        <v>33</v>
      </c>
      <c r="V1479">
        <v>3.4</v>
      </c>
      <c r="W1479">
        <f>Table2[[#This Row],[Quantity]]*Table2[[#This Row],[Item_Price]]</f>
        <v>208</v>
      </c>
    </row>
    <row r="1480" spans="1:23" x14ac:dyDescent="0.25">
      <c r="A1480" t="s">
        <v>1577</v>
      </c>
      <c r="B1480" s="1">
        <v>45766</v>
      </c>
      <c r="C1480" t="s">
        <v>1315</v>
      </c>
      <c r="D1480">
        <v>4</v>
      </c>
      <c r="E1480">
        <v>19</v>
      </c>
      <c r="F1480" t="s">
        <v>134</v>
      </c>
      <c r="G1480" t="s">
        <v>34</v>
      </c>
      <c r="H1480" t="s">
        <v>108</v>
      </c>
      <c r="I1480" t="s">
        <v>97</v>
      </c>
      <c r="J1480" t="s">
        <v>44</v>
      </c>
      <c r="K1480" t="s">
        <v>38</v>
      </c>
      <c r="L1480">
        <v>1</v>
      </c>
      <c r="M1480">
        <v>368</v>
      </c>
      <c r="N1480">
        <v>0</v>
      </c>
      <c r="O1480">
        <v>30</v>
      </c>
      <c r="P1480">
        <v>368</v>
      </c>
      <c r="Q1480">
        <v>398</v>
      </c>
      <c r="R1480" t="s">
        <v>75</v>
      </c>
      <c r="S1480" t="s">
        <v>31</v>
      </c>
      <c r="T1480" t="s">
        <v>40</v>
      </c>
      <c r="U1480">
        <v>61</v>
      </c>
      <c r="V1480">
        <v>3.7</v>
      </c>
      <c r="W1480">
        <f>Table2[[#This Row],[Quantity]]*Table2[[#This Row],[Item_Price]]</f>
        <v>368</v>
      </c>
    </row>
    <row r="1481" spans="1:23" x14ac:dyDescent="0.25">
      <c r="A1481" t="s">
        <v>1578</v>
      </c>
      <c r="B1481" s="1">
        <v>45766</v>
      </c>
      <c r="C1481" t="s">
        <v>1315</v>
      </c>
      <c r="D1481">
        <v>4</v>
      </c>
      <c r="E1481">
        <v>19</v>
      </c>
      <c r="F1481" t="s">
        <v>134</v>
      </c>
      <c r="G1481" t="s">
        <v>34</v>
      </c>
      <c r="H1481" t="s">
        <v>42</v>
      </c>
      <c r="I1481" t="s">
        <v>103</v>
      </c>
      <c r="J1481" t="s">
        <v>119</v>
      </c>
      <c r="K1481" t="s">
        <v>38</v>
      </c>
      <c r="L1481">
        <v>1</v>
      </c>
      <c r="M1481">
        <v>536</v>
      </c>
      <c r="N1481">
        <v>26.8</v>
      </c>
      <c r="O1481">
        <v>0</v>
      </c>
      <c r="P1481">
        <v>536</v>
      </c>
      <c r="Q1481">
        <v>509.2</v>
      </c>
      <c r="R1481" t="s">
        <v>39</v>
      </c>
      <c r="S1481" t="s">
        <v>31</v>
      </c>
      <c r="T1481" t="s">
        <v>40</v>
      </c>
      <c r="U1481">
        <v>62</v>
      </c>
      <c r="V1481">
        <v>4.0999999999999996</v>
      </c>
      <c r="W1481">
        <f>Table2[[#This Row],[Quantity]]*Table2[[#This Row],[Item_Price]]</f>
        <v>536</v>
      </c>
    </row>
    <row r="1482" spans="1:23" x14ac:dyDescent="0.25">
      <c r="A1482" t="s">
        <v>1579</v>
      </c>
      <c r="B1482" s="1">
        <v>45766</v>
      </c>
      <c r="C1482" t="s">
        <v>1315</v>
      </c>
      <c r="D1482">
        <v>4</v>
      </c>
      <c r="E1482">
        <v>19</v>
      </c>
      <c r="F1482" t="s">
        <v>134</v>
      </c>
      <c r="G1482" t="s">
        <v>115</v>
      </c>
      <c r="H1482" t="s">
        <v>52</v>
      </c>
      <c r="I1482" t="s">
        <v>97</v>
      </c>
      <c r="J1482" t="s">
        <v>70</v>
      </c>
      <c r="K1482" t="s">
        <v>38</v>
      </c>
      <c r="L1482">
        <v>1</v>
      </c>
      <c r="M1482">
        <v>496</v>
      </c>
      <c r="N1482">
        <v>49.6</v>
      </c>
      <c r="O1482">
        <v>30</v>
      </c>
      <c r="P1482">
        <v>496</v>
      </c>
      <c r="Q1482">
        <v>476.4</v>
      </c>
      <c r="R1482" t="s">
        <v>39</v>
      </c>
      <c r="S1482" t="s">
        <v>110</v>
      </c>
      <c r="T1482" t="s">
        <v>40</v>
      </c>
      <c r="U1482">
        <v>51</v>
      </c>
      <c r="W1482">
        <f>Table2[[#This Row],[Quantity]]*Table2[[#This Row],[Item_Price]]</f>
        <v>496</v>
      </c>
    </row>
    <row r="1483" spans="1:23" x14ac:dyDescent="0.25">
      <c r="A1483" t="s">
        <v>1580</v>
      </c>
      <c r="B1483" s="1">
        <v>45766</v>
      </c>
      <c r="C1483" t="s">
        <v>1315</v>
      </c>
      <c r="D1483">
        <v>4</v>
      </c>
      <c r="E1483">
        <v>19</v>
      </c>
      <c r="F1483" t="s">
        <v>134</v>
      </c>
      <c r="G1483" t="s">
        <v>115</v>
      </c>
      <c r="H1483" t="s">
        <v>81</v>
      </c>
      <c r="I1483" t="s">
        <v>69</v>
      </c>
      <c r="J1483" t="s">
        <v>37</v>
      </c>
      <c r="K1483" t="s">
        <v>38</v>
      </c>
      <c r="L1483">
        <v>1</v>
      </c>
      <c r="M1483">
        <v>743</v>
      </c>
      <c r="N1483">
        <v>37.15</v>
      </c>
      <c r="O1483">
        <v>30</v>
      </c>
      <c r="P1483">
        <v>743</v>
      </c>
      <c r="Q1483">
        <v>735.85</v>
      </c>
      <c r="R1483" t="s">
        <v>39</v>
      </c>
      <c r="S1483" t="s">
        <v>31</v>
      </c>
      <c r="T1483" t="s">
        <v>40</v>
      </c>
      <c r="U1483">
        <v>55</v>
      </c>
      <c r="V1483">
        <v>4.7</v>
      </c>
      <c r="W1483">
        <f>Table2[[#This Row],[Quantity]]*Table2[[#This Row],[Item_Price]]</f>
        <v>743</v>
      </c>
    </row>
    <row r="1484" spans="1:23" x14ac:dyDescent="0.25">
      <c r="A1484" t="s">
        <v>1581</v>
      </c>
      <c r="B1484" s="1">
        <v>45767</v>
      </c>
      <c r="C1484" t="s">
        <v>1315</v>
      </c>
      <c r="D1484">
        <v>4</v>
      </c>
      <c r="E1484">
        <v>20</v>
      </c>
      <c r="F1484" t="s">
        <v>149</v>
      </c>
      <c r="G1484" t="s">
        <v>25</v>
      </c>
      <c r="H1484" t="s">
        <v>108</v>
      </c>
      <c r="I1484" t="s">
        <v>27</v>
      </c>
      <c r="J1484" t="s">
        <v>28</v>
      </c>
      <c r="K1484" t="s">
        <v>38</v>
      </c>
      <c r="L1484">
        <v>2</v>
      </c>
      <c r="M1484">
        <v>426</v>
      </c>
      <c r="N1484">
        <v>85.2</v>
      </c>
      <c r="O1484">
        <v>60</v>
      </c>
      <c r="P1484">
        <v>852</v>
      </c>
      <c r="Q1484">
        <v>826.8</v>
      </c>
      <c r="R1484" t="s">
        <v>112</v>
      </c>
      <c r="S1484" t="s">
        <v>31</v>
      </c>
      <c r="T1484" t="s">
        <v>40</v>
      </c>
      <c r="U1484">
        <v>69</v>
      </c>
      <c r="V1484">
        <v>3.1</v>
      </c>
      <c r="W1484">
        <f>Table2[[#This Row],[Quantity]]*Table2[[#This Row],[Item_Price]]</f>
        <v>852</v>
      </c>
    </row>
    <row r="1485" spans="1:23" x14ac:dyDescent="0.25">
      <c r="A1485" t="s">
        <v>1582</v>
      </c>
      <c r="B1485" s="1">
        <v>45767</v>
      </c>
      <c r="C1485" t="s">
        <v>1315</v>
      </c>
      <c r="D1485">
        <v>4</v>
      </c>
      <c r="E1485">
        <v>20</v>
      </c>
      <c r="F1485" t="s">
        <v>149</v>
      </c>
      <c r="G1485" t="s">
        <v>64</v>
      </c>
      <c r="H1485" t="s">
        <v>139</v>
      </c>
      <c r="I1485" t="s">
        <v>43</v>
      </c>
      <c r="J1485" t="s">
        <v>53</v>
      </c>
      <c r="K1485" t="s">
        <v>38</v>
      </c>
      <c r="L1485">
        <v>1</v>
      </c>
      <c r="M1485">
        <v>779</v>
      </c>
      <c r="N1485">
        <v>77.900000000000006</v>
      </c>
      <c r="O1485">
        <v>40</v>
      </c>
      <c r="P1485">
        <v>779</v>
      </c>
      <c r="Q1485">
        <v>741.1</v>
      </c>
      <c r="R1485" t="s">
        <v>75</v>
      </c>
      <c r="S1485" t="s">
        <v>31</v>
      </c>
      <c r="T1485" t="s">
        <v>40</v>
      </c>
      <c r="U1485">
        <v>63</v>
      </c>
      <c r="V1485">
        <v>3.8</v>
      </c>
      <c r="W1485">
        <f>Table2[[#This Row],[Quantity]]*Table2[[#This Row],[Item_Price]]</f>
        <v>779</v>
      </c>
    </row>
    <row r="1486" spans="1:23" x14ac:dyDescent="0.25">
      <c r="A1486" t="s">
        <v>1583</v>
      </c>
      <c r="B1486" s="1">
        <v>45767</v>
      </c>
      <c r="C1486" t="s">
        <v>1315</v>
      </c>
      <c r="D1486">
        <v>4</v>
      </c>
      <c r="E1486">
        <v>20</v>
      </c>
      <c r="F1486" t="s">
        <v>149</v>
      </c>
      <c r="G1486" t="s">
        <v>115</v>
      </c>
      <c r="H1486" t="s">
        <v>108</v>
      </c>
      <c r="I1486" t="s">
        <v>43</v>
      </c>
      <c r="J1486" t="s">
        <v>94</v>
      </c>
      <c r="K1486" t="s">
        <v>45</v>
      </c>
      <c r="L1486">
        <v>3</v>
      </c>
      <c r="M1486">
        <v>366</v>
      </c>
      <c r="N1486">
        <v>0</v>
      </c>
      <c r="O1486">
        <v>30</v>
      </c>
      <c r="P1486">
        <v>1098</v>
      </c>
      <c r="Q1486">
        <v>1128</v>
      </c>
      <c r="R1486" t="s">
        <v>98</v>
      </c>
      <c r="S1486" t="s">
        <v>31</v>
      </c>
      <c r="T1486" t="s">
        <v>40</v>
      </c>
      <c r="U1486">
        <v>62</v>
      </c>
      <c r="V1486">
        <v>3.8</v>
      </c>
      <c r="W1486">
        <f>Table2[[#This Row],[Quantity]]*Table2[[#This Row],[Item_Price]]</f>
        <v>1098</v>
      </c>
    </row>
    <row r="1487" spans="1:23" x14ac:dyDescent="0.25">
      <c r="A1487" t="s">
        <v>1584</v>
      </c>
      <c r="B1487" s="1">
        <v>45767</v>
      </c>
      <c r="C1487" t="s">
        <v>1315</v>
      </c>
      <c r="D1487">
        <v>4</v>
      </c>
      <c r="E1487">
        <v>20</v>
      </c>
      <c r="F1487" t="s">
        <v>149</v>
      </c>
      <c r="G1487" t="s">
        <v>64</v>
      </c>
      <c r="H1487" t="s">
        <v>48</v>
      </c>
      <c r="I1487" t="s">
        <v>43</v>
      </c>
      <c r="J1487" t="s">
        <v>62</v>
      </c>
      <c r="K1487" t="s">
        <v>58</v>
      </c>
      <c r="L1487">
        <v>1</v>
      </c>
      <c r="M1487">
        <v>334</v>
      </c>
      <c r="N1487">
        <v>16.7</v>
      </c>
      <c r="O1487">
        <v>30</v>
      </c>
      <c r="P1487">
        <v>334</v>
      </c>
      <c r="Q1487">
        <v>347.3</v>
      </c>
      <c r="R1487" t="s">
        <v>39</v>
      </c>
      <c r="S1487" t="s">
        <v>31</v>
      </c>
      <c r="T1487" t="s">
        <v>32</v>
      </c>
      <c r="U1487">
        <v>41</v>
      </c>
      <c r="V1487">
        <v>3.9</v>
      </c>
      <c r="W1487">
        <f>Table2[[#This Row],[Quantity]]*Table2[[#This Row],[Item_Price]]</f>
        <v>334</v>
      </c>
    </row>
    <row r="1488" spans="1:23" x14ac:dyDescent="0.25">
      <c r="A1488" t="s">
        <v>1585</v>
      </c>
      <c r="B1488" s="1">
        <v>45767</v>
      </c>
      <c r="C1488" t="s">
        <v>1315</v>
      </c>
      <c r="D1488">
        <v>4</v>
      </c>
      <c r="E1488">
        <v>20</v>
      </c>
      <c r="F1488" t="s">
        <v>149</v>
      </c>
      <c r="G1488" t="s">
        <v>73</v>
      </c>
      <c r="H1488" t="s">
        <v>77</v>
      </c>
      <c r="I1488" t="s">
        <v>43</v>
      </c>
      <c r="J1488" t="s">
        <v>28</v>
      </c>
      <c r="K1488" t="s">
        <v>38</v>
      </c>
      <c r="L1488">
        <v>2</v>
      </c>
      <c r="M1488">
        <v>237</v>
      </c>
      <c r="N1488">
        <v>47.4</v>
      </c>
      <c r="O1488">
        <v>0</v>
      </c>
      <c r="P1488">
        <v>474</v>
      </c>
      <c r="Q1488">
        <v>426.6</v>
      </c>
      <c r="R1488" t="s">
        <v>75</v>
      </c>
      <c r="S1488" t="s">
        <v>31</v>
      </c>
      <c r="T1488" t="s">
        <v>40</v>
      </c>
      <c r="U1488">
        <v>65</v>
      </c>
      <c r="V1488">
        <v>4.2</v>
      </c>
      <c r="W1488">
        <f>Table2[[#This Row],[Quantity]]*Table2[[#This Row],[Item_Price]]</f>
        <v>474</v>
      </c>
    </row>
    <row r="1489" spans="1:23" x14ac:dyDescent="0.25">
      <c r="A1489" t="s">
        <v>1586</v>
      </c>
      <c r="B1489" s="1">
        <v>45767</v>
      </c>
      <c r="C1489" t="s">
        <v>1315</v>
      </c>
      <c r="D1489">
        <v>4</v>
      </c>
      <c r="E1489">
        <v>20</v>
      </c>
      <c r="F1489" t="s">
        <v>149</v>
      </c>
      <c r="G1489" t="s">
        <v>64</v>
      </c>
      <c r="H1489" t="s">
        <v>52</v>
      </c>
      <c r="I1489" t="s">
        <v>85</v>
      </c>
      <c r="J1489" t="s">
        <v>172</v>
      </c>
      <c r="K1489" t="s">
        <v>45</v>
      </c>
      <c r="L1489">
        <v>1</v>
      </c>
      <c r="M1489">
        <v>372</v>
      </c>
      <c r="N1489">
        <v>18.600000000000001</v>
      </c>
      <c r="O1489">
        <v>40</v>
      </c>
      <c r="P1489">
        <v>372</v>
      </c>
      <c r="Q1489">
        <v>393.4</v>
      </c>
      <c r="R1489" t="s">
        <v>112</v>
      </c>
      <c r="S1489" t="s">
        <v>31</v>
      </c>
      <c r="T1489" t="s">
        <v>32</v>
      </c>
      <c r="U1489">
        <v>24</v>
      </c>
      <c r="V1489">
        <v>4.2</v>
      </c>
      <c r="W1489">
        <f>Table2[[#This Row],[Quantity]]*Table2[[#This Row],[Item_Price]]</f>
        <v>372</v>
      </c>
    </row>
    <row r="1490" spans="1:23" x14ac:dyDescent="0.25">
      <c r="A1490" t="s">
        <v>1587</v>
      </c>
      <c r="B1490" s="1">
        <v>45767</v>
      </c>
      <c r="C1490" t="s">
        <v>1315</v>
      </c>
      <c r="D1490">
        <v>4</v>
      </c>
      <c r="E1490">
        <v>20</v>
      </c>
      <c r="F1490" t="s">
        <v>149</v>
      </c>
      <c r="G1490" t="s">
        <v>84</v>
      </c>
      <c r="H1490" t="s">
        <v>135</v>
      </c>
      <c r="I1490" t="s">
        <v>103</v>
      </c>
      <c r="J1490" t="s">
        <v>101</v>
      </c>
      <c r="K1490" t="s">
        <v>38</v>
      </c>
      <c r="L1490">
        <v>1</v>
      </c>
      <c r="M1490">
        <v>796</v>
      </c>
      <c r="N1490">
        <v>119.4</v>
      </c>
      <c r="O1490">
        <v>50</v>
      </c>
      <c r="P1490">
        <v>796</v>
      </c>
      <c r="Q1490">
        <v>726.6</v>
      </c>
      <c r="R1490" t="s">
        <v>112</v>
      </c>
      <c r="S1490" t="s">
        <v>31</v>
      </c>
      <c r="T1490" t="s">
        <v>40</v>
      </c>
      <c r="U1490">
        <v>21</v>
      </c>
      <c r="V1490">
        <v>3.6</v>
      </c>
      <c r="W1490">
        <f>Table2[[#This Row],[Quantity]]*Table2[[#This Row],[Item_Price]]</f>
        <v>796</v>
      </c>
    </row>
    <row r="1491" spans="1:23" x14ac:dyDescent="0.25">
      <c r="A1491" t="s">
        <v>1588</v>
      </c>
      <c r="B1491" s="1">
        <v>45767</v>
      </c>
      <c r="C1491" t="s">
        <v>1315</v>
      </c>
      <c r="D1491">
        <v>4</v>
      </c>
      <c r="E1491">
        <v>20</v>
      </c>
      <c r="F1491" t="s">
        <v>149</v>
      </c>
      <c r="G1491" t="s">
        <v>55</v>
      </c>
      <c r="H1491" t="s">
        <v>81</v>
      </c>
      <c r="I1491" t="s">
        <v>49</v>
      </c>
      <c r="J1491" t="s">
        <v>28</v>
      </c>
      <c r="K1491" t="s">
        <v>38</v>
      </c>
      <c r="L1491">
        <v>1</v>
      </c>
      <c r="M1491">
        <v>628</v>
      </c>
      <c r="N1491">
        <v>157</v>
      </c>
      <c r="O1491">
        <v>50</v>
      </c>
      <c r="P1491">
        <v>628</v>
      </c>
      <c r="Q1491">
        <v>521</v>
      </c>
      <c r="R1491" t="s">
        <v>75</v>
      </c>
      <c r="S1491" t="s">
        <v>91</v>
      </c>
      <c r="T1491" t="s">
        <v>32</v>
      </c>
      <c r="U1491">
        <v>39</v>
      </c>
      <c r="W1491">
        <f>Table2[[#This Row],[Quantity]]*Table2[[#This Row],[Item_Price]]</f>
        <v>628</v>
      </c>
    </row>
    <row r="1492" spans="1:23" x14ac:dyDescent="0.25">
      <c r="A1492" t="s">
        <v>1589</v>
      </c>
      <c r="B1492" s="1">
        <v>45767</v>
      </c>
      <c r="C1492" t="s">
        <v>1315</v>
      </c>
      <c r="D1492">
        <v>4</v>
      </c>
      <c r="E1492">
        <v>20</v>
      </c>
      <c r="F1492" t="s">
        <v>149</v>
      </c>
      <c r="G1492" t="s">
        <v>73</v>
      </c>
      <c r="H1492" t="s">
        <v>56</v>
      </c>
      <c r="I1492" t="s">
        <v>103</v>
      </c>
      <c r="J1492" t="s">
        <v>94</v>
      </c>
      <c r="K1492" t="s">
        <v>38</v>
      </c>
      <c r="L1492">
        <v>1</v>
      </c>
      <c r="M1492">
        <v>762</v>
      </c>
      <c r="N1492">
        <v>114.3</v>
      </c>
      <c r="O1492">
        <v>50</v>
      </c>
      <c r="P1492">
        <v>762</v>
      </c>
      <c r="Q1492">
        <v>697.7</v>
      </c>
      <c r="R1492" t="s">
        <v>39</v>
      </c>
      <c r="S1492" t="s">
        <v>91</v>
      </c>
      <c r="T1492" t="s">
        <v>40</v>
      </c>
      <c r="U1492">
        <v>27</v>
      </c>
      <c r="W1492">
        <f>Table2[[#This Row],[Quantity]]*Table2[[#This Row],[Item_Price]]</f>
        <v>762</v>
      </c>
    </row>
    <row r="1493" spans="1:23" x14ac:dyDescent="0.25">
      <c r="A1493" t="s">
        <v>1590</v>
      </c>
      <c r="B1493" s="1">
        <v>45768</v>
      </c>
      <c r="C1493" t="s">
        <v>1315</v>
      </c>
      <c r="D1493">
        <v>4</v>
      </c>
      <c r="E1493">
        <v>21</v>
      </c>
      <c r="F1493" t="s">
        <v>168</v>
      </c>
      <c r="G1493" t="s">
        <v>64</v>
      </c>
      <c r="H1493" t="s">
        <v>81</v>
      </c>
      <c r="I1493" t="s">
        <v>43</v>
      </c>
      <c r="J1493" t="s">
        <v>44</v>
      </c>
      <c r="K1493" t="s">
        <v>45</v>
      </c>
      <c r="L1493">
        <v>3</v>
      </c>
      <c r="M1493">
        <v>576</v>
      </c>
      <c r="N1493">
        <v>86.4</v>
      </c>
      <c r="O1493">
        <v>40</v>
      </c>
      <c r="P1493">
        <v>1728</v>
      </c>
      <c r="Q1493">
        <v>1681.6</v>
      </c>
      <c r="R1493" t="s">
        <v>39</v>
      </c>
      <c r="S1493" t="s">
        <v>31</v>
      </c>
      <c r="T1493" t="s">
        <v>40</v>
      </c>
      <c r="U1493">
        <v>45</v>
      </c>
      <c r="V1493">
        <v>3.9</v>
      </c>
      <c r="W1493">
        <f>Table2[[#This Row],[Quantity]]*Table2[[#This Row],[Item_Price]]</f>
        <v>1728</v>
      </c>
    </row>
    <row r="1494" spans="1:23" x14ac:dyDescent="0.25">
      <c r="A1494" t="s">
        <v>1591</v>
      </c>
      <c r="B1494" s="1">
        <v>45768</v>
      </c>
      <c r="C1494" t="s">
        <v>1315</v>
      </c>
      <c r="D1494">
        <v>4</v>
      </c>
      <c r="E1494">
        <v>21</v>
      </c>
      <c r="F1494" t="s">
        <v>168</v>
      </c>
      <c r="G1494" t="s">
        <v>34</v>
      </c>
      <c r="H1494" t="s">
        <v>26</v>
      </c>
      <c r="I1494" t="s">
        <v>27</v>
      </c>
      <c r="J1494" t="s">
        <v>82</v>
      </c>
      <c r="K1494" t="s">
        <v>45</v>
      </c>
      <c r="L1494">
        <v>1</v>
      </c>
      <c r="M1494">
        <v>220</v>
      </c>
      <c r="N1494">
        <v>11</v>
      </c>
      <c r="O1494">
        <v>50</v>
      </c>
      <c r="P1494">
        <v>220</v>
      </c>
      <c r="Q1494">
        <v>259</v>
      </c>
      <c r="R1494" t="s">
        <v>98</v>
      </c>
      <c r="S1494" t="s">
        <v>31</v>
      </c>
      <c r="T1494" t="s">
        <v>32</v>
      </c>
      <c r="U1494">
        <v>37</v>
      </c>
      <c r="V1494">
        <v>3.1</v>
      </c>
      <c r="W1494">
        <f>Table2[[#This Row],[Quantity]]*Table2[[#This Row],[Item_Price]]</f>
        <v>220</v>
      </c>
    </row>
    <row r="1495" spans="1:23" x14ac:dyDescent="0.25">
      <c r="A1495" t="s">
        <v>1592</v>
      </c>
      <c r="B1495" s="1">
        <v>45768</v>
      </c>
      <c r="C1495" t="s">
        <v>1315</v>
      </c>
      <c r="D1495">
        <v>4</v>
      </c>
      <c r="E1495">
        <v>21</v>
      </c>
      <c r="F1495" t="s">
        <v>168</v>
      </c>
      <c r="G1495" t="s">
        <v>80</v>
      </c>
      <c r="H1495" t="s">
        <v>81</v>
      </c>
      <c r="I1495" t="s">
        <v>49</v>
      </c>
      <c r="J1495" t="s">
        <v>123</v>
      </c>
      <c r="K1495" t="s">
        <v>38</v>
      </c>
      <c r="L1495">
        <v>1</v>
      </c>
      <c r="M1495">
        <v>322</v>
      </c>
      <c r="N1495">
        <v>80.5</v>
      </c>
      <c r="O1495">
        <v>20</v>
      </c>
      <c r="P1495">
        <v>322</v>
      </c>
      <c r="Q1495">
        <v>261.5</v>
      </c>
      <c r="R1495" t="s">
        <v>39</v>
      </c>
      <c r="S1495" t="s">
        <v>31</v>
      </c>
      <c r="T1495" t="s">
        <v>40</v>
      </c>
      <c r="U1495">
        <v>39</v>
      </c>
      <c r="V1495">
        <v>3.2</v>
      </c>
      <c r="W1495">
        <f>Table2[[#This Row],[Quantity]]*Table2[[#This Row],[Item_Price]]</f>
        <v>322</v>
      </c>
    </row>
    <row r="1496" spans="1:23" x14ac:dyDescent="0.25">
      <c r="A1496" t="s">
        <v>1593</v>
      </c>
      <c r="B1496" s="1">
        <v>45768</v>
      </c>
      <c r="C1496" t="s">
        <v>1315</v>
      </c>
      <c r="D1496">
        <v>4</v>
      </c>
      <c r="E1496">
        <v>21</v>
      </c>
      <c r="F1496" t="s">
        <v>168</v>
      </c>
      <c r="G1496" t="s">
        <v>80</v>
      </c>
      <c r="H1496" t="s">
        <v>56</v>
      </c>
      <c r="I1496" t="s">
        <v>85</v>
      </c>
      <c r="J1496" t="s">
        <v>119</v>
      </c>
      <c r="K1496" t="s">
        <v>45</v>
      </c>
      <c r="L1496">
        <v>2</v>
      </c>
      <c r="M1496">
        <v>678</v>
      </c>
      <c r="N1496">
        <v>135.6</v>
      </c>
      <c r="O1496">
        <v>30</v>
      </c>
      <c r="P1496">
        <v>1356</v>
      </c>
      <c r="Q1496">
        <v>1250.4000000000001</v>
      </c>
      <c r="R1496" t="s">
        <v>39</v>
      </c>
      <c r="S1496" t="s">
        <v>31</v>
      </c>
      <c r="T1496" t="s">
        <v>40</v>
      </c>
      <c r="U1496">
        <v>20</v>
      </c>
      <c r="V1496">
        <v>3.8</v>
      </c>
      <c r="W1496">
        <f>Table2[[#This Row],[Quantity]]*Table2[[#This Row],[Item_Price]]</f>
        <v>1356</v>
      </c>
    </row>
    <row r="1497" spans="1:23" x14ac:dyDescent="0.25">
      <c r="A1497" t="s">
        <v>1594</v>
      </c>
      <c r="B1497" s="1">
        <v>45768</v>
      </c>
      <c r="C1497" t="s">
        <v>1315</v>
      </c>
      <c r="D1497">
        <v>4</v>
      </c>
      <c r="E1497">
        <v>21</v>
      </c>
      <c r="F1497" t="s">
        <v>168</v>
      </c>
      <c r="G1497" t="s">
        <v>96</v>
      </c>
      <c r="H1497" t="s">
        <v>56</v>
      </c>
      <c r="I1497" t="s">
        <v>43</v>
      </c>
      <c r="J1497" t="s">
        <v>62</v>
      </c>
      <c r="K1497" t="s">
        <v>38</v>
      </c>
      <c r="L1497">
        <v>2</v>
      </c>
      <c r="M1497">
        <v>625</v>
      </c>
      <c r="N1497">
        <v>31.25</v>
      </c>
      <c r="O1497">
        <v>50</v>
      </c>
      <c r="P1497">
        <v>1250</v>
      </c>
      <c r="Q1497">
        <v>1268.75</v>
      </c>
      <c r="R1497" t="s">
        <v>30</v>
      </c>
      <c r="S1497" t="s">
        <v>110</v>
      </c>
      <c r="T1497" t="s">
        <v>40</v>
      </c>
      <c r="U1497">
        <v>69</v>
      </c>
      <c r="W1497">
        <f>Table2[[#This Row],[Quantity]]*Table2[[#This Row],[Item_Price]]</f>
        <v>1250</v>
      </c>
    </row>
    <row r="1498" spans="1:23" x14ac:dyDescent="0.25">
      <c r="A1498" t="s">
        <v>1595</v>
      </c>
      <c r="B1498" s="1">
        <v>45768</v>
      </c>
      <c r="C1498" t="s">
        <v>1315</v>
      </c>
      <c r="D1498">
        <v>4</v>
      </c>
      <c r="E1498">
        <v>21</v>
      </c>
      <c r="F1498" t="s">
        <v>168</v>
      </c>
      <c r="G1498" t="s">
        <v>55</v>
      </c>
      <c r="H1498" t="s">
        <v>56</v>
      </c>
      <c r="I1498" t="s">
        <v>85</v>
      </c>
      <c r="J1498" t="s">
        <v>44</v>
      </c>
      <c r="K1498" t="s">
        <v>38</v>
      </c>
      <c r="L1498">
        <v>2</v>
      </c>
      <c r="M1498">
        <v>435</v>
      </c>
      <c r="N1498">
        <v>21.75</v>
      </c>
      <c r="O1498">
        <v>50</v>
      </c>
      <c r="P1498">
        <v>870</v>
      </c>
      <c r="Q1498">
        <v>898.25</v>
      </c>
      <c r="R1498" t="s">
        <v>112</v>
      </c>
      <c r="S1498" t="s">
        <v>31</v>
      </c>
      <c r="T1498" t="s">
        <v>40</v>
      </c>
      <c r="U1498">
        <v>53</v>
      </c>
      <c r="V1498">
        <v>4.5999999999999996</v>
      </c>
      <c r="W1498">
        <f>Table2[[#This Row],[Quantity]]*Table2[[#This Row],[Item_Price]]</f>
        <v>870</v>
      </c>
    </row>
    <row r="1499" spans="1:23" x14ac:dyDescent="0.25">
      <c r="A1499" t="s">
        <v>1596</v>
      </c>
      <c r="B1499" s="1">
        <v>45768</v>
      </c>
      <c r="C1499" t="s">
        <v>1315</v>
      </c>
      <c r="D1499">
        <v>4</v>
      </c>
      <c r="E1499">
        <v>21</v>
      </c>
      <c r="F1499" t="s">
        <v>168</v>
      </c>
      <c r="G1499" t="s">
        <v>115</v>
      </c>
      <c r="H1499" t="s">
        <v>81</v>
      </c>
      <c r="I1499" t="s">
        <v>97</v>
      </c>
      <c r="J1499" t="s">
        <v>74</v>
      </c>
      <c r="K1499" t="s">
        <v>45</v>
      </c>
      <c r="L1499">
        <v>3</v>
      </c>
      <c r="M1499">
        <v>496</v>
      </c>
      <c r="N1499">
        <v>24.8</v>
      </c>
      <c r="O1499">
        <v>60</v>
      </c>
      <c r="P1499">
        <v>1488</v>
      </c>
      <c r="Q1499">
        <v>1523.2</v>
      </c>
      <c r="R1499" t="s">
        <v>39</v>
      </c>
      <c r="S1499" t="s">
        <v>31</v>
      </c>
      <c r="T1499" t="s">
        <v>40</v>
      </c>
      <c r="U1499">
        <v>65</v>
      </c>
      <c r="V1499">
        <v>3.8</v>
      </c>
      <c r="W1499">
        <f>Table2[[#This Row],[Quantity]]*Table2[[#This Row],[Item_Price]]</f>
        <v>1488</v>
      </c>
    </row>
    <row r="1500" spans="1:23" x14ac:dyDescent="0.25">
      <c r="A1500" t="s">
        <v>1597</v>
      </c>
      <c r="B1500" s="1">
        <v>45768</v>
      </c>
      <c r="C1500" t="s">
        <v>1315</v>
      </c>
      <c r="D1500">
        <v>4</v>
      </c>
      <c r="E1500">
        <v>21</v>
      </c>
      <c r="F1500" t="s">
        <v>168</v>
      </c>
      <c r="G1500" t="s">
        <v>25</v>
      </c>
      <c r="H1500" t="s">
        <v>81</v>
      </c>
      <c r="I1500" t="s">
        <v>36</v>
      </c>
      <c r="J1500" t="s">
        <v>66</v>
      </c>
      <c r="K1500" t="s">
        <v>38</v>
      </c>
      <c r="L1500">
        <v>2</v>
      </c>
      <c r="M1500">
        <v>795</v>
      </c>
      <c r="N1500">
        <v>79.5</v>
      </c>
      <c r="O1500">
        <v>30</v>
      </c>
      <c r="P1500">
        <v>1590</v>
      </c>
      <c r="Q1500">
        <v>1540.5</v>
      </c>
      <c r="R1500" t="s">
        <v>75</v>
      </c>
      <c r="S1500" t="s">
        <v>31</v>
      </c>
      <c r="T1500" t="s">
        <v>32</v>
      </c>
      <c r="U1500">
        <v>59</v>
      </c>
      <c r="V1500">
        <v>4.2</v>
      </c>
      <c r="W1500">
        <f>Table2[[#This Row],[Quantity]]*Table2[[#This Row],[Item_Price]]</f>
        <v>1590</v>
      </c>
    </row>
    <row r="1501" spans="1:23" x14ac:dyDescent="0.25">
      <c r="A1501" t="s">
        <v>1598</v>
      </c>
      <c r="B1501" s="1">
        <v>45768</v>
      </c>
      <c r="C1501" t="s">
        <v>1315</v>
      </c>
      <c r="D1501">
        <v>4</v>
      </c>
      <c r="E1501">
        <v>21</v>
      </c>
      <c r="F1501" t="s">
        <v>168</v>
      </c>
      <c r="G1501" t="s">
        <v>34</v>
      </c>
      <c r="H1501" t="s">
        <v>139</v>
      </c>
      <c r="I1501" t="s">
        <v>61</v>
      </c>
      <c r="J1501" t="s">
        <v>62</v>
      </c>
      <c r="K1501" t="s">
        <v>38</v>
      </c>
      <c r="L1501">
        <v>1</v>
      </c>
      <c r="M1501">
        <v>564</v>
      </c>
      <c r="N1501">
        <v>84.6</v>
      </c>
      <c r="O1501">
        <v>50</v>
      </c>
      <c r="P1501">
        <v>564</v>
      </c>
      <c r="Q1501">
        <v>529.4</v>
      </c>
      <c r="R1501" t="s">
        <v>112</v>
      </c>
      <c r="S1501" t="s">
        <v>31</v>
      </c>
      <c r="T1501" t="s">
        <v>40</v>
      </c>
      <c r="U1501">
        <v>20</v>
      </c>
      <c r="V1501">
        <v>4.3</v>
      </c>
      <c r="W1501">
        <f>Table2[[#This Row],[Quantity]]*Table2[[#This Row],[Item_Price]]</f>
        <v>564</v>
      </c>
    </row>
    <row r="1502" spans="1:23" x14ac:dyDescent="0.25">
      <c r="A1502" t="s">
        <v>1599</v>
      </c>
      <c r="B1502" s="1">
        <v>45768</v>
      </c>
      <c r="C1502" t="s">
        <v>1315</v>
      </c>
      <c r="D1502">
        <v>4</v>
      </c>
      <c r="E1502">
        <v>21</v>
      </c>
      <c r="F1502" t="s">
        <v>168</v>
      </c>
      <c r="G1502" t="s">
        <v>34</v>
      </c>
      <c r="H1502" t="s">
        <v>48</v>
      </c>
      <c r="I1502" t="s">
        <v>49</v>
      </c>
      <c r="J1502" t="s">
        <v>74</v>
      </c>
      <c r="K1502" t="s">
        <v>45</v>
      </c>
      <c r="L1502">
        <v>1</v>
      </c>
      <c r="M1502">
        <v>352</v>
      </c>
      <c r="N1502">
        <v>35.200000000000003</v>
      </c>
      <c r="O1502">
        <v>60</v>
      </c>
      <c r="P1502">
        <v>352</v>
      </c>
      <c r="Q1502">
        <v>376.8</v>
      </c>
      <c r="R1502" t="s">
        <v>30</v>
      </c>
      <c r="S1502" t="s">
        <v>31</v>
      </c>
      <c r="T1502" t="s">
        <v>40</v>
      </c>
      <c r="U1502">
        <v>36</v>
      </c>
      <c r="V1502">
        <v>4.5</v>
      </c>
      <c r="W1502">
        <f>Table2[[#This Row],[Quantity]]*Table2[[#This Row],[Item_Price]]</f>
        <v>352</v>
      </c>
    </row>
    <row r="1503" spans="1:23" x14ac:dyDescent="0.25">
      <c r="A1503" t="s">
        <v>1600</v>
      </c>
      <c r="B1503" s="1">
        <v>45768</v>
      </c>
      <c r="C1503" t="s">
        <v>1315</v>
      </c>
      <c r="D1503">
        <v>4</v>
      </c>
      <c r="E1503">
        <v>21</v>
      </c>
      <c r="F1503" t="s">
        <v>168</v>
      </c>
      <c r="G1503" t="s">
        <v>90</v>
      </c>
      <c r="H1503" t="s">
        <v>68</v>
      </c>
      <c r="I1503" t="s">
        <v>43</v>
      </c>
      <c r="J1503" t="s">
        <v>28</v>
      </c>
      <c r="K1503" t="s">
        <v>45</v>
      </c>
      <c r="L1503">
        <v>1</v>
      </c>
      <c r="M1503">
        <v>411</v>
      </c>
      <c r="N1503">
        <v>0</v>
      </c>
      <c r="O1503">
        <v>20</v>
      </c>
      <c r="P1503">
        <v>411</v>
      </c>
      <c r="Q1503">
        <v>431</v>
      </c>
      <c r="R1503" t="s">
        <v>75</v>
      </c>
      <c r="S1503" t="s">
        <v>31</v>
      </c>
      <c r="T1503" t="s">
        <v>40</v>
      </c>
      <c r="U1503">
        <v>36</v>
      </c>
      <c r="V1503">
        <v>4.7</v>
      </c>
      <c r="W1503">
        <f>Table2[[#This Row],[Quantity]]*Table2[[#This Row],[Item_Price]]</f>
        <v>411</v>
      </c>
    </row>
    <row r="1504" spans="1:23" x14ac:dyDescent="0.25">
      <c r="A1504" t="s">
        <v>1601</v>
      </c>
      <c r="B1504" s="1">
        <v>45768</v>
      </c>
      <c r="C1504" t="s">
        <v>1315</v>
      </c>
      <c r="D1504">
        <v>4</v>
      </c>
      <c r="E1504">
        <v>21</v>
      </c>
      <c r="F1504" t="s">
        <v>168</v>
      </c>
      <c r="G1504" t="s">
        <v>90</v>
      </c>
      <c r="H1504" t="s">
        <v>35</v>
      </c>
      <c r="I1504" t="s">
        <v>97</v>
      </c>
      <c r="J1504" t="s">
        <v>28</v>
      </c>
      <c r="K1504" t="s">
        <v>38</v>
      </c>
      <c r="L1504">
        <v>2</v>
      </c>
      <c r="M1504">
        <v>657</v>
      </c>
      <c r="N1504">
        <v>65.7</v>
      </c>
      <c r="O1504">
        <v>50</v>
      </c>
      <c r="P1504">
        <v>1314</v>
      </c>
      <c r="Q1504">
        <v>1298.3</v>
      </c>
      <c r="R1504" t="s">
        <v>75</v>
      </c>
      <c r="S1504" t="s">
        <v>46</v>
      </c>
      <c r="T1504" t="s">
        <v>40</v>
      </c>
      <c r="U1504">
        <v>40</v>
      </c>
      <c r="W1504">
        <f>Table2[[#This Row],[Quantity]]*Table2[[#This Row],[Item_Price]]</f>
        <v>1314</v>
      </c>
    </row>
    <row r="1505" spans="1:23" x14ac:dyDescent="0.25">
      <c r="A1505" t="s">
        <v>1602</v>
      </c>
      <c r="B1505" s="1">
        <v>45768</v>
      </c>
      <c r="C1505" t="s">
        <v>1315</v>
      </c>
      <c r="D1505">
        <v>4</v>
      </c>
      <c r="E1505">
        <v>21</v>
      </c>
      <c r="F1505" t="s">
        <v>168</v>
      </c>
      <c r="G1505" t="s">
        <v>115</v>
      </c>
      <c r="H1505" t="s">
        <v>35</v>
      </c>
      <c r="I1505" t="s">
        <v>97</v>
      </c>
      <c r="J1505" t="s">
        <v>70</v>
      </c>
      <c r="K1505" t="s">
        <v>38</v>
      </c>
      <c r="L1505">
        <v>1</v>
      </c>
      <c r="M1505">
        <v>498</v>
      </c>
      <c r="N1505">
        <v>99.6</v>
      </c>
      <c r="O1505">
        <v>30</v>
      </c>
      <c r="P1505">
        <v>498</v>
      </c>
      <c r="Q1505">
        <v>428.4</v>
      </c>
      <c r="R1505" t="s">
        <v>75</v>
      </c>
      <c r="S1505" t="s">
        <v>31</v>
      </c>
      <c r="T1505" t="s">
        <v>32</v>
      </c>
      <c r="U1505">
        <v>68</v>
      </c>
      <c r="V1505">
        <v>3.4</v>
      </c>
      <c r="W1505">
        <f>Table2[[#This Row],[Quantity]]*Table2[[#This Row],[Item_Price]]</f>
        <v>498</v>
      </c>
    </row>
    <row r="1506" spans="1:23" x14ac:dyDescent="0.25">
      <c r="A1506" t="s">
        <v>1603</v>
      </c>
      <c r="B1506" s="1">
        <v>45768</v>
      </c>
      <c r="C1506" t="s">
        <v>1315</v>
      </c>
      <c r="D1506">
        <v>4</v>
      </c>
      <c r="E1506">
        <v>21</v>
      </c>
      <c r="F1506" t="s">
        <v>168</v>
      </c>
      <c r="G1506" t="s">
        <v>90</v>
      </c>
      <c r="H1506" t="s">
        <v>56</v>
      </c>
      <c r="I1506" t="s">
        <v>103</v>
      </c>
      <c r="J1506" t="s">
        <v>62</v>
      </c>
      <c r="K1506" t="s">
        <v>38</v>
      </c>
      <c r="L1506">
        <v>3</v>
      </c>
      <c r="M1506">
        <v>160</v>
      </c>
      <c r="N1506">
        <v>16</v>
      </c>
      <c r="O1506">
        <v>60</v>
      </c>
      <c r="P1506">
        <v>480</v>
      </c>
      <c r="Q1506">
        <v>524</v>
      </c>
      <c r="R1506" t="s">
        <v>98</v>
      </c>
      <c r="S1506" t="s">
        <v>91</v>
      </c>
      <c r="T1506" t="s">
        <v>40</v>
      </c>
      <c r="U1506">
        <v>26</v>
      </c>
      <c r="W1506">
        <f>Table2[[#This Row],[Quantity]]*Table2[[#This Row],[Item_Price]]</f>
        <v>480</v>
      </c>
    </row>
    <row r="1507" spans="1:23" x14ac:dyDescent="0.25">
      <c r="A1507" t="s">
        <v>1604</v>
      </c>
      <c r="B1507" s="1">
        <v>45768</v>
      </c>
      <c r="C1507" t="s">
        <v>1315</v>
      </c>
      <c r="D1507">
        <v>4</v>
      </c>
      <c r="E1507">
        <v>21</v>
      </c>
      <c r="F1507" t="s">
        <v>168</v>
      </c>
      <c r="G1507" t="s">
        <v>55</v>
      </c>
      <c r="H1507" t="s">
        <v>35</v>
      </c>
      <c r="I1507" t="s">
        <v>85</v>
      </c>
      <c r="J1507" t="s">
        <v>101</v>
      </c>
      <c r="K1507" t="s">
        <v>38</v>
      </c>
      <c r="L1507">
        <v>1</v>
      </c>
      <c r="M1507">
        <v>844</v>
      </c>
      <c r="N1507">
        <v>0</v>
      </c>
      <c r="O1507">
        <v>60</v>
      </c>
      <c r="P1507">
        <v>844</v>
      </c>
      <c r="Q1507">
        <v>904</v>
      </c>
      <c r="R1507" t="s">
        <v>30</v>
      </c>
      <c r="S1507" t="s">
        <v>31</v>
      </c>
      <c r="T1507" t="s">
        <v>40</v>
      </c>
      <c r="U1507">
        <v>42</v>
      </c>
      <c r="V1507">
        <v>4</v>
      </c>
      <c r="W1507">
        <f>Table2[[#This Row],[Quantity]]*Table2[[#This Row],[Item_Price]]</f>
        <v>844</v>
      </c>
    </row>
    <row r="1508" spans="1:23" x14ac:dyDescent="0.25">
      <c r="A1508" t="s">
        <v>1605</v>
      </c>
      <c r="B1508" s="1">
        <v>45768</v>
      </c>
      <c r="C1508" t="s">
        <v>1315</v>
      </c>
      <c r="D1508">
        <v>4</v>
      </c>
      <c r="E1508">
        <v>21</v>
      </c>
      <c r="F1508" t="s">
        <v>168</v>
      </c>
      <c r="G1508" t="s">
        <v>73</v>
      </c>
      <c r="H1508" t="s">
        <v>42</v>
      </c>
      <c r="I1508" t="s">
        <v>103</v>
      </c>
      <c r="J1508" t="s">
        <v>53</v>
      </c>
      <c r="K1508" t="s">
        <v>38</v>
      </c>
      <c r="L1508">
        <v>3</v>
      </c>
      <c r="M1508">
        <v>521</v>
      </c>
      <c r="N1508">
        <v>0</v>
      </c>
      <c r="O1508">
        <v>40</v>
      </c>
      <c r="P1508">
        <v>1563</v>
      </c>
      <c r="Q1508">
        <v>1603</v>
      </c>
      <c r="R1508" t="s">
        <v>39</v>
      </c>
      <c r="S1508" t="s">
        <v>31</v>
      </c>
      <c r="T1508" t="s">
        <v>32</v>
      </c>
      <c r="U1508">
        <v>70</v>
      </c>
      <c r="V1508">
        <v>4.3</v>
      </c>
      <c r="W1508">
        <f>Table2[[#This Row],[Quantity]]*Table2[[#This Row],[Item_Price]]</f>
        <v>1563</v>
      </c>
    </row>
    <row r="1509" spans="1:23" x14ac:dyDescent="0.25">
      <c r="A1509" t="s">
        <v>1606</v>
      </c>
      <c r="B1509" s="1">
        <v>45768</v>
      </c>
      <c r="C1509" t="s">
        <v>1315</v>
      </c>
      <c r="D1509">
        <v>4</v>
      </c>
      <c r="E1509">
        <v>21</v>
      </c>
      <c r="F1509" t="s">
        <v>168</v>
      </c>
      <c r="G1509" t="s">
        <v>55</v>
      </c>
      <c r="H1509" t="s">
        <v>52</v>
      </c>
      <c r="I1509" t="s">
        <v>69</v>
      </c>
      <c r="J1509" t="s">
        <v>82</v>
      </c>
      <c r="K1509" t="s">
        <v>45</v>
      </c>
      <c r="L1509">
        <v>2</v>
      </c>
      <c r="M1509">
        <v>496</v>
      </c>
      <c r="N1509">
        <v>0</v>
      </c>
      <c r="O1509">
        <v>20</v>
      </c>
      <c r="P1509">
        <v>992</v>
      </c>
      <c r="Q1509">
        <v>1012</v>
      </c>
      <c r="R1509" t="s">
        <v>112</v>
      </c>
      <c r="S1509" t="s">
        <v>31</v>
      </c>
      <c r="T1509" t="s">
        <v>32</v>
      </c>
      <c r="U1509">
        <v>38</v>
      </c>
      <c r="V1509">
        <v>3.5</v>
      </c>
      <c r="W1509">
        <f>Table2[[#This Row],[Quantity]]*Table2[[#This Row],[Item_Price]]</f>
        <v>992</v>
      </c>
    </row>
    <row r="1510" spans="1:23" x14ac:dyDescent="0.25">
      <c r="A1510" t="s">
        <v>1607</v>
      </c>
      <c r="B1510" s="1">
        <v>45768</v>
      </c>
      <c r="C1510" t="s">
        <v>1315</v>
      </c>
      <c r="D1510">
        <v>4</v>
      </c>
      <c r="E1510">
        <v>21</v>
      </c>
      <c r="F1510" t="s">
        <v>168</v>
      </c>
      <c r="G1510" t="s">
        <v>115</v>
      </c>
      <c r="H1510" t="s">
        <v>68</v>
      </c>
      <c r="I1510" t="s">
        <v>103</v>
      </c>
      <c r="J1510" t="s">
        <v>123</v>
      </c>
      <c r="K1510" t="s">
        <v>58</v>
      </c>
      <c r="L1510">
        <v>2</v>
      </c>
      <c r="M1510">
        <v>333</v>
      </c>
      <c r="N1510">
        <v>49.95</v>
      </c>
      <c r="O1510">
        <v>30</v>
      </c>
      <c r="P1510">
        <v>666</v>
      </c>
      <c r="Q1510">
        <v>646.04999999999995</v>
      </c>
      <c r="R1510" t="s">
        <v>39</v>
      </c>
      <c r="S1510" t="s">
        <v>31</v>
      </c>
      <c r="T1510" t="s">
        <v>40</v>
      </c>
      <c r="U1510">
        <v>23</v>
      </c>
      <c r="V1510">
        <v>3.8</v>
      </c>
      <c r="W1510">
        <f>Table2[[#This Row],[Quantity]]*Table2[[#This Row],[Item_Price]]</f>
        <v>666</v>
      </c>
    </row>
    <row r="1511" spans="1:23" x14ac:dyDescent="0.25">
      <c r="A1511" t="s">
        <v>1608</v>
      </c>
      <c r="B1511" s="1">
        <v>45768</v>
      </c>
      <c r="C1511" t="s">
        <v>1315</v>
      </c>
      <c r="D1511">
        <v>4</v>
      </c>
      <c r="E1511">
        <v>21</v>
      </c>
      <c r="F1511" t="s">
        <v>168</v>
      </c>
      <c r="G1511" t="s">
        <v>64</v>
      </c>
      <c r="H1511" t="s">
        <v>56</v>
      </c>
      <c r="I1511" t="s">
        <v>97</v>
      </c>
      <c r="J1511" t="s">
        <v>53</v>
      </c>
      <c r="K1511" t="s">
        <v>38</v>
      </c>
      <c r="L1511">
        <v>2</v>
      </c>
      <c r="M1511">
        <v>306</v>
      </c>
      <c r="N1511">
        <v>30.6</v>
      </c>
      <c r="O1511">
        <v>40</v>
      </c>
      <c r="P1511">
        <v>612</v>
      </c>
      <c r="Q1511">
        <v>621.4</v>
      </c>
      <c r="R1511" t="s">
        <v>30</v>
      </c>
      <c r="S1511" t="s">
        <v>31</v>
      </c>
      <c r="T1511" t="s">
        <v>40</v>
      </c>
      <c r="U1511">
        <v>65</v>
      </c>
      <c r="V1511">
        <v>3.5</v>
      </c>
      <c r="W1511">
        <f>Table2[[#This Row],[Quantity]]*Table2[[#This Row],[Item_Price]]</f>
        <v>612</v>
      </c>
    </row>
    <row r="1512" spans="1:23" x14ac:dyDescent="0.25">
      <c r="A1512" t="s">
        <v>1609</v>
      </c>
      <c r="B1512" s="1">
        <v>45769</v>
      </c>
      <c r="C1512" t="s">
        <v>1315</v>
      </c>
      <c r="D1512">
        <v>4</v>
      </c>
      <c r="E1512">
        <v>22</v>
      </c>
      <c r="F1512" t="s">
        <v>178</v>
      </c>
      <c r="G1512" t="s">
        <v>34</v>
      </c>
      <c r="H1512" t="s">
        <v>108</v>
      </c>
      <c r="I1512" t="s">
        <v>69</v>
      </c>
      <c r="J1512" t="s">
        <v>66</v>
      </c>
      <c r="K1512" t="s">
        <v>38</v>
      </c>
      <c r="L1512">
        <v>1</v>
      </c>
      <c r="M1512">
        <v>390</v>
      </c>
      <c r="N1512">
        <v>39</v>
      </c>
      <c r="O1512">
        <v>50</v>
      </c>
      <c r="P1512">
        <v>390</v>
      </c>
      <c r="Q1512">
        <v>401</v>
      </c>
      <c r="R1512" t="s">
        <v>75</v>
      </c>
      <c r="S1512" t="s">
        <v>31</v>
      </c>
      <c r="T1512" t="s">
        <v>40</v>
      </c>
      <c r="U1512">
        <v>54</v>
      </c>
      <c r="V1512">
        <v>3.5</v>
      </c>
      <c r="W1512">
        <f>Table2[[#This Row],[Quantity]]*Table2[[#This Row],[Item_Price]]</f>
        <v>390</v>
      </c>
    </row>
    <row r="1513" spans="1:23" x14ac:dyDescent="0.25">
      <c r="A1513" t="s">
        <v>1610</v>
      </c>
      <c r="B1513" s="1">
        <v>45769</v>
      </c>
      <c r="C1513" t="s">
        <v>1315</v>
      </c>
      <c r="D1513">
        <v>4</v>
      </c>
      <c r="E1513">
        <v>22</v>
      </c>
      <c r="F1513" t="s">
        <v>178</v>
      </c>
      <c r="G1513" t="s">
        <v>80</v>
      </c>
      <c r="H1513" t="s">
        <v>135</v>
      </c>
      <c r="I1513" t="s">
        <v>85</v>
      </c>
      <c r="J1513" t="s">
        <v>123</v>
      </c>
      <c r="K1513" t="s">
        <v>45</v>
      </c>
      <c r="L1513">
        <v>3</v>
      </c>
      <c r="M1513">
        <v>419</v>
      </c>
      <c r="N1513">
        <v>62.85</v>
      </c>
      <c r="O1513">
        <v>30</v>
      </c>
      <c r="P1513">
        <v>1257</v>
      </c>
      <c r="Q1513">
        <v>1224.1500000000001</v>
      </c>
      <c r="R1513" t="s">
        <v>112</v>
      </c>
      <c r="S1513" t="s">
        <v>31</v>
      </c>
      <c r="T1513" t="s">
        <v>32</v>
      </c>
      <c r="U1513">
        <v>65</v>
      </c>
      <c r="V1513">
        <v>4.0999999999999996</v>
      </c>
      <c r="W1513">
        <f>Table2[[#This Row],[Quantity]]*Table2[[#This Row],[Item_Price]]</f>
        <v>1257</v>
      </c>
    </row>
    <row r="1514" spans="1:23" x14ac:dyDescent="0.25">
      <c r="A1514" t="s">
        <v>1611</v>
      </c>
      <c r="B1514" s="1">
        <v>45769</v>
      </c>
      <c r="C1514" t="s">
        <v>1315</v>
      </c>
      <c r="D1514">
        <v>4</v>
      </c>
      <c r="E1514">
        <v>22</v>
      </c>
      <c r="F1514" t="s">
        <v>178</v>
      </c>
      <c r="G1514" t="s">
        <v>64</v>
      </c>
      <c r="H1514" t="s">
        <v>77</v>
      </c>
      <c r="I1514" t="s">
        <v>97</v>
      </c>
      <c r="J1514" t="s">
        <v>66</v>
      </c>
      <c r="K1514" t="s">
        <v>58</v>
      </c>
      <c r="L1514">
        <v>2</v>
      </c>
      <c r="M1514">
        <v>516</v>
      </c>
      <c r="N1514">
        <v>0</v>
      </c>
      <c r="O1514">
        <v>20</v>
      </c>
      <c r="P1514">
        <v>1032</v>
      </c>
      <c r="Q1514">
        <v>1052</v>
      </c>
      <c r="R1514" t="s">
        <v>39</v>
      </c>
      <c r="S1514" t="s">
        <v>31</v>
      </c>
      <c r="T1514" t="s">
        <v>40</v>
      </c>
      <c r="U1514">
        <v>62</v>
      </c>
      <c r="V1514">
        <v>3.2</v>
      </c>
      <c r="W1514">
        <f>Table2[[#This Row],[Quantity]]*Table2[[#This Row],[Item_Price]]</f>
        <v>1032</v>
      </c>
    </row>
    <row r="1515" spans="1:23" x14ac:dyDescent="0.25">
      <c r="A1515" t="s">
        <v>1612</v>
      </c>
      <c r="B1515" s="1">
        <v>45769</v>
      </c>
      <c r="C1515" t="s">
        <v>1315</v>
      </c>
      <c r="D1515">
        <v>4</v>
      </c>
      <c r="E1515">
        <v>22</v>
      </c>
      <c r="F1515" t="s">
        <v>178</v>
      </c>
      <c r="G1515" t="s">
        <v>55</v>
      </c>
      <c r="H1515" t="s">
        <v>26</v>
      </c>
      <c r="I1515" t="s">
        <v>85</v>
      </c>
      <c r="J1515" t="s">
        <v>37</v>
      </c>
      <c r="K1515" t="s">
        <v>38</v>
      </c>
      <c r="L1515">
        <v>1</v>
      </c>
      <c r="M1515">
        <v>557</v>
      </c>
      <c r="N1515">
        <v>55.7</v>
      </c>
      <c r="O1515">
        <v>30</v>
      </c>
      <c r="P1515">
        <v>557</v>
      </c>
      <c r="Q1515">
        <v>531.29999999999995</v>
      </c>
      <c r="R1515" t="s">
        <v>98</v>
      </c>
      <c r="S1515" t="s">
        <v>31</v>
      </c>
      <c r="T1515" t="s">
        <v>32</v>
      </c>
      <c r="U1515">
        <v>36</v>
      </c>
      <c r="V1515">
        <v>4.5</v>
      </c>
      <c r="W1515">
        <f>Table2[[#This Row],[Quantity]]*Table2[[#This Row],[Item_Price]]</f>
        <v>557</v>
      </c>
    </row>
    <row r="1516" spans="1:23" x14ac:dyDescent="0.25">
      <c r="A1516" t="s">
        <v>1613</v>
      </c>
      <c r="B1516" s="1">
        <v>45769</v>
      </c>
      <c r="C1516" t="s">
        <v>1315</v>
      </c>
      <c r="D1516">
        <v>4</v>
      </c>
      <c r="E1516">
        <v>22</v>
      </c>
      <c r="F1516" t="s">
        <v>178</v>
      </c>
      <c r="G1516" t="s">
        <v>25</v>
      </c>
      <c r="H1516" t="s">
        <v>77</v>
      </c>
      <c r="I1516" t="s">
        <v>85</v>
      </c>
      <c r="J1516" t="s">
        <v>66</v>
      </c>
      <c r="K1516" t="s">
        <v>38</v>
      </c>
      <c r="L1516">
        <v>1</v>
      </c>
      <c r="M1516">
        <v>435</v>
      </c>
      <c r="N1516">
        <v>21.75</v>
      </c>
      <c r="O1516">
        <v>20</v>
      </c>
      <c r="P1516">
        <v>435</v>
      </c>
      <c r="Q1516">
        <v>433.25</v>
      </c>
      <c r="R1516" t="s">
        <v>39</v>
      </c>
      <c r="S1516" t="s">
        <v>31</v>
      </c>
      <c r="T1516" t="s">
        <v>40</v>
      </c>
      <c r="U1516">
        <v>38</v>
      </c>
      <c r="V1516">
        <v>3</v>
      </c>
      <c r="W1516">
        <f>Table2[[#This Row],[Quantity]]*Table2[[#This Row],[Item_Price]]</f>
        <v>435</v>
      </c>
    </row>
    <row r="1517" spans="1:23" x14ac:dyDescent="0.25">
      <c r="A1517" t="s">
        <v>1614</v>
      </c>
      <c r="B1517" s="1">
        <v>45769</v>
      </c>
      <c r="C1517" t="s">
        <v>1315</v>
      </c>
      <c r="D1517">
        <v>4</v>
      </c>
      <c r="E1517">
        <v>22</v>
      </c>
      <c r="F1517" t="s">
        <v>178</v>
      </c>
      <c r="G1517" t="s">
        <v>25</v>
      </c>
      <c r="H1517" t="s">
        <v>108</v>
      </c>
      <c r="I1517" t="s">
        <v>57</v>
      </c>
      <c r="J1517" t="s">
        <v>74</v>
      </c>
      <c r="K1517" t="s">
        <v>38</v>
      </c>
      <c r="L1517">
        <v>2</v>
      </c>
      <c r="M1517">
        <v>387</v>
      </c>
      <c r="N1517">
        <v>38.700000000000003</v>
      </c>
      <c r="O1517">
        <v>30</v>
      </c>
      <c r="P1517">
        <v>774</v>
      </c>
      <c r="Q1517">
        <v>765.3</v>
      </c>
      <c r="R1517" t="s">
        <v>112</v>
      </c>
      <c r="S1517" t="s">
        <v>31</v>
      </c>
      <c r="T1517" t="s">
        <v>40</v>
      </c>
      <c r="U1517">
        <v>39</v>
      </c>
      <c r="V1517">
        <v>3.8</v>
      </c>
      <c r="W1517">
        <f>Table2[[#This Row],[Quantity]]*Table2[[#This Row],[Item_Price]]</f>
        <v>774</v>
      </c>
    </row>
    <row r="1518" spans="1:23" x14ac:dyDescent="0.25">
      <c r="A1518" t="s">
        <v>1615</v>
      </c>
      <c r="B1518" s="1">
        <v>45769</v>
      </c>
      <c r="C1518" t="s">
        <v>1315</v>
      </c>
      <c r="D1518">
        <v>4</v>
      </c>
      <c r="E1518">
        <v>22</v>
      </c>
      <c r="F1518" t="s">
        <v>178</v>
      </c>
      <c r="G1518" t="s">
        <v>64</v>
      </c>
      <c r="H1518" t="s">
        <v>42</v>
      </c>
      <c r="I1518" t="s">
        <v>85</v>
      </c>
      <c r="J1518" t="s">
        <v>123</v>
      </c>
      <c r="K1518" t="s">
        <v>38</v>
      </c>
      <c r="L1518">
        <v>2</v>
      </c>
      <c r="M1518">
        <v>812</v>
      </c>
      <c r="N1518">
        <v>203</v>
      </c>
      <c r="O1518">
        <v>30</v>
      </c>
      <c r="P1518">
        <v>1624</v>
      </c>
      <c r="Q1518">
        <v>1451</v>
      </c>
      <c r="R1518" t="s">
        <v>98</v>
      </c>
      <c r="S1518" t="s">
        <v>91</v>
      </c>
      <c r="T1518" t="s">
        <v>40</v>
      </c>
      <c r="U1518">
        <v>48</v>
      </c>
      <c r="W1518">
        <f>Table2[[#This Row],[Quantity]]*Table2[[#This Row],[Item_Price]]</f>
        <v>1624</v>
      </c>
    </row>
    <row r="1519" spans="1:23" x14ac:dyDescent="0.25">
      <c r="A1519" t="s">
        <v>1616</v>
      </c>
      <c r="B1519" s="1">
        <v>45769</v>
      </c>
      <c r="C1519" t="s">
        <v>1315</v>
      </c>
      <c r="D1519">
        <v>4</v>
      </c>
      <c r="E1519">
        <v>22</v>
      </c>
      <c r="F1519" t="s">
        <v>178</v>
      </c>
      <c r="G1519" t="s">
        <v>96</v>
      </c>
      <c r="H1519" t="s">
        <v>26</v>
      </c>
      <c r="I1519" t="s">
        <v>49</v>
      </c>
      <c r="J1519" t="s">
        <v>82</v>
      </c>
      <c r="K1519" t="s">
        <v>38</v>
      </c>
      <c r="L1519">
        <v>1</v>
      </c>
      <c r="M1519">
        <v>516</v>
      </c>
      <c r="N1519">
        <v>77.400000000000006</v>
      </c>
      <c r="O1519">
        <v>50</v>
      </c>
      <c r="P1519">
        <v>516</v>
      </c>
      <c r="Q1519">
        <v>488.6</v>
      </c>
      <c r="R1519" t="s">
        <v>39</v>
      </c>
      <c r="S1519" t="s">
        <v>31</v>
      </c>
      <c r="T1519" t="s">
        <v>40</v>
      </c>
      <c r="U1519">
        <v>46</v>
      </c>
      <c r="V1519">
        <v>3.7</v>
      </c>
      <c r="W1519">
        <f>Table2[[#This Row],[Quantity]]*Table2[[#This Row],[Item_Price]]</f>
        <v>516</v>
      </c>
    </row>
    <row r="1520" spans="1:23" x14ac:dyDescent="0.25">
      <c r="A1520" t="s">
        <v>1617</v>
      </c>
      <c r="B1520" s="1">
        <v>45769</v>
      </c>
      <c r="C1520" t="s">
        <v>1315</v>
      </c>
      <c r="D1520">
        <v>4</v>
      </c>
      <c r="E1520">
        <v>22</v>
      </c>
      <c r="F1520" t="s">
        <v>178</v>
      </c>
      <c r="G1520" t="s">
        <v>84</v>
      </c>
      <c r="H1520" t="s">
        <v>105</v>
      </c>
      <c r="I1520" t="s">
        <v>61</v>
      </c>
      <c r="J1520" t="s">
        <v>53</v>
      </c>
      <c r="K1520" t="s">
        <v>38</v>
      </c>
      <c r="L1520">
        <v>1</v>
      </c>
      <c r="M1520">
        <v>294</v>
      </c>
      <c r="N1520">
        <v>0</v>
      </c>
      <c r="O1520">
        <v>30</v>
      </c>
      <c r="P1520">
        <v>294</v>
      </c>
      <c r="Q1520">
        <v>324</v>
      </c>
      <c r="R1520" t="s">
        <v>30</v>
      </c>
      <c r="S1520" t="s">
        <v>31</v>
      </c>
      <c r="T1520" t="s">
        <v>40</v>
      </c>
      <c r="U1520">
        <v>45</v>
      </c>
      <c r="V1520">
        <v>3.7</v>
      </c>
      <c r="W1520">
        <f>Table2[[#This Row],[Quantity]]*Table2[[#This Row],[Item_Price]]</f>
        <v>294</v>
      </c>
    </row>
    <row r="1521" spans="1:23" x14ac:dyDescent="0.25">
      <c r="A1521" t="s">
        <v>1618</v>
      </c>
      <c r="B1521" s="1">
        <v>45769</v>
      </c>
      <c r="C1521" t="s">
        <v>1315</v>
      </c>
      <c r="D1521">
        <v>4</v>
      </c>
      <c r="E1521">
        <v>22</v>
      </c>
      <c r="F1521" t="s">
        <v>178</v>
      </c>
      <c r="G1521" t="s">
        <v>34</v>
      </c>
      <c r="H1521" t="s">
        <v>108</v>
      </c>
      <c r="I1521" t="s">
        <v>97</v>
      </c>
      <c r="J1521" t="s">
        <v>78</v>
      </c>
      <c r="K1521" t="s">
        <v>58</v>
      </c>
      <c r="L1521">
        <v>3</v>
      </c>
      <c r="M1521">
        <v>503</v>
      </c>
      <c r="N1521">
        <v>50.3</v>
      </c>
      <c r="O1521">
        <v>20</v>
      </c>
      <c r="P1521">
        <v>1509</v>
      </c>
      <c r="Q1521">
        <v>1478.7</v>
      </c>
      <c r="R1521" t="s">
        <v>75</v>
      </c>
      <c r="S1521" t="s">
        <v>31</v>
      </c>
      <c r="T1521" t="s">
        <v>40</v>
      </c>
      <c r="U1521">
        <v>37</v>
      </c>
      <c r="V1521">
        <v>4.4000000000000004</v>
      </c>
      <c r="W1521">
        <f>Table2[[#This Row],[Quantity]]*Table2[[#This Row],[Item_Price]]</f>
        <v>1509</v>
      </c>
    </row>
    <row r="1522" spans="1:23" x14ac:dyDescent="0.25">
      <c r="A1522" t="s">
        <v>1619</v>
      </c>
      <c r="B1522" s="1">
        <v>45769</v>
      </c>
      <c r="C1522" t="s">
        <v>1315</v>
      </c>
      <c r="D1522">
        <v>4</v>
      </c>
      <c r="E1522">
        <v>22</v>
      </c>
      <c r="F1522" t="s">
        <v>178</v>
      </c>
      <c r="G1522" t="s">
        <v>90</v>
      </c>
      <c r="H1522" t="s">
        <v>26</v>
      </c>
      <c r="I1522" t="s">
        <v>43</v>
      </c>
      <c r="J1522" t="s">
        <v>37</v>
      </c>
      <c r="K1522" t="s">
        <v>38</v>
      </c>
      <c r="L1522">
        <v>1</v>
      </c>
      <c r="M1522">
        <v>738</v>
      </c>
      <c r="N1522">
        <v>147.6</v>
      </c>
      <c r="O1522">
        <v>60</v>
      </c>
      <c r="P1522">
        <v>738</v>
      </c>
      <c r="Q1522">
        <v>650.4</v>
      </c>
      <c r="R1522" t="s">
        <v>30</v>
      </c>
      <c r="S1522" t="s">
        <v>31</v>
      </c>
      <c r="T1522" t="s">
        <v>32</v>
      </c>
      <c r="U1522">
        <v>32</v>
      </c>
      <c r="V1522">
        <v>3.3</v>
      </c>
      <c r="W1522">
        <f>Table2[[#This Row],[Quantity]]*Table2[[#This Row],[Item_Price]]</f>
        <v>738</v>
      </c>
    </row>
    <row r="1523" spans="1:23" x14ac:dyDescent="0.25">
      <c r="A1523" t="s">
        <v>1620</v>
      </c>
      <c r="B1523" s="1">
        <v>45769</v>
      </c>
      <c r="C1523" t="s">
        <v>1315</v>
      </c>
      <c r="D1523">
        <v>4</v>
      </c>
      <c r="E1523">
        <v>22</v>
      </c>
      <c r="F1523" t="s">
        <v>178</v>
      </c>
      <c r="G1523" t="s">
        <v>25</v>
      </c>
      <c r="H1523" t="s">
        <v>139</v>
      </c>
      <c r="I1523" t="s">
        <v>61</v>
      </c>
      <c r="J1523" t="s">
        <v>78</v>
      </c>
      <c r="K1523" t="s">
        <v>58</v>
      </c>
      <c r="L1523">
        <v>1</v>
      </c>
      <c r="M1523">
        <v>870</v>
      </c>
      <c r="N1523">
        <v>217.5</v>
      </c>
      <c r="O1523">
        <v>70</v>
      </c>
      <c r="P1523">
        <v>870</v>
      </c>
      <c r="Q1523">
        <v>722.5</v>
      </c>
      <c r="R1523" t="s">
        <v>39</v>
      </c>
      <c r="S1523" t="s">
        <v>31</v>
      </c>
      <c r="T1523" t="s">
        <v>40</v>
      </c>
      <c r="U1523">
        <v>52</v>
      </c>
      <c r="V1523">
        <v>4.0999999999999996</v>
      </c>
      <c r="W1523">
        <f>Table2[[#This Row],[Quantity]]*Table2[[#This Row],[Item_Price]]</f>
        <v>870</v>
      </c>
    </row>
    <row r="1524" spans="1:23" x14ac:dyDescent="0.25">
      <c r="A1524" t="s">
        <v>1621</v>
      </c>
      <c r="B1524" s="1">
        <v>45769</v>
      </c>
      <c r="C1524" t="s">
        <v>1315</v>
      </c>
      <c r="D1524">
        <v>4</v>
      </c>
      <c r="E1524">
        <v>22</v>
      </c>
      <c r="F1524" t="s">
        <v>178</v>
      </c>
      <c r="G1524" t="s">
        <v>34</v>
      </c>
      <c r="H1524" t="s">
        <v>81</v>
      </c>
      <c r="I1524" t="s">
        <v>57</v>
      </c>
      <c r="J1524" t="s">
        <v>37</v>
      </c>
      <c r="K1524" t="s">
        <v>45</v>
      </c>
      <c r="L1524">
        <v>1</v>
      </c>
      <c r="M1524">
        <v>838</v>
      </c>
      <c r="N1524">
        <v>41.9</v>
      </c>
      <c r="O1524">
        <v>40</v>
      </c>
      <c r="P1524">
        <v>838</v>
      </c>
      <c r="Q1524">
        <v>836.1</v>
      </c>
      <c r="R1524" t="s">
        <v>75</v>
      </c>
      <c r="S1524" t="s">
        <v>110</v>
      </c>
      <c r="T1524" t="s">
        <v>40</v>
      </c>
      <c r="U1524">
        <v>40</v>
      </c>
      <c r="W1524">
        <f>Table2[[#This Row],[Quantity]]*Table2[[#This Row],[Item_Price]]</f>
        <v>838</v>
      </c>
    </row>
    <row r="1525" spans="1:23" x14ac:dyDescent="0.25">
      <c r="A1525" t="s">
        <v>1622</v>
      </c>
      <c r="B1525" s="1">
        <v>45770</v>
      </c>
      <c r="C1525" t="s">
        <v>1315</v>
      </c>
      <c r="D1525">
        <v>4</v>
      </c>
      <c r="E1525">
        <v>23</v>
      </c>
      <c r="F1525" t="s">
        <v>24</v>
      </c>
      <c r="G1525" t="s">
        <v>34</v>
      </c>
      <c r="H1525" t="s">
        <v>52</v>
      </c>
      <c r="I1525" t="s">
        <v>49</v>
      </c>
      <c r="J1525" t="s">
        <v>50</v>
      </c>
      <c r="K1525" t="s">
        <v>38</v>
      </c>
      <c r="L1525">
        <v>2</v>
      </c>
      <c r="M1525">
        <v>469</v>
      </c>
      <c r="N1525">
        <v>70.349999999999994</v>
      </c>
      <c r="O1525">
        <v>50</v>
      </c>
      <c r="P1525">
        <v>938</v>
      </c>
      <c r="Q1525">
        <v>917.65</v>
      </c>
      <c r="R1525" t="s">
        <v>39</v>
      </c>
      <c r="S1525" t="s">
        <v>31</v>
      </c>
      <c r="T1525" t="s">
        <v>40</v>
      </c>
      <c r="U1525">
        <v>60</v>
      </c>
      <c r="V1525">
        <v>5</v>
      </c>
      <c r="W1525">
        <f>Table2[[#This Row],[Quantity]]*Table2[[#This Row],[Item_Price]]</f>
        <v>938</v>
      </c>
    </row>
    <row r="1526" spans="1:23" x14ac:dyDescent="0.25">
      <c r="A1526" t="s">
        <v>1623</v>
      </c>
      <c r="B1526" s="1">
        <v>45770</v>
      </c>
      <c r="C1526" t="s">
        <v>1315</v>
      </c>
      <c r="D1526">
        <v>4</v>
      </c>
      <c r="E1526">
        <v>23</v>
      </c>
      <c r="F1526" t="s">
        <v>24</v>
      </c>
      <c r="G1526" t="s">
        <v>64</v>
      </c>
      <c r="H1526" t="s">
        <v>139</v>
      </c>
      <c r="I1526" t="s">
        <v>27</v>
      </c>
      <c r="J1526" t="s">
        <v>94</v>
      </c>
      <c r="K1526" t="s">
        <v>38</v>
      </c>
      <c r="L1526">
        <v>2</v>
      </c>
      <c r="M1526">
        <v>321</v>
      </c>
      <c r="N1526">
        <v>32.1</v>
      </c>
      <c r="O1526">
        <v>30</v>
      </c>
      <c r="P1526">
        <v>642</v>
      </c>
      <c r="Q1526">
        <v>639.9</v>
      </c>
      <c r="R1526" t="s">
        <v>98</v>
      </c>
      <c r="S1526" t="s">
        <v>31</v>
      </c>
      <c r="T1526" t="s">
        <v>40</v>
      </c>
      <c r="U1526">
        <v>44</v>
      </c>
      <c r="V1526">
        <v>3.7</v>
      </c>
      <c r="W1526">
        <f>Table2[[#This Row],[Quantity]]*Table2[[#This Row],[Item_Price]]</f>
        <v>642</v>
      </c>
    </row>
    <row r="1527" spans="1:23" x14ac:dyDescent="0.25">
      <c r="A1527" t="s">
        <v>1624</v>
      </c>
      <c r="B1527" s="1">
        <v>45770</v>
      </c>
      <c r="C1527" t="s">
        <v>1315</v>
      </c>
      <c r="D1527">
        <v>4</v>
      </c>
      <c r="E1527">
        <v>23</v>
      </c>
      <c r="F1527" t="s">
        <v>24</v>
      </c>
      <c r="G1527" t="s">
        <v>34</v>
      </c>
      <c r="H1527" t="s">
        <v>108</v>
      </c>
      <c r="I1527" t="s">
        <v>103</v>
      </c>
      <c r="J1527" t="s">
        <v>94</v>
      </c>
      <c r="K1527" t="s">
        <v>45</v>
      </c>
      <c r="L1527">
        <v>1</v>
      </c>
      <c r="M1527">
        <v>737</v>
      </c>
      <c r="N1527">
        <v>0</v>
      </c>
      <c r="O1527">
        <v>70</v>
      </c>
      <c r="P1527">
        <v>737</v>
      </c>
      <c r="Q1527">
        <v>807</v>
      </c>
      <c r="R1527" t="s">
        <v>75</v>
      </c>
      <c r="S1527" t="s">
        <v>31</v>
      </c>
      <c r="T1527" t="s">
        <v>32</v>
      </c>
      <c r="U1527">
        <v>68</v>
      </c>
      <c r="V1527">
        <v>3</v>
      </c>
      <c r="W1527">
        <f>Table2[[#This Row],[Quantity]]*Table2[[#This Row],[Item_Price]]</f>
        <v>737</v>
      </c>
    </row>
    <row r="1528" spans="1:23" x14ac:dyDescent="0.25">
      <c r="A1528" t="s">
        <v>1625</v>
      </c>
      <c r="B1528" s="1">
        <v>45770</v>
      </c>
      <c r="C1528" t="s">
        <v>1315</v>
      </c>
      <c r="D1528">
        <v>4</v>
      </c>
      <c r="E1528">
        <v>23</v>
      </c>
      <c r="F1528" t="s">
        <v>24</v>
      </c>
      <c r="G1528" t="s">
        <v>34</v>
      </c>
      <c r="H1528" t="s">
        <v>105</v>
      </c>
      <c r="I1528" t="s">
        <v>36</v>
      </c>
      <c r="J1528" t="s">
        <v>78</v>
      </c>
      <c r="K1528" t="s">
        <v>38</v>
      </c>
      <c r="L1528">
        <v>1</v>
      </c>
      <c r="M1528">
        <v>864</v>
      </c>
      <c r="N1528">
        <v>0</v>
      </c>
      <c r="O1528">
        <v>30</v>
      </c>
      <c r="P1528">
        <v>864</v>
      </c>
      <c r="Q1528">
        <v>894</v>
      </c>
      <c r="R1528" t="s">
        <v>39</v>
      </c>
      <c r="S1528" t="s">
        <v>91</v>
      </c>
      <c r="T1528" t="s">
        <v>40</v>
      </c>
      <c r="U1528">
        <v>34</v>
      </c>
      <c r="W1528">
        <f>Table2[[#This Row],[Quantity]]*Table2[[#This Row],[Item_Price]]</f>
        <v>864</v>
      </c>
    </row>
    <row r="1529" spans="1:23" x14ac:dyDescent="0.25">
      <c r="A1529" t="s">
        <v>1626</v>
      </c>
      <c r="B1529" s="1">
        <v>45770</v>
      </c>
      <c r="C1529" t="s">
        <v>1315</v>
      </c>
      <c r="D1529">
        <v>4</v>
      </c>
      <c r="E1529">
        <v>23</v>
      </c>
      <c r="F1529" t="s">
        <v>24</v>
      </c>
      <c r="G1529" t="s">
        <v>80</v>
      </c>
      <c r="H1529" t="s">
        <v>139</v>
      </c>
      <c r="I1529" t="s">
        <v>97</v>
      </c>
      <c r="J1529" t="s">
        <v>70</v>
      </c>
      <c r="K1529" t="s">
        <v>38</v>
      </c>
      <c r="L1529">
        <v>2</v>
      </c>
      <c r="M1529">
        <v>356</v>
      </c>
      <c r="N1529">
        <v>53.4</v>
      </c>
      <c r="O1529">
        <v>30</v>
      </c>
      <c r="P1529">
        <v>712</v>
      </c>
      <c r="Q1529">
        <v>688.6</v>
      </c>
      <c r="R1529" t="s">
        <v>98</v>
      </c>
      <c r="S1529" t="s">
        <v>110</v>
      </c>
      <c r="T1529" t="s">
        <v>32</v>
      </c>
      <c r="U1529">
        <v>33</v>
      </c>
      <c r="W1529">
        <f>Table2[[#This Row],[Quantity]]*Table2[[#This Row],[Item_Price]]</f>
        <v>712</v>
      </c>
    </row>
    <row r="1530" spans="1:23" x14ac:dyDescent="0.25">
      <c r="A1530" t="s">
        <v>1627</v>
      </c>
      <c r="B1530" s="1">
        <v>45770</v>
      </c>
      <c r="C1530" t="s">
        <v>1315</v>
      </c>
      <c r="D1530">
        <v>4</v>
      </c>
      <c r="E1530">
        <v>23</v>
      </c>
      <c r="F1530" t="s">
        <v>24</v>
      </c>
      <c r="G1530" t="s">
        <v>73</v>
      </c>
      <c r="H1530" t="s">
        <v>26</v>
      </c>
      <c r="I1530" t="s">
        <v>36</v>
      </c>
      <c r="J1530" t="s">
        <v>101</v>
      </c>
      <c r="K1530" t="s">
        <v>58</v>
      </c>
      <c r="L1530">
        <v>3</v>
      </c>
      <c r="M1530">
        <v>860</v>
      </c>
      <c r="N1530">
        <v>86</v>
      </c>
      <c r="O1530">
        <v>50</v>
      </c>
      <c r="P1530">
        <v>2580</v>
      </c>
      <c r="Q1530">
        <v>2544</v>
      </c>
      <c r="R1530" t="s">
        <v>39</v>
      </c>
      <c r="S1530" t="s">
        <v>31</v>
      </c>
      <c r="T1530" t="s">
        <v>40</v>
      </c>
      <c r="U1530">
        <v>22</v>
      </c>
      <c r="V1530">
        <v>4</v>
      </c>
      <c r="W1530">
        <f>Table2[[#This Row],[Quantity]]*Table2[[#This Row],[Item_Price]]</f>
        <v>2580</v>
      </c>
    </row>
    <row r="1531" spans="1:23" x14ac:dyDescent="0.25">
      <c r="A1531" t="s">
        <v>1628</v>
      </c>
      <c r="B1531" s="1">
        <v>45770</v>
      </c>
      <c r="C1531" t="s">
        <v>1315</v>
      </c>
      <c r="D1531">
        <v>4</v>
      </c>
      <c r="E1531">
        <v>23</v>
      </c>
      <c r="F1531" t="s">
        <v>24</v>
      </c>
      <c r="G1531" t="s">
        <v>25</v>
      </c>
      <c r="H1531" t="s">
        <v>42</v>
      </c>
      <c r="I1531" t="s">
        <v>103</v>
      </c>
      <c r="J1531" t="s">
        <v>74</v>
      </c>
      <c r="K1531" t="s">
        <v>38</v>
      </c>
      <c r="L1531">
        <v>1</v>
      </c>
      <c r="M1531">
        <v>437</v>
      </c>
      <c r="N1531">
        <v>0</v>
      </c>
      <c r="O1531">
        <v>20</v>
      </c>
      <c r="P1531">
        <v>437</v>
      </c>
      <c r="Q1531">
        <v>457</v>
      </c>
      <c r="R1531" t="s">
        <v>39</v>
      </c>
      <c r="S1531" t="s">
        <v>31</v>
      </c>
      <c r="T1531" t="s">
        <v>40</v>
      </c>
      <c r="U1531">
        <v>27</v>
      </c>
      <c r="V1531">
        <v>3.5</v>
      </c>
      <c r="W1531">
        <f>Table2[[#This Row],[Quantity]]*Table2[[#This Row],[Item_Price]]</f>
        <v>437</v>
      </c>
    </row>
    <row r="1532" spans="1:23" x14ac:dyDescent="0.25">
      <c r="A1532" t="s">
        <v>1629</v>
      </c>
      <c r="B1532" s="1">
        <v>45770</v>
      </c>
      <c r="C1532" t="s">
        <v>1315</v>
      </c>
      <c r="D1532">
        <v>4</v>
      </c>
      <c r="E1532">
        <v>23</v>
      </c>
      <c r="F1532" t="s">
        <v>24</v>
      </c>
      <c r="G1532" t="s">
        <v>25</v>
      </c>
      <c r="H1532" t="s">
        <v>135</v>
      </c>
      <c r="I1532" t="s">
        <v>57</v>
      </c>
      <c r="J1532" t="s">
        <v>78</v>
      </c>
      <c r="K1532" t="s">
        <v>45</v>
      </c>
      <c r="L1532">
        <v>2</v>
      </c>
      <c r="M1532">
        <v>200</v>
      </c>
      <c r="N1532">
        <v>0</v>
      </c>
      <c r="O1532">
        <v>50</v>
      </c>
      <c r="P1532">
        <v>400</v>
      </c>
      <c r="Q1532">
        <v>450</v>
      </c>
      <c r="R1532" t="s">
        <v>39</v>
      </c>
      <c r="S1532" t="s">
        <v>31</v>
      </c>
      <c r="T1532" t="s">
        <v>40</v>
      </c>
      <c r="U1532">
        <v>64</v>
      </c>
      <c r="V1532">
        <v>4.5999999999999996</v>
      </c>
      <c r="W1532">
        <f>Table2[[#This Row],[Quantity]]*Table2[[#This Row],[Item_Price]]</f>
        <v>400</v>
      </c>
    </row>
    <row r="1533" spans="1:23" x14ac:dyDescent="0.25">
      <c r="A1533" t="s">
        <v>1630</v>
      </c>
      <c r="B1533" s="1">
        <v>45770</v>
      </c>
      <c r="C1533" t="s">
        <v>1315</v>
      </c>
      <c r="D1533">
        <v>4</v>
      </c>
      <c r="E1533">
        <v>23</v>
      </c>
      <c r="F1533" t="s">
        <v>24</v>
      </c>
      <c r="G1533" t="s">
        <v>90</v>
      </c>
      <c r="H1533" t="s">
        <v>48</v>
      </c>
      <c r="I1533" t="s">
        <v>85</v>
      </c>
      <c r="J1533" t="s">
        <v>78</v>
      </c>
      <c r="K1533" t="s">
        <v>29</v>
      </c>
      <c r="L1533">
        <v>2</v>
      </c>
      <c r="M1533">
        <v>466</v>
      </c>
      <c r="N1533">
        <v>23.3</v>
      </c>
      <c r="O1533">
        <v>70</v>
      </c>
      <c r="P1533">
        <v>932</v>
      </c>
      <c r="Q1533">
        <v>978.7</v>
      </c>
      <c r="R1533" t="s">
        <v>75</v>
      </c>
      <c r="S1533" t="s">
        <v>31</v>
      </c>
      <c r="T1533" t="s">
        <v>40</v>
      </c>
      <c r="U1533">
        <v>22</v>
      </c>
      <c r="V1533">
        <v>3.5</v>
      </c>
      <c r="W1533">
        <f>Table2[[#This Row],[Quantity]]*Table2[[#This Row],[Item_Price]]</f>
        <v>932</v>
      </c>
    </row>
    <row r="1534" spans="1:23" x14ac:dyDescent="0.25">
      <c r="A1534" t="s">
        <v>1631</v>
      </c>
      <c r="B1534" s="1">
        <v>45770</v>
      </c>
      <c r="C1534" t="s">
        <v>1315</v>
      </c>
      <c r="D1534">
        <v>4</v>
      </c>
      <c r="E1534">
        <v>23</v>
      </c>
      <c r="F1534" t="s">
        <v>24</v>
      </c>
      <c r="G1534" t="s">
        <v>55</v>
      </c>
      <c r="H1534" t="s">
        <v>105</v>
      </c>
      <c r="I1534" t="s">
        <v>57</v>
      </c>
      <c r="J1534" t="s">
        <v>66</v>
      </c>
      <c r="K1534" t="s">
        <v>58</v>
      </c>
      <c r="L1534">
        <v>1</v>
      </c>
      <c r="M1534">
        <v>774</v>
      </c>
      <c r="N1534">
        <v>0</v>
      </c>
      <c r="O1534">
        <v>20</v>
      </c>
      <c r="P1534">
        <v>774</v>
      </c>
      <c r="Q1534">
        <v>794</v>
      </c>
      <c r="R1534" t="s">
        <v>39</v>
      </c>
      <c r="S1534" t="s">
        <v>31</v>
      </c>
      <c r="T1534" t="s">
        <v>32</v>
      </c>
      <c r="U1534">
        <v>31</v>
      </c>
      <c r="V1534">
        <v>4.0999999999999996</v>
      </c>
      <c r="W1534">
        <f>Table2[[#This Row],[Quantity]]*Table2[[#This Row],[Item_Price]]</f>
        <v>774</v>
      </c>
    </row>
    <row r="1535" spans="1:23" x14ac:dyDescent="0.25">
      <c r="A1535" t="s">
        <v>1632</v>
      </c>
      <c r="B1535" s="1">
        <v>45770</v>
      </c>
      <c r="C1535" t="s">
        <v>1315</v>
      </c>
      <c r="D1535">
        <v>4</v>
      </c>
      <c r="E1535">
        <v>23</v>
      </c>
      <c r="F1535" t="s">
        <v>24</v>
      </c>
      <c r="G1535" t="s">
        <v>84</v>
      </c>
      <c r="H1535" t="s">
        <v>42</v>
      </c>
      <c r="I1535" t="s">
        <v>49</v>
      </c>
      <c r="J1535" t="s">
        <v>82</v>
      </c>
      <c r="K1535" t="s">
        <v>45</v>
      </c>
      <c r="L1535">
        <v>3</v>
      </c>
      <c r="M1535">
        <v>427</v>
      </c>
      <c r="N1535">
        <v>21.35</v>
      </c>
      <c r="O1535">
        <v>40</v>
      </c>
      <c r="P1535">
        <v>1281</v>
      </c>
      <c r="Q1535">
        <v>1299.6500000000001</v>
      </c>
      <c r="R1535" t="s">
        <v>39</v>
      </c>
      <c r="S1535" t="s">
        <v>31</v>
      </c>
      <c r="T1535" t="s">
        <v>40</v>
      </c>
      <c r="U1535">
        <v>30</v>
      </c>
      <c r="V1535">
        <v>3.9</v>
      </c>
      <c r="W1535">
        <f>Table2[[#This Row],[Quantity]]*Table2[[#This Row],[Item_Price]]</f>
        <v>1281</v>
      </c>
    </row>
    <row r="1536" spans="1:23" x14ac:dyDescent="0.25">
      <c r="A1536" t="s">
        <v>1633</v>
      </c>
      <c r="B1536" s="1">
        <v>45770</v>
      </c>
      <c r="C1536" t="s">
        <v>1315</v>
      </c>
      <c r="D1536">
        <v>4</v>
      </c>
      <c r="E1536">
        <v>23</v>
      </c>
      <c r="F1536" t="s">
        <v>24</v>
      </c>
      <c r="G1536" t="s">
        <v>90</v>
      </c>
      <c r="H1536" t="s">
        <v>48</v>
      </c>
      <c r="I1536" t="s">
        <v>49</v>
      </c>
      <c r="J1536" t="s">
        <v>172</v>
      </c>
      <c r="K1536" t="s">
        <v>38</v>
      </c>
      <c r="L1536">
        <v>1</v>
      </c>
      <c r="M1536">
        <v>190</v>
      </c>
      <c r="N1536">
        <v>19</v>
      </c>
      <c r="O1536">
        <v>30</v>
      </c>
      <c r="P1536">
        <v>190</v>
      </c>
      <c r="Q1536">
        <v>201</v>
      </c>
      <c r="R1536" t="s">
        <v>30</v>
      </c>
      <c r="S1536" t="s">
        <v>46</v>
      </c>
      <c r="T1536" t="s">
        <v>32</v>
      </c>
      <c r="U1536">
        <v>56</v>
      </c>
      <c r="W1536">
        <f>Table2[[#This Row],[Quantity]]*Table2[[#This Row],[Item_Price]]</f>
        <v>190</v>
      </c>
    </row>
    <row r="1537" spans="1:23" x14ac:dyDescent="0.25">
      <c r="A1537" t="s">
        <v>1634</v>
      </c>
      <c r="B1537" s="1">
        <v>45770</v>
      </c>
      <c r="C1537" t="s">
        <v>1315</v>
      </c>
      <c r="D1537">
        <v>4</v>
      </c>
      <c r="E1537">
        <v>23</v>
      </c>
      <c r="F1537" t="s">
        <v>24</v>
      </c>
      <c r="G1537" t="s">
        <v>25</v>
      </c>
      <c r="H1537" t="s">
        <v>35</v>
      </c>
      <c r="I1537" t="s">
        <v>69</v>
      </c>
      <c r="J1537" t="s">
        <v>172</v>
      </c>
      <c r="K1537" t="s">
        <v>29</v>
      </c>
      <c r="L1537">
        <v>3</v>
      </c>
      <c r="M1537">
        <v>442</v>
      </c>
      <c r="N1537">
        <v>88.4</v>
      </c>
      <c r="O1537">
        <v>40</v>
      </c>
      <c r="P1537">
        <v>1326</v>
      </c>
      <c r="Q1537">
        <v>1277.5999999999999</v>
      </c>
      <c r="R1537" t="s">
        <v>39</v>
      </c>
      <c r="S1537" t="s">
        <v>31</v>
      </c>
      <c r="T1537" t="s">
        <v>40</v>
      </c>
      <c r="U1537">
        <v>48</v>
      </c>
      <c r="V1537">
        <v>5</v>
      </c>
      <c r="W1537">
        <f>Table2[[#This Row],[Quantity]]*Table2[[#This Row],[Item_Price]]</f>
        <v>1326</v>
      </c>
    </row>
    <row r="1538" spans="1:23" x14ac:dyDescent="0.25">
      <c r="A1538" t="s">
        <v>1635</v>
      </c>
      <c r="B1538" s="1">
        <v>45770</v>
      </c>
      <c r="C1538" t="s">
        <v>1315</v>
      </c>
      <c r="D1538">
        <v>4</v>
      </c>
      <c r="E1538">
        <v>23</v>
      </c>
      <c r="F1538" t="s">
        <v>24</v>
      </c>
      <c r="G1538" t="s">
        <v>115</v>
      </c>
      <c r="H1538" t="s">
        <v>48</v>
      </c>
      <c r="I1538" t="s">
        <v>57</v>
      </c>
      <c r="J1538" t="s">
        <v>172</v>
      </c>
      <c r="K1538" t="s">
        <v>45</v>
      </c>
      <c r="L1538">
        <v>1</v>
      </c>
      <c r="M1538">
        <v>141</v>
      </c>
      <c r="N1538">
        <v>28.2</v>
      </c>
      <c r="O1538">
        <v>60</v>
      </c>
      <c r="P1538">
        <v>141</v>
      </c>
      <c r="Q1538">
        <v>172.8</v>
      </c>
      <c r="R1538" t="s">
        <v>112</v>
      </c>
      <c r="S1538" t="s">
        <v>46</v>
      </c>
      <c r="T1538" t="s">
        <v>40</v>
      </c>
      <c r="U1538">
        <v>67</v>
      </c>
      <c r="W1538">
        <f>Table2[[#This Row],[Quantity]]*Table2[[#This Row],[Item_Price]]</f>
        <v>141</v>
      </c>
    </row>
    <row r="1539" spans="1:23" x14ac:dyDescent="0.25">
      <c r="A1539" t="s">
        <v>1636</v>
      </c>
      <c r="B1539" s="1">
        <v>45770</v>
      </c>
      <c r="C1539" t="s">
        <v>1315</v>
      </c>
      <c r="D1539">
        <v>4</v>
      </c>
      <c r="E1539">
        <v>23</v>
      </c>
      <c r="F1539" t="s">
        <v>24</v>
      </c>
      <c r="G1539" t="s">
        <v>80</v>
      </c>
      <c r="H1539" t="s">
        <v>60</v>
      </c>
      <c r="I1539" t="s">
        <v>103</v>
      </c>
      <c r="J1539" t="s">
        <v>101</v>
      </c>
      <c r="K1539" t="s">
        <v>38</v>
      </c>
      <c r="L1539">
        <v>1</v>
      </c>
      <c r="M1539">
        <v>153</v>
      </c>
      <c r="N1539">
        <v>15.3</v>
      </c>
      <c r="O1539">
        <v>50</v>
      </c>
      <c r="P1539">
        <v>153</v>
      </c>
      <c r="Q1539">
        <v>187.7</v>
      </c>
      <c r="R1539" t="s">
        <v>39</v>
      </c>
      <c r="S1539" t="s">
        <v>31</v>
      </c>
      <c r="T1539" t="s">
        <v>40</v>
      </c>
      <c r="U1539">
        <v>28</v>
      </c>
      <c r="V1539">
        <v>3.8</v>
      </c>
      <c r="W1539">
        <f>Table2[[#This Row],[Quantity]]*Table2[[#This Row],[Item_Price]]</f>
        <v>153</v>
      </c>
    </row>
    <row r="1540" spans="1:23" x14ac:dyDescent="0.25">
      <c r="A1540" t="s">
        <v>1637</v>
      </c>
      <c r="B1540" s="1">
        <v>45770</v>
      </c>
      <c r="C1540" t="s">
        <v>1315</v>
      </c>
      <c r="D1540">
        <v>4</v>
      </c>
      <c r="E1540">
        <v>23</v>
      </c>
      <c r="F1540" t="s">
        <v>24</v>
      </c>
      <c r="G1540" t="s">
        <v>64</v>
      </c>
      <c r="H1540" t="s">
        <v>42</v>
      </c>
      <c r="I1540" t="s">
        <v>61</v>
      </c>
      <c r="J1540" t="s">
        <v>172</v>
      </c>
      <c r="K1540" t="s">
        <v>29</v>
      </c>
      <c r="L1540">
        <v>1</v>
      </c>
      <c r="M1540">
        <v>511</v>
      </c>
      <c r="N1540">
        <v>0</v>
      </c>
      <c r="O1540">
        <v>0</v>
      </c>
      <c r="P1540">
        <v>511</v>
      </c>
      <c r="Q1540">
        <v>511</v>
      </c>
      <c r="R1540" t="s">
        <v>39</v>
      </c>
      <c r="S1540" t="s">
        <v>31</v>
      </c>
      <c r="T1540" t="s">
        <v>32</v>
      </c>
      <c r="U1540">
        <v>69</v>
      </c>
      <c r="V1540">
        <v>4.5999999999999996</v>
      </c>
      <c r="W1540">
        <f>Table2[[#This Row],[Quantity]]*Table2[[#This Row],[Item_Price]]</f>
        <v>511</v>
      </c>
    </row>
    <row r="1541" spans="1:23" x14ac:dyDescent="0.25">
      <c r="A1541" t="s">
        <v>1638</v>
      </c>
      <c r="B1541" s="1">
        <v>45770</v>
      </c>
      <c r="C1541" t="s">
        <v>1315</v>
      </c>
      <c r="D1541">
        <v>4</v>
      </c>
      <c r="E1541">
        <v>23</v>
      </c>
      <c r="F1541" t="s">
        <v>24</v>
      </c>
      <c r="G1541" t="s">
        <v>64</v>
      </c>
      <c r="H1541" t="s">
        <v>81</v>
      </c>
      <c r="I1541" t="s">
        <v>36</v>
      </c>
      <c r="J1541" t="s">
        <v>37</v>
      </c>
      <c r="K1541" t="s">
        <v>45</v>
      </c>
      <c r="L1541">
        <v>1</v>
      </c>
      <c r="M1541">
        <v>552</v>
      </c>
      <c r="N1541">
        <v>0</v>
      </c>
      <c r="O1541">
        <v>30</v>
      </c>
      <c r="P1541">
        <v>552</v>
      </c>
      <c r="Q1541">
        <v>582</v>
      </c>
      <c r="R1541" t="s">
        <v>75</v>
      </c>
      <c r="S1541" t="s">
        <v>31</v>
      </c>
      <c r="T1541" t="s">
        <v>40</v>
      </c>
      <c r="U1541">
        <v>35</v>
      </c>
      <c r="V1541">
        <v>5</v>
      </c>
      <c r="W1541">
        <f>Table2[[#This Row],[Quantity]]*Table2[[#This Row],[Item_Price]]</f>
        <v>552</v>
      </c>
    </row>
    <row r="1542" spans="1:23" x14ac:dyDescent="0.25">
      <c r="A1542" t="s">
        <v>1639</v>
      </c>
      <c r="B1542" s="1">
        <v>45770</v>
      </c>
      <c r="C1542" t="s">
        <v>1315</v>
      </c>
      <c r="D1542">
        <v>4</v>
      </c>
      <c r="E1542">
        <v>23</v>
      </c>
      <c r="F1542" t="s">
        <v>24</v>
      </c>
      <c r="G1542" t="s">
        <v>73</v>
      </c>
      <c r="H1542" t="s">
        <v>48</v>
      </c>
      <c r="I1542" t="s">
        <v>85</v>
      </c>
      <c r="J1542" t="s">
        <v>70</v>
      </c>
      <c r="K1542" t="s">
        <v>38</v>
      </c>
      <c r="L1542">
        <v>2</v>
      </c>
      <c r="M1542">
        <v>135</v>
      </c>
      <c r="N1542">
        <v>13.5</v>
      </c>
      <c r="O1542">
        <v>0</v>
      </c>
      <c r="P1542">
        <v>270</v>
      </c>
      <c r="Q1542">
        <v>256.5</v>
      </c>
      <c r="R1542" t="s">
        <v>98</v>
      </c>
      <c r="S1542" t="s">
        <v>91</v>
      </c>
      <c r="T1542" t="s">
        <v>40</v>
      </c>
      <c r="U1542">
        <v>38</v>
      </c>
      <c r="W1542">
        <f>Table2[[#This Row],[Quantity]]*Table2[[#This Row],[Item_Price]]</f>
        <v>270</v>
      </c>
    </row>
    <row r="1543" spans="1:23" x14ac:dyDescent="0.25">
      <c r="A1543" t="s">
        <v>1640</v>
      </c>
      <c r="B1543" s="1">
        <v>45770</v>
      </c>
      <c r="C1543" t="s">
        <v>1315</v>
      </c>
      <c r="D1543">
        <v>4</v>
      </c>
      <c r="E1543">
        <v>23</v>
      </c>
      <c r="F1543" t="s">
        <v>24</v>
      </c>
      <c r="G1543" t="s">
        <v>73</v>
      </c>
      <c r="H1543" t="s">
        <v>68</v>
      </c>
      <c r="I1543" t="s">
        <v>69</v>
      </c>
      <c r="J1543" t="s">
        <v>123</v>
      </c>
      <c r="K1543" t="s">
        <v>38</v>
      </c>
      <c r="L1543">
        <v>1</v>
      </c>
      <c r="M1543">
        <v>806</v>
      </c>
      <c r="N1543">
        <v>120.9</v>
      </c>
      <c r="O1543">
        <v>70</v>
      </c>
      <c r="P1543">
        <v>806</v>
      </c>
      <c r="Q1543">
        <v>755.1</v>
      </c>
      <c r="R1543" t="s">
        <v>75</v>
      </c>
      <c r="S1543" t="s">
        <v>31</v>
      </c>
      <c r="T1543" t="s">
        <v>40</v>
      </c>
      <c r="U1543">
        <v>50</v>
      </c>
      <c r="V1543">
        <v>4.5</v>
      </c>
      <c r="W1543">
        <f>Table2[[#This Row],[Quantity]]*Table2[[#This Row],[Item_Price]]</f>
        <v>806</v>
      </c>
    </row>
    <row r="1544" spans="1:23" x14ac:dyDescent="0.25">
      <c r="A1544" t="s">
        <v>1641</v>
      </c>
      <c r="B1544" s="1">
        <v>45770</v>
      </c>
      <c r="C1544" t="s">
        <v>1315</v>
      </c>
      <c r="D1544">
        <v>4</v>
      </c>
      <c r="E1544">
        <v>23</v>
      </c>
      <c r="F1544" t="s">
        <v>24</v>
      </c>
      <c r="G1544" t="s">
        <v>90</v>
      </c>
      <c r="H1544" t="s">
        <v>48</v>
      </c>
      <c r="I1544" t="s">
        <v>85</v>
      </c>
      <c r="J1544" t="s">
        <v>119</v>
      </c>
      <c r="K1544" t="s">
        <v>38</v>
      </c>
      <c r="L1544">
        <v>1</v>
      </c>
      <c r="M1544">
        <v>850</v>
      </c>
      <c r="N1544">
        <v>127.5</v>
      </c>
      <c r="O1544">
        <v>50</v>
      </c>
      <c r="P1544">
        <v>850</v>
      </c>
      <c r="Q1544">
        <v>772.5</v>
      </c>
      <c r="R1544" t="s">
        <v>98</v>
      </c>
      <c r="S1544" t="s">
        <v>31</v>
      </c>
      <c r="T1544" t="s">
        <v>40</v>
      </c>
      <c r="U1544">
        <v>49</v>
      </c>
      <c r="V1544">
        <v>4.0999999999999996</v>
      </c>
      <c r="W1544">
        <f>Table2[[#This Row],[Quantity]]*Table2[[#This Row],[Item_Price]]</f>
        <v>850</v>
      </c>
    </row>
    <row r="1545" spans="1:23" x14ac:dyDescent="0.25">
      <c r="A1545" t="s">
        <v>1642</v>
      </c>
      <c r="B1545" s="1">
        <v>45770</v>
      </c>
      <c r="C1545" t="s">
        <v>1315</v>
      </c>
      <c r="D1545">
        <v>4</v>
      </c>
      <c r="E1545">
        <v>23</v>
      </c>
      <c r="F1545" t="s">
        <v>24</v>
      </c>
      <c r="G1545" t="s">
        <v>96</v>
      </c>
      <c r="H1545" t="s">
        <v>135</v>
      </c>
      <c r="I1545" t="s">
        <v>103</v>
      </c>
      <c r="J1545" t="s">
        <v>66</v>
      </c>
      <c r="K1545" t="s">
        <v>38</v>
      </c>
      <c r="L1545">
        <v>3</v>
      </c>
      <c r="M1545">
        <v>226</v>
      </c>
      <c r="N1545">
        <v>11.3</v>
      </c>
      <c r="O1545">
        <v>50</v>
      </c>
      <c r="P1545">
        <v>678</v>
      </c>
      <c r="Q1545">
        <v>716.7</v>
      </c>
      <c r="R1545" t="s">
        <v>98</v>
      </c>
      <c r="S1545" t="s">
        <v>91</v>
      </c>
      <c r="T1545" t="s">
        <v>40</v>
      </c>
      <c r="U1545">
        <v>64</v>
      </c>
      <c r="W1545">
        <f>Table2[[#This Row],[Quantity]]*Table2[[#This Row],[Item_Price]]</f>
        <v>678</v>
      </c>
    </row>
    <row r="1546" spans="1:23" x14ac:dyDescent="0.25">
      <c r="A1546" t="s">
        <v>1643</v>
      </c>
      <c r="B1546" s="1">
        <v>45771</v>
      </c>
      <c r="C1546" t="s">
        <v>1315</v>
      </c>
      <c r="D1546">
        <v>4</v>
      </c>
      <c r="E1546">
        <v>24</v>
      </c>
      <c r="F1546" t="s">
        <v>88</v>
      </c>
      <c r="G1546" t="s">
        <v>25</v>
      </c>
      <c r="H1546" t="s">
        <v>135</v>
      </c>
      <c r="I1546" t="s">
        <v>69</v>
      </c>
      <c r="J1546" t="s">
        <v>28</v>
      </c>
      <c r="K1546" t="s">
        <v>38</v>
      </c>
      <c r="L1546">
        <v>2</v>
      </c>
      <c r="M1546">
        <v>334</v>
      </c>
      <c r="N1546">
        <v>33.4</v>
      </c>
      <c r="O1546">
        <v>60</v>
      </c>
      <c r="P1546">
        <v>668</v>
      </c>
      <c r="Q1546">
        <v>694.6</v>
      </c>
      <c r="R1546" t="s">
        <v>39</v>
      </c>
      <c r="S1546" t="s">
        <v>110</v>
      </c>
      <c r="T1546" t="s">
        <v>32</v>
      </c>
      <c r="U1546">
        <v>62</v>
      </c>
      <c r="W1546">
        <f>Table2[[#This Row],[Quantity]]*Table2[[#This Row],[Item_Price]]</f>
        <v>668</v>
      </c>
    </row>
    <row r="1547" spans="1:23" x14ac:dyDescent="0.25">
      <c r="A1547" t="s">
        <v>1644</v>
      </c>
      <c r="B1547" s="1">
        <v>45771</v>
      </c>
      <c r="C1547" t="s">
        <v>1315</v>
      </c>
      <c r="D1547">
        <v>4</v>
      </c>
      <c r="E1547">
        <v>24</v>
      </c>
      <c r="F1547" t="s">
        <v>88</v>
      </c>
      <c r="G1547" t="s">
        <v>34</v>
      </c>
      <c r="H1547" t="s">
        <v>52</v>
      </c>
      <c r="I1547" t="s">
        <v>85</v>
      </c>
      <c r="J1547" t="s">
        <v>123</v>
      </c>
      <c r="K1547" t="s">
        <v>38</v>
      </c>
      <c r="L1547">
        <v>3</v>
      </c>
      <c r="M1547">
        <v>730</v>
      </c>
      <c r="N1547">
        <v>109.5</v>
      </c>
      <c r="O1547">
        <v>0</v>
      </c>
      <c r="P1547">
        <v>2190</v>
      </c>
      <c r="Q1547">
        <v>2080.5</v>
      </c>
      <c r="R1547" t="s">
        <v>98</v>
      </c>
      <c r="S1547" t="s">
        <v>46</v>
      </c>
      <c r="T1547" t="s">
        <v>32</v>
      </c>
      <c r="U1547">
        <v>24</v>
      </c>
      <c r="W1547">
        <f>Table2[[#This Row],[Quantity]]*Table2[[#This Row],[Item_Price]]</f>
        <v>2190</v>
      </c>
    </row>
    <row r="1548" spans="1:23" x14ac:dyDescent="0.25">
      <c r="A1548" t="s">
        <v>1645</v>
      </c>
      <c r="B1548" s="1">
        <v>45771</v>
      </c>
      <c r="C1548" t="s">
        <v>1315</v>
      </c>
      <c r="D1548">
        <v>4</v>
      </c>
      <c r="E1548">
        <v>24</v>
      </c>
      <c r="F1548" t="s">
        <v>88</v>
      </c>
      <c r="G1548" t="s">
        <v>73</v>
      </c>
      <c r="H1548" t="s">
        <v>65</v>
      </c>
      <c r="I1548" t="s">
        <v>69</v>
      </c>
      <c r="J1548" t="s">
        <v>82</v>
      </c>
      <c r="K1548" t="s">
        <v>38</v>
      </c>
      <c r="L1548">
        <v>3</v>
      </c>
      <c r="M1548">
        <v>761</v>
      </c>
      <c r="N1548">
        <v>190.25</v>
      </c>
      <c r="O1548">
        <v>70</v>
      </c>
      <c r="P1548">
        <v>2283</v>
      </c>
      <c r="Q1548">
        <v>2162.75</v>
      </c>
      <c r="R1548" t="s">
        <v>75</v>
      </c>
      <c r="S1548" t="s">
        <v>31</v>
      </c>
      <c r="T1548" t="s">
        <v>32</v>
      </c>
      <c r="U1548">
        <v>47</v>
      </c>
      <c r="V1548">
        <v>3.1</v>
      </c>
      <c r="W1548">
        <f>Table2[[#This Row],[Quantity]]*Table2[[#This Row],[Item_Price]]</f>
        <v>2283</v>
      </c>
    </row>
    <row r="1549" spans="1:23" x14ac:dyDescent="0.25">
      <c r="A1549" t="s">
        <v>1646</v>
      </c>
      <c r="B1549" s="1">
        <v>45771</v>
      </c>
      <c r="C1549" t="s">
        <v>1315</v>
      </c>
      <c r="D1549">
        <v>4</v>
      </c>
      <c r="E1549">
        <v>24</v>
      </c>
      <c r="F1549" t="s">
        <v>88</v>
      </c>
      <c r="G1549" t="s">
        <v>25</v>
      </c>
      <c r="H1549" t="s">
        <v>42</v>
      </c>
      <c r="I1549" t="s">
        <v>97</v>
      </c>
      <c r="J1549" t="s">
        <v>82</v>
      </c>
      <c r="K1549" t="s">
        <v>38</v>
      </c>
      <c r="L1549">
        <v>1</v>
      </c>
      <c r="M1549">
        <v>775</v>
      </c>
      <c r="N1549">
        <v>193.75</v>
      </c>
      <c r="O1549">
        <v>0</v>
      </c>
      <c r="P1549">
        <v>775</v>
      </c>
      <c r="Q1549">
        <v>581.25</v>
      </c>
      <c r="R1549" t="s">
        <v>39</v>
      </c>
      <c r="S1549" t="s">
        <v>31</v>
      </c>
      <c r="T1549" t="s">
        <v>32</v>
      </c>
      <c r="U1549">
        <v>38</v>
      </c>
      <c r="V1549">
        <v>3</v>
      </c>
      <c r="W1549">
        <f>Table2[[#This Row],[Quantity]]*Table2[[#This Row],[Item_Price]]</f>
        <v>775</v>
      </c>
    </row>
    <row r="1550" spans="1:23" x14ac:dyDescent="0.25">
      <c r="A1550" t="s">
        <v>1647</v>
      </c>
      <c r="B1550" s="1">
        <v>45771</v>
      </c>
      <c r="C1550" t="s">
        <v>1315</v>
      </c>
      <c r="D1550">
        <v>4</v>
      </c>
      <c r="E1550">
        <v>24</v>
      </c>
      <c r="F1550" t="s">
        <v>88</v>
      </c>
      <c r="G1550" t="s">
        <v>96</v>
      </c>
      <c r="H1550" t="s">
        <v>26</v>
      </c>
      <c r="I1550" t="s">
        <v>27</v>
      </c>
      <c r="J1550" t="s">
        <v>119</v>
      </c>
      <c r="K1550" t="s">
        <v>38</v>
      </c>
      <c r="L1550">
        <v>2</v>
      </c>
      <c r="M1550">
        <v>234</v>
      </c>
      <c r="N1550">
        <v>58.5</v>
      </c>
      <c r="O1550">
        <v>50</v>
      </c>
      <c r="P1550">
        <v>468</v>
      </c>
      <c r="Q1550">
        <v>459.5</v>
      </c>
      <c r="R1550" t="s">
        <v>112</v>
      </c>
      <c r="S1550" t="s">
        <v>31</v>
      </c>
      <c r="T1550" t="s">
        <v>40</v>
      </c>
      <c r="U1550">
        <v>65</v>
      </c>
      <c r="V1550">
        <v>3.7</v>
      </c>
      <c r="W1550">
        <f>Table2[[#This Row],[Quantity]]*Table2[[#This Row],[Item_Price]]</f>
        <v>468</v>
      </c>
    </row>
    <row r="1551" spans="1:23" x14ac:dyDescent="0.25">
      <c r="A1551" t="s">
        <v>1648</v>
      </c>
      <c r="B1551" s="1">
        <v>45771</v>
      </c>
      <c r="C1551" t="s">
        <v>1315</v>
      </c>
      <c r="D1551">
        <v>4</v>
      </c>
      <c r="E1551">
        <v>24</v>
      </c>
      <c r="F1551" t="s">
        <v>88</v>
      </c>
      <c r="G1551" t="s">
        <v>80</v>
      </c>
      <c r="H1551" t="s">
        <v>105</v>
      </c>
      <c r="I1551" t="s">
        <v>103</v>
      </c>
      <c r="J1551" t="s">
        <v>119</v>
      </c>
      <c r="K1551" t="s">
        <v>38</v>
      </c>
      <c r="L1551">
        <v>1</v>
      </c>
      <c r="M1551">
        <v>640</v>
      </c>
      <c r="N1551">
        <v>64</v>
      </c>
      <c r="O1551">
        <v>0</v>
      </c>
      <c r="P1551">
        <v>640</v>
      </c>
      <c r="Q1551">
        <v>576</v>
      </c>
      <c r="R1551" t="s">
        <v>98</v>
      </c>
      <c r="S1551" t="s">
        <v>31</v>
      </c>
      <c r="T1551" t="s">
        <v>32</v>
      </c>
      <c r="U1551">
        <v>58</v>
      </c>
      <c r="V1551">
        <v>3.9</v>
      </c>
      <c r="W1551">
        <f>Table2[[#This Row],[Quantity]]*Table2[[#This Row],[Item_Price]]</f>
        <v>640</v>
      </c>
    </row>
    <row r="1552" spans="1:23" x14ac:dyDescent="0.25">
      <c r="A1552" t="s">
        <v>1649</v>
      </c>
      <c r="B1552" s="1">
        <v>45771</v>
      </c>
      <c r="C1552" t="s">
        <v>1315</v>
      </c>
      <c r="D1552">
        <v>4</v>
      </c>
      <c r="E1552">
        <v>24</v>
      </c>
      <c r="F1552" t="s">
        <v>88</v>
      </c>
      <c r="G1552" t="s">
        <v>25</v>
      </c>
      <c r="H1552" t="s">
        <v>56</v>
      </c>
      <c r="I1552" t="s">
        <v>85</v>
      </c>
      <c r="J1552" t="s">
        <v>44</v>
      </c>
      <c r="K1552" t="s">
        <v>38</v>
      </c>
      <c r="L1552">
        <v>2</v>
      </c>
      <c r="M1552">
        <v>541</v>
      </c>
      <c r="N1552">
        <v>54.1</v>
      </c>
      <c r="O1552">
        <v>20</v>
      </c>
      <c r="P1552">
        <v>1082</v>
      </c>
      <c r="Q1552">
        <v>1047.9000000000001</v>
      </c>
      <c r="R1552" t="s">
        <v>39</v>
      </c>
      <c r="S1552" t="s">
        <v>31</v>
      </c>
      <c r="T1552" t="s">
        <v>32</v>
      </c>
      <c r="U1552">
        <v>29</v>
      </c>
      <c r="V1552">
        <v>2.1</v>
      </c>
      <c r="W1552">
        <f>Table2[[#This Row],[Quantity]]*Table2[[#This Row],[Item_Price]]</f>
        <v>1082</v>
      </c>
    </row>
    <row r="1553" spans="1:23" x14ac:dyDescent="0.25">
      <c r="A1553" t="s">
        <v>1650</v>
      </c>
      <c r="B1553" s="1">
        <v>45771</v>
      </c>
      <c r="C1553" t="s">
        <v>1315</v>
      </c>
      <c r="D1553">
        <v>4</v>
      </c>
      <c r="E1553">
        <v>24</v>
      </c>
      <c r="F1553" t="s">
        <v>88</v>
      </c>
      <c r="G1553" t="s">
        <v>96</v>
      </c>
      <c r="H1553" t="s">
        <v>35</v>
      </c>
      <c r="I1553" t="s">
        <v>69</v>
      </c>
      <c r="J1553" t="s">
        <v>37</v>
      </c>
      <c r="K1553" t="s">
        <v>38</v>
      </c>
      <c r="L1553">
        <v>1</v>
      </c>
      <c r="M1553">
        <v>316</v>
      </c>
      <c r="N1553">
        <v>15.8</v>
      </c>
      <c r="O1553">
        <v>50</v>
      </c>
      <c r="P1553">
        <v>316</v>
      </c>
      <c r="Q1553">
        <v>350.2</v>
      </c>
      <c r="R1553" t="s">
        <v>39</v>
      </c>
      <c r="S1553" t="s">
        <v>31</v>
      </c>
      <c r="T1553" t="s">
        <v>40</v>
      </c>
      <c r="U1553">
        <v>18</v>
      </c>
      <c r="V1553">
        <v>4.5999999999999996</v>
      </c>
      <c r="W1553">
        <f>Table2[[#This Row],[Quantity]]*Table2[[#This Row],[Item_Price]]</f>
        <v>316</v>
      </c>
    </row>
    <row r="1554" spans="1:23" x14ac:dyDescent="0.25">
      <c r="A1554" t="s">
        <v>1651</v>
      </c>
      <c r="B1554" s="1">
        <v>45771</v>
      </c>
      <c r="C1554" t="s">
        <v>1315</v>
      </c>
      <c r="D1554">
        <v>4</v>
      </c>
      <c r="E1554">
        <v>24</v>
      </c>
      <c r="F1554" t="s">
        <v>88</v>
      </c>
      <c r="G1554" t="s">
        <v>80</v>
      </c>
      <c r="H1554" t="s">
        <v>105</v>
      </c>
      <c r="I1554" t="s">
        <v>57</v>
      </c>
      <c r="J1554" t="s">
        <v>82</v>
      </c>
      <c r="K1554" t="s">
        <v>45</v>
      </c>
      <c r="L1554">
        <v>2</v>
      </c>
      <c r="M1554">
        <v>737</v>
      </c>
      <c r="N1554">
        <v>147.4</v>
      </c>
      <c r="O1554">
        <v>50</v>
      </c>
      <c r="P1554">
        <v>1474</v>
      </c>
      <c r="Q1554">
        <v>1376.6</v>
      </c>
      <c r="R1554" t="s">
        <v>39</v>
      </c>
      <c r="S1554" t="s">
        <v>110</v>
      </c>
      <c r="T1554" t="s">
        <v>32</v>
      </c>
      <c r="U1554">
        <v>29</v>
      </c>
      <c r="W1554">
        <f>Table2[[#This Row],[Quantity]]*Table2[[#This Row],[Item_Price]]</f>
        <v>1474</v>
      </c>
    </row>
    <row r="1555" spans="1:23" x14ac:dyDescent="0.25">
      <c r="A1555" t="s">
        <v>1652</v>
      </c>
      <c r="B1555" s="1">
        <v>45771</v>
      </c>
      <c r="C1555" t="s">
        <v>1315</v>
      </c>
      <c r="D1555">
        <v>4</v>
      </c>
      <c r="E1555">
        <v>24</v>
      </c>
      <c r="F1555" t="s">
        <v>88</v>
      </c>
      <c r="G1555" t="s">
        <v>80</v>
      </c>
      <c r="H1555" t="s">
        <v>108</v>
      </c>
      <c r="I1555" t="s">
        <v>57</v>
      </c>
      <c r="J1555" t="s">
        <v>123</v>
      </c>
      <c r="K1555" t="s">
        <v>38</v>
      </c>
      <c r="L1555">
        <v>1</v>
      </c>
      <c r="M1555">
        <v>495</v>
      </c>
      <c r="N1555">
        <v>123.75</v>
      </c>
      <c r="O1555">
        <v>40</v>
      </c>
      <c r="P1555">
        <v>495</v>
      </c>
      <c r="Q1555">
        <v>411.25</v>
      </c>
      <c r="R1555" t="s">
        <v>30</v>
      </c>
      <c r="S1555" t="s">
        <v>31</v>
      </c>
      <c r="T1555" t="s">
        <v>32</v>
      </c>
      <c r="U1555">
        <v>50</v>
      </c>
      <c r="V1555">
        <v>3.7</v>
      </c>
      <c r="W1555">
        <f>Table2[[#This Row],[Quantity]]*Table2[[#This Row],[Item_Price]]</f>
        <v>495</v>
      </c>
    </row>
    <row r="1556" spans="1:23" x14ac:dyDescent="0.25">
      <c r="A1556" t="s">
        <v>1653</v>
      </c>
      <c r="B1556" s="1">
        <v>45771</v>
      </c>
      <c r="C1556" t="s">
        <v>1315</v>
      </c>
      <c r="D1556">
        <v>4</v>
      </c>
      <c r="E1556">
        <v>24</v>
      </c>
      <c r="F1556" t="s">
        <v>88</v>
      </c>
      <c r="G1556" t="s">
        <v>34</v>
      </c>
      <c r="H1556" t="s">
        <v>81</v>
      </c>
      <c r="I1556" t="s">
        <v>69</v>
      </c>
      <c r="J1556" t="s">
        <v>82</v>
      </c>
      <c r="K1556" t="s">
        <v>38</v>
      </c>
      <c r="L1556">
        <v>2</v>
      </c>
      <c r="M1556">
        <v>195</v>
      </c>
      <c r="N1556">
        <v>9.75</v>
      </c>
      <c r="O1556">
        <v>20</v>
      </c>
      <c r="P1556">
        <v>390</v>
      </c>
      <c r="Q1556">
        <v>400.25</v>
      </c>
      <c r="R1556" t="s">
        <v>39</v>
      </c>
      <c r="S1556" t="s">
        <v>31</v>
      </c>
      <c r="T1556" t="s">
        <v>40</v>
      </c>
      <c r="U1556">
        <v>34</v>
      </c>
      <c r="V1556">
        <v>3.7</v>
      </c>
      <c r="W1556">
        <f>Table2[[#This Row],[Quantity]]*Table2[[#This Row],[Item_Price]]</f>
        <v>390</v>
      </c>
    </row>
    <row r="1557" spans="1:23" x14ac:dyDescent="0.25">
      <c r="A1557" t="s">
        <v>1654</v>
      </c>
      <c r="B1557" s="1">
        <v>45771</v>
      </c>
      <c r="C1557" t="s">
        <v>1315</v>
      </c>
      <c r="D1557">
        <v>4</v>
      </c>
      <c r="E1557">
        <v>24</v>
      </c>
      <c r="F1557" t="s">
        <v>88</v>
      </c>
      <c r="G1557" t="s">
        <v>55</v>
      </c>
      <c r="H1557" t="s">
        <v>56</v>
      </c>
      <c r="I1557" t="s">
        <v>57</v>
      </c>
      <c r="J1557" t="s">
        <v>53</v>
      </c>
      <c r="K1557" t="s">
        <v>38</v>
      </c>
      <c r="L1557">
        <v>1</v>
      </c>
      <c r="M1557">
        <v>690</v>
      </c>
      <c r="N1557">
        <v>172.5</v>
      </c>
      <c r="O1557">
        <v>20</v>
      </c>
      <c r="P1557">
        <v>690</v>
      </c>
      <c r="Q1557">
        <v>537.5</v>
      </c>
      <c r="R1557" t="s">
        <v>112</v>
      </c>
      <c r="S1557" t="s">
        <v>31</v>
      </c>
      <c r="T1557" t="s">
        <v>32</v>
      </c>
      <c r="U1557">
        <v>35</v>
      </c>
      <c r="V1557">
        <v>3.5</v>
      </c>
      <c r="W1557">
        <f>Table2[[#This Row],[Quantity]]*Table2[[#This Row],[Item_Price]]</f>
        <v>690</v>
      </c>
    </row>
    <row r="1558" spans="1:23" x14ac:dyDescent="0.25">
      <c r="A1558" t="s">
        <v>1655</v>
      </c>
      <c r="B1558" s="1">
        <v>45771</v>
      </c>
      <c r="C1558" t="s">
        <v>1315</v>
      </c>
      <c r="D1558">
        <v>4</v>
      </c>
      <c r="E1558">
        <v>24</v>
      </c>
      <c r="F1558" t="s">
        <v>88</v>
      </c>
      <c r="G1558" t="s">
        <v>80</v>
      </c>
      <c r="H1558" t="s">
        <v>81</v>
      </c>
      <c r="I1558" t="s">
        <v>85</v>
      </c>
      <c r="J1558" t="s">
        <v>82</v>
      </c>
      <c r="K1558" t="s">
        <v>38</v>
      </c>
      <c r="L1558">
        <v>1</v>
      </c>
      <c r="M1558">
        <v>295</v>
      </c>
      <c r="N1558">
        <v>29.5</v>
      </c>
      <c r="O1558">
        <v>50</v>
      </c>
      <c r="P1558">
        <v>295</v>
      </c>
      <c r="Q1558">
        <v>315.5</v>
      </c>
      <c r="R1558" t="s">
        <v>39</v>
      </c>
      <c r="S1558" t="s">
        <v>31</v>
      </c>
      <c r="T1558" t="s">
        <v>40</v>
      </c>
      <c r="U1558">
        <v>48</v>
      </c>
      <c r="V1558">
        <v>4</v>
      </c>
      <c r="W1558">
        <f>Table2[[#This Row],[Quantity]]*Table2[[#This Row],[Item_Price]]</f>
        <v>295</v>
      </c>
    </row>
    <row r="1559" spans="1:23" x14ac:dyDescent="0.25">
      <c r="A1559" t="s">
        <v>1656</v>
      </c>
      <c r="B1559" s="1">
        <v>45772</v>
      </c>
      <c r="C1559" t="s">
        <v>1315</v>
      </c>
      <c r="D1559">
        <v>4</v>
      </c>
      <c r="E1559">
        <v>25</v>
      </c>
      <c r="F1559" t="s">
        <v>114</v>
      </c>
      <c r="G1559" t="s">
        <v>25</v>
      </c>
      <c r="H1559" t="s">
        <v>60</v>
      </c>
      <c r="I1559" t="s">
        <v>85</v>
      </c>
      <c r="J1559" t="s">
        <v>62</v>
      </c>
      <c r="K1559" t="s">
        <v>58</v>
      </c>
      <c r="L1559">
        <v>1</v>
      </c>
      <c r="M1559">
        <v>243</v>
      </c>
      <c r="N1559">
        <v>36.450000000000003</v>
      </c>
      <c r="O1559">
        <v>40</v>
      </c>
      <c r="P1559">
        <v>243</v>
      </c>
      <c r="Q1559">
        <v>246.55</v>
      </c>
      <c r="R1559" t="s">
        <v>39</v>
      </c>
      <c r="S1559" t="s">
        <v>31</v>
      </c>
      <c r="T1559" t="s">
        <v>32</v>
      </c>
      <c r="U1559">
        <v>32</v>
      </c>
      <c r="V1559">
        <v>4.3</v>
      </c>
      <c r="W1559">
        <f>Table2[[#This Row],[Quantity]]*Table2[[#This Row],[Item_Price]]</f>
        <v>243</v>
      </c>
    </row>
    <row r="1560" spans="1:23" x14ac:dyDescent="0.25">
      <c r="A1560" t="s">
        <v>1657</v>
      </c>
      <c r="B1560" s="1">
        <v>45772</v>
      </c>
      <c r="C1560" t="s">
        <v>1315</v>
      </c>
      <c r="D1560">
        <v>4</v>
      </c>
      <c r="E1560">
        <v>25</v>
      </c>
      <c r="F1560" t="s">
        <v>114</v>
      </c>
      <c r="G1560" t="s">
        <v>25</v>
      </c>
      <c r="H1560" t="s">
        <v>56</v>
      </c>
      <c r="I1560" t="s">
        <v>61</v>
      </c>
      <c r="J1560" t="s">
        <v>62</v>
      </c>
      <c r="K1560" t="s">
        <v>45</v>
      </c>
      <c r="L1560">
        <v>1</v>
      </c>
      <c r="M1560">
        <v>566</v>
      </c>
      <c r="N1560">
        <v>84.9</v>
      </c>
      <c r="O1560">
        <v>50</v>
      </c>
      <c r="P1560">
        <v>566</v>
      </c>
      <c r="Q1560">
        <v>531.1</v>
      </c>
      <c r="R1560" t="s">
        <v>112</v>
      </c>
      <c r="S1560" t="s">
        <v>31</v>
      </c>
      <c r="T1560" t="s">
        <v>40</v>
      </c>
      <c r="U1560">
        <v>66</v>
      </c>
      <c r="V1560">
        <v>3.5</v>
      </c>
      <c r="W1560">
        <f>Table2[[#This Row],[Quantity]]*Table2[[#This Row],[Item_Price]]</f>
        <v>566</v>
      </c>
    </row>
    <row r="1561" spans="1:23" x14ac:dyDescent="0.25">
      <c r="A1561" t="s">
        <v>1658</v>
      </c>
      <c r="B1561" s="1">
        <v>45772</v>
      </c>
      <c r="C1561" t="s">
        <v>1315</v>
      </c>
      <c r="D1561">
        <v>4</v>
      </c>
      <c r="E1561">
        <v>25</v>
      </c>
      <c r="F1561" t="s">
        <v>114</v>
      </c>
      <c r="G1561" t="s">
        <v>96</v>
      </c>
      <c r="H1561" t="s">
        <v>60</v>
      </c>
      <c r="I1561" t="s">
        <v>43</v>
      </c>
      <c r="J1561" t="s">
        <v>82</v>
      </c>
      <c r="K1561" t="s">
        <v>38</v>
      </c>
      <c r="L1561">
        <v>1</v>
      </c>
      <c r="M1561">
        <v>583</v>
      </c>
      <c r="N1561">
        <v>87.45</v>
      </c>
      <c r="O1561">
        <v>40</v>
      </c>
      <c r="P1561">
        <v>583</v>
      </c>
      <c r="Q1561">
        <v>535.54999999999995</v>
      </c>
      <c r="R1561" t="s">
        <v>39</v>
      </c>
      <c r="S1561" t="s">
        <v>31</v>
      </c>
      <c r="T1561" t="s">
        <v>32</v>
      </c>
      <c r="U1561">
        <v>37</v>
      </c>
      <c r="V1561">
        <v>4.3</v>
      </c>
      <c r="W1561">
        <f>Table2[[#This Row],[Quantity]]*Table2[[#This Row],[Item_Price]]</f>
        <v>583</v>
      </c>
    </row>
    <row r="1562" spans="1:23" x14ac:dyDescent="0.25">
      <c r="A1562" t="s">
        <v>1659</v>
      </c>
      <c r="B1562" s="1">
        <v>45772</v>
      </c>
      <c r="C1562" t="s">
        <v>1315</v>
      </c>
      <c r="D1562">
        <v>4</v>
      </c>
      <c r="E1562">
        <v>25</v>
      </c>
      <c r="F1562" t="s">
        <v>114</v>
      </c>
      <c r="G1562" t="s">
        <v>115</v>
      </c>
      <c r="H1562" t="s">
        <v>35</v>
      </c>
      <c r="I1562" t="s">
        <v>69</v>
      </c>
      <c r="J1562" t="s">
        <v>101</v>
      </c>
      <c r="K1562" t="s">
        <v>38</v>
      </c>
      <c r="L1562">
        <v>1</v>
      </c>
      <c r="M1562">
        <v>365</v>
      </c>
      <c r="N1562">
        <v>0</v>
      </c>
      <c r="O1562">
        <v>50</v>
      </c>
      <c r="P1562">
        <v>365</v>
      </c>
      <c r="Q1562">
        <v>415</v>
      </c>
      <c r="R1562" t="s">
        <v>39</v>
      </c>
      <c r="S1562" t="s">
        <v>31</v>
      </c>
      <c r="T1562" t="s">
        <v>32</v>
      </c>
      <c r="U1562">
        <v>24</v>
      </c>
      <c r="V1562">
        <v>4.9000000000000004</v>
      </c>
      <c r="W1562">
        <f>Table2[[#This Row],[Quantity]]*Table2[[#This Row],[Item_Price]]</f>
        <v>365</v>
      </c>
    </row>
    <row r="1563" spans="1:23" x14ac:dyDescent="0.25">
      <c r="A1563" t="s">
        <v>1660</v>
      </c>
      <c r="B1563" s="1">
        <v>45772</v>
      </c>
      <c r="C1563" t="s">
        <v>1315</v>
      </c>
      <c r="D1563">
        <v>4</v>
      </c>
      <c r="E1563">
        <v>25</v>
      </c>
      <c r="F1563" t="s">
        <v>114</v>
      </c>
      <c r="G1563" t="s">
        <v>84</v>
      </c>
      <c r="H1563" t="s">
        <v>135</v>
      </c>
      <c r="I1563" t="s">
        <v>27</v>
      </c>
      <c r="J1563" t="s">
        <v>74</v>
      </c>
      <c r="K1563" t="s">
        <v>45</v>
      </c>
      <c r="L1563">
        <v>2</v>
      </c>
      <c r="M1563">
        <v>769</v>
      </c>
      <c r="N1563">
        <v>192.25</v>
      </c>
      <c r="O1563">
        <v>20</v>
      </c>
      <c r="P1563">
        <v>1538</v>
      </c>
      <c r="Q1563">
        <v>1365.75</v>
      </c>
      <c r="R1563" t="s">
        <v>112</v>
      </c>
      <c r="S1563" t="s">
        <v>31</v>
      </c>
      <c r="T1563" t="s">
        <v>32</v>
      </c>
      <c r="U1563">
        <v>59</v>
      </c>
      <c r="V1563">
        <v>4.2</v>
      </c>
      <c r="W1563">
        <f>Table2[[#This Row],[Quantity]]*Table2[[#This Row],[Item_Price]]</f>
        <v>1538</v>
      </c>
    </row>
    <row r="1564" spans="1:23" x14ac:dyDescent="0.25">
      <c r="A1564" t="s">
        <v>1661</v>
      </c>
      <c r="B1564" s="1">
        <v>45772</v>
      </c>
      <c r="C1564" t="s">
        <v>1315</v>
      </c>
      <c r="D1564">
        <v>4</v>
      </c>
      <c r="E1564">
        <v>25</v>
      </c>
      <c r="F1564" t="s">
        <v>114</v>
      </c>
      <c r="G1564" t="s">
        <v>84</v>
      </c>
      <c r="H1564" t="s">
        <v>52</v>
      </c>
      <c r="I1564" t="s">
        <v>43</v>
      </c>
      <c r="J1564" t="s">
        <v>94</v>
      </c>
      <c r="K1564" t="s">
        <v>45</v>
      </c>
      <c r="L1564">
        <v>2</v>
      </c>
      <c r="M1564">
        <v>816</v>
      </c>
      <c r="N1564">
        <v>163.19999999999999</v>
      </c>
      <c r="O1564">
        <v>20</v>
      </c>
      <c r="P1564">
        <v>1632</v>
      </c>
      <c r="Q1564">
        <v>1488.8</v>
      </c>
      <c r="R1564" t="s">
        <v>39</v>
      </c>
      <c r="S1564" t="s">
        <v>31</v>
      </c>
      <c r="T1564" t="s">
        <v>40</v>
      </c>
      <c r="U1564">
        <v>20</v>
      </c>
      <c r="V1564">
        <v>4.2</v>
      </c>
      <c r="W1564">
        <f>Table2[[#This Row],[Quantity]]*Table2[[#This Row],[Item_Price]]</f>
        <v>1632</v>
      </c>
    </row>
    <row r="1565" spans="1:23" x14ac:dyDescent="0.25">
      <c r="A1565" t="s">
        <v>1662</v>
      </c>
      <c r="B1565" s="1">
        <v>45772</v>
      </c>
      <c r="C1565" t="s">
        <v>1315</v>
      </c>
      <c r="D1565">
        <v>4</v>
      </c>
      <c r="E1565">
        <v>25</v>
      </c>
      <c r="F1565" t="s">
        <v>114</v>
      </c>
      <c r="G1565" t="s">
        <v>64</v>
      </c>
      <c r="H1565" t="s">
        <v>48</v>
      </c>
      <c r="I1565" t="s">
        <v>85</v>
      </c>
      <c r="J1565" t="s">
        <v>82</v>
      </c>
      <c r="K1565" t="s">
        <v>38</v>
      </c>
      <c r="L1565">
        <v>1</v>
      </c>
      <c r="M1565">
        <v>341</v>
      </c>
      <c r="N1565">
        <v>0</v>
      </c>
      <c r="O1565">
        <v>50</v>
      </c>
      <c r="P1565">
        <v>341</v>
      </c>
      <c r="Q1565">
        <v>391</v>
      </c>
      <c r="R1565" t="s">
        <v>39</v>
      </c>
      <c r="S1565" t="s">
        <v>31</v>
      </c>
      <c r="T1565" t="s">
        <v>32</v>
      </c>
      <c r="U1565">
        <v>45</v>
      </c>
      <c r="V1565">
        <v>3.3</v>
      </c>
      <c r="W1565">
        <f>Table2[[#This Row],[Quantity]]*Table2[[#This Row],[Item_Price]]</f>
        <v>341</v>
      </c>
    </row>
    <row r="1566" spans="1:23" x14ac:dyDescent="0.25">
      <c r="A1566" t="s">
        <v>1663</v>
      </c>
      <c r="B1566" s="1">
        <v>45773</v>
      </c>
      <c r="C1566" t="s">
        <v>1315</v>
      </c>
      <c r="D1566">
        <v>4</v>
      </c>
      <c r="E1566">
        <v>26</v>
      </c>
      <c r="F1566" t="s">
        <v>134</v>
      </c>
      <c r="G1566" t="s">
        <v>115</v>
      </c>
      <c r="H1566" t="s">
        <v>105</v>
      </c>
      <c r="I1566" t="s">
        <v>61</v>
      </c>
      <c r="J1566" t="s">
        <v>28</v>
      </c>
      <c r="K1566" t="s">
        <v>38</v>
      </c>
      <c r="L1566">
        <v>2</v>
      </c>
      <c r="M1566">
        <v>171</v>
      </c>
      <c r="N1566">
        <v>34.200000000000003</v>
      </c>
      <c r="O1566">
        <v>0</v>
      </c>
      <c r="P1566">
        <v>342</v>
      </c>
      <c r="Q1566">
        <v>307.8</v>
      </c>
      <c r="R1566" t="s">
        <v>75</v>
      </c>
      <c r="S1566" t="s">
        <v>31</v>
      </c>
      <c r="T1566" t="s">
        <v>32</v>
      </c>
      <c r="U1566">
        <v>65</v>
      </c>
      <c r="V1566">
        <v>4.0999999999999996</v>
      </c>
      <c r="W1566">
        <f>Table2[[#This Row],[Quantity]]*Table2[[#This Row],[Item_Price]]</f>
        <v>342</v>
      </c>
    </row>
    <row r="1567" spans="1:23" x14ac:dyDescent="0.25">
      <c r="A1567" t="s">
        <v>1664</v>
      </c>
      <c r="B1567" s="1">
        <v>45773</v>
      </c>
      <c r="C1567" t="s">
        <v>1315</v>
      </c>
      <c r="D1567">
        <v>4</v>
      </c>
      <c r="E1567">
        <v>26</v>
      </c>
      <c r="F1567" t="s">
        <v>134</v>
      </c>
      <c r="G1567" t="s">
        <v>64</v>
      </c>
      <c r="H1567" t="s">
        <v>105</v>
      </c>
      <c r="I1567" t="s">
        <v>61</v>
      </c>
      <c r="J1567" t="s">
        <v>53</v>
      </c>
      <c r="K1567" t="s">
        <v>29</v>
      </c>
      <c r="L1567">
        <v>1</v>
      </c>
      <c r="M1567">
        <v>136</v>
      </c>
      <c r="N1567">
        <v>13.6</v>
      </c>
      <c r="O1567">
        <v>20</v>
      </c>
      <c r="P1567">
        <v>136</v>
      </c>
      <c r="Q1567">
        <v>142.4</v>
      </c>
      <c r="R1567" t="s">
        <v>39</v>
      </c>
      <c r="S1567" t="s">
        <v>31</v>
      </c>
      <c r="T1567" t="s">
        <v>40</v>
      </c>
      <c r="U1567">
        <v>20</v>
      </c>
      <c r="V1567">
        <v>4</v>
      </c>
      <c r="W1567">
        <f>Table2[[#This Row],[Quantity]]*Table2[[#This Row],[Item_Price]]</f>
        <v>136</v>
      </c>
    </row>
    <row r="1568" spans="1:23" x14ac:dyDescent="0.25">
      <c r="A1568" t="s">
        <v>1665</v>
      </c>
      <c r="B1568" s="1">
        <v>45773</v>
      </c>
      <c r="C1568" t="s">
        <v>1315</v>
      </c>
      <c r="D1568">
        <v>4</v>
      </c>
      <c r="E1568">
        <v>26</v>
      </c>
      <c r="F1568" t="s">
        <v>134</v>
      </c>
      <c r="G1568" t="s">
        <v>64</v>
      </c>
      <c r="H1568" t="s">
        <v>56</v>
      </c>
      <c r="I1568" t="s">
        <v>43</v>
      </c>
      <c r="J1568" t="s">
        <v>172</v>
      </c>
      <c r="K1568" t="s">
        <v>38</v>
      </c>
      <c r="L1568">
        <v>1</v>
      </c>
      <c r="M1568">
        <v>721</v>
      </c>
      <c r="N1568">
        <v>0</v>
      </c>
      <c r="O1568">
        <v>50</v>
      </c>
      <c r="P1568">
        <v>721</v>
      </c>
      <c r="Q1568">
        <v>771</v>
      </c>
      <c r="R1568" t="s">
        <v>39</v>
      </c>
      <c r="S1568" t="s">
        <v>31</v>
      </c>
      <c r="T1568" t="s">
        <v>32</v>
      </c>
      <c r="U1568">
        <v>68</v>
      </c>
      <c r="V1568">
        <v>4.0999999999999996</v>
      </c>
      <c r="W1568">
        <f>Table2[[#This Row],[Quantity]]*Table2[[#This Row],[Item_Price]]</f>
        <v>721</v>
      </c>
    </row>
    <row r="1569" spans="1:23" x14ac:dyDescent="0.25">
      <c r="A1569" t="s">
        <v>1666</v>
      </c>
      <c r="B1569" s="1">
        <v>45773</v>
      </c>
      <c r="C1569" t="s">
        <v>1315</v>
      </c>
      <c r="D1569">
        <v>4</v>
      </c>
      <c r="E1569">
        <v>26</v>
      </c>
      <c r="F1569" t="s">
        <v>134</v>
      </c>
      <c r="G1569" t="s">
        <v>84</v>
      </c>
      <c r="H1569" t="s">
        <v>108</v>
      </c>
      <c r="I1569" t="s">
        <v>85</v>
      </c>
      <c r="J1569" t="s">
        <v>50</v>
      </c>
      <c r="K1569" t="s">
        <v>45</v>
      </c>
      <c r="L1569">
        <v>1</v>
      </c>
      <c r="M1569">
        <v>308</v>
      </c>
      <c r="N1569">
        <v>30.8</v>
      </c>
      <c r="O1569">
        <v>40</v>
      </c>
      <c r="P1569">
        <v>308</v>
      </c>
      <c r="Q1569">
        <v>317.2</v>
      </c>
      <c r="R1569" t="s">
        <v>75</v>
      </c>
      <c r="S1569" t="s">
        <v>31</v>
      </c>
      <c r="T1569" t="s">
        <v>40</v>
      </c>
      <c r="U1569">
        <v>53</v>
      </c>
      <c r="V1569">
        <v>3.4</v>
      </c>
      <c r="W1569">
        <f>Table2[[#This Row],[Quantity]]*Table2[[#This Row],[Item_Price]]</f>
        <v>308</v>
      </c>
    </row>
    <row r="1570" spans="1:23" x14ac:dyDescent="0.25">
      <c r="A1570" t="s">
        <v>1667</v>
      </c>
      <c r="B1570" s="1">
        <v>45773</v>
      </c>
      <c r="C1570" t="s">
        <v>1315</v>
      </c>
      <c r="D1570">
        <v>4</v>
      </c>
      <c r="E1570">
        <v>26</v>
      </c>
      <c r="F1570" t="s">
        <v>134</v>
      </c>
      <c r="G1570" t="s">
        <v>34</v>
      </c>
      <c r="H1570" t="s">
        <v>48</v>
      </c>
      <c r="I1570" t="s">
        <v>43</v>
      </c>
      <c r="J1570" t="s">
        <v>94</v>
      </c>
      <c r="K1570" t="s">
        <v>45</v>
      </c>
      <c r="L1570">
        <v>1</v>
      </c>
      <c r="M1570">
        <v>285</v>
      </c>
      <c r="N1570">
        <v>0</v>
      </c>
      <c r="O1570">
        <v>0</v>
      </c>
      <c r="P1570">
        <v>285</v>
      </c>
      <c r="Q1570">
        <v>285</v>
      </c>
      <c r="R1570" t="s">
        <v>75</v>
      </c>
      <c r="S1570" t="s">
        <v>31</v>
      </c>
      <c r="T1570" t="s">
        <v>40</v>
      </c>
      <c r="U1570">
        <v>64</v>
      </c>
      <c r="V1570">
        <v>4.3</v>
      </c>
      <c r="W1570">
        <f>Table2[[#This Row],[Quantity]]*Table2[[#This Row],[Item_Price]]</f>
        <v>285</v>
      </c>
    </row>
    <row r="1571" spans="1:23" x14ac:dyDescent="0.25">
      <c r="A1571" t="s">
        <v>1668</v>
      </c>
      <c r="B1571" s="1">
        <v>45773</v>
      </c>
      <c r="C1571" t="s">
        <v>1315</v>
      </c>
      <c r="D1571">
        <v>4</v>
      </c>
      <c r="E1571">
        <v>26</v>
      </c>
      <c r="F1571" t="s">
        <v>134</v>
      </c>
      <c r="G1571" t="s">
        <v>115</v>
      </c>
      <c r="H1571" t="s">
        <v>35</v>
      </c>
      <c r="I1571" t="s">
        <v>103</v>
      </c>
      <c r="J1571" t="s">
        <v>37</v>
      </c>
      <c r="K1571" t="s">
        <v>38</v>
      </c>
      <c r="L1571">
        <v>1</v>
      </c>
      <c r="M1571">
        <v>177</v>
      </c>
      <c r="N1571">
        <v>26.55</v>
      </c>
      <c r="O1571">
        <v>40</v>
      </c>
      <c r="P1571">
        <v>177</v>
      </c>
      <c r="Q1571">
        <v>190.45</v>
      </c>
      <c r="R1571" t="s">
        <v>39</v>
      </c>
      <c r="S1571" t="s">
        <v>31</v>
      </c>
      <c r="T1571" t="s">
        <v>40</v>
      </c>
      <c r="U1571">
        <v>62</v>
      </c>
      <c r="V1571">
        <v>4.2</v>
      </c>
      <c r="W1571">
        <f>Table2[[#This Row],[Quantity]]*Table2[[#This Row],[Item_Price]]</f>
        <v>177</v>
      </c>
    </row>
    <row r="1572" spans="1:23" x14ac:dyDescent="0.25">
      <c r="A1572" t="s">
        <v>1669</v>
      </c>
      <c r="B1572" s="1">
        <v>45773</v>
      </c>
      <c r="C1572" t="s">
        <v>1315</v>
      </c>
      <c r="D1572">
        <v>4</v>
      </c>
      <c r="E1572">
        <v>26</v>
      </c>
      <c r="F1572" t="s">
        <v>134</v>
      </c>
      <c r="G1572" t="s">
        <v>80</v>
      </c>
      <c r="H1572" t="s">
        <v>139</v>
      </c>
      <c r="I1572" t="s">
        <v>61</v>
      </c>
      <c r="J1572" t="s">
        <v>53</v>
      </c>
      <c r="K1572" t="s">
        <v>45</v>
      </c>
      <c r="L1572">
        <v>2</v>
      </c>
      <c r="M1572">
        <v>440</v>
      </c>
      <c r="N1572">
        <v>88</v>
      </c>
      <c r="O1572">
        <v>60</v>
      </c>
      <c r="P1572">
        <v>880</v>
      </c>
      <c r="Q1572">
        <v>852</v>
      </c>
      <c r="R1572" t="s">
        <v>39</v>
      </c>
      <c r="S1572" t="s">
        <v>31</v>
      </c>
      <c r="T1572" t="s">
        <v>32</v>
      </c>
      <c r="U1572">
        <v>70</v>
      </c>
      <c r="V1572">
        <v>3.9</v>
      </c>
      <c r="W1572">
        <f>Table2[[#This Row],[Quantity]]*Table2[[#This Row],[Item_Price]]</f>
        <v>880</v>
      </c>
    </row>
    <row r="1573" spans="1:23" x14ac:dyDescent="0.25">
      <c r="A1573" t="s">
        <v>1670</v>
      </c>
      <c r="B1573" s="1">
        <v>45773</v>
      </c>
      <c r="C1573" t="s">
        <v>1315</v>
      </c>
      <c r="D1573">
        <v>4</v>
      </c>
      <c r="E1573">
        <v>26</v>
      </c>
      <c r="F1573" t="s">
        <v>134</v>
      </c>
      <c r="G1573" t="s">
        <v>84</v>
      </c>
      <c r="H1573" t="s">
        <v>35</v>
      </c>
      <c r="I1573" t="s">
        <v>36</v>
      </c>
      <c r="J1573" t="s">
        <v>44</v>
      </c>
      <c r="K1573" t="s">
        <v>38</v>
      </c>
      <c r="L1573">
        <v>1</v>
      </c>
      <c r="M1573">
        <v>231</v>
      </c>
      <c r="N1573">
        <v>23.1</v>
      </c>
      <c r="O1573">
        <v>50</v>
      </c>
      <c r="P1573">
        <v>231</v>
      </c>
      <c r="Q1573">
        <v>257.89999999999998</v>
      </c>
      <c r="R1573" t="s">
        <v>98</v>
      </c>
      <c r="S1573" t="s">
        <v>31</v>
      </c>
      <c r="T1573" t="s">
        <v>40</v>
      </c>
      <c r="U1573">
        <v>61</v>
      </c>
      <c r="V1573">
        <v>4.5999999999999996</v>
      </c>
      <c r="W1573">
        <f>Table2[[#This Row],[Quantity]]*Table2[[#This Row],[Item_Price]]</f>
        <v>231</v>
      </c>
    </row>
    <row r="1574" spans="1:23" x14ac:dyDescent="0.25">
      <c r="A1574" t="s">
        <v>1671</v>
      </c>
      <c r="B1574" s="1">
        <v>45773</v>
      </c>
      <c r="C1574" t="s">
        <v>1315</v>
      </c>
      <c r="D1574">
        <v>4</v>
      </c>
      <c r="E1574">
        <v>26</v>
      </c>
      <c r="F1574" t="s">
        <v>134</v>
      </c>
      <c r="G1574" t="s">
        <v>34</v>
      </c>
      <c r="H1574" t="s">
        <v>65</v>
      </c>
      <c r="I1574" t="s">
        <v>103</v>
      </c>
      <c r="J1574" t="s">
        <v>74</v>
      </c>
      <c r="K1574" t="s">
        <v>38</v>
      </c>
      <c r="L1574">
        <v>3</v>
      </c>
      <c r="M1574">
        <v>723</v>
      </c>
      <c r="N1574">
        <v>144.6</v>
      </c>
      <c r="O1574">
        <v>0</v>
      </c>
      <c r="P1574">
        <v>2169</v>
      </c>
      <c r="Q1574">
        <v>2024.4</v>
      </c>
      <c r="R1574" t="s">
        <v>39</v>
      </c>
      <c r="S1574" t="s">
        <v>31</v>
      </c>
      <c r="T1574" t="s">
        <v>40</v>
      </c>
      <c r="U1574">
        <v>29</v>
      </c>
      <c r="V1574">
        <v>4.2</v>
      </c>
      <c r="W1574">
        <f>Table2[[#This Row],[Quantity]]*Table2[[#This Row],[Item_Price]]</f>
        <v>2169</v>
      </c>
    </row>
    <row r="1575" spans="1:23" x14ac:dyDescent="0.25">
      <c r="A1575" t="s">
        <v>1672</v>
      </c>
      <c r="B1575" s="1">
        <v>45773</v>
      </c>
      <c r="C1575" t="s">
        <v>1315</v>
      </c>
      <c r="D1575">
        <v>4</v>
      </c>
      <c r="E1575">
        <v>26</v>
      </c>
      <c r="F1575" t="s">
        <v>134</v>
      </c>
      <c r="G1575" t="s">
        <v>34</v>
      </c>
      <c r="H1575" t="s">
        <v>105</v>
      </c>
      <c r="I1575" t="s">
        <v>61</v>
      </c>
      <c r="J1575" t="s">
        <v>82</v>
      </c>
      <c r="K1575" t="s">
        <v>38</v>
      </c>
      <c r="L1575">
        <v>2</v>
      </c>
      <c r="M1575">
        <v>774</v>
      </c>
      <c r="N1575">
        <v>193.5</v>
      </c>
      <c r="O1575">
        <v>20</v>
      </c>
      <c r="P1575">
        <v>1548</v>
      </c>
      <c r="Q1575">
        <v>1374.5</v>
      </c>
      <c r="R1575" t="s">
        <v>98</v>
      </c>
      <c r="S1575" t="s">
        <v>91</v>
      </c>
      <c r="T1575" t="s">
        <v>32</v>
      </c>
      <c r="U1575">
        <v>64</v>
      </c>
      <c r="W1575">
        <f>Table2[[#This Row],[Quantity]]*Table2[[#This Row],[Item_Price]]</f>
        <v>1548</v>
      </c>
    </row>
    <row r="1576" spans="1:23" x14ac:dyDescent="0.25">
      <c r="A1576" t="s">
        <v>1673</v>
      </c>
      <c r="B1576" s="1">
        <v>45773</v>
      </c>
      <c r="C1576" t="s">
        <v>1315</v>
      </c>
      <c r="D1576">
        <v>4</v>
      </c>
      <c r="E1576">
        <v>26</v>
      </c>
      <c r="F1576" t="s">
        <v>134</v>
      </c>
      <c r="G1576" t="s">
        <v>64</v>
      </c>
      <c r="H1576" t="s">
        <v>135</v>
      </c>
      <c r="I1576" t="s">
        <v>27</v>
      </c>
      <c r="J1576" t="s">
        <v>28</v>
      </c>
      <c r="K1576" t="s">
        <v>38</v>
      </c>
      <c r="L1576">
        <v>2</v>
      </c>
      <c r="M1576">
        <v>342</v>
      </c>
      <c r="N1576">
        <v>51.3</v>
      </c>
      <c r="O1576">
        <v>60</v>
      </c>
      <c r="P1576">
        <v>684</v>
      </c>
      <c r="Q1576">
        <v>692.7</v>
      </c>
      <c r="R1576" t="s">
        <v>39</v>
      </c>
      <c r="S1576" t="s">
        <v>91</v>
      </c>
      <c r="T1576" t="s">
        <v>40</v>
      </c>
      <c r="U1576">
        <v>59</v>
      </c>
      <c r="W1576">
        <f>Table2[[#This Row],[Quantity]]*Table2[[#This Row],[Item_Price]]</f>
        <v>684</v>
      </c>
    </row>
    <row r="1577" spans="1:23" x14ac:dyDescent="0.25">
      <c r="A1577" t="s">
        <v>1674</v>
      </c>
      <c r="B1577" s="1">
        <v>45773</v>
      </c>
      <c r="C1577" t="s">
        <v>1315</v>
      </c>
      <c r="D1577">
        <v>4</v>
      </c>
      <c r="E1577">
        <v>26</v>
      </c>
      <c r="F1577" t="s">
        <v>134</v>
      </c>
      <c r="G1577" t="s">
        <v>80</v>
      </c>
      <c r="H1577" t="s">
        <v>26</v>
      </c>
      <c r="I1577" t="s">
        <v>69</v>
      </c>
      <c r="J1577" t="s">
        <v>74</v>
      </c>
      <c r="K1577" t="s">
        <v>45</v>
      </c>
      <c r="L1577">
        <v>1</v>
      </c>
      <c r="M1577">
        <v>509</v>
      </c>
      <c r="N1577">
        <v>76.349999999999994</v>
      </c>
      <c r="O1577">
        <v>30</v>
      </c>
      <c r="P1577">
        <v>509</v>
      </c>
      <c r="Q1577">
        <v>462.65</v>
      </c>
      <c r="R1577" t="s">
        <v>98</v>
      </c>
      <c r="S1577" t="s">
        <v>31</v>
      </c>
      <c r="T1577" t="s">
        <v>32</v>
      </c>
      <c r="U1577">
        <v>38</v>
      </c>
      <c r="V1577">
        <v>2.6</v>
      </c>
      <c r="W1577">
        <f>Table2[[#This Row],[Quantity]]*Table2[[#This Row],[Item_Price]]</f>
        <v>509</v>
      </c>
    </row>
    <row r="1578" spans="1:23" x14ac:dyDescent="0.25">
      <c r="A1578" t="s">
        <v>1675</v>
      </c>
      <c r="B1578" s="1">
        <v>45773</v>
      </c>
      <c r="C1578" t="s">
        <v>1315</v>
      </c>
      <c r="D1578">
        <v>4</v>
      </c>
      <c r="E1578">
        <v>26</v>
      </c>
      <c r="F1578" t="s">
        <v>134</v>
      </c>
      <c r="G1578" t="s">
        <v>25</v>
      </c>
      <c r="H1578" t="s">
        <v>26</v>
      </c>
      <c r="I1578" t="s">
        <v>49</v>
      </c>
      <c r="J1578" t="s">
        <v>44</v>
      </c>
      <c r="K1578" t="s">
        <v>38</v>
      </c>
      <c r="L1578">
        <v>3</v>
      </c>
      <c r="M1578">
        <v>829</v>
      </c>
      <c r="N1578">
        <v>41.45</v>
      </c>
      <c r="O1578">
        <v>50</v>
      </c>
      <c r="P1578">
        <v>2487</v>
      </c>
      <c r="Q1578">
        <v>2495.5500000000002</v>
      </c>
      <c r="R1578" t="s">
        <v>75</v>
      </c>
      <c r="S1578" t="s">
        <v>31</v>
      </c>
      <c r="T1578" t="s">
        <v>40</v>
      </c>
      <c r="U1578">
        <v>63</v>
      </c>
      <c r="V1578">
        <v>4.5999999999999996</v>
      </c>
      <c r="W1578">
        <f>Table2[[#This Row],[Quantity]]*Table2[[#This Row],[Item_Price]]</f>
        <v>2487</v>
      </c>
    </row>
    <row r="1579" spans="1:23" x14ac:dyDescent="0.25">
      <c r="A1579" t="s">
        <v>1676</v>
      </c>
      <c r="B1579" s="1">
        <v>45773</v>
      </c>
      <c r="C1579" t="s">
        <v>1315</v>
      </c>
      <c r="D1579">
        <v>4</v>
      </c>
      <c r="E1579">
        <v>26</v>
      </c>
      <c r="F1579" t="s">
        <v>134</v>
      </c>
      <c r="G1579" t="s">
        <v>80</v>
      </c>
      <c r="H1579" t="s">
        <v>139</v>
      </c>
      <c r="I1579" t="s">
        <v>27</v>
      </c>
      <c r="J1579" t="s">
        <v>82</v>
      </c>
      <c r="K1579" t="s">
        <v>38</v>
      </c>
      <c r="L1579">
        <v>1</v>
      </c>
      <c r="M1579">
        <v>364</v>
      </c>
      <c r="N1579">
        <v>36.4</v>
      </c>
      <c r="O1579">
        <v>50</v>
      </c>
      <c r="P1579">
        <v>364</v>
      </c>
      <c r="Q1579">
        <v>377.6</v>
      </c>
      <c r="R1579" t="s">
        <v>112</v>
      </c>
      <c r="S1579" t="s">
        <v>31</v>
      </c>
      <c r="T1579" t="s">
        <v>40</v>
      </c>
      <c r="U1579">
        <v>51</v>
      </c>
      <c r="V1579">
        <v>3.7</v>
      </c>
      <c r="W1579">
        <f>Table2[[#This Row],[Quantity]]*Table2[[#This Row],[Item_Price]]</f>
        <v>364</v>
      </c>
    </row>
    <row r="1580" spans="1:23" x14ac:dyDescent="0.25">
      <c r="A1580" t="s">
        <v>1677</v>
      </c>
      <c r="B1580" s="1">
        <v>45773</v>
      </c>
      <c r="C1580" t="s">
        <v>1315</v>
      </c>
      <c r="D1580">
        <v>4</v>
      </c>
      <c r="E1580">
        <v>26</v>
      </c>
      <c r="F1580" t="s">
        <v>134</v>
      </c>
      <c r="G1580" t="s">
        <v>64</v>
      </c>
      <c r="H1580" t="s">
        <v>35</v>
      </c>
      <c r="I1580" t="s">
        <v>43</v>
      </c>
      <c r="J1580" t="s">
        <v>37</v>
      </c>
      <c r="K1580" t="s">
        <v>38</v>
      </c>
      <c r="L1580">
        <v>1</v>
      </c>
      <c r="M1580">
        <v>699</v>
      </c>
      <c r="N1580">
        <v>69.900000000000006</v>
      </c>
      <c r="O1580">
        <v>40</v>
      </c>
      <c r="P1580">
        <v>699</v>
      </c>
      <c r="Q1580">
        <v>669.1</v>
      </c>
      <c r="R1580" t="s">
        <v>30</v>
      </c>
      <c r="S1580" t="s">
        <v>31</v>
      </c>
      <c r="T1580" t="s">
        <v>40</v>
      </c>
      <c r="U1580">
        <v>19</v>
      </c>
      <c r="V1580">
        <v>2.7</v>
      </c>
      <c r="W1580">
        <f>Table2[[#This Row],[Quantity]]*Table2[[#This Row],[Item_Price]]</f>
        <v>699</v>
      </c>
    </row>
    <row r="1581" spans="1:23" x14ac:dyDescent="0.25">
      <c r="A1581" t="s">
        <v>1678</v>
      </c>
      <c r="B1581" s="1">
        <v>45773</v>
      </c>
      <c r="C1581" t="s">
        <v>1315</v>
      </c>
      <c r="D1581">
        <v>4</v>
      </c>
      <c r="E1581">
        <v>26</v>
      </c>
      <c r="F1581" t="s">
        <v>134</v>
      </c>
      <c r="G1581" t="s">
        <v>115</v>
      </c>
      <c r="H1581" t="s">
        <v>81</v>
      </c>
      <c r="I1581" t="s">
        <v>36</v>
      </c>
      <c r="J1581" t="s">
        <v>94</v>
      </c>
      <c r="K1581" t="s">
        <v>38</v>
      </c>
      <c r="L1581">
        <v>3</v>
      </c>
      <c r="M1581">
        <v>860</v>
      </c>
      <c r="N1581">
        <v>86</v>
      </c>
      <c r="O1581">
        <v>20</v>
      </c>
      <c r="P1581">
        <v>2580</v>
      </c>
      <c r="Q1581">
        <v>2514</v>
      </c>
      <c r="R1581" t="s">
        <v>30</v>
      </c>
      <c r="S1581" t="s">
        <v>31</v>
      </c>
      <c r="T1581" t="s">
        <v>32</v>
      </c>
      <c r="U1581">
        <v>20</v>
      </c>
      <c r="V1581">
        <v>4.5</v>
      </c>
      <c r="W1581">
        <f>Table2[[#This Row],[Quantity]]*Table2[[#This Row],[Item_Price]]</f>
        <v>2580</v>
      </c>
    </row>
    <row r="1582" spans="1:23" x14ac:dyDescent="0.25">
      <c r="A1582" t="s">
        <v>1679</v>
      </c>
      <c r="B1582" s="1">
        <v>45774</v>
      </c>
      <c r="C1582" t="s">
        <v>1315</v>
      </c>
      <c r="D1582">
        <v>4</v>
      </c>
      <c r="E1582">
        <v>27</v>
      </c>
      <c r="F1582" t="s">
        <v>149</v>
      </c>
      <c r="G1582" t="s">
        <v>115</v>
      </c>
      <c r="H1582" t="s">
        <v>60</v>
      </c>
      <c r="I1582" t="s">
        <v>103</v>
      </c>
      <c r="J1582" t="s">
        <v>50</v>
      </c>
      <c r="K1582" t="s">
        <v>45</v>
      </c>
      <c r="L1582">
        <v>2</v>
      </c>
      <c r="M1582">
        <v>608</v>
      </c>
      <c r="N1582">
        <v>0</v>
      </c>
      <c r="O1582">
        <v>60</v>
      </c>
      <c r="P1582">
        <v>1216</v>
      </c>
      <c r="Q1582">
        <v>1276</v>
      </c>
      <c r="R1582" t="s">
        <v>75</v>
      </c>
      <c r="S1582" t="s">
        <v>31</v>
      </c>
      <c r="T1582" t="s">
        <v>40</v>
      </c>
      <c r="U1582">
        <v>48</v>
      </c>
      <c r="V1582">
        <v>3.6</v>
      </c>
      <c r="W1582">
        <f>Table2[[#This Row],[Quantity]]*Table2[[#This Row],[Item_Price]]</f>
        <v>1216</v>
      </c>
    </row>
    <row r="1583" spans="1:23" x14ac:dyDescent="0.25">
      <c r="A1583" t="s">
        <v>1680</v>
      </c>
      <c r="B1583" s="1">
        <v>45774</v>
      </c>
      <c r="C1583" t="s">
        <v>1315</v>
      </c>
      <c r="D1583">
        <v>4</v>
      </c>
      <c r="E1583">
        <v>27</v>
      </c>
      <c r="F1583" t="s">
        <v>149</v>
      </c>
      <c r="G1583" t="s">
        <v>34</v>
      </c>
      <c r="H1583" t="s">
        <v>26</v>
      </c>
      <c r="I1583" t="s">
        <v>49</v>
      </c>
      <c r="J1583" t="s">
        <v>50</v>
      </c>
      <c r="K1583" t="s">
        <v>38</v>
      </c>
      <c r="L1583">
        <v>2</v>
      </c>
      <c r="M1583">
        <v>154</v>
      </c>
      <c r="N1583">
        <v>15.4</v>
      </c>
      <c r="O1583">
        <v>30</v>
      </c>
      <c r="P1583">
        <v>308</v>
      </c>
      <c r="Q1583">
        <v>322.60000000000002</v>
      </c>
      <c r="R1583" t="s">
        <v>39</v>
      </c>
      <c r="S1583" t="s">
        <v>31</v>
      </c>
      <c r="T1583" t="s">
        <v>32</v>
      </c>
      <c r="U1583">
        <v>35</v>
      </c>
      <c r="V1583">
        <v>4.2</v>
      </c>
      <c r="W1583">
        <f>Table2[[#This Row],[Quantity]]*Table2[[#This Row],[Item_Price]]</f>
        <v>308</v>
      </c>
    </row>
    <row r="1584" spans="1:23" x14ac:dyDescent="0.25">
      <c r="A1584" t="s">
        <v>1681</v>
      </c>
      <c r="B1584" s="1">
        <v>45774</v>
      </c>
      <c r="C1584" t="s">
        <v>1315</v>
      </c>
      <c r="D1584">
        <v>4</v>
      </c>
      <c r="E1584">
        <v>27</v>
      </c>
      <c r="F1584" t="s">
        <v>149</v>
      </c>
      <c r="G1584" t="s">
        <v>115</v>
      </c>
      <c r="H1584" t="s">
        <v>35</v>
      </c>
      <c r="I1584" t="s">
        <v>43</v>
      </c>
      <c r="J1584" t="s">
        <v>44</v>
      </c>
      <c r="K1584" t="s">
        <v>38</v>
      </c>
      <c r="L1584">
        <v>2</v>
      </c>
      <c r="M1584">
        <v>196</v>
      </c>
      <c r="N1584">
        <v>9.8000000000000007</v>
      </c>
      <c r="O1584">
        <v>70</v>
      </c>
      <c r="P1584">
        <v>392</v>
      </c>
      <c r="Q1584">
        <v>452.2</v>
      </c>
      <c r="R1584" t="s">
        <v>112</v>
      </c>
      <c r="S1584" t="s">
        <v>31</v>
      </c>
      <c r="T1584" t="s">
        <v>40</v>
      </c>
      <c r="U1584">
        <v>44</v>
      </c>
      <c r="V1584">
        <v>4.5999999999999996</v>
      </c>
      <c r="W1584">
        <f>Table2[[#This Row],[Quantity]]*Table2[[#This Row],[Item_Price]]</f>
        <v>392</v>
      </c>
    </row>
    <row r="1585" spans="1:23" x14ac:dyDescent="0.25">
      <c r="A1585" t="s">
        <v>1682</v>
      </c>
      <c r="B1585" s="1">
        <v>45774</v>
      </c>
      <c r="C1585" t="s">
        <v>1315</v>
      </c>
      <c r="D1585">
        <v>4</v>
      </c>
      <c r="E1585">
        <v>27</v>
      </c>
      <c r="F1585" t="s">
        <v>149</v>
      </c>
      <c r="G1585" t="s">
        <v>64</v>
      </c>
      <c r="H1585" t="s">
        <v>77</v>
      </c>
      <c r="I1585" t="s">
        <v>43</v>
      </c>
      <c r="J1585" t="s">
        <v>172</v>
      </c>
      <c r="K1585" t="s">
        <v>38</v>
      </c>
      <c r="L1585">
        <v>1</v>
      </c>
      <c r="M1585">
        <v>797</v>
      </c>
      <c r="N1585">
        <v>79.7</v>
      </c>
      <c r="O1585">
        <v>40</v>
      </c>
      <c r="P1585">
        <v>797</v>
      </c>
      <c r="Q1585">
        <v>757.3</v>
      </c>
      <c r="R1585" t="s">
        <v>39</v>
      </c>
      <c r="S1585" t="s">
        <v>31</v>
      </c>
      <c r="T1585" t="s">
        <v>40</v>
      </c>
      <c r="U1585">
        <v>41</v>
      </c>
      <c r="V1585">
        <v>3.7</v>
      </c>
      <c r="W1585">
        <f>Table2[[#This Row],[Quantity]]*Table2[[#This Row],[Item_Price]]</f>
        <v>797</v>
      </c>
    </row>
    <row r="1586" spans="1:23" x14ac:dyDescent="0.25">
      <c r="A1586" t="s">
        <v>1683</v>
      </c>
      <c r="B1586" s="1">
        <v>45774</v>
      </c>
      <c r="C1586" t="s">
        <v>1315</v>
      </c>
      <c r="D1586">
        <v>4</v>
      </c>
      <c r="E1586">
        <v>27</v>
      </c>
      <c r="F1586" t="s">
        <v>149</v>
      </c>
      <c r="G1586" t="s">
        <v>25</v>
      </c>
      <c r="H1586" t="s">
        <v>77</v>
      </c>
      <c r="I1586" t="s">
        <v>27</v>
      </c>
      <c r="J1586" t="s">
        <v>70</v>
      </c>
      <c r="K1586" t="s">
        <v>45</v>
      </c>
      <c r="L1586">
        <v>2</v>
      </c>
      <c r="M1586">
        <v>506</v>
      </c>
      <c r="N1586">
        <v>50.6</v>
      </c>
      <c r="O1586">
        <v>40</v>
      </c>
      <c r="P1586">
        <v>1012</v>
      </c>
      <c r="Q1586">
        <v>1001.4</v>
      </c>
      <c r="R1586" t="s">
        <v>39</v>
      </c>
      <c r="S1586" t="s">
        <v>31</v>
      </c>
      <c r="T1586" t="s">
        <v>40</v>
      </c>
      <c r="U1586">
        <v>58</v>
      </c>
      <c r="V1586">
        <v>3.9</v>
      </c>
      <c r="W1586">
        <f>Table2[[#This Row],[Quantity]]*Table2[[#This Row],[Item_Price]]</f>
        <v>1012</v>
      </c>
    </row>
    <row r="1587" spans="1:23" x14ac:dyDescent="0.25">
      <c r="A1587" t="s">
        <v>1684</v>
      </c>
      <c r="B1587" s="1">
        <v>45774</v>
      </c>
      <c r="C1587" t="s">
        <v>1315</v>
      </c>
      <c r="D1587">
        <v>4</v>
      </c>
      <c r="E1587">
        <v>27</v>
      </c>
      <c r="F1587" t="s">
        <v>149</v>
      </c>
      <c r="G1587" t="s">
        <v>80</v>
      </c>
      <c r="H1587" t="s">
        <v>56</v>
      </c>
      <c r="I1587" t="s">
        <v>49</v>
      </c>
      <c r="J1587" t="s">
        <v>70</v>
      </c>
      <c r="K1587" t="s">
        <v>29</v>
      </c>
      <c r="L1587">
        <v>2</v>
      </c>
      <c r="M1587">
        <v>477</v>
      </c>
      <c r="N1587">
        <v>0</v>
      </c>
      <c r="O1587">
        <v>60</v>
      </c>
      <c r="P1587">
        <v>954</v>
      </c>
      <c r="Q1587">
        <v>1014</v>
      </c>
      <c r="R1587" t="s">
        <v>75</v>
      </c>
      <c r="S1587" t="s">
        <v>46</v>
      </c>
      <c r="T1587" t="s">
        <v>40</v>
      </c>
      <c r="U1587">
        <v>24</v>
      </c>
      <c r="W1587">
        <f>Table2[[#This Row],[Quantity]]*Table2[[#This Row],[Item_Price]]</f>
        <v>954</v>
      </c>
    </row>
    <row r="1588" spans="1:23" x14ac:dyDescent="0.25">
      <c r="A1588" t="s">
        <v>1685</v>
      </c>
      <c r="B1588" s="1">
        <v>45774</v>
      </c>
      <c r="C1588" t="s">
        <v>1315</v>
      </c>
      <c r="D1588">
        <v>4</v>
      </c>
      <c r="E1588">
        <v>27</v>
      </c>
      <c r="F1588" t="s">
        <v>149</v>
      </c>
      <c r="G1588" t="s">
        <v>64</v>
      </c>
      <c r="H1588" t="s">
        <v>26</v>
      </c>
      <c r="I1588" t="s">
        <v>69</v>
      </c>
      <c r="J1588" t="s">
        <v>50</v>
      </c>
      <c r="K1588" t="s">
        <v>45</v>
      </c>
      <c r="L1588">
        <v>1</v>
      </c>
      <c r="M1588">
        <v>605</v>
      </c>
      <c r="N1588">
        <v>0</v>
      </c>
      <c r="O1588">
        <v>0</v>
      </c>
      <c r="P1588">
        <v>605</v>
      </c>
      <c r="Q1588">
        <v>605</v>
      </c>
      <c r="R1588" t="s">
        <v>112</v>
      </c>
      <c r="S1588" t="s">
        <v>91</v>
      </c>
      <c r="T1588" t="s">
        <v>40</v>
      </c>
      <c r="U1588">
        <v>43</v>
      </c>
      <c r="W1588">
        <f>Table2[[#This Row],[Quantity]]*Table2[[#This Row],[Item_Price]]</f>
        <v>605</v>
      </c>
    </row>
    <row r="1589" spans="1:23" x14ac:dyDescent="0.25">
      <c r="A1589" t="s">
        <v>1686</v>
      </c>
      <c r="B1589" s="1">
        <v>45774</v>
      </c>
      <c r="C1589" t="s">
        <v>1315</v>
      </c>
      <c r="D1589">
        <v>4</v>
      </c>
      <c r="E1589">
        <v>27</v>
      </c>
      <c r="F1589" t="s">
        <v>149</v>
      </c>
      <c r="G1589" t="s">
        <v>34</v>
      </c>
      <c r="H1589" t="s">
        <v>135</v>
      </c>
      <c r="I1589" t="s">
        <v>43</v>
      </c>
      <c r="J1589" t="s">
        <v>53</v>
      </c>
      <c r="K1589" t="s">
        <v>38</v>
      </c>
      <c r="L1589">
        <v>2</v>
      </c>
      <c r="M1589">
        <v>145</v>
      </c>
      <c r="N1589">
        <v>29</v>
      </c>
      <c r="O1589">
        <v>60</v>
      </c>
      <c r="P1589">
        <v>290</v>
      </c>
      <c r="Q1589">
        <v>321</v>
      </c>
      <c r="R1589" t="s">
        <v>39</v>
      </c>
      <c r="S1589" t="s">
        <v>31</v>
      </c>
      <c r="T1589" t="s">
        <v>32</v>
      </c>
      <c r="U1589">
        <v>24</v>
      </c>
      <c r="V1589">
        <v>4.0999999999999996</v>
      </c>
      <c r="W1589">
        <f>Table2[[#This Row],[Quantity]]*Table2[[#This Row],[Item_Price]]</f>
        <v>290</v>
      </c>
    </row>
    <row r="1590" spans="1:23" x14ac:dyDescent="0.25">
      <c r="A1590" t="s">
        <v>1687</v>
      </c>
      <c r="B1590" s="1">
        <v>45774</v>
      </c>
      <c r="C1590" t="s">
        <v>1315</v>
      </c>
      <c r="D1590">
        <v>4</v>
      </c>
      <c r="E1590">
        <v>27</v>
      </c>
      <c r="F1590" t="s">
        <v>149</v>
      </c>
      <c r="G1590" t="s">
        <v>64</v>
      </c>
      <c r="H1590" t="s">
        <v>35</v>
      </c>
      <c r="I1590" t="s">
        <v>57</v>
      </c>
      <c r="J1590" t="s">
        <v>74</v>
      </c>
      <c r="K1590" t="s">
        <v>38</v>
      </c>
      <c r="L1590">
        <v>1</v>
      </c>
      <c r="M1590">
        <v>147</v>
      </c>
      <c r="N1590">
        <v>14.7</v>
      </c>
      <c r="O1590">
        <v>50</v>
      </c>
      <c r="P1590">
        <v>147</v>
      </c>
      <c r="Q1590">
        <v>182.3</v>
      </c>
      <c r="R1590" t="s">
        <v>75</v>
      </c>
      <c r="S1590" t="s">
        <v>31</v>
      </c>
      <c r="T1590" t="s">
        <v>40</v>
      </c>
      <c r="U1590">
        <v>40</v>
      </c>
      <c r="V1590">
        <v>4.2</v>
      </c>
      <c r="W1590">
        <f>Table2[[#This Row],[Quantity]]*Table2[[#This Row],[Item_Price]]</f>
        <v>147</v>
      </c>
    </row>
    <row r="1591" spans="1:23" x14ac:dyDescent="0.25">
      <c r="A1591" t="s">
        <v>1688</v>
      </c>
      <c r="B1591" s="1">
        <v>45774</v>
      </c>
      <c r="C1591" t="s">
        <v>1315</v>
      </c>
      <c r="D1591">
        <v>4</v>
      </c>
      <c r="E1591">
        <v>27</v>
      </c>
      <c r="F1591" t="s">
        <v>149</v>
      </c>
      <c r="G1591" t="s">
        <v>64</v>
      </c>
      <c r="H1591" t="s">
        <v>105</v>
      </c>
      <c r="I1591" t="s">
        <v>85</v>
      </c>
      <c r="J1591" t="s">
        <v>28</v>
      </c>
      <c r="K1591" t="s">
        <v>38</v>
      </c>
      <c r="L1591">
        <v>1</v>
      </c>
      <c r="M1591">
        <v>727</v>
      </c>
      <c r="N1591">
        <v>181.75</v>
      </c>
      <c r="O1591">
        <v>40</v>
      </c>
      <c r="P1591">
        <v>727</v>
      </c>
      <c r="Q1591">
        <v>585.25</v>
      </c>
      <c r="R1591" t="s">
        <v>39</v>
      </c>
      <c r="S1591" t="s">
        <v>31</v>
      </c>
      <c r="T1591" t="s">
        <v>40</v>
      </c>
      <c r="U1591">
        <v>20</v>
      </c>
      <c r="V1591">
        <v>3.6</v>
      </c>
      <c r="W1591">
        <f>Table2[[#This Row],[Quantity]]*Table2[[#This Row],[Item_Price]]</f>
        <v>727</v>
      </c>
    </row>
    <row r="1592" spans="1:23" x14ac:dyDescent="0.25">
      <c r="A1592" t="s">
        <v>1689</v>
      </c>
      <c r="B1592" s="1">
        <v>45774</v>
      </c>
      <c r="C1592" t="s">
        <v>1315</v>
      </c>
      <c r="D1592">
        <v>4</v>
      </c>
      <c r="E1592">
        <v>27</v>
      </c>
      <c r="F1592" t="s">
        <v>149</v>
      </c>
      <c r="G1592" t="s">
        <v>115</v>
      </c>
      <c r="H1592" t="s">
        <v>135</v>
      </c>
      <c r="I1592" t="s">
        <v>103</v>
      </c>
      <c r="J1592" t="s">
        <v>123</v>
      </c>
      <c r="K1592" t="s">
        <v>29</v>
      </c>
      <c r="L1592">
        <v>1</v>
      </c>
      <c r="M1592">
        <v>379</v>
      </c>
      <c r="N1592">
        <v>94.75</v>
      </c>
      <c r="O1592">
        <v>30</v>
      </c>
      <c r="P1592">
        <v>379</v>
      </c>
      <c r="Q1592">
        <v>314.25</v>
      </c>
      <c r="R1592" t="s">
        <v>30</v>
      </c>
      <c r="S1592" t="s">
        <v>31</v>
      </c>
      <c r="T1592" t="s">
        <v>40</v>
      </c>
      <c r="U1592">
        <v>38</v>
      </c>
      <c r="V1592">
        <v>2.2999999999999998</v>
      </c>
      <c r="W1592">
        <f>Table2[[#This Row],[Quantity]]*Table2[[#This Row],[Item_Price]]</f>
        <v>379</v>
      </c>
    </row>
    <row r="1593" spans="1:23" x14ac:dyDescent="0.25">
      <c r="A1593" t="s">
        <v>1690</v>
      </c>
      <c r="B1593" s="1">
        <v>45774</v>
      </c>
      <c r="C1593" t="s">
        <v>1315</v>
      </c>
      <c r="D1593">
        <v>4</v>
      </c>
      <c r="E1593">
        <v>27</v>
      </c>
      <c r="F1593" t="s">
        <v>149</v>
      </c>
      <c r="G1593" t="s">
        <v>55</v>
      </c>
      <c r="H1593" t="s">
        <v>42</v>
      </c>
      <c r="I1593" t="s">
        <v>27</v>
      </c>
      <c r="J1593" t="s">
        <v>172</v>
      </c>
      <c r="K1593" t="s">
        <v>58</v>
      </c>
      <c r="L1593">
        <v>1</v>
      </c>
      <c r="M1593">
        <v>399</v>
      </c>
      <c r="N1593">
        <v>39.9</v>
      </c>
      <c r="O1593">
        <v>40</v>
      </c>
      <c r="P1593">
        <v>399</v>
      </c>
      <c r="Q1593">
        <v>399.1</v>
      </c>
      <c r="R1593" t="s">
        <v>30</v>
      </c>
      <c r="S1593" t="s">
        <v>31</v>
      </c>
      <c r="T1593" t="s">
        <v>40</v>
      </c>
      <c r="U1593">
        <v>42</v>
      </c>
      <c r="V1593">
        <v>4.2</v>
      </c>
      <c r="W1593">
        <f>Table2[[#This Row],[Quantity]]*Table2[[#This Row],[Item_Price]]</f>
        <v>399</v>
      </c>
    </row>
    <row r="1594" spans="1:23" x14ac:dyDescent="0.25">
      <c r="A1594" t="s">
        <v>1691</v>
      </c>
      <c r="B1594" s="1">
        <v>45774</v>
      </c>
      <c r="C1594" t="s">
        <v>1315</v>
      </c>
      <c r="D1594">
        <v>4</v>
      </c>
      <c r="E1594">
        <v>27</v>
      </c>
      <c r="F1594" t="s">
        <v>149</v>
      </c>
      <c r="G1594" t="s">
        <v>55</v>
      </c>
      <c r="H1594" t="s">
        <v>81</v>
      </c>
      <c r="I1594" t="s">
        <v>57</v>
      </c>
      <c r="J1594" t="s">
        <v>82</v>
      </c>
      <c r="K1594" t="s">
        <v>38</v>
      </c>
      <c r="L1594">
        <v>1</v>
      </c>
      <c r="M1594">
        <v>562</v>
      </c>
      <c r="N1594">
        <v>84.3</v>
      </c>
      <c r="O1594">
        <v>70</v>
      </c>
      <c r="P1594">
        <v>562</v>
      </c>
      <c r="Q1594">
        <v>547.70000000000005</v>
      </c>
      <c r="R1594" t="s">
        <v>39</v>
      </c>
      <c r="S1594" t="s">
        <v>31</v>
      </c>
      <c r="T1594" t="s">
        <v>40</v>
      </c>
      <c r="U1594">
        <v>34</v>
      </c>
      <c r="V1594">
        <v>4.4000000000000004</v>
      </c>
      <c r="W1594">
        <f>Table2[[#This Row],[Quantity]]*Table2[[#This Row],[Item_Price]]</f>
        <v>562</v>
      </c>
    </row>
    <row r="1595" spans="1:23" x14ac:dyDescent="0.25">
      <c r="A1595" t="s">
        <v>1692</v>
      </c>
      <c r="B1595" s="1">
        <v>45774</v>
      </c>
      <c r="C1595" t="s">
        <v>1315</v>
      </c>
      <c r="D1595">
        <v>4</v>
      </c>
      <c r="E1595">
        <v>27</v>
      </c>
      <c r="F1595" t="s">
        <v>149</v>
      </c>
      <c r="G1595" t="s">
        <v>115</v>
      </c>
      <c r="H1595" t="s">
        <v>48</v>
      </c>
      <c r="I1595" t="s">
        <v>27</v>
      </c>
      <c r="J1595" t="s">
        <v>82</v>
      </c>
      <c r="K1595" t="s">
        <v>38</v>
      </c>
      <c r="L1595">
        <v>2</v>
      </c>
      <c r="M1595">
        <v>309</v>
      </c>
      <c r="N1595">
        <v>15.45</v>
      </c>
      <c r="O1595">
        <v>60</v>
      </c>
      <c r="P1595">
        <v>618</v>
      </c>
      <c r="Q1595">
        <v>662.55</v>
      </c>
      <c r="R1595" t="s">
        <v>75</v>
      </c>
      <c r="S1595" t="s">
        <v>31</v>
      </c>
      <c r="T1595" t="s">
        <v>32</v>
      </c>
      <c r="U1595">
        <v>61</v>
      </c>
      <c r="V1595">
        <v>5</v>
      </c>
      <c r="W1595">
        <f>Table2[[#This Row],[Quantity]]*Table2[[#This Row],[Item_Price]]</f>
        <v>618</v>
      </c>
    </row>
    <row r="1596" spans="1:23" x14ac:dyDescent="0.25">
      <c r="A1596" t="s">
        <v>1693</v>
      </c>
      <c r="B1596" s="1">
        <v>45774</v>
      </c>
      <c r="C1596" t="s">
        <v>1315</v>
      </c>
      <c r="D1596">
        <v>4</v>
      </c>
      <c r="E1596">
        <v>27</v>
      </c>
      <c r="F1596" t="s">
        <v>149</v>
      </c>
      <c r="G1596" t="s">
        <v>73</v>
      </c>
      <c r="H1596" t="s">
        <v>56</v>
      </c>
      <c r="I1596" t="s">
        <v>49</v>
      </c>
      <c r="J1596" t="s">
        <v>66</v>
      </c>
      <c r="K1596" t="s">
        <v>38</v>
      </c>
      <c r="L1596">
        <v>1</v>
      </c>
      <c r="M1596">
        <v>328</v>
      </c>
      <c r="N1596">
        <v>65.599999999999994</v>
      </c>
      <c r="O1596">
        <v>20</v>
      </c>
      <c r="P1596">
        <v>328</v>
      </c>
      <c r="Q1596">
        <v>282.39999999999998</v>
      </c>
      <c r="R1596" t="s">
        <v>98</v>
      </c>
      <c r="S1596" t="s">
        <v>31</v>
      </c>
      <c r="T1596" t="s">
        <v>32</v>
      </c>
      <c r="U1596">
        <v>30</v>
      </c>
      <c r="V1596">
        <v>4.3</v>
      </c>
      <c r="W1596">
        <f>Table2[[#This Row],[Quantity]]*Table2[[#This Row],[Item_Price]]</f>
        <v>328</v>
      </c>
    </row>
    <row r="1597" spans="1:23" x14ac:dyDescent="0.25">
      <c r="A1597" t="s">
        <v>1694</v>
      </c>
      <c r="B1597" s="1">
        <v>45774</v>
      </c>
      <c r="C1597" t="s">
        <v>1315</v>
      </c>
      <c r="D1597">
        <v>4</v>
      </c>
      <c r="E1597">
        <v>27</v>
      </c>
      <c r="F1597" t="s">
        <v>149</v>
      </c>
      <c r="G1597" t="s">
        <v>80</v>
      </c>
      <c r="H1597" t="s">
        <v>48</v>
      </c>
      <c r="I1597" t="s">
        <v>61</v>
      </c>
      <c r="J1597" t="s">
        <v>44</v>
      </c>
      <c r="K1597" t="s">
        <v>38</v>
      </c>
      <c r="L1597">
        <v>1</v>
      </c>
      <c r="M1597">
        <v>166</v>
      </c>
      <c r="N1597">
        <v>16.600000000000001</v>
      </c>
      <c r="O1597">
        <v>0</v>
      </c>
      <c r="P1597">
        <v>166</v>
      </c>
      <c r="Q1597">
        <v>149.4</v>
      </c>
      <c r="R1597" t="s">
        <v>98</v>
      </c>
      <c r="S1597" t="s">
        <v>31</v>
      </c>
      <c r="T1597" t="s">
        <v>40</v>
      </c>
      <c r="U1597">
        <v>53</v>
      </c>
      <c r="V1597">
        <v>3.7</v>
      </c>
      <c r="W1597">
        <f>Table2[[#This Row],[Quantity]]*Table2[[#This Row],[Item_Price]]</f>
        <v>166</v>
      </c>
    </row>
    <row r="1598" spans="1:23" x14ac:dyDescent="0.25">
      <c r="A1598" t="s">
        <v>1695</v>
      </c>
      <c r="B1598" s="1">
        <v>45774</v>
      </c>
      <c r="C1598" t="s">
        <v>1315</v>
      </c>
      <c r="D1598">
        <v>4</v>
      </c>
      <c r="E1598">
        <v>27</v>
      </c>
      <c r="F1598" t="s">
        <v>149</v>
      </c>
      <c r="G1598" t="s">
        <v>115</v>
      </c>
      <c r="H1598" t="s">
        <v>81</v>
      </c>
      <c r="I1598" t="s">
        <v>36</v>
      </c>
      <c r="J1598" t="s">
        <v>78</v>
      </c>
      <c r="K1598" t="s">
        <v>38</v>
      </c>
      <c r="L1598">
        <v>1</v>
      </c>
      <c r="M1598">
        <v>211</v>
      </c>
      <c r="N1598">
        <v>42.2</v>
      </c>
      <c r="O1598">
        <v>20</v>
      </c>
      <c r="P1598">
        <v>211</v>
      </c>
      <c r="Q1598">
        <v>188.8</v>
      </c>
      <c r="R1598" t="s">
        <v>39</v>
      </c>
      <c r="S1598" t="s">
        <v>31</v>
      </c>
      <c r="T1598" t="s">
        <v>40</v>
      </c>
      <c r="U1598">
        <v>43</v>
      </c>
      <c r="V1598">
        <v>3.8</v>
      </c>
      <c r="W1598">
        <f>Table2[[#This Row],[Quantity]]*Table2[[#This Row],[Item_Price]]</f>
        <v>211</v>
      </c>
    </row>
    <row r="1599" spans="1:23" x14ac:dyDescent="0.25">
      <c r="A1599" t="s">
        <v>1696</v>
      </c>
      <c r="B1599" s="1">
        <v>45774</v>
      </c>
      <c r="C1599" t="s">
        <v>1315</v>
      </c>
      <c r="D1599">
        <v>4</v>
      </c>
      <c r="E1599">
        <v>27</v>
      </c>
      <c r="F1599" t="s">
        <v>149</v>
      </c>
      <c r="G1599" t="s">
        <v>80</v>
      </c>
      <c r="H1599" t="s">
        <v>35</v>
      </c>
      <c r="I1599" t="s">
        <v>49</v>
      </c>
      <c r="J1599" t="s">
        <v>62</v>
      </c>
      <c r="K1599" t="s">
        <v>38</v>
      </c>
      <c r="L1599">
        <v>2</v>
      </c>
      <c r="M1599">
        <v>820</v>
      </c>
      <c r="N1599">
        <v>82</v>
      </c>
      <c r="O1599">
        <v>0</v>
      </c>
      <c r="P1599">
        <v>1640</v>
      </c>
      <c r="Q1599">
        <v>1558</v>
      </c>
      <c r="R1599" t="s">
        <v>39</v>
      </c>
      <c r="S1599" t="s">
        <v>46</v>
      </c>
      <c r="T1599" t="s">
        <v>32</v>
      </c>
      <c r="U1599">
        <v>20</v>
      </c>
      <c r="W1599">
        <f>Table2[[#This Row],[Quantity]]*Table2[[#This Row],[Item_Price]]</f>
        <v>1640</v>
      </c>
    </row>
    <row r="1600" spans="1:23" x14ac:dyDescent="0.25">
      <c r="A1600" t="s">
        <v>1697</v>
      </c>
      <c r="B1600" s="1">
        <v>45775</v>
      </c>
      <c r="C1600" t="s">
        <v>1315</v>
      </c>
      <c r="D1600">
        <v>4</v>
      </c>
      <c r="E1600">
        <v>28</v>
      </c>
      <c r="F1600" t="s">
        <v>168</v>
      </c>
      <c r="G1600" t="s">
        <v>90</v>
      </c>
      <c r="H1600" t="s">
        <v>139</v>
      </c>
      <c r="I1600" t="s">
        <v>69</v>
      </c>
      <c r="J1600" t="s">
        <v>50</v>
      </c>
      <c r="K1600" t="s">
        <v>38</v>
      </c>
      <c r="L1600">
        <v>1</v>
      </c>
      <c r="M1600">
        <v>890</v>
      </c>
      <c r="N1600">
        <v>222.5</v>
      </c>
      <c r="O1600">
        <v>30</v>
      </c>
      <c r="P1600">
        <v>890</v>
      </c>
      <c r="Q1600">
        <v>697.5</v>
      </c>
      <c r="R1600" t="s">
        <v>75</v>
      </c>
      <c r="S1600" t="s">
        <v>31</v>
      </c>
      <c r="T1600" t="s">
        <v>40</v>
      </c>
      <c r="U1600">
        <v>32</v>
      </c>
      <c r="V1600">
        <v>4.5</v>
      </c>
      <c r="W1600">
        <f>Table2[[#This Row],[Quantity]]*Table2[[#This Row],[Item_Price]]</f>
        <v>890</v>
      </c>
    </row>
    <row r="1601" spans="1:23" x14ac:dyDescent="0.25">
      <c r="A1601" t="s">
        <v>1698</v>
      </c>
      <c r="B1601" s="1">
        <v>45775</v>
      </c>
      <c r="C1601" t="s">
        <v>1315</v>
      </c>
      <c r="D1601">
        <v>4</v>
      </c>
      <c r="E1601">
        <v>28</v>
      </c>
      <c r="F1601" t="s">
        <v>168</v>
      </c>
      <c r="G1601" t="s">
        <v>34</v>
      </c>
      <c r="H1601" t="s">
        <v>105</v>
      </c>
      <c r="I1601" t="s">
        <v>27</v>
      </c>
      <c r="J1601" t="s">
        <v>28</v>
      </c>
      <c r="K1601" t="s">
        <v>38</v>
      </c>
      <c r="L1601">
        <v>1</v>
      </c>
      <c r="M1601">
        <v>217</v>
      </c>
      <c r="N1601">
        <v>21.7</v>
      </c>
      <c r="O1601">
        <v>50</v>
      </c>
      <c r="P1601">
        <v>217</v>
      </c>
      <c r="Q1601">
        <v>245.3</v>
      </c>
      <c r="R1601" t="s">
        <v>39</v>
      </c>
      <c r="S1601" t="s">
        <v>31</v>
      </c>
      <c r="T1601" t="s">
        <v>40</v>
      </c>
      <c r="U1601">
        <v>50</v>
      </c>
      <c r="V1601">
        <v>4.3</v>
      </c>
      <c r="W1601">
        <f>Table2[[#This Row],[Quantity]]*Table2[[#This Row],[Item_Price]]</f>
        <v>217</v>
      </c>
    </row>
    <row r="1602" spans="1:23" x14ac:dyDescent="0.25">
      <c r="A1602" t="s">
        <v>1699</v>
      </c>
      <c r="B1602" s="1">
        <v>45775</v>
      </c>
      <c r="C1602" t="s">
        <v>1315</v>
      </c>
      <c r="D1602">
        <v>4</v>
      </c>
      <c r="E1602">
        <v>28</v>
      </c>
      <c r="F1602" t="s">
        <v>168</v>
      </c>
      <c r="G1602" t="s">
        <v>80</v>
      </c>
      <c r="H1602" t="s">
        <v>35</v>
      </c>
      <c r="I1602" t="s">
        <v>103</v>
      </c>
      <c r="J1602" t="s">
        <v>50</v>
      </c>
      <c r="K1602" t="s">
        <v>38</v>
      </c>
      <c r="L1602">
        <v>3</v>
      </c>
      <c r="M1602">
        <v>343</v>
      </c>
      <c r="N1602">
        <v>68.599999999999994</v>
      </c>
      <c r="O1602">
        <v>20</v>
      </c>
      <c r="P1602">
        <v>1029</v>
      </c>
      <c r="Q1602">
        <v>980.4</v>
      </c>
      <c r="R1602" t="s">
        <v>39</v>
      </c>
      <c r="S1602" t="s">
        <v>31</v>
      </c>
      <c r="T1602" t="s">
        <v>40</v>
      </c>
      <c r="U1602">
        <v>25</v>
      </c>
      <c r="V1602">
        <v>4.9000000000000004</v>
      </c>
      <c r="W1602">
        <f>Table2[[#This Row],[Quantity]]*Table2[[#This Row],[Item_Price]]</f>
        <v>1029</v>
      </c>
    </row>
    <row r="1603" spans="1:23" x14ac:dyDescent="0.25">
      <c r="A1603" t="s">
        <v>1700</v>
      </c>
      <c r="B1603" s="1">
        <v>45775</v>
      </c>
      <c r="C1603" t="s">
        <v>1315</v>
      </c>
      <c r="D1603">
        <v>4</v>
      </c>
      <c r="E1603">
        <v>28</v>
      </c>
      <c r="F1603" t="s">
        <v>168</v>
      </c>
      <c r="G1603" t="s">
        <v>84</v>
      </c>
      <c r="H1603" t="s">
        <v>56</v>
      </c>
      <c r="I1603" t="s">
        <v>27</v>
      </c>
      <c r="J1603" t="s">
        <v>50</v>
      </c>
      <c r="K1603" t="s">
        <v>45</v>
      </c>
      <c r="L1603">
        <v>1</v>
      </c>
      <c r="M1603">
        <v>469</v>
      </c>
      <c r="N1603">
        <v>46.9</v>
      </c>
      <c r="O1603">
        <v>40</v>
      </c>
      <c r="P1603">
        <v>469</v>
      </c>
      <c r="Q1603">
        <v>462.1</v>
      </c>
      <c r="R1603" t="s">
        <v>30</v>
      </c>
      <c r="S1603" t="s">
        <v>31</v>
      </c>
      <c r="T1603" t="s">
        <v>32</v>
      </c>
      <c r="U1603">
        <v>59</v>
      </c>
      <c r="V1603">
        <v>5</v>
      </c>
      <c r="W1603">
        <f>Table2[[#This Row],[Quantity]]*Table2[[#This Row],[Item_Price]]</f>
        <v>469</v>
      </c>
    </row>
    <row r="1604" spans="1:23" x14ac:dyDescent="0.25">
      <c r="A1604" t="s">
        <v>1701</v>
      </c>
      <c r="B1604" s="1">
        <v>45775</v>
      </c>
      <c r="C1604" t="s">
        <v>1315</v>
      </c>
      <c r="D1604">
        <v>4</v>
      </c>
      <c r="E1604">
        <v>28</v>
      </c>
      <c r="F1604" t="s">
        <v>168</v>
      </c>
      <c r="G1604" t="s">
        <v>84</v>
      </c>
      <c r="H1604" t="s">
        <v>35</v>
      </c>
      <c r="I1604" t="s">
        <v>97</v>
      </c>
      <c r="J1604" t="s">
        <v>62</v>
      </c>
      <c r="K1604" t="s">
        <v>38</v>
      </c>
      <c r="L1604">
        <v>3</v>
      </c>
      <c r="M1604">
        <v>689</v>
      </c>
      <c r="N1604">
        <v>0</v>
      </c>
      <c r="O1604">
        <v>30</v>
      </c>
      <c r="P1604">
        <v>2067</v>
      </c>
      <c r="Q1604">
        <v>2097</v>
      </c>
      <c r="R1604" t="s">
        <v>75</v>
      </c>
      <c r="S1604" t="s">
        <v>31</v>
      </c>
      <c r="T1604" t="s">
        <v>40</v>
      </c>
      <c r="U1604">
        <v>69</v>
      </c>
      <c r="V1604">
        <v>4.8</v>
      </c>
      <c r="W1604">
        <f>Table2[[#This Row],[Quantity]]*Table2[[#This Row],[Item_Price]]</f>
        <v>2067</v>
      </c>
    </row>
    <row r="1605" spans="1:23" x14ac:dyDescent="0.25">
      <c r="A1605" t="s">
        <v>1702</v>
      </c>
      <c r="B1605" s="1">
        <v>45775</v>
      </c>
      <c r="C1605" t="s">
        <v>1315</v>
      </c>
      <c r="D1605">
        <v>4</v>
      </c>
      <c r="E1605">
        <v>28</v>
      </c>
      <c r="F1605" t="s">
        <v>168</v>
      </c>
      <c r="G1605" t="s">
        <v>73</v>
      </c>
      <c r="H1605" t="s">
        <v>26</v>
      </c>
      <c r="I1605" t="s">
        <v>85</v>
      </c>
      <c r="J1605" t="s">
        <v>101</v>
      </c>
      <c r="K1605" t="s">
        <v>38</v>
      </c>
      <c r="L1605">
        <v>2</v>
      </c>
      <c r="M1605">
        <v>843</v>
      </c>
      <c r="N1605">
        <v>42.15</v>
      </c>
      <c r="O1605">
        <v>30</v>
      </c>
      <c r="P1605">
        <v>1686</v>
      </c>
      <c r="Q1605">
        <v>1673.85</v>
      </c>
      <c r="R1605" t="s">
        <v>39</v>
      </c>
      <c r="S1605" t="s">
        <v>46</v>
      </c>
      <c r="T1605" t="s">
        <v>40</v>
      </c>
      <c r="U1605">
        <v>53</v>
      </c>
      <c r="W1605">
        <f>Table2[[#This Row],[Quantity]]*Table2[[#This Row],[Item_Price]]</f>
        <v>1686</v>
      </c>
    </row>
    <row r="1606" spans="1:23" x14ac:dyDescent="0.25">
      <c r="A1606" t="s">
        <v>1703</v>
      </c>
      <c r="B1606" s="1">
        <v>45775</v>
      </c>
      <c r="C1606" t="s">
        <v>1315</v>
      </c>
      <c r="D1606">
        <v>4</v>
      </c>
      <c r="E1606">
        <v>28</v>
      </c>
      <c r="F1606" t="s">
        <v>168</v>
      </c>
      <c r="G1606" t="s">
        <v>64</v>
      </c>
      <c r="H1606" t="s">
        <v>60</v>
      </c>
      <c r="I1606" t="s">
        <v>43</v>
      </c>
      <c r="J1606" t="s">
        <v>74</v>
      </c>
      <c r="K1606" t="s">
        <v>38</v>
      </c>
      <c r="L1606">
        <v>1</v>
      </c>
      <c r="M1606">
        <v>411</v>
      </c>
      <c r="N1606">
        <v>61.65</v>
      </c>
      <c r="O1606">
        <v>30</v>
      </c>
      <c r="P1606">
        <v>411</v>
      </c>
      <c r="Q1606">
        <v>379.35</v>
      </c>
      <c r="R1606" t="s">
        <v>112</v>
      </c>
      <c r="S1606" t="s">
        <v>31</v>
      </c>
      <c r="T1606" t="s">
        <v>40</v>
      </c>
      <c r="U1606">
        <v>56</v>
      </c>
      <c r="V1606">
        <v>3.6</v>
      </c>
      <c r="W1606">
        <f>Table2[[#This Row],[Quantity]]*Table2[[#This Row],[Item_Price]]</f>
        <v>411</v>
      </c>
    </row>
    <row r="1607" spans="1:23" x14ac:dyDescent="0.25">
      <c r="A1607" t="s">
        <v>1704</v>
      </c>
      <c r="B1607" s="1">
        <v>45775</v>
      </c>
      <c r="C1607" t="s">
        <v>1315</v>
      </c>
      <c r="D1607">
        <v>4</v>
      </c>
      <c r="E1607">
        <v>28</v>
      </c>
      <c r="F1607" t="s">
        <v>168</v>
      </c>
      <c r="G1607" t="s">
        <v>34</v>
      </c>
      <c r="H1607" t="s">
        <v>81</v>
      </c>
      <c r="I1607" t="s">
        <v>49</v>
      </c>
      <c r="J1607" t="s">
        <v>70</v>
      </c>
      <c r="K1607" t="s">
        <v>38</v>
      </c>
      <c r="L1607">
        <v>1</v>
      </c>
      <c r="M1607">
        <v>606</v>
      </c>
      <c r="N1607">
        <v>121.2</v>
      </c>
      <c r="O1607">
        <v>40</v>
      </c>
      <c r="P1607">
        <v>606</v>
      </c>
      <c r="Q1607">
        <v>524.79999999999995</v>
      </c>
      <c r="R1607" t="s">
        <v>98</v>
      </c>
      <c r="S1607" t="s">
        <v>31</v>
      </c>
      <c r="T1607" t="s">
        <v>32</v>
      </c>
      <c r="U1607">
        <v>36</v>
      </c>
      <c r="V1607">
        <v>3.8</v>
      </c>
      <c r="W1607">
        <f>Table2[[#This Row],[Quantity]]*Table2[[#This Row],[Item_Price]]</f>
        <v>606</v>
      </c>
    </row>
    <row r="1608" spans="1:23" x14ac:dyDescent="0.25">
      <c r="A1608" t="s">
        <v>1705</v>
      </c>
      <c r="B1608" s="1">
        <v>45775</v>
      </c>
      <c r="C1608" t="s">
        <v>1315</v>
      </c>
      <c r="D1608">
        <v>4</v>
      </c>
      <c r="E1608">
        <v>28</v>
      </c>
      <c r="F1608" t="s">
        <v>168</v>
      </c>
      <c r="G1608" t="s">
        <v>55</v>
      </c>
      <c r="H1608" t="s">
        <v>108</v>
      </c>
      <c r="I1608" t="s">
        <v>27</v>
      </c>
      <c r="J1608" t="s">
        <v>66</v>
      </c>
      <c r="K1608" t="s">
        <v>38</v>
      </c>
      <c r="L1608">
        <v>1</v>
      </c>
      <c r="M1608">
        <v>185</v>
      </c>
      <c r="N1608">
        <v>27.75</v>
      </c>
      <c r="O1608">
        <v>30</v>
      </c>
      <c r="P1608">
        <v>185</v>
      </c>
      <c r="Q1608">
        <v>187.25</v>
      </c>
      <c r="R1608" t="s">
        <v>98</v>
      </c>
      <c r="S1608" t="s">
        <v>31</v>
      </c>
      <c r="T1608" t="s">
        <v>40</v>
      </c>
      <c r="U1608">
        <v>48</v>
      </c>
      <c r="V1608">
        <v>5</v>
      </c>
      <c r="W1608">
        <f>Table2[[#This Row],[Quantity]]*Table2[[#This Row],[Item_Price]]</f>
        <v>185</v>
      </c>
    </row>
    <row r="1609" spans="1:23" x14ac:dyDescent="0.25">
      <c r="A1609" t="s">
        <v>1706</v>
      </c>
      <c r="B1609" s="1">
        <v>45775</v>
      </c>
      <c r="C1609" t="s">
        <v>1315</v>
      </c>
      <c r="D1609">
        <v>4</v>
      </c>
      <c r="E1609">
        <v>28</v>
      </c>
      <c r="F1609" t="s">
        <v>168</v>
      </c>
      <c r="G1609" t="s">
        <v>90</v>
      </c>
      <c r="H1609" t="s">
        <v>81</v>
      </c>
      <c r="I1609" t="s">
        <v>49</v>
      </c>
      <c r="J1609" t="s">
        <v>78</v>
      </c>
      <c r="K1609" t="s">
        <v>45</v>
      </c>
      <c r="L1609">
        <v>2</v>
      </c>
      <c r="M1609">
        <v>416</v>
      </c>
      <c r="N1609">
        <v>62.4</v>
      </c>
      <c r="O1609">
        <v>40</v>
      </c>
      <c r="P1609">
        <v>832</v>
      </c>
      <c r="Q1609">
        <v>809.6</v>
      </c>
      <c r="R1609" t="s">
        <v>75</v>
      </c>
      <c r="S1609" t="s">
        <v>31</v>
      </c>
      <c r="T1609" t="s">
        <v>40</v>
      </c>
      <c r="U1609">
        <v>31</v>
      </c>
      <c r="V1609">
        <v>4.2</v>
      </c>
      <c r="W1609">
        <f>Table2[[#This Row],[Quantity]]*Table2[[#This Row],[Item_Price]]</f>
        <v>832</v>
      </c>
    </row>
    <row r="1610" spans="1:23" x14ac:dyDescent="0.25">
      <c r="A1610" t="s">
        <v>1707</v>
      </c>
      <c r="B1610" s="1">
        <v>45775</v>
      </c>
      <c r="C1610" t="s">
        <v>1315</v>
      </c>
      <c r="D1610">
        <v>4</v>
      </c>
      <c r="E1610">
        <v>28</v>
      </c>
      <c r="F1610" t="s">
        <v>168</v>
      </c>
      <c r="G1610" t="s">
        <v>55</v>
      </c>
      <c r="H1610" t="s">
        <v>56</v>
      </c>
      <c r="I1610" t="s">
        <v>69</v>
      </c>
      <c r="J1610" t="s">
        <v>82</v>
      </c>
      <c r="K1610" t="s">
        <v>29</v>
      </c>
      <c r="L1610">
        <v>1</v>
      </c>
      <c r="M1610">
        <v>816</v>
      </c>
      <c r="N1610">
        <v>122.4</v>
      </c>
      <c r="O1610">
        <v>20</v>
      </c>
      <c r="P1610">
        <v>816</v>
      </c>
      <c r="Q1610">
        <v>713.6</v>
      </c>
      <c r="R1610" t="s">
        <v>39</v>
      </c>
      <c r="S1610" t="s">
        <v>31</v>
      </c>
      <c r="T1610" t="s">
        <v>40</v>
      </c>
      <c r="U1610">
        <v>40</v>
      </c>
      <c r="V1610">
        <v>5</v>
      </c>
      <c r="W1610">
        <f>Table2[[#This Row],[Quantity]]*Table2[[#This Row],[Item_Price]]</f>
        <v>816</v>
      </c>
    </row>
    <row r="1611" spans="1:23" x14ac:dyDescent="0.25">
      <c r="A1611" t="s">
        <v>1708</v>
      </c>
      <c r="B1611" s="1">
        <v>45775</v>
      </c>
      <c r="C1611" t="s">
        <v>1315</v>
      </c>
      <c r="D1611">
        <v>4</v>
      </c>
      <c r="E1611">
        <v>28</v>
      </c>
      <c r="F1611" t="s">
        <v>168</v>
      </c>
      <c r="G1611" t="s">
        <v>73</v>
      </c>
      <c r="H1611" t="s">
        <v>35</v>
      </c>
      <c r="I1611" t="s">
        <v>57</v>
      </c>
      <c r="J1611" t="s">
        <v>123</v>
      </c>
      <c r="K1611" t="s">
        <v>29</v>
      </c>
      <c r="L1611">
        <v>1</v>
      </c>
      <c r="M1611">
        <v>205</v>
      </c>
      <c r="N1611">
        <v>30.75</v>
      </c>
      <c r="O1611">
        <v>50</v>
      </c>
      <c r="P1611">
        <v>205</v>
      </c>
      <c r="Q1611">
        <v>224.25</v>
      </c>
      <c r="R1611" t="s">
        <v>39</v>
      </c>
      <c r="S1611" t="s">
        <v>31</v>
      </c>
      <c r="T1611" t="s">
        <v>40</v>
      </c>
      <c r="U1611">
        <v>40</v>
      </c>
      <c r="V1611">
        <v>3.7</v>
      </c>
      <c r="W1611">
        <f>Table2[[#This Row],[Quantity]]*Table2[[#This Row],[Item_Price]]</f>
        <v>205</v>
      </c>
    </row>
    <row r="1612" spans="1:23" x14ac:dyDescent="0.25">
      <c r="A1612" t="s">
        <v>1709</v>
      </c>
      <c r="B1612" s="1">
        <v>45775</v>
      </c>
      <c r="C1612" t="s">
        <v>1315</v>
      </c>
      <c r="D1612">
        <v>4</v>
      </c>
      <c r="E1612">
        <v>28</v>
      </c>
      <c r="F1612" t="s">
        <v>168</v>
      </c>
      <c r="G1612" t="s">
        <v>34</v>
      </c>
      <c r="H1612" t="s">
        <v>48</v>
      </c>
      <c r="I1612" t="s">
        <v>57</v>
      </c>
      <c r="J1612" t="s">
        <v>50</v>
      </c>
      <c r="K1612" t="s">
        <v>38</v>
      </c>
      <c r="L1612">
        <v>1</v>
      </c>
      <c r="M1612">
        <v>186</v>
      </c>
      <c r="N1612">
        <v>37.200000000000003</v>
      </c>
      <c r="O1612">
        <v>20</v>
      </c>
      <c r="P1612">
        <v>186</v>
      </c>
      <c r="Q1612">
        <v>168.8</v>
      </c>
      <c r="R1612" t="s">
        <v>112</v>
      </c>
      <c r="S1612" t="s">
        <v>31</v>
      </c>
      <c r="T1612" t="s">
        <v>32</v>
      </c>
      <c r="U1612">
        <v>41</v>
      </c>
      <c r="V1612">
        <v>3</v>
      </c>
      <c r="W1612">
        <f>Table2[[#This Row],[Quantity]]*Table2[[#This Row],[Item_Price]]</f>
        <v>186</v>
      </c>
    </row>
    <row r="1613" spans="1:23" x14ac:dyDescent="0.25">
      <c r="A1613" t="s">
        <v>1710</v>
      </c>
      <c r="B1613" s="1">
        <v>45775</v>
      </c>
      <c r="C1613" t="s">
        <v>1315</v>
      </c>
      <c r="D1613">
        <v>4</v>
      </c>
      <c r="E1613">
        <v>28</v>
      </c>
      <c r="F1613" t="s">
        <v>168</v>
      </c>
      <c r="G1613" t="s">
        <v>25</v>
      </c>
      <c r="H1613" t="s">
        <v>65</v>
      </c>
      <c r="I1613" t="s">
        <v>57</v>
      </c>
      <c r="J1613" t="s">
        <v>78</v>
      </c>
      <c r="K1613" t="s">
        <v>38</v>
      </c>
      <c r="L1613">
        <v>1</v>
      </c>
      <c r="M1613">
        <v>875</v>
      </c>
      <c r="N1613">
        <v>175</v>
      </c>
      <c r="O1613">
        <v>30</v>
      </c>
      <c r="P1613">
        <v>875</v>
      </c>
      <c r="Q1613">
        <v>730</v>
      </c>
      <c r="R1613" t="s">
        <v>75</v>
      </c>
      <c r="S1613" t="s">
        <v>31</v>
      </c>
      <c r="T1613" t="s">
        <v>40</v>
      </c>
      <c r="U1613">
        <v>18</v>
      </c>
      <c r="V1613">
        <v>4.2</v>
      </c>
      <c r="W1613">
        <f>Table2[[#This Row],[Quantity]]*Table2[[#This Row],[Item_Price]]</f>
        <v>875</v>
      </c>
    </row>
    <row r="1614" spans="1:23" x14ac:dyDescent="0.25">
      <c r="A1614" t="s">
        <v>1711</v>
      </c>
      <c r="B1614" s="1">
        <v>45775</v>
      </c>
      <c r="C1614" t="s">
        <v>1315</v>
      </c>
      <c r="D1614">
        <v>4</v>
      </c>
      <c r="E1614">
        <v>28</v>
      </c>
      <c r="F1614" t="s">
        <v>168</v>
      </c>
      <c r="G1614" t="s">
        <v>115</v>
      </c>
      <c r="H1614" t="s">
        <v>135</v>
      </c>
      <c r="I1614" t="s">
        <v>43</v>
      </c>
      <c r="J1614" t="s">
        <v>172</v>
      </c>
      <c r="K1614" t="s">
        <v>38</v>
      </c>
      <c r="L1614">
        <v>2</v>
      </c>
      <c r="M1614">
        <v>297</v>
      </c>
      <c r="N1614">
        <v>14.85</v>
      </c>
      <c r="O1614">
        <v>30</v>
      </c>
      <c r="P1614">
        <v>594</v>
      </c>
      <c r="Q1614">
        <v>609.15</v>
      </c>
      <c r="R1614" t="s">
        <v>30</v>
      </c>
      <c r="S1614" t="s">
        <v>31</v>
      </c>
      <c r="T1614" t="s">
        <v>32</v>
      </c>
      <c r="U1614">
        <v>47</v>
      </c>
      <c r="V1614">
        <v>4.7</v>
      </c>
      <c r="W1614">
        <f>Table2[[#This Row],[Quantity]]*Table2[[#This Row],[Item_Price]]</f>
        <v>594</v>
      </c>
    </row>
    <row r="1615" spans="1:23" x14ac:dyDescent="0.25">
      <c r="A1615" t="s">
        <v>1712</v>
      </c>
      <c r="B1615" s="1">
        <v>45775</v>
      </c>
      <c r="C1615" t="s">
        <v>1315</v>
      </c>
      <c r="D1615">
        <v>4</v>
      </c>
      <c r="E1615">
        <v>28</v>
      </c>
      <c r="F1615" t="s">
        <v>168</v>
      </c>
      <c r="G1615" t="s">
        <v>55</v>
      </c>
      <c r="H1615" t="s">
        <v>26</v>
      </c>
      <c r="I1615" t="s">
        <v>103</v>
      </c>
      <c r="J1615" t="s">
        <v>119</v>
      </c>
      <c r="K1615" t="s">
        <v>38</v>
      </c>
      <c r="L1615">
        <v>3</v>
      </c>
      <c r="M1615">
        <v>318</v>
      </c>
      <c r="N1615">
        <v>31.8</v>
      </c>
      <c r="O1615">
        <v>50</v>
      </c>
      <c r="P1615">
        <v>954</v>
      </c>
      <c r="Q1615">
        <v>972.2</v>
      </c>
      <c r="R1615" t="s">
        <v>112</v>
      </c>
      <c r="S1615" t="s">
        <v>31</v>
      </c>
      <c r="T1615" t="s">
        <v>40</v>
      </c>
      <c r="U1615">
        <v>63</v>
      </c>
      <c r="V1615">
        <v>4.8</v>
      </c>
      <c r="W1615">
        <f>Table2[[#This Row],[Quantity]]*Table2[[#This Row],[Item_Price]]</f>
        <v>954</v>
      </c>
    </row>
    <row r="1616" spans="1:23" x14ac:dyDescent="0.25">
      <c r="A1616" t="s">
        <v>1713</v>
      </c>
      <c r="B1616" s="1">
        <v>45775</v>
      </c>
      <c r="C1616" t="s">
        <v>1315</v>
      </c>
      <c r="D1616">
        <v>4</v>
      </c>
      <c r="E1616">
        <v>28</v>
      </c>
      <c r="F1616" t="s">
        <v>168</v>
      </c>
      <c r="G1616" t="s">
        <v>64</v>
      </c>
      <c r="H1616" t="s">
        <v>81</v>
      </c>
      <c r="I1616" t="s">
        <v>85</v>
      </c>
      <c r="J1616" t="s">
        <v>101</v>
      </c>
      <c r="K1616" t="s">
        <v>58</v>
      </c>
      <c r="L1616">
        <v>1</v>
      </c>
      <c r="M1616">
        <v>718</v>
      </c>
      <c r="N1616">
        <v>143.6</v>
      </c>
      <c r="O1616">
        <v>50</v>
      </c>
      <c r="P1616">
        <v>718</v>
      </c>
      <c r="Q1616">
        <v>624.4</v>
      </c>
      <c r="R1616" t="s">
        <v>39</v>
      </c>
      <c r="S1616" t="s">
        <v>31</v>
      </c>
      <c r="T1616" t="s">
        <v>32</v>
      </c>
      <c r="U1616">
        <v>47</v>
      </c>
      <c r="V1616">
        <v>4.3</v>
      </c>
      <c r="W1616">
        <f>Table2[[#This Row],[Quantity]]*Table2[[#This Row],[Item_Price]]</f>
        <v>718</v>
      </c>
    </row>
    <row r="1617" spans="1:23" x14ac:dyDescent="0.25">
      <c r="A1617" t="s">
        <v>1714</v>
      </c>
      <c r="B1617" s="1">
        <v>45775</v>
      </c>
      <c r="C1617" t="s">
        <v>1315</v>
      </c>
      <c r="D1617">
        <v>4</v>
      </c>
      <c r="E1617">
        <v>28</v>
      </c>
      <c r="F1617" t="s">
        <v>168</v>
      </c>
      <c r="G1617" t="s">
        <v>34</v>
      </c>
      <c r="H1617" t="s">
        <v>81</v>
      </c>
      <c r="I1617" t="s">
        <v>27</v>
      </c>
      <c r="J1617" t="s">
        <v>101</v>
      </c>
      <c r="K1617" t="s">
        <v>38</v>
      </c>
      <c r="L1617">
        <v>1</v>
      </c>
      <c r="M1617">
        <v>390</v>
      </c>
      <c r="N1617">
        <v>58.5</v>
      </c>
      <c r="O1617">
        <v>40</v>
      </c>
      <c r="P1617">
        <v>390</v>
      </c>
      <c r="Q1617">
        <v>371.5</v>
      </c>
      <c r="R1617" t="s">
        <v>39</v>
      </c>
      <c r="S1617" t="s">
        <v>31</v>
      </c>
      <c r="T1617" t="s">
        <v>32</v>
      </c>
      <c r="U1617">
        <v>42</v>
      </c>
      <c r="V1617">
        <v>4.5</v>
      </c>
      <c r="W1617">
        <f>Table2[[#This Row],[Quantity]]*Table2[[#This Row],[Item_Price]]</f>
        <v>390</v>
      </c>
    </row>
    <row r="1618" spans="1:23" x14ac:dyDescent="0.25">
      <c r="A1618" t="s">
        <v>1715</v>
      </c>
      <c r="B1618" s="1">
        <v>45775</v>
      </c>
      <c r="C1618" t="s">
        <v>1315</v>
      </c>
      <c r="D1618">
        <v>4</v>
      </c>
      <c r="E1618">
        <v>28</v>
      </c>
      <c r="F1618" t="s">
        <v>168</v>
      </c>
      <c r="G1618" t="s">
        <v>84</v>
      </c>
      <c r="H1618" t="s">
        <v>65</v>
      </c>
      <c r="I1618" t="s">
        <v>43</v>
      </c>
      <c r="J1618" t="s">
        <v>53</v>
      </c>
      <c r="K1618" t="s">
        <v>38</v>
      </c>
      <c r="L1618">
        <v>2</v>
      </c>
      <c r="M1618">
        <v>244</v>
      </c>
      <c r="N1618">
        <v>12.2</v>
      </c>
      <c r="O1618">
        <v>40</v>
      </c>
      <c r="P1618">
        <v>488</v>
      </c>
      <c r="Q1618">
        <v>515.79999999999995</v>
      </c>
      <c r="R1618" t="s">
        <v>75</v>
      </c>
      <c r="S1618" t="s">
        <v>31</v>
      </c>
      <c r="T1618" t="s">
        <v>40</v>
      </c>
      <c r="U1618">
        <v>46</v>
      </c>
      <c r="V1618">
        <v>3.7</v>
      </c>
      <c r="W1618">
        <f>Table2[[#This Row],[Quantity]]*Table2[[#This Row],[Item_Price]]</f>
        <v>488</v>
      </c>
    </row>
    <row r="1619" spans="1:23" x14ac:dyDescent="0.25">
      <c r="A1619" t="s">
        <v>1716</v>
      </c>
      <c r="B1619" s="1">
        <v>45775</v>
      </c>
      <c r="C1619" t="s">
        <v>1315</v>
      </c>
      <c r="D1619">
        <v>4</v>
      </c>
      <c r="E1619">
        <v>28</v>
      </c>
      <c r="F1619" t="s">
        <v>168</v>
      </c>
      <c r="G1619" t="s">
        <v>73</v>
      </c>
      <c r="H1619" t="s">
        <v>52</v>
      </c>
      <c r="I1619" t="s">
        <v>85</v>
      </c>
      <c r="J1619" t="s">
        <v>119</v>
      </c>
      <c r="K1619" t="s">
        <v>38</v>
      </c>
      <c r="L1619">
        <v>3</v>
      </c>
      <c r="M1619">
        <v>529</v>
      </c>
      <c r="N1619">
        <v>52.9</v>
      </c>
      <c r="O1619">
        <v>40</v>
      </c>
      <c r="P1619">
        <v>1587</v>
      </c>
      <c r="Q1619">
        <v>1574.1</v>
      </c>
      <c r="R1619" t="s">
        <v>75</v>
      </c>
      <c r="S1619" t="s">
        <v>31</v>
      </c>
      <c r="T1619" t="s">
        <v>40</v>
      </c>
      <c r="U1619">
        <v>59</v>
      </c>
      <c r="V1619">
        <v>4.3</v>
      </c>
      <c r="W1619">
        <f>Table2[[#This Row],[Quantity]]*Table2[[#This Row],[Item_Price]]</f>
        <v>1587</v>
      </c>
    </row>
    <row r="1620" spans="1:23" x14ac:dyDescent="0.25">
      <c r="A1620" t="s">
        <v>1717</v>
      </c>
      <c r="B1620" s="1">
        <v>45775</v>
      </c>
      <c r="C1620" t="s">
        <v>1315</v>
      </c>
      <c r="D1620">
        <v>4</v>
      </c>
      <c r="E1620">
        <v>28</v>
      </c>
      <c r="F1620" t="s">
        <v>168</v>
      </c>
      <c r="G1620" t="s">
        <v>73</v>
      </c>
      <c r="H1620" t="s">
        <v>42</v>
      </c>
      <c r="I1620" t="s">
        <v>43</v>
      </c>
      <c r="J1620" t="s">
        <v>74</v>
      </c>
      <c r="K1620" t="s">
        <v>38</v>
      </c>
      <c r="L1620">
        <v>1</v>
      </c>
      <c r="M1620">
        <v>304</v>
      </c>
      <c r="N1620">
        <v>0</v>
      </c>
      <c r="O1620">
        <v>0</v>
      </c>
      <c r="P1620">
        <v>304</v>
      </c>
      <c r="Q1620">
        <v>304</v>
      </c>
      <c r="R1620" t="s">
        <v>39</v>
      </c>
      <c r="S1620" t="s">
        <v>31</v>
      </c>
      <c r="T1620" t="s">
        <v>40</v>
      </c>
      <c r="U1620">
        <v>61</v>
      </c>
      <c r="V1620">
        <v>3.1</v>
      </c>
      <c r="W1620">
        <f>Table2[[#This Row],[Quantity]]*Table2[[#This Row],[Item_Price]]</f>
        <v>304</v>
      </c>
    </row>
    <row r="1621" spans="1:23" x14ac:dyDescent="0.25">
      <c r="A1621" t="s">
        <v>1718</v>
      </c>
      <c r="B1621" s="1">
        <v>45776</v>
      </c>
      <c r="C1621" t="s">
        <v>1315</v>
      </c>
      <c r="D1621">
        <v>4</v>
      </c>
      <c r="E1621">
        <v>29</v>
      </c>
      <c r="F1621" t="s">
        <v>178</v>
      </c>
      <c r="G1621" t="s">
        <v>34</v>
      </c>
      <c r="H1621" t="s">
        <v>52</v>
      </c>
      <c r="I1621" t="s">
        <v>61</v>
      </c>
      <c r="J1621" t="s">
        <v>78</v>
      </c>
      <c r="K1621" t="s">
        <v>38</v>
      </c>
      <c r="L1621">
        <v>2</v>
      </c>
      <c r="M1621">
        <v>356</v>
      </c>
      <c r="N1621">
        <v>89</v>
      </c>
      <c r="O1621">
        <v>60</v>
      </c>
      <c r="P1621">
        <v>712</v>
      </c>
      <c r="Q1621">
        <v>683</v>
      </c>
      <c r="R1621" t="s">
        <v>30</v>
      </c>
      <c r="S1621" t="s">
        <v>31</v>
      </c>
      <c r="T1621" t="s">
        <v>40</v>
      </c>
      <c r="U1621">
        <v>52</v>
      </c>
      <c r="V1621">
        <v>4.2</v>
      </c>
      <c r="W1621">
        <f>Table2[[#This Row],[Quantity]]*Table2[[#This Row],[Item_Price]]</f>
        <v>712</v>
      </c>
    </row>
    <row r="1622" spans="1:23" x14ac:dyDescent="0.25">
      <c r="A1622" t="s">
        <v>1719</v>
      </c>
      <c r="B1622" s="1">
        <v>45776</v>
      </c>
      <c r="C1622" t="s">
        <v>1315</v>
      </c>
      <c r="D1622">
        <v>4</v>
      </c>
      <c r="E1622">
        <v>29</v>
      </c>
      <c r="F1622" t="s">
        <v>178</v>
      </c>
      <c r="G1622" t="s">
        <v>64</v>
      </c>
      <c r="H1622" t="s">
        <v>35</v>
      </c>
      <c r="I1622" t="s">
        <v>85</v>
      </c>
      <c r="J1622" t="s">
        <v>50</v>
      </c>
      <c r="K1622" t="s">
        <v>38</v>
      </c>
      <c r="L1622">
        <v>1</v>
      </c>
      <c r="M1622">
        <v>280</v>
      </c>
      <c r="N1622">
        <v>28</v>
      </c>
      <c r="O1622">
        <v>40</v>
      </c>
      <c r="P1622">
        <v>280</v>
      </c>
      <c r="Q1622">
        <v>292</v>
      </c>
      <c r="R1622" t="s">
        <v>39</v>
      </c>
      <c r="S1622" t="s">
        <v>31</v>
      </c>
      <c r="T1622" t="s">
        <v>40</v>
      </c>
      <c r="U1622">
        <v>46</v>
      </c>
      <c r="V1622">
        <v>4.4000000000000004</v>
      </c>
      <c r="W1622">
        <f>Table2[[#This Row],[Quantity]]*Table2[[#This Row],[Item_Price]]</f>
        <v>280</v>
      </c>
    </row>
    <row r="1623" spans="1:23" x14ac:dyDescent="0.25">
      <c r="A1623" t="s">
        <v>1720</v>
      </c>
      <c r="B1623" s="1">
        <v>45776</v>
      </c>
      <c r="C1623" t="s">
        <v>1315</v>
      </c>
      <c r="D1623">
        <v>4</v>
      </c>
      <c r="E1623">
        <v>29</v>
      </c>
      <c r="F1623" t="s">
        <v>178</v>
      </c>
      <c r="G1623" t="s">
        <v>84</v>
      </c>
      <c r="H1623" t="s">
        <v>81</v>
      </c>
      <c r="I1623" t="s">
        <v>103</v>
      </c>
      <c r="J1623" t="s">
        <v>62</v>
      </c>
      <c r="K1623" t="s">
        <v>45</v>
      </c>
      <c r="L1623">
        <v>1</v>
      </c>
      <c r="M1623">
        <v>268</v>
      </c>
      <c r="N1623">
        <v>67</v>
      </c>
      <c r="O1623">
        <v>50</v>
      </c>
      <c r="P1623">
        <v>268</v>
      </c>
      <c r="Q1623">
        <v>251</v>
      </c>
      <c r="R1623" t="s">
        <v>39</v>
      </c>
      <c r="S1623" t="s">
        <v>31</v>
      </c>
      <c r="T1623" t="s">
        <v>40</v>
      </c>
      <c r="U1623">
        <v>59</v>
      </c>
      <c r="V1623">
        <v>5</v>
      </c>
      <c r="W1623">
        <f>Table2[[#This Row],[Quantity]]*Table2[[#This Row],[Item_Price]]</f>
        <v>268</v>
      </c>
    </row>
    <row r="1624" spans="1:23" x14ac:dyDescent="0.25">
      <c r="A1624" t="s">
        <v>1721</v>
      </c>
      <c r="B1624" s="1">
        <v>45776</v>
      </c>
      <c r="C1624" t="s">
        <v>1315</v>
      </c>
      <c r="D1624">
        <v>4</v>
      </c>
      <c r="E1624">
        <v>29</v>
      </c>
      <c r="F1624" t="s">
        <v>178</v>
      </c>
      <c r="G1624" t="s">
        <v>80</v>
      </c>
      <c r="H1624" t="s">
        <v>52</v>
      </c>
      <c r="I1624" t="s">
        <v>61</v>
      </c>
      <c r="J1624" t="s">
        <v>66</v>
      </c>
      <c r="K1624" t="s">
        <v>38</v>
      </c>
      <c r="L1624">
        <v>1</v>
      </c>
      <c r="M1624">
        <v>284</v>
      </c>
      <c r="N1624">
        <v>42.6</v>
      </c>
      <c r="O1624">
        <v>40</v>
      </c>
      <c r="P1624">
        <v>284</v>
      </c>
      <c r="Q1624">
        <v>281.39999999999998</v>
      </c>
      <c r="R1624" t="s">
        <v>39</v>
      </c>
      <c r="S1624" t="s">
        <v>31</v>
      </c>
      <c r="T1624" t="s">
        <v>40</v>
      </c>
      <c r="U1624">
        <v>52</v>
      </c>
      <c r="V1624">
        <v>3.4</v>
      </c>
      <c r="W1624">
        <f>Table2[[#This Row],[Quantity]]*Table2[[#This Row],[Item_Price]]</f>
        <v>284</v>
      </c>
    </row>
    <row r="1625" spans="1:23" x14ac:dyDescent="0.25">
      <c r="A1625" t="s">
        <v>1722</v>
      </c>
      <c r="B1625" s="1">
        <v>45776</v>
      </c>
      <c r="C1625" t="s">
        <v>1315</v>
      </c>
      <c r="D1625">
        <v>4</v>
      </c>
      <c r="E1625">
        <v>29</v>
      </c>
      <c r="F1625" t="s">
        <v>178</v>
      </c>
      <c r="G1625" t="s">
        <v>73</v>
      </c>
      <c r="H1625" t="s">
        <v>26</v>
      </c>
      <c r="I1625" t="s">
        <v>69</v>
      </c>
      <c r="J1625" t="s">
        <v>66</v>
      </c>
      <c r="K1625" t="s">
        <v>38</v>
      </c>
      <c r="L1625">
        <v>2</v>
      </c>
      <c r="M1625">
        <v>794</v>
      </c>
      <c r="N1625">
        <v>39.700000000000003</v>
      </c>
      <c r="O1625">
        <v>30</v>
      </c>
      <c r="P1625">
        <v>1588</v>
      </c>
      <c r="Q1625">
        <v>1578.3</v>
      </c>
      <c r="R1625" t="s">
        <v>30</v>
      </c>
      <c r="S1625" t="s">
        <v>31</v>
      </c>
      <c r="T1625" t="s">
        <v>40</v>
      </c>
      <c r="U1625">
        <v>60</v>
      </c>
      <c r="V1625">
        <v>4</v>
      </c>
      <c r="W1625">
        <f>Table2[[#This Row],[Quantity]]*Table2[[#This Row],[Item_Price]]</f>
        <v>1588</v>
      </c>
    </row>
    <row r="1626" spans="1:23" x14ac:dyDescent="0.25">
      <c r="A1626" t="s">
        <v>1723</v>
      </c>
      <c r="B1626" s="1">
        <v>45776</v>
      </c>
      <c r="C1626" t="s">
        <v>1315</v>
      </c>
      <c r="D1626">
        <v>4</v>
      </c>
      <c r="E1626">
        <v>29</v>
      </c>
      <c r="F1626" t="s">
        <v>178</v>
      </c>
      <c r="G1626" t="s">
        <v>84</v>
      </c>
      <c r="H1626" t="s">
        <v>48</v>
      </c>
      <c r="I1626" t="s">
        <v>103</v>
      </c>
      <c r="J1626" t="s">
        <v>74</v>
      </c>
      <c r="K1626" t="s">
        <v>45</v>
      </c>
      <c r="L1626">
        <v>1</v>
      </c>
      <c r="M1626">
        <v>230</v>
      </c>
      <c r="N1626">
        <v>34.5</v>
      </c>
      <c r="O1626">
        <v>60</v>
      </c>
      <c r="P1626">
        <v>230</v>
      </c>
      <c r="Q1626">
        <v>255.5</v>
      </c>
      <c r="R1626" t="s">
        <v>30</v>
      </c>
      <c r="S1626" t="s">
        <v>31</v>
      </c>
      <c r="T1626" t="s">
        <v>32</v>
      </c>
      <c r="U1626">
        <v>36</v>
      </c>
      <c r="V1626">
        <v>4.5</v>
      </c>
      <c r="W1626">
        <f>Table2[[#This Row],[Quantity]]*Table2[[#This Row],[Item_Price]]</f>
        <v>230</v>
      </c>
    </row>
    <row r="1627" spans="1:23" x14ac:dyDescent="0.25">
      <c r="A1627" t="s">
        <v>1724</v>
      </c>
      <c r="B1627" s="1">
        <v>45776</v>
      </c>
      <c r="C1627" t="s">
        <v>1315</v>
      </c>
      <c r="D1627">
        <v>4</v>
      </c>
      <c r="E1627">
        <v>29</v>
      </c>
      <c r="F1627" t="s">
        <v>178</v>
      </c>
      <c r="G1627" t="s">
        <v>80</v>
      </c>
      <c r="H1627" t="s">
        <v>42</v>
      </c>
      <c r="I1627" t="s">
        <v>43</v>
      </c>
      <c r="J1627" t="s">
        <v>50</v>
      </c>
      <c r="K1627" t="s">
        <v>29</v>
      </c>
      <c r="L1627">
        <v>2</v>
      </c>
      <c r="M1627">
        <v>310</v>
      </c>
      <c r="N1627">
        <v>31</v>
      </c>
      <c r="O1627">
        <v>20</v>
      </c>
      <c r="P1627">
        <v>620</v>
      </c>
      <c r="Q1627">
        <v>609</v>
      </c>
      <c r="R1627" t="s">
        <v>39</v>
      </c>
      <c r="S1627" t="s">
        <v>31</v>
      </c>
      <c r="T1627" t="s">
        <v>32</v>
      </c>
      <c r="U1627">
        <v>68</v>
      </c>
      <c r="V1627">
        <v>5</v>
      </c>
      <c r="W1627">
        <f>Table2[[#This Row],[Quantity]]*Table2[[#This Row],[Item_Price]]</f>
        <v>620</v>
      </c>
    </row>
    <row r="1628" spans="1:23" x14ac:dyDescent="0.25">
      <c r="A1628" t="s">
        <v>1725</v>
      </c>
      <c r="B1628" s="1">
        <v>45776</v>
      </c>
      <c r="C1628" t="s">
        <v>1315</v>
      </c>
      <c r="D1628">
        <v>4</v>
      </c>
      <c r="E1628">
        <v>29</v>
      </c>
      <c r="F1628" t="s">
        <v>178</v>
      </c>
      <c r="G1628" t="s">
        <v>80</v>
      </c>
      <c r="H1628" t="s">
        <v>65</v>
      </c>
      <c r="I1628" t="s">
        <v>69</v>
      </c>
      <c r="J1628" t="s">
        <v>37</v>
      </c>
      <c r="K1628" t="s">
        <v>38</v>
      </c>
      <c r="L1628">
        <v>1</v>
      </c>
      <c r="M1628">
        <v>641</v>
      </c>
      <c r="N1628">
        <v>160.25</v>
      </c>
      <c r="O1628">
        <v>20</v>
      </c>
      <c r="P1628">
        <v>641</v>
      </c>
      <c r="Q1628">
        <v>500.75</v>
      </c>
      <c r="R1628" t="s">
        <v>39</v>
      </c>
      <c r="S1628" t="s">
        <v>31</v>
      </c>
      <c r="T1628" t="s">
        <v>40</v>
      </c>
      <c r="U1628">
        <v>26</v>
      </c>
      <c r="V1628">
        <v>3.7</v>
      </c>
      <c r="W1628">
        <f>Table2[[#This Row],[Quantity]]*Table2[[#This Row],[Item_Price]]</f>
        <v>641</v>
      </c>
    </row>
    <row r="1629" spans="1:23" x14ac:dyDescent="0.25">
      <c r="A1629" t="s">
        <v>1726</v>
      </c>
      <c r="B1629" s="1">
        <v>45776</v>
      </c>
      <c r="C1629" t="s">
        <v>1315</v>
      </c>
      <c r="D1629">
        <v>4</v>
      </c>
      <c r="E1629">
        <v>29</v>
      </c>
      <c r="F1629" t="s">
        <v>178</v>
      </c>
      <c r="G1629" t="s">
        <v>73</v>
      </c>
      <c r="H1629" t="s">
        <v>48</v>
      </c>
      <c r="I1629" t="s">
        <v>27</v>
      </c>
      <c r="J1629" t="s">
        <v>94</v>
      </c>
      <c r="K1629" t="s">
        <v>45</v>
      </c>
      <c r="L1629">
        <v>2</v>
      </c>
      <c r="M1629">
        <v>649</v>
      </c>
      <c r="N1629">
        <v>162.25</v>
      </c>
      <c r="O1629">
        <v>20</v>
      </c>
      <c r="P1629">
        <v>1298</v>
      </c>
      <c r="Q1629">
        <v>1155.75</v>
      </c>
      <c r="R1629" t="s">
        <v>39</v>
      </c>
      <c r="S1629" t="s">
        <v>31</v>
      </c>
      <c r="T1629" t="s">
        <v>40</v>
      </c>
      <c r="U1629">
        <v>21</v>
      </c>
      <c r="V1629">
        <v>4.5</v>
      </c>
      <c r="W1629">
        <f>Table2[[#This Row],[Quantity]]*Table2[[#This Row],[Item_Price]]</f>
        <v>1298</v>
      </c>
    </row>
    <row r="1630" spans="1:23" x14ac:dyDescent="0.25">
      <c r="A1630" t="s">
        <v>1727</v>
      </c>
      <c r="B1630" s="1">
        <v>45776</v>
      </c>
      <c r="C1630" t="s">
        <v>1315</v>
      </c>
      <c r="D1630">
        <v>4</v>
      </c>
      <c r="E1630">
        <v>29</v>
      </c>
      <c r="F1630" t="s">
        <v>178</v>
      </c>
      <c r="G1630" t="s">
        <v>64</v>
      </c>
      <c r="H1630" t="s">
        <v>56</v>
      </c>
      <c r="I1630" t="s">
        <v>97</v>
      </c>
      <c r="J1630" t="s">
        <v>123</v>
      </c>
      <c r="K1630" t="s">
        <v>38</v>
      </c>
      <c r="L1630">
        <v>2</v>
      </c>
      <c r="M1630">
        <v>369</v>
      </c>
      <c r="N1630">
        <v>18.45</v>
      </c>
      <c r="O1630">
        <v>20</v>
      </c>
      <c r="P1630">
        <v>738</v>
      </c>
      <c r="Q1630">
        <v>739.55</v>
      </c>
      <c r="R1630" t="s">
        <v>30</v>
      </c>
      <c r="S1630" t="s">
        <v>110</v>
      </c>
      <c r="T1630" t="s">
        <v>40</v>
      </c>
      <c r="U1630">
        <v>28</v>
      </c>
      <c r="W1630">
        <f>Table2[[#This Row],[Quantity]]*Table2[[#This Row],[Item_Price]]</f>
        <v>738</v>
      </c>
    </row>
    <row r="1631" spans="1:23" x14ac:dyDescent="0.25">
      <c r="A1631" t="s">
        <v>1728</v>
      </c>
      <c r="B1631" s="1">
        <v>45776</v>
      </c>
      <c r="C1631" t="s">
        <v>1315</v>
      </c>
      <c r="D1631">
        <v>4</v>
      </c>
      <c r="E1631">
        <v>29</v>
      </c>
      <c r="F1631" t="s">
        <v>178</v>
      </c>
      <c r="G1631" t="s">
        <v>84</v>
      </c>
      <c r="H1631" t="s">
        <v>81</v>
      </c>
      <c r="I1631" t="s">
        <v>43</v>
      </c>
      <c r="J1631" t="s">
        <v>62</v>
      </c>
      <c r="K1631" t="s">
        <v>45</v>
      </c>
      <c r="L1631">
        <v>1</v>
      </c>
      <c r="M1631">
        <v>709</v>
      </c>
      <c r="N1631">
        <v>70.900000000000006</v>
      </c>
      <c r="O1631">
        <v>40</v>
      </c>
      <c r="P1631">
        <v>709</v>
      </c>
      <c r="Q1631">
        <v>678.1</v>
      </c>
      <c r="R1631" t="s">
        <v>30</v>
      </c>
      <c r="S1631" t="s">
        <v>31</v>
      </c>
      <c r="T1631" t="s">
        <v>40</v>
      </c>
      <c r="U1631">
        <v>47</v>
      </c>
      <c r="V1631">
        <v>5</v>
      </c>
      <c r="W1631">
        <f>Table2[[#This Row],[Quantity]]*Table2[[#This Row],[Item_Price]]</f>
        <v>709</v>
      </c>
    </row>
    <row r="1632" spans="1:23" x14ac:dyDescent="0.25">
      <c r="A1632" t="s">
        <v>1729</v>
      </c>
      <c r="B1632" s="1">
        <v>45776</v>
      </c>
      <c r="C1632" t="s">
        <v>1315</v>
      </c>
      <c r="D1632">
        <v>4</v>
      </c>
      <c r="E1632">
        <v>29</v>
      </c>
      <c r="F1632" t="s">
        <v>178</v>
      </c>
      <c r="G1632" t="s">
        <v>80</v>
      </c>
      <c r="H1632" t="s">
        <v>139</v>
      </c>
      <c r="I1632" t="s">
        <v>103</v>
      </c>
      <c r="J1632" t="s">
        <v>70</v>
      </c>
      <c r="K1632" t="s">
        <v>29</v>
      </c>
      <c r="L1632">
        <v>2</v>
      </c>
      <c r="M1632">
        <v>260</v>
      </c>
      <c r="N1632">
        <v>26</v>
      </c>
      <c r="O1632">
        <v>50</v>
      </c>
      <c r="P1632">
        <v>520</v>
      </c>
      <c r="Q1632">
        <v>544</v>
      </c>
      <c r="R1632" t="s">
        <v>98</v>
      </c>
      <c r="S1632" t="s">
        <v>31</v>
      </c>
      <c r="T1632" t="s">
        <v>32</v>
      </c>
      <c r="U1632">
        <v>22</v>
      </c>
      <c r="V1632">
        <v>3.7</v>
      </c>
      <c r="W1632">
        <f>Table2[[#This Row],[Quantity]]*Table2[[#This Row],[Item_Price]]</f>
        <v>520</v>
      </c>
    </row>
    <row r="1633" spans="1:23" x14ac:dyDescent="0.25">
      <c r="A1633" t="s">
        <v>1730</v>
      </c>
      <c r="B1633" s="1">
        <v>45776</v>
      </c>
      <c r="C1633" t="s">
        <v>1315</v>
      </c>
      <c r="D1633">
        <v>4</v>
      </c>
      <c r="E1633">
        <v>29</v>
      </c>
      <c r="F1633" t="s">
        <v>178</v>
      </c>
      <c r="G1633" t="s">
        <v>80</v>
      </c>
      <c r="H1633" t="s">
        <v>26</v>
      </c>
      <c r="I1633" t="s">
        <v>61</v>
      </c>
      <c r="J1633" t="s">
        <v>82</v>
      </c>
      <c r="K1633" t="s">
        <v>38</v>
      </c>
      <c r="L1633">
        <v>2</v>
      </c>
      <c r="M1633">
        <v>356</v>
      </c>
      <c r="N1633">
        <v>35.6</v>
      </c>
      <c r="O1633">
        <v>20</v>
      </c>
      <c r="P1633">
        <v>712</v>
      </c>
      <c r="Q1633">
        <v>696.4</v>
      </c>
      <c r="R1633" t="s">
        <v>30</v>
      </c>
      <c r="S1633" t="s">
        <v>110</v>
      </c>
      <c r="T1633" t="s">
        <v>40</v>
      </c>
      <c r="U1633">
        <v>37</v>
      </c>
      <c r="W1633">
        <f>Table2[[#This Row],[Quantity]]*Table2[[#This Row],[Item_Price]]</f>
        <v>712</v>
      </c>
    </row>
    <row r="1634" spans="1:23" x14ac:dyDescent="0.25">
      <c r="A1634" t="s">
        <v>1731</v>
      </c>
      <c r="B1634" s="1">
        <v>45776</v>
      </c>
      <c r="C1634" t="s">
        <v>1315</v>
      </c>
      <c r="D1634">
        <v>4</v>
      </c>
      <c r="E1634">
        <v>29</v>
      </c>
      <c r="F1634" t="s">
        <v>178</v>
      </c>
      <c r="G1634" t="s">
        <v>64</v>
      </c>
      <c r="H1634" t="s">
        <v>48</v>
      </c>
      <c r="I1634" t="s">
        <v>97</v>
      </c>
      <c r="J1634" t="s">
        <v>101</v>
      </c>
      <c r="K1634" t="s">
        <v>58</v>
      </c>
      <c r="L1634">
        <v>1</v>
      </c>
      <c r="M1634">
        <v>624</v>
      </c>
      <c r="N1634">
        <v>93.6</v>
      </c>
      <c r="O1634">
        <v>40</v>
      </c>
      <c r="P1634">
        <v>624</v>
      </c>
      <c r="Q1634">
        <v>570.4</v>
      </c>
      <c r="R1634" t="s">
        <v>112</v>
      </c>
      <c r="S1634" t="s">
        <v>31</v>
      </c>
      <c r="T1634" t="s">
        <v>40</v>
      </c>
      <c r="U1634">
        <v>19</v>
      </c>
      <c r="V1634">
        <v>5</v>
      </c>
      <c r="W1634">
        <f>Table2[[#This Row],[Quantity]]*Table2[[#This Row],[Item_Price]]</f>
        <v>624</v>
      </c>
    </row>
    <row r="1635" spans="1:23" x14ac:dyDescent="0.25">
      <c r="A1635" t="s">
        <v>1732</v>
      </c>
      <c r="B1635" s="1">
        <v>45776</v>
      </c>
      <c r="C1635" t="s">
        <v>1315</v>
      </c>
      <c r="D1635">
        <v>4</v>
      </c>
      <c r="E1635">
        <v>29</v>
      </c>
      <c r="F1635" t="s">
        <v>178</v>
      </c>
      <c r="G1635" t="s">
        <v>96</v>
      </c>
      <c r="H1635" t="s">
        <v>68</v>
      </c>
      <c r="I1635" t="s">
        <v>103</v>
      </c>
      <c r="J1635" t="s">
        <v>28</v>
      </c>
      <c r="K1635" t="s">
        <v>38</v>
      </c>
      <c r="L1635">
        <v>2</v>
      </c>
      <c r="M1635">
        <v>359</v>
      </c>
      <c r="N1635">
        <v>35.9</v>
      </c>
      <c r="O1635">
        <v>30</v>
      </c>
      <c r="P1635">
        <v>718</v>
      </c>
      <c r="Q1635">
        <v>712.1</v>
      </c>
      <c r="R1635" t="s">
        <v>39</v>
      </c>
      <c r="S1635" t="s">
        <v>46</v>
      </c>
      <c r="T1635" t="s">
        <v>32</v>
      </c>
      <c r="U1635">
        <v>19</v>
      </c>
      <c r="W1635">
        <f>Table2[[#This Row],[Quantity]]*Table2[[#This Row],[Item_Price]]</f>
        <v>718</v>
      </c>
    </row>
    <row r="1636" spans="1:23" x14ac:dyDescent="0.25">
      <c r="A1636" t="s">
        <v>1733</v>
      </c>
      <c r="B1636" s="1">
        <v>45777</v>
      </c>
      <c r="C1636" t="s">
        <v>1315</v>
      </c>
      <c r="D1636">
        <v>4</v>
      </c>
      <c r="E1636">
        <v>30</v>
      </c>
      <c r="F1636" t="s">
        <v>24</v>
      </c>
      <c r="G1636" t="s">
        <v>64</v>
      </c>
      <c r="H1636" t="s">
        <v>77</v>
      </c>
      <c r="I1636" t="s">
        <v>36</v>
      </c>
      <c r="J1636" t="s">
        <v>44</v>
      </c>
      <c r="K1636" t="s">
        <v>45</v>
      </c>
      <c r="L1636">
        <v>2</v>
      </c>
      <c r="M1636">
        <v>594</v>
      </c>
      <c r="N1636">
        <v>148.5</v>
      </c>
      <c r="O1636">
        <v>50</v>
      </c>
      <c r="P1636">
        <v>1188</v>
      </c>
      <c r="Q1636">
        <v>1089.5</v>
      </c>
      <c r="R1636" t="s">
        <v>39</v>
      </c>
      <c r="S1636" t="s">
        <v>31</v>
      </c>
      <c r="T1636" t="s">
        <v>32</v>
      </c>
      <c r="U1636">
        <v>46</v>
      </c>
      <c r="V1636">
        <v>3</v>
      </c>
      <c r="W1636">
        <f>Table2[[#This Row],[Quantity]]*Table2[[#This Row],[Item_Price]]</f>
        <v>1188</v>
      </c>
    </row>
    <row r="1637" spans="1:23" x14ac:dyDescent="0.25">
      <c r="A1637" t="s">
        <v>1734</v>
      </c>
      <c r="B1637" s="1">
        <v>45777</v>
      </c>
      <c r="C1637" t="s">
        <v>1315</v>
      </c>
      <c r="D1637">
        <v>4</v>
      </c>
      <c r="E1637">
        <v>30</v>
      </c>
      <c r="F1637" t="s">
        <v>24</v>
      </c>
      <c r="G1637" t="s">
        <v>80</v>
      </c>
      <c r="H1637" t="s">
        <v>135</v>
      </c>
      <c r="I1637" t="s">
        <v>85</v>
      </c>
      <c r="J1637" t="s">
        <v>28</v>
      </c>
      <c r="K1637" t="s">
        <v>45</v>
      </c>
      <c r="L1637">
        <v>2</v>
      </c>
      <c r="M1637">
        <v>756</v>
      </c>
      <c r="N1637">
        <v>113.4</v>
      </c>
      <c r="O1637">
        <v>30</v>
      </c>
      <c r="P1637">
        <v>1512</v>
      </c>
      <c r="Q1637">
        <v>1428.6</v>
      </c>
      <c r="R1637" t="s">
        <v>30</v>
      </c>
      <c r="S1637" t="s">
        <v>31</v>
      </c>
      <c r="T1637" t="s">
        <v>32</v>
      </c>
      <c r="U1637">
        <v>69</v>
      </c>
      <c r="V1637">
        <v>4.5</v>
      </c>
      <c r="W1637">
        <f>Table2[[#This Row],[Quantity]]*Table2[[#This Row],[Item_Price]]</f>
        <v>1512</v>
      </c>
    </row>
    <row r="1638" spans="1:23" x14ac:dyDescent="0.25">
      <c r="A1638" t="s">
        <v>1735</v>
      </c>
      <c r="B1638" s="1">
        <v>45777</v>
      </c>
      <c r="C1638" t="s">
        <v>1315</v>
      </c>
      <c r="D1638">
        <v>4</v>
      </c>
      <c r="E1638">
        <v>30</v>
      </c>
      <c r="F1638" t="s">
        <v>24</v>
      </c>
      <c r="G1638" t="s">
        <v>84</v>
      </c>
      <c r="H1638" t="s">
        <v>139</v>
      </c>
      <c r="I1638" t="s">
        <v>27</v>
      </c>
      <c r="J1638" t="s">
        <v>28</v>
      </c>
      <c r="K1638" t="s">
        <v>45</v>
      </c>
      <c r="L1638">
        <v>1</v>
      </c>
      <c r="M1638">
        <v>895</v>
      </c>
      <c r="N1638">
        <v>223.75</v>
      </c>
      <c r="O1638">
        <v>30</v>
      </c>
      <c r="P1638">
        <v>895</v>
      </c>
      <c r="Q1638">
        <v>701.25</v>
      </c>
      <c r="R1638" t="s">
        <v>39</v>
      </c>
      <c r="S1638" t="s">
        <v>31</v>
      </c>
      <c r="T1638" t="s">
        <v>40</v>
      </c>
      <c r="U1638">
        <v>36</v>
      </c>
      <c r="V1638">
        <v>4.2</v>
      </c>
      <c r="W1638">
        <f>Table2[[#This Row],[Quantity]]*Table2[[#This Row],[Item_Price]]</f>
        <v>895</v>
      </c>
    </row>
    <row r="1639" spans="1:23" x14ac:dyDescent="0.25">
      <c r="A1639" t="s">
        <v>1736</v>
      </c>
      <c r="B1639" s="1">
        <v>45777</v>
      </c>
      <c r="C1639" t="s">
        <v>1315</v>
      </c>
      <c r="D1639">
        <v>4</v>
      </c>
      <c r="E1639">
        <v>30</v>
      </c>
      <c r="F1639" t="s">
        <v>24</v>
      </c>
      <c r="G1639" t="s">
        <v>64</v>
      </c>
      <c r="H1639" t="s">
        <v>48</v>
      </c>
      <c r="I1639" t="s">
        <v>43</v>
      </c>
      <c r="J1639" t="s">
        <v>119</v>
      </c>
      <c r="K1639" t="s">
        <v>38</v>
      </c>
      <c r="L1639">
        <v>2</v>
      </c>
      <c r="M1639">
        <v>187</v>
      </c>
      <c r="N1639">
        <v>46.75</v>
      </c>
      <c r="O1639">
        <v>20</v>
      </c>
      <c r="P1639">
        <v>374</v>
      </c>
      <c r="Q1639">
        <v>347.25</v>
      </c>
      <c r="R1639" t="s">
        <v>39</v>
      </c>
      <c r="S1639" t="s">
        <v>31</v>
      </c>
      <c r="T1639" t="s">
        <v>40</v>
      </c>
      <c r="U1639">
        <v>19</v>
      </c>
      <c r="V1639">
        <v>4.9000000000000004</v>
      </c>
      <c r="W1639">
        <f>Table2[[#This Row],[Quantity]]*Table2[[#This Row],[Item_Price]]</f>
        <v>374</v>
      </c>
    </row>
    <row r="1640" spans="1:23" x14ac:dyDescent="0.25">
      <c r="A1640" t="s">
        <v>1737</v>
      </c>
      <c r="B1640" s="1">
        <v>45777</v>
      </c>
      <c r="C1640" t="s">
        <v>1315</v>
      </c>
      <c r="D1640">
        <v>4</v>
      </c>
      <c r="E1640">
        <v>30</v>
      </c>
      <c r="F1640" t="s">
        <v>24</v>
      </c>
      <c r="G1640" t="s">
        <v>34</v>
      </c>
      <c r="H1640" t="s">
        <v>56</v>
      </c>
      <c r="I1640" t="s">
        <v>49</v>
      </c>
      <c r="J1640" t="s">
        <v>82</v>
      </c>
      <c r="K1640" t="s">
        <v>38</v>
      </c>
      <c r="L1640">
        <v>2</v>
      </c>
      <c r="M1640">
        <v>480</v>
      </c>
      <c r="N1640">
        <v>48</v>
      </c>
      <c r="O1640">
        <v>40</v>
      </c>
      <c r="P1640">
        <v>960</v>
      </c>
      <c r="Q1640">
        <v>952</v>
      </c>
      <c r="R1640" t="s">
        <v>30</v>
      </c>
      <c r="S1640" t="s">
        <v>91</v>
      </c>
      <c r="T1640" t="s">
        <v>40</v>
      </c>
      <c r="U1640">
        <v>32</v>
      </c>
      <c r="W1640">
        <f>Table2[[#This Row],[Quantity]]*Table2[[#This Row],[Item_Price]]</f>
        <v>960</v>
      </c>
    </row>
    <row r="1641" spans="1:23" x14ac:dyDescent="0.25">
      <c r="A1641" t="s">
        <v>1738</v>
      </c>
      <c r="B1641" s="1">
        <v>45777</v>
      </c>
      <c r="C1641" t="s">
        <v>1315</v>
      </c>
      <c r="D1641">
        <v>4</v>
      </c>
      <c r="E1641">
        <v>30</v>
      </c>
      <c r="F1641" t="s">
        <v>24</v>
      </c>
      <c r="G1641" t="s">
        <v>34</v>
      </c>
      <c r="H1641" t="s">
        <v>139</v>
      </c>
      <c r="I1641" t="s">
        <v>61</v>
      </c>
      <c r="J1641" t="s">
        <v>37</v>
      </c>
      <c r="K1641" t="s">
        <v>38</v>
      </c>
      <c r="L1641">
        <v>2</v>
      </c>
      <c r="M1641">
        <v>238</v>
      </c>
      <c r="N1641">
        <v>47.6</v>
      </c>
      <c r="O1641">
        <v>20</v>
      </c>
      <c r="P1641">
        <v>476</v>
      </c>
      <c r="Q1641">
        <v>448.4</v>
      </c>
      <c r="R1641" t="s">
        <v>98</v>
      </c>
      <c r="S1641" t="s">
        <v>46</v>
      </c>
      <c r="T1641" t="s">
        <v>40</v>
      </c>
      <c r="U1641">
        <v>49</v>
      </c>
      <c r="W1641">
        <f>Table2[[#This Row],[Quantity]]*Table2[[#This Row],[Item_Price]]</f>
        <v>476</v>
      </c>
    </row>
    <row r="1642" spans="1:23" x14ac:dyDescent="0.25">
      <c r="A1642" t="s">
        <v>1739</v>
      </c>
      <c r="B1642" s="1">
        <v>45777</v>
      </c>
      <c r="C1642" t="s">
        <v>1315</v>
      </c>
      <c r="D1642">
        <v>4</v>
      </c>
      <c r="E1642">
        <v>30</v>
      </c>
      <c r="F1642" t="s">
        <v>24</v>
      </c>
      <c r="G1642" t="s">
        <v>64</v>
      </c>
      <c r="H1642" t="s">
        <v>108</v>
      </c>
      <c r="I1642" t="s">
        <v>36</v>
      </c>
      <c r="J1642" t="s">
        <v>94</v>
      </c>
      <c r="K1642" t="s">
        <v>38</v>
      </c>
      <c r="L1642">
        <v>1</v>
      </c>
      <c r="M1642">
        <v>849</v>
      </c>
      <c r="N1642">
        <v>212.25</v>
      </c>
      <c r="O1642">
        <v>30</v>
      </c>
      <c r="P1642">
        <v>849</v>
      </c>
      <c r="Q1642">
        <v>666.75</v>
      </c>
      <c r="R1642" t="s">
        <v>98</v>
      </c>
      <c r="S1642" t="s">
        <v>31</v>
      </c>
      <c r="T1642" t="s">
        <v>32</v>
      </c>
      <c r="U1642">
        <v>33</v>
      </c>
      <c r="V1642">
        <v>4.3</v>
      </c>
      <c r="W1642">
        <f>Table2[[#This Row],[Quantity]]*Table2[[#This Row],[Item_Price]]</f>
        <v>849</v>
      </c>
    </row>
    <row r="1643" spans="1:23" x14ac:dyDescent="0.25">
      <c r="A1643" t="s">
        <v>1740</v>
      </c>
      <c r="B1643" s="1">
        <v>45777</v>
      </c>
      <c r="C1643" t="s">
        <v>1315</v>
      </c>
      <c r="D1643">
        <v>4</v>
      </c>
      <c r="E1643">
        <v>30</v>
      </c>
      <c r="F1643" t="s">
        <v>24</v>
      </c>
      <c r="G1643" t="s">
        <v>90</v>
      </c>
      <c r="H1643" t="s">
        <v>52</v>
      </c>
      <c r="I1643" t="s">
        <v>27</v>
      </c>
      <c r="J1643" t="s">
        <v>82</v>
      </c>
      <c r="K1643" t="s">
        <v>38</v>
      </c>
      <c r="L1643">
        <v>1</v>
      </c>
      <c r="M1643">
        <v>230</v>
      </c>
      <c r="N1643">
        <v>11.5</v>
      </c>
      <c r="O1643">
        <v>0</v>
      </c>
      <c r="P1643">
        <v>230</v>
      </c>
      <c r="Q1643">
        <v>218.5</v>
      </c>
      <c r="R1643" t="s">
        <v>39</v>
      </c>
      <c r="S1643" t="s">
        <v>31</v>
      </c>
      <c r="T1643" t="s">
        <v>40</v>
      </c>
      <c r="U1643">
        <v>60</v>
      </c>
      <c r="V1643">
        <v>5</v>
      </c>
      <c r="W1643">
        <f>Table2[[#This Row],[Quantity]]*Table2[[#This Row],[Item_Price]]</f>
        <v>230</v>
      </c>
    </row>
    <row r="1644" spans="1:23" x14ac:dyDescent="0.25">
      <c r="A1644" t="s">
        <v>1741</v>
      </c>
      <c r="B1644" s="1">
        <v>45777</v>
      </c>
      <c r="C1644" t="s">
        <v>1315</v>
      </c>
      <c r="D1644">
        <v>4</v>
      </c>
      <c r="E1644">
        <v>30</v>
      </c>
      <c r="F1644" t="s">
        <v>24</v>
      </c>
      <c r="G1644" t="s">
        <v>115</v>
      </c>
      <c r="H1644" t="s">
        <v>60</v>
      </c>
      <c r="I1644" t="s">
        <v>69</v>
      </c>
      <c r="J1644" t="s">
        <v>123</v>
      </c>
      <c r="K1644" t="s">
        <v>38</v>
      </c>
      <c r="L1644">
        <v>2</v>
      </c>
      <c r="M1644">
        <v>569</v>
      </c>
      <c r="N1644">
        <v>56.9</v>
      </c>
      <c r="O1644">
        <v>60</v>
      </c>
      <c r="P1644">
        <v>1138</v>
      </c>
      <c r="Q1644">
        <v>1141.0999999999999</v>
      </c>
      <c r="R1644" t="s">
        <v>75</v>
      </c>
      <c r="S1644" t="s">
        <v>31</v>
      </c>
      <c r="T1644" t="s">
        <v>32</v>
      </c>
      <c r="U1644">
        <v>41</v>
      </c>
      <c r="V1644">
        <v>3.3</v>
      </c>
      <c r="W1644">
        <f>Table2[[#This Row],[Quantity]]*Table2[[#This Row],[Item_Price]]</f>
        <v>1138</v>
      </c>
    </row>
    <row r="1645" spans="1:23" x14ac:dyDescent="0.25">
      <c r="A1645" t="s">
        <v>1742</v>
      </c>
      <c r="B1645" s="1">
        <v>45777</v>
      </c>
      <c r="C1645" t="s">
        <v>1315</v>
      </c>
      <c r="D1645">
        <v>4</v>
      </c>
      <c r="E1645">
        <v>30</v>
      </c>
      <c r="F1645" t="s">
        <v>24</v>
      </c>
      <c r="G1645" t="s">
        <v>115</v>
      </c>
      <c r="H1645" t="s">
        <v>105</v>
      </c>
      <c r="I1645" t="s">
        <v>57</v>
      </c>
      <c r="J1645" t="s">
        <v>172</v>
      </c>
      <c r="K1645" t="s">
        <v>58</v>
      </c>
      <c r="L1645">
        <v>2</v>
      </c>
      <c r="M1645">
        <v>330</v>
      </c>
      <c r="N1645">
        <v>33</v>
      </c>
      <c r="O1645">
        <v>50</v>
      </c>
      <c r="P1645">
        <v>660</v>
      </c>
      <c r="Q1645">
        <v>677</v>
      </c>
      <c r="R1645" t="s">
        <v>39</v>
      </c>
      <c r="S1645" t="s">
        <v>31</v>
      </c>
      <c r="T1645" t="s">
        <v>40</v>
      </c>
      <c r="U1645">
        <v>54</v>
      </c>
      <c r="V1645">
        <v>4.3</v>
      </c>
      <c r="W1645">
        <f>Table2[[#This Row],[Quantity]]*Table2[[#This Row],[Item_Price]]</f>
        <v>660</v>
      </c>
    </row>
    <row r="1646" spans="1:23" x14ac:dyDescent="0.25">
      <c r="A1646" t="s">
        <v>1743</v>
      </c>
      <c r="B1646" s="1">
        <v>45777</v>
      </c>
      <c r="C1646" t="s">
        <v>1315</v>
      </c>
      <c r="D1646">
        <v>4</v>
      </c>
      <c r="E1646">
        <v>30</v>
      </c>
      <c r="F1646" t="s">
        <v>24</v>
      </c>
      <c r="G1646" t="s">
        <v>64</v>
      </c>
      <c r="H1646" t="s">
        <v>60</v>
      </c>
      <c r="I1646" t="s">
        <v>85</v>
      </c>
      <c r="J1646" t="s">
        <v>44</v>
      </c>
      <c r="K1646" t="s">
        <v>38</v>
      </c>
      <c r="L1646">
        <v>1</v>
      </c>
      <c r="M1646">
        <v>422</v>
      </c>
      <c r="N1646">
        <v>21.1</v>
      </c>
      <c r="O1646">
        <v>30</v>
      </c>
      <c r="P1646">
        <v>422</v>
      </c>
      <c r="Q1646">
        <v>430.9</v>
      </c>
      <c r="R1646" t="s">
        <v>39</v>
      </c>
      <c r="S1646" t="s">
        <v>31</v>
      </c>
      <c r="T1646" t="s">
        <v>40</v>
      </c>
      <c r="U1646">
        <v>54</v>
      </c>
      <c r="V1646">
        <v>3.2</v>
      </c>
      <c r="W1646">
        <f>Table2[[#This Row],[Quantity]]*Table2[[#This Row],[Item_Price]]</f>
        <v>422</v>
      </c>
    </row>
    <row r="1647" spans="1:23" x14ac:dyDescent="0.25">
      <c r="A1647" t="s">
        <v>1744</v>
      </c>
      <c r="B1647" s="1">
        <v>45777</v>
      </c>
      <c r="C1647" t="s">
        <v>1315</v>
      </c>
      <c r="D1647">
        <v>4</v>
      </c>
      <c r="E1647">
        <v>30</v>
      </c>
      <c r="F1647" t="s">
        <v>24</v>
      </c>
      <c r="G1647" t="s">
        <v>80</v>
      </c>
      <c r="H1647" t="s">
        <v>108</v>
      </c>
      <c r="I1647" t="s">
        <v>85</v>
      </c>
      <c r="J1647" t="s">
        <v>94</v>
      </c>
      <c r="K1647" t="s">
        <v>38</v>
      </c>
      <c r="L1647">
        <v>2</v>
      </c>
      <c r="M1647">
        <v>644</v>
      </c>
      <c r="N1647">
        <v>32.200000000000003</v>
      </c>
      <c r="O1647">
        <v>0</v>
      </c>
      <c r="P1647">
        <v>1288</v>
      </c>
      <c r="Q1647">
        <v>1255.8</v>
      </c>
      <c r="R1647" t="s">
        <v>75</v>
      </c>
      <c r="S1647" t="s">
        <v>31</v>
      </c>
      <c r="T1647" t="s">
        <v>40</v>
      </c>
      <c r="U1647">
        <v>44</v>
      </c>
      <c r="V1647">
        <v>4.4000000000000004</v>
      </c>
      <c r="W1647">
        <f>Table2[[#This Row],[Quantity]]*Table2[[#This Row],[Item_Price]]</f>
        <v>1288</v>
      </c>
    </row>
    <row r="1648" spans="1:23" x14ac:dyDescent="0.25">
      <c r="A1648" t="s">
        <v>1745</v>
      </c>
      <c r="B1648" s="1">
        <v>45777</v>
      </c>
      <c r="C1648" t="s">
        <v>1315</v>
      </c>
      <c r="D1648">
        <v>4</v>
      </c>
      <c r="E1648">
        <v>30</v>
      </c>
      <c r="F1648" t="s">
        <v>24</v>
      </c>
      <c r="G1648" t="s">
        <v>25</v>
      </c>
      <c r="H1648" t="s">
        <v>81</v>
      </c>
      <c r="I1648" t="s">
        <v>85</v>
      </c>
      <c r="J1648" t="s">
        <v>94</v>
      </c>
      <c r="K1648" t="s">
        <v>38</v>
      </c>
      <c r="L1648">
        <v>1</v>
      </c>
      <c r="M1648">
        <v>817</v>
      </c>
      <c r="N1648">
        <v>40.85</v>
      </c>
      <c r="O1648">
        <v>0</v>
      </c>
      <c r="P1648">
        <v>817</v>
      </c>
      <c r="Q1648">
        <v>776.15</v>
      </c>
      <c r="R1648" t="s">
        <v>39</v>
      </c>
      <c r="S1648" t="s">
        <v>31</v>
      </c>
      <c r="T1648" t="s">
        <v>40</v>
      </c>
      <c r="U1648">
        <v>35</v>
      </c>
      <c r="V1648">
        <v>4.0999999999999996</v>
      </c>
      <c r="W1648">
        <f>Table2[[#This Row],[Quantity]]*Table2[[#This Row],[Item_Price]]</f>
        <v>817</v>
      </c>
    </row>
    <row r="1649" spans="1:23" x14ac:dyDescent="0.25">
      <c r="A1649" t="s">
        <v>1746</v>
      </c>
      <c r="B1649" s="1">
        <v>45777</v>
      </c>
      <c r="C1649" t="s">
        <v>1315</v>
      </c>
      <c r="D1649">
        <v>4</v>
      </c>
      <c r="E1649">
        <v>30</v>
      </c>
      <c r="F1649" t="s">
        <v>24</v>
      </c>
      <c r="G1649" t="s">
        <v>55</v>
      </c>
      <c r="H1649" t="s">
        <v>68</v>
      </c>
      <c r="I1649" t="s">
        <v>97</v>
      </c>
      <c r="J1649" t="s">
        <v>101</v>
      </c>
      <c r="K1649" t="s">
        <v>58</v>
      </c>
      <c r="L1649">
        <v>1</v>
      </c>
      <c r="M1649">
        <v>866</v>
      </c>
      <c r="N1649">
        <v>0</v>
      </c>
      <c r="O1649">
        <v>0</v>
      </c>
      <c r="P1649">
        <v>866</v>
      </c>
      <c r="Q1649">
        <v>866</v>
      </c>
      <c r="R1649" t="s">
        <v>30</v>
      </c>
      <c r="S1649" t="s">
        <v>31</v>
      </c>
      <c r="T1649" t="s">
        <v>40</v>
      </c>
      <c r="U1649">
        <v>29</v>
      </c>
      <c r="V1649">
        <v>3.3</v>
      </c>
      <c r="W1649">
        <f>Table2[[#This Row],[Quantity]]*Table2[[#This Row],[Item_Price]]</f>
        <v>866</v>
      </c>
    </row>
    <row r="1650" spans="1:23" x14ac:dyDescent="0.25">
      <c r="A1650" t="s">
        <v>1747</v>
      </c>
      <c r="B1650" s="1">
        <v>45777</v>
      </c>
      <c r="C1650" t="s">
        <v>1315</v>
      </c>
      <c r="D1650">
        <v>4</v>
      </c>
      <c r="E1650">
        <v>30</v>
      </c>
      <c r="F1650" t="s">
        <v>24</v>
      </c>
      <c r="G1650" t="s">
        <v>55</v>
      </c>
      <c r="H1650" t="s">
        <v>81</v>
      </c>
      <c r="I1650" t="s">
        <v>69</v>
      </c>
      <c r="J1650" t="s">
        <v>94</v>
      </c>
      <c r="K1650" t="s">
        <v>38</v>
      </c>
      <c r="L1650">
        <v>1</v>
      </c>
      <c r="M1650">
        <v>596</v>
      </c>
      <c r="N1650">
        <v>149</v>
      </c>
      <c r="O1650">
        <v>50</v>
      </c>
      <c r="P1650">
        <v>596</v>
      </c>
      <c r="Q1650">
        <v>497</v>
      </c>
      <c r="R1650" t="s">
        <v>98</v>
      </c>
      <c r="S1650" t="s">
        <v>31</v>
      </c>
      <c r="T1650" t="s">
        <v>40</v>
      </c>
      <c r="U1650">
        <v>38</v>
      </c>
      <c r="V1650">
        <v>4.8</v>
      </c>
      <c r="W1650">
        <f>Table2[[#This Row],[Quantity]]*Table2[[#This Row],[Item_Price]]</f>
        <v>596</v>
      </c>
    </row>
    <row r="1651" spans="1:23" x14ac:dyDescent="0.25">
      <c r="A1651" t="s">
        <v>1748</v>
      </c>
      <c r="B1651" s="1">
        <v>45778</v>
      </c>
      <c r="C1651" t="s">
        <v>1749</v>
      </c>
      <c r="D1651">
        <v>5</v>
      </c>
      <c r="E1651">
        <v>1</v>
      </c>
      <c r="F1651" t="s">
        <v>88</v>
      </c>
      <c r="G1651" t="s">
        <v>73</v>
      </c>
      <c r="H1651" t="s">
        <v>68</v>
      </c>
      <c r="I1651" t="s">
        <v>103</v>
      </c>
      <c r="J1651" t="s">
        <v>119</v>
      </c>
      <c r="K1651" t="s">
        <v>38</v>
      </c>
      <c r="L1651">
        <v>1</v>
      </c>
      <c r="M1651">
        <v>616</v>
      </c>
      <c r="N1651">
        <v>92.4</v>
      </c>
      <c r="O1651">
        <v>50</v>
      </c>
      <c r="P1651">
        <v>616</v>
      </c>
      <c r="Q1651">
        <v>573.6</v>
      </c>
      <c r="R1651" t="s">
        <v>30</v>
      </c>
      <c r="S1651" t="s">
        <v>31</v>
      </c>
      <c r="T1651" t="s">
        <v>40</v>
      </c>
      <c r="U1651">
        <v>34</v>
      </c>
      <c r="V1651">
        <v>4.5999999999999996</v>
      </c>
      <c r="W1651">
        <f>Table2[[#This Row],[Quantity]]*Table2[[#This Row],[Item_Price]]</f>
        <v>616</v>
      </c>
    </row>
    <row r="1652" spans="1:23" x14ac:dyDescent="0.25">
      <c r="A1652" t="s">
        <v>1750</v>
      </c>
      <c r="B1652" s="1">
        <v>45778</v>
      </c>
      <c r="C1652" t="s">
        <v>1749</v>
      </c>
      <c r="D1652">
        <v>5</v>
      </c>
      <c r="E1652">
        <v>1</v>
      </c>
      <c r="F1652" t="s">
        <v>88</v>
      </c>
      <c r="G1652" t="s">
        <v>80</v>
      </c>
      <c r="H1652" t="s">
        <v>135</v>
      </c>
      <c r="I1652" t="s">
        <v>61</v>
      </c>
      <c r="J1652" t="s">
        <v>28</v>
      </c>
      <c r="K1652" t="s">
        <v>38</v>
      </c>
      <c r="L1652">
        <v>2</v>
      </c>
      <c r="M1652">
        <v>757</v>
      </c>
      <c r="N1652">
        <v>151.4</v>
      </c>
      <c r="O1652">
        <v>50</v>
      </c>
      <c r="P1652">
        <v>1514</v>
      </c>
      <c r="Q1652">
        <v>1412.6</v>
      </c>
      <c r="R1652" t="s">
        <v>112</v>
      </c>
      <c r="S1652" t="s">
        <v>110</v>
      </c>
      <c r="T1652" t="s">
        <v>40</v>
      </c>
      <c r="U1652">
        <v>22</v>
      </c>
      <c r="W1652">
        <f>Table2[[#This Row],[Quantity]]*Table2[[#This Row],[Item_Price]]</f>
        <v>1514</v>
      </c>
    </row>
    <row r="1653" spans="1:23" x14ac:dyDescent="0.25">
      <c r="A1653" t="s">
        <v>1751</v>
      </c>
      <c r="B1653" s="1">
        <v>45778</v>
      </c>
      <c r="C1653" t="s">
        <v>1749</v>
      </c>
      <c r="D1653">
        <v>5</v>
      </c>
      <c r="E1653">
        <v>1</v>
      </c>
      <c r="F1653" t="s">
        <v>88</v>
      </c>
      <c r="G1653" t="s">
        <v>73</v>
      </c>
      <c r="H1653" t="s">
        <v>60</v>
      </c>
      <c r="I1653" t="s">
        <v>27</v>
      </c>
      <c r="J1653" t="s">
        <v>53</v>
      </c>
      <c r="K1653" t="s">
        <v>58</v>
      </c>
      <c r="L1653">
        <v>2</v>
      </c>
      <c r="M1653">
        <v>243</v>
      </c>
      <c r="N1653">
        <v>0</v>
      </c>
      <c r="O1653">
        <v>0</v>
      </c>
      <c r="P1653">
        <v>486</v>
      </c>
      <c r="Q1653">
        <v>486</v>
      </c>
      <c r="R1653" t="s">
        <v>112</v>
      </c>
      <c r="S1653" t="s">
        <v>31</v>
      </c>
      <c r="T1653" t="s">
        <v>40</v>
      </c>
      <c r="U1653">
        <v>64</v>
      </c>
      <c r="V1653">
        <v>4.7</v>
      </c>
      <c r="W1653">
        <f>Table2[[#This Row],[Quantity]]*Table2[[#This Row],[Item_Price]]</f>
        <v>486</v>
      </c>
    </row>
    <row r="1654" spans="1:23" x14ac:dyDescent="0.25">
      <c r="A1654" t="s">
        <v>1752</v>
      </c>
      <c r="B1654" s="1">
        <v>45778</v>
      </c>
      <c r="C1654" t="s">
        <v>1749</v>
      </c>
      <c r="D1654">
        <v>5</v>
      </c>
      <c r="E1654">
        <v>1</v>
      </c>
      <c r="F1654" t="s">
        <v>88</v>
      </c>
      <c r="G1654" t="s">
        <v>25</v>
      </c>
      <c r="H1654" t="s">
        <v>52</v>
      </c>
      <c r="I1654" t="s">
        <v>43</v>
      </c>
      <c r="J1654" t="s">
        <v>53</v>
      </c>
      <c r="K1654" t="s">
        <v>45</v>
      </c>
      <c r="L1654">
        <v>2</v>
      </c>
      <c r="M1654">
        <v>702</v>
      </c>
      <c r="N1654">
        <v>105.3</v>
      </c>
      <c r="O1654">
        <v>40</v>
      </c>
      <c r="P1654">
        <v>1404</v>
      </c>
      <c r="Q1654">
        <v>1338.7</v>
      </c>
      <c r="R1654" t="s">
        <v>39</v>
      </c>
      <c r="S1654" t="s">
        <v>31</v>
      </c>
      <c r="T1654" t="s">
        <v>32</v>
      </c>
      <c r="U1654">
        <v>38</v>
      </c>
      <c r="V1654">
        <v>4.0999999999999996</v>
      </c>
      <c r="W1654">
        <f>Table2[[#This Row],[Quantity]]*Table2[[#This Row],[Item_Price]]</f>
        <v>1404</v>
      </c>
    </row>
    <row r="1655" spans="1:23" x14ac:dyDescent="0.25">
      <c r="A1655" t="s">
        <v>1753</v>
      </c>
      <c r="B1655" s="1">
        <v>45778</v>
      </c>
      <c r="C1655" t="s">
        <v>1749</v>
      </c>
      <c r="D1655">
        <v>5</v>
      </c>
      <c r="E1655">
        <v>1</v>
      </c>
      <c r="F1655" t="s">
        <v>88</v>
      </c>
      <c r="G1655" t="s">
        <v>64</v>
      </c>
      <c r="H1655" t="s">
        <v>68</v>
      </c>
      <c r="I1655" t="s">
        <v>49</v>
      </c>
      <c r="J1655" t="s">
        <v>123</v>
      </c>
      <c r="K1655" t="s">
        <v>38</v>
      </c>
      <c r="L1655">
        <v>3</v>
      </c>
      <c r="M1655">
        <v>157</v>
      </c>
      <c r="N1655">
        <v>7.85</v>
      </c>
      <c r="O1655">
        <v>40</v>
      </c>
      <c r="P1655">
        <v>471</v>
      </c>
      <c r="Q1655">
        <v>503.15</v>
      </c>
      <c r="R1655" t="s">
        <v>39</v>
      </c>
      <c r="S1655" t="s">
        <v>31</v>
      </c>
      <c r="T1655" t="s">
        <v>40</v>
      </c>
      <c r="U1655">
        <v>37</v>
      </c>
      <c r="V1655">
        <v>3.3</v>
      </c>
      <c r="W1655">
        <f>Table2[[#This Row],[Quantity]]*Table2[[#This Row],[Item_Price]]</f>
        <v>471</v>
      </c>
    </row>
    <row r="1656" spans="1:23" x14ac:dyDescent="0.25">
      <c r="A1656" t="s">
        <v>1754</v>
      </c>
      <c r="B1656" s="1">
        <v>45778</v>
      </c>
      <c r="C1656" t="s">
        <v>1749</v>
      </c>
      <c r="D1656">
        <v>5</v>
      </c>
      <c r="E1656">
        <v>1</v>
      </c>
      <c r="F1656" t="s">
        <v>88</v>
      </c>
      <c r="G1656" t="s">
        <v>34</v>
      </c>
      <c r="H1656" t="s">
        <v>77</v>
      </c>
      <c r="I1656" t="s">
        <v>61</v>
      </c>
      <c r="J1656" t="s">
        <v>82</v>
      </c>
      <c r="K1656" t="s">
        <v>38</v>
      </c>
      <c r="L1656">
        <v>3</v>
      </c>
      <c r="M1656">
        <v>187</v>
      </c>
      <c r="N1656">
        <v>28.05</v>
      </c>
      <c r="O1656">
        <v>30</v>
      </c>
      <c r="P1656">
        <v>561</v>
      </c>
      <c r="Q1656">
        <v>562.95000000000005</v>
      </c>
      <c r="R1656" t="s">
        <v>39</v>
      </c>
      <c r="S1656" t="s">
        <v>91</v>
      </c>
      <c r="T1656" t="s">
        <v>32</v>
      </c>
      <c r="U1656">
        <v>28</v>
      </c>
      <c r="W1656">
        <f>Table2[[#This Row],[Quantity]]*Table2[[#This Row],[Item_Price]]</f>
        <v>561</v>
      </c>
    </row>
    <row r="1657" spans="1:23" x14ac:dyDescent="0.25">
      <c r="A1657" t="s">
        <v>1755</v>
      </c>
      <c r="B1657" s="1">
        <v>45778</v>
      </c>
      <c r="C1657" t="s">
        <v>1749</v>
      </c>
      <c r="D1657">
        <v>5</v>
      </c>
      <c r="E1657">
        <v>1</v>
      </c>
      <c r="F1657" t="s">
        <v>88</v>
      </c>
      <c r="G1657" t="s">
        <v>84</v>
      </c>
      <c r="H1657" t="s">
        <v>26</v>
      </c>
      <c r="I1657" t="s">
        <v>97</v>
      </c>
      <c r="J1657" t="s">
        <v>94</v>
      </c>
      <c r="K1657" t="s">
        <v>29</v>
      </c>
      <c r="L1657">
        <v>2</v>
      </c>
      <c r="M1657">
        <v>540</v>
      </c>
      <c r="N1657">
        <v>27</v>
      </c>
      <c r="O1657">
        <v>40</v>
      </c>
      <c r="P1657">
        <v>1080</v>
      </c>
      <c r="Q1657">
        <v>1093</v>
      </c>
      <c r="R1657" t="s">
        <v>39</v>
      </c>
      <c r="S1657" t="s">
        <v>31</v>
      </c>
      <c r="T1657" t="s">
        <v>32</v>
      </c>
      <c r="U1657">
        <v>34</v>
      </c>
      <c r="V1657">
        <v>5</v>
      </c>
      <c r="W1657">
        <f>Table2[[#This Row],[Quantity]]*Table2[[#This Row],[Item_Price]]</f>
        <v>1080</v>
      </c>
    </row>
    <row r="1658" spans="1:23" x14ac:dyDescent="0.25">
      <c r="A1658" t="s">
        <v>1756</v>
      </c>
      <c r="B1658" s="1">
        <v>45778</v>
      </c>
      <c r="C1658" t="s">
        <v>1749</v>
      </c>
      <c r="D1658">
        <v>5</v>
      </c>
      <c r="E1658">
        <v>1</v>
      </c>
      <c r="F1658" t="s">
        <v>88</v>
      </c>
      <c r="G1658" t="s">
        <v>115</v>
      </c>
      <c r="H1658" t="s">
        <v>77</v>
      </c>
      <c r="I1658" t="s">
        <v>85</v>
      </c>
      <c r="J1658" t="s">
        <v>62</v>
      </c>
      <c r="K1658" t="s">
        <v>38</v>
      </c>
      <c r="L1658">
        <v>1</v>
      </c>
      <c r="M1658">
        <v>461</v>
      </c>
      <c r="N1658">
        <v>46.1</v>
      </c>
      <c r="O1658">
        <v>70</v>
      </c>
      <c r="P1658">
        <v>461</v>
      </c>
      <c r="Q1658">
        <v>484.9</v>
      </c>
      <c r="R1658" t="s">
        <v>112</v>
      </c>
      <c r="S1658" t="s">
        <v>31</v>
      </c>
      <c r="T1658" t="s">
        <v>32</v>
      </c>
      <c r="U1658">
        <v>22</v>
      </c>
      <c r="V1658">
        <v>4.8</v>
      </c>
      <c r="W1658">
        <f>Table2[[#This Row],[Quantity]]*Table2[[#This Row],[Item_Price]]</f>
        <v>461</v>
      </c>
    </row>
    <row r="1659" spans="1:23" x14ac:dyDescent="0.25">
      <c r="A1659" t="s">
        <v>1757</v>
      </c>
      <c r="B1659" s="1">
        <v>45778</v>
      </c>
      <c r="C1659" t="s">
        <v>1749</v>
      </c>
      <c r="D1659">
        <v>5</v>
      </c>
      <c r="E1659">
        <v>1</v>
      </c>
      <c r="F1659" t="s">
        <v>88</v>
      </c>
      <c r="G1659" t="s">
        <v>73</v>
      </c>
      <c r="H1659" t="s">
        <v>42</v>
      </c>
      <c r="I1659" t="s">
        <v>85</v>
      </c>
      <c r="J1659" t="s">
        <v>74</v>
      </c>
      <c r="K1659" t="s">
        <v>45</v>
      </c>
      <c r="L1659">
        <v>3</v>
      </c>
      <c r="M1659">
        <v>720</v>
      </c>
      <c r="N1659">
        <v>180</v>
      </c>
      <c r="O1659">
        <v>60</v>
      </c>
      <c r="P1659">
        <v>2160</v>
      </c>
      <c r="Q1659">
        <v>2040</v>
      </c>
      <c r="R1659" t="s">
        <v>30</v>
      </c>
      <c r="S1659" t="s">
        <v>31</v>
      </c>
      <c r="T1659" t="s">
        <v>40</v>
      </c>
      <c r="U1659">
        <v>37</v>
      </c>
      <c r="V1659">
        <v>4.5</v>
      </c>
      <c r="W1659">
        <f>Table2[[#This Row],[Quantity]]*Table2[[#This Row],[Item_Price]]</f>
        <v>2160</v>
      </c>
    </row>
    <row r="1660" spans="1:23" x14ac:dyDescent="0.25">
      <c r="A1660" t="s">
        <v>1758</v>
      </c>
      <c r="B1660" s="1">
        <v>45778</v>
      </c>
      <c r="C1660" t="s">
        <v>1749</v>
      </c>
      <c r="D1660">
        <v>5</v>
      </c>
      <c r="E1660">
        <v>1</v>
      </c>
      <c r="F1660" t="s">
        <v>88</v>
      </c>
      <c r="G1660" t="s">
        <v>80</v>
      </c>
      <c r="H1660" t="s">
        <v>56</v>
      </c>
      <c r="I1660" t="s">
        <v>69</v>
      </c>
      <c r="J1660" t="s">
        <v>62</v>
      </c>
      <c r="K1660" t="s">
        <v>38</v>
      </c>
      <c r="L1660">
        <v>1</v>
      </c>
      <c r="M1660">
        <v>296</v>
      </c>
      <c r="N1660">
        <v>59.2</v>
      </c>
      <c r="O1660">
        <v>60</v>
      </c>
      <c r="P1660">
        <v>296</v>
      </c>
      <c r="Q1660">
        <v>296.8</v>
      </c>
      <c r="R1660" t="s">
        <v>39</v>
      </c>
      <c r="S1660" t="s">
        <v>110</v>
      </c>
      <c r="T1660" t="s">
        <v>40</v>
      </c>
      <c r="U1660">
        <v>28</v>
      </c>
      <c r="W1660">
        <f>Table2[[#This Row],[Quantity]]*Table2[[#This Row],[Item_Price]]</f>
        <v>296</v>
      </c>
    </row>
    <row r="1661" spans="1:23" x14ac:dyDescent="0.25">
      <c r="A1661" t="s">
        <v>1759</v>
      </c>
      <c r="B1661" s="1">
        <v>45779</v>
      </c>
      <c r="C1661" t="s">
        <v>1749</v>
      </c>
      <c r="D1661">
        <v>5</v>
      </c>
      <c r="E1661">
        <v>2</v>
      </c>
      <c r="F1661" t="s">
        <v>114</v>
      </c>
      <c r="G1661" t="s">
        <v>64</v>
      </c>
      <c r="H1661" t="s">
        <v>77</v>
      </c>
      <c r="I1661" t="s">
        <v>27</v>
      </c>
      <c r="J1661" t="s">
        <v>62</v>
      </c>
      <c r="K1661" t="s">
        <v>38</v>
      </c>
      <c r="L1661">
        <v>1</v>
      </c>
      <c r="M1661">
        <v>613</v>
      </c>
      <c r="N1661">
        <v>0</v>
      </c>
      <c r="O1661">
        <v>70</v>
      </c>
      <c r="P1661">
        <v>613</v>
      </c>
      <c r="Q1661">
        <v>683</v>
      </c>
      <c r="R1661" t="s">
        <v>75</v>
      </c>
      <c r="S1661" t="s">
        <v>91</v>
      </c>
      <c r="T1661" t="s">
        <v>40</v>
      </c>
      <c r="U1661">
        <v>66</v>
      </c>
      <c r="W1661">
        <f>Table2[[#This Row],[Quantity]]*Table2[[#This Row],[Item_Price]]</f>
        <v>613</v>
      </c>
    </row>
    <row r="1662" spans="1:23" x14ac:dyDescent="0.25">
      <c r="A1662" t="s">
        <v>1760</v>
      </c>
      <c r="B1662" s="1">
        <v>45779</v>
      </c>
      <c r="C1662" t="s">
        <v>1749</v>
      </c>
      <c r="D1662">
        <v>5</v>
      </c>
      <c r="E1662">
        <v>2</v>
      </c>
      <c r="F1662" t="s">
        <v>114</v>
      </c>
      <c r="G1662" t="s">
        <v>55</v>
      </c>
      <c r="H1662" t="s">
        <v>65</v>
      </c>
      <c r="I1662" t="s">
        <v>36</v>
      </c>
      <c r="J1662" t="s">
        <v>53</v>
      </c>
      <c r="K1662" t="s">
        <v>38</v>
      </c>
      <c r="L1662">
        <v>2</v>
      </c>
      <c r="M1662">
        <v>853</v>
      </c>
      <c r="N1662">
        <v>85.3</v>
      </c>
      <c r="O1662">
        <v>40</v>
      </c>
      <c r="P1662">
        <v>1706</v>
      </c>
      <c r="Q1662">
        <v>1660.7</v>
      </c>
      <c r="R1662" t="s">
        <v>112</v>
      </c>
      <c r="S1662" t="s">
        <v>46</v>
      </c>
      <c r="T1662" t="s">
        <v>32</v>
      </c>
      <c r="U1662">
        <v>34</v>
      </c>
      <c r="W1662">
        <f>Table2[[#This Row],[Quantity]]*Table2[[#This Row],[Item_Price]]</f>
        <v>1706</v>
      </c>
    </row>
    <row r="1663" spans="1:23" x14ac:dyDescent="0.25">
      <c r="A1663" t="s">
        <v>1761</v>
      </c>
      <c r="B1663" s="1">
        <v>45779</v>
      </c>
      <c r="C1663" t="s">
        <v>1749</v>
      </c>
      <c r="D1663">
        <v>5</v>
      </c>
      <c r="E1663">
        <v>2</v>
      </c>
      <c r="F1663" t="s">
        <v>114</v>
      </c>
      <c r="G1663" t="s">
        <v>34</v>
      </c>
      <c r="H1663" t="s">
        <v>81</v>
      </c>
      <c r="I1663" t="s">
        <v>57</v>
      </c>
      <c r="J1663" t="s">
        <v>53</v>
      </c>
      <c r="K1663" t="s">
        <v>29</v>
      </c>
      <c r="L1663">
        <v>2</v>
      </c>
      <c r="M1663">
        <v>412</v>
      </c>
      <c r="N1663">
        <v>82.4</v>
      </c>
      <c r="O1663">
        <v>30</v>
      </c>
      <c r="P1663">
        <v>824</v>
      </c>
      <c r="Q1663">
        <v>771.6</v>
      </c>
      <c r="R1663" t="s">
        <v>39</v>
      </c>
      <c r="S1663" t="s">
        <v>31</v>
      </c>
      <c r="T1663" t="s">
        <v>32</v>
      </c>
      <c r="U1663">
        <v>60</v>
      </c>
      <c r="V1663">
        <v>3.3</v>
      </c>
      <c r="W1663">
        <f>Table2[[#This Row],[Quantity]]*Table2[[#This Row],[Item_Price]]</f>
        <v>824</v>
      </c>
    </row>
    <row r="1664" spans="1:23" x14ac:dyDescent="0.25">
      <c r="A1664" t="s">
        <v>1762</v>
      </c>
      <c r="B1664" s="1">
        <v>45779</v>
      </c>
      <c r="C1664" t="s">
        <v>1749</v>
      </c>
      <c r="D1664">
        <v>5</v>
      </c>
      <c r="E1664">
        <v>2</v>
      </c>
      <c r="F1664" t="s">
        <v>114</v>
      </c>
      <c r="G1664" t="s">
        <v>34</v>
      </c>
      <c r="H1664" t="s">
        <v>108</v>
      </c>
      <c r="I1664" t="s">
        <v>49</v>
      </c>
      <c r="J1664" t="s">
        <v>53</v>
      </c>
      <c r="K1664" t="s">
        <v>38</v>
      </c>
      <c r="L1664">
        <v>1</v>
      </c>
      <c r="M1664">
        <v>208</v>
      </c>
      <c r="N1664">
        <v>10.4</v>
      </c>
      <c r="O1664">
        <v>60</v>
      </c>
      <c r="P1664">
        <v>208</v>
      </c>
      <c r="Q1664">
        <v>257.60000000000002</v>
      </c>
      <c r="R1664" t="s">
        <v>39</v>
      </c>
      <c r="S1664" t="s">
        <v>46</v>
      </c>
      <c r="T1664" t="s">
        <v>32</v>
      </c>
      <c r="U1664">
        <v>63</v>
      </c>
      <c r="W1664">
        <f>Table2[[#This Row],[Quantity]]*Table2[[#This Row],[Item_Price]]</f>
        <v>208</v>
      </c>
    </row>
    <row r="1665" spans="1:23" x14ac:dyDescent="0.25">
      <c r="A1665" t="s">
        <v>1763</v>
      </c>
      <c r="B1665" s="1">
        <v>45779</v>
      </c>
      <c r="C1665" t="s">
        <v>1749</v>
      </c>
      <c r="D1665">
        <v>5</v>
      </c>
      <c r="E1665">
        <v>2</v>
      </c>
      <c r="F1665" t="s">
        <v>114</v>
      </c>
      <c r="G1665" t="s">
        <v>25</v>
      </c>
      <c r="H1665" t="s">
        <v>105</v>
      </c>
      <c r="I1665" t="s">
        <v>103</v>
      </c>
      <c r="J1665" t="s">
        <v>28</v>
      </c>
      <c r="K1665" t="s">
        <v>38</v>
      </c>
      <c r="L1665">
        <v>1</v>
      </c>
      <c r="M1665">
        <v>726</v>
      </c>
      <c r="N1665">
        <v>72.599999999999994</v>
      </c>
      <c r="O1665">
        <v>0</v>
      </c>
      <c r="P1665">
        <v>726</v>
      </c>
      <c r="Q1665">
        <v>653.4</v>
      </c>
      <c r="R1665" t="s">
        <v>30</v>
      </c>
      <c r="S1665" t="s">
        <v>31</v>
      </c>
      <c r="T1665" t="s">
        <v>40</v>
      </c>
      <c r="U1665">
        <v>63</v>
      </c>
      <c r="V1665">
        <v>4.3</v>
      </c>
      <c r="W1665">
        <f>Table2[[#This Row],[Quantity]]*Table2[[#This Row],[Item_Price]]</f>
        <v>726</v>
      </c>
    </row>
    <row r="1666" spans="1:23" x14ac:dyDescent="0.25">
      <c r="A1666" t="s">
        <v>1764</v>
      </c>
      <c r="B1666" s="1">
        <v>45779</v>
      </c>
      <c r="C1666" t="s">
        <v>1749</v>
      </c>
      <c r="D1666">
        <v>5</v>
      </c>
      <c r="E1666">
        <v>2</v>
      </c>
      <c r="F1666" t="s">
        <v>114</v>
      </c>
      <c r="G1666" t="s">
        <v>80</v>
      </c>
      <c r="H1666" t="s">
        <v>65</v>
      </c>
      <c r="I1666" t="s">
        <v>103</v>
      </c>
      <c r="J1666" t="s">
        <v>119</v>
      </c>
      <c r="K1666" t="s">
        <v>45</v>
      </c>
      <c r="L1666">
        <v>3</v>
      </c>
      <c r="M1666">
        <v>798</v>
      </c>
      <c r="N1666">
        <v>0</v>
      </c>
      <c r="O1666">
        <v>50</v>
      </c>
      <c r="P1666">
        <v>2394</v>
      </c>
      <c r="Q1666">
        <v>2444</v>
      </c>
      <c r="R1666" t="s">
        <v>39</v>
      </c>
      <c r="S1666" t="s">
        <v>31</v>
      </c>
      <c r="T1666" t="s">
        <v>32</v>
      </c>
      <c r="U1666">
        <v>60</v>
      </c>
      <c r="V1666">
        <v>4.5999999999999996</v>
      </c>
      <c r="W1666">
        <f>Table2[[#This Row],[Quantity]]*Table2[[#This Row],[Item_Price]]</f>
        <v>2394</v>
      </c>
    </row>
    <row r="1667" spans="1:23" x14ac:dyDescent="0.25">
      <c r="A1667" t="s">
        <v>1765</v>
      </c>
      <c r="B1667" s="1">
        <v>45779</v>
      </c>
      <c r="C1667" t="s">
        <v>1749</v>
      </c>
      <c r="D1667">
        <v>5</v>
      </c>
      <c r="E1667">
        <v>2</v>
      </c>
      <c r="F1667" t="s">
        <v>114</v>
      </c>
      <c r="G1667" t="s">
        <v>73</v>
      </c>
      <c r="H1667" t="s">
        <v>48</v>
      </c>
      <c r="I1667" t="s">
        <v>103</v>
      </c>
      <c r="J1667" t="s">
        <v>62</v>
      </c>
      <c r="K1667" t="s">
        <v>38</v>
      </c>
      <c r="L1667">
        <v>1</v>
      </c>
      <c r="M1667">
        <v>891</v>
      </c>
      <c r="N1667">
        <v>133.65</v>
      </c>
      <c r="O1667">
        <v>40</v>
      </c>
      <c r="P1667">
        <v>891</v>
      </c>
      <c r="Q1667">
        <v>797.35</v>
      </c>
      <c r="R1667" t="s">
        <v>39</v>
      </c>
      <c r="S1667" t="s">
        <v>91</v>
      </c>
      <c r="T1667" t="s">
        <v>32</v>
      </c>
      <c r="U1667">
        <v>52</v>
      </c>
      <c r="W1667">
        <f>Table2[[#This Row],[Quantity]]*Table2[[#This Row],[Item_Price]]</f>
        <v>891</v>
      </c>
    </row>
    <row r="1668" spans="1:23" x14ac:dyDescent="0.25">
      <c r="A1668" t="s">
        <v>1766</v>
      </c>
      <c r="B1668" s="1">
        <v>45779</v>
      </c>
      <c r="C1668" t="s">
        <v>1749</v>
      </c>
      <c r="D1668">
        <v>5</v>
      </c>
      <c r="E1668">
        <v>2</v>
      </c>
      <c r="F1668" t="s">
        <v>114</v>
      </c>
      <c r="G1668" t="s">
        <v>80</v>
      </c>
      <c r="H1668" t="s">
        <v>108</v>
      </c>
      <c r="I1668" t="s">
        <v>27</v>
      </c>
      <c r="J1668" t="s">
        <v>94</v>
      </c>
      <c r="K1668" t="s">
        <v>45</v>
      </c>
      <c r="L1668">
        <v>2</v>
      </c>
      <c r="M1668">
        <v>140</v>
      </c>
      <c r="N1668">
        <v>7</v>
      </c>
      <c r="O1668">
        <v>20</v>
      </c>
      <c r="P1668">
        <v>280</v>
      </c>
      <c r="Q1668">
        <v>293</v>
      </c>
      <c r="R1668" t="s">
        <v>30</v>
      </c>
      <c r="S1668" t="s">
        <v>31</v>
      </c>
      <c r="T1668" t="s">
        <v>40</v>
      </c>
      <c r="U1668">
        <v>35</v>
      </c>
      <c r="V1668">
        <v>4.8</v>
      </c>
      <c r="W1668">
        <f>Table2[[#This Row],[Quantity]]*Table2[[#This Row],[Item_Price]]</f>
        <v>280</v>
      </c>
    </row>
    <row r="1669" spans="1:23" x14ac:dyDescent="0.25">
      <c r="A1669" t="s">
        <v>1767</v>
      </c>
      <c r="B1669" s="1">
        <v>45779</v>
      </c>
      <c r="C1669" t="s">
        <v>1749</v>
      </c>
      <c r="D1669">
        <v>5</v>
      </c>
      <c r="E1669">
        <v>2</v>
      </c>
      <c r="F1669" t="s">
        <v>114</v>
      </c>
      <c r="G1669" t="s">
        <v>34</v>
      </c>
      <c r="H1669" t="s">
        <v>56</v>
      </c>
      <c r="I1669" t="s">
        <v>57</v>
      </c>
      <c r="J1669" t="s">
        <v>28</v>
      </c>
      <c r="K1669" t="s">
        <v>29</v>
      </c>
      <c r="L1669">
        <v>2</v>
      </c>
      <c r="M1669">
        <v>783</v>
      </c>
      <c r="N1669">
        <v>0</v>
      </c>
      <c r="O1669">
        <v>60</v>
      </c>
      <c r="P1669">
        <v>1566</v>
      </c>
      <c r="Q1669">
        <v>1626</v>
      </c>
      <c r="R1669" t="s">
        <v>39</v>
      </c>
      <c r="S1669" t="s">
        <v>31</v>
      </c>
      <c r="T1669" t="s">
        <v>32</v>
      </c>
      <c r="U1669">
        <v>49</v>
      </c>
      <c r="V1669">
        <v>4.7</v>
      </c>
      <c r="W1669">
        <f>Table2[[#This Row],[Quantity]]*Table2[[#This Row],[Item_Price]]</f>
        <v>1566</v>
      </c>
    </row>
    <row r="1670" spans="1:23" x14ac:dyDescent="0.25">
      <c r="A1670" t="s">
        <v>1768</v>
      </c>
      <c r="B1670" s="1">
        <v>45779</v>
      </c>
      <c r="C1670" t="s">
        <v>1749</v>
      </c>
      <c r="D1670">
        <v>5</v>
      </c>
      <c r="E1670">
        <v>2</v>
      </c>
      <c r="F1670" t="s">
        <v>114</v>
      </c>
      <c r="G1670" t="s">
        <v>34</v>
      </c>
      <c r="H1670" t="s">
        <v>48</v>
      </c>
      <c r="I1670" t="s">
        <v>103</v>
      </c>
      <c r="J1670" t="s">
        <v>101</v>
      </c>
      <c r="K1670" t="s">
        <v>45</v>
      </c>
      <c r="L1670">
        <v>2</v>
      </c>
      <c r="M1670">
        <v>382</v>
      </c>
      <c r="N1670">
        <v>38.200000000000003</v>
      </c>
      <c r="O1670">
        <v>30</v>
      </c>
      <c r="P1670">
        <v>764</v>
      </c>
      <c r="Q1670">
        <v>755.8</v>
      </c>
      <c r="R1670" t="s">
        <v>75</v>
      </c>
      <c r="S1670" t="s">
        <v>31</v>
      </c>
      <c r="T1670" t="s">
        <v>40</v>
      </c>
      <c r="U1670">
        <v>58</v>
      </c>
      <c r="V1670">
        <v>4.7</v>
      </c>
      <c r="W1670">
        <f>Table2[[#This Row],[Quantity]]*Table2[[#This Row],[Item_Price]]</f>
        <v>764</v>
      </c>
    </row>
    <row r="1671" spans="1:23" x14ac:dyDescent="0.25">
      <c r="A1671" t="s">
        <v>1769</v>
      </c>
      <c r="B1671" s="1">
        <v>45779</v>
      </c>
      <c r="C1671" t="s">
        <v>1749</v>
      </c>
      <c r="D1671">
        <v>5</v>
      </c>
      <c r="E1671">
        <v>2</v>
      </c>
      <c r="F1671" t="s">
        <v>114</v>
      </c>
      <c r="G1671" t="s">
        <v>55</v>
      </c>
      <c r="H1671" t="s">
        <v>52</v>
      </c>
      <c r="I1671" t="s">
        <v>36</v>
      </c>
      <c r="J1671" t="s">
        <v>44</v>
      </c>
      <c r="K1671" t="s">
        <v>38</v>
      </c>
      <c r="L1671">
        <v>2</v>
      </c>
      <c r="M1671">
        <v>127</v>
      </c>
      <c r="N1671">
        <v>12.7</v>
      </c>
      <c r="O1671">
        <v>40</v>
      </c>
      <c r="P1671">
        <v>254</v>
      </c>
      <c r="Q1671">
        <v>281.3</v>
      </c>
      <c r="R1671" t="s">
        <v>39</v>
      </c>
      <c r="S1671" t="s">
        <v>31</v>
      </c>
      <c r="T1671" t="s">
        <v>40</v>
      </c>
      <c r="U1671">
        <v>61</v>
      </c>
      <c r="V1671">
        <v>4.4000000000000004</v>
      </c>
      <c r="W1671">
        <f>Table2[[#This Row],[Quantity]]*Table2[[#This Row],[Item_Price]]</f>
        <v>254</v>
      </c>
    </row>
    <row r="1672" spans="1:23" x14ac:dyDescent="0.25">
      <c r="A1672" t="s">
        <v>1770</v>
      </c>
      <c r="B1672" s="1">
        <v>45779</v>
      </c>
      <c r="C1672" t="s">
        <v>1749</v>
      </c>
      <c r="D1672">
        <v>5</v>
      </c>
      <c r="E1672">
        <v>2</v>
      </c>
      <c r="F1672" t="s">
        <v>114</v>
      </c>
      <c r="G1672" t="s">
        <v>55</v>
      </c>
      <c r="H1672" t="s">
        <v>65</v>
      </c>
      <c r="I1672" t="s">
        <v>97</v>
      </c>
      <c r="J1672" t="s">
        <v>119</v>
      </c>
      <c r="K1672" t="s">
        <v>38</v>
      </c>
      <c r="L1672">
        <v>2</v>
      </c>
      <c r="M1672">
        <v>817</v>
      </c>
      <c r="N1672">
        <v>0</v>
      </c>
      <c r="O1672">
        <v>40</v>
      </c>
      <c r="P1672">
        <v>1634</v>
      </c>
      <c r="Q1672">
        <v>1674</v>
      </c>
      <c r="R1672" t="s">
        <v>39</v>
      </c>
      <c r="S1672" t="s">
        <v>110</v>
      </c>
      <c r="T1672" t="s">
        <v>40</v>
      </c>
      <c r="U1672">
        <v>22</v>
      </c>
      <c r="W1672">
        <f>Table2[[#This Row],[Quantity]]*Table2[[#This Row],[Item_Price]]</f>
        <v>1634</v>
      </c>
    </row>
    <row r="1673" spans="1:23" x14ac:dyDescent="0.25">
      <c r="A1673" t="s">
        <v>1771</v>
      </c>
      <c r="B1673" s="1">
        <v>45779</v>
      </c>
      <c r="C1673" t="s">
        <v>1749</v>
      </c>
      <c r="D1673">
        <v>5</v>
      </c>
      <c r="E1673">
        <v>2</v>
      </c>
      <c r="F1673" t="s">
        <v>114</v>
      </c>
      <c r="G1673" t="s">
        <v>80</v>
      </c>
      <c r="H1673" t="s">
        <v>35</v>
      </c>
      <c r="I1673" t="s">
        <v>27</v>
      </c>
      <c r="J1673" t="s">
        <v>37</v>
      </c>
      <c r="K1673" t="s">
        <v>38</v>
      </c>
      <c r="L1673">
        <v>2</v>
      </c>
      <c r="M1673">
        <v>584</v>
      </c>
      <c r="N1673">
        <v>58.4</v>
      </c>
      <c r="O1673">
        <v>20</v>
      </c>
      <c r="P1673">
        <v>1168</v>
      </c>
      <c r="Q1673">
        <v>1129.5999999999999</v>
      </c>
      <c r="R1673" t="s">
        <v>30</v>
      </c>
      <c r="S1673" t="s">
        <v>31</v>
      </c>
      <c r="T1673" t="s">
        <v>40</v>
      </c>
      <c r="U1673">
        <v>34</v>
      </c>
      <c r="V1673">
        <v>4.8</v>
      </c>
      <c r="W1673">
        <f>Table2[[#This Row],[Quantity]]*Table2[[#This Row],[Item_Price]]</f>
        <v>1168</v>
      </c>
    </row>
    <row r="1674" spans="1:23" x14ac:dyDescent="0.25">
      <c r="A1674" t="s">
        <v>1772</v>
      </c>
      <c r="B1674" s="1">
        <v>45779</v>
      </c>
      <c r="C1674" t="s">
        <v>1749</v>
      </c>
      <c r="D1674">
        <v>5</v>
      </c>
      <c r="E1674">
        <v>2</v>
      </c>
      <c r="F1674" t="s">
        <v>114</v>
      </c>
      <c r="G1674" t="s">
        <v>25</v>
      </c>
      <c r="H1674" t="s">
        <v>42</v>
      </c>
      <c r="I1674" t="s">
        <v>43</v>
      </c>
      <c r="J1674" t="s">
        <v>50</v>
      </c>
      <c r="K1674" t="s">
        <v>38</v>
      </c>
      <c r="L1674">
        <v>2</v>
      </c>
      <c r="M1674">
        <v>810</v>
      </c>
      <c r="N1674">
        <v>81</v>
      </c>
      <c r="O1674">
        <v>50</v>
      </c>
      <c r="P1674">
        <v>1620</v>
      </c>
      <c r="Q1674">
        <v>1589</v>
      </c>
      <c r="R1674" t="s">
        <v>112</v>
      </c>
      <c r="S1674" t="s">
        <v>31</v>
      </c>
      <c r="T1674" t="s">
        <v>40</v>
      </c>
      <c r="U1674">
        <v>66</v>
      </c>
      <c r="V1674">
        <v>3.9</v>
      </c>
      <c r="W1674">
        <f>Table2[[#This Row],[Quantity]]*Table2[[#This Row],[Item_Price]]</f>
        <v>1620</v>
      </c>
    </row>
    <row r="1675" spans="1:23" x14ac:dyDescent="0.25">
      <c r="A1675" t="s">
        <v>1773</v>
      </c>
      <c r="B1675" s="1">
        <v>45779</v>
      </c>
      <c r="C1675" t="s">
        <v>1749</v>
      </c>
      <c r="D1675">
        <v>5</v>
      </c>
      <c r="E1675">
        <v>2</v>
      </c>
      <c r="F1675" t="s">
        <v>114</v>
      </c>
      <c r="G1675" t="s">
        <v>55</v>
      </c>
      <c r="H1675" t="s">
        <v>105</v>
      </c>
      <c r="I1675" t="s">
        <v>36</v>
      </c>
      <c r="J1675" t="s">
        <v>78</v>
      </c>
      <c r="K1675" t="s">
        <v>38</v>
      </c>
      <c r="L1675">
        <v>1</v>
      </c>
      <c r="M1675">
        <v>136</v>
      </c>
      <c r="N1675">
        <v>6.8</v>
      </c>
      <c r="O1675">
        <v>60</v>
      </c>
      <c r="P1675">
        <v>136</v>
      </c>
      <c r="Q1675">
        <v>189.2</v>
      </c>
      <c r="R1675" t="s">
        <v>30</v>
      </c>
      <c r="S1675" t="s">
        <v>31</v>
      </c>
      <c r="T1675" t="s">
        <v>40</v>
      </c>
      <c r="U1675">
        <v>62</v>
      </c>
      <c r="V1675">
        <v>5</v>
      </c>
      <c r="W1675">
        <f>Table2[[#This Row],[Quantity]]*Table2[[#This Row],[Item_Price]]</f>
        <v>136</v>
      </c>
    </row>
    <row r="1676" spans="1:23" x14ac:dyDescent="0.25">
      <c r="A1676" t="s">
        <v>1774</v>
      </c>
      <c r="B1676" s="1">
        <v>45780</v>
      </c>
      <c r="C1676" t="s">
        <v>1749</v>
      </c>
      <c r="D1676">
        <v>5</v>
      </c>
      <c r="E1676">
        <v>3</v>
      </c>
      <c r="F1676" t="s">
        <v>134</v>
      </c>
      <c r="G1676" t="s">
        <v>55</v>
      </c>
      <c r="H1676" t="s">
        <v>108</v>
      </c>
      <c r="I1676" t="s">
        <v>57</v>
      </c>
      <c r="J1676" t="s">
        <v>28</v>
      </c>
      <c r="K1676" t="s">
        <v>45</v>
      </c>
      <c r="L1676">
        <v>1</v>
      </c>
      <c r="M1676">
        <v>812</v>
      </c>
      <c r="N1676">
        <v>40.6</v>
      </c>
      <c r="O1676">
        <v>60</v>
      </c>
      <c r="P1676">
        <v>812</v>
      </c>
      <c r="Q1676">
        <v>831.4</v>
      </c>
      <c r="R1676" t="s">
        <v>98</v>
      </c>
      <c r="S1676" t="s">
        <v>31</v>
      </c>
      <c r="T1676" t="s">
        <v>40</v>
      </c>
      <c r="U1676">
        <v>21</v>
      </c>
      <c r="V1676">
        <v>3.4</v>
      </c>
      <c r="W1676">
        <f>Table2[[#This Row],[Quantity]]*Table2[[#This Row],[Item_Price]]</f>
        <v>812</v>
      </c>
    </row>
    <row r="1677" spans="1:23" x14ac:dyDescent="0.25">
      <c r="A1677" t="s">
        <v>1775</v>
      </c>
      <c r="B1677" s="1">
        <v>45780</v>
      </c>
      <c r="C1677" t="s">
        <v>1749</v>
      </c>
      <c r="D1677">
        <v>5</v>
      </c>
      <c r="E1677">
        <v>3</v>
      </c>
      <c r="F1677" t="s">
        <v>134</v>
      </c>
      <c r="G1677" t="s">
        <v>80</v>
      </c>
      <c r="H1677" t="s">
        <v>68</v>
      </c>
      <c r="I1677" t="s">
        <v>27</v>
      </c>
      <c r="J1677" t="s">
        <v>172</v>
      </c>
      <c r="K1677" t="s">
        <v>58</v>
      </c>
      <c r="L1677">
        <v>2</v>
      </c>
      <c r="M1677">
        <v>577</v>
      </c>
      <c r="N1677">
        <v>28.85</v>
      </c>
      <c r="O1677">
        <v>50</v>
      </c>
      <c r="P1677">
        <v>1154</v>
      </c>
      <c r="Q1677">
        <v>1175.1500000000001</v>
      </c>
      <c r="R1677" t="s">
        <v>39</v>
      </c>
      <c r="S1677" t="s">
        <v>31</v>
      </c>
      <c r="T1677" t="s">
        <v>40</v>
      </c>
      <c r="U1677">
        <v>61</v>
      </c>
      <c r="V1677">
        <v>3.8</v>
      </c>
      <c r="W1677">
        <f>Table2[[#This Row],[Quantity]]*Table2[[#This Row],[Item_Price]]</f>
        <v>1154</v>
      </c>
    </row>
    <row r="1678" spans="1:23" x14ac:dyDescent="0.25">
      <c r="A1678" t="s">
        <v>1776</v>
      </c>
      <c r="B1678" s="1">
        <v>45780</v>
      </c>
      <c r="C1678" t="s">
        <v>1749</v>
      </c>
      <c r="D1678">
        <v>5</v>
      </c>
      <c r="E1678">
        <v>3</v>
      </c>
      <c r="F1678" t="s">
        <v>134</v>
      </c>
      <c r="G1678" t="s">
        <v>90</v>
      </c>
      <c r="H1678" t="s">
        <v>35</v>
      </c>
      <c r="I1678" t="s">
        <v>69</v>
      </c>
      <c r="J1678" t="s">
        <v>53</v>
      </c>
      <c r="K1678" t="s">
        <v>45</v>
      </c>
      <c r="L1678">
        <v>2</v>
      </c>
      <c r="M1678">
        <v>637</v>
      </c>
      <c r="N1678">
        <v>63.7</v>
      </c>
      <c r="O1678">
        <v>0</v>
      </c>
      <c r="P1678">
        <v>1274</v>
      </c>
      <c r="Q1678">
        <v>1210.3</v>
      </c>
      <c r="R1678" t="s">
        <v>30</v>
      </c>
      <c r="S1678" t="s">
        <v>31</v>
      </c>
      <c r="T1678" t="s">
        <v>40</v>
      </c>
      <c r="U1678">
        <v>33</v>
      </c>
      <c r="V1678">
        <v>4.3</v>
      </c>
      <c r="W1678">
        <f>Table2[[#This Row],[Quantity]]*Table2[[#This Row],[Item_Price]]</f>
        <v>1274</v>
      </c>
    </row>
    <row r="1679" spans="1:23" x14ac:dyDescent="0.25">
      <c r="A1679" t="s">
        <v>1777</v>
      </c>
      <c r="B1679" s="1">
        <v>45780</v>
      </c>
      <c r="C1679" t="s">
        <v>1749</v>
      </c>
      <c r="D1679">
        <v>5</v>
      </c>
      <c r="E1679">
        <v>3</v>
      </c>
      <c r="F1679" t="s">
        <v>134</v>
      </c>
      <c r="G1679" t="s">
        <v>34</v>
      </c>
      <c r="H1679" t="s">
        <v>68</v>
      </c>
      <c r="I1679" t="s">
        <v>85</v>
      </c>
      <c r="J1679" t="s">
        <v>78</v>
      </c>
      <c r="K1679" t="s">
        <v>38</v>
      </c>
      <c r="L1679">
        <v>1</v>
      </c>
      <c r="M1679">
        <v>695</v>
      </c>
      <c r="N1679">
        <v>104.25</v>
      </c>
      <c r="O1679">
        <v>30</v>
      </c>
      <c r="P1679">
        <v>695</v>
      </c>
      <c r="Q1679">
        <v>620.75</v>
      </c>
      <c r="R1679" t="s">
        <v>39</v>
      </c>
      <c r="S1679" t="s">
        <v>110</v>
      </c>
      <c r="T1679" t="s">
        <v>32</v>
      </c>
      <c r="U1679">
        <v>54</v>
      </c>
      <c r="W1679">
        <f>Table2[[#This Row],[Quantity]]*Table2[[#This Row],[Item_Price]]</f>
        <v>695</v>
      </c>
    </row>
    <row r="1680" spans="1:23" x14ac:dyDescent="0.25">
      <c r="A1680" t="s">
        <v>1778</v>
      </c>
      <c r="B1680" s="1">
        <v>45780</v>
      </c>
      <c r="C1680" t="s">
        <v>1749</v>
      </c>
      <c r="D1680">
        <v>5</v>
      </c>
      <c r="E1680">
        <v>3</v>
      </c>
      <c r="F1680" t="s">
        <v>134</v>
      </c>
      <c r="G1680" t="s">
        <v>90</v>
      </c>
      <c r="H1680" t="s">
        <v>48</v>
      </c>
      <c r="I1680" t="s">
        <v>49</v>
      </c>
      <c r="J1680" t="s">
        <v>37</v>
      </c>
      <c r="K1680" t="s">
        <v>45</v>
      </c>
      <c r="L1680">
        <v>3</v>
      </c>
      <c r="M1680">
        <v>830</v>
      </c>
      <c r="N1680">
        <v>0</v>
      </c>
      <c r="O1680">
        <v>60</v>
      </c>
      <c r="P1680">
        <v>2490</v>
      </c>
      <c r="Q1680">
        <v>2550</v>
      </c>
      <c r="R1680" t="s">
        <v>75</v>
      </c>
      <c r="S1680" t="s">
        <v>46</v>
      </c>
      <c r="T1680" t="s">
        <v>32</v>
      </c>
      <c r="U1680">
        <v>53</v>
      </c>
      <c r="W1680">
        <f>Table2[[#This Row],[Quantity]]*Table2[[#This Row],[Item_Price]]</f>
        <v>2490</v>
      </c>
    </row>
    <row r="1681" spans="1:23" x14ac:dyDescent="0.25">
      <c r="A1681" t="s">
        <v>1779</v>
      </c>
      <c r="B1681" s="1">
        <v>45780</v>
      </c>
      <c r="C1681" t="s">
        <v>1749</v>
      </c>
      <c r="D1681">
        <v>5</v>
      </c>
      <c r="E1681">
        <v>3</v>
      </c>
      <c r="F1681" t="s">
        <v>134</v>
      </c>
      <c r="G1681" t="s">
        <v>25</v>
      </c>
      <c r="H1681" t="s">
        <v>65</v>
      </c>
      <c r="I1681" t="s">
        <v>103</v>
      </c>
      <c r="J1681" t="s">
        <v>66</v>
      </c>
      <c r="K1681" t="s">
        <v>38</v>
      </c>
      <c r="L1681">
        <v>2</v>
      </c>
      <c r="M1681">
        <v>700</v>
      </c>
      <c r="N1681">
        <v>105</v>
      </c>
      <c r="O1681">
        <v>60</v>
      </c>
      <c r="P1681">
        <v>1400</v>
      </c>
      <c r="Q1681">
        <v>1355</v>
      </c>
      <c r="R1681" t="s">
        <v>39</v>
      </c>
      <c r="S1681" t="s">
        <v>31</v>
      </c>
      <c r="T1681" t="s">
        <v>32</v>
      </c>
      <c r="U1681">
        <v>67</v>
      </c>
      <c r="V1681">
        <v>4.5999999999999996</v>
      </c>
      <c r="W1681">
        <f>Table2[[#This Row],[Quantity]]*Table2[[#This Row],[Item_Price]]</f>
        <v>1400</v>
      </c>
    </row>
    <row r="1682" spans="1:23" x14ac:dyDescent="0.25">
      <c r="A1682" t="s">
        <v>1780</v>
      </c>
      <c r="B1682" s="1">
        <v>45780</v>
      </c>
      <c r="C1682" t="s">
        <v>1749</v>
      </c>
      <c r="D1682">
        <v>5</v>
      </c>
      <c r="E1682">
        <v>3</v>
      </c>
      <c r="F1682" t="s">
        <v>134</v>
      </c>
      <c r="G1682" t="s">
        <v>80</v>
      </c>
      <c r="H1682" t="s">
        <v>77</v>
      </c>
      <c r="I1682" t="s">
        <v>57</v>
      </c>
      <c r="J1682" t="s">
        <v>66</v>
      </c>
      <c r="K1682" t="s">
        <v>38</v>
      </c>
      <c r="L1682">
        <v>1</v>
      </c>
      <c r="M1682">
        <v>646</v>
      </c>
      <c r="N1682">
        <v>161.5</v>
      </c>
      <c r="O1682">
        <v>30</v>
      </c>
      <c r="P1682">
        <v>646</v>
      </c>
      <c r="Q1682">
        <v>514.5</v>
      </c>
      <c r="R1682" t="s">
        <v>75</v>
      </c>
      <c r="S1682" t="s">
        <v>31</v>
      </c>
      <c r="T1682" t="s">
        <v>40</v>
      </c>
      <c r="U1682">
        <v>40</v>
      </c>
      <c r="V1682">
        <v>3.3</v>
      </c>
      <c r="W1682">
        <f>Table2[[#This Row],[Quantity]]*Table2[[#This Row],[Item_Price]]</f>
        <v>646</v>
      </c>
    </row>
    <row r="1683" spans="1:23" x14ac:dyDescent="0.25">
      <c r="A1683" t="s">
        <v>1781</v>
      </c>
      <c r="B1683" s="1">
        <v>45780</v>
      </c>
      <c r="C1683" t="s">
        <v>1749</v>
      </c>
      <c r="D1683">
        <v>5</v>
      </c>
      <c r="E1683">
        <v>3</v>
      </c>
      <c r="F1683" t="s">
        <v>134</v>
      </c>
      <c r="G1683" t="s">
        <v>34</v>
      </c>
      <c r="H1683" t="s">
        <v>48</v>
      </c>
      <c r="I1683" t="s">
        <v>49</v>
      </c>
      <c r="J1683" t="s">
        <v>82</v>
      </c>
      <c r="K1683" t="s">
        <v>38</v>
      </c>
      <c r="L1683">
        <v>1</v>
      </c>
      <c r="M1683">
        <v>510</v>
      </c>
      <c r="N1683">
        <v>76.5</v>
      </c>
      <c r="O1683">
        <v>60</v>
      </c>
      <c r="P1683">
        <v>510</v>
      </c>
      <c r="Q1683">
        <v>493.5</v>
      </c>
      <c r="R1683" t="s">
        <v>39</v>
      </c>
      <c r="S1683" t="s">
        <v>31</v>
      </c>
      <c r="T1683" t="s">
        <v>40</v>
      </c>
      <c r="U1683">
        <v>21</v>
      </c>
      <c r="V1683">
        <v>3.7</v>
      </c>
      <c r="W1683">
        <f>Table2[[#This Row],[Quantity]]*Table2[[#This Row],[Item_Price]]</f>
        <v>510</v>
      </c>
    </row>
    <row r="1684" spans="1:23" x14ac:dyDescent="0.25">
      <c r="A1684" t="s">
        <v>1782</v>
      </c>
      <c r="B1684" s="1">
        <v>45781</v>
      </c>
      <c r="C1684" t="s">
        <v>1749</v>
      </c>
      <c r="D1684">
        <v>5</v>
      </c>
      <c r="E1684">
        <v>4</v>
      </c>
      <c r="F1684" t="s">
        <v>149</v>
      </c>
      <c r="G1684" t="s">
        <v>73</v>
      </c>
      <c r="H1684" t="s">
        <v>108</v>
      </c>
      <c r="I1684" t="s">
        <v>69</v>
      </c>
      <c r="J1684" t="s">
        <v>37</v>
      </c>
      <c r="K1684" t="s">
        <v>38</v>
      </c>
      <c r="L1684">
        <v>2</v>
      </c>
      <c r="M1684">
        <v>771</v>
      </c>
      <c r="N1684">
        <v>115.65</v>
      </c>
      <c r="O1684">
        <v>40</v>
      </c>
      <c r="P1684">
        <v>1542</v>
      </c>
      <c r="Q1684">
        <v>1466.35</v>
      </c>
      <c r="R1684" t="s">
        <v>98</v>
      </c>
      <c r="S1684" t="s">
        <v>31</v>
      </c>
      <c r="T1684" t="s">
        <v>40</v>
      </c>
      <c r="U1684">
        <v>56</v>
      </c>
      <c r="V1684">
        <v>4.0999999999999996</v>
      </c>
      <c r="W1684">
        <f>Table2[[#This Row],[Quantity]]*Table2[[#This Row],[Item_Price]]</f>
        <v>1542</v>
      </c>
    </row>
    <row r="1685" spans="1:23" x14ac:dyDescent="0.25">
      <c r="A1685" t="s">
        <v>1783</v>
      </c>
      <c r="B1685" s="1">
        <v>45781</v>
      </c>
      <c r="C1685" t="s">
        <v>1749</v>
      </c>
      <c r="D1685">
        <v>5</v>
      </c>
      <c r="E1685">
        <v>4</v>
      </c>
      <c r="F1685" t="s">
        <v>149</v>
      </c>
      <c r="G1685" t="s">
        <v>80</v>
      </c>
      <c r="H1685" t="s">
        <v>56</v>
      </c>
      <c r="I1685" t="s">
        <v>57</v>
      </c>
      <c r="J1685" t="s">
        <v>37</v>
      </c>
      <c r="K1685" t="s">
        <v>38</v>
      </c>
      <c r="L1685">
        <v>3</v>
      </c>
      <c r="M1685">
        <v>302</v>
      </c>
      <c r="N1685">
        <v>45.3</v>
      </c>
      <c r="O1685">
        <v>30</v>
      </c>
      <c r="P1685">
        <v>906</v>
      </c>
      <c r="Q1685">
        <v>890.7</v>
      </c>
      <c r="R1685" t="s">
        <v>39</v>
      </c>
      <c r="S1685" t="s">
        <v>31</v>
      </c>
      <c r="T1685" t="s">
        <v>32</v>
      </c>
      <c r="U1685">
        <v>36</v>
      </c>
      <c r="V1685">
        <v>4.8</v>
      </c>
      <c r="W1685">
        <f>Table2[[#This Row],[Quantity]]*Table2[[#This Row],[Item_Price]]</f>
        <v>906</v>
      </c>
    </row>
    <row r="1686" spans="1:23" x14ac:dyDescent="0.25">
      <c r="A1686" t="s">
        <v>1784</v>
      </c>
      <c r="B1686" s="1">
        <v>45781</v>
      </c>
      <c r="C1686" t="s">
        <v>1749</v>
      </c>
      <c r="D1686">
        <v>5</v>
      </c>
      <c r="E1686">
        <v>4</v>
      </c>
      <c r="F1686" t="s">
        <v>149</v>
      </c>
      <c r="G1686" t="s">
        <v>34</v>
      </c>
      <c r="H1686" t="s">
        <v>81</v>
      </c>
      <c r="I1686" t="s">
        <v>57</v>
      </c>
      <c r="J1686" t="s">
        <v>119</v>
      </c>
      <c r="K1686" t="s">
        <v>38</v>
      </c>
      <c r="L1686">
        <v>3</v>
      </c>
      <c r="M1686">
        <v>736</v>
      </c>
      <c r="N1686">
        <v>73.599999999999994</v>
      </c>
      <c r="O1686">
        <v>60</v>
      </c>
      <c r="P1686">
        <v>2208</v>
      </c>
      <c r="Q1686">
        <v>2194.4</v>
      </c>
      <c r="R1686" t="s">
        <v>39</v>
      </c>
      <c r="S1686" t="s">
        <v>31</v>
      </c>
      <c r="T1686" t="s">
        <v>32</v>
      </c>
      <c r="U1686">
        <v>68</v>
      </c>
      <c r="V1686">
        <v>4.5999999999999996</v>
      </c>
      <c r="W1686">
        <f>Table2[[#This Row],[Quantity]]*Table2[[#This Row],[Item_Price]]</f>
        <v>2208</v>
      </c>
    </row>
    <row r="1687" spans="1:23" x14ac:dyDescent="0.25">
      <c r="A1687" t="s">
        <v>1785</v>
      </c>
      <c r="B1687" s="1">
        <v>45781</v>
      </c>
      <c r="C1687" t="s">
        <v>1749</v>
      </c>
      <c r="D1687">
        <v>5</v>
      </c>
      <c r="E1687">
        <v>4</v>
      </c>
      <c r="F1687" t="s">
        <v>149</v>
      </c>
      <c r="G1687" t="s">
        <v>64</v>
      </c>
      <c r="H1687" t="s">
        <v>42</v>
      </c>
      <c r="I1687" t="s">
        <v>85</v>
      </c>
      <c r="J1687" t="s">
        <v>44</v>
      </c>
      <c r="K1687" t="s">
        <v>38</v>
      </c>
      <c r="L1687">
        <v>1</v>
      </c>
      <c r="M1687">
        <v>375</v>
      </c>
      <c r="N1687">
        <v>75</v>
      </c>
      <c r="O1687">
        <v>30</v>
      </c>
      <c r="P1687">
        <v>375</v>
      </c>
      <c r="Q1687">
        <v>330</v>
      </c>
      <c r="R1687" t="s">
        <v>75</v>
      </c>
      <c r="S1687" t="s">
        <v>46</v>
      </c>
      <c r="T1687" t="s">
        <v>32</v>
      </c>
      <c r="U1687">
        <v>54</v>
      </c>
      <c r="W1687">
        <f>Table2[[#This Row],[Quantity]]*Table2[[#This Row],[Item_Price]]</f>
        <v>375</v>
      </c>
    </row>
    <row r="1688" spans="1:23" x14ac:dyDescent="0.25">
      <c r="A1688" t="s">
        <v>1786</v>
      </c>
      <c r="B1688" s="1">
        <v>45781</v>
      </c>
      <c r="C1688" t="s">
        <v>1749</v>
      </c>
      <c r="D1688">
        <v>5</v>
      </c>
      <c r="E1688">
        <v>4</v>
      </c>
      <c r="F1688" t="s">
        <v>149</v>
      </c>
      <c r="G1688" t="s">
        <v>55</v>
      </c>
      <c r="H1688" t="s">
        <v>42</v>
      </c>
      <c r="I1688" t="s">
        <v>103</v>
      </c>
      <c r="J1688" t="s">
        <v>53</v>
      </c>
      <c r="K1688" t="s">
        <v>38</v>
      </c>
      <c r="L1688">
        <v>3</v>
      </c>
      <c r="M1688">
        <v>340</v>
      </c>
      <c r="N1688">
        <v>34</v>
      </c>
      <c r="O1688">
        <v>30</v>
      </c>
      <c r="P1688">
        <v>1020</v>
      </c>
      <c r="Q1688">
        <v>1016</v>
      </c>
      <c r="R1688" t="s">
        <v>39</v>
      </c>
      <c r="S1688" t="s">
        <v>91</v>
      </c>
      <c r="T1688" t="s">
        <v>40</v>
      </c>
      <c r="U1688">
        <v>38</v>
      </c>
      <c r="W1688">
        <f>Table2[[#This Row],[Quantity]]*Table2[[#This Row],[Item_Price]]</f>
        <v>1020</v>
      </c>
    </row>
    <row r="1689" spans="1:23" x14ac:dyDescent="0.25">
      <c r="A1689" t="s">
        <v>1787</v>
      </c>
      <c r="B1689" s="1">
        <v>45781</v>
      </c>
      <c r="C1689" t="s">
        <v>1749</v>
      </c>
      <c r="D1689">
        <v>5</v>
      </c>
      <c r="E1689">
        <v>4</v>
      </c>
      <c r="F1689" t="s">
        <v>149</v>
      </c>
      <c r="G1689" t="s">
        <v>73</v>
      </c>
      <c r="H1689" t="s">
        <v>105</v>
      </c>
      <c r="I1689" t="s">
        <v>57</v>
      </c>
      <c r="J1689" t="s">
        <v>70</v>
      </c>
      <c r="K1689" t="s">
        <v>38</v>
      </c>
      <c r="L1689">
        <v>1</v>
      </c>
      <c r="M1689">
        <v>217</v>
      </c>
      <c r="N1689">
        <v>0</v>
      </c>
      <c r="O1689">
        <v>20</v>
      </c>
      <c r="P1689">
        <v>217</v>
      </c>
      <c r="Q1689">
        <v>237</v>
      </c>
      <c r="R1689" t="s">
        <v>39</v>
      </c>
      <c r="S1689" t="s">
        <v>31</v>
      </c>
      <c r="T1689" t="s">
        <v>32</v>
      </c>
      <c r="U1689">
        <v>35</v>
      </c>
      <c r="V1689">
        <v>3.9</v>
      </c>
      <c r="W1689">
        <f>Table2[[#This Row],[Quantity]]*Table2[[#This Row],[Item_Price]]</f>
        <v>217</v>
      </c>
    </row>
    <row r="1690" spans="1:23" x14ac:dyDescent="0.25">
      <c r="A1690" t="s">
        <v>1788</v>
      </c>
      <c r="B1690" s="1">
        <v>45781</v>
      </c>
      <c r="C1690" t="s">
        <v>1749</v>
      </c>
      <c r="D1690">
        <v>5</v>
      </c>
      <c r="E1690">
        <v>4</v>
      </c>
      <c r="F1690" t="s">
        <v>149</v>
      </c>
      <c r="G1690" t="s">
        <v>115</v>
      </c>
      <c r="H1690" t="s">
        <v>65</v>
      </c>
      <c r="I1690" t="s">
        <v>69</v>
      </c>
      <c r="J1690" t="s">
        <v>37</v>
      </c>
      <c r="K1690" t="s">
        <v>38</v>
      </c>
      <c r="L1690">
        <v>1</v>
      </c>
      <c r="M1690">
        <v>392</v>
      </c>
      <c r="N1690">
        <v>78.400000000000006</v>
      </c>
      <c r="O1690">
        <v>40</v>
      </c>
      <c r="P1690">
        <v>392</v>
      </c>
      <c r="Q1690">
        <v>353.6</v>
      </c>
      <c r="R1690" t="s">
        <v>39</v>
      </c>
      <c r="S1690" t="s">
        <v>31</v>
      </c>
      <c r="T1690" t="s">
        <v>40</v>
      </c>
      <c r="U1690">
        <v>57</v>
      </c>
      <c r="V1690">
        <v>4.2</v>
      </c>
      <c r="W1690">
        <f>Table2[[#This Row],[Quantity]]*Table2[[#This Row],[Item_Price]]</f>
        <v>392</v>
      </c>
    </row>
    <row r="1691" spans="1:23" x14ac:dyDescent="0.25">
      <c r="A1691" t="s">
        <v>1789</v>
      </c>
      <c r="B1691" s="1">
        <v>45781</v>
      </c>
      <c r="C1691" t="s">
        <v>1749</v>
      </c>
      <c r="D1691">
        <v>5</v>
      </c>
      <c r="E1691">
        <v>4</v>
      </c>
      <c r="F1691" t="s">
        <v>149</v>
      </c>
      <c r="G1691" t="s">
        <v>84</v>
      </c>
      <c r="H1691" t="s">
        <v>56</v>
      </c>
      <c r="I1691" t="s">
        <v>85</v>
      </c>
      <c r="J1691" t="s">
        <v>94</v>
      </c>
      <c r="K1691" t="s">
        <v>38</v>
      </c>
      <c r="L1691">
        <v>2</v>
      </c>
      <c r="M1691">
        <v>863</v>
      </c>
      <c r="N1691">
        <v>86.3</v>
      </c>
      <c r="O1691">
        <v>70</v>
      </c>
      <c r="P1691">
        <v>1726</v>
      </c>
      <c r="Q1691">
        <v>1709.7</v>
      </c>
      <c r="R1691" t="s">
        <v>39</v>
      </c>
      <c r="S1691" t="s">
        <v>31</v>
      </c>
      <c r="T1691" t="s">
        <v>32</v>
      </c>
      <c r="U1691">
        <v>37</v>
      </c>
      <c r="V1691">
        <v>4.5</v>
      </c>
      <c r="W1691">
        <f>Table2[[#This Row],[Quantity]]*Table2[[#This Row],[Item_Price]]</f>
        <v>1726</v>
      </c>
    </row>
    <row r="1692" spans="1:23" x14ac:dyDescent="0.25">
      <c r="A1692" t="s">
        <v>1790</v>
      </c>
      <c r="B1692" s="1">
        <v>45781</v>
      </c>
      <c r="C1692" t="s">
        <v>1749</v>
      </c>
      <c r="D1692">
        <v>5</v>
      </c>
      <c r="E1692">
        <v>4</v>
      </c>
      <c r="F1692" t="s">
        <v>149</v>
      </c>
      <c r="G1692" t="s">
        <v>25</v>
      </c>
      <c r="H1692" t="s">
        <v>60</v>
      </c>
      <c r="I1692" t="s">
        <v>85</v>
      </c>
      <c r="J1692" t="s">
        <v>74</v>
      </c>
      <c r="K1692" t="s">
        <v>58</v>
      </c>
      <c r="L1692">
        <v>1</v>
      </c>
      <c r="M1692">
        <v>642</v>
      </c>
      <c r="N1692">
        <v>64.2</v>
      </c>
      <c r="O1692">
        <v>30</v>
      </c>
      <c r="P1692">
        <v>642</v>
      </c>
      <c r="Q1692">
        <v>607.79999999999995</v>
      </c>
      <c r="R1692" t="s">
        <v>98</v>
      </c>
      <c r="S1692" t="s">
        <v>31</v>
      </c>
      <c r="T1692" t="s">
        <v>32</v>
      </c>
      <c r="U1692">
        <v>40</v>
      </c>
      <c r="V1692">
        <v>5</v>
      </c>
      <c r="W1692">
        <f>Table2[[#This Row],[Quantity]]*Table2[[#This Row],[Item_Price]]</f>
        <v>642</v>
      </c>
    </row>
    <row r="1693" spans="1:23" x14ac:dyDescent="0.25">
      <c r="A1693" t="s">
        <v>1791</v>
      </c>
      <c r="B1693" s="1">
        <v>45781</v>
      </c>
      <c r="C1693" t="s">
        <v>1749</v>
      </c>
      <c r="D1693">
        <v>5</v>
      </c>
      <c r="E1693">
        <v>4</v>
      </c>
      <c r="F1693" t="s">
        <v>149</v>
      </c>
      <c r="G1693" t="s">
        <v>84</v>
      </c>
      <c r="H1693" t="s">
        <v>81</v>
      </c>
      <c r="I1693" t="s">
        <v>49</v>
      </c>
      <c r="J1693" t="s">
        <v>50</v>
      </c>
      <c r="K1693" t="s">
        <v>38</v>
      </c>
      <c r="L1693">
        <v>2</v>
      </c>
      <c r="M1693">
        <v>455</v>
      </c>
      <c r="N1693">
        <v>68.25</v>
      </c>
      <c r="O1693">
        <v>40</v>
      </c>
      <c r="P1693">
        <v>910</v>
      </c>
      <c r="Q1693">
        <v>881.75</v>
      </c>
      <c r="R1693" t="s">
        <v>39</v>
      </c>
      <c r="S1693" t="s">
        <v>31</v>
      </c>
      <c r="T1693" t="s">
        <v>40</v>
      </c>
      <c r="U1693">
        <v>27</v>
      </c>
      <c r="V1693">
        <v>4.5</v>
      </c>
      <c r="W1693">
        <f>Table2[[#This Row],[Quantity]]*Table2[[#This Row],[Item_Price]]</f>
        <v>910</v>
      </c>
    </row>
    <row r="1694" spans="1:23" x14ac:dyDescent="0.25">
      <c r="A1694" t="s">
        <v>1792</v>
      </c>
      <c r="B1694" s="1">
        <v>45781</v>
      </c>
      <c r="C1694" t="s">
        <v>1749</v>
      </c>
      <c r="D1694">
        <v>5</v>
      </c>
      <c r="E1694">
        <v>4</v>
      </c>
      <c r="F1694" t="s">
        <v>149</v>
      </c>
      <c r="G1694" t="s">
        <v>34</v>
      </c>
      <c r="H1694" t="s">
        <v>105</v>
      </c>
      <c r="I1694" t="s">
        <v>27</v>
      </c>
      <c r="J1694" t="s">
        <v>37</v>
      </c>
      <c r="K1694" t="s">
        <v>38</v>
      </c>
      <c r="L1694">
        <v>3</v>
      </c>
      <c r="M1694">
        <v>345</v>
      </c>
      <c r="N1694">
        <v>86.25</v>
      </c>
      <c r="O1694">
        <v>70</v>
      </c>
      <c r="P1694">
        <v>1035</v>
      </c>
      <c r="Q1694">
        <v>1018.75</v>
      </c>
      <c r="R1694" t="s">
        <v>39</v>
      </c>
      <c r="S1694" t="s">
        <v>31</v>
      </c>
      <c r="T1694" t="s">
        <v>32</v>
      </c>
      <c r="U1694">
        <v>24</v>
      </c>
      <c r="V1694">
        <v>4.0999999999999996</v>
      </c>
      <c r="W1694">
        <f>Table2[[#This Row],[Quantity]]*Table2[[#This Row],[Item_Price]]</f>
        <v>1035</v>
      </c>
    </row>
    <row r="1695" spans="1:23" x14ac:dyDescent="0.25">
      <c r="A1695" t="s">
        <v>1793</v>
      </c>
      <c r="B1695" s="1">
        <v>45781</v>
      </c>
      <c r="C1695" t="s">
        <v>1749</v>
      </c>
      <c r="D1695">
        <v>5</v>
      </c>
      <c r="E1695">
        <v>4</v>
      </c>
      <c r="F1695" t="s">
        <v>149</v>
      </c>
      <c r="G1695" t="s">
        <v>73</v>
      </c>
      <c r="H1695" t="s">
        <v>60</v>
      </c>
      <c r="I1695" t="s">
        <v>43</v>
      </c>
      <c r="J1695" t="s">
        <v>74</v>
      </c>
      <c r="K1695" t="s">
        <v>45</v>
      </c>
      <c r="L1695">
        <v>3</v>
      </c>
      <c r="M1695">
        <v>127</v>
      </c>
      <c r="N1695">
        <v>0</v>
      </c>
      <c r="O1695">
        <v>20</v>
      </c>
      <c r="P1695">
        <v>381</v>
      </c>
      <c r="Q1695">
        <v>401</v>
      </c>
      <c r="R1695" t="s">
        <v>39</v>
      </c>
      <c r="S1695" t="s">
        <v>31</v>
      </c>
      <c r="T1695" t="s">
        <v>40</v>
      </c>
      <c r="U1695">
        <v>26</v>
      </c>
      <c r="V1695">
        <v>5</v>
      </c>
      <c r="W1695">
        <f>Table2[[#This Row],[Quantity]]*Table2[[#This Row],[Item_Price]]</f>
        <v>381</v>
      </c>
    </row>
    <row r="1696" spans="1:23" x14ac:dyDescent="0.25">
      <c r="A1696" t="s">
        <v>1794</v>
      </c>
      <c r="B1696" s="1">
        <v>45781</v>
      </c>
      <c r="C1696" t="s">
        <v>1749</v>
      </c>
      <c r="D1696">
        <v>5</v>
      </c>
      <c r="E1696">
        <v>4</v>
      </c>
      <c r="F1696" t="s">
        <v>149</v>
      </c>
      <c r="G1696" t="s">
        <v>64</v>
      </c>
      <c r="H1696" t="s">
        <v>35</v>
      </c>
      <c r="I1696" t="s">
        <v>57</v>
      </c>
      <c r="J1696" t="s">
        <v>70</v>
      </c>
      <c r="K1696" t="s">
        <v>58</v>
      </c>
      <c r="L1696">
        <v>2</v>
      </c>
      <c r="M1696">
        <v>286</v>
      </c>
      <c r="N1696">
        <v>28.6</v>
      </c>
      <c r="O1696">
        <v>30</v>
      </c>
      <c r="P1696">
        <v>572</v>
      </c>
      <c r="Q1696">
        <v>573.4</v>
      </c>
      <c r="R1696" t="s">
        <v>98</v>
      </c>
      <c r="S1696" t="s">
        <v>31</v>
      </c>
      <c r="T1696" t="s">
        <v>40</v>
      </c>
      <c r="U1696">
        <v>31</v>
      </c>
      <c r="V1696">
        <v>3.5</v>
      </c>
      <c r="W1696">
        <f>Table2[[#This Row],[Quantity]]*Table2[[#This Row],[Item_Price]]</f>
        <v>572</v>
      </c>
    </row>
    <row r="1697" spans="1:23" x14ac:dyDescent="0.25">
      <c r="A1697" t="s">
        <v>1795</v>
      </c>
      <c r="B1697" s="1">
        <v>45781</v>
      </c>
      <c r="C1697" t="s">
        <v>1749</v>
      </c>
      <c r="D1697">
        <v>5</v>
      </c>
      <c r="E1697">
        <v>4</v>
      </c>
      <c r="F1697" t="s">
        <v>149</v>
      </c>
      <c r="G1697" t="s">
        <v>34</v>
      </c>
      <c r="H1697" t="s">
        <v>56</v>
      </c>
      <c r="I1697" t="s">
        <v>43</v>
      </c>
      <c r="J1697" t="s">
        <v>101</v>
      </c>
      <c r="K1697" t="s">
        <v>38</v>
      </c>
      <c r="L1697">
        <v>1</v>
      </c>
      <c r="M1697">
        <v>649</v>
      </c>
      <c r="N1697">
        <v>32.450000000000003</v>
      </c>
      <c r="O1697">
        <v>50</v>
      </c>
      <c r="P1697">
        <v>649</v>
      </c>
      <c r="Q1697">
        <v>666.55</v>
      </c>
      <c r="R1697" t="s">
        <v>39</v>
      </c>
      <c r="S1697" t="s">
        <v>31</v>
      </c>
      <c r="T1697" t="s">
        <v>40</v>
      </c>
      <c r="U1697">
        <v>64</v>
      </c>
      <c r="V1697">
        <v>4.9000000000000004</v>
      </c>
      <c r="W1697">
        <f>Table2[[#This Row],[Quantity]]*Table2[[#This Row],[Item_Price]]</f>
        <v>649</v>
      </c>
    </row>
    <row r="1698" spans="1:23" x14ac:dyDescent="0.25">
      <c r="A1698" t="s">
        <v>1796</v>
      </c>
      <c r="B1698" s="1">
        <v>45782</v>
      </c>
      <c r="C1698" t="s">
        <v>1749</v>
      </c>
      <c r="D1698">
        <v>5</v>
      </c>
      <c r="E1698">
        <v>5</v>
      </c>
      <c r="F1698" t="s">
        <v>168</v>
      </c>
      <c r="G1698" t="s">
        <v>64</v>
      </c>
      <c r="H1698" t="s">
        <v>52</v>
      </c>
      <c r="I1698" t="s">
        <v>69</v>
      </c>
      <c r="J1698" t="s">
        <v>78</v>
      </c>
      <c r="K1698" t="s">
        <v>38</v>
      </c>
      <c r="L1698">
        <v>1</v>
      </c>
      <c r="M1698">
        <v>218</v>
      </c>
      <c r="N1698">
        <v>32.700000000000003</v>
      </c>
      <c r="O1698">
        <v>30</v>
      </c>
      <c r="P1698">
        <v>218</v>
      </c>
      <c r="Q1698">
        <v>215.3</v>
      </c>
      <c r="R1698" t="s">
        <v>98</v>
      </c>
      <c r="S1698" t="s">
        <v>31</v>
      </c>
      <c r="T1698" t="s">
        <v>40</v>
      </c>
      <c r="U1698">
        <v>69</v>
      </c>
      <c r="V1698">
        <v>4.5</v>
      </c>
      <c r="W1698">
        <f>Table2[[#This Row],[Quantity]]*Table2[[#This Row],[Item_Price]]</f>
        <v>218</v>
      </c>
    </row>
    <row r="1699" spans="1:23" x14ac:dyDescent="0.25">
      <c r="A1699" t="s">
        <v>1797</v>
      </c>
      <c r="B1699" s="1">
        <v>45782</v>
      </c>
      <c r="C1699" t="s">
        <v>1749</v>
      </c>
      <c r="D1699">
        <v>5</v>
      </c>
      <c r="E1699">
        <v>5</v>
      </c>
      <c r="F1699" t="s">
        <v>168</v>
      </c>
      <c r="G1699" t="s">
        <v>55</v>
      </c>
      <c r="H1699" t="s">
        <v>56</v>
      </c>
      <c r="I1699" t="s">
        <v>69</v>
      </c>
      <c r="J1699" t="s">
        <v>66</v>
      </c>
      <c r="K1699" t="s">
        <v>45</v>
      </c>
      <c r="L1699">
        <v>3</v>
      </c>
      <c r="M1699">
        <v>337</v>
      </c>
      <c r="N1699">
        <v>0</v>
      </c>
      <c r="O1699">
        <v>20</v>
      </c>
      <c r="P1699">
        <v>1011</v>
      </c>
      <c r="Q1699">
        <v>1031</v>
      </c>
      <c r="R1699" t="s">
        <v>112</v>
      </c>
      <c r="S1699" t="s">
        <v>31</v>
      </c>
      <c r="T1699" t="s">
        <v>40</v>
      </c>
      <c r="U1699">
        <v>68</v>
      </c>
      <c r="V1699">
        <v>3.4</v>
      </c>
      <c r="W1699">
        <f>Table2[[#This Row],[Quantity]]*Table2[[#This Row],[Item_Price]]</f>
        <v>1011</v>
      </c>
    </row>
    <row r="1700" spans="1:23" x14ac:dyDescent="0.25">
      <c r="A1700" t="s">
        <v>1798</v>
      </c>
      <c r="B1700" s="1">
        <v>45782</v>
      </c>
      <c r="C1700" t="s">
        <v>1749</v>
      </c>
      <c r="D1700">
        <v>5</v>
      </c>
      <c r="E1700">
        <v>5</v>
      </c>
      <c r="F1700" t="s">
        <v>168</v>
      </c>
      <c r="G1700" t="s">
        <v>84</v>
      </c>
      <c r="H1700" t="s">
        <v>135</v>
      </c>
      <c r="I1700" t="s">
        <v>61</v>
      </c>
      <c r="J1700" t="s">
        <v>94</v>
      </c>
      <c r="K1700" t="s">
        <v>38</v>
      </c>
      <c r="L1700">
        <v>1</v>
      </c>
      <c r="M1700">
        <v>671</v>
      </c>
      <c r="N1700">
        <v>33.549999999999997</v>
      </c>
      <c r="O1700">
        <v>0</v>
      </c>
      <c r="P1700">
        <v>671</v>
      </c>
      <c r="Q1700">
        <v>637.45000000000005</v>
      </c>
      <c r="R1700" t="s">
        <v>39</v>
      </c>
      <c r="S1700" t="s">
        <v>31</v>
      </c>
      <c r="T1700" t="s">
        <v>32</v>
      </c>
      <c r="U1700">
        <v>42</v>
      </c>
      <c r="V1700">
        <v>4.5999999999999996</v>
      </c>
      <c r="W1700">
        <f>Table2[[#This Row],[Quantity]]*Table2[[#This Row],[Item_Price]]</f>
        <v>671</v>
      </c>
    </row>
    <row r="1701" spans="1:23" x14ac:dyDescent="0.25">
      <c r="A1701" t="s">
        <v>1799</v>
      </c>
      <c r="B1701" s="1">
        <v>45782</v>
      </c>
      <c r="C1701" t="s">
        <v>1749</v>
      </c>
      <c r="D1701">
        <v>5</v>
      </c>
      <c r="E1701">
        <v>5</v>
      </c>
      <c r="F1701" t="s">
        <v>168</v>
      </c>
      <c r="G1701" t="s">
        <v>34</v>
      </c>
      <c r="H1701" t="s">
        <v>77</v>
      </c>
      <c r="I1701" t="s">
        <v>27</v>
      </c>
      <c r="J1701" t="s">
        <v>44</v>
      </c>
      <c r="K1701" t="s">
        <v>29</v>
      </c>
      <c r="L1701">
        <v>3</v>
      </c>
      <c r="M1701">
        <v>863</v>
      </c>
      <c r="N1701">
        <v>86.3</v>
      </c>
      <c r="O1701">
        <v>30</v>
      </c>
      <c r="P1701">
        <v>2589</v>
      </c>
      <c r="Q1701">
        <v>2532.6999999999998</v>
      </c>
      <c r="R1701" t="s">
        <v>112</v>
      </c>
      <c r="S1701" t="s">
        <v>31</v>
      </c>
      <c r="T1701" t="s">
        <v>40</v>
      </c>
      <c r="U1701">
        <v>37</v>
      </c>
      <c r="V1701">
        <v>4.0999999999999996</v>
      </c>
      <c r="W1701">
        <f>Table2[[#This Row],[Quantity]]*Table2[[#This Row],[Item_Price]]</f>
        <v>2589</v>
      </c>
    </row>
    <row r="1702" spans="1:23" x14ac:dyDescent="0.25">
      <c r="A1702" t="s">
        <v>1800</v>
      </c>
      <c r="B1702" s="1">
        <v>45782</v>
      </c>
      <c r="C1702" t="s">
        <v>1749</v>
      </c>
      <c r="D1702">
        <v>5</v>
      </c>
      <c r="E1702">
        <v>5</v>
      </c>
      <c r="F1702" t="s">
        <v>168</v>
      </c>
      <c r="G1702" t="s">
        <v>25</v>
      </c>
      <c r="H1702" t="s">
        <v>135</v>
      </c>
      <c r="I1702" t="s">
        <v>43</v>
      </c>
      <c r="J1702" t="s">
        <v>94</v>
      </c>
      <c r="K1702" t="s">
        <v>29</v>
      </c>
      <c r="L1702">
        <v>3</v>
      </c>
      <c r="M1702">
        <v>762</v>
      </c>
      <c r="N1702">
        <v>152.4</v>
      </c>
      <c r="O1702">
        <v>0</v>
      </c>
      <c r="P1702">
        <v>2286</v>
      </c>
      <c r="Q1702">
        <v>2133.6</v>
      </c>
      <c r="R1702" t="s">
        <v>39</v>
      </c>
      <c r="S1702" t="s">
        <v>31</v>
      </c>
      <c r="T1702" t="s">
        <v>32</v>
      </c>
      <c r="U1702">
        <v>27</v>
      </c>
      <c r="V1702">
        <v>4.4000000000000004</v>
      </c>
      <c r="W1702">
        <f>Table2[[#This Row],[Quantity]]*Table2[[#This Row],[Item_Price]]</f>
        <v>2286</v>
      </c>
    </row>
    <row r="1703" spans="1:23" x14ac:dyDescent="0.25">
      <c r="A1703" t="s">
        <v>1801</v>
      </c>
      <c r="B1703" s="1">
        <v>45782</v>
      </c>
      <c r="C1703" t="s">
        <v>1749</v>
      </c>
      <c r="D1703">
        <v>5</v>
      </c>
      <c r="E1703">
        <v>5</v>
      </c>
      <c r="F1703" t="s">
        <v>168</v>
      </c>
      <c r="G1703" t="s">
        <v>55</v>
      </c>
      <c r="H1703" t="s">
        <v>105</v>
      </c>
      <c r="I1703" t="s">
        <v>97</v>
      </c>
      <c r="J1703" t="s">
        <v>62</v>
      </c>
      <c r="K1703" t="s">
        <v>38</v>
      </c>
      <c r="L1703">
        <v>1</v>
      </c>
      <c r="M1703">
        <v>267</v>
      </c>
      <c r="N1703">
        <v>66.75</v>
      </c>
      <c r="O1703">
        <v>40</v>
      </c>
      <c r="P1703">
        <v>267</v>
      </c>
      <c r="Q1703">
        <v>240.25</v>
      </c>
      <c r="R1703" t="s">
        <v>112</v>
      </c>
      <c r="S1703" t="s">
        <v>31</v>
      </c>
      <c r="T1703" t="s">
        <v>40</v>
      </c>
      <c r="U1703">
        <v>54</v>
      </c>
      <c r="V1703">
        <v>3.6</v>
      </c>
      <c r="W1703">
        <f>Table2[[#This Row],[Quantity]]*Table2[[#This Row],[Item_Price]]</f>
        <v>267</v>
      </c>
    </row>
    <row r="1704" spans="1:23" x14ac:dyDescent="0.25">
      <c r="A1704" t="s">
        <v>1802</v>
      </c>
      <c r="B1704" s="1">
        <v>45782</v>
      </c>
      <c r="C1704" t="s">
        <v>1749</v>
      </c>
      <c r="D1704">
        <v>5</v>
      </c>
      <c r="E1704">
        <v>5</v>
      </c>
      <c r="F1704" t="s">
        <v>168</v>
      </c>
      <c r="G1704" t="s">
        <v>84</v>
      </c>
      <c r="H1704" t="s">
        <v>135</v>
      </c>
      <c r="I1704" t="s">
        <v>57</v>
      </c>
      <c r="J1704" t="s">
        <v>53</v>
      </c>
      <c r="K1704" t="s">
        <v>38</v>
      </c>
      <c r="L1704">
        <v>3</v>
      </c>
      <c r="M1704">
        <v>209</v>
      </c>
      <c r="N1704">
        <v>31.35</v>
      </c>
      <c r="O1704">
        <v>50</v>
      </c>
      <c r="P1704">
        <v>627</v>
      </c>
      <c r="Q1704">
        <v>645.65</v>
      </c>
      <c r="R1704" t="s">
        <v>39</v>
      </c>
      <c r="S1704" t="s">
        <v>31</v>
      </c>
      <c r="T1704" t="s">
        <v>40</v>
      </c>
      <c r="U1704">
        <v>65</v>
      </c>
      <c r="V1704">
        <v>3.8</v>
      </c>
      <c r="W1704">
        <f>Table2[[#This Row],[Quantity]]*Table2[[#This Row],[Item_Price]]</f>
        <v>627</v>
      </c>
    </row>
    <row r="1705" spans="1:23" x14ac:dyDescent="0.25">
      <c r="A1705" t="s">
        <v>1803</v>
      </c>
      <c r="B1705" s="1">
        <v>45782</v>
      </c>
      <c r="C1705" t="s">
        <v>1749</v>
      </c>
      <c r="D1705">
        <v>5</v>
      </c>
      <c r="E1705">
        <v>5</v>
      </c>
      <c r="F1705" t="s">
        <v>168</v>
      </c>
      <c r="G1705" t="s">
        <v>73</v>
      </c>
      <c r="H1705" t="s">
        <v>35</v>
      </c>
      <c r="I1705" t="s">
        <v>103</v>
      </c>
      <c r="J1705" t="s">
        <v>44</v>
      </c>
      <c r="K1705" t="s">
        <v>38</v>
      </c>
      <c r="L1705">
        <v>1</v>
      </c>
      <c r="M1705">
        <v>524</v>
      </c>
      <c r="N1705">
        <v>26.2</v>
      </c>
      <c r="O1705">
        <v>0</v>
      </c>
      <c r="P1705">
        <v>524</v>
      </c>
      <c r="Q1705">
        <v>497.8</v>
      </c>
      <c r="R1705" t="s">
        <v>112</v>
      </c>
      <c r="S1705" t="s">
        <v>31</v>
      </c>
      <c r="T1705" t="s">
        <v>32</v>
      </c>
      <c r="U1705">
        <v>53</v>
      </c>
      <c r="V1705">
        <v>4.4000000000000004</v>
      </c>
      <c r="W1705">
        <f>Table2[[#This Row],[Quantity]]*Table2[[#This Row],[Item_Price]]</f>
        <v>524</v>
      </c>
    </row>
    <row r="1706" spans="1:23" x14ac:dyDescent="0.25">
      <c r="A1706" t="s">
        <v>1804</v>
      </c>
      <c r="B1706" s="1">
        <v>45782</v>
      </c>
      <c r="C1706" t="s">
        <v>1749</v>
      </c>
      <c r="D1706">
        <v>5</v>
      </c>
      <c r="E1706">
        <v>5</v>
      </c>
      <c r="F1706" t="s">
        <v>168</v>
      </c>
      <c r="G1706" t="s">
        <v>73</v>
      </c>
      <c r="H1706" t="s">
        <v>135</v>
      </c>
      <c r="I1706" t="s">
        <v>61</v>
      </c>
      <c r="J1706" t="s">
        <v>74</v>
      </c>
      <c r="K1706" t="s">
        <v>38</v>
      </c>
      <c r="L1706">
        <v>3</v>
      </c>
      <c r="M1706">
        <v>481</v>
      </c>
      <c r="N1706">
        <v>96.2</v>
      </c>
      <c r="O1706">
        <v>0</v>
      </c>
      <c r="P1706">
        <v>1443</v>
      </c>
      <c r="Q1706">
        <v>1346.8</v>
      </c>
      <c r="R1706" t="s">
        <v>30</v>
      </c>
      <c r="S1706" t="s">
        <v>31</v>
      </c>
      <c r="T1706" t="s">
        <v>40</v>
      </c>
      <c r="U1706">
        <v>63</v>
      </c>
      <c r="V1706">
        <v>3.6</v>
      </c>
      <c r="W1706">
        <f>Table2[[#This Row],[Quantity]]*Table2[[#This Row],[Item_Price]]</f>
        <v>1443</v>
      </c>
    </row>
    <row r="1707" spans="1:23" x14ac:dyDescent="0.25">
      <c r="A1707" t="s">
        <v>1805</v>
      </c>
      <c r="B1707" s="1">
        <v>45782</v>
      </c>
      <c r="C1707" t="s">
        <v>1749</v>
      </c>
      <c r="D1707">
        <v>5</v>
      </c>
      <c r="E1707">
        <v>5</v>
      </c>
      <c r="F1707" t="s">
        <v>168</v>
      </c>
      <c r="G1707" t="s">
        <v>73</v>
      </c>
      <c r="H1707" t="s">
        <v>135</v>
      </c>
      <c r="I1707" t="s">
        <v>61</v>
      </c>
      <c r="J1707" t="s">
        <v>123</v>
      </c>
      <c r="K1707" t="s">
        <v>38</v>
      </c>
      <c r="L1707">
        <v>2</v>
      </c>
      <c r="M1707">
        <v>293</v>
      </c>
      <c r="N1707">
        <v>29.3</v>
      </c>
      <c r="O1707">
        <v>20</v>
      </c>
      <c r="P1707">
        <v>586</v>
      </c>
      <c r="Q1707">
        <v>576.70000000000005</v>
      </c>
      <c r="R1707" t="s">
        <v>112</v>
      </c>
      <c r="S1707" t="s">
        <v>110</v>
      </c>
      <c r="T1707" t="s">
        <v>40</v>
      </c>
      <c r="U1707">
        <v>46</v>
      </c>
      <c r="W1707">
        <f>Table2[[#This Row],[Quantity]]*Table2[[#This Row],[Item_Price]]</f>
        <v>586</v>
      </c>
    </row>
    <row r="1708" spans="1:23" x14ac:dyDescent="0.25">
      <c r="A1708" t="s">
        <v>1806</v>
      </c>
      <c r="B1708" s="1">
        <v>45782</v>
      </c>
      <c r="C1708" t="s">
        <v>1749</v>
      </c>
      <c r="D1708">
        <v>5</v>
      </c>
      <c r="E1708">
        <v>5</v>
      </c>
      <c r="F1708" t="s">
        <v>168</v>
      </c>
      <c r="G1708" t="s">
        <v>64</v>
      </c>
      <c r="H1708" t="s">
        <v>48</v>
      </c>
      <c r="I1708" t="s">
        <v>97</v>
      </c>
      <c r="J1708" t="s">
        <v>44</v>
      </c>
      <c r="K1708" t="s">
        <v>45</v>
      </c>
      <c r="L1708">
        <v>1</v>
      </c>
      <c r="M1708">
        <v>263</v>
      </c>
      <c r="N1708">
        <v>13.15</v>
      </c>
      <c r="O1708">
        <v>40</v>
      </c>
      <c r="P1708">
        <v>263</v>
      </c>
      <c r="Q1708">
        <v>289.85000000000002</v>
      </c>
      <c r="R1708" t="s">
        <v>39</v>
      </c>
      <c r="S1708" t="s">
        <v>31</v>
      </c>
      <c r="T1708" t="s">
        <v>40</v>
      </c>
      <c r="U1708">
        <v>49</v>
      </c>
      <c r="V1708">
        <v>2.2000000000000002</v>
      </c>
      <c r="W1708">
        <f>Table2[[#This Row],[Quantity]]*Table2[[#This Row],[Item_Price]]</f>
        <v>263</v>
      </c>
    </row>
    <row r="1709" spans="1:23" x14ac:dyDescent="0.25">
      <c r="A1709" t="s">
        <v>1807</v>
      </c>
      <c r="B1709" s="1">
        <v>45782</v>
      </c>
      <c r="C1709" t="s">
        <v>1749</v>
      </c>
      <c r="D1709">
        <v>5</v>
      </c>
      <c r="E1709">
        <v>5</v>
      </c>
      <c r="F1709" t="s">
        <v>168</v>
      </c>
      <c r="G1709" t="s">
        <v>25</v>
      </c>
      <c r="H1709" t="s">
        <v>139</v>
      </c>
      <c r="I1709" t="s">
        <v>36</v>
      </c>
      <c r="J1709" t="s">
        <v>70</v>
      </c>
      <c r="K1709" t="s">
        <v>38</v>
      </c>
      <c r="L1709">
        <v>1</v>
      </c>
      <c r="M1709">
        <v>860</v>
      </c>
      <c r="N1709">
        <v>86</v>
      </c>
      <c r="O1709">
        <v>30</v>
      </c>
      <c r="P1709">
        <v>860</v>
      </c>
      <c r="Q1709">
        <v>804</v>
      </c>
      <c r="R1709" t="s">
        <v>30</v>
      </c>
      <c r="S1709" t="s">
        <v>91</v>
      </c>
      <c r="T1709" t="s">
        <v>40</v>
      </c>
      <c r="U1709">
        <v>28</v>
      </c>
      <c r="W1709">
        <f>Table2[[#This Row],[Quantity]]*Table2[[#This Row],[Item_Price]]</f>
        <v>860</v>
      </c>
    </row>
    <row r="1710" spans="1:23" x14ac:dyDescent="0.25">
      <c r="A1710" t="s">
        <v>1808</v>
      </c>
      <c r="B1710" s="1">
        <v>45783</v>
      </c>
      <c r="C1710" t="s">
        <v>1749</v>
      </c>
      <c r="D1710">
        <v>5</v>
      </c>
      <c r="E1710">
        <v>6</v>
      </c>
      <c r="F1710" t="s">
        <v>178</v>
      </c>
      <c r="G1710" t="s">
        <v>80</v>
      </c>
      <c r="H1710" t="s">
        <v>48</v>
      </c>
      <c r="I1710" t="s">
        <v>36</v>
      </c>
      <c r="J1710" t="s">
        <v>53</v>
      </c>
      <c r="K1710" t="s">
        <v>38</v>
      </c>
      <c r="L1710">
        <v>1</v>
      </c>
      <c r="M1710">
        <v>252</v>
      </c>
      <c r="N1710">
        <v>25.2</v>
      </c>
      <c r="O1710">
        <v>40</v>
      </c>
      <c r="P1710">
        <v>252</v>
      </c>
      <c r="Q1710">
        <v>266.8</v>
      </c>
      <c r="R1710" t="s">
        <v>75</v>
      </c>
      <c r="S1710" t="s">
        <v>46</v>
      </c>
      <c r="T1710" t="s">
        <v>32</v>
      </c>
      <c r="U1710">
        <v>68</v>
      </c>
      <c r="W1710">
        <f>Table2[[#This Row],[Quantity]]*Table2[[#This Row],[Item_Price]]</f>
        <v>252</v>
      </c>
    </row>
    <row r="1711" spans="1:23" x14ac:dyDescent="0.25">
      <c r="A1711" t="s">
        <v>1809</v>
      </c>
      <c r="B1711" s="1">
        <v>45783</v>
      </c>
      <c r="C1711" t="s">
        <v>1749</v>
      </c>
      <c r="D1711">
        <v>5</v>
      </c>
      <c r="E1711">
        <v>6</v>
      </c>
      <c r="F1711" t="s">
        <v>178</v>
      </c>
      <c r="G1711" t="s">
        <v>25</v>
      </c>
      <c r="H1711" t="s">
        <v>56</v>
      </c>
      <c r="I1711" t="s">
        <v>61</v>
      </c>
      <c r="J1711" t="s">
        <v>74</v>
      </c>
      <c r="K1711" t="s">
        <v>58</v>
      </c>
      <c r="L1711">
        <v>1</v>
      </c>
      <c r="M1711">
        <v>589</v>
      </c>
      <c r="N1711">
        <v>88.35</v>
      </c>
      <c r="O1711">
        <v>50</v>
      </c>
      <c r="P1711">
        <v>589</v>
      </c>
      <c r="Q1711">
        <v>550.65</v>
      </c>
      <c r="R1711" t="s">
        <v>75</v>
      </c>
      <c r="S1711" t="s">
        <v>31</v>
      </c>
      <c r="T1711" t="s">
        <v>32</v>
      </c>
      <c r="U1711">
        <v>56</v>
      </c>
      <c r="V1711">
        <v>4.5999999999999996</v>
      </c>
      <c r="W1711">
        <f>Table2[[#This Row],[Quantity]]*Table2[[#This Row],[Item_Price]]</f>
        <v>589</v>
      </c>
    </row>
    <row r="1712" spans="1:23" x14ac:dyDescent="0.25">
      <c r="A1712" t="s">
        <v>1810</v>
      </c>
      <c r="B1712" s="1">
        <v>45783</v>
      </c>
      <c r="C1712" t="s">
        <v>1749</v>
      </c>
      <c r="D1712">
        <v>5</v>
      </c>
      <c r="E1712">
        <v>6</v>
      </c>
      <c r="F1712" t="s">
        <v>178</v>
      </c>
      <c r="G1712" t="s">
        <v>55</v>
      </c>
      <c r="H1712" t="s">
        <v>108</v>
      </c>
      <c r="I1712" t="s">
        <v>36</v>
      </c>
      <c r="J1712" t="s">
        <v>119</v>
      </c>
      <c r="K1712" t="s">
        <v>38</v>
      </c>
      <c r="L1712">
        <v>1</v>
      </c>
      <c r="M1712">
        <v>819</v>
      </c>
      <c r="N1712">
        <v>0</v>
      </c>
      <c r="O1712">
        <v>30</v>
      </c>
      <c r="P1712">
        <v>819</v>
      </c>
      <c r="Q1712">
        <v>849</v>
      </c>
      <c r="R1712" t="s">
        <v>75</v>
      </c>
      <c r="S1712" t="s">
        <v>31</v>
      </c>
      <c r="T1712" t="s">
        <v>32</v>
      </c>
      <c r="U1712">
        <v>34</v>
      </c>
      <c r="V1712">
        <v>3.1</v>
      </c>
      <c r="W1712">
        <f>Table2[[#This Row],[Quantity]]*Table2[[#This Row],[Item_Price]]</f>
        <v>819</v>
      </c>
    </row>
    <row r="1713" spans="1:23" x14ac:dyDescent="0.25">
      <c r="A1713" t="s">
        <v>1811</v>
      </c>
      <c r="B1713" s="1">
        <v>45783</v>
      </c>
      <c r="C1713" t="s">
        <v>1749</v>
      </c>
      <c r="D1713">
        <v>5</v>
      </c>
      <c r="E1713">
        <v>6</v>
      </c>
      <c r="F1713" t="s">
        <v>178</v>
      </c>
      <c r="G1713" t="s">
        <v>25</v>
      </c>
      <c r="H1713" t="s">
        <v>108</v>
      </c>
      <c r="I1713" t="s">
        <v>103</v>
      </c>
      <c r="J1713" t="s">
        <v>53</v>
      </c>
      <c r="K1713" t="s">
        <v>38</v>
      </c>
      <c r="L1713">
        <v>2</v>
      </c>
      <c r="M1713">
        <v>559</v>
      </c>
      <c r="N1713">
        <v>55.9</v>
      </c>
      <c r="O1713">
        <v>30</v>
      </c>
      <c r="P1713">
        <v>1118</v>
      </c>
      <c r="Q1713">
        <v>1092.0999999999999</v>
      </c>
      <c r="R1713" t="s">
        <v>75</v>
      </c>
      <c r="S1713" t="s">
        <v>31</v>
      </c>
      <c r="T1713" t="s">
        <v>40</v>
      </c>
      <c r="U1713">
        <v>27</v>
      </c>
      <c r="V1713">
        <v>4.9000000000000004</v>
      </c>
      <c r="W1713">
        <f>Table2[[#This Row],[Quantity]]*Table2[[#This Row],[Item_Price]]</f>
        <v>1118</v>
      </c>
    </row>
    <row r="1714" spans="1:23" x14ac:dyDescent="0.25">
      <c r="A1714" t="s">
        <v>1812</v>
      </c>
      <c r="B1714" s="1">
        <v>45783</v>
      </c>
      <c r="C1714" t="s">
        <v>1749</v>
      </c>
      <c r="D1714">
        <v>5</v>
      </c>
      <c r="E1714">
        <v>6</v>
      </c>
      <c r="F1714" t="s">
        <v>178</v>
      </c>
      <c r="G1714" t="s">
        <v>80</v>
      </c>
      <c r="H1714" t="s">
        <v>77</v>
      </c>
      <c r="I1714" t="s">
        <v>85</v>
      </c>
      <c r="J1714" t="s">
        <v>44</v>
      </c>
      <c r="K1714" t="s">
        <v>38</v>
      </c>
      <c r="L1714">
        <v>3</v>
      </c>
      <c r="M1714">
        <v>140</v>
      </c>
      <c r="N1714">
        <v>21</v>
      </c>
      <c r="O1714">
        <v>40</v>
      </c>
      <c r="P1714">
        <v>420</v>
      </c>
      <c r="Q1714">
        <v>439</v>
      </c>
      <c r="R1714" t="s">
        <v>98</v>
      </c>
      <c r="S1714" t="s">
        <v>31</v>
      </c>
      <c r="T1714" t="s">
        <v>40</v>
      </c>
      <c r="U1714">
        <v>45</v>
      </c>
      <c r="V1714">
        <v>4.9000000000000004</v>
      </c>
      <c r="W1714">
        <f>Table2[[#This Row],[Quantity]]*Table2[[#This Row],[Item_Price]]</f>
        <v>420</v>
      </c>
    </row>
    <row r="1715" spans="1:23" x14ac:dyDescent="0.25">
      <c r="A1715" t="s">
        <v>1813</v>
      </c>
      <c r="B1715" s="1">
        <v>45783</v>
      </c>
      <c r="C1715" t="s">
        <v>1749</v>
      </c>
      <c r="D1715">
        <v>5</v>
      </c>
      <c r="E1715">
        <v>6</v>
      </c>
      <c r="F1715" t="s">
        <v>178</v>
      </c>
      <c r="G1715" t="s">
        <v>64</v>
      </c>
      <c r="H1715" t="s">
        <v>52</v>
      </c>
      <c r="I1715" t="s">
        <v>97</v>
      </c>
      <c r="J1715" t="s">
        <v>119</v>
      </c>
      <c r="K1715" t="s">
        <v>38</v>
      </c>
      <c r="L1715">
        <v>1</v>
      </c>
      <c r="M1715">
        <v>665</v>
      </c>
      <c r="N1715">
        <v>33.25</v>
      </c>
      <c r="O1715">
        <v>30</v>
      </c>
      <c r="P1715">
        <v>665</v>
      </c>
      <c r="Q1715">
        <v>661.75</v>
      </c>
      <c r="R1715" t="s">
        <v>75</v>
      </c>
      <c r="S1715" t="s">
        <v>31</v>
      </c>
      <c r="T1715" t="s">
        <v>40</v>
      </c>
      <c r="U1715">
        <v>33</v>
      </c>
      <c r="V1715">
        <v>3.7</v>
      </c>
      <c r="W1715">
        <f>Table2[[#This Row],[Quantity]]*Table2[[#This Row],[Item_Price]]</f>
        <v>665</v>
      </c>
    </row>
    <row r="1716" spans="1:23" x14ac:dyDescent="0.25">
      <c r="A1716" t="s">
        <v>1814</v>
      </c>
      <c r="B1716" s="1">
        <v>45783</v>
      </c>
      <c r="C1716" t="s">
        <v>1749</v>
      </c>
      <c r="D1716">
        <v>5</v>
      </c>
      <c r="E1716">
        <v>6</v>
      </c>
      <c r="F1716" t="s">
        <v>178</v>
      </c>
      <c r="G1716" t="s">
        <v>96</v>
      </c>
      <c r="H1716" t="s">
        <v>60</v>
      </c>
      <c r="I1716" t="s">
        <v>103</v>
      </c>
      <c r="J1716" t="s">
        <v>53</v>
      </c>
      <c r="K1716" t="s">
        <v>38</v>
      </c>
      <c r="L1716">
        <v>1</v>
      </c>
      <c r="M1716">
        <v>818</v>
      </c>
      <c r="N1716">
        <v>163.6</v>
      </c>
      <c r="O1716">
        <v>0</v>
      </c>
      <c r="P1716">
        <v>818</v>
      </c>
      <c r="Q1716">
        <v>654.4</v>
      </c>
      <c r="R1716" t="s">
        <v>39</v>
      </c>
      <c r="S1716" t="s">
        <v>31</v>
      </c>
      <c r="T1716" t="s">
        <v>40</v>
      </c>
      <c r="U1716">
        <v>35</v>
      </c>
      <c r="V1716">
        <v>4.2</v>
      </c>
      <c r="W1716">
        <f>Table2[[#This Row],[Quantity]]*Table2[[#This Row],[Item_Price]]</f>
        <v>818</v>
      </c>
    </row>
    <row r="1717" spans="1:23" x14ac:dyDescent="0.25">
      <c r="A1717" t="s">
        <v>1815</v>
      </c>
      <c r="B1717" s="1">
        <v>45783</v>
      </c>
      <c r="C1717" t="s">
        <v>1749</v>
      </c>
      <c r="D1717">
        <v>5</v>
      </c>
      <c r="E1717">
        <v>6</v>
      </c>
      <c r="F1717" t="s">
        <v>178</v>
      </c>
      <c r="G1717" t="s">
        <v>34</v>
      </c>
      <c r="H1717" t="s">
        <v>60</v>
      </c>
      <c r="I1717" t="s">
        <v>36</v>
      </c>
      <c r="J1717" t="s">
        <v>82</v>
      </c>
      <c r="K1717" t="s">
        <v>38</v>
      </c>
      <c r="L1717">
        <v>3</v>
      </c>
      <c r="M1717">
        <v>741</v>
      </c>
      <c r="N1717">
        <v>37.049999999999997</v>
      </c>
      <c r="O1717">
        <v>20</v>
      </c>
      <c r="P1717">
        <v>2223</v>
      </c>
      <c r="Q1717">
        <v>2205.9499999999998</v>
      </c>
      <c r="R1717" t="s">
        <v>39</v>
      </c>
      <c r="S1717" t="s">
        <v>31</v>
      </c>
      <c r="T1717" t="s">
        <v>32</v>
      </c>
      <c r="U1717">
        <v>26</v>
      </c>
      <c r="V1717">
        <v>4.7</v>
      </c>
      <c r="W1717">
        <f>Table2[[#This Row],[Quantity]]*Table2[[#This Row],[Item_Price]]</f>
        <v>2223</v>
      </c>
    </row>
    <row r="1718" spans="1:23" x14ac:dyDescent="0.25">
      <c r="A1718" t="s">
        <v>1816</v>
      </c>
      <c r="B1718" s="1">
        <v>45783</v>
      </c>
      <c r="C1718" t="s">
        <v>1749</v>
      </c>
      <c r="D1718">
        <v>5</v>
      </c>
      <c r="E1718">
        <v>6</v>
      </c>
      <c r="F1718" t="s">
        <v>178</v>
      </c>
      <c r="G1718" t="s">
        <v>64</v>
      </c>
      <c r="H1718" t="s">
        <v>68</v>
      </c>
      <c r="I1718" t="s">
        <v>43</v>
      </c>
      <c r="J1718" t="s">
        <v>44</v>
      </c>
      <c r="K1718" t="s">
        <v>38</v>
      </c>
      <c r="L1718">
        <v>2</v>
      </c>
      <c r="M1718">
        <v>170</v>
      </c>
      <c r="N1718">
        <v>34</v>
      </c>
      <c r="O1718">
        <v>40</v>
      </c>
      <c r="P1718">
        <v>340</v>
      </c>
      <c r="Q1718">
        <v>346</v>
      </c>
      <c r="R1718" t="s">
        <v>30</v>
      </c>
      <c r="S1718" t="s">
        <v>31</v>
      </c>
      <c r="T1718" t="s">
        <v>32</v>
      </c>
      <c r="U1718">
        <v>59</v>
      </c>
      <c r="V1718">
        <v>3</v>
      </c>
      <c r="W1718">
        <f>Table2[[#This Row],[Quantity]]*Table2[[#This Row],[Item_Price]]</f>
        <v>340</v>
      </c>
    </row>
    <row r="1719" spans="1:23" x14ac:dyDescent="0.25">
      <c r="A1719" t="s">
        <v>1817</v>
      </c>
      <c r="B1719" s="1">
        <v>45783</v>
      </c>
      <c r="C1719" t="s">
        <v>1749</v>
      </c>
      <c r="D1719">
        <v>5</v>
      </c>
      <c r="E1719">
        <v>6</v>
      </c>
      <c r="F1719" t="s">
        <v>178</v>
      </c>
      <c r="G1719" t="s">
        <v>115</v>
      </c>
      <c r="H1719" t="s">
        <v>56</v>
      </c>
      <c r="I1719" t="s">
        <v>57</v>
      </c>
      <c r="J1719" t="s">
        <v>50</v>
      </c>
      <c r="K1719" t="s">
        <v>45</v>
      </c>
      <c r="L1719">
        <v>3</v>
      </c>
      <c r="M1719">
        <v>176</v>
      </c>
      <c r="N1719">
        <v>26.4</v>
      </c>
      <c r="O1719">
        <v>60</v>
      </c>
      <c r="P1719">
        <v>528</v>
      </c>
      <c r="Q1719">
        <v>561.6</v>
      </c>
      <c r="R1719" t="s">
        <v>75</v>
      </c>
      <c r="S1719" t="s">
        <v>91</v>
      </c>
      <c r="T1719" t="s">
        <v>32</v>
      </c>
      <c r="U1719">
        <v>67</v>
      </c>
      <c r="W1719">
        <f>Table2[[#This Row],[Quantity]]*Table2[[#This Row],[Item_Price]]</f>
        <v>528</v>
      </c>
    </row>
    <row r="1720" spans="1:23" x14ac:dyDescent="0.25">
      <c r="A1720" t="s">
        <v>1818</v>
      </c>
      <c r="B1720" s="1">
        <v>45783</v>
      </c>
      <c r="C1720" t="s">
        <v>1749</v>
      </c>
      <c r="D1720">
        <v>5</v>
      </c>
      <c r="E1720">
        <v>6</v>
      </c>
      <c r="F1720" t="s">
        <v>178</v>
      </c>
      <c r="G1720" t="s">
        <v>34</v>
      </c>
      <c r="H1720" t="s">
        <v>77</v>
      </c>
      <c r="I1720" t="s">
        <v>69</v>
      </c>
      <c r="J1720" t="s">
        <v>101</v>
      </c>
      <c r="K1720" t="s">
        <v>29</v>
      </c>
      <c r="L1720">
        <v>2</v>
      </c>
      <c r="M1720">
        <v>697</v>
      </c>
      <c r="N1720">
        <v>104.55</v>
      </c>
      <c r="O1720">
        <v>50</v>
      </c>
      <c r="P1720">
        <v>1394</v>
      </c>
      <c r="Q1720">
        <v>1339.45</v>
      </c>
      <c r="R1720" t="s">
        <v>30</v>
      </c>
      <c r="S1720" t="s">
        <v>31</v>
      </c>
      <c r="T1720" t="s">
        <v>40</v>
      </c>
      <c r="U1720">
        <v>29</v>
      </c>
      <c r="V1720">
        <v>3.3</v>
      </c>
      <c r="W1720">
        <f>Table2[[#This Row],[Quantity]]*Table2[[#This Row],[Item_Price]]</f>
        <v>1394</v>
      </c>
    </row>
    <row r="1721" spans="1:23" x14ac:dyDescent="0.25">
      <c r="A1721" t="s">
        <v>1819</v>
      </c>
      <c r="B1721" s="1">
        <v>45783</v>
      </c>
      <c r="C1721" t="s">
        <v>1749</v>
      </c>
      <c r="D1721">
        <v>5</v>
      </c>
      <c r="E1721">
        <v>6</v>
      </c>
      <c r="F1721" t="s">
        <v>178</v>
      </c>
      <c r="G1721" t="s">
        <v>80</v>
      </c>
      <c r="H1721" t="s">
        <v>52</v>
      </c>
      <c r="I1721" t="s">
        <v>69</v>
      </c>
      <c r="J1721" t="s">
        <v>37</v>
      </c>
      <c r="K1721" t="s">
        <v>45</v>
      </c>
      <c r="L1721">
        <v>1</v>
      </c>
      <c r="M1721">
        <v>252</v>
      </c>
      <c r="N1721">
        <v>12.6</v>
      </c>
      <c r="O1721">
        <v>70</v>
      </c>
      <c r="P1721">
        <v>252</v>
      </c>
      <c r="Q1721">
        <v>309.39999999999998</v>
      </c>
      <c r="R1721" t="s">
        <v>112</v>
      </c>
      <c r="S1721" t="s">
        <v>31</v>
      </c>
      <c r="T1721" t="s">
        <v>32</v>
      </c>
      <c r="U1721">
        <v>32</v>
      </c>
      <c r="V1721">
        <v>3.1</v>
      </c>
      <c r="W1721">
        <f>Table2[[#This Row],[Quantity]]*Table2[[#This Row],[Item_Price]]</f>
        <v>252</v>
      </c>
    </row>
    <row r="1722" spans="1:23" x14ac:dyDescent="0.25">
      <c r="A1722" t="s">
        <v>1820</v>
      </c>
      <c r="B1722" s="1">
        <v>45783</v>
      </c>
      <c r="C1722" t="s">
        <v>1749</v>
      </c>
      <c r="D1722">
        <v>5</v>
      </c>
      <c r="E1722">
        <v>6</v>
      </c>
      <c r="F1722" t="s">
        <v>178</v>
      </c>
      <c r="G1722" t="s">
        <v>73</v>
      </c>
      <c r="H1722" t="s">
        <v>139</v>
      </c>
      <c r="I1722" t="s">
        <v>57</v>
      </c>
      <c r="J1722" t="s">
        <v>62</v>
      </c>
      <c r="K1722" t="s">
        <v>38</v>
      </c>
      <c r="L1722">
        <v>1</v>
      </c>
      <c r="M1722">
        <v>827</v>
      </c>
      <c r="N1722">
        <v>0</v>
      </c>
      <c r="O1722">
        <v>40</v>
      </c>
      <c r="P1722">
        <v>827</v>
      </c>
      <c r="Q1722">
        <v>867</v>
      </c>
      <c r="R1722" t="s">
        <v>30</v>
      </c>
      <c r="S1722" t="s">
        <v>46</v>
      </c>
      <c r="T1722" t="s">
        <v>32</v>
      </c>
      <c r="U1722">
        <v>61</v>
      </c>
      <c r="W1722">
        <f>Table2[[#This Row],[Quantity]]*Table2[[#This Row],[Item_Price]]</f>
        <v>827</v>
      </c>
    </row>
    <row r="1723" spans="1:23" x14ac:dyDescent="0.25">
      <c r="A1723" t="s">
        <v>1821</v>
      </c>
      <c r="B1723" s="1">
        <v>45783</v>
      </c>
      <c r="C1723" t="s">
        <v>1749</v>
      </c>
      <c r="D1723">
        <v>5</v>
      </c>
      <c r="E1723">
        <v>6</v>
      </c>
      <c r="F1723" t="s">
        <v>178</v>
      </c>
      <c r="G1723" t="s">
        <v>34</v>
      </c>
      <c r="H1723" t="s">
        <v>52</v>
      </c>
      <c r="I1723" t="s">
        <v>103</v>
      </c>
      <c r="J1723" t="s">
        <v>94</v>
      </c>
      <c r="K1723" t="s">
        <v>38</v>
      </c>
      <c r="L1723">
        <v>2</v>
      </c>
      <c r="M1723">
        <v>705</v>
      </c>
      <c r="N1723">
        <v>141</v>
      </c>
      <c r="O1723">
        <v>60</v>
      </c>
      <c r="P1723">
        <v>1410</v>
      </c>
      <c r="Q1723">
        <v>1329</v>
      </c>
      <c r="R1723" t="s">
        <v>39</v>
      </c>
      <c r="S1723" t="s">
        <v>31</v>
      </c>
      <c r="T1723" t="s">
        <v>40</v>
      </c>
      <c r="U1723">
        <v>22</v>
      </c>
      <c r="V1723">
        <v>3.3</v>
      </c>
      <c r="W1723">
        <f>Table2[[#This Row],[Quantity]]*Table2[[#This Row],[Item_Price]]</f>
        <v>1410</v>
      </c>
    </row>
    <row r="1724" spans="1:23" x14ac:dyDescent="0.25">
      <c r="A1724" t="s">
        <v>1822</v>
      </c>
      <c r="B1724" s="1">
        <v>45783</v>
      </c>
      <c r="C1724" t="s">
        <v>1749</v>
      </c>
      <c r="D1724">
        <v>5</v>
      </c>
      <c r="E1724">
        <v>6</v>
      </c>
      <c r="F1724" t="s">
        <v>178</v>
      </c>
      <c r="G1724" t="s">
        <v>55</v>
      </c>
      <c r="H1724" t="s">
        <v>68</v>
      </c>
      <c r="I1724" t="s">
        <v>36</v>
      </c>
      <c r="J1724" t="s">
        <v>44</v>
      </c>
      <c r="K1724" t="s">
        <v>38</v>
      </c>
      <c r="L1724">
        <v>1</v>
      </c>
      <c r="M1724">
        <v>285</v>
      </c>
      <c r="N1724">
        <v>57</v>
      </c>
      <c r="O1724">
        <v>70</v>
      </c>
      <c r="P1724">
        <v>285</v>
      </c>
      <c r="Q1724">
        <v>298</v>
      </c>
      <c r="R1724" t="s">
        <v>98</v>
      </c>
      <c r="S1724" t="s">
        <v>91</v>
      </c>
      <c r="T1724" t="s">
        <v>32</v>
      </c>
      <c r="U1724">
        <v>40</v>
      </c>
      <c r="W1724">
        <f>Table2[[#This Row],[Quantity]]*Table2[[#This Row],[Item_Price]]</f>
        <v>285</v>
      </c>
    </row>
    <row r="1725" spans="1:23" x14ac:dyDescent="0.25">
      <c r="A1725" t="s">
        <v>1823</v>
      </c>
      <c r="B1725" s="1">
        <v>45783</v>
      </c>
      <c r="C1725" t="s">
        <v>1749</v>
      </c>
      <c r="D1725">
        <v>5</v>
      </c>
      <c r="E1725">
        <v>6</v>
      </c>
      <c r="F1725" t="s">
        <v>178</v>
      </c>
      <c r="G1725" t="s">
        <v>64</v>
      </c>
      <c r="H1725" t="s">
        <v>108</v>
      </c>
      <c r="I1725" t="s">
        <v>61</v>
      </c>
      <c r="J1725" t="s">
        <v>119</v>
      </c>
      <c r="K1725" t="s">
        <v>38</v>
      </c>
      <c r="L1725">
        <v>2</v>
      </c>
      <c r="M1725">
        <v>207</v>
      </c>
      <c r="N1725">
        <v>20.7</v>
      </c>
      <c r="O1725">
        <v>40</v>
      </c>
      <c r="P1725">
        <v>414</v>
      </c>
      <c r="Q1725">
        <v>433.3</v>
      </c>
      <c r="R1725" t="s">
        <v>112</v>
      </c>
      <c r="S1725" t="s">
        <v>31</v>
      </c>
      <c r="T1725" t="s">
        <v>40</v>
      </c>
      <c r="U1725">
        <v>55</v>
      </c>
      <c r="V1725">
        <v>2.9</v>
      </c>
      <c r="W1725">
        <f>Table2[[#This Row],[Quantity]]*Table2[[#This Row],[Item_Price]]</f>
        <v>414</v>
      </c>
    </row>
    <row r="1726" spans="1:23" x14ac:dyDescent="0.25">
      <c r="A1726" t="s">
        <v>1824</v>
      </c>
      <c r="B1726" s="1">
        <v>45783</v>
      </c>
      <c r="C1726" t="s">
        <v>1749</v>
      </c>
      <c r="D1726">
        <v>5</v>
      </c>
      <c r="E1726">
        <v>6</v>
      </c>
      <c r="F1726" t="s">
        <v>178</v>
      </c>
      <c r="G1726" t="s">
        <v>80</v>
      </c>
      <c r="H1726" t="s">
        <v>108</v>
      </c>
      <c r="I1726" t="s">
        <v>69</v>
      </c>
      <c r="J1726" t="s">
        <v>74</v>
      </c>
      <c r="K1726" t="s">
        <v>38</v>
      </c>
      <c r="L1726">
        <v>1</v>
      </c>
      <c r="M1726">
        <v>689</v>
      </c>
      <c r="N1726">
        <v>172.25</v>
      </c>
      <c r="O1726">
        <v>20</v>
      </c>
      <c r="P1726">
        <v>689</v>
      </c>
      <c r="Q1726">
        <v>536.75</v>
      </c>
      <c r="R1726" t="s">
        <v>75</v>
      </c>
      <c r="S1726" t="s">
        <v>31</v>
      </c>
      <c r="T1726" t="s">
        <v>32</v>
      </c>
      <c r="U1726">
        <v>33</v>
      </c>
      <c r="V1726">
        <v>5</v>
      </c>
      <c r="W1726">
        <f>Table2[[#This Row],[Quantity]]*Table2[[#This Row],[Item_Price]]</f>
        <v>689</v>
      </c>
    </row>
    <row r="1727" spans="1:23" x14ac:dyDescent="0.25">
      <c r="A1727" t="s">
        <v>1825</v>
      </c>
      <c r="B1727" s="1">
        <v>45783</v>
      </c>
      <c r="C1727" t="s">
        <v>1749</v>
      </c>
      <c r="D1727">
        <v>5</v>
      </c>
      <c r="E1727">
        <v>6</v>
      </c>
      <c r="F1727" t="s">
        <v>178</v>
      </c>
      <c r="G1727" t="s">
        <v>84</v>
      </c>
      <c r="H1727" t="s">
        <v>135</v>
      </c>
      <c r="I1727" t="s">
        <v>97</v>
      </c>
      <c r="J1727" t="s">
        <v>70</v>
      </c>
      <c r="K1727" t="s">
        <v>38</v>
      </c>
      <c r="L1727">
        <v>1</v>
      </c>
      <c r="M1727">
        <v>577</v>
      </c>
      <c r="N1727">
        <v>57.7</v>
      </c>
      <c r="O1727">
        <v>40</v>
      </c>
      <c r="P1727">
        <v>577</v>
      </c>
      <c r="Q1727">
        <v>559.29999999999995</v>
      </c>
      <c r="R1727" t="s">
        <v>39</v>
      </c>
      <c r="S1727" t="s">
        <v>31</v>
      </c>
      <c r="T1727" t="s">
        <v>40</v>
      </c>
      <c r="U1727">
        <v>53</v>
      </c>
      <c r="V1727">
        <v>3.6</v>
      </c>
      <c r="W1727">
        <f>Table2[[#This Row],[Quantity]]*Table2[[#This Row],[Item_Price]]</f>
        <v>577</v>
      </c>
    </row>
    <row r="1728" spans="1:23" x14ac:dyDescent="0.25">
      <c r="A1728" t="s">
        <v>1826</v>
      </c>
      <c r="B1728" s="1">
        <v>45784</v>
      </c>
      <c r="C1728" t="s">
        <v>1749</v>
      </c>
      <c r="D1728">
        <v>5</v>
      </c>
      <c r="E1728">
        <v>7</v>
      </c>
      <c r="F1728" t="s">
        <v>24</v>
      </c>
      <c r="G1728" t="s">
        <v>25</v>
      </c>
      <c r="H1728" t="s">
        <v>65</v>
      </c>
      <c r="I1728" t="s">
        <v>103</v>
      </c>
      <c r="J1728" t="s">
        <v>50</v>
      </c>
      <c r="K1728" t="s">
        <v>38</v>
      </c>
      <c r="L1728">
        <v>3</v>
      </c>
      <c r="M1728">
        <v>692</v>
      </c>
      <c r="N1728">
        <v>103.8</v>
      </c>
      <c r="O1728">
        <v>40</v>
      </c>
      <c r="P1728">
        <v>2076</v>
      </c>
      <c r="Q1728">
        <v>2012.2</v>
      </c>
      <c r="R1728" t="s">
        <v>75</v>
      </c>
      <c r="S1728" t="s">
        <v>31</v>
      </c>
      <c r="T1728" t="s">
        <v>40</v>
      </c>
      <c r="U1728">
        <v>69</v>
      </c>
      <c r="V1728">
        <v>3.8</v>
      </c>
      <c r="W1728">
        <f>Table2[[#This Row],[Quantity]]*Table2[[#This Row],[Item_Price]]</f>
        <v>2076</v>
      </c>
    </row>
    <row r="1729" spans="1:23" x14ac:dyDescent="0.25">
      <c r="A1729" t="s">
        <v>1827</v>
      </c>
      <c r="B1729" s="1">
        <v>45784</v>
      </c>
      <c r="C1729" t="s">
        <v>1749</v>
      </c>
      <c r="D1729">
        <v>5</v>
      </c>
      <c r="E1729">
        <v>7</v>
      </c>
      <c r="F1729" t="s">
        <v>24</v>
      </c>
      <c r="G1729" t="s">
        <v>80</v>
      </c>
      <c r="H1729" t="s">
        <v>105</v>
      </c>
      <c r="I1729" t="s">
        <v>61</v>
      </c>
      <c r="J1729" t="s">
        <v>82</v>
      </c>
      <c r="K1729" t="s">
        <v>38</v>
      </c>
      <c r="L1729">
        <v>1</v>
      </c>
      <c r="M1729">
        <v>253</v>
      </c>
      <c r="N1729">
        <v>63.25</v>
      </c>
      <c r="O1729">
        <v>50</v>
      </c>
      <c r="P1729">
        <v>253</v>
      </c>
      <c r="Q1729">
        <v>239.75</v>
      </c>
      <c r="R1729" t="s">
        <v>75</v>
      </c>
      <c r="S1729" t="s">
        <v>31</v>
      </c>
      <c r="T1729" t="s">
        <v>32</v>
      </c>
      <c r="U1729">
        <v>29</v>
      </c>
      <c r="V1729">
        <v>3.8</v>
      </c>
      <c r="W1729">
        <f>Table2[[#This Row],[Quantity]]*Table2[[#This Row],[Item_Price]]</f>
        <v>253</v>
      </c>
    </row>
    <row r="1730" spans="1:23" x14ac:dyDescent="0.25">
      <c r="A1730" t="s">
        <v>1828</v>
      </c>
      <c r="B1730" s="1">
        <v>45784</v>
      </c>
      <c r="C1730" t="s">
        <v>1749</v>
      </c>
      <c r="D1730">
        <v>5</v>
      </c>
      <c r="E1730">
        <v>7</v>
      </c>
      <c r="F1730" t="s">
        <v>24</v>
      </c>
      <c r="G1730" t="s">
        <v>80</v>
      </c>
      <c r="H1730" t="s">
        <v>26</v>
      </c>
      <c r="I1730" t="s">
        <v>85</v>
      </c>
      <c r="J1730" t="s">
        <v>123</v>
      </c>
      <c r="K1730" t="s">
        <v>29</v>
      </c>
      <c r="L1730">
        <v>1</v>
      </c>
      <c r="M1730">
        <v>263</v>
      </c>
      <c r="N1730">
        <v>52.6</v>
      </c>
      <c r="O1730">
        <v>0</v>
      </c>
      <c r="P1730">
        <v>263</v>
      </c>
      <c r="Q1730">
        <v>210.4</v>
      </c>
      <c r="R1730" t="s">
        <v>75</v>
      </c>
      <c r="S1730" t="s">
        <v>31</v>
      </c>
      <c r="T1730" t="s">
        <v>40</v>
      </c>
      <c r="U1730">
        <v>57</v>
      </c>
      <c r="V1730">
        <v>3.3</v>
      </c>
      <c r="W1730">
        <f>Table2[[#This Row],[Quantity]]*Table2[[#This Row],[Item_Price]]</f>
        <v>263</v>
      </c>
    </row>
    <row r="1731" spans="1:23" x14ac:dyDescent="0.25">
      <c r="A1731" t="s">
        <v>1829</v>
      </c>
      <c r="B1731" s="1">
        <v>45784</v>
      </c>
      <c r="C1731" t="s">
        <v>1749</v>
      </c>
      <c r="D1731">
        <v>5</v>
      </c>
      <c r="E1731">
        <v>7</v>
      </c>
      <c r="F1731" t="s">
        <v>24</v>
      </c>
      <c r="G1731" t="s">
        <v>64</v>
      </c>
      <c r="H1731" t="s">
        <v>68</v>
      </c>
      <c r="I1731" t="s">
        <v>103</v>
      </c>
      <c r="J1731" t="s">
        <v>94</v>
      </c>
      <c r="K1731" t="s">
        <v>38</v>
      </c>
      <c r="L1731">
        <v>3</v>
      </c>
      <c r="M1731">
        <v>196</v>
      </c>
      <c r="N1731">
        <v>0</v>
      </c>
      <c r="O1731">
        <v>0</v>
      </c>
      <c r="P1731">
        <v>588</v>
      </c>
      <c r="Q1731">
        <v>588</v>
      </c>
      <c r="R1731" t="s">
        <v>30</v>
      </c>
      <c r="S1731" t="s">
        <v>31</v>
      </c>
      <c r="T1731" t="s">
        <v>40</v>
      </c>
      <c r="U1731">
        <v>55</v>
      </c>
      <c r="V1731">
        <v>3.2</v>
      </c>
      <c r="W1731">
        <f>Table2[[#This Row],[Quantity]]*Table2[[#This Row],[Item_Price]]</f>
        <v>588</v>
      </c>
    </row>
    <row r="1732" spans="1:23" x14ac:dyDescent="0.25">
      <c r="A1732" t="s">
        <v>1830</v>
      </c>
      <c r="B1732" s="1">
        <v>45784</v>
      </c>
      <c r="C1732" t="s">
        <v>1749</v>
      </c>
      <c r="D1732">
        <v>5</v>
      </c>
      <c r="E1732">
        <v>7</v>
      </c>
      <c r="F1732" t="s">
        <v>24</v>
      </c>
      <c r="G1732" t="s">
        <v>25</v>
      </c>
      <c r="H1732" t="s">
        <v>52</v>
      </c>
      <c r="I1732" t="s">
        <v>69</v>
      </c>
      <c r="J1732" t="s">
        <v>78</v>
      </c>
      <c r="K1732" t="s">
        <v>38</v>
      </c>
      <c r="L1732">
        <v>1</v>
      </c>
      <c r="M1732">
        <v>715</v>
      </c>
      <c r="N1732">
        <v>107.25</v>
      </c>
      <c r="O1732">
        <v>40</v>
      </c>
      <c r="P1732">
        <v>715</v>
      </c>
      <c r="Q1732">
        <v>647.75</v>
      </c>
      <c r="R1732" t="s">
        <v>75</v>
      </c>
      <c r="S1732" t="s">
        <v>31</v>
      </c>
      <c r="T1732" t="s">
        <v>40</v>
      </c>
      <c r="U1732">
        <v>43</v>
      </c>
      <c r="V1732">
        <v>3.3</v>
      </c>
      <c r="W1732">
        <f>Table2[[#This Row],[Quantity]]*Table2[[#This Row],[Item_Price]]</f>
        <v>715</v>
      </c>
    </row>
    <row r="1733" spans="1:23" x14ac:dyDescent="0.25">
      <c r="A1733" t="s">
        <v>1831</v>
      </c>
      <c r="B1733" s="1">
        <v>45784</v>
      </c>
      <c r="C1733" t="s">
        <v>1749</v>
      </c>
      <c r="D1733">
        <v>5</v>
      </c>
      <c r="E1733">
        <v>7</v>
      </c>
      <c r="F1733" t="s">
        <v>24</v>
      </c>
      <c r="G1733" t="s">
        <v>55</v>
      </c>
      <c r="H1733" t="s">
        <v>77</v>
      </c>
      <c r="I1733" t="s">
        <v>27</v>
      </c>
      <c r="J1733" t="s">
        <v>74</v>
      </c>
      <c r="K1733" t="s">
        <v>38</v>
      </c>
      <c r="L1733">
        <v>2</v>
      </c>
      <c r="M1733">
        <v>370</v>
      </c>
      <c r="N1733">
        <v>18.5</v>
      </c>
      <c r="O1733">
        <v>60</v>
      </c>
      <c r="P1733">
        <v>740</v>
      </c>
      <c r="Q1733">
        <v>781.5</v>
      </c>
      <c r="R1733" t="s">
        <v>75</v>
      </c>
      <c r="S1733" t="s">
        <v>31</v>
      </c>
      <c r="T1733" t="s">
        <v>32</v>
      </c>
      <c r="U1733">
        <v>61</v>
      </c>
      <c r="V1733">
        <v>4.5</v>
      </c>
      <c r="W1733">
        <f>Table2[[#This Row],[Quantity]]*Table2[[#This Row],[Item_Price]]</f>
        <v>740</v>
      </c>
    </row>
    <row r="1734" spans="1:23" x14ac:dyDescent="0.25">
      <c r="A1734" t="s">
        <v>1832</v>
      </c>
      <c r="B1734" s="1">
        <v>45784</v>
      </c>
      <c r="C1734" t="s">
        <v>1749</v>
      </c>
      <c r="D1734">
        <v>5</v>
      </c>
      <c r="E1734">
        <v>7</v>
      </c>
      <c r="F1734" t="s">
        <v>24</v>
      </c>
      <c r="G1734" t="s">
        <v>34</v>
      </c>
      <c r="H1734" t="s">
        <v>60</v>
      </c>
      <c r="I1734" t="s">
        <v>49</v>
      </c>
      <c r="J1734" t="s">
        <v>66</v>
      </c>
      <c r="K1734" t="s">
        <v>29</v>
      </c>
      <c r="L1734">
        <v>3</v>
      </c>
      <c r="M1734">
        <v>871</v>
      </c>
      <c r="N1734">
        <v>0</v>
      </c>
      <c r="O1734">
        <v>20</v>
      </c>
      <c r="P1734">
        <v>2613</v>
      </c>
      <c r="Q1734">
        <v>2633</v>
      </c>
      <c r="R1734" t="s">
        <v>98</v>
      </c>
      <c r="S1734" t="s">
        <v>31</v>
      </c>
      <c r="T1734" t="s">
        <v>40</v>
      </c>
      <c r="U1734">
        <v>37</v>
      </c>
      <c r="V1734">
        <v>3.7</v>
      </c>
      <c r="W1734">
        <f>Table2[[#This Row],[Quantity]]*Table2[[#This Row],[Item_Price]]</f>
        <v>2613</v>
      </c>
    </row>
    <row r="1735" spans="1:23" x14ac:dyDescent="0.25">
      <c r="A1735" t="s">
        <v>1833</v>
      </c>
      <c r="B1735" s="1">
        <v>45784</v>
      </c>
      <c r="C1735" t="s">
        <v>1749</v>
      </c>
      <c r="D1735">
        <v>5</v>
      </c>
      <c r="E1735">
        <v>7</v>
      </c>
      <c r="F1735" t="s">
        <v>24</v>
      </c>
      <c r="G1735" t="s">
        <v>115</v>
      </c>
      <c r="H1735" t="s">
        <v>56</v>
      </c>
      <c r="I1735" t="s">
        <v>61</v>
      </c>
      <c r="J1735" t="s">
        <v>70</v>
      </c>
      <c r="K1735" t="s">
        <v>38</v>
      </c>
      <c r="L1735">
        <v>1</v>
      </c>
      <c r="M1735">
        <v>143</v>
      </c>
      <c r="N1735">
        <v>21.45</v>
      </c>
      <c r="O1735">
        <v>40</v>
      </c>
      <c r="P1735">
        <v>143</v>
      </c>
      <c r="Q1735">
        <v>161.55000000000001</v>
      </c>
      <c r="R1735" t="s">
        <v>39</v>
      </c>
      <c r="S1735" t="s">
        <v>31</v>
      </c>
      <c r="T1735" t="s">
        <v>32</v>
      </c>
      <c r="U1735">
        <v>54</v>
      </c>
      <c r="V1735">
        <v>4.2</v>
      </c>
      <c r="W1735">
        <f>Table2[[#This Row],[Quantity]]*Table2[[#This Row],[Item_Price]]</f>
        <v>143</v>
      </c>
    </row>
    <row r="1736" spans="1:23" x14ac:dyDescent="0.25">
      <c r="A1736" t="s">
        <v>1834</v>
      </c>
      <c r="B1736" s="1">
        <v>45784</v>
      </c>
      <c r="C1736" t="s">
        <v>1749</v>
      </c>
      <c r="D1736">
        <v>5</v>
      </c>
      <c r="E1736">
        <v>7</v>
      </c>
      <c r="F1736" t="s">
        <v>24</v>
      </c>
      <c r="G1736" t="s">
        <v>80</v>
      </c>
      <c r="H1736" t="s">
        <v>35</v>
      </c>
      <c r="I1736" t="s">
        <v>61</v>
      </c>
      <c r="J1736" t="s">
        <v>172</v>
      </c>
      <c r="K1736" t="s">
        <v>38</v>
      </c>
      <c r="L1736">
        <v>1</v>
      </c>
      <c r="M1736">
        <v>708</v>
      </c>
      <c r="N1736">
        <v>141.6</v>
      </c>
      <c r="O1736">
        <v>0</v>
      </c>
      <c r="P1736">
        <v>708</v>
      </c>
      <c r="Q1736">
        <v>566.4</v>
      </c>
      <c r="R1736" t="s">
        <v>75</v>
      </c>
      <c r="S1736" t="s">
        <v>31</v>
      </c>
      <c r="T1736" t="s">
        <v>40</v>
      </c>
      <c r="U1736">
        <v>25</v>
      </c>
      <c r="V1736">
        <v>3.5</v>
      </c>
      <c r="W1736">
        <f>Table2[[#This Row],[Quantity]]*Table2[[#This Row],[Item_Price]]</f>
        <v>708</v>
      </c>
    </row>
    <row r="1737" spans="1:23" x14ac:dyDescent="0.25">
      <c r="A1737" t="s">
        <v>1835</v>
      </c>
      <c r="B1737" s="1">
        <v>45784</v>
      </c>
      <c r="C1737" t="s">
        <v>1749</v>
      </c>
      <c r="D1737">
        <v>5</v>
      </c>
      <c r="E1737">
        <v>7</v>
      </c>
      <c r="F1737" t="s">
        <v>24</v>
      </c>
      <c r="G1737" t="s">
        <v>115</v>
      </c>
      <c r="H1737" t="s">
        <v>77</v>
      </c>
      <c r="I1737" t="s">
        <v>49</v>
      </c>
      <c r="J1737" t="s">
        <v>101</v>
      </c>
      <c r="K1737" t="s">
        <v>38</v>
      </c>
      <c r="L1737">
        <v>3</v>
      </c>
      <c r="M1737">
        <v>385</v>
      </c>
      <c r="N1737">
        <v>57.75</v>
      </c>
      <c r="O1737">
        <v>30</v>
      </c>
      <c r="P1737">
        <v>1155</v>
      </c>
      <c r="Q1737">
        <v>1127.25</v>
      </c>
      <c r="R1737" t="s">
        <v>75</v>
      </c>
      <c r="S1737" t="s">
        <v>31</v>
      </c>
      <c r="T1737" t="s">
        <v>32</v>
      </c>
      <c r="U1737">
        <v>46</v>
      </c>
      <c r="V1737">
        <v>3.7</v>
      </c>
      <c r="W1737">
        <f>Table2[[#This Row],[Quantity]]*Table2[[#This Row],[Item_Price]]</f>
        <v>1155</v>
      </c>
    </row>
    <row r="1738" spans="1:23" x14ac:dyDescent="0.25">
      <c r="A1738" t="s">
        <v>1836</v>
      </c>
      <c r="B1738" s="1">
        <v>45784</v>
      </c>
      <c r="C1738" t="s">
        <v>1749</v>
      </c>
      <c r="D1738">
        <v>5</v>
      </c>
      <c r="E1738">
        <v>7</v>
      </c>
      <c r="F1738" t="s">
        <v>24</v>
      </c>
      <c r="G1738" t="s">
        <v>84</v>
      </c>
      <c r="H1738" t="s">
        <v>35</v>
      </c>
      <c r="I1738" t="s">
        <v>69</v>
      </c>
      <c r="J1738" t="s">
        <v>78</v>
      </c>
      <c r="K1738" t="s">
        <v>29</v>
      </c>
      <c r="L1738">
        <v>2</v>
      </c>
      <c r="M1738">
        <v>758</v>
      </c>
      <c r="N1738">
        <v>75.8</v>
      </c>
      <c r="O1738">
        <v>40</v>
      </c>
      <c r="P1738">
        <v>1516</v>
      </c>
      <c r="Q1738">
        <v>1480.2</v>
      </c>
      <c r="R1738" t="s">
        <v>98</v>
      </c>
      <c r="S1738" t="s">
        <v>31</v>
      </c>
      <c r="T1738" t="s">
        <v>40</v>
      </c>
      <c r="U1738">
        <v>55</v>
      </c>
      <c r="V1738">
        <v>3.7</v>
      </c>
      <c r="W1738">
        <f>Table2[[#This Row],[Quantity]]*Table2[[#This Row],[Item_Price]]</f>
        <v>1516</v>
      </c>
    </row>
    <row r="1739" spans="1:23" x14ac:dyDescent="0.25">
      <c r="A1739" t="s">
        <v>1837</v>
      </c>
      <c r="B1739" s="1">
        <v>45784</v>
      </c>
      <c r="C1739" t="s">
        <v>1749</v>
      </c>
      <c r="D1739">
        <v>5</v>
      </c>
      <c r="E1739">
        <v>7</v>
      </c>
      <c r="F1739" t="s">
        <v>24</v>
      </c>
      <c r="G1739" t="s">
        <v>80</v>
      </c>
      <c r="H1739" t="s">
        <v>26</v>
      </c>
      <c r="I1739" t="s">
        <v>103</v>
      </c>
      <c r="J1739" t="s">
        <v>53</v>
      </c>
      <c r="K1739" t="s">
        <v>38</v>
      </c>
      <c r="L1739">
        <v>2</v>
      </c>
      <c r="M1739">
        <v>495</v>
      </c>
      <c r="N1739">
        <v>49.5</v>
      </c>
      <c r="O1739">
        <v>70</v>
      </c>
      <c r="P1739">
        <v>990</v>
      </c>
      <c r="Q1739">
        <v>1010.5</v>
      </c>
      <c r="R1739" t="s">
        <v>39</v>
      </c>
      <c r="S1739" t="s">
        <v>31</v>
      </c>
      <c r="T1739" t="s">
        <v>40</v>
      </c>
      <c r="U1739">
        <v>19</v>
      </c>
      <c r="V1739">
        <v>4.5</v>
      </c>
      <c r="W1739">
        <f>Table2[[#This Row],[Quantity]]*Table2[[#This Row],[Item_Price]]</f>
        <v>990</v>
      </c>
    </row>
    <row r="1740" spans="1:23" x14ac:dyDescent="0.25">
      <c r="A1740" t="s">
        <v>1838</v>
      </c>
      <c r="B1740" s="1">
        <v>45784</v>
      </c>
      <c r="C1740" t="s">
        <v>1749</v>
      </c>
      <c r="D1740">
        <v>5</v>
      </c>
      <c r="E1740">
        <v>7</v>
      </c>
      <c r="F1740" t="s">
        <v>24</v>
      </c>
      <c r="G1740" t="s">
        <v>25</v>
      </c>
      <c r="H1740" t="s">
        <v>108</v>
      </c>
      <c r="I1740" t="s">
        <v>85</v>
      </c>
      <c r="J1740" t="s">
        <v>101</v>
      </c>
      <c r="K1740" t="s">
        <v>38</v>
      </c>
      <c r="L1740">
        <v>2</v>
      </c>
      <c r="M1740">
        <v>695</v>
      </c>
      <c r="N1740">
        <v>69.5</v>
      </c>
      <c r="O1740">
        <v>50</v>
      </c>
      <c r="P1740">
        <v>1390</v>
      </c>
      <c r="Q1740">
        <v>1370.5</v>
      </c>
      <c r="R1740" t="s">
        <v>112</v>
      </c>
      <c r="S1740" t="s">
        <v>31</v>
      </c>
      <c r="T1740" t="s">
        <v>40</v>
      </c>
      <c r="U1740">
        <v>43</v>
      </c>
      <c r="V1740">
        <v>4.7</v>
      </c>
      <c r="W1740">
        <f>Table2[[#This Row],[Quantity]]*Table2[[#This Row],[Item_Price]]</f>
        <v>1390</v>
      </c>
    </row>
    <row r="1741" spans="1:23" x14ac:dyDescent="0.25">
      <c r="A1741" t="s">
        <v>1839</v>
      </c>
      <c r="B1741" s="1">
        <v>45784</v>
      </c>
      <c r="C1741" t="s">
        <v>1749</v>
      </c>
      <c r="D1741">
        <v>5</v>
      </c>
      <c r="E1741">
        <v>7</v>
      </c>
      <c r="F1741" t="s">
        <v>24</v>
      </c>
      <c r="G1741" t="s">
        <v>34</v>
      </c>
      <c r="H1741" t="s">
        <v>139</v>
      </c>
      <c r="I1741" t="s">
        <v>36</v>
      </c>
      <c r="J1741" t="s">
        <v>62</v>
      </c>
      <c r="K1741" t="s">
        <v>38</v>
      </c>
      <c r="L1741">
        <v>2</v>
      </c>
      <c r="M1741">
        <v>454</v>
      </c>
      <c r="N1741">
        <v>113.5</v>
      </c>
      <c r="O1741">
        <v>40</v>
      </c>
      <c r="P1741">
        <v>908</v>
      </c>
      <c r="Q1741">
        <v>834.5</v>
      </c>
      <c r="R1741" t="s">
        <v>75</v>
      </c>
      <c r="S1741" t="s">
        <v>31</v>
      </c>
      <c r="T1741" t="s">
        <v>40</v>
      </c>
      <c r="U1741">
        <v>39</v>
      </c>
      <c r="V1741">
        <v>5</v>
      </c>
      <c r="W1741">
        <f>Table2[[#This Row],[Quantity]]*Table2[[#This Row],[Item_Price]]</f>
        <v>908</v>
      </c>
    </row>
    <row r="1742" spans="1:23" x14ac:dyDescent="0.25">
      <c r="A1742" t="s">
        <v>1840</v>
      </c>
      <c r="B1742" s="1">
        <v>45784</v>
      </c>
      <c r="C1742" t="s">
        <v>1749</v>
      </c>
      <c r="D1742">
        <v>5</v>
      </c>
      <c r="E1742">
        <v>7</v>
      </c>
      <c r="F1742" t="s">
        <v>24</v>
      </c>
      <c r="G1742" t="s">
        <v>64</v>
      </c>
      <c r="H1742" t="s">
        <v>139</v>
      </c>
      <c r="I1742" t="s">
        <v>69</v>
      </c>
      <c r="J1742" t="s">
        <v>74</v>
      </c>
      <c r="K1742" t="s">
        <v>45</v>
      </c>
      <c r="L1742">
        <v>3</v>
      </c>
      <c r="M1742">
        <v>166</v>
      </c>
      <c r="N1742">
        <v>16.600000000000001</v>
      </c>
      <c r="O1742">
        <v>40</v>
      </c>
      <c r="P1742">
        <v>498</v>
      </c>
      <c r="Q1742">
        <v>521.4</v>
      </c>
      <c r="R1742" t="s">
        <v>39</v>
      </c>
      <c r="S1742" t="s">
        <v>31</v>
      </c>
      <c r="T1742" t="s">
        <v>40</v>
      </c>
      <c r="U1742">
        <v>29</v>
      </c>
      <c r="V1742">
        <v>4.9000000000000004</v>
      </c>
      <c r="W1742">
        <f>Table2[[#This Row],[Quantity]]*Table2[[#This Row],[Item_Price]]</f>
        <v>498</v>
      </c>
    </row>
    <row r="1743" spans="1:23" x14ac:dyDescent="0.25">
      <c r="A1743" t="s">
        <v>1841</v>
      </c>
      <c r="B1743" s="1">
        <v>45785</v>
      </c>
      <c r="C1743" t="s">
        <v>1749</v>
      </c>
      <c r="D1743">
        <v>5</v>
      </c>
      <c r="E1743">
        <v>8</v>
      </c>
      <c r="F1743" t="s">
        <v>88</v>
      </c>
      <c r="G1743" t="s">
        <v>90</v>
      </c>
      <c r="H1743" t="s">
        <v>65</v>
      </c>
      <c r="I1743" t="s">
        <v>85</v>
      </c>
      <c r="J1743" t="s">
        <v>44</v>
      </c>
      <c r="K1743" t="s">
        <v>45</v>
      </c>
      <c r="L1743">
        <v>3</v>
      </c>
      <c r="M1743">
        <v>588</v>
      </c>
      <c r="N1743">
        <v>58.8</v>
      </c>
      <c r="O1743">
        <v>30</v>
      </c>
      <c r="P1743">
        <v>1764</v>
      </c>
      <c r="Q1743">
        <v>1735.2</v>
      </c>
      <c r="R1743" t="s">
        <v>30</v>
      </c>
      <c r="S1743" t="s">
        <v>31</v>
      </c>
      <c r="T1743" t="s">
        <v>40</v>
      </c>
      <c r="U1743">
        <v>51</v>
      </c>
      <c r="V1743">
        <v>3</v>
      </c>
      <c r="W1743">
        <f>Table2[[#This Row],[Quantity]]*Table2[[#This Row],[Item_Price]]</f>
        <v>1764</v>
      </c>
    </row>
    <row r="1744" spans="1:23" x14ac:dyDescent="0.25">
      <c r="A1744" t="s">
        <v>1842</v>
      </c>
      <c r="B1744" s="1">
        <v>45785</v>
      </c>
      <c r="C1744" t="s">
        <v>1749</v>
      </c>
      <c r="D1744">
        <v>5</v>
      </c>
      <c r="E1744">
        <v>8</v>
      </c>
      <c r="F1744" t="s">
        <v>88</v>
      </c>
      <c r="G1744" t="s">
        <v>73</v>
      </c>
      <c r="H1744" t="s">
        <v>35</v>
      </c>
      <c r="I1744" t="s">
        <v>85</v>
      </c>
      <c r="J1744" t="s">
        <v>123</v>
      </c>
      <c r="K1744" t="s">
        <v>38</v>
      </c>
      <c r="L1744">
        <v>1</v>
      </c>
      <c r="M1744">
        <v>138</v>
      </c>
      <c r="N1744">
        <v>27.6</v>
      </c>
      <c r="O1744">
        <v>30</v>
      </c>
      <c r="P1744">
        <v>138</v>
      </c>
      <c r="Q1744">
        <v>140.4</v>
      </c>
      <c r="R1744" t="s">
        <v>39</v>
      </c>
      <c r="S1744" t="s">
        <v>110</v>
      </c>
      <c r="T1744" t="s">
        <v>40</v>
      </c>
      <c r="U1744">
        <v>56</v>
      </c>
      <c r="W1744">
        <f>Table2[[#This Row],[Quantity]]*Table2[[#This Row],[Item_Price]]</f>
        <v>138</v>
      </c>
    </row>
    <row r="1745" spans="1:23" x14ac:dyDescent="0.25">
      <c r="A1745" t="s">
        <v>1843</v>
      </c>
      <c r="B1745" s="1">
        <v>45785</v>
      </c>
      <c r="C1745" t="s">
        <v>1749</v>
      </c>
      <c r="D1745">
        <v>5</v>
      </c>
      <c r="E1745">
        <v>8</v>
      </c>
      <c r="F1745" t="s">
        <v>88</v>
      </c>
      <c r="G1745" t="s">
        <v>90</v>
      </c>
      <c r="H1745" t="s">
        <v>135</v>
      </c>
      <c r="I1745" t="s">
        <v>43</v>
      </c>
      <c r="J1745" t="s">
        <v>28</v>
      </c>
      <c r="K1745" t="s">
        <v>38</v>
      </c>
      <c r="L1745">
        <v>2</v>
      </c>
      <c r="M1745">
        <v>457</v>
      </c>
      <c r="N1745">
        <v>22.85</v>
      </c>
      <c r="O1745">
        <v>50</v>
      </c>
      <c r="P1745">
        <v>914</v>
      </c>
      <c r="Q1745">
        <v>941.15</v>
      </c>
      <c r="R1745" t="s">
        <v>39</v>
      </c>
      <c r="S1745" t="s">
        <v>31</v>
      </c>
      <c r="T1745" t="s">
        <v>40</v>
      </c>
      <c r="U1745">
        <v>35</v>
      </c>
      <c r="V1745">
        <v>4</v>
      </c>
      <c r="W1745">
        <f>Table2[[#This Row],[Quantity]]*Table2[[#This Row],[Item_Price]]</f>
        <v>914</v>
      </c>
    </row>
    <row r="1746" spans="1:23" x14ac:dyDescent="0.25">
      <c r="A1746" t="s">
        <v>1844</v>
      </c>
      <c r="B1746" s="1">
        <v>45785</v>
      </c>
      <c r="C1746" t="s">
        <v>1749</v>
      </c>
      <c r="D1746">
        <v>5</v>
      </c>
      <c r="E1746">
        <v>8</v>
      </c>
      <c r="F1746" t="s">
        <v>88</v>
      </c>
      <c r="G1746" t="s">
        <v>90</v>
      </c>
      <c r="H1746" t="s">
        <v>65</v>
      </c>
      <c r="I1746" t="s">
        <v>49</v>
      </c>
      <c r="J1746" t="s">
        <v>44</v>
      </c>
      <c r="K1746" t="s">
        <v>38</v>
      </c>
      <c r="L1746">
        <v>2</v>
      </c>
      <c r="M1746">
        <v>644</v>
      </c>
      <c r="N1746">
        <v>161</v>
      </c>
      <c r="O1746">
        <v>50</v>
      </c>
      <c r="P1746">
        <v>1288</v>
      </c>
      <c r="Q1746">
        <v>1177</v>
      </c>
      <c r="R1746" t="s">
        <v>112</v>
      </c>
      <c r="S1746" t="s">
        <v>91</v>
      </c>
      <c r="T1746" t="s">
        <v>32</v>
      </c>
      <c r="U1746">
        <v>54</v>
      </c>
      <c r="W1746">
        <f>Table2[[#This Row],[Quantity]]*Table2[[#This Row],[Item_Price]]</f>
        <v>1288</v>
      </c>
    </row>
    <row r="1747" spans="1:23" x14ac:dyDescent="0.25">
      <c r="A1747" t="s">
        <v>1845</v>
      </c>
      <c r="B1747" s="1">
        <v>45785</v>
      </c>
      <c r="C1747" t="s">
        <v>1749</v>
      </c>
      <c r="D1747">
        <v>5</v>
      </c>
      <c r="E1747">
        <v>8</v>
      </c>
      <c r="F1747" t="s">
        <v>88</v>
      </c>
      <c r="G1747" t="s">
        <v>55</v>
      </c>
      <c r="H1747" t="s">
        <v>48</v>
      </c>
      <c r="I1747" t="s">
        <v>85</v>
      </c>
      <c r="J1747" t="s">
        <v>70</v>
      </c>
      <c r="K1747" t="s">
        <v>45</v>
      </c>
      <c r="L1747">
        <v>2</v>
      </c>
      <c r="M1747">
        <v>488</v>
      </c>
      <c r="N1747">
        <v>97.6</v>
      </c>
      <c r="O1747">
        <v>30</v>
      </c>
      <c r="P1747">
        <v>976</v>
      </c>
      <c r="Q1747">
        <v>908.4</v>
      </c>
      <c r="R1747" t="s">
        <v>112</v>
      </c>
      <c r="S1747" t="s">
        <v>31</v>
      </c>
      <c r="T1747" t="s">
        <v>40</v>
      </c>
      <c r="U1747">
        <v>49</v>
      </c>
      <c r="V1747">
        <v>4.3</v>
      </c>
      <c r="W1747">
        <f>Table2[[#This Row],[Quantity]]*Table2[[#This Row],[Item_Price]]</f>
        <v>976</v>
      </c>
    </row>
    <row r="1748" spans="1:23" x14ac:dyDescent="0.25">
      <c r="A1748" t="s">
        <v>1846</v>
      </c>
      <c r="B1748" s="1">
        <v>45785</v>
      </c>
      <c r="C1748" t="s">
        <v>1749</v>
      </c>
      <c r="D1748">
        <v>5</v>
      </c>
      <c r="E1748">
        <v>8</v>
      </c>
      <c r="F1748" t="s">
        <v>88</v>
      </c>
      <c r="G1748" t="s">
        <v>64</v>
      </c>
      <c r="H1748" t="s">
        <v>139</v>
      </c>
      <c r="I1748" t="s">
        <v>57</v>
      </c>
      <c r="J1748" t="s">
        <v>66</v>
      </c>
      <c r="K1748" t="s">
        <v>45</v>
      </c>
      <c r="L1748">
        <v>1</v>
      </c>
      <c r="M1748">
        <v>128</v>
      </c>
      <c r="N1748">
        <v>19.2</v>
      </c>
      <c r="O1748">
        <v>60</v>
      </c>
      <c r="P1748">
        <v>128</v>
      </c>
      <c r="Q1748">
        <v>168.8</v>
      </c>
      <c r="R1748" t="s">
        <v>75</v>
      </c>
      <c r="S1748" t="s">
        <v>46</v>
      </c>
      <c r="T1748" t="s">
        <v>32</v>
      </c>
      <c r="U1748">
        <v>33</v>
      </c>
      <c r="W1748">
        <f>Table2[[#This Row],[Quantity]]*Table2[[#This Row],[Item_Price]]</f>
        <v>128</v>
      </c>
    </row>
    <row r="1749" spans="1:23" x14ac:dyDescent="0.25">
      <c r="A1749" t="s">
        <v>1847</v>
      </c>
      <c r="B1749" s="1">
        <v>45785</v>
      </c>
      <c r="C1749" t="s">
        <v>1749</v>
      </c>
      <c r="D1749">
        <v>5</v>
      </c>
      <c r="E1749">
        <v>8</v>
      </c>
      <c r="F1749" t="s">
        <v>88</v>
      </c>
      <c r="G1749" t="s">
        <v>64</v>
      </c>
      <c r="H1749" t="s">
        <v>135</v>
      </c>
      <c r="I1749" t="s">
        <v>43</v>
      </c>
      <c r="J1749" t="s">
        <v>94</v>
      </c>
      <c r="K1749" t="s">
        <v>38</v>
      </c>
      <c r="L1749">
        <v>2</v>
      </c>
      <c r="M1749">
        <v>312</v>
      </c>
      <c r="N1749">
        <v>78</v>
      </c>
      <c r="O1749">
        <v>60</v>
      </c>
      <c r="P1749">
        <v>624</v>
      </c>
      <c r="Q1749">
        <v>606</v>
      </c>
      <c r="R1749" t="s">
        <v>112</v>
      </c>
      <c r="S1749" t="s">
        <v>31</v>
      </c>
      <c r="T1749" t="s">
        <v>32</v>
      </c>
      <c r="U1749">
        <v>38</v>
      </c>
      <c r="V1749">
        <v>3</v>
      </c>
      <c r="W1749">
        <f>Table2[[#This Row],[Quantity]]*Table2[[#This Row],[Item_Price]]</f>
        <v>624</v>
      </c>
    </row>
    <row r="1750" spans="1:23" x14ac:dyDescent="0.25">
      <c r="A1750" t="s">
        <v>1848</v>
      </c>
      <c r="B1750" s="1">
        <v>45785</v>
      </c>
      <c r="C1750" t="s">
        <v>1749</v>
      </c>
      <c r="D1750">
        <v>5</v>
      </c>
      <c r="E1750">
        <v>8</v>
      </c>
      <c r="F1750" t="s">
        <v>88</v>
      </c>
      <c r="G1750" t="s">
        <v>34</v>
      </c>
      <c r="H1750" t="s">
        <v>26</v>
      </c>
      <c r="I1750" t="s">
        <v>97</v>
      </c>
      <c r="J1750" t="s">
        <v>94</v>
      </c>
      <c r="K1750" t="s">
        <v>45</v>
      </c>
      <c r="L1750">
        <v>2</v>
      </c>
      <c r="M1750">
        <v>189</v>
      </c>
      <c r="N1750">
        <v>28.35</v>
      </c>
      <c r="O1750">
        <v>20</v>
      </c>
      <c r="P1750">
        <v>378</v>
      </c>
      <c r="Q1750">
        <v>369.65</v>
      </c>
      <c r="R1750" t="s">
        <v>39</v>
      </c>
      <c r="S1750" t="s">
        <v>31</v>
      </c>
      <c r="T1750" t="s">
        <v>32</v>
      </c>
      <c r="U1750">
        <v>56</v>
      </c>
      <c r="V1750">
        <v>4.5999999999999996</v>
      </c>
      <c r="W1750">
        <f>Table2[[#This Row],[Quantity]]*Table2[[#This Row],[Item_Price]]</f>
        <v>378</v>
      </c>
    </row>
    <row r="1751" spans="1:23" x14ac:dyDescent="0.25">
      <c r="A1751" t="s">
        <v>1849</v>
      </c>
      <c r="B1751" s="1">
        <v>45785</v>
      </c>
      <c r="C1751" t="s">
        <v>1749</v>
      </c>
      <c r="D1751">
        <v>5</v>
      </c>
      <c r="E1751">
        <v>8</v>
      </c>
      <c r="F1751" t="s">
        <v>88</v>
      </c>
      <c r="G1751" t="s">
        <v>115</v>
      </c>
      <c r="H1751" t="s">
        <v>68</v>
      </c>
      <c r="I1751" t="s">
        <v>69</v>
      </c>
      <c r="J1751" t="s">
        <v>70</v>
      </c>
      <c r="K1751" t="s">
        <v>38</v>
      </c>
      <c r="L1751">
        <v>1</v>
      </c>
      <c r="M1751">
        <v>636</v>
      </c>
      <c r="N1751">
        <v>63.6</v>
      </c>
      <c r="O1751">
        <v>40</v>
      </c>
      <c r="P1751">
        <v>636</v>
      </c>
      <c r="Q1751">
        <v>612.4</v>
      </c>
      <c r="R1751" t="s">
        <v>75</v>
      </c>
      <c r="S1751" t="s">
        <v>31</v>
      </c>
      <c r="T1751" t="s">
        <v>40</v>
      </c>
      <c r="U1751">
        <v>47</v>
      </c>
      <c r="V1751">
        <v>3.6</v>
      </c>
      <c r="W1751">
        <f>Table2[[#This Row],[Quantity]]*Table2[[#This Row],[Item_Price]]</f>
        <v>636</v>
      </c>
    </row>
    <row r="1752" spans="1:23" x14ac:dyDescent="0.25">
      <c r="A1752" t="s">
        <v>1850</v>
      </c>
      <c r="B1752" s="1">
        <v>45785</v>
      </c>
      <c r="C1752" t="s">
        <v>1749</v>
      </c>
      <c r="D1752">
        <v>5</v>
      </c>
      <c r="E1752">
        <v>8</v>
      </c>
      <c r="F1752" t="s">
        <v>88</v>
      </c>
      <c r="G1752" t="s">
        <v>64</v>
      </c>
      <c r="H1752" t="s">
        <v>48</v>
      </c>
      <c r="I1752" t="s">
        <v>61</v>
      </c>
      <c r="J1752" t="s">
        <v>50</v>
      </c>
      <c r="K1752" t="s">
        <v>38</v>
      </c>
      <c r="L1752">
        <v>1</v>
      </c>
      <c r="M1752">
        <v>556</v>
      </c>
      <c r="N1752">
        <v>111.2</v>
      </c>
      <c r="O1752">
        <v>0</v>
      </c>
      <c r="P1752">
        <v>556</v>
      </c>
      <c r="Q1752">
        <v>444.8</v>
      </c>
      <c r="R1752" t="s">
        <v>75</v>
      </c>
      <c r="S1752" t="s">
        <v>31</v>
      </c>
      <c r="T1752" t="s">
        <v>40</v>
      </c>
      <c r="U1752">
        <v>22</v>
      </c>
      <c r="V1752">
        <v>4.5</v>
      </c>
      <c r="W1752">
        <f>Table2[[#This Row],[Quantity]]*Table2[[#This Row],[Item_Price]]</f>
        <v>556</v>
      </c>
    </row>
    <row r="1753" spans="1:23" x14ac:dyDescent="0.25">
      <c r="A1753" t="s">
        <v>1851</v>
      </c>
      <c r="B1753" s="1">
        <v>45785</v>
      </c>
      <c r="C1753" t="s">
        <v>1749</v>
      </c>
      <c r="D1753">
        <v>5</v>
      </c>
      <c r="E1753">
        <v>8</v>
      </c>
      <c r="F1753" t="s">
        <v>88</v>
      </c>
      <c r="G1753" t="s">
        <v>90</v>
      </c>
      <c r="H1753" t="s">
        <v>42</v>
      </c>
      <c r="I1753" t="s">
        <v>27</v>
      </c>
      <c r="J1753" t="s">
        <v>78</v>
      </c>
      <c r="K1753" t="s">
        <v>38</v>
      </c>
      <c r="L1753">
        <v>1</v>
      </c>
      <c r="M1753">
        <v>760</v>
      </c>
      <c r="N1753">
        <v>38</v>
      </c>
      <c r="O1753">
        <v>40</v>
      </c>
      <c r="P1753">
        <v>760</v>
      </c>
      <c r="Q1753">
        <v>762</v>
      </c>
      <c r="R1753" t="s">
        <v>75</v>
      </c>
      <c r="S1753" t="s">
        <v>31</v>
      </c>
      <c r="T1753" t="s">
        <v>40</v>
      </c>
      <c r="U1753">
        <v>59</v>
      </c>
      <c r="V1753">
        <v>3.8</v>
      </c>
      <c r="W1753">
        <f>Table2[[#This Row],[Quantity]]*Table2[[#This Row],[Item_Price]]</f>
        <v>760</v>
      </c>
    </row>
    <row r="1754" spans="1:23" x14ac:dyDescent="0.25">
      <c r="A1754" t="s">
        <v>1852</v>
      </c>
      <c r="B1754" s="1">
        <v>45785</v>
      </c>
      <c r="C1754" t="s">
        <v>1749</v>
      </c>
      <c r="D1754">
        <v>5</v>
      </c>
      <c r="E1754">
        <v>8</v>
      </c>
      <c r="F1754" t="s">
        <v>88</v>
      </c>
      <c r="G1754" t="s">
        <v>90</v>
      </c>
      <c r="H1754" t="s">
        <v>108</v>
      </c>
      <c r="I1754" t="s">
        <v>61</v>
      </c>
      <c r="J1754" t="s">
        <v>82</v>
      </c>
      <c r="K1754" t="s">
        <v>38</v>
      </c>
      <c r="L1754">
        <v>2</v>
      </c>
      <c r="M1754">
        <v>768</v>
      </c>
      <c r="N1754">
        <v>76.8</v>
      </c>
      <c r="O1754">
        <v>30</v>
      </c>
      <c r="P1754">
        <v>1536</v>
      </c>
      <c r="Q1754">
        <v>1489.2</v>
      </c>
      <c r="R1754" t="s">
        <v>39</v>
      </c>
      <c r="S1754" t="s">
        <v>31</v>
      </c>
      <c r="T1754" t="s">
        <v>40</v>
      </c>
      <c r="U1754">
        <v>43</v>
      </c>
      <c r="V1754">
        <v>3.5</v>
      </c>
      <c r="W1754">
        <f>Table2[[#This Row],[Quantity]]*Table2[[#This Row],[Item_Price]]</f>
        <v>1536</v>
      </c>
    </row>
    <row r="1755" spans="1:23" x14ac:dyDescent="0.25">
      <c r="A1755" t="s">
        <v>1853</v>
      </c>
      <c r="B1755" s="1">
        <v>45785</v>
      </c>
      <c r="C1755" t="s">
        <v>1749</v>
      </c>
      <c r="D1755">
        <v>5</v>
      </c>
      <c r="E1755">
        <v>8</v>
      </c>
      <c r="F1755" t="s">
        <v>88</v>
      </c>
      <c r="G1755" t="s">
        <v>64</v>
      </c>
      <c r="H1755" t="s">
        <v>26</v>
      </c>
      <c r="I1755" t="s">
        <v>27</v>
      </c>
      <c r="J1755" t="s">
        <v>37</v>
      </c>
      <c r="K1755" t="s">
        <v>38</v>
      </c>
      <c r="L1755">
        <v>2</v>
      </c>
      <c r="M1755">
        <v>891</v>
      </c>
      <c r="N1755">
        <v>89.1</v>
      </c>
      <c r="O1755">
        <v>40</v>
      </c>
      <c r="P1755">
        <v>1782</v>
      </c>
      <c r="Q1755">
        <v>1732.9</v>
      </c>
      <c r="R1755" t="s">
        <v>39</v>
      </c>
      <c r="S1755" t="s">
        <v>31</v>
      </c>
      <c r="T1755" t="s">
        <v>40</v>
      </c>
      <c r="U1755">
        <v>30</v>
      </c>
      <c r="V1755">
        <v>4.0999999999999996</v>
      </c>
      <c r="W1755">
        <f>Table2[[#This Row],[Quantity]]*Table2[[#This Row],[Item_Price]]</f>
        <v>1782</v>
      </c>
    </row>
    <row r="1756" spans="1:23" x14ac:dyDescent="0.25">
      <c r="A1756" t="s">
        <v>1854</v>
      </c>
      <c r="B1756" s="1">
        <v>45785</v>
      </c>
      <c r="C1756" t="s">
        <v>1749</v>
      </c>
      <c r="D1756">
        <v>5</v>
      </c>
      <c r="E1756">
        <v>8</v>
      </c>
      <c r="F1756" t="s">
        <v>88</v>
      </c>
      <c r="G1756" t="s">
        <v>90</v>
      </c>
      <c r="H1756" t="s">
        <v>35</v>
      </c>
      <c r="I1756" t="s">
        <v>57</v>
      </c>
      <c r="J1756" t="s">
        <v>74</v>
      </c>
      <c r="K1756" t="s">
        <v>45</v>
      </c>
      <c r="L1756">
        <v>1</v>
      </c>
      <c r="M1756">
        <v>433</v>
      </c>
      <c r="N1756">
        <v>64.95</v>
      </c>
      <c r="O1756">
        <v>50</v>
      </c>
      <c r="P1756">
        <v>433</v>
      </c>
      <c r="Q1756">
        <v>418.05</v>
      </c>
      <c r="R1756" t="s">
        <v>98</v>
      </c>
      <c r="S1756" t="s">
        <v>31</v>
      </c>
      <c r="T1756" t="s">
        <v>32</v>
      </c>
      <c r="U1756">
        <v>37</v>
      </c>
      <c r="V1756">
        <v>3.4</v>
      </c>
      <c r="W1756">
        <f>Table2[[#This Row],[Quantity]]*Table2[[#This Row],[Item_Price]]</f>
        <v>433</v>
      </c>
    </row>
    <row r="1757" spans="1:23" x14ac:dyDescent="0.25">
      <c r="A1757" t="s">
        <v>1855</v>
      </c>
      <c r="B1757" s="1">
        <v>45785</v>
      </c>
      <c r="C1757" t="s">
        <v>1749</v>
      </c>
      <c r="D1757">
        <v>5</v>
      </c>
      <c r="E1757">
        <v>8</v>
      </c>
      <c r="F1757" t="s">
        <v>88</v>
      </c>
      <c r="G1757" t="s">
        <v>115</v>
      </c>
      <c r="H1757" t="s">
        <v>42</v>
      </c>
      <c r="I1757" t="s">
        <v>27</v>
      </c>
      <c r="J1757" t="s">
        <v>172</v>
      </c>
      <c r="K1757" t="s">
        <v>38</v>
      </c>
      <c r="L1757">
        <v>1</v>
      </c>
      <c r="M1757">
        <v>491</v>
      </c>
      <c r="N1757">
        <v>122.75</v>
      </c>
      <c r="O1757">
        <v>60</v>
      </c>
      <c r="P1757">
        <v>491</v>
      </c>
      <c r="Q1757">
        <v>428.25</v>
      </c>
      <c r="R1757" t="s">
        <v>39</v>
      </c>
      <c r="S1757" t="s">
        <v>31</v>
      </c>
      <c r="T1757" t="s">
        <v>32</v>
      </c>
      <c r="U1757">
        <v>32</v>
      </c>
      <c r="V1757">
        <v>3.6</v>
      </c>
      <c r="W1757">
        <f>Table2[[#This Row],[Quantity]]*Table2[[#This Row],[Item_Price]]</f>
        <v>491</v>
      </c>
    </row>
    <row r="1758" spans="1:23" x14ac:dyDescent="0.25">
      <c r="A1758" t="s">
        <v>1856</v>
      </c>
      <c r="B1758" s="1">
        <v>45785</v>
      </c>
      <c r="C1758" t="s">
        <v>1749</v>
      </c>
      <c r="D1758">
        <v>5</v>
      </c>
      <c r="E1758">
        <v>8</v>
      </c>
      <c r="F1758" t="s">
        <v>88</v>
      </c>
      <c r="G1758" t="s">
        <v>64</v>
      </c>
      <c r="H1758" t="s">
        <v>60</v>
      </c>
      <c r="I1758" t="s">
        <v>85</v>
      </c>
      <c r="J1758" t="s">
        <v>70</v>
      </c>
      <c r="K1758" t="s">
        <v>45</v>
      </c>
      <c r="L1758">
        <v>1</v>
      </c>
      <c r="M1758">
        <v>210</v>
      </c>
      <c r="N1758">
        <v>0</v>
      </c>
      <c r="O1758">
        <v>30</v>
      </c>
      <c r="P1758">
        <v>210</v>
      </c>
      <c r="Q1758">
        <v>240</v>
      </c>
      <c r="R1758" t="s">
        <v>75</v>
      </c>
      <c r="S1758" t="s">
        <v>31</v>
      </c>
      <c r="T1758" t="s">
        <v>32</v>
      </c>
      <c r="U1758">
        <v>69</v>
      </c>
      <c r="V1758">
        <v>4.4000000000000004</v>
      </c>
      <c r="W1758">
        <f>Table2[[#This Row],[Quantity]]*Table2[[#This Row],[Item_Price]]</f>
        <v>210</v>
      </c>
    </row>
    <row r="1759" spans="1:23" x14ac:dyDescent="0.25">
      <c r="A1759" t="s">
        <v>1857</v>
      </c>
      <c r="B1759" s="1">
        <v>45786</v>
      </c>
      <c r="C1759" t="s">
        <v>1749</v>
      </c>
      <c r="D1759">
        <v>5</v>
      </c>
      <c r="E1759">
        <v>9</v>
      </c>
      <c r="F1759" t="s">
        <v>114</v>
      </c>
      <c r="G1759" t="s">
        <v>80</v>
      </c>
      <c r="H1759" t="s">
        <v>56</v>
      </c>
      <c r="I1759" t="s">
        <v>43</v>
      </c>
      <c r="J1759" t="s">
        <v>82</v>
      </c>
      <c r="K1759" t="s">
        <v>45</v>
      </c>
      <c r="L1759">
        <v>1</v>
      </c>
      <c r="M1759">
        <v>838</v>
      </c>
      <c r="N1759">
        <v>83.8</v>
      </c>
      <c r="O1759">
        <v>60</v>
      </c>
      <c r="P1759">
        <v>838</v>
      </c>
      <c r="Q1759">
        <v>814.2</v>
      </c>
      <c r="R1759" t="s">
        <v>39</v>
      </c>
      <c r="S1759" t="s">
        <v>31</v>
      </c>
      <c r="T1759" t="s">
        <v>40</v>
      </c>
      <c r="U1759">
        <v>18</v>
      </c>
      <c r="V1759">
        <v>3.3</v>
      </c>
      <c r="W1759">
        <f>Table2[[#This Row],[Quantity]]*Table2[[#This Row],[Item_Price]]</f>
        <v>838</v>
      </c>
    </row>
    <row r="1760" spans="1:23" x14ac:dyDescent="0.25">
      <c r="A1760" t="s">
        <v>1858</v>
      </c>
      <c r="B1760" s="1">
        <v>45786</v>
      </c>
      <c r="C1760" t="s">
        <v>1749</v>
      </c>
      <c r="D1760">
        <v>5</v>
      </c>
      <c r="E1760">
        <v>9</v>
      </c>
      <c r="F1760" t="s">
        <v>114</v>
      </c>
      <c r="G1760" t="s">
        <v>34</v>
      </c>
      <c r="H1760" t="s">
        <v>105</v>
      </c>
      <c r="I1760" t="s">
        <v>27</v>
      </c>
      <c r="J1760" t="s">
        <v>28</v>
      </c>
      <c r="K1760" t="s">
        <v>45</v>
      </c>
      <c r="L1760">
        <v>3</v>
      </c>
      <c r="M1760">
        <v>770</v>
      </c>
      <c r="N1760">
        <v>0</v>
      </c>
      <c r="O1760">
        <v>40</v>
      </c>
      <c r="P1760">
        <v>2310</v>
      </c>
      <c r="Q1760">
        <v>2350</v>
      </c>
      <c r="R1760" t="s">
        <v>98</v>
      </c>
      <c r="S1760" t="s">
        <v>31</v>
      </c>
      <c r="T1760" t="s">
        <v>40</v>
      </c>
      <c r="U1760">
        <v>36</v>
      </c>
      <c r="V1760">
        <v>4.5</v>
      </c>
      <c r="W1760">
        <f>Table2[[#This Row],[Quantity]]*Table2[[#This Row],[Item_Price]]</f>
        <v>2310</v>
      </c>
    </row>
    <row r="1761" spans="1:23" x14ac:dyDescent="0.25">
      <c r="A1761" t="s">
        <v>1859</v>
      </c>
      <c r="B1761" s="1">
        <v>45786</v>
      </c>
      <c r="C1761" t="s">
        <v>1749</v>
      </c>
      <c r="D1761">
        <v>5</v>
      </c>
      <c r="E1761">
        <v>9</v>
      </c>
      <c r="F1761" t="s">
        <v>114</v>
      </c>
      <c r="G1761" t="s">
        <v>84</v>
      </c>
      <c r="H1761" t="s">
        <v>60</v>
      </c>
      <c r="I1761" t="s">
        <v>43</v>
      </c>
      <c r="J1761" t="s">
        <v>94</v>
      </c>
      <c r="K1761" t="s">
        <v>45</v>
      </c>
      <c r="L1761">
        <v>1</v>
      </c>
      <c r="M1761">
        <v>280</v>
      </c>
      <c r="N1761">
        <v>28</v>
      </c>
      <c r="O1761">
        <v>20</v>
      </c>
      <c r="P1761">
        <v>280</v>
      </c>
      <c r="Q1761">
        <v>272</v>
      </c>
      <c r="R1761" t="s">
        <v>30</v>
      </c>
      <c r="S1761" t="s">
        <v>31</v>
      </c>
      <c r="T1761" t="s">
        <v>40</v>
      </c>
      <c r="U1761">
        <v>60</v>
      </c>
      <c r="V1761">
        <v>4.2</v>
      </c>
      <c r="W1761">
        <f>Table2[[#This Row],[Quantity]]*Table2[[#This Row],[Item_Price]]</f>
        <v>280</v>
      </c>
    </row>
    <row r="1762" spans="1:23" x14ac:dyDescent="0.25">
      <c r="A1762" t="s">
        <v>1860</v>
      </c>
      <c r="B1762" s="1">
        <v>45786</v>
      </c>
      <c r="C1762" t="s">
        <v>1749</v>
      </c>
      <c r="D1762">
        <v>5</v>
      </c>
      <c r="E1762">
        <v>9</v>
      </c>
      <c r="F1762" t="s">
        <v>114</v>
      </c>
      <c r="G1762" t="s">
        <v>80</v>
      </c>
      <c r="H1762" t="s">
        <v>105</v>
      </c>
      <c r="I1762" t="s">
        <v>103</v>
      </c>
      <c r="J1762" t="s">
        <v>123</v>
      </c>
      <c r="K1762" t="s">
        <v>38</v>
      </c>
      <c r="L1762">
        <v>2</v>
      </c>
      <c r="M1762">
        <v>216</v>
      </c>
      <c r="N1762">
        <v>21.6</v>
      </c>
      <c r="O1762">
        <v>0</v>
      </c>
      <c r="P1762">
        <v>432</v>
      </c>
      <c r="Q1762">
        <v>410.4</v>
      </c>
      <c r="R1762" t="s">
        <v>112</v>
      </c>
      <c r="S1762" t="s">
        <v>31</v>
      </c>
      <c r="T1762" t="s">
        <v>40</v>
      </c>
      <c r="U1762">
        <v>48</v>
      </c>
      <c r="V1762">
        <v>5</v>
      </c>
      <c r="W1762">
        <f>Table2[[#This Row],[Quantity]]*Table2[[#This Row],[Item_Price]]</f>
        <v>432</v>
      </c>
    </row>
    <row r="1763" spans="1:23" x14ac:dyDescent="0.25">
      <c r="A1763" t="s">
        <v>1861</v>
      </c>
      <c r="B1763" s="1">
        <v>45786</v>
      </c>
      <c r="C1763" t="s">
        <v>1749</v>
      </c>
      <c r="D1763">
        <v>5</v>
      </c>
      <c r="E1763">
        <v>9</v>
      </c>
      <c r="F1763" t="s">
        <v>114</v>
      </c>
      <c r="G1763" t="s">
        <v>73</v>
      </c>
      <c r="H1763" t="s">
        <v>108</v>
      </c>
      <c r="I1763" t="s">
        <v>103</v>
      </c>
      <c r="J1763" t="s">
        <v>53</v>
      </c>
      <c r="K1763" t="s">
        <v>38</v>
      </c>
      <c r="L1763">
        <v>2</v>
      </c>
      <c r="M1763">
        <v>557</v>
      </c>
      <c r="N1763">
        <v>139.25</v>
      </c>
      <c r="O1763">
        <v>0</v>
      </c>
      <c r="P1763">
        <v>1114</v>
      </c>
      <c r="Q1763">
        <v>974.75</v>
      </c>
      <c r="R1763" t="s">
        <v>39</v>
      </c>
      <c r="S1763" t="s">
        <v>31</v>
      </c>
      <c r="T1763" t="s">
        <v>32</v>
      </c>
      <c r="U1763">
        <v>19</v>
      </c>
      <c r="V1763">
        <v>4.3</v>
      </c>
      <c r="W1763">
        <f>Table2[[#This Row],[Quantity]]*Table2[[#This Row],[Item_Price]]</f>
        <v>1114</v>
      </c>
    </row>
    <row r="1764" spans="1:23" x14ac:dyDescent="0.25">
      <c r="A1764" t="s">
        <v>1862</v>
      </c>
      <c r="B1764" s="1">
        <v>45786</v>
      </c>
      <c r="C1764" t="s">
        <v>1749</v>
      </c>
      <c r="D1764">
        <v>5</v>
      </c>
      <c r="E1764">
        <v>9</v>
      </c>
      <c r="F1764" t="s">
        <v>114</v>
      </c>
      <c r="G1764" t="s">
        <v>25</v>
      </c>
      <c r="H1764" t="s">
        <v>48</v>
      </c>
      <c r="I1764" t="s">
        <v>69</v>
      </c>
      <c r="J1764" t="s">
        <v>119</v>
      </c>
      <c r="K1764" t="s">
        <v>38</v>
      </c>
      <c r="L1764">
        <v>1</v>
      </c>
      <c r="M1764">
        <v>707</v>
      </c>
      <c r="N1764">
        <v>106.05</v>
      </c>
      <c r="O1764">
        <v>40</v>
      </c>
      <c r="P1764">
        <v>707</v>
      </c>
      <c r="Q1764">
        <v>640.95000000000005</v>
      </c>
      <c r="R1764" t="s">
        <v>39</v>
      </c>
      <c r="S1764" t="s">
        <v>31</v>
      </c>
      <c r="T1764" t="s">
        <v>40</v>
      </c>
      <c r="U1764">
        <v>59</v>
      </c>
      <c r="V1764">
        <v>4.3</v>
      </c>
      <c r="W1764">
        <f>Table2[[#This Row],[Quantity]]*Table2[[#This Row],[Item_Price]]</f>
        <v>707</v>
      </c>
    </row>
    <row r="1765" spans="1:23" x14ac:dyDescent="0.25">
      <c r="A1765" t="s">
        <v>1863</v>
      </c>
      <c r="B1765" s="1">
        <v>45786</v>
      </c>
      <c r="C1765" t="s">
        <v>1749</v>
      </c>
      <c r="D1765">
        <v>5</v>
      </c>
      <c r="E1765">
        <v>9</v>
      </c>
      <c r="F1765" t="s">
        <v>114</v>
      </c>
      <c r="G1765" t="s">
        <v>84</v>
      </c>
      <c r="H1765" t="s">
        <v>105</v>
      </c>
      <c r="I1765" t="s">
        <v>69</v>
      </c>
      <c r="J1765" t="s">
        <v>37</v>
      </c>
      <c r="K1765" t="s">
        <v>38</v>
      </c>
      <c r="L1765">
        <v>2</v>
      </c>
      <c r="M1765">
        <v>606</v>
      </c>
      <c r="N1765">
        <v>60.6</v>
      </c>
      <c r="O1765">
        <v>0</v>
      </c>
      <c r="P1765">
        <v>1212</v>
      </c>
      <c r="Q1765">
        <v>1151.4000000000001</v>
      </c>
      <c r="R1765" t="s">
        <v>39</v>
      </c>
      <c r="S1765" t="s">
        <v>31</v>
      </c>
      <c r="T1765" t="s">
        <v>40</v>
      </c>
      <c r="U1765">
        <v>59</v>
      </c>
      <c r="V1765">
        <v>4.9000000000000004</v>
      </c>
      <c r="W1765">
        <f>Table2[[#This Row],[Quantity]]*Table2[[#This Row],[Item_Price]]</f>
        <v>1212</v>
      </c>
    </row>
    <row r="1766" spans="1:23" x14ac:dyDescent="0.25">
      <c r="A1766" t="s">
        <v>1864</v>
      </c>
      <c r="B1766" s="1">
        <v>45786</v>
      </c>
      <c r="C1766" t="s">
        <v>1749</v>
      </c>
      <c r="D1766">
        <v>5</v>
      </c>
      <c r="E1766">
        <v>9</v>
      </c>
      <c r="F1766" t="s">
        <v>114</v>
      </c>
      <c r="G1766" t="s">
        <v>80</v>
      </c>
      <c r="H1766" t="s">
        <v>139</v>
      </c>
      <c r="I1766" t="s">
        <v>27</v>
      </c>
      <c r="J1766" t="s">
        <v>50</v>
      </c>
      <c r="K1766" t="s">
        <v>38</v>
      </c>
      <c r="L1766">
        <v>3</v>
      </c>
      <c r="M1766">
        <v>661</v>
      </c>
      <c r="N1766">
        <v>66.099999999999994</v>
      </c>
      <c r="O1766">
        <v>20</v>
      </c>
      <c r="P1766">
        <v>1983</v>
      </c>
      <c r="Q1766">
        <v>1936.9</v>
      </c>
      <c r="R1766" t="s">
        <v>112</v>
      </c>
      <c r="S1766" t="s">
        <v>31</v>
      </c>
      <c r="T1766" t="s">
        <v>32</v>
      </c>
      <c r="U1766">
        <v>55</v>
      </c>
      <c r="V1766">
        <v>5</v>
      </c>
      <c r="W1766">
        <f>Table2[[#This Row],[Quantity]]*Table2[[#This Row],[Item_Price]]</f>
        <v>1983</v>
      </c>
    </row>
    <row r="1767" spans="1:23" x14ac:dyDescent="0.25">
      <c r="A1767" t="s">
        <v>1865</v>
      </c>
      <c r="B1767" s="1">
        <v>45786</v>
      </c>
      <c r="C1767" t="s">
        <v>1749</v>
      </c>
      <c r="D1767">
        <v>5</v>
      </c>
      <c r="E1767">
        <v>9</v>
      </c>
      <c r="F1767" t="s">
        <v>114</v>
      </c>
      <c r="G1767" t="s">
        <v>73</v>
      </c>
      <c r="H1767" t="s">
        <v>77</v>
      </c>
      <c r="I1767" t="s">
        <v>36</v>
      </c>
      <c r="J1767" t="s">
        <v>28</v>
      </c>
      <c r="K1767" t="s">
        <v>38</v>
      </c>
      <c r="L1767">
        <v>2</v>
      </c>
      <c r="M1767">
        <v>233</v>
      </c>
      <c r="N1767">
        <v>23.3</v>
      </c>
      <c r="O1767">
        <v>30</v>
      </c>
      <c r="P1767">
        <v>466</v>
      </c>
      <c r="Q1767">
        <v>472.7</v>
      </c>
      <c r="R1767" t="s">
        <v>30</v>
      </c>
      <c r="S1767" t="s">
        <v>110</v>
      </c>
      <c r="T1767" t="s">
        <v>40</v>
      </c>
      <c r="U1767">
        <v>25</v>
      </c>
      <c r="W1767">
        <f>Table2[[#This Row],[Quantity]]*Table2[[#This Row],[Item_Price]]</f>
        <v>466</v>
      </c>
    </row>
    <row r="1768" spans="1:23" x14ac:dyDescent="0.25">
      <c r="A1768" t="s">
        <v>1866</v>
      </c>
      <c r="B1768" s="1">
        <v>45786</v>
      </c>
      <c r="C1768" t="s">
        <v>1749</v>
      </c>
      <c r="D1768">
        <v>5</v>
      </c>
      <c r="E1768">
        <v>9</v>
      </c>
      <c r="F1768" t="s">
        <v>114</v>
      </c>
      <c r="G1768" t="s">
        <v>115</v>
      </c>
      <c r="H1768" t="s">
        <v>56</v>
      </c>
      <c r="I1768" t="s">
        <v>85</v>
      </c>
      <c r="J1768" t="s">
        <v>119</v>
      </c>
      <c r="K1768" t="s">
        <v>38</v>
      </c>
      <c r="L1768">
        <v>1</v>
      </c>
      <c r="M1768">
        <v>138</v>
      </c>
      <c r="N1768">
        <v>0</v>
      </c>
      <c r="O1768">
        <v>50</v>
      </c>
      <c r="P1768">
        <v>138</v>
      </c>
      <c r="Q1768">
        <v>188</v>
      </c>
      <c r="R1768" t="s">
        <v>39</v>
      </c>
      <c r="S1768" t="s">
        <v>31</v>
      </c>
      <c r="T1768" t="s">
        <v>40</v>
      </c>
      <c r="U1768">
        <v>32</v>
      </c>
      <c r="V1768">
        <v>3.1</v>
      </c>
      <c r="W1768">
        <f>Table2[[#This Row],[Quantity]]*Table2[[#This Row],[Item_Price]]</f>
        <v>138</v>
      </c>
    </row>
    <row r="1769" spans="1:23" x14ac:dyDescent="0.25">
      <c r="A1769" t="s">
        <v>1867</v>
      </c>
      <c r="B1769" s="1">
        <v>45786</v>
      </c>
      <c r="C1769" t="s">
        <v>1749</v>
      </c>
      <c r="D1769">
        <v>5</v>
      </c>
      <c r="E1769">
        <v>9</v>
      </c>
      <c r="F1769" t="s">
        <v>114</v>
      </c>
      <c r="G1769" t="s">
        <v>34</v>
      </c>
      <c r="H1769" t="s">
        <v>139</v>
      </c>
      <c r="I1769" t="s">
        <v>97</v>
      </c>
      <c r="J1769" t="s">
        <v>62</v>
      </c>
      <c r="K1769" t="s">
        <v>45</v>
      </c>
      <c r="L1769">
        <v>2</v>
      </c>
      <c r="M1769">
        <v>298</v>
      </c>
      <c r="N1769">
        <v>14.9</v>
      </c>
      <c r="O1769">
        <v>50</v>
      </c>
      <c r="P1769">
        <v>596</v>
      </c>
      <c r="Q1769">
        <v>631.1</v>
      </c>
      <c r="R1769" t="s">
        <v>30</v>
      </c>
      <c r="S1769" t="s">
        <v>31</v>
      </c>
      <c r="T1769" t="s">
        <v>40</v>
      </c>
      <c r="U1769">
        <v>66</v>
      </c>
      <c r="V1769">
        <v>4.2</v>
      </c>
      <c r="W1769">
        <f>Table2[[#This Row],[Quantity]]*Table2[[#This Row],[Item_Price]]</f>
        <v>596</v>
      </c>
    </row>
    <row r="1770" spans="1:23" x14ac:dyDescent="0.25">
      <c r="A1770" t="s">
        <v>1868</v>
      </c>
      <c r="B1770" s="1">
        <v>45786</v>
      </c>
      <c r="C1770" t="s">
        <v>1749</v>
      </c>
      <c r="D1770">
        <v>5</v>
      </c>
      <c r="E1770">
        <v>9</v>
      </c>
      <c r="F1770" t="s">
        <v>114</v>
      </c>
      <c r="G1770" t="s">
        <v>64</v>
      </c>
      <c r="H1770" t="s">
        <v>35</v>
      </c>
      <c r="I1770" t="s">
        <v>49</v>
      </c>
      <c r="J1770" t="s">
        <v>101</v>
      </c>
      <c r="K1770" t="s">
        <v>29</v>
      </c>
      <c r="L1770">
        <v>1</v>
      </c>
      <c r="M1770">
        <v>899</v>
      </c>
      <c r="N1770">
        <v>224.75</v>
      </c>
      <c r="O1770">
        <v>40</v>
      </c>
      <c r="P1770">
        <v>899</v>
      </c>
      <c r="Q1770">
        <v>714.25</v>
      </c>
      <c r="R1770" t="s">
        <v>30</v>
      </c>
      <c r="S1770" t="s">
        <v>31</v>
      </c>
      <c r="T1770" t="s">
        <v>32</v>
      </c>
      <c r="U1770">
        <v>46</v>
      </c>
      <c r="V1770">
        <v>4.0999999999999996</v>
      </c>
      <c r="W1770">
        <f>Table2[[#This Row],[Quantity]]*Table2[[#This Row],[Item_Price]]</f>
        <v>899</v>
      </c>
    </row>
    <row r="1771" spans="1:23" x14ac:dyDescent="0.25">
      <c r="A1771" t="s">
        <v>1869</v>
      </c>
      <c r="B1771" s="1">
        <v>45786</v>
      </c>
      <c r="C1771" t="s">
        <v>1749</v>
      </c>
      <c r="D1771">
        <v>5</v>
      </c>
      <c r="E1771">
        <v>9</v>
      </c>
      <c r="F1771" t="s">
        <v>114</v>
      </c>
      <c r="G1771" t="s">
        <v>25</v>
      </c>
      <c r="H1771" t="s">
        <v>60</v>
      </c>
      <c r="I1771" t="s">
        <v>69</v>
      </c>
      <c r="J1771" t="s">
        <v>62</v>
      </c>
      <c r="K1771" t="s">
        <v>38</v>
      </c>
      <c r="L1771">
        <v>1</v>
      </c>
      <c r="M1771">
        <v>198</v>
      </c>
      <c r="N1771">
        <v>29.7</v>
      </c>
      <c r="O1771">
        <v>70</v>
      </c>
      <c r="P1771">
        <v>198</v>
      </c>
      <c r="Q1771">
        <v>238.3</v>
      </c>
      <c r="R1771" t="s">
        <v>98</v>
      </c>
      <c r="S1771" t="s">
        <v>31</v>
      </c>
      <c r="T1771" t="s">
        <v>40</v>
      </c>
      <c r="U1771">
        <v>31</v>
      </c>
      <c r="V1771">
        <v>2.5</v>
      </c>
      <c r="W1771">
        <f>Table2[[#This Row],[Quantity]]*Table2[[#This Row],[Item_Price]]</f>
        <v>198</v>
      </c>
    </row>
    <row r="1772" spans="1:23" x14ac:dyDescent="0.25">
      <c r="A1772" t="s">
        <v>1870</v>
      </c>
      <c r="B1772" s="1">
        <v>45786</v>
      </c>
      <c r="C1772" t="s">
        <v>1749</v>
      </c>
      <c r="D1772">
        <v>5</v>
      </c>
      <c r="E1772">
        <v>9</v>
      </c>
      <c r="F1772" t="s">
        <v>114</v>
      </c>
      <c r="G1772" t="s">
        <v>96</v>
      </c>
      <c r="H1772" t="s">
        <v>135</v>
      </c>
      <c r="I1772" t="s">
        <v>103</v>
      </c>
      <c r="J1772" t="s">
        <v>66</v>
      </c>
      <c r="K1772" t="s">
        <v>38</v>
      </c>
      <c r="L1772">
        <v>1</v>
      </c>
      <c r="M1772">
        <v>415</v>
      </c>
      <c r="N1772">
        <v>41.5</v>
      </c>
      <c r="O1772">
        <v>40</v>
      </c>
      <c r="P1772">
        <v>415</v>
      </c>
      <c r="Q1772">
        <v>413.5</v>
      </c>
      <c r="R1772" t="s">
        <v>98</v>
      </c>
      <c r="S1772" t="s">
        <v>91</v>
      </c>
      <c r="T1772" t="s">
        <v>40</v>
      </c>
      <c r="U1772">
        <v>64</v>
      </c>
      <c r="W1772">
        <f>Table2[[#This Row],[Quantity]]*Table2[[#This Row],[Item_Price]]</f>
        <v>415</v>
      </c>
    </row>
    <row r="1773" spans="1:23" x14ac:dyDescent="0.25">
      <c r="A1773" t="s">
        <v>1871</v>
      </c>
      <c r="B1773" s="1">
        <v>45786</v>
      </c>
      <c r="C1773" t="s">
        <v>1749</v>
      </c>
      <c r="D1773">
        <v>5</v>
      </c>
      <c r="E1773">
        <v>9</v>
      </c>
      <c r="F1773" t="s">
        <v>114</v>
      </c>
      <c r="G1773" t="s">
        <v>64</v>
      </c>
      <c r="H1773" t="s">
        <v>105</v>
      </c>
      <c r="I1773" t="s">
        <v>97</v>
      </c>
      <c r="J1773" t="s">
        <v>44</v>
      </c>
      <c r="K1773" t="s">
        <v>38</v>
      </c>
      <c r="L1773">
        <v>2</v>
      </c>
      <c r="M1773">
        <v>782</v>
      </c>
      <c r="N1773">
        <v>0</v>
      </c>
      <c r="O1773">
        <v>60</v>
      </c>
      <c r="P1773">
        <v>1564</v>
      </c>
      <c r="Q1773">
        <v>1624</v>
      </c>
      <c r="R1773" t="s">
        <v>39</v>
      </c>
      <c r="S1773" t="s">
        <v>31</v>
      </c>
      <c r="T1773" t="s">
        <v>40</v>
      </c>
      <c r="U1773">
        <v>63</v>
      </c>
      <c r="V1773">
        <v>3.4</v>
      </c>
      <c r="W1773">
        <f>Table2[[#This Row],[Quantity]]*Table2[[#This Row],[Item_Price]]</f>
        <v>1564</v>
      </c>
    </row>
    <row r="1774" spans="1:23" x14ac:dyDescent="0.25">
      <c r="A1774" t="s">
        <v>1872</v>
      </c>
      <c r="B1774" s="1">
        <v>45787</v>
      </c>
      <c r="C1774" t="s">
        <v>1749</v>
      </c>
      <c r="D1774">
        <v>5</v>
      </c>
      <c r="E1774">
        <v>10</v>
      </c>
      <c r="F1774" t="s">
        <v>134</v>
      </c>
      <c r="G1774" t="s">
        <v>25</v>
      </c>
      <c r="H1774" t="s">
        <v>77</v>
      </c>
      <c r="I1774" t="s">
        <v>85</v>
      </c>
      <c r="J1774" t="s">
        <v>82</v>
      </c>
      <c r="K1774" t="s">
        <v>29</v>
      </c>
      <c r="L1774">
        <v>1</v>
      </c>
      <c r="M1774">
        <v>504</v>
      </c>
      <c r="N1774">
        <v>25.2</v>
      </c>
      <c r="O1774">
        <v>70</v>
      </c>
      <c r="P1774">
        <v>504</v>
      </c>
      <c r="Q1774">
        <v>548.79999999999995</v>
      </c>
      <c r="R1774" t="s">
        <v>39</v>
      </c>
      <c r="S1774" t="s">
        <v>31</v>
      </c>
      <c r="T1774" t="s">
        <v>40</v>
      </c>
      <c r="U1774">
        <v>20</v>
      </c>
      <c r="V1774">
        <v>4.0999999999999996</v>
      </c>
      <c r="W1774">
        <f>Table2[[#This Row],[Quantity]]*Table2[[#This Row],[Item_Price]]</f>
        <v>504</v>
      </c>
    </row>
    <row r="1775" spans="1:23" x14ac:dyDescent="0.25">
      <c r="A1775" t="s">
        <v>1873</v>
      </c>
      <c r="B1775" s="1">
        <v>45787</v>
      </c>
      <c r="C1775" t="s">
        <v>1749</v>
      </c>
      <c r="D1775">
        <v>5</v>
      </c>
      <c r="E1775">
        <v>10</v>
      </c>
      <c r="F1775" t="s">
        <v>134</v>
      </c>
      <c r="G1775" t="s">
        <v>80</v>
      </c>
      <c r="H1775" t="s">
        <v>60</v>
      </c>
      <c r="I1775" t="s">
        <v>27</v>
      </c>
      <c r="J1775" t="s">
        <v>53</v>
      </c>
      <c r="K1775" t="s">
        <v>58</v>
      </c>
      <c r="L1775">
        <v>1</v>
      </c>
      <c r="M1775">
        <v>701</v>
      </c>
      <c r="N1775">
        <v>175.25</v>
      </c>
      <c r="O1775">
        <v>60</v>
      </c>
      <c r="P1775">
        <v>701</v>
      </c>
      <c r="Q1775">
        <v>585.75</v>
      </c>
      <c r="R1775" t="s">
        <v>39</v>
      </c>
      <c r="S1775" t="s">
        <v>31</v>
      </c>
      <c r="T1775" t="s">
        <v>40</v>
      </c>
      <c r="U1775">
        <v>21</v>
      </c>
      <c r="V1775">
        <v>4</v>
      </c>
      <c r="W1775">
        <f>Table2[[#This Row],[Quantity]]*Table2[[#This Row],[Item_Price]]</f>
        <v>701</v>
      </c>
    </row>
    <row r="1776" spans="1:23" x14ac:dyDescent="0.25">
      <c r="A1776" t="s">
        <v>1874</v>
      </c>
      <c r="B1776" s="1">
        <v>45787</v>
      </c>
      <c r="C1776" t="s">
        <v>1749</v>
      </c>
      <c r="D1776">
        <v>5</v>
      </c>
      <c r="E1776">
        <v>10</v>
      </c>
      <c r="F1776" t="s">
        <v>134</v>
      </c>
      <c r="G1776" t="s">
        <v>80</v>
      </c>
      <c r="H1776" t="s">
        <v>48</v>
      </c>
      <c r="I1776" t="s">
        <v>43</v>
      </c>
      <c r="J1776" t="s">
        <v>37</v>
      </c>
      <c r="K1776" t="s">
        <v>38</v>
      </c>
      <c r="L1776">
        <v>2</v>
      </c>
      <c r="M1776">
        <v>211</v>
      </c>
      <c r="N1776">
        <v>10.55</v>
      </c>
      <c r="O1776">
        <v>70</v>
      </c>
      <c r="P1776">
        <v>422</v>
      </c>
      <c r="Q1776">
        <v>481.45</v>
      </c>
      <c r="R1776" t="s">
        <v>98</v>
      </c>
      <c r="S1776" t="s">
        <v>31</v>
      </c>
      <c r="T1776" t="s">
        <v>40</v>
      </c>
      <c r="U1776">
        <v>63</v>
      </c>
      <c r="V1776">
        <v>5</v>
      </c>
      <c r="W1776">
        <f>Table2[[#This Row],[Quantity]]*Table2[[#This Row],[Item_Price]]</f>
        <v>422</v>
      </c>
    </row>
    <row r="1777" spans="1:23" x14ac:dyDescent="0.25">
      <c r="A1777" t="s">
        <v>1875</v>
      </c>
      <c r="B1777" s="1">
        <v>45787</v>
      </c>
      <c r="C1777" t="s">
        <v>1749</v>
      </c>
      <c r="D1777">
        <v>5</v>
      </c>
      <c r="E1777">
        <v>10</v>
      </c>
      <c r="F1777" t="s">
        <v>134</v>
      </c>
      <c r="G1777" t="s">
        <v>34</v>
      </c>
      <c r="H1777" t="s">
        <v>60</v>
      </c>
      <c r="I1777" t="s">
        <v>49</v>
      </c>
      <c r="J1777" t="s">
        <v>37</v>
      </c>
      <c r="K1777" t="s">
        <v>38</v>
      </c>
      <c r="L1777">
        <v>3</v>
      </c>
      <c r="M1777">
        <v>488</v>
      </c>
      <c r="N1777">
        <v>0</v>
      </c>
      <c r="O1777">
        <v>50</v>
      </c>
      <c r="P1777">
        <v>1464</v>
      </c>
      <c r="Q1777">
        <v>1514</v>
      </c>
      <c r="R1777" t="s">
        <v>75</v>
      </c>
      <c r="S1777" t="s">
        <v>31</v>
      </c>
      <c r="T1777" t="s">
        <v>32</v>
      </c>
      <c r="U1777">
        <v>21</v>
      </c>
      <c r="V1777">
        <v>3.4</v>
      </c>
      <c r="W1777">
        <f>Table2[[#This Row],[Quantity]]*Table2[[#This Row],[Item_Price]]</f>
        <v>1464</v>
      </c>
    </row>
    <row r="1778" spans="1:23" x14ac:dyDescent="0.25">
      <c r="A1778" t="s">
        <v>1876</v>
      </c>
      <c r="B1778" s="1">
        <v>45787</v>
      </c>
      <c r="C1778" t="s">
        <v>1749</v>
      </c>
      <c r="D1778">
        <v>5</v>
      </c>
      <c r="E1778">
        <v>10</v>
      </c>
      <c r="F1778" t="s">
        <v>134</v>
      </c>
      <c r="G1778" t="s">
        <v>55</v>
      </c>
      <c r="H1778" t="s">
        <v>139</v>
      </c>
      <c r="I1778" t="s">
        <v>61</v>
      </c>
      <c r="J1778" t="s">
        <v>78</v>
      </c>
      <c r="K1778" t="s">
        <v>38</v>
      </c>
      <c r="L1778">
        <v>2</v>
      </c>
      <c r="M1778">
        <v>305</v>
      </c>
      <c r="N1778">
        <v>15.25</v>
      </c>
      <c r="O1778">
        <v>50</v>
      </c>
      <c r="P1778">
        <v>610</v>
      </c>
      <c r="Q1778">
        <v>644.75</v>
      </c>
      <c r="R1778" t="s">
        <v>39</v>
      </c>
      <c r="S1778" t="s">
        <v>31</v>
      </c>
      <c r="T1778" t="s">
        <v>32</v>
      </c>
      <c r="U1778">
        <v>67</v>
      </c>
      <c r="V1778">
        <v>4.7</v>
      </c>
      <c r="W1778">
        <f>Table2[[#This Row],[Quantity]]*Table2[[#This Row],[Item_Price]]</f>
        <v>610</v>
      </c>
    </row>
    <row r="1779" spans="1:23" x14ac:dyDescent="0.25">
      <c r="A1779" t="s">
        <v>1877</v>
      </c>
      <c r="B1779" s="1">
        <v>45787</v>
      </c>
      <c r="C1779" t="s">
        <v>1749</v>
      </c>
      <c r="D1779">
        <v>5</v>
      </c>
      <c r="E1779">
        <v>10</v>
      </c>
      <c r="F1779" t="s">
        <v>134</v>
      </c>
      <c r="G1779" t="s">
        <v>84</v>
      </c>
      <c r="H1779" t="s">
        <v>77</v>
      </c>
      <c r="I1779" t="s">
        <v>103</v>
      </c>
      <c r="J1779" t="s">
        <v>119</v>
      </c>
      <c r="K1779" t="s">
        <v>29</v>
      </c>
      <c r="L1779">
        <v>1</v>
      </c>
      <c r="M1779">
        <v>345</v>
      </c>
      <c r="N1779">
        <v>0</v>
      </c>
      <c r="O1779">
        <v>30</v>
      </c>
      <c r="P1779">
        <v>345</v>
      </c>
      <c r="Q1779">
        <v>375</v>
      </c>
      <c r="R1779" t="s">
        <v>30</v>
      </c>
      <c r="S1779" t="s">
        <v>91</v>
      </c>
      <c r="T1779" t="s">
        <v>32</v>
      </c>
      <c r="U1779">
        <v>54</v>
      </c>
      <c r="W1779">
        <f>Table2[[#This Row],[Quantity]]*Table2[[#This Row],[Item_Price]]</f>
        <v>345</v>
      </c>
    </row>
    <row r="1780" spans="1:23" x14ac:dyDescent="0.25">
      <c r="A1780" t="s">
        <v>1878</v>
      </c>
      <c r="B1780" s="1">
        <v>45787</v>
      </c>
      <c r="C1780" t="s">
        <v>1749</v>
      </c>
      <c r="D1780">
        <v>5</v>
      </c>
      <c r="E1780">
        <v>10</v>
      </c>
      <c r="F1780" t="s">
        <v>134</v>
      </c>
      <c r="G1780" t="s">
        <v>34</v>
      </c>
      <c r="H1780" t="s">
        <v>81</v>
      </c>
      <c r="I1780" t="s">
        <v>27</v>
      </c>
      <c r="J1780" t="s">
        <v>123</v>
      </c>
      <c r="K1780" t="s">
        <v>45</v>
      </c>
      <c r="L1780">
        <v>3</v>
      </c>
      <c r="M1780">
        <v>481</v>
      </c>
      <c r="N1780">
        <v>48.1</v>
      </c>
      <c r="O1780">
        <v>20</v>
      </c>
      <c r="P1780">
        <v>1443</v>
      </c>
      <c r="Q1780">
        <v>1414.9</v>
      </c>
      <c r="R1780" t="s">
        <v>39</v>
      </c>
      <c r="S1780" t="s">
        <v>31</v>
      </c>
      <c r="T1780" t="s">
        <v>40</v>
      </c>
      <c r="U1780">
        <v>26</v>
      </c>
      <c r="V1780">
        <v>3.7</v>
      </c>
      <c r="W1780">
        <f>Table2[[#This Row],[Quantity]]*Table2[[#This Row],[Item_Price]]</f>
        <v>1443</v>
      </c>
    </row>
    <row r="1781" spans="1:23" x14ac:dyDescent="0.25">
      <c r="A1781" t="s">
        <v>1879</v>
      </c>
      <c r="B1781" s="1">
        <v>45787</v>
      </c>
      <c r="C1781" t="s">
        <v>1749</v>
      </c>
      <c r="D1781">
        <v>5</v>
      </c>
      <c r="E1781">
        <v>10</v>
      </c>
      <c r="F1781" t="s">
        <v>134</v>
      </c>
      <c r="G1781" t="s">
        <v>55</v>
      </c>
      <c r="H1781" t="s">
        <v>135</v>
      </c>
      <c r="I1781" t="s">
        <v>103</v>
      </c>
      <c r="J1781" t="s">
        <v>119</v>
      </c>
      <c r="K1781" t="s">
        <v>29</v>
      </c>
      <c r="L1781">
        <v>1</v>
      </c>
      <c r="M1781">
        <v>844</v>
      </c>
      <c r="N1781">
        <v>126.6</v>
      </c>
      <c r="O1781">
        <v>20</v>
      </c>
      <c r="P1781">
        <v>844</v>
      </c>
      <c r="Q1781">
        <v>737.4</v>
      </c>
      <c r="R1781" t="s">
        <v>39</v>
      </c>
      <c r="S1781" t="s">
        <v>31</v>
      </c>
      <c r="T1781" t="s">
        <v>40</v>
      </c>
      <c r="U1781">
        <v>27</v>
      </c>
      <c r="V1781">
        <v>5</v>
      </c>
      <c r="W1781">
        <f>Table2[[#This Row],[Quantity]]*Table2[[#This Row],[Item_Price]]</f>
        <v>844</v>
      </c>
    </row>
    <row r="1782" spans="1:23" x14ac:dyDescent="0.25">
      <c r="A1782" t="s">
        <v>1880</v>
      </c>
      <c r="B1782" s="1">
        <v>45787</v>
      </c>
      <c r="C1782" t="s">
        <v>1749</v>
      </c>
      <c r="D1782">
        <v>5</v>
      </c>
      <c r="E1782">
        <v>10</v>
      </c>
      <c r="F1782" t="s">
        <v>134</v>
      </c>
      <c r="G1782" t="s">
        <v>73</v>
      </c>
      <c r="H1782" t="s">
        <v>35</v>
      </c>
      <c r="I1782" t="s">
        <v>61</v>
      </c>
      <c r="J1782" t="s">
        <v>94</v>
      </c>
      <c r="K1782" t="s">
        <v>29</v>
      </c>
      <c r="L1782">
        <v>1</v>
      </c>
      <c r="M1782">
        <v>277</v>
      </c>
      <c r="N1782">
        <v>27.7</v>
      </c>
      <c r="O1782">
        <v>20</v>
      </c>
      <c r="P1782">
        <v>277</v>
      </c>
      <c r="Q1782">
        <v>269.3</v>
      </c>
      <c r="R1782" t="s">
        <v>39</v>
      </c>
      <c r="S1782" t="s">
        <v>31</v>
      </c>
      <c r="T1782" t="s">
        <v>32</v>
      </c>
      <c r="U1782">
        <v>58</v>
      </c>
      <c r="V1782">
        <v>2.9</v>
      </c>
      <c r="W1782">
        <f>Table2[[#This Row],[Quantity]]*Table2[[#This Row],[Item_Price]]</f>
        <v>277</v>
      </c>
    </row>
    <row r="1783" spans="1:23" x14ac:dyDescent="0.25">
      <c r="A1783" t="s">
        <v>1881</v>
      </c>
      <c r="B1783" s="1">
        <v>45787</v>
      </c>
      <c r="C1783" t="s">
        <v>1749</v>
      </c>
      <c r="D1783">
        <v>5</v>
      </c>
      <c r="E1783">
        <v>10</v>
      </c>
      <c r="F1783" t="s">
        <v>134</v>
      </c>
      <c r="G1783" t="s">
        <v>84</v>
      </c>
      <c r="H1783" t="s">
        <v>139</v>
      </c>
      <c r="I1783" t="s">
        <v>103</v>
      </c>
      <c r="J1783" t="s">
        <v>94</v>
      </c>
      <c r="K1783" t="s">
        <v>45</v>
      </c>
      <c r="L1783">
        <v>3</v>
      </c>
      <c r="M1783">
        <v>349</v>
      </c>
      <c r="N1783">
        <v>34.9</v>
      </c>
      <c r="O1783">
        <v>20</v>
      </c>
      <c r="P1783">
        <v>1047</v>
      </c>
      <c r="Q1783">
        <v>1032.0999999999999</v>
      </c>
      <c r="R1783" t="s">
        <v>30</v>
      </c>
      <c r="S1783" t="s">
        <v>31</v>
      </c>
      <c r="T1783" t="s">
        <v>32</v>
      </c>
      <c r="U1783">
        <v>36</v>
      </c>
      <c r="V1783">
        <v>3.9</v>
      </c>
      <c r="W1783">
        <f>Table2[[#This Row],[Quantity]]*Table2[[#This Row],[Item_Price]]</f>
        <v>1047</v>
      </c>
    </row>
    <row r="1784" spans="1:23" x14ac:dyDescent="0.25">
      <c r="A1784" t="s">
        <v>1882</v>
      </c>
      <c r="B1784" s="1">
        <v>45787</v>
      </c>
      <c r="C1784" t="s">
        <v>1749</v>
      </c>
      <c r="D1784">
        <v>5</v>
      </c>
      <c r="E1784">
        <v>10</v>
      </c>
      <c r="F1784" t="s">
        <v>134</v>
      </c>
      <c r="G1784" t="s">
        <v>96</v>
      </c>
      <c r="H1784" t="s">
        <v>139</v>
      </c>
      <c r="I1784" t="s">
        <v>103</v>
      </c>
      <c r="J1784" t="s">
        <v>37</v>
      </c>
      <c r="K1784" t="s">
        <v>38</v>
      </c>
      <c r="L1784">
        <v>2</v>
      </c>
      <c r="M1784">
        <v>883</v>
      </c>
      <c r="N1784">
        <v>88.3</v>
      </c>
      <c r="O1784">
        <v>0</v>
      </c>
      <c r="P1784">
        <v>1766</v>
      </c>
      <c r="Q1784">
        <v>1677.7</v>
      </c>
      <c r="R1784" t="s">
        <v>75</v>
      </c>
      <c r="S1784" t="s">
        <v>31</v>
      </c>
      <c r="T1784" t="s">
        <v>32</v>
      </c>
      <c r="U1784">
        <v>67</v>
      </c>
      <c r="V1784">
        <v>2.2000000000000002</v>
      </c>
      <c r="W1784">
        <f>Table2[[#This Row],[Quantity]]*Table2[[#This Row],[Item_Price]]</f>
        <v>1766</v>
      </c>
    </row>
    <row r="1785" spans="1:23" x14ac:dyDescent="0.25">
      <c r="A1785" t="s">
        <v>1883</v>
      </c>
      <c r="B1785" s="1">
        <v>45787</v>
      </c>
      <c r="C1785" t="s">
        <v>1749</v>
      </c>
      <c r="D1785">
        <v>5</v>
      </c>
      <c r="E1785">
        <v>10</v>
      </c>
      <c r="F1785" t="s">
        <v>134</v>
      </c>
      <c r="G1785" t="s">
        <v>90</v>
      </c>
      <c r="H1785" t="s">
        <v>105</v>
      </c>
      <c r="I1785" t="s">
        <v>97</v>
      </c>
      <c r="J1785" t="s">
        <v>74</v>
      </c>
      <c r="K1785" t="s">
        <v>45</v>
      </c>
      <c r="L1785">
        <v>1</v>
      </c>
      <c r="M1785">
        <v>711</v>
      </c>
      <c r="N1785">
        <v>106.65</v>
      </c>
      <c r="O1785">
        <v>50</v>
      </c>
      <c r="P1785">
        <v>711</v>
      </c>
      <c r="Q1785">
        <v>654.35</v>
      </c>
      <c r="R1785" t="s">
        <v>98</v>
      </c>
      <c r="S1785" t="s">
        <v>31</v>
      </c>
      <c r="T1785" t="s">
        <v>40</v>
      </c>
      <c r="U1785">
        <v>63</v>
      </c>
      <c r="V1785">
        <v>3.2</v>
      </c>
      <c r="W1785">
        <f>Table2[[#This Row],[Quantity]]*Table2[[#This Row],[Item_Price]]</f>
        <v>711</v>
      </c>
    </row>
    <row r="1786" spans="1:23" x14ac:dyDescent="0.25">
      <c r="A1786" t="s">
        <v>1884</v>
      </c>
      <c r="B1786" s="1">
        <v>45787</v>
      </c>
      <c r="C1786" t="s">
        <v>1749</v>
      </c>
      <c r="D1786">
        <v>5</v>
      </c>
      <c r="E1786">
        <v>10</v>
      </c>
      <c r="F1786" t="s">
        <v>134</v>
      </c>
      <c r="G1786" t="s">
        <v>90</v>
      </c>
      <c r="H1786" t="s">
        <v>108</v>
      </c>
      <c r="I1786" t="s">
        <v>69</v>
      </c>
      <c r="J1786" t="s">
        <v>44</v>
      </c>
      <c r="K1786" t="s">
        <v>45</v>
      </c>
      <c r="L1786">
        <v>2</v>
      </c>
      <c r="M1786">
        <v>371</v>
      </c>
      <c r="N1786">
        <v>18.55</v>
      </c>
      <c r="O1786">
        <v>0</v>
      </c>
      <c r="P1786">
        <v>742</v>
      </c>
      <c r="Q1786">
        <v>723.45</v>
      </c>
      <c r="R1786" t="s">
        <v>75</v>
      </c>
      <c r="S1786" t="s">
        <v>31</v>
      </c>
      <c r="T1786" t="s">
        <v>32</v>
      </c>
      <c r="U1786">
        <v>62</v>
      </c>
      <c r="V1786">
        <v>3.8</v>
      </c>
      <c r="W1786">
        <f>Table2[[#This Row],[Quantity]]*Table2[[#This Row],[Item_Price]]</f>
        <v>742</v>
      </c>
    </row>
    <row r="1787" spans="1:23" x14ac:dyDescent="0.25">
      <c r="A1787" t="s">
        <v>1885</v>
      </c>
      <c r="B1787" s="1">
        <v>45787</v>
      </c>
      <c r="C1787" t="s">
        <v>1749</v>
      </c>
      <c r="D1787">
        <v>5</v>
      </c>
      <c r="E1787">
        <v>10</v>
      </c>
      <c r="F1787" t="s">
        <v>134</v>
      </c>
      <c r="G1787" t="s">
        <v>80</v>
      </c>
      <c r="H1787" t="s">
        <v>108</v>
      </c>
      <c r="I1787" t="s">
        <v>61</v>
      </c>
      <c r="J1787" t="s">
        <v>28</v>
      </c>
      <c r="K1787" t="s">
        <v>38</v>
      </c>
      <c r="L1787">
        <v>1</v>
      </c>
      <c r="M1787">
        <v>572</v>
      </c>
      <c r="N1787">
        <v>57.2</v>
      </c>
      <c r="O1787">
        <v>20</v>
      </c>
      <c r="P1787">
        <v>572</v>
      </c>
      <c r="Q1787">
        <v>534.79999999999995</v>
      </c>
      <c r="R1787" t="s">
        <v>30</v>
      </c>
      <c r="S1787" t="s">
        <v>31</v>
      </c>
      <c r="T1787" t="s">
        <v>32</v>
      </c>
      <c r="U1787">
        <v>29</v>
      </c>
      <c r="V1787">
        <v>3.7</v>
      </c>
      <c r="W1787">
        <f>Table2[[#This Row],[Quantity]]*Table2[[#This Row],[Item_Price]]</f>
        <v>572</v>
      </c>
    </row>
    <row r="1788" spans="1:23" x14ac:dyDescent="0.25">
      <c r="A1788" t="s">
        <v>1886</v>
      </c>
      <c r="B1788" s="1">
        <v>45788</v>
      </c>
      <c r="C1788" t="s">
        <v>1749</v>
      </c>
      <c r="D1788">
        <v>5</v>
      </c>
      <c r="E1788">
        <v>11</v>
      </c>
      <c r="F1788" t="s">
        <v>149</v>
      </c>
      <c r="G1788" t="s">
        <v>34</v>
      </c>
      <c r="H1788" t="s">
        <v>81</v>
      </c>
      <c r="I1788" t="s">
        <v>85</v>
      </c>
      <c r="J1788" t="s">
        <v>82</v>
      </c>
      <c r="K1788" t="s">
        <v>38</v>
      </c>
      <c r="L1788">
        <v>1</v>
      </c>
      <c r="M1788">
        <v>430</v>
      </c>
      <c r="N1788">
        <v>107.5</v>
      </c>
      <c r="O1788">
        <v>50</v>
      </c>
      <c r="P1788">
        <v>430</v>
      </c>
      <c r="Q1788">
        <v>372.5</v>
      </c>
      <c r="R1788" t="s">
        <v>30</v>
      </c>
      <c r="S1788" t="s">
        <v>31</v>
      </c>
      <c r="T1788" t="s">
        <v>32</v>
      </c>
      <c r="U1788">
        <v>30</v>
      </c>
      <c r="V1788">
        <v>4.0999999999999996</v>
      </c>
      <c r="W1788">
        <f>Table2[[#This Row],[Quantity]]*Table2[[#This Row],[Item_Price]]</f>
        <v>430</v>
      </c>
    </row>
    <row r="1789" spans="1:23" x14ac:dyDescent="0.25">
      <c r="A1789" t="s">
        <v>1887</v>
      </c>
      <c r="B1789" s="1">
        <v>45788</v>
      </c>
      <c r="C1789" t="s">
        <v>1749</v>
      </c>
      <c r="D1789">
        <v>5</v>
      </c>
      <c r="E1789">
        <v>11</v>
      </c>
      <c r="F1789" t="s">
        <v>149</v>
      </c>
      <c r="G1789" t="s">
        <v>80</v>
      </c>
      <c r="H1789" t="s">
        <v>42</v>
      </c>
      <c r="I1789" t="s">
        <v>36</v>
      </c>
      <c r="J1789" t="s">
        <v>62</v>
      </c>
      <c r="K1789" t="s">
        <v>38</v>
      </c>
      <c r="L1789">
        <v>2</v>
      </c>
      <c r="M1789">
        <v>230</v>
      </c>
      <c r="N1789">
        <v>46</v>
      </c>
      <c r="O1789">
        <v>50</v>
      </c>
      <c r="P1789">
        <v>460</v>
      </c>
      <c r="Q1789">
        <v>464</v>
      </c>
      <c r="R1789" t="s">
        <v>30</v>
      </c>
      <c r="S1789" t="s">
        <v>31</v>
      </c>
      <c r="T1789" t="s">
        <v>32</v>
      </c>
      <c r="U1789">
        <v>64</v>
      </c>
      <c r="V1789">
        <v>4.2</v>
      </c>
      <c r="W1789">
        <f>Table2[[#This Row],[Quantity]]*Table2[[#This Row],[Item_Price]]</f>
        <v>460</v>
      </c>
    </row>
    <row r="1790" spans="1:23" x14ac:dyDescent="0.25">
      <c r="A1790" t="s">
        <v>1888</v>
      </c>
      <c r="B1790" s="1">
        <v>45788</v>
      </c>
      <c r="C1790" t="s">
        <v>1749</v>
      </c>
      <c r="D1790">
        <v>5</v>
      </c>
      <c r="E1790">
        <v>11</v>
      </c>
      <c r="F1790" t="s">
        <v>149</v>
      </c>
      <c r="G1790" t="s">
        <v>84</v>
      </c>
      <c r="H1790" t="s">
        <v>42</v>
      </c>
      <c r="I1790" t="s">
        <v>85</v>
      </c>
      <c r="J1790" t="s">
        <v>28</v>
      </c>
      <c r="K1790" t="s">
        <v>45</v>
      </c>
      <c r="L1790">
        <v>1</v>
      </c>
      <c r="M1790">
        <v>594</v>
      </c>
      <c r="N1790">
        <v>0</v>
      </c>
      <c r="O1790">
        <v>50</v>
      </c>
      <c r="P1790">
        <v>594</v>
      </c>
      <c r="Q1790">
        <v>644</v>
      </c>
      <c r="R1790" t="s">
        <v>75</v>
      </c>
      <c r="S1790" t="s">
        <v>46</v>
      </c>
      <c r="T1790" t="s">
        <v>32</v>
      </c>
      <c r="U1790">
        <v>68</v>
      </c>
      <c r="W1790">
        <f>Table2[[#This Row],[Quantity]]*Table2[[#This Row],[Item_Price]]</f>
        <v>594</v>
      </c>
    </row>
    <row r="1791" spans="1:23" x14ac:dyDescent="0.25">
      <c r="A1791" t="s">
        <v>1889</v>
      </c>
      <c r="B1791" s="1">
        <v>45788</v>
      </c>
      <c r="C1791" t="s">
        <v>1749</v>
      </c>
      <c r="D1791">
        <v>5</v>
      </c>
      <c r="E1791">
        <v>11</v>
      </c>
      <c r="F1791" t="s">
        <v>149</v>
      </c>
      <c r="G1791" t="s">
        <v>73</v>
      </c>
      <c r="H1791" t="s">
        <v>52</v>
      </c>
      <c r="I1791" t="s">
        <v>97</v>
      </c>
      <c r="J1791" t="s">
        <v>53</v>
      </c>
      <c r="K1791" t="s">
        <v>38</v>
      </c>
      <c r="L1791">
        <v>1</v>
      </c>
      <c r="M1791">
        <v>504</v>
      </c>
      <c r="N1791">
        <v>25.2</v>
      </c>
      <c r="O1791">
        <v>40</v>
      </c>
      <c r="P1791">
        <v>504</v>
      </c>
      <c r="Q1791">
        <v>518.79999999999995</v>
      </c>
      <c r="R1791" t="s">
        <v>30</v>
      </c>
      <c r="S1791" t="s">
        <v>31</v>
      </c>
      <c r="T1791" t="s">
        <v>40</v>
      </c>
      <c r="U1791">
        <v>21</v>
      </c>
      <c r="V1791">
        <v>3.4</v>
      </c>
      <c r="W1791">
        <f>Table2[[#This Row],[Quantity]]*Table2[[#This Row],[Item_Price]]</f>
        <v>504</v>
      </c>
    </row>
    <row r="1792" spans="1:23" x14ac:dyDescent="0.25">
      <c r="A1792" t="s">
        <v>1890</v>
      </c>
      <c r="B1792" s="1">
        <v>45788</v>
      </c>
      <c r="C1792" t="s">
        <v>1749</v>
      </c>
      <c r="D1792">
        <v>5</v>
      </c>
      <c r="E1792">
        <v>11</v>
      </c>
      <c r="F1792" t="s">
        <v>149</v>
      </c>
      <c r="G1792" t="s">
        <v>25</v>
      </c>
      <c r="H1792" t="s">
        <v>52</v>
      </c>
      <c r="I1792" t="s">
        <v>43</v>
      </c>
      <c r="J1792" t="s">
        <v>44</v>
      </c>
      <c r="K1792" t="s">
        <v>38</v>
      </c>
      <c r="L1792">
        <v>3</v>
      </c>
      <c r="M1792">
        <v>775</v>
      </c>
      <c r="N1792">
        <v>77.5</v>
      </c>
      <c r="O1792">
        <v>50</v>
      </c>
      <c r="P1792">
        <v>2325</v>
      </c>
      <c r="Q1792">
        <v>2297.5</v>
      </c>
      <c r="R1792" t="s">
        <v>39</v>
      </c>
      <c r="S1792" t="s">
        <v>31</v>
      </c>
      <c r="T1792" t="s">
        <v>40</v>
      </c>
      <c r="U1792">
        <v>53</v>
      </c>
      <c r="V1792">
        <v>3.5</v>
      </c>
      <c r="W1792">
        <f>Table2[[#This Row],[Quantity]]*Table2[[#This Row],[Item_Price]]</f>
        <v>2325</v>
      </c>
    </row>
    <row r="1793" spans="1:23" x14ac:dyDescent="0.25">
      <c r="A1793" t="s">
        <v>1891</v>
      </c>
      <c r="B1793" s="1">
        <v>45788</v>
      </c>
      <c r="C1793" t="s">
        <v>1749</v>
      </c>
      <c r="D1793">
        <v>5</v>
      </c>
      <c r="E1793">
        <v>11</v>
      </c>
      <c r="F1793" t="s">
        <v>149</v>
      </c>
      <c r="G1793" t="s">
        <v>73</v>
      </c>
      <c r="H1793" t="s">
        <v>65</v>
      </c>
      <c r="I1793" t="s">
        <v>36</v>
      </c>
      <c r="J1793" t="s">
        <v>28</v>
      </c>
      <c r="K1793" t="s">
        <v>38</v>
      </c>
      <c r="L1793">
        <v>2</v>
      </c>
      <c r="M1793">
        <v>262</v>
      </c>
      <c r="N1793">
        <v>26.2</v>
      </c>
      <c r="O1793">
        <v>40</v>
      </c>
      <c r="P1793">
        <v>524</v>
      </c>
      <c r="Q1793">
        <v>537.79999999999995</v>
      </c>
      <c r="R1793" t="s">
        <v>39</v>
      </c>
      <c r="S1793" t="s">
        <v>31</v>
      </c>
      <c r="T1793" t="s">
        <v>40</v>
      </c>
      <c r="U1793">
        <v>35</v>
      </c>
      <c r="V1793">
        <v>3.2</v>
      </c>
      <c r="W1793">
        <f>Table2[[#This Row],[Quantity]]*Table2[[#This Row],[Item_Price]]</f>
        <v>524</v>
      </c>
    </row>
    <row r="1794" spans="1:23" x14ac:dyDescent="0.25">
      <c r="A1794" t="s">
        <v>1892</v>
      </c>
      <c r="B1794" s="1">
        <v>45788</v>
      </c>
      <c r="C1794" t="s">
        <v>1749</v>
      </c>
      <c r="D1794">
        <v>5</v>
      </c>
      <c r="E1794">
        <v>11</v>
      </c>
      <c r="F1794" t="s">
        <v>149</v>
      </c>
      <c r="G1794" t="s">
        <v>34</v>
      </c>
      <c r="H1794" t="s">
        <v>42</v>
      </c>
      <c r="I1794" t="s">
        <v>57</v>
      </c>
      <c r="J1794" t="s">
        <v>119</v>
      </c>
      <c r="K1794" t="s">
        <v>38</v>
      </c>
      <c r="L1794">
        <v>2</v>
      </c>
      <c r="M1794">
        <v>763</v>
      </c>
      <c r="N1794">
        <v>190.75</v>
      </c>
      <c r="O1794">
        <v>60</v>
      </c>
      <c r="P1794">
        <v>1526</v>
      </c>
      <c r="Q1794">
        <v>1395.25</v>
      </c>
      <c r="R1794" t="s">
        <v>75</v>
      </c>
      <c r="S1794" t="s">
        <v>31</v>
      </c>
      <c r="T1794" t="s">
        <v>40</v>
      </c>
      <c r="U1794">
        <v>47</v>
      </c>
      <c r="V1794">
        <v>3.3</v>
      </c>
      <c r="W1794">
        <f>Table2[[#This Row],[Quantity]]*Table2[[#This Row],[Item_Price]]</f>
        <v>1526</v>
      </c>
    </row>
    <row r="1795" spans="1:23" x14ac:dyDescent="0.25">
      <c r="A1795" t="s">
        <v>1893</v>
      </c>
      <c r="B1795" s="1">
        <v>45788</v>
      </c>
      <c r="C1795" t="s">
        <v>1749</v>
      </c>
      <c r="D1795">
        <v>5</v>
      </c>
      <c r="E1795">
        <v>11</v>
      </c>
      <c r="F1795" t="s">
        <v>149</v>
      </c>
      <c r="G1795" t="s">
        <v>73</v>
      </c>
      <c r="H1795" t="s">
        <v>77</v>
      </c>
      <c r="I1795" t="s">
        <v>27</v>
      </c>
      <c r="J1795" t="s">
        <v>62</v>
      </c>
      <c r="K1795" t="s">
        <v>38</v>
      </c>
      <c r="L1795">
        <v>1</v>
      </c>
      <c r="M1795">
        <v>743</v>
      </c>
      <c r="N1795">
        <v>74.3</v>
      </c>
      <c r="O1795">
        <v>30</v>
      </c>
      <c r="P1795">
        <v>743</v>
      </c>
      <c r="Q1795">
        <v>698.7</v>
      </c>
      <c r="R1795" t="s">
        <v>39</v>
      </c>
      <c r="S1795" t="s">
        <v>31</v>
      </c>
      <c r="T1795" t="s">
        <v>40</v>
      </c>
      <c r="U1795">
        <v>57</v>
      </c>
      <c r="V1795">
        <v>4.5</v>
      </c>
      <c r="W1795">
        <f>Table2[[#This Row],[Quantity]]*Table2[[#This Row],[Item_Price]]</f>
        <v>743</v>
      </c>
    </row>
    <row r="1796" spans="1:23" x14ac:dyDescent="0.25">
      <c r="A1796" t="s">
        <v>1894</v>
      </c>
      <c r="B1796" s="1">
        <v>45788</v>
      </c>
      <c r="C1796" t="s">
        <v>1749</v>
      </c>
      <c r="D1796">
        <v>5</v>
      </c>
      <c r="E1796">
        <v>11</v>
      </c>
      <c r="F1796" t="s">
        <v>149</v>
      </c>
      <c r="G1796" t="s">
        <v>25</v>
      </c>
      <c r="H1796" t="s">
        <v>81</v>
      </c>
      <c r="I1796" t="s">
        <v>85</v>
      </c>
      <c r="J1796" t="s">
        <v>70</v>
      </c>
      <c r="K1796" t="s">
        <v>38</v>
      </c>
      <c r="L1796">
        <v>2</v>
      </c>
      <c r="M1796">
        <v>887</v>
      </c>
      <c r="N1796">
        <v>44.35</v>
      </c>
      <c r="O1796">
        <v>70</v>
      </c>
      <c r="P1796">
        <v>1774</v>
      </c>
      <c r="Q1796">
        <v>1799.65</v>
      </c>
      <c r="R1796" t="s">
        <v>98</v>
      </c>
      <c r="S1796" t="s">
        <v>31</v>
      </c>
      <c r="T1796" t="s">
        <v>40</v>
      </c>
      <c r="U1796">
        <v>62</v>
      </c>
      <c r="V1796">
        <v>4.2</v>
      </c>
      <c r="W1796">
        <f>Table2[[#This Row],[Quantity]]*Table2[[#This Row],[Item_Price]]</f>
        <v>1774</v>
      </c>
    </row>
    <row r="1797" spans="1:23" x14ac:dyDescent="0.25">
      <c r="A1797" t="s">
        <v>1895</v>
      </c>
      <c r="B1797" s="1">
        <v>45788</v>
      </c>
      <c r="C1797" t="s">
        <v>1749</v>
      </c>
      <c r="D1797">
        <v>5</v>
      </c>
      <c r="E1797">
        <v>11</v>
      </c>
      <c r="F1797" t="s">
        <v>149</v>
      </c>
      <c r="G1797" t="s">
        <v>80</v>
      </c>
      <c r="H1797" t="s">
        <v>135</v>
      </c>
      <c r="I1797" t="s">
        <v>43</v>
      </c>
      <c r="J1797" t="s">
        <v>94</v>
      </c>
      <c r="K1797" t="s">
        <v>38</v>
      </c>
      <c r="L1797">
        <v>2</v>
      </c>
      <c r="M1797">
        <v>336</v>
      </c>
      <c r="N1797">
        <v>33.6</v>
      </c>
      <c r="O1797">
        <v>20</v>
      </c>
      <c r="P1797">
        <v>672</v>
      </c>
      <c r="Q1797">
        <v>658.4</v>
      </c>
      <c r="R1797" t="s">
        <v>30</v>
      </c>
      <c r="S1797" t="s">
        <v>31</v>
      </c>
      <c r="T1797" t="s">
        <v>40</v>
      </c>
      <c r="U1797">
        <v>34</v>
      </c>
      <c r="V1797">
        <v>5</v>
      </c>
      <c r="W1797">
        <f>Table2[[#This Row],[Quantity]]*Table2[[#This Row],[Item_Price]]</f>
        <v>672</v>
      </c>
    </row>
    <row r="1798" spans="1:23" x14ac:dyDescent="0.25">
      <c r="A1798" t="s">
        <v>1896</v>
      </c>
      <c r="B1798" s="1">
        <v>45788</v>
      </c>
      <c r="C1798" t="s">
        <v>1749</v>
      </c>
      <c r="D1798">
        <v>5</v>
      </c>
      <c r="E1798">
        <v>11</v>
      </c>
      <c r="F1798" t="s">
        <v>149</v>
      </c>
      <c r="G1798" t="s">
        <v>34</v>
      </c>
      <c r="H1798" t="s">
        <v>135</v>
      </c>
      <c r="I1798" t="s">
        <v>49</v>
      </c>
      <c r="J1798" t="s">
        <v>50</v>
      </c>
      <c r="K1798" t="s">
        <v>45</v>
      </c>
      <c r="L1798">
        <v>2</v>
      </c>
      <c r="M1798">
        <v>488</v>
      </c>
      <c r="N1798">
        <v>73.2</v>
      </c>
      <c r="O1798">
        <v>30</v>
      </c>
      <c r="P1798">
        <v>976</v>
      </c>
      <c r="Q1798">
        <v>932.8</v>
      </c>
      <c r="R1798" t="s">
        <v>39</v>
      </c>
      <c r="S1798" t="s">
        <v>31</v>
      </c>
      <c r="T1798" t="s">
        <v>40</v>
      </c>
      <c r="U1798">
        <v>38</v>
      </c>
      <c r="V1798">
        <v>3.6</v>
      </c>
      <c r="W1798">
        <f>Table2[[#This Row],[Quantity]]*Table2[[#This Row],[Item_Price]]</f>
        <v>976</v>
      </c>
    </row>
    <row r="1799" spans="1:23" x14ac:dyDescent="0.25">
      <c r="A1799" t="s">
        <v>1897</v>
      </c>
      <c r="B1799" s="1">
        <v>45788</v>
      </c>
      <c r="C1799" t="s">
        <v>1749</v>
      </c>
      <c r="D1799">
        <v>5</v>
      </c>
      <c r="E1799">
        <v>11</v>
      </c>
      <c r="F1799" t="s">
        <v>149</v>
      </c>
      <c r="G1799" t="s">
        <v>55</v>
      </c>
      <c r="H1799" t="s">
        <v>26</v>
      </c>
      <c r="I1799" t="s">
        <v>61</v>
      </c>
      <c r="J1799" t="s">
        <v>94</v>
      </c>
      <c r="K1799" t="s">
        <v>38</v>
      </c>
      <c r="L1799">
        <v>1</v>
      </c>
      <c r="M1799">
        <v>315</v>
      </c>
      <c r="N1799">
        <v>63</v>
      </c>
      <c r="O1799">
        <v>0</v>
      </c>
      <c r="P1799">
        <v>315</v>
      </c>
      <c r="Q1799">
        <v>252</v>
      </c>
      <c r="R1799" t="s">
        <v>30</v>
      </c>
      <c r="S1799" t="s">
        <v>31</v>
      </c>
      <c r="T1799" t="s">
        <v>40</v>
      </c>
      <c r="U1799">
        <v>67</v>
      </c>
      <c r="V1799">
        <v>3.6</v>
      </c>
      <c r="W1799">
        <f>Table2[[#This Row],[Quantity]]*Table2[[#This Row],[Item_Price]]</f>
        <v>315</v>
      </c>
    </row>
    <row r="1800" spans="1:23" x14ac:dyDescent="0.25">
      <c r="A1800" t="s">
        <v>1898</v>
      </c>
      <c r="B1800" s="1">
        <v>45788</v>
      </c>
      <c r="C1800" t="s">
        <v>1749</v>
      </c>
      <c r="D1800">
        <v>5</v>
      </c>
      <c r="E1800">
        <v>11</v>
      </c>
      <c r="F1800" t="s">
        <v>149</v>
      </c>
      <c r="G1800" t="s">
        <v>34</v>
      </c>
      <c r="H1800" t="s">
        <v>48</v>
      </c>
      <c r="I1800" t="s">
        <v>61</v>
      </c>
      <c r="J1800" t="s">
        <v>70</v>
      </c>
      <c r="K1800" t="s">
        <v>45</v>
      </c>
      <c r="L1800">
        <v>1</v>
      </c>
      <c r="M1800">
        <v>131</v>
      </c>
      <c r="N1800">
        <v>6.55</v>
      </c>
      <c r="O1800">
        <v>60</v>
      </c>
      <c r="P1800">
        <v>131</v>
      </c>
      <c r="Q1800">
        <v>184.45</v>
      </c>
      <c r="R1800" t="s">
        <v>30</v>
      </c>
      <c r="S1800" t="s">
        <v>31</v>
      </c>
      <c r="T1800" t="s">
        <v>32</v>
      </c>
      <c r="U1800">
        <v>46</v>
      </c>
      <c r="V1800">
        <v>2.6</v>
      </c>
      <c r="W1800">
        <f>Table2[[#This Row],[Quantity]]*Table2[[#This Row],[Item_Price]]</f>
        <v>131</v>
      </c>
    </row>
    <row r="1801" spans="1:23" x14ac:dyDescent="0.25">
      <c r="A1801" t="s">
        <v>1899</v>
      </c>
      <c r="B1801" s="1">
        <v>45789</v>
      </c>
      <c r="C1801" t="s">
        <v>1749</v>
      </c>
      <c r="D1801">
        <v>5</v>
      </c>
      <c r="E1801">
        <v>12</v>
      </c>
      <c r="F1801" t="s">
        <v>168</v>
      </c>
      <c r="G1801" t="s">
        <v>34</v>
      </c>
      <c r="H1801" t="s">
        <v>105</v>
      </c>
      <c r="I1801" t="s">
        <v>69</v>
      </c>
      <c r="J1801" t="s">
        <v>172</v>
      </c>
      <c r="K1801" t="s">
        <v>38</v>
      </c>
      <c r="L1801">
        <v>1</v>
      </c>
      <c r="M1801">
        <v>305</v>
      </c>
      <c r="N1801">
        <v>30.5</v>
      </c>
      <c r="O1801">
        <v>0</v>
      </c>
      <c r="P1801">
        <v>305</v>
      </c>
      <c r="Q1801">
        <v>274.5</v>
      </c>
      <c r="R1801" t="s">
        <v>30</v>
      </c>
      <c r="S1801" t="s">
        <v>110</v>
      </c>
      <c r="T1801" t="s">
        <v>40</v>
      </c>
      <c r="U1801">
        <v>66</v>
      </c>
      <c r="W1801">
        <f>Table2[[#This Row],[Quantity]]*Table2[[#This Row],[Item_Price]]</f>
        <v>305</v>
      </c>
    </row>
    <row r="1802" spans="1:23" x14ac:dyDescent="0.25">
      <c r="A1802" t="s">
        <v>1900</v>
      </c>
      <c r="B1802" s="1">
        <v>45789</v>
      </c>
      <c r="C1802" t="s">
        <v>1749</v>
      </c>
      <c r="D1802">
        <v>5</v>
      </c>
      <c r="E1802">
        <v>12</v>
      </c>
      <c r="F1802" t="s">
        <v>168</v>
      </c>
      <c r="G1802" t="s">
        <v>115</v>
      </c>
      <c r="H1802" t="s">
        <v>135</v>
      </c>
      <c r="I1802" t="s">
        <v>43</v>
      </c>
      <c r="J1802" t="s">
        <v>37</v>
      </c>
      <c r="K1802" t="s">
        <v>45</v>
      </c>
      <c r="L1802">
        <v>1</v>
      </c>
      <c r="M1802">
        <v>163</v>
      </c>
      <c r="N1802">
        <v>16.3</v>
      </c>
      <c r="O1802">
        <v>30</v>
      </c>
      <c r="P1802">
        <v>163</v>
      </c>
      <c r="Q1802">
        <v>176.7</v>
      </c>
      <c r="R1802" t="s">
        <v>112</v>
      </c>
      <c r="S1802" t="s">
        <v>31</v>
      </c>
      <c r="T1802" t="s">
        <v>32</v>
      </c>
      <c r="U1802">
        <v>18</v>
      </c>
      <c r="V1802">
        <v>3.8</v>
      </c>
      <c r="W1802">
        <f>Table2[[#This Row],[Quantity]]*Table2[[#This Row],[Item_Price]]</f>
        <v>163</v>
      </c>
    </row>
    <row r="1803" spans="1:23" x14ac:dyDescent="0.25">
      <c r="A1803" t="s">
        <v>1901</v>
      </c>
      <c r="B1803" s="1">
        <v>45789</v>
      </c>
      <c r="C1803" t="s">
        <v>1749</v>
      </c>
      <c r="D1803">
        <v>5</v>
      </c>
      <c r="E1803">
        <v>12</v>
      </c>
      <c r="F1803" t="s">
        <v>168</v>
      </c>
      <c r="G1803" t="s">
        <v>80</v>
      </c>
      <c r="H1803" t="s">
        <v>48</v>
      </c>
      <c r="I1803" t="s">
        <v>27</v>
      </c>
      <c r="J1803" t="s">
        <v>119</v>
      </c>
      <c r="K1803" t="s">
        <v>45</v>
      </c>
      <c r="L1803">
        <v>2</v>
      </c>
      <c r="M1803">
        <v>674</v>
      </c>
      <c r="N1803">
        <v>67.400000000000006</v>
      </c>
      <c r="O1803">
        <v>40</v>
      </c>
      <c r="P1803">
        <v>1348</v>
      </c>
      <c r="Q1803">
        <v>1320.6</v>
      </c>
      <c r="R1803" t="s">
        <v>30</v>
      </c>
      <c r="S1803" t="s">
        <v>31</v>
      </c>
      <c r="T1803" t="s">
        <v>32</v>
      </c>
      <c r="U1803">
        <v>58</v>
      </c>
      <c r="V1803">
        <v>4.5999999999999996</v>
      </c>
      <c r="W1803">
        <f>Table2[[#This Row],[Quantity]]*Table2[[#This Row],[Item_Price]]</f>
        <v>1348</v>
      </c>
    </row>
    <row r="1804" spans="1:23" x14ac:dyDescent="0.25">
      <c r="A1804" t="s">
        <v>1902</v>
      </c>
      <c r="B1804" s="1">
        <v>45789</v>
      </c>
      <c r="C1804" t="s">
        <v>1749</v>
      </c>
      <c r="D1804">
        <v>5</v>
      </c>
      <c r="E1804">
        <v>12</v>
      </c>
      <c r="F1804" t="s">
        <v>168</v>
      </c>
      <c r="G1804" t="s">
        <v>73</v>
      </c>
      <c r="H1804" t="s">
        <v>81</v>
      </c>
      <c r="I1804" t="s">
        <v>61</v>
      </c>
      <c r="J1804" t="s">
        <v>101</v>
      </c>
      <c r="K1804" t="s">
        <v>38</v>
      </c>
      <c r="L1804">
        <v>1</v>
      </c>
      <c r="M1804">
        <v>449</v>
      </c>
      <c r="N1804">
        <v>22.45</v>
      </c>
      <c r="O1804">
        <v>0</v>
      </c>
      <c r="P1804">
        <v>449</v>
      </c>
      <c r="Q1804">
        <v>426.55</v>
      </c>
      <c r="R1804" t="s">
        <v>39</v>
      </c>
      <c r="S1804" t="s">
        <v>31</v>
      </c>
      <c r="T1804" t="s">
        <v>32</v>
      </c>
      <c r="U1804">
        <v>22</v>
      </c>
      <c r="V1804">
        <v>4.4000000000000004</v>
      </c>
      <c r="W1804">
        <f>Table2[[#This Row],[Quantity]]*Table2[[#This Row],[Item_Price]]</f>
        <v>449</v>
      </c>
    </row>
    <row r="1805" spans="1:23" x14ac:dyDescent="0.25">
      <c r="A1805" t="s">
        <v>1903</v>
      </c>
      <c r="B1805" s="1">
        <v>45789</v>
      </c>
      <c r="C1805" t="s">
        <v>1749</v>
      </c>
      <c r="D1805">
        <v>5</v>
      </c>
      <c r="E1805">
        <v>12</v>
      </c>
      <c r="F1805" t="s">
        <v>168</v>
      </c>
      <c r="G1805" t="s">
        <v>90</v>
      </c>
      <c r="H1805" t="s">
        <v>26</v>
      </c>
      <c r="I1805" t="s">
        <v>49</v>
      </c>
      <c r="J1805" t="s">
        <v>101</v>
      </c>
      <c r="K1805" t="s">
        <v>58</v>
      </c>
      <c r="L1805">
        <v>2</v>
      </c>
      <c r="M1805">
        <v>290</v>
      </c>
      <c r="N1805">
        <v>29</v>
      </c>
      <c r="O1805">
        <v>20</v>
      </c>
      <c r="P1805">
        <v>580</v>
      </c>
      <c r="Q1805">
        <v>571</v>
      </c>
      <c r="R1805" t="s">
        <v>39</v>
      </c>
      <c r="S1805" t="s">
        <v>31</v>
      </c>
      <c r="T1805" t="s">
        <v>32</v>
      </c>
      <c r="U1805">
        <v>31</v>
      </c>
      <c r="V1805">
        <v>4.5999999999999996</v>
      </c>
      <c r="W1805">
        <f>Table2[[#This Row],[Quantity]]*Table2[[#This Row],[Item_Price]]</f>
        <v>580</v>
      </c>
    </row>
    <row r="1806" spans="1:23" x14ac:dyDescent="0.25">
      <c r="A1806" t="s">
        <v>1904</v>
      </c>
      <c r="B1806" s="1">
        <v>45789</v>
      </c>
      <c r="C1806" t="s">
        <v>1749</v>
      </c>
      <c r="D1806">
        <v>5</v>
      </c>
      <c r="E1806">
        <v>12</v>
      </c>
      <c r="F1806" t="s">
        <v>168</v>
      </c>
      <c r="G1806" t="s">
        <v>84</v>
      </c>
      <c r="H1806" t="s">
        <v>52</v>
      </c>
      <c r="I1806" t="s">
        <v>61</v>
      </c>
      <c r="J1806" t="s">
        <v>172</v>
      </c>
      <c r="K1806" t="s">
        <v>38</v>
      </c>
      <c r="L1806">
        <v>3</v>
      </c>
      <c r="M1806">
        <v>524</v>
      </c>
      <c r="N1806">
        <v>52.4</v>
      </c>
      <c r="O1806">
        <v>60</v>
      </c>
      <c r="P1806">
        <v>1572</v>
      </c>
      <c r="Q1806">
        <v>1579.6</v>
      </c>
      <c r="R1806" t="s">
        <v>39</v>
      </c>
      <c r="S1806" t="s">
        <v>31</v>
      </c>
      <c r="T1806" t="s">
        <v>40</v>
      </c>
      <c r="U1806">
        <v>59</v>
      </c>
      <c r="V1806">
        <v>4.2</v>
      </c>
      <c r="W1806">
        <f>Table2[[#This Row],[Quantity]]*Table2[[#This Row],[Item_Price]]</f>
        <v>1572</v>
      </c>
    </row>
    <row r="1807" spans="1:23" x14ac:dyDescent="0.25">
      <c r="A1807" t="s">
        <v>1905</v>
      </c>
      <c r="B1807" s="1">
        <v>45789</v>
      </c>
      <c r="C1807" t="s">
        <v>1749</v>
      </c>
      <c r="D1807">
        <v>5</v>
      </c>
      <c r="E1807">
        <v>12</v>
      </c>
      <c r="F1807" t="s">
        <v>168</v>
      </c>
      <c r="G1807" t="s">
        <v>115</v>
      </c>
      <c r="H1807" t="s">
        <v>26</v>
      </c>
      <c r="I1807" t="s">
        <v>43</v>
      </c>
      <c r="J1807" t="s">
        <v>66</v>
      </c>
      <c r="K1807" t="s">
        <v>38</v>
      </c>
      <c r="L1807">
        <v>3</v>
      </c>
      <c r="M1807">
        <v>400</v>
      </c>
      <c r="N1807">
        <v>0</v>
      </c>
      <c r="O1807">
        <v>30</v>
      </c>
      <c r="P1807">
        <v>1200</v>
      </c>
      <c r="Q1807">
        <v>1230</v>
      </c>
      <c r="R1807" t="s">
        <v>30</v>
      </c>
      <c r="S1807" t="s">
        <v>31</v>
      </c>
      <c r="T1807" t="s">
        <v>40</v>
      </c>
      <c r="U1807">
        <v>55</v>
      </c>
      <c r="V1807">
        <v>4.0999999999999996</v>
      </c>
      <c r="W1807">
        <f>Table2[[#This Row],[Quantity]]*Table2[[#This Row],[Item_Price]]</f>
        <v>1200</v>
      </c>
    </row>
    <row r="1808" spans="1:23" x14ac:dyDescent="0.25">
      <c r="A1808" t="s">
        <v>1906</v>
      </c>
      <c r="B1808" s="1">
        <v>45789</v>
      </c>
      <c r="C1808" t="s">
        <v>1749</v>
      </c>
      <c r="D1808">
        <v>5</v>
      </c>
      <c r="E1808">
        <v>12</v>
      </c>
      <c r="F1808" t="s">
        <v>168</v>
      </c>
      <c r="G1808" t="s">
        <v>34</v>
      </c>
      <c r="H1808" t="s">
        <v>108</v>
      </c>
      <c r="I1808" t="s">
        <v>27</v>
      </c>
      <c r="J1808" t="s">
        <v>28</v>
      </c>
      <c r="K1808" t="s">
        <v>38</v>
      </c>
      <c r="L1808">
        <v>2</v>
      </c>
      <c r="M1808">
        <v>855</v>
      </c>
      <c r="N1808">
        <v>128.25</v>
      </c>
      <c r="O1808">
        <v>30</v>
      </c>
      <c r="P1808">
        <v>1710</v>
      </c>
      <c r="Q1808">
        <v>1611.75</v>
      </c>
      <c r="R1808" t="s">
        <v>75</v>
      </c>
      <c r="S1808" t="s">
        <v>31</v>
      </c>
      <c r="T1808" t="s">
        <v>40</v>
      </c>
      <c r="U1808">
        <v>36</v>
      </c>
      <c r="V1808">
        <v>3.3</v>
      </c>
      <c r="W1808">
        <f>Table2[[#This Row],[Quantity]]*Table2[[#This Row],[Item_Price]]</f>
        <v>1710</v>
      </c>
    </row>
    <row r="1809" spans="1:23" x14ac:dyDescent="0.25">
      <c r="A1809" t="s">
        <v>1907</v>
      </c>
      <c r="B1809" s="1">
        <v>45789</v>
      </c>
      <c r="C1809" t="s">
        <v>1749</v>
      </c>
      <c r="D1809">
        <v>5</v>
      </c>
      <c r="E1809">
        <v>12</v>
      </c>
      <c r="F1809" t="s">
        <v>168</v>
      </c>
      <c r="G1809" t="s">
        <v>34</v>
      </c>
      <c r="H1809" t="s">
        <v>135</v>
      </c>
      <c r="I1809" t="s">
        <v>57</v>
      </c>
      <c r="J1809" t="s">
        <v>94</v>
      </c>
      <c r="K1809" t="s">
        <v>38</v>
      </c>
      <c r="L1809">
        <v>1</v>
      </c>
      <c r="M1809">
        <v>838</v>
      </c>
      <c r="N1809">
        <v>83.8</v>
      </c>
      <c r="O1809">
        <v>50</v>
      </c>
      <c r="P1809">
        <v>838</v>
      </c>
      <c r="Q1809">
        <v>804.2</v>
      </c>
      <c r="R1809" t="s">
        <v>75</v>
      </c>
      <c r="S1809" t="s">
        <v>31</v>
      </c>
      <c r="T1809" t="s">
        <v>32</v>
      </c>
      <c r="U1809">
        <v>66</v>
      </c>
      <c r="V1809">
        <v>3.7</v>
      </c>
      <c r="W1809">
        <f>Table2[[#This Row],[Quantity]]*Table2[[#This Row],[Item_Price]]</f>
        <v>838</v>
      </c>
    </row>
    <row r="1810" spans="1:23" x14ac:dyDescent="0.25">
      <c r="A1810" t="s">
        <v>1908</v>
      </c>
      <c r="B1810" s="1">
        <v>45789</v>
      </c>
      <c r="C1810" t="s">
        <v>1749</v>
      </c>
      <c r="D1810">
        <v>5</v>
      </c>
      <c r="E1810">
        <v>12</v>
      </c>
      <c r="F1810" t="s">
        <v>168</v>
      </c>
      <c r="G1810" t="s">
        <v>55</v>
      </c>
      <c r="H1810" t="s">
        <v>42</v>
      </c>
      <c r="I1810" t="s">
        <v>36</v>
      </c>
      <c r="J1810" t="s">
        <v>66</v>
      </c>
      <c r="K1810" t="s">
        <v>38</v>
      </c>
      <c r="L1810">
        <v>2</v>
      </c>
      <c r="M1810">
        <v>814</v>
      </c>
      <c r="N1810">
        <v>0</v>
      </c>
      <c r="O1810">
        <v>40</v>
      </c>
      <c r="P1810">
        <v>1628</v>
      </c>
      <c r="Q1810">
        <v>1668</v>
      </c>
      <c r="R1810" t="s">
        <v>112</v>
      </c>
      <c r="S1810" t="s">
        <v>91</v>
      </c>
      <c r="T1810" t="s">
        <v>40</v>
      </c>
      <c r="U1810">
        <v>35</v>
      </c>
      <c r="W1810">
        <f>Table2[[#This Row],[Quantity]]*Table2[[#This Row],[Item_Price]]</f>
        <v>1628</v>
      </c>
    </row>
    <row r="1811" spans="1:23" x14ac:dyDescent="0.25">
      <c r="A1811" t="s">
        <v>1909</v>
      </c>
      <c r="B1811" s="1">
        <v>45789</v>
      </c>
      <c r="C1811" t="s">
        <v>1749</v>
      </c>
      <c r="D1811">
        <v>5</v>
      </c>
      <c r="E1811">
        <v>12</v>
      </c>
      <c r="F1811" t="s">
        <v>168</v>
      </c>
      <c r="G1811" t="s">
        <v>64</v>
      </c>
      <c r="H1811" t="s">
        <v>105</v>
      </c>
      <c r="I1811" t="s">
        <v>36</v>
      </c>
      <c r="J1811" t="s">
        <v>123</v>
      </c>
      <c r="K1811" t="s">
        <v>38</v>
      </c>
      <c r="L1811">
        <v>2</v>
      </c>
      <c r="M1811">
        <v>177</v>
      </c>
      <c r="N1811">
        <v>44.25</v>
      </c>
      <c r="O1811">
        <v>20</v>
      </c>
      <c r="P1811">
        <v>354</v>
      </c>
      <c r="Q1811">
        <v>329.75</v>
      </c>
      <c r="R1811" t="s">
        <v>39</v>
      </c>
      <c r="S1811" t="s">
        <v>31</v>
      </c>
      <c r="T1811" t="s">
        <v>32</v>
      </c>
      <c r="U1811">
        <v>52</v>
      </c>
      <c r="V1811">
        <v>5</v>
      </c>
      <c r="W1811">
        <f>Table2[[#This Row],[Quantity]]*Table2[[#This Row],[Item_Price]]</f>
        <v>354</v>
      </c>
    </row>
    <row r="1812" spans="1:23" x14ac:dyDescent="0.25">
      <c r="A1812" t="s">
        <v>1910</v>
      </c>
      <c r="B1812" s="1">
        <v>45789</v>
      </c>
      <c r="C1812" t="s">
        <v>1749</v>
      </c>
      <c r="D1812">
        <v>5</v>
      </c>
      <c r="E1812">
        <v>12</v>
      </c>
      <c r="F1812" t="s">
        <v>168</v>
      </c>
      <c r="G1812" t="s">
        <v>34</v>
      </c>
      <c r="H1812" t="s">
        <v>26</v>
      </c>
      <c r="I1812" t="s">
        <v>61</v>
      </c>
      <c r="J1812" t="s">
        <v>74</v>
      </c>
      <c r="K1812" t="s">
        <v>38</v>
      </c>
      <c r="L1812">
        <v>2</v>
      </c>
      <c r="M1812">
        <v>663</v>
      </c>
      <c r="N1812">
        <v>33.15</v>
      </c>
      <c r="O1812">
        <v>50</v>
      </c>
      <c r="P1812">
        <v>1326</v>
      </c>
      <c r="Q1812">
        <v>1342.85</v>
      </c>
      <c r="R1812" t="s">
        <v>75</v>
      </c>
      <c r="S1812" t="s">
        <v>110</v>
      </c>
      <c r="T1812" t="s">
        <v>40</v>
      </c>
      <c r="U1812">
        <v>48</v>
      </c>
      <c r="W1812">
        <f>Table2[[#This Row],[Quantity]]*Table2[[#This Row],[Item_Price]]</f>
        <v>1326</v>
      </c>
    </row>
    <row r="1813" spans="1:23" x14ac:dyDescent="0.25">
      <c r="A1813" t="s">
        <v>1911</v>
      </c>
      <c r="B1813" s="1">
        <v>45790</v>
      </c>
      <c r="C1813" t="s">
        <v>1749</v>
      </c>
      <c r="D1813">
        <v>5</v>
      </c>
      <c r="E1813">
        <v>13</v>
      </c>
      <c r="F1813" t="s">
        <v>178</v>
      </c>
      <c r="G1813" t="s">
        <v>34</v>
      </c>
      <c r="H1813" t="s">
        <v>105</v>
      </c>
      <c r="I1813" t="s">
        <v>36</v>
      </c>
      <c r="J1813" t="s">
        <v>82</v>
      </c>
      <c r="K1813" t="s">
        <v>38</v>
      </c>
      <c r="L1813">
        <v>3</v>
      </c>
      <c r="M1813">
        <v>565</v>
      </c>
      <c r="N1813">
        <v>28.25</v>
      </c>
      <c r="O1813">
        <v>30</v>
      </c>
      <c r="P1813">
        <v>1695</v>
      </c>
      <c r="Q1813">
        <v>1696.75</v>
      </c>
      <c r="R1813" t="s">
        <v>75</v>
      </c>
      <c r="S1813" t="s">
        <v>46</v>
      </c>
      <c r="T1813" t="s">
        <v>40</v>
      </c>
      <c r="U1813">
        <v>65</v>
      </c>
      <c r="W1813">
        <f>Table2[[#This Row],[Quantity]]*Table2[[#This Row],[Item_Price]]</f>
        <v>1695</v>
      </c>
    </row>
    <row r="1814" spans="1:23" x14ac:dyDescent="0.25">
      <c r="A1814" t="s">
        <v>1912</v>
      </c>
      <c r="B1814" s="1">
        <v>45790</v>
      </c>
      <c r="C1814" t="s">
        <v>1749</v>
      </c>
      <c r="D1814">
        <v>5</v>
      </c>
      <c r="E1814">
        <v>13</v>
      </c>
      <c r="F1814" t="s">
        <v>178</v>
      </c>
      <c r="G1814" t="s">
        <v>64</v>
      </c>
      <c r="H1814" t="s">
        <v>56</v>
      </c>
      <c r="I1814" t="s">
        <v>49</v>
      </c>
      <c r="J1814" t="s">
        <v>66</v>
      </c>
      <c r="K1814" t="s">
        <v>58</v>
      </c>
      <c r="L1814">
        <v>2</v>
      </c>
      <c r="M1814">
        <v>223</v>
      </c>
      <c r="N1814">
        <v>11.15</v>
      </c>
      <c r="O1814">
        <v>50</v>
      </c>
      <c r="P1814">
        <v>446</v>
      </c>
      <c r="Q1814">
        <v>484.85</v>
      </c>
      <c r="R1814" t="s">
        <v>112</v>
      </c>
      <c r="S1814" t="s">
        <v>91</v>
      </c>
      <c r="T1814" t="s">
        <v>40</v>
      </c>
      <c r="U1814">
        <v>37</v>
      </c>
      <c r="W1814">
        <f>Table2[[#This Row],[Quantity]]*Table2[[#This Row],[Item_Price]]</f>
        <v>446</v>
      </c>
    </row>
    <row r="1815" spans="1:23" x14ac:dyDescent="0.25">
      <c r="A1815" t="s">
        <v>1913</v>
      </c>
      <c r="B1815" s="1">
        <v>45790</v>
      </c>
      <c r="C1815" t="s">
        <v>1749</v>
      </c>
      <c r="D1815">
        <v>5</v>
      </c>
      <c r="E1815">
        <v>13</v>
      </c>
      <c r="F1815" t="s">
        <v>178</v>
      </c>
      <c r="G1815" t="s">
        <v>55</v>
      </c>
      <c r="H1815" t="s">
        <v>65</v>
      </c>
      <c r="I1815" t="s">
        <v>85</v>
      </c>
      <c r="J1815" t="s">
        <v>37</v>
      </c>
      <c r="K1815" t="s">
        <v>38</v>
      </c>
      <c r="L1815">
        <v>3</v>
      </c>
      <c r="M1815">
        <v>692</v>
      </c>
      <c r="N1815">
        <v>69.2</v>
      </c>
      <c r="O1815">
        <v>30</v>
      </c>
      <c r="P1815">
        <v>2076</v>
      </c>
      <c r="Q1815">
        <v>2036.8</v>
      </c>
      <c r="R1815" t="s">
        <v>75</v>
      </c>
      <c r="S1815" t="s">
        <v>31</v>
      </c>
      <c r="T1815" t="s">
        <v>40</v>
      </c>
      <c r="U1815">
        <v>57</v>
      </c>
      <c r="V1815">
        <v>5</v>
      </c>
      <c r="W1815">
        <f>Table2[[#This Row],[Quantity]]*Table2[[#This Row],[Item_Price]]</f>
        <v>2076</v>
      </c>
    </row>
    <row r="1816" spans="1:23" x14ac:dyDescent="0.25">
      <c r="A1816" t="s">
        <v>1914</v>
      </c>
      <c r="B1816" s="1">
        <v>45790</v>
      </c>
      <c r="C1816" t="s">
        <v>1749</v>
      </c>
      <c r="D1816">
        <v>5</v>
      </c>
      <c r="E1816">
        <v>13</v>
      </c>
      <c r="F1816" t="s">
        <v>178</v>
      </c>
      <c r="G1816" t="s">
        <v>34</v>
      </c>
      <c r="H1816" t="s">
        <v>135</v>
      </c>
      <c r="I1816" t="s">
        <v>36</v>
      </c>
      <c r="J1816" t="s">
        <v>28</v>
      </c>
      <c r="K1816" t="s">
        <v>38</v>
      </c>
      <c r="L1816">
        <v>1</v>
      </c>
      <c r="M1816">
        <v>874</v>
      </c>
      <c r="N1816">
        <v>43.7</v>
      </c>
      <c r="O1816">
        <v>30</v>
      </c>
      <c r="P1816">
        <v>874</v>
      </c>
      <c r="Q1816">
        <v>860.3</v>
      </c>
      <c r="R1816" t="s">
        <v>112</v>
      </c>
      <c r="S1816" t="s">
        <v>31</v>
      </c>
      <c r="T1816" t="s">
        <v>32</v>
      </c>
      <c r="U1816">
        <v>56</v>
      </c>
      <c r="V1816">
        <v>3.7</v>
      </c>
      <c r="W1816">
        <f>Table2[[#This Row],[Quantity]]*Table2[[#This Row],[Item_Price]]</f>
        <v>874</v>
      </c>
    </row>
    <row r="1817" spans="1:23" x14ac:dyDescent="0.25">
      <c r="A1817" t="s">
        <v>1915</v>
      </c>
      <c r="B1817" s="1">
        <v>45790</v>
      </c>
      <c r="C1817" t="s">
        <v>1749</v>
      </c>
      <c r="D1817">
        <v>5</v>
      </c>
      <c r="E1817">
        <v>13</v>
      </c>
      <c r="F1817" t="s">
        <v>178</v>
      </c>
      <c r="G1817" t="s">
        <v>84</v>
      </c>
      <c r="H1817" t="s">
        <v>35</v>
      </c>
      <c r="I1817" t="s">
        <v>57</v>
      </c>
      <c r="J1817" t="s">
        <v>78</v>
      </c>
      <c r="K1817" t="s">
        <v>38</v>
      </c>
      <c r="L1817">
        <v>1</v>
      </c>
      <c r="M1817">
        <v>391</v>
      </c>
      <c r="N1817">
        <v>97.75</v>
      </c>
      <c r="O1817">
        <v>50</v>
      </c>
      <c r="P1817">
        <v>391</v>
      </c>
      <c r="Q1817">
        <v>343.25</v>
      </c>
      <c r="R1817" t="s">
        <v>30</v>
      </c>
      <c r="S1817" t="s">
        <v>31</v>
      </c>
      <c r="T1817" t="s">
        <v>32</v>
      </c>
      <c r="U1817">
        <v>18</v>
      </c>
      <c r="V1817">
        <v>4.0999999999999996</v>
      </c>
      <c r="W1817">
        <f>Table2[[#This Row],[Quantity]]*Table2[[#This Row],[Item_Price]]</f>
        <v>391</v>
      </c>
    </row>
    <row r="1818" spans="1:23" x14ac:dyDescent="0.25">
      <c r="A1818" t="s">
        <v>1916</v>
      </c>
      <c r="B1818" s="1">
        <v>45790</v>
      </c>
      <c r="C1818" t="s">
        <v>1749</v>
      </c>
      <c r="D1818">
        <v>5</v>
      </c>
      <c r="E1818">
        <v>13</v>
      </c>
      <c r="F1818" t="s">
        <v>178</v>
      </c>
      <c r="G1818" t="s">
        <v>34</v>
      </c>
      <c r="H1818" t="s">
        <v>60</v>
      </c>
      <c r="I1818" t="s">
        <v>85</v>
      </c>
      <c r="J1818" t="s">
        <v>101</v>
      </c>
      <c r="K1818" t="s">
        <v>38</v>
      </c>
      <c r="L1818">
        <v>1</v>
      </c>
      <c r="M1818">
        <v>815</v>
      </c>
      <c r="N1818">
        <v>122.25</v>
      </c>
      <c r="O1818">
        <v>30</v>
      </c>
      <c r="P1818">
        <v>815</v>
      </c>
      <c r="Q1818">
        <v>722.75</v>
      </c>
      <c r="R1818" t="s">
        <v>112</v>
      </c>
      <c r="S1818" t="s">
        <v>31</v>
      </c>
      <c r="T1818" t="s">
        <v>40</v>
      </c>
      <c r="U1818">
        <v>28</v>
      </c>
      <c r="V1818">
        <v>2.7</v>
      </c>
      <c r="W1818">
        <f>Table2[[#This Row],[Quantity]]*Table2[[#This Row],[Item_Price]]</f>
        <v>815</v>
      </c>
    </row>
    <row r="1819" spans="1:23" x14ac:dyDescent="0.25">
      <c r="A1819" t="s">
        <v>1917</v>
      </c>
      <c r="B1819" s="1">
        <v>45790</v>
      </c>
      <c r="C1819" t="s">
        <v>1749</v>
      </c>
      <c r="D1819">
        <v>5</v>
      </c>
      <c r="E1819">
        <v>13</v>
      </c>
      <c r="F1819" t="s">
        <v>178</v>
      </c>
      <c r="G1819" t="s">
        <v>90</v>
      </c>
      <c r="H1819" t="s">
        <v>26</v>
      </c>
      <c r="I1819" t="s">
        <v>57</v>
      </c>
      <c r="J1819" t="s">
        <v>70</v>
      </c>
      <c r="K1819" t="s">
        <v>58</v>
      </c>
      <c r="L1819">
        <v>2</v>
      </c>
      <c r="M1819">
        <v>380</v>
      </c>
      <c r="N1819">
        <v>38</v>
      </c>
      <c r="O1819">
        <v>40</v>
      </c>
      <c r="P1819">
        <v>760</v>
      </c>
      <c r="Q1819">
        <v>762</v>
      </c>
      <c r="R1819" t="s">
        <v>98</v>
      </c>
      <c r="S1819" t="s">
        <v>31</v>
      </c>
      <c r="T1819" t="s">
        <v>40</v>
      </c>
      <c r="U1819">
        <v>41</v>
      </c>
      <c r="V1819">
        <v>4.4000000000000004</v>
      </c>
      <c r="W1819">
        <f>Table2[[#This Row],[Quantity]]*Table2[[#This Row],[Item_Price]]</f>
        <v>760</v>
      </c>
    </row>
    <row r="1820" spans="1:23" x14ac:dyDescent="0.25">
      <c r="A1820" t="s">
        <v>1918</v>
      </c>
      <c r="B1820" s="1">
        <v>45790</v>
      </c>
      <c r="C1820" t="s">
        <v>1749</v>
      </c>
      <c r="D1820">
        <v>5</v>
      </c>
      <c r="E1820">
        <v>13</v>
      </c>
      <c r="F1820" t="s">
        <v>178</v>
      </c>
      <c r="G1820" t="s">
        <v>115</v>
      </c>
      <c r="H1820" t="s">
        <v>56</v>
      </c>
      <c r="I1820" t="s">
        <v>97</v>
      </c>
      <c r="J1820" t="s">
        <v>62</v>
      </c>
      <c r="K1820" t="s">
        <v>45</v>
      </c>
      <c r="L1820">
        <v>1</v>
      </c>
      <c r="M1820">
        <v>456</v>
      </c>
      <c r="N1820">
        <v>45.6</v>
      </c>
      <c r="O1820">
        <v>60</v>
      </c>
      <c r="P1820">
        <v>456</v>
      </c>
      <c r="Q1820">
        <v>470.4</v>
      </c>
      <c r="R1820" t="s">
        <v>75</v>
      </c>
      <c r="S1820" t="s">
        <v>46</v>
      </c>
      <c r="T1820" t="s">
        <v>40</v>
      </c>
      <c r="U1820">
        <v>55</v>
      </c>
      <c r="W1820">
        <f>Table2[[#This Row],[Quantity]]*Table2[[#This Row],[Item_Price]]</f>
        <v>456</v>
      </c>
    </row>
    <row r="1821" spans="1:23" x14ac:dyDescent="0.25">
      <c r="A1821" t="s">
        <v>1919</v>
      </c>
      <c r="B1821" s="1">
        <v>45790</v>
      </c>
      <c r="C1821" t="s">
        <v>1749</v>
      </c>
      <c r="D1821">
        <v>5</v>
      </c>
      <c r="E1821">
        <v>13</v>
      </c>
      <c r="F1821" t="s">
        <v>178</v>
      </c>
      <c r="G1821" t="s">
        <v>73</v>
      </c>
      <c r="H1821" t="s">
        <v>68</v>
      </c>
      <c r="I1821" t="s">
        <v>97</v>
      </c>
      <c r="J1821" t="s">
        <v>82</v>
      </c>
      <c r="K1821" t="s">
        <v>38</v>
      </c>
      <c r="L1821">
        <v>1</v>
      </c>
      <c r="M1821">
        <v>296</v>
      </c>
      <c r="N1821">
        <v>29.6</v>
      </c>
      <c r="O1821">
        <v>0</v>
      </c>
      <c r="P1821">
        <v>296</v>
      </c>
      <c r="Q1821">
        <v>266.39999999999998</v>
      </c>
      <c r="R1821" t="s">
        <v>75</v>
      </c>
      <c r="S1821" t="s">
        <v>46</v>
      </c>
      <c r="T1821" t="s">
        <v>40</v>
      </c>
      <c r="U1821">
        <v>42</v>
      </c>
      <c r="W1821">
        <f>Table2[[#This Row],[Quantity]]*Table2[[#This Row],[Item_Price]]</f>
        <v>296</v>
      </c>
    </row>
    <row r="1822" spans="1:23" x14ac:dyDescent="0.25">
      <c r="A1822" t="s">
        <v>1920</v>
      </c>
      <c r="B1822" s="1">
        <v>45790</v>
      </c>
      <c r="C1822" t="s">
        <v>1749</v>
      </c>
      <c r="D1822">
        <v>5</v>
      </c>
      <c r="E1822">
        <v>13</v>
      </c>
      <c r="F1822" t="s">
        <v>178</v>
      </c>
      <c r="G1822" t="s">
        <v>73</v>
      </c>
      <c r="H1822" t="s">
        <v>26</v>
      </c>
      <c r="I1822" t="s">
        <v>97</v>
      </c>
      <c r="J1822" t="s">
        <v>53</v>
      </c>
      <c r="K1822" t="s">
        <v>29</v>
      </c>
      <c r="L1822">
        <v>1</v>
      </c>
      <c r="M1822">
        <v>755</v>
      </c>
      <c r="N1822">
        <v>113.25</v>
      </c>
      <c r="O1822">
        <v>30</v>
      </c>
      <c r="P1822">
        <v>755</v>
      </c>
      <c r="Q1822">
        <v>671.75</v>
      </c>
      <c r="R1822" t="s">
        <v>30</v>
      </c>
      <c r="S1822" t="s">
        <v>31</v>
      </c>
      <c r="T1822" t="s">
        <v>40</v>
      </c>
      <c r="U1822">
        <v>51</v>
      </c>
      <c r="V1822">
        <v>2.6</v>
      </c>
      <c r="W1822">
        <f>Table2[[#This Row],[Quantity]]*Table2[[#This Row],[Item_Price]]</f>
        <v>755</v>
      </c>
    </row>
    <row r="1823" spans="1:23" x14ac:dyDescent="0.25">
      <c r="A1823" t="s">
        <v>1921</v>
      </c>
      <c r="B1823" s="1">
        <v>45790</v>
      </c>
      <c r="C1823" t="s">
        <v>1749</v>
      </c>
      <c r="D1823">
        <v>5</v>
      </c>
      <c r="E1823">
        <v>13</v>
      </c>
      <c r="F1823" t="s">
        <v>178</v>
      </c>
      <c r="G1823" t="s">
        <v>55</v>
      </c>
      <c r="H1823" t="s">
        <v>65</v>
      </c>
      <c r="I1823" t="s">
        <v>27</v>
      </c>
      <c r="J1823" t="s">
        <v>62</v>
      </c>
      <c r="K1823" t="s">
        <v>38</v>
      </c>
      <c r="L1823">
        <v>2</v>
      </c>
      <c r="M1823">
        <v>194</v>
      </c>
      <c r="N1823">
        <v>48.5</v>
      </c>
      <c r="O1823">
        <v>20</v>
      </c>
      <c r="P1823">
        <v>388</v>
      </c>
      <c r="Q1823">
        <v>359.5</v>
      </c>
      <c r="R1823" t="s">
        <v>75</v>
      </c>
      <c r="S1823" t="s">
        <v>31</v>
      </c>
      <c r="T1823" t="s">
        <v>40</v>
      </c>
      <c r="U1823">
        <v>54</v>
      </c>
      <c r="V1823">
        <v>4.4000000000000004</v>
      </c>
      <c r="W1823">
        <f>Table2[[#This Row],[Quantity]]*Table2[[#This Row],[Item_Price]]</f>
        <v>388</v>
      </c>
    </row>
    <row r="1824" spans="1:23" x14ac:dyDescent="0.25">
      <c r="A1824" t="s">
        <v>1922</v>
      </c>
      <c r="B1824" s="1">
        <v>45790</v>
      </c>
      <c r="C1824" t="s">
        <v>1749</v>
      </c>
      <c r="D1824">
        <v>5</v>
      </c>
      <c r="E1824">
        <v>13</v>
      </c>
      <c r="F1824" t="s">
        <v>178</v>
      </c>
      <c r="G1824" t="s">
        <v>73</v>
      </c>
      <c r="H1824" t="s">
        <v>65</v>
      </c>
      <c r="I1824" t="s">
        <v>27</v>
      </c>
      <c r="J1824" t="s">
        <v>123</v>
      </c>
      <c r="K1824" t="s">
        <v>38</v>
      </c>
      <c r="L1824">
        <v>3</v>
      </c>
      <c r="M1824">
        <v>823</v>
      </c>
      <c r="N1824">
        <v>123.45</v>
      </c>
      <c r="O1824">
        <v>30</v>
      </c>
      <c r="P1824">
        <v>2469</v>
      </c>
      <c r="Q1824">
        <v>2375.5500000000002</v>
      </c>
      <c r="R1824" t="s">
        <v>39</v>
      </c>
      <c r="S1824" t="s">
        <v>31</v>
      </c>
      <c r="T1824" t="s">
        <v>32</v>
      </c>
      <c r="U1824">
        <v>19</v>
      </c>
      <c r="V1824">
        <v>3.3</v>
      </c>
      <c r="W1824">
        <f>Table2[[#This Row],[Quantity]]*Table2[[#This Row],[Item_Price]]</f>
        <v>2469</v>
      </c>
    </row>
    <row r="1825" spans="1:23" x14ac:dyDescent="0.25">
      <c r="A1825" t="s">
        <v>1923</v>
      </c>
      <c r="B1825" s="1">
        <v>45790</v>
      </c>
      <c r="C1825" t="s">
        <v>1749</v>
      </c>
      <c r="D1825">
        <v>5</v>
      </c>
      <c r="E1825">
        <v>13</v>
      </c>
      <c r="F1825" t="s">
        <v>178</v>
      </c>
      <c r="G1825" t="s">
        <v>80</v>
      </c>
      <c r="H1825" t="s">
        <v>105</v>
      </c>
      <c r="I1825" t="s">
        <v>69</v>
      </c>
      <c r="J1825" t="s">
        <v>101</v>
      </c>
      <c r="K1825" t="s">
        <v>38</v>
      </c>
      <c r="L1825">
        <v>1</v>
      </c>
      <c r="M1825">
        <v>587</v>
      </c>
      <c r="N1825">
        <v>88.05</v>
      </c>
      <c r="O1825">
        <v>50</v>
      </c>
      <c r="P1825">
        <v>587</v>
      </c>
      <c r="Q1825">
        <v>548.95000000000005</v>
      </c>
      <c r="R1825" t="s">
        <v>112</v>
      </c>
      <c r="S1825" t="s">
        <v>31</v>
      </c>
      <c r="T1825" t="s">
        <v>32</v>
      </c>
      <c r="U1825">
        <v>63</v>
      </c>
      <c r="V1825">
        <v>3</v>
      </c>
      <c r="W1825">
        <f>Table2[[#This Row],[Quantity]]*Table2[[#This Row],[Item_Price]]</f>
        <v>587</v>
      </c>
    </row>
    <row r="1826" spans="1:23" x14ac:dyDescent="0.25">
      <c r="A1826" t="s">
        <v>1924</v>
      </c>
      <c r="B1826" s="1">
        <v>45790</v>
      </c>
      <c r="C1826" t="s">
        <v>1749</v>
      </c>
      <c r="D1826">
        <v>5</v>
      </c>
      <c r="E1826">
        <v>13</v>
      </c>
      <c r="F1826" t="s">
        <v>178</v>
      </c>
      <c r="G1826" t="s">
        <v>64</v>
      </c>
      <c r="H1826" t="s">
        <v>77</v>
      </c>
      <c r="I1826" t="s">
        <v>43</v>
      </c>
      <c r="J1826" t="s">
        <v>78</v>
      </c>
      <c r="K1826" t="s">
        <v>38</v>
      </c>
      <c r="L1826">
        <v>2</v>
      </c>
      <c r="M1826">
        <v>574</v>
      </c>
      <c r="N1826">
        <v>57.4</v>
      </c>
      <c r="O1826">
        <v>70</v>
      </c>
      <c r="P1826">
        <v>1148</v>
      </c>
      <c r="Q1826">
        <v>1160.5999999999999</v>
      </c>
      <c r="R1826" t="s">
        <v>75</v>
      </c>
      <c r="S1826" t="s">
        <v>46</v>
      </c>
      <c r="T1826" t="s">
        <v>40</v>
      </c>
      <c r="U1826">
        <v>50</v>
      </c>
      <c r="W1826">
        <f>Table2[[#This Row],[Quantity]]*Table2[[#This Row],[Item_Price]]</f>
        <v>1148</v>
      </c>
    </row>
    <row r="1827" spans="1:23" x14ac:dyDescent="0.25">
      <c r="A1827" t="s">
        <v>1925</v>
      </c>
      <c r="B1827" s="1">
        <v>45790</v>
      </c>
      <c r="C1827" t="s">
        <v>1749</v>
      </c>
      <c r="D1827">
        <v>5</v>
      </c>
      <c r="E1827">
        <v>13</v>
      </c>
      <c r="F1827" t="s">
        <v>178</v>
      </c>
      <c r="G1827" t="s">
        <v>25</v>
      </c>
      <c r="H1827" t="s">
        <v>68</v>
      </c>
      <c r="I1827" t="s">
        <v>57</v>
      </c>
      <c r="J1827" t="s">
        <v>53</v>
      </c>
      <c r="K1827" t="s">
        <v>45</v>
      </c>
      <c r="L1827">
        <v>1</v>
      </c>
      <c r="M1827">
        <v>411</v>
      </c>
      <c r="N1827">
        <v>41.1</v>
      </c>
      <c r="O1827">
        <v>40</v>
      </c>
      <c r="P1827">
        <v>411</v>
      </c>
      <c r="Q1827">
        <v>409.9</v>
      </c>
      <c r="R1827" t="s">
        <v>39</v>
      </c>
      <c r="S1827" t="s">
        <v>31</v>
      </c>
      <c r="T1827" t="s">
        <v>40</v>
      </c>
      <c r="U1827">
        <v>20</v>
      </c>
      <c r="V1827">
        <v>2.4</v>
      </c>
      <c r="W1827">
        <f>Table2[[#This Row],[Quantity]]*Table2[[#This Row],[Item_Price]]</f>
        <v>411</v>
      </c>
    </row>
    <row r="1828" spans="1:23" x14ac:dyDescent="0.25">
      <c r="A1828" t="s">
        <v>1926</v>
      </c>
      <c r="B1828" s="1">
        <v>45790</v>
      </c>
      <c r="C1828" t="s">
        <v>1749</v>
      </c>
      <c r="D1828">
        <v>5</v>
      </c>
      <c r="E1828">
        <v>13</v>
      </c>
      <c r="F1828" t="s">
        <v>178</v>
      </c>
      <c r="G1828" t="s">
        <v>64</v>
      </c>
      <c r="H1828" t="s">
        <v>42</v>
      </c>
      <c r="I1828" t="s">
        <v>61</v>
      </c>
      <c r="J1828" t="s">
        <v>101</v>
      </c>
      <c r="K1828" t="s">
        <v>38</v>
      </c>
      <c r="L1828">
        <v>2</v>
      </c>
      <c r="M1828">
        <v>237</v>
      </c>
      <c r="N1828">
        <v>0</v>
      </c>
      <c r="O1828">
        <v>30</v>
      </c>
      <c r="P1828">
        <v>474</v>
      </c>
      <c r="Q1828">
        <v>504</v>
      </c>
      <c r="R1828" t="s">
        <v>98</v>
      </c>
      <c r="S1828" t="s">
        <v>31</v>
      </c>
      <c r="T1828" t="s">
        <v>40</v>
      </c>
      <c r="U1828">
        <v>23</v>
      </c>
      <c r="V1828">
        <v>4</v>
      </c>
      <c r="W1828">
        <f>Table2[[#This Row],[Quantity]]*Table2[[#This Row],[Item_Price]]</f>
        <v>474</v>
      </c>
    </row>
    <row r="1829" spans="1:23" x14ac:dyDescent="0.25">
      <c r="A1829" t="s">
        <v>1927</v>
      </c>
      <c r="B1829" s="1">
        <v>45791</v>
      </c>
      <c r="C1829" t="s">
        <v>1749</v>
      </c>
      <c r="D1829">
        <v>5</v>
      </c>
      <c r="E1829">
        <v>14</v>
      </c>
      <c r="F1829" t="s">
        <v>24</v>
      </c>
      <c r="G1829" t="s">
        <v>96</v>
      </c>
      <c r="H1829" t="s">
        <v>42</v>
      </c>
      <c r="I1829" t="s">
        <v>43</v>
      </c>
      <c r="J1829" t="s">
        <v>44</v>
      </c>
      <c r="K1829" t="s">
        <v>38</v>
      </c>
      <c r="L1829">
        <v>2</v>
      </c>
      <c r="M1829">
        <v>715</v>
      </c>
      <c r="N1829">
        <v>35.75</v>
      </c>
      <c r="O1829">
        <v>40</v>
      </c>
      <c r="P1829">
        <v>1430</v>
      </c>
      <c r="Q1829">
        <v>1434.25</v>
      </c>
      <c r="R1829" t="s">
        <v>30</v>
      </c>
      <c r="S1829" t="s">
        <v>31</v>
      </c>
      <c r="T1829" t="s">
        <v>40</v>
      </c>
      <c r="U1829">
        <v>61</v>
      </c>
      <c r="V1829">
        <v>2.6</v>
      </c>
      <c r="W1829">
        <f>Table2[[#This Row],[Quantity]]*Table2[[#This Row],[Item_Price]]</f>
        <v>1430</v>
      </c>
    </row>
    <row r="1830" spans="1:23" x14ac:dyDescent="0.25">
      <c r="A1830" t="s">
        <v>1928</v>
      </c>
      <c r="B1830" s="1">
        <v>45791</v>
      </c>
      <c r="C1830" t="s">
        <v>1749</v>
      </c>
      <c r="D1830">
        <v>5</v>
      </c>
      <c r="E1830">
        <v>14</v>
      </c>
      <c r="F1830" t="s">
        <v>24</v>
      </c>
      <c r="G1830" t="s">
        <v>34</v>
      </c>
      <c r="H1830" t="s">
        <v>26</v>
      </c>
      <c r="I1830" t="s">
        <v>97</v>
      </c>
      <c r="J1830" t="s">
        <v>101</v>
      </c>
      <c r="K1830" t="s">
        <v>38</v>
      </c>
      <c r="L1830">
        <v>2</v>
      </c>
      <c r="M1830">
        <v>320</v>
      </c>
      <c r="N1830">
        <v>80</v>
      </c>
      <c r="O1830">
        <v>30</v>
      </c>
      <c r="P1830">
        <v>640</v>
      </c>
      <c r="Q1830">
        <v>590</v>
      </c>
      <c r="R1830" t="s">
        <v>30</v>
      </c>
      <c r="S1830" t="s">
        <v>31</v>
      </c>
      <c r="T1830" t="s">
        <v>40</v>
      </c>
      <c r="U1830">
        <v>47</v>
      </c>
      <c r="V1830">
        <v>4</v>
      </c>
      <c r="W1830">
        <f>Table2[[#This Row],[Quantity]]*Table2[[#This Row],[Item_Price]]</f>
        <v>640</v>
      </c>
    </row>
    <row r="1831" spans="1:23" x14ac:dyDescent="0.25">
      <c r="A1831" t="s">
        <v>1929</v>
      </c>
      <c r="B1831" s="1">
        <v>45791</v>
      </c>
      <c r="C1831" t="s">
        <v>1749</v>
      </c>
      <c r="D1831">
        <v>5</v>
      </c>
      <c r="E1831">
        <v>14</v>
      </c>
      <c r="F1831" t="s">
        <v>24</v>
      </c>
      <c r="G1831" t="s">
        <v>55</v>
      </c>
      <c r="H1831" t="s">
        <v>81</v>
      </c>
      <c r="I1831" t="s">
        <v>57</v>
      </c>
      <c r="J1831" t="s">
        <v>70</v>
      </c>
      <c r="K1831" t="s">
        <v>45</v>
      </c>
      <c r="L1831">
        <v>1</v>
      </c>
      <c r="M1831">
        <v>365</v>
      </c>
      <c r="N1831">
        <v>18.25</v>
      </c>
      <c r="O1831">
        <v>40</v>
      </c>
      <c r="P1831">
        <v>365</v>
      </c>
      <c r="Q1831">
        <v>386.75</v>
      </c>
      <c r="R1831" t="s">
        <v>98</v>
      </c>
      <c r="S1831" t="s">
        <v>31</v>
      </c>
      <c r="T1831" t="s">
        <v>40</v>
      </c>
      <c r="U1831">
        <v>24</v>
      </c>
      <c r="V1831">
        <v>4</v>
      </c>
      <c r="W1831">
        <f>Table2[[#This Row],[Quantity]]*Table2[[#This Row],[Item_Price]]</f>
        <v>365</v>
      </c>
    </row>
    <row r="1832" spans="1:23" x14ac:dyDescent="0.25">
      <c r="A1832" t="s">
        <v>1930</v>
      </c>
      <c r="B1832" s="1">
        <v>45791</v>
      </c>
      <c r="C1832" t="s">
        <v>1749</v>
      </c>
      <c r="D1832">
        <v>5</v>
      </c>
      <c r="E1832">
        <v>14</v>
      </c>
      <c r="F1832" t="s">
        <v>24</v>
      </c>
      <c r="G1832" t="s">
        <v>64</v>
      </c>
      <c r="H1832" t="s">
        <v>135</v>
      </c>
      <c r="I1832" t="s">
        <v>43</v>
      </c>
      <c r="J1832" t="s">
        <v>62</v>
      </c>
      <c r="K1832" t="s">
        <v>38</v>
      </c>
      <c r="L1832">
        <v>2</v>
      </c>
      <c r="M1832">
        <v>533</v>
      </c>
      <c r="N1832">
        <v>106.6</v>
      </c>
      <c r="O1832">
        <v>20</v>
      </c>
      <c r="P1832">
        <v>1066</v>
      </c>
      <c r="Q1832">
        <v>979.4</v>
      </c>
      <c r="R1832" t="s">
        <v>98</v>
      </c>
      <c r="S1832" t="s">
        <v>31</v>
      </c>
      <c r="T1832" t="s">
        <v>40</v>
      </c>
      <c r="U1832">
        <v>45</v>
      </c>
      <c r="V1832">
        <v>3.6</v>
      </c>
      <c r="W1832">
        <f>Table2[[#This Row],[Quantity]]*Table2[[#This Row],[Item_Price]]</f>
        <v>1066</v>
      </c>
    </row>
    <row r="1833" spans="1:23" x14ac:dyDescent="0.25">
      <c r="A1833" t="s">
        <v>1931</v>
      </c>
      <c r="B1833" s="1">
        <v>45791</v>
      </c>
      <c r="C1833" t="s">
        <v>1749</v>
      </c>
      <c r="D1833">
        <v>5</v>
      </c>
      <c r="E1833">
        <v>14</v>
      </c>
      <c r="F1833" t="s">
        <v>24</v>
      </c>
      <c r="G1833" t="s">
        <v>34</v>
      </c>
      <c r="H1833" t="s">
        <v>68</v>
      </c>
      <c r="I1833" t="s">
        <v>85</v>
      </c>
      <c r="J1833" t="s">
        <v>70</v>
      </c>
      <c r="K1833" t="s">
        <v>38</v>
      </c>
      <c r="L1833">
        <v>1</v>
      </c>
      <c r="M1833">
        <v>293</v>
      </c>
      <c r="N1833">
        <v>29.3</v>
      </c>
      <c r="O1833">
        <v>50</v>
      </c>
      <c r="P1833">
        <v>293</v>
      </c>
      <c r="Q1833">
        <v>313.7</v>
      </c>
      <c r="R1833" t="s">
        <v>112</v>
      </c>
      <c r="S1833" t="s">
        <v>31</v>
      </c>
      <c r="T1833" t="s">
        <v>40</v>
      </c>
      <c r="U1833">
        <v>33</v>
      </c>
      <c r="V1833">
        <v>4.5</v>
      </c>
      <c r="W1833">
        <f>Table2[[#This Row],[Quantity]]*Table2[[#This Row],[Item_Price]]</f>
        <v>293</v>
      </c>
    </row>
    <row r="1834" spans="1:23" x14ac:dyDescent="0.25">
      <c r="A1834" t="s">
        <v>1932</v>
      </c>
      <c r="B1834" s="1">
        <v>45791</v>
      </c>
      <c r="C1834" t="s">
        <v>1749</v>
      </c>
      <c r="D1834">
        <v>5</v>
      </c>
      <c r="E1834">
        <v>14</v>
      </c>
      <c r="F1834" t="s">
        <v>24</v>
      </c>
      <c r="G1834" t="s">
        <v>34</v>
      </c>
      <c r="H1834" t="s">
        <v>81</v>
      </c>
      <c r="I1834" t="s">
        <v>61</v>
      </c>
      <c r="J1834" t="s">
        <v>37</v>
      </c>
      <c r="K1834" t="s">
        <v>38</v>
      </c>
      <c r="L1834">
        <v>2</v>
      </c>
      <c r="M1834">
        <v>690</v>
      </c>
      <c r="N1834">
        <v>69</v>
      </c>
      <c r="O1834">
        <v>50</v>
      </c>
      <c r="P1834">
        <v>1380</v>
      </c>
      <c r="Q1834">
        <v>1361</v>
      </c>
      <c r="R1834" t="s">
        <v>112</v>
      </c>
      <c r="S1834" t="s">
        <v>31</v>
      </c>
      <c r="T1834" t="s">
        <v>40</v>
      </c>
      <c r="U1834">
        <v>30</v>
      </c>
      <c r="V1834">
        <v>5</v>
      </c>
      <c r="W1834">
        <f>Table2[[#This Row],[Quantity]]*Table2[[#This Row],[Item_Price]]</f>
        <v>1380</v>
      </c>
    </row>
    <row r="1835" spans="1:23" x14ac:dyDescent="0.25">
      <c r="A1835" t="s">
        <v>1933</v>
      </c>
      <c r="B1835" s="1">
        <v>45791</v>
      </c>
      <c r="C1835" t="s">
        <v>1749</v>
      </c>
      <c r="D1835">
        <v>5</v>
      </c>
      <c r="E1835">
        <v>14</v>
      </c>
      <c r="F1835" t="s">
        <v>24</v>
      </c>
      <c r="G1835" t="s">
        <v>96</v>
      </c>
      <c r="H1835" t="s">
        <v>108</v>
      </c>
      <c r="I1835" t="s">
        <v>57</v>
      </c>
      <c r="J1835" t="s">
        <v>119</v>
      </c>
      <c r="K1835" t="s">
        <v>38</v>
      </c>
      <c r="L1835">
        <v>3</v>
      </c>
      <c r="M1835">
        <v>362</v>
      </c>
      <c r="N1835">
        <v>0</v>
      </c>
      <c r="O1835">
        <v>0</v>
      </c>
      <c r="P1835">
        <v>1086</v>
      </c>
      <c r="Q1835">
        <v>1086</v>
      </c>
      <c r="R1835" t="s">
        <v>39</v>
      </c>
      <c r="S1835" t="s">
        <v>31</v>
      </c>
      <c r="T1835" t="s">
        <v>32</v>
      </c>
      <c r="U1835">
        <v>58</v>
      </c>
      <c r="V1835">
        <v>4.5999999999999996</v>
      </c>
      <c r="W1835">
        <f>Table2[[#This Row],[Quantity]]*Table2[[#This Row],[Item_Price]]</f>
        <v>1086</v>
      </c>
    </row>
    <row r="1836" spans="1:23" x14ac:dyDescent="0.25">
      <c r="A1836" t="s">
        <v>1934</v>
      </c>
      <c r="B1836" s="1">
        <v>45791</v>
      </c>
      <c r="C1836" t="s">
        <v>1749</v>
      </c>
      <c r="D1836">
        <v>5</v>
      </c>
      <c r="E1836">
        <v>14</v>
      </c>
      <c r="F1836" t="s">
        <v>24</v>
      </c>
      <c r="G1836" t="s">
        <v>115</v>
      </c>
      <c r="H1836" t="s">
        <v>77</v>
      </c>
      <c r="I1836" t="s">
        <v>97</v>
      </c>
      <c r="J1836" t="s">
        <v>94</v>
      </c>
      <c r="K1836" t="s">
        <v>38</v>
      </c>
      <c r="L1836">
        <v>3</v>
      </c>
      <c r="M1836">
        <v>897</v>
      </c>
      <c r="N1836">
        <v>134.55000000000001</v>
      </c>
      <c r="O1836">
        <v>20</v>
      </c>
      <c r="P1836">
        <v>2691</v>
      </c>
      <c r="Q1836">
        <v>2576.4499999999998</v>
      </c>
      <c r="R1836" t="s">
        <v>75</v>
      </c>
      <c r="S1836" t="s">
        <v>31</v>
      </c>
      <c r="T1836" t="s">
        <v>40</v>
      </c>
      <c r="U1836">
        <v>56</v>
      </c>
      <c r="V1836">
        <v>3.9</v>
      </c>
      <c r="W1836">
        <f>Table2[[#This Row],[Quantity]]*Table2[[#This Row],[Item_Price]]</f>
        <v>2691</v>
      </c>
    </row>
    <row r="1837" spans="1:23" x14ac:dyDescent="0.25">
      <c r="A1837" t="s">
        <v>1935</v>
      </c>
      <c r="B1837" s="1">
        <v>45791</v>
      </c>
      <c r="C1837" t="s">
        <v>1749</v>
      </c>
      <c r="D1837">
        <v>5</v>
      </c>
      <c r="E1837">
        <v>14</v>
      </c>
      <c r="F1837" t="s">
        <v>24</v>
      </c>
      <c r="G1837" t="s">
        <v>80</v>
      </c>
      <c r="H1837" t="s">
        <v>56</v>
      </c>
      <c r="I1837" t="s">
        <v>85</v>
      </c>
      <c r="J1837" t="s">
        <v>62</v>
      </c>
      <c r="K1837" t="s">
        <v>58</v>
      </c>
      <c r="L1837">
        <v>2</v>
      </c>
      <c r="M1837">
        <v>882</v>
      </c>
      <c r="N1837">
        <v>176.4</v>
      </c>
      <c r="O1837">
        <v>0</v>
      </c>
      <c r="P1837">
        <v>1764</v>
      </c>
      <c r="Q1837">
        <v>1587.6</v>
      </c>
      <c r="R1837" t="s">
        <v>30</v>
      </c>
      <c r="S1837" t="s">
        <v>31</v>
      </c>
      <c r="T1837" t="s">
        <v>40</v>
      </c>
      <c r="U1837">
        <v>31</v>
      </c>
      <c r="V1837">
        <v>5</v>
      </c>
      <c r="W1837">
        <f>Table2[[#This Row],[Quantity]]*Table2[[#This Row],[Item_Price]]</f>
        <v>1764</v>
      </c>
    </row>
    <row r="1838" spans="1:23" x14ac:dyDescent="0.25">
      <c r="A1838" t="s">
        <v>1936</v>
      </c>
      <c r="B1838" s="1">
        <v>45791</v>
      </c>
      <c r="C1838" t="s">
        <v>1749</v>
      </c>
      <c r="D1838">
        <v>5</v>
      </c>
      <c r="E1838">
        <v>14</v>
      </c>
      <c r="F1838" t="s">
        <v>24</v>
      </c>
      <c r="G1838" t="s">
        <v>80</v>
      </c>
      <c r="H1838" t="s">
        <v>52</v>
      </c>
      <c r="I1838" t="s">
        <v>49</v>
      </c>
      <c r="J1838" t="s">
        <v>74</v>
      </c>
      <c r="K1838" t="s">
        <v>38</v>
      </c>
      <c r="L1838">
        <v>2</v>
      </c>
      <c r="M1838">
        <v>302</v>
      </c>
      <c r="N1838">
        <v>15.1</v>
      </c>
      <c r="O1838">
        <v>20</v>
      </c>
      <c r="P1838">
        <v>604</v>
      </c>
      <c r="Q1838">
        <v>608.9</v>
      </c>
      <c r="R1838" t="s">
        <v>39</v>
      </c>
      <c r="S1838" t="s">
        <v>31</v>
      </c>
      <c r="T1838" t="s">
        <v>40</v>
      </c>
      <c r="U1838">
        <v>31</v>
      </c>
      <c r="V1838">
        <v>4.2</v>
      </c>
      <c r="W1838">
        <f>Table2[[#This Row],[Quantity]]*Table2[[#This Row],[Item_Price]]</f>
        <v>604</v>
      </c>
    </row>
    <row r="1839" spans="1:23" x14ac:dyDescent="0.25">
      <c r="A1839" t="s">
        <v>1937</v>
      </c>
      <c r="B1839" s="1">
        <v>45791</v>
      </c>
      <c r="C1839" t="s">
        <v>1749</v>
      </c>
      <c r="D1839">
        <v>5</v>
      </c>
      <c r="E1839">
        <v>14</v>
      </c>
      <c r="F1839" t="s">
        <v>24</v>
      </c>
      <c r="G1839" t="s">
        <v>84</v>
      </c>
      <c r="H1839" t="s">
        <v>42</v>
      </c>
      <c r="I1839" t="s">
        <v>97</v>
      </c>
      <c r="J1839" t="s">
        <v>62</v>
      </c>
      <c r="K1839" t="s">
        <v>38</v>
      </c>
      <c r="L1839">
        <v>1</v>
      </c>
      <c r="M1839">
        <v>314</v>
      </c>
      <c r="N1839">
        <v>47.1</v>
      </c>
      <c r="O1839">
        <v>30</v>
      </c>
      <c r="P1839">
        <v>314</v>
      </c>
      <c r="Q1839">
        <v>296.89999999999998</v>
      </c>
      <c r="R1839" t="s">
        <v>30</v>
      </c>
      <c r="S1839" t="s">
        <v>31</v>
      </c>
      <c r="T1839" t="s">
        <v>40</v>
      </c>
      <c r="U1839">
        <v>21</v>
      </c>
      <c r="V1839">
        <v>4.8</v>
      </c>
      <c r="W1839">
        <f>Table2[[#This Row],[Quantity]]*Table2[[#This Row],[Item_Price]]</f>
        <v>314</v>
      </c>
    </row>
    <row r="1840" spans="1:23" x14ac:dyDescent="0.25">
      <c r="A1840" t="s">
        <v>1938</v>
      </c>
      <c r="B1840" s="1">
        <v>45791</v>
      </c>
      <c r="C1840" t="s">
        <v>1749</v>
      </c>
      <c r="D1840">
        <v>5</v>
      </c>
      <c r="E1840">
        <v>14</v>
      </c>
      <c r="F1840" t="s">
        <v>24</v>
      </c>
      <c r="G1840" t="s">
        <v>80</v>
      </c>
      <c r="H1840" t="s">
        <v>77</v>
      </c>
      <c r="I1840" t="s">
        <v>27</v>
      </c>
      <c r="J1840" t="s">
        <v>50</v>
      </c>
      <c r="K1840" t="s">
        <v>45</v>
      </c>
      <c r="L1840">
        <v>1</v>
      </c>
      <c r="M1840">
        <v>395</v>
      </c>
      <c r="N1840">
        <v>0</v>
      </c>
      <c r="O1840">
        <v>0</v>
      </c>
      <c r="P1840">
        <v>395</v>
      </c>
      <c r="Q1840">
        <v>395</v>
      </c>
      <c r="R1840" t="s">
        <v>75</v>
      </c>
      <c r="S1840" t="s">
        <v>31</v>
      </c>
      <c r="T1840" t="s">
        <v>40</v>
      </c>
      <c r="U1840">
        <v>67</v>
      </c>
      <c r="V1840">
        <v>4.0999999999999996</v>
      </c>
      <c r="W1840">
        <f>Table2[[#This Row],[Quantity]]*Table2[[#This Row],[Item_Price]]</f>
        <v>395</v>
      </c>
    </row>
    <row r="1841" spans="1:23" x14ac:dyDescent="0.25">
      <c r="A1841" t="s">
        <v>1939</v>
      </c>
      <c r="B1841" s="1">
        <v>45791</v>
      </c>
      <c r="C1841" t="s">
        <v>1749</v>
      </c>
      <c r="D1841">
        <v>5</v>
      </c>
      <c r="E1841">
        <v>14</v>
      </c>
      <c r="F1841" t="s">
        <v>24</v>
      </c>
      <c r="G1841" t="s">
        <v>80</v>
      </c>
      <c r="H1841" t="s">
        <v>48</v>
      </c>
      <c r="I1841" t="s">
        <v>27</v>
      </c>
      <c r="J1841" t="s">
        <v>119</v>
      </c>
      <c r="K1841" t="s">
        <v>38</v>
      </c>
      <c r="L1841">
        <v>2</v>
      </c>
      <c r="M1841">
        <v>214</v>
      </c>
      <c r="N1841">
        <v>32.1</v>
      </c>
      <c r="O1841">
        <v>30</v>
      </c>
      <c r="P1841">
        <v>428</v>
      </c>
      <c r="Q1841">
        <v>425.9</v>
      </c>
      <c r="R1841" t="s">
        <v>75</v>
      </c>
      <c r="S1841" t="s">
        <v>31</v>
      </c>
      <c r="T1841" t="s">
        <v>40</v>
      </c>
      <c r="U1841">
        <v>32</v>
      </c>
      <c r="V1841">
        <v>3.8</v>
      </c>
      <c r="W1841">
        <f>Table2[[#This Row],[Quantity]]*Table2[[#This Row],[Item_Price]]</f>
        <v>428</v>
      </c>
    </row>
    <row r="1842" spans="1:23" x14ac:dyDescent="0.25">
      <c r="A1842" t="s">
        <v>1940</v>
      </c>
      <c r="B1842" s="1">
        <v>45791</v>
      </c>
      <c r="C1842" t="s">
        <v>1749</v>
      </c>
      <c r="D1842">
        <v>5</v>
      </c>
      <c r="E1842">
        <v>14</v>
      </c>
      <c r="F1842" t="s">
        <v>24</v>
      </c>
      <c r="G1842" t="s">
        <v>84</v>
      </c>
      <c r="H1842" t="s">
        <v>108</v>
      </c>
      <c r="I1842" t="s">
        <v>57</v>
      </c>
      <c r="J1842" t="s">
        <v>123</v>
      </c>
      <c r="K1842" t="s">
        <v>38</v>
      </c>
      <c r="L1842">
        <v>1</v>
      </c>
      <c r="M1842">
        <v>510</v>
      </c>
      <c r="N1842">
        <v>127.5</v>
      </c>
      <c r="O1842">
        <v>0</v>
      </c>
      <c r="P1842">
        <v>510</v>
      </c>
      <c r="Q1842">
        <v>382.5</v>
      </c>
      <c r="R1842" t="s">
        <v>75</v>
      </c>
      <c r="S1842" t="s">
        <v>31</v>
      </c>
      <c r="T1842" t="s">
        <v>40</v>
      </c>
      <c r="U1842">
        <v>36</v>
      </c>
      <c r="V1842">
        <v>4.5999999999999996</v>
      </c>
      <c r="W1842">
        <f>Table2[[#This Row],[Quantity]]*Table2[[#This Row],[Item_Price]]</f>
        <v>510</v>
      </c>
    </row>
    <row r="1843" spans="1:23" x14ac:dyDescent="0.25">
      <c r="A1843" t="s">
        <v>1941</v>
      </c>
      <c r="B1843" s="1">
        <v>45792</v>
      </c>
      <c r="C1843" t="s">
        <v>1749</v>
      </c>
      <c r="D1843">
        <v>5</v>
      </c>
      <c r="E1843">
        <v>15</v>
      </c>
      <c r="F1843" t="s">
        <v>88</v>
      </c>
      <c r="G1843" t="s">
        <v>55</v>
      </c>
      <c r="H1843" t="s">
        <v>42</v>
      </c>
      <c r="I1843" t="s">
        <v>85</v>
      </c>
      <c r="J1843" t="s">
        <v>82</v>
      </c>
      <c r="K1843" t="s">
        <v>38</v>
      </c>
      <c r="L1843">
        <v>2</v>
      </c>
      <c r="M1843">
        <v>534</v>
      </c>
      <c r="N1843">
        <v>26.7</v>
      </c>
      <c r="O1843">
        <v>30</v>
      </c>
      <c r="P1843">
        <v>1068</v>
      </c>
      <c r="Q1843">
        <v>1071.3</v>
      </c>
      <c r="R1843" t="s">
        <v>39</v>
      </c>
      <c r="S1843" t="s">
        <v>31</v>
      </c>
      <c r="T1843" t="s">
        <v>40</v>
      </c>
      <c r="U1843">
        <v>50</v>
      </c>
      <c r="V1843">
        <v>4</v>
      </c>
      <c r="W1843">
        <f>Table2[[#This Row],[Quantity]]*Table2[[#This Row],[Item_Price]]</f>
        <v>1068</v>
      </c>
    </row>
    <row r="1844" spans="1:23" x14ac:dyDescent="0.25">
      <c r="A1844" t="s">
        <v>1942</v>
      </c>
      <c r="B1844" s="1">
        <v>45792</v>
      </c>
      <c r="C1844" t="s">
        <v>1749</v>
      </c>
      <c r="D1844">
        <v>5</v>
      </c>
      <c r="E1844">
        <v>15</v>
      </c>
      <c r="F1844" t="s">
        <v>88</v>
      </c>
      <c r="G1844" t="s">
        <v>115</v>
      </c>
      <c r="H1844" t="s">
        <v>81</v>
      </c>
      <c r="I1844" t="s">
        <v>43</v>
      </c>
      <c r="J1844" t="s">
        <v>50</v>
      </c>
      <c r="K1844" t="s">
        <v>45</v>
      </c>
      <c r="L1844">
        <v>1</v>
      </c>
      <c r="M1844">
        <v>888</v>
      </c>
      <c r="N1844">
        <v>0</v>
      </c>
      <c r="O1844">
        <v>60</v>
      </c>
      <c r="P1844">
        <v>888</v>
      </c>
      <c r="Q1844">
        <v>948</v>
      </c>
      <c r="R1844" t="s">
        <v>39</v>
      </c>
      <c r="S1844" t="s">
        <v>31</v>
      </c>
      <c r="T1844" t="s">
        <v>40</v>
      </c>
      <c r="U1844">
        <v>67</v>
      </c>
      <c r="V1844">
        <v>4.8</v>
      </c>
      <c r="W1844">
        <f>Table2[[#This Row],[Quantity]]*Table2[[#This Row],[Item_Price]]</f>
        <v>888</v>
      </c>
    </row>
    <row r="1845" spans="1:23" x14ac:dyDescent="0.25">
      <c r="A1845" t="s">
        <v>1943</v>
      </c>
      <c r="B1845" s="1">
        <v>45792</v>
      </c>
      <c r="C1845" t="s">
        <v>1749</v>
      </c>
      <c r="D1845">
        <v>5</v>
      </c>
      <c r="E1845">
        <v>15</v>
      </c>
      <c r="F1845" t="s">
        <v>88</v>
      </c>
      <c r="G1845" t="s">
        <v>90</v>
      </c>
      <c r="H1845" t="s">
        <v>68</v>
      </c>
      <c r="I1845" t="s">
        <v>49</v>
      </c>
      <c r="J1845" t="s">
        <v>66</v>
      </c>
      <c r="K1845" t="s">
        <v>29</v>
      </c>
      <c r="L1845">
        <v>1</v>
      </c>
      <c r="M1845">
        <v>497</v>
      </c>
      <c r="N1845">
        <v>49.7</v>
      </c>
      <c r="O1845">
        <v>60</v>
      </c>
      <c r="P1845">
        <v>497</v>
      </c>
      <c r="Q1845">
        <v>507.3</v>
      </c>
      <c r="R1845" t="s">
        <v>30</v>
      </c>
      <c r="S1845" t="s">
        <v>31</v>
      </c>
      <c r="T1845" t="s">
        <v>32</v>
      </c>
      <c r="U1845">
        <v>25</v>
      </c>
      <c r="V1845">
        <v>4.9000000000000004</v>
      </c>
      <c r="W1845">
        <f>Table2[[#This Row],[Quantity]]*Table2[[#This Row],[Item_Price]]</f>
        <v>497</v>
      </c>
    </row>
    <row r="1846" spans="1:23" x14ac:dyDescent="0.25">
      <c r="A1846" t="s">
        <v>1944</v>
      </c>
      <c r="B1846" s="1">
        <v>45792</v>
      </c>
      <c r="C1846" t="s">
        <v>1749</v>
      </c>
      <c r="D1846">
        <v>5</v>
      </c>
      <c r="E1846">
        <v>15</v>
      </c>
      <c r="F1846" t="s">
        <v>88</v>
      </c>
      <c r="G1846" t="s">
        <v>64</v>
      </c>
      <c r="H1846" t="s">
        <v>65</v>
      </c>
      <c r="I1846" t="s">
        <v>61</v>
      </c>
      <c r="J1846" t="s">
        <v>74</v>
      </c>
      <c r="K1846" t="s">
        <v>45</v>
      </c>
      <c r="L1846">
        <v>3</v>
      </c>
      <c r="M1846">
        <v>693</v>
      </c>
      <c r="N1846">
        <v>138.6</v>
      </c>
      <c r="O1846">
        <v>60</v>
      </c>
      <c r="P1846">
        <v>2079</v>
      </c>
      <c r="Q1846">
        <v>2000.4</v>
      </c>
      <c r="R1846" t="s">
        <v>30</v>
      </c>
      <c r="S1846" t="s">
        <v>46</v>
      </c>
      <c r="T1846" t="s">
        <v>32</v>
      </c>
      <c r="U1846">
        <v>25</v>
      </c>
      <c r="W1846">
        <f>Table2[[#This Row],[Quantity]]*Table2[[#This Row],[Item_Price]]</f>
        <v>2079</v>
      </c>
    </row>
    <row r="1847" spans="1:23" x14ac:dyDescent="0.25">
      <c r="A1847" t="s">
        <v>1945</v>
      </c>
      <c r="B1847" s="1">
        <v>45792</v>
      </c>
      <c r="C1847" t="s">
        <v>1749</v>
      </c>
      <c r="D1847">
        <v>5</v>
      </c>
      <c r="E1847">
        <v>15</v>
      </c>
      <c r="F1847" t="s">
        <v>88</v>
      </c>
      <c r="G1847" t="s">
        <v>25</v>
      </c>
      <c r="H1847" t="s">
        <v>42</v>
      </c>
      <c r="I1847" t="s">
        <v>69</v>
      </c>
      <c r="J1847" t="s">
        <v>44</v>
      </c>
      <c r="K1847" t="s">
        <v>38</v>
      </c>
      <c r="L1847">
        <v>2</v>
      </c>
      <c r="M1847">
        <v>415</v>
      </c>
      <c r="N1847">
        <v>62.25</v>
      </c>
      <c r="O1847">
        <v>30</v>
      </c>
      <c r="P1847">
        <v>830</v>
      </c>
      <c r="Q1847">
        <v>797.75</v>
      </c>
      <c r="R1847" t="s">
        <v>75</v>
      </c>
      <c r="S1847" t="s">
        <v>31</v>
      </c>
      <c r="T1847" t="s">
        <v>40</v>
      </c>
      <c r="U1847">
        <v>60</v>
      </c>
      <c r="V1847">
        <v>3.9</v>
      </c>
      <c r="W1847">
        <f>Table2[[#This Row],[Quantity]]*Table2[[#This Row],[Item_Price]]</f>
        <v>830</v>
      </c>
    </row>
    <row r="1848" spans="1:23" x14ac:dyDescent="0.25">
      <c r="A1848" t="s">
        <v>1946</v>
      </c>
      <c r="B1848" s="1">
        <v>45792</v>
      </c>
      <c r="C1848" t="s">
        <v>1749</v>
      </c>
      <c r="D1848">
        <v>5</v>
      </c>
      <c r="E1848">
        <v>15</v>
      </c>
      <c r="F1848" t="s">
        <v>88</v>
      </c>
      <c r="G1848" t="s">
        <v>34</v>
      </c>
      <c r="H1848" t="s">
        <v>81</v>
      </c>
      <c r="I1848" t="s">
        <v>69</v>
      </c>
      <c r="J1848" t="s">
        <v>28</v>
      </c>
      <c r="K1848" t="s">
        <v>38</v>
      </c>
      <c r="L1848">
        <v>1</v>
      </c>
      <c r="M1848">
        <v>403</v>
      </c>
      <c r="N1848">
        <v>100.75</v>
      </c>
      <c r="O1848">
        <v>40</v>
      </c>
      <c r="P1848">
        <v>403</v>
      </c>
      <c r="Q1848">
        <v>342.25</v>
      </c>
      <c r="R1848" t="s">
        <v>30</v>
      </c>
      <c r="S1848" t="s">
        <v>31</v>
      </c>
      <c r="T1848" t="s">
        <v>40</v>
      </c>
      <c r="U1848">
        <v>69</v>
      </c>
      <c r="V1848">
        <v>4</v>
      </c>
      <c r="W1848">
        <f>Table2[[#This Row],[Quantity]]*Table2[[#This Row],[Item_Price]]</f>
        <v>403</v>
      </c>
    </row>
    <row r="1849" spans="1:23" x14ac:dyDescent="0.25">
      <c r="A1849" t="s">
        <v>1947</v>
      </c>
      <c r="B1849" s="1">
        <v>45792</v>
      </c>
      <c r="C1849" t="s">
        <v>1749</v>
      </c>
      <c r="D1849">
        <v>5</v>
      </c>
      <c r="E1849">
        <v>15</v>
      </c>
      <c r="F1849" t="s">
        <v>88</v>
      </c>
      <c r="G1849" t="s">
        <v>34</v>
      </c>
      <c r="H1849" t="s">
        <v>60</v>
      </c>
      <c r="I1849" t="s">
        <v>27</v>
      </c>
      <c r="J1849" t="s">
        <v>74</v>
      </c>
      <c r="K1849" t="s">
        <v>45</v>
      </c>
      <c r="L1849">
        <v>2</v>
      </c>
      <c r="M1849">
        <v>758</v>
      </c>
      <c r="N1849">
        <v>151.6</v>
      </c>
      <c r="O1849">
        <v>50</v>
      </c>
      <c r="P1849">
        <v>1516</v>
      </c>
      <c r="Q1849">
        <v>1414.4</v>
      </c>
      <c r="R1849" t="s">
        <v>112</v>
      </c>
      <c r="S1849" t="s">
        <v>31</v>
      </c>
      <c r="T1849" t="s">
        <v>40</v>
      </c>
      <c r="U1849">
        <v>68</v>
      </c>
      <c r="V1849">
        <v>3.1</v>
      </c>
      <c r="W1849">
        <f>Table2[[#This Row],[Quantity]]*Table2[[#This Row],[Item_Price]]</f>
        <v>1516</v>
      </c>
    </row>
    <row r="1850" spans="1:23" x14ac:dyDescent="0.25">
      <c r="A1850" t="s">
        <v>1948</v>
      </c>
      <c r="B1850" s="1">
        <v>45793</v>
      </c>
      <c r="C1850" t="s">
        <v>1749</v>
      </c>
      <c r="D1850">
        <v>5</v>
      </c>
      <c r="E1850">
        <v>16</v>
      </c>
      <c r="F1850" t="s">
        <v>114</v>
      </c>
      <c r="G1850" t="s">
        <v>73</v>
      </c>
      <c r="H1850" t="s">
        <v>68</v>
      </c>
      <c r="I1850" t="s">
        <v>97</v>
      </c>
      <c r="J1850" t="s">
        <v>101</v>
      </c>
      <c r="K1850" t="s">
        <v>38</v>
      </c>
      <c r="L1850">
        <v>1</v>
      </c>
      <c r="M1850">
        <v>226</v>
      </c>
      <c r="N1850">
        <v>22.6</v>
      </c>
      <c r="O1850">
        <v>50</v>
      </c>
      <c r="P1850">
        <v>226</v>
      </c>
      <c r="Q1850">
        <v>253.4</v>
      </c>
      <c r="R1850" t="s">
        <v>75</v>
      </c>
      <c r="S1850" t="s">
        <v>31</v>
      </c>
      <c r="T1850" t="s">
        <v>40</v>
      </c>
      <c r="U1850">
        <v>30</v>
      </c>
      <c r="V1850">
        <v>1.9</v>
      </c>
      <c r="W1850">
        <f>Table2[[#This Row],[Quantity]]*Table2[[#This Row],[Item_Price]]</f>
        <v>226</v>
      </c>
    </row>
    <row r="1851" spans="1:23" x14ac:dyDescent="0.25">
      <c r="A1851" t="s">
        <v>1949</v>
      </c>
      <c r="B1851" s="1">
        <v>45793</v>
      </c>
      <c r="C1851" t="s">
        <v>1749</v>
      </c>
      <c r="D1851">
        <v>5</v>
      </c>
      <c r="E1851">
        <v>16</v>
      </c>
      <c r="F1851" t="s">
        <v>114</v>
      </c>
      <c r="G1851" t="s">
        <v>73</v>
      </c>
      <c r="H1851" t="s">
        <v>35</v>
      </c>
      <c r="I1851" t="s">
        <v>97</v>
      </c>
      <c r="J1851" t="s">
        <v>28</v>
      </c>
      <c r="K1851" t="s">
        <v>38</v>
      </c>
      <c r="L1851">
        <v>2</v>
      </c>
      <c r="M1851">
        <v>679</v>
      </c>
      <c r="N1851">
        <v>135.80000000000001</v>
      </c>
      <c r="O1851">
        <v>60</v>
      </c>
      <c r="P1851">
        <v>1358</v>
      </c>
      <c r="Q1851">
        <v>1282.2</v>
      </c>
      <c r="R1851" t="s">
        <v>39</v>
      </c>
      <c r="S1851" t="s">
        <v>31</v>
      </c>
      <c r="T1851" t="s">
        <v>40</v>
      </c>
      <c r="U1851">
        <v>43</v>
      </c>
      <c r="V1851">
        <v>4.4000000000000004</v>
      </c>
      <c r="W1851">
        <f>Table2[[#This Row],[Quantity]]*Table2[[#This Row],[Item_Price]]</f>
        <v>1358</v>
      </c>
    </row>
    <row r="1852" spans="1:23" x14ac:dyDescent="0.25">
      <c r="A1852" t="s">
        <v>1950</v>
      </c>
      <c r="B1852" s="1">
        <v>45793</v>
      </c>
      <c r="C1852" t="s">
        <v>1749</v>
      </c>
      <c r="D1852">
        <v>5</v>
      </c>
      <c r="E1852">
        <v>16</v>
      </c>
      <c r="F1852" t="s">
        <v>114</v>
      </c>
      <c r="G1852" t="s">
        <v>80</v>
      </c>
      <c r="H1852" t="s">
        <v>77</v>
      </c>
      <c r="I1852" t="s">
        <v>57</v>
      </c>
      <c r="J1852" t="s">
        <v>172</v>
      </c>
      <c r="K1852" t="s">
        <v>38</v>
      </c>
      <c r="L1852">
        <v>1</v>
      </c>
      <c r="M1852">
        <v>646</v>
      </c>
      <c r="N1852">
        <v>129.19999999999999</v>
      </c>
      <c r="O1852">
        <v>30</v>
      </c>
      <c r="P1852">
        <v>646</v>
      </c>
      <c r="Q1852">
        <v>546.79999999999995</v>
      </c>
      <c r="R1852" t="s">
        <v>98</v>
      </c>
      <c r="S1852" t="s">
        <v>31</v>
      </c>
      <c r="T1852" t="s">
        <v>32</v>
      </c>
      <c r="U1852">
        <v>33</v>
      </c>
      <c r="V1852">
        <v>4.2</v>
      </c>
      <c r="W1852">
        <f>Table2[[#This Row],[Quantity]]*Table2[[#This Row],[Item_Price]]</f>
        <v>646</v>
      </c>
    </row>
    <row r="1853" spans="1:23" x14ac:dyDescent="0.25">
      <c r="A1853" t="s">
        <v>1951</v>
      </c>
      <c r="B1853" s="1">
        <v>45793</v>
      </c>
      <c r="C1853" t="s">
        <v>1749</v>
      </c>
      <c r="D1853">
        <v>5</v>
      </c>
      <c r="E1853">
        <v>16</v>
      </c>
      <c r="F1853" t="s">
        <v>114</v>
      </c>
      <c r="G1853" t="s">
        <v>25</v>
      </c>
      <c r="H1853" t="s">
        <v>108</v>
      </c>
      <c r="I1853" t="s">
        <v>97</v>
      </c>
      <c r="J1853" t="s">
        <v>28</v>
      </c>
      <c r="K1853" t="s">
        <v>45</v>
      </c>
      <c r="L1853">
        <v>1</v>
      </c>
      <c r="M1853">
        <v>506</v>
      </c>
      <c r="N1853">
        <v>25.3</v>
      </c>
      <c r="O1853">
        <v>30</v>
      </c>
      <c r="P1853">
        <v>506</v>
      </c>
      <c r="Q1853">
        <v>510.7</v>
      </c>
      <c r="R1853" t="s">
        <v>98</v>
      </c>
      <c r="S1853" t="s">
        <v>31</v>
      </c>
      <c r="T1853" t="s">
        <v>40</v>
      </c>
      <c r="U1853">
        <v>63</v>
      </c>
      <c r="V1853">
        <v>3.8</v>
      </c>
      <c r="W1853">
        <f>Table2[[#This Row],[Quantity]]*Table2[[#This Row],[Item_Price]]</f>
        <v>506</v>
      </c>
    </row>
    <row r="1854" spans="1:23" x14ac:dyDescent="0.25">
      <c r="A1854" t="s">
        <v>1952</v>
      </c>
      <c r="B1854" s="1">
        <v>45793</v>
      </c>
      <c r="C1854" t="s">
        <v>1749</v>
      </c>
      <c r="D1854">
        <v>5</v>
      </c>
      <c r="E1854">
        <v>16</v>
      </c>
      <c r="F1854" t="s">
        <v>114</v>
      </c>
      <c r="G1854" t="s">
        <v>80</v>
      </c>
      <c r="H1854" t="s">
        <v>68</v>
      </c>
      <c r="I1854" t="s">
        <v>103</v>
      </c>
      <c r="J1854" t="s">
        <v>28</v>
      </c>
      <c r="K1854" t="s">
        <v>38</v>
      </c>
      <c r="L1854">
        <v>1</v>
      </c>
      <c r="M1854">
        <v>607</v>
      </c>
      <c r="N1854">
        <v>60.7</v>
      </c>
      <c r="O1854">
        <v>0</v>
      </c>
      <c r="P1854">
        <v>607</v>
      </c>
      <c r="Q1854">
        <v>546.29999999999995</v>
      </c>
      <c r="R1854" t="s">
        <v>98</v>
      </c>
      <c r="S1854" t="s">
        <v>110</v>
      </c>
      <c r="T1854" t="s">
        <v>32</v>
      </c>
      <c r="U1854">
        <v>54</v>
      </c>
      <c r="W1854">
        <f>Table2[[#This Row],[Quantity]]*Table2[[#This Row],[Item_Price]]</f>
        <v>607</v>
      </c>
    </row>
    <row r="1855" spans="1:23" x14ac:dyDescent="0.25">
      <c r="A1855" t="s">
        <v>1953</v>
      </c>
      <c r="B1855" s="1">
        <v>45793</v>
      </c>
      <c r="C1855" t="s">
        <v>1749</v>
      </c>
      <c r="D1855">
        <v>5</v>
      </c>
      <c r="E1855">
        <v>16</v>
      </c>
      <c r="F1855" t="s">
        <v>114</v>
      </c>
      <c r="G1855" t="s">
        <v>34</v>
      </c>
      <c r="H1855" t="s">
        <v>77</v>
      </c>
      <c r="I1855" t="s">
        <v>36</v>
      </c>
      <c r="J1855" t="s">
        <v>172</v>
      </c>
      <c r="K1855" t="s">
        <v>38</v>
      </c>
      <c r="L1855">
        <v>1</v>
      </c>
      <c r="M1855">
        <v>441</v>
      </c>
      <c r="N1855">
        <v>66.150000000000006</v>
      </c>
      <c r="O1855">
        <v>40</v>
      </c>
      <c r="P1855">
        <v>441</v>
      </c>
      <c r="Q1855">
        <v>414.85</v>
      </c>
      <c r="R1855" t="s">
        <v>75</v>
      </c>
      <c r="S1855" t="s">
        <v>31</v>
      </c>
      <c r="T1855" t="s">
        <v>40</v>
      </c>
      <c r="U1855">
        <v>48</v>
      </c>
      <c r="V1855">
        <v>2.8</v>
      </c>
      <c r="W1855">
        <f>Table2[[#This Row],[Quantity]]*Table2[[#This Row],[Item_Price]]</f>
        <v>441</v>
      </c>
    </row>
    <row r="1856" spans="1:23" x14ac:dyDescent="0.25">
      <c r="A1856" t="s">
        <v>1954</v>
      </c>
      <c r="B1856" s="1">
        <v>45793</v>
      </c>
      <c r="C1856" t="s">
        <v>1749</v>
      </c>
      <c r="D1856">
        <v>5</v>
      </c>
      <c r="E1856">
        <v>16</v>
      </c>
      <c r="F1856" t="s">
        <v>114</v>
      </c>
      <c r="G1856" t="s">
        <v>96</v>
      </c>
      <c r="H1856" t="s">
        <v>135</v>
      </c>
      <c r="I1856" t="s">
        <v>103</v>
      </c>
      <c r="J1856" t="s">
        <v>119</v>
      </c>
      <c r="K1856" t="s">
        <v>38</v>
      </c>
      <c r="L1856">
        <v>2</v>
      </c>
      <c r="M1856">
        <v>261</v>
      </c>
      <c r="N1856">
        <v>0</v>
      </c>
      <c r="O1856">
        <v>30</v>
      </c>
      <c r="P1856">
        <v>522</v>
      </c>
      <c r="Q1856">
        <v>552</v>
      </c>
      <c r="R1856" t="s">
        <v>75</v>
      </c>
      <c r="S1856" t="s">
        <v>31</v>
      </c>
      <c r="T1856" t="s">
        <v>32</v>
      </c>
      <c r="U1856">
        <v>60</v>
      </c>
      <c r="V1856">
        <v>3.5</v>
      </c>
      <c r="W1856">
        <f>Table2[[#This Row],[Quantity]]*Table2[[#This Row],[Item_Price]]</f>
        <v>522</v>
      </c>
    </row>
    <row r="1857" spans="1:23" x14ac:dyDescent="0.25">
      <c r="A1857" t="s">
        <v>1955</v>
      </c>
      <c r="B1857" s="1">
        <v>45793</v>
      </c>
      <c r="C1857" t="s">
        <v>1749</v>
      </c>
      <c r="D1857">
        <v>5</v>
      </c>
      <c r="E1857">
        <v>16</v>
      </c>
      <c r="F1857" t="s">
        <v>114</v>
      </c>
      <c r="G1857" t="s">
        <v>80</v>
      </c>
      <c r="H1857" t="s">
        <v>135</v>
      </c>
      <c r="I1857" t="s">
        <v>85</v>
      </c>
      <c r="J1857" t="s">
        <v>172</v>
      </c>
      <c r="K1857" t="s">
        <v>38</v>
      </c>
      <c r="L1857">
        <v>2</v>
      </c>
      <c r="M1857">
        <v>449</v>
      </c>
      <c r="N1857">
        <v>67.349999999999994</v>
      </c>
      <c r="O1857">
        <v>50</v>
      </c>
      <c r="P1857">
        <v>898</v>
      </c>
      <c r="Q1857">
        <v>880.65</v>
      </c>
      <c r="R1857" t="s">
        <v>39</v>
      </c>
      <c r="S1857" t="s">
        <v>31</v>
      </c>
      <c r="T1857" t="s">
        <v>40</v>
      </c>
      <c r="U1857">
        <v>50</v>
      </c>
      <c r="V1857">
        <v>2.2999999999999998</v>
      </c>
      <c r="W1857">
        <f>Table2[[#This Row],[Quantity]]*Table2[[#This Row],[Item_Price]]</f>
        <v>898</v>
      </c>
    </row>
    <row r="1858" spans="1:23" x14ac:dyDescent="0.25">
      <c r="A1858" t="s">
        <v>1956</v>
      </c>
      <c r="B1858" s="1">
        <v>45793</v>
      </c>
      <c r="C1858" t="s">
        <v>1749</v>
      </c>
      <c r="D1858">
        <v>5</v>
      </c>
      <c r="E1858">
        <v>16</v>
      </c>
      <c r="F1858" t="s">
        <v>114</v>
      </c>
      <c r="G1858" t="s">
        <v>73</v>
      </c>
      <c r="H1858" t="s">
        <v>26</v>
      </c>
      <c r="I1858" t="s">
        <v>97</v>
      </c>
      <c r="J1858" t="s">
        <v>37</v>
      </c>
      <c r="K1858" t="s">
        <v>38</v>
      </c>
      <c r="L1858">
        <v>2</v>
      </c>
      <c r="M1858">
        <v>536</v>
      </c>
      <c r="N1858">
        <v>107.2</v>
      </c>
      <c r="O1858">
        <v>0</v>
      </c>
      <c r="P1858">
        <v>1072</v>
      </c>
      <c r="Q1858">
        <v>964.8</v>
      </c>
      <c r="R1858" t="s">
        <v>98</v>
      </c>
      <c r="S1858" t="s">
        <v>31</v>
      </c>
      <c r="T1858" t="s">
        <v>40</v>
      </c>
      <c r="U1858">
        <v>50</v>
      </c>
      <c r="V1858">
        <v>4.3</v>
      </c>
      <c r="W1858">
        <f>Table2[[#This Row],[Quantity]]*Table2[[#This Row],[Item_Price]]</f>
        <v>1072</v>
      </c>
    </row>
    <row r="1859" spans="1:23" x14ac:dyDescent="0.25">
      <c r="A1859" t="s">
        <v>1957</v>
      </c>
      <c r="B1859" s="1">
        <v>45793</v>
      </c>
      <c r="C1859" t="s">
        <v>1749</v>
      </c>
      <c r="D1859">
        <v>5</v>
      </c>
      <c r="E1859">
        <v>16</v>
      </c>
      <c r="F1859" t="s">
        <v>114</v>
      </c>
      <c r="G1859" t="s">
        <v>34</v>
      </c>
      <c r="H1859" t="s">
        <v>60</v>
      </c>
      <c r="I1859" t="s">
        <v>57</v>
      </c>
      <c r="J1859" t="s">
        <v>82</v>
      </c>
      <c r="K1859" t="s">
        <v>38</v>
      </c>
      <c r="L1859">
        <v>1</v>
      </c>
      <c r="M1859">
        <v>436</v>
      </c>
      <c r="N1859">
        <v>0</v>
      </c>
      <c r="O1859">
        <v>20</v>
      </c>
      <c r="P1859">
        <v>436</v>
      </c>
      <c r="Q1859">
        <v>456</v>
      </c>
      <c r="R1859" t="s">
        <v>98</v>
      </c>
      <c r="S1859" t="s">
        <v>31</v>
      </c>
      <c r="T1859" t="s">
        <v>40</v>
      </c>
      <c r="U1859">
        <v>48</v>
      </c>
      <c r="V1859">
        <v>5</v>
      </c>
      <c r="W1859">
        <f>Table2[[#This Row],[Quantity]]*Table2[[#This Row],[Item_Price]]</f>
        <v>436</v>
      </c>
    </row>
    <row r="1860" spans="1:23" x14ac:dyDescent="0.25">
      <c r="A1860" t="s">
        <v>1958</v>
      </c>
      <c r="B1860" s="1">
        <v>45793</v>
      </c>
      <c r="C1860" t="s">
        <v>1749</v>
      </c>
      <c r="D1860">
        <v>5</v>
      </c>
      <c r="E1860">
        <v>16</v>
      </c>
      <c r="F1860" t="s">
        <v>114</v>
      </c>
      <c r="G1860" t="s">
        <v>80</v>
      </c>
      <c r="H1860" t="s">
        <v>135</v>
      </c>
      <c r="I1860" t="s">
        <v>43</v>
      </c>
      <c r="J1860" t="s">
        <v>50</v>
      </c>
      <c r="K1860" t="s">
        <v>45</v>
      </c>
      <c r="L1860">
        <v>1</v>
      </c>
      <c r="M1860">
        <v>483</v>
      </c>
      <c r="N1860">
        <v>120.75</v>
      </c>
      <c r="O1860">
        <v>40</v>
      </c>
      <c r="P1860">
        <v>483</v>
      </c>
      <c r="Q1860">
        <v>402.25</v>
      </c>
      <c r="R1860" t="s">
        <v>39</v>
      </c>
      <c r="S1860" t="s">
        <v>91</v>
      </c>
      <c r="T1860" t="s">
        <v>40</v>
      </c>
      <c r="U1860">
        <v>40</v>
      </c>
      <c r="W1860">
        <f>Table2[[#This Row],[Quantity]]*Table2[[#This Row],[Item_Price]]</f>
        <v>483</v>
      </c>
    </row>
    <row r="1861" spans="1:23" x14ac:dyDescent="0.25">
      <c r="A1861" t="s">
        <v>1959</v>
      </c>
      <c r="B1861" s="1">
        <v>45793</v>
      </c>
      <c r="C1861" t="s">
        <v>1749</v>
      </c>
      <c r="D1861">
        <v>5</v>
      </c>
      <c r="E1861">
        <v>16</v>
      </c>
      <c r="F1861" t="s">
        <v>114</v>
      </c>
      <c r="G1861" t="s">
        <v>115</v>
      </c>
      <c r="H1861" t="s">
        <v>139</v>
      </c>
      <c r="I1861" t="s">
        <v>69</v>
      </c>
      <c r="J1861" t="s">
        <v>74</v>
      </c>
      <c r="K1861" t="s">
        <v>38</v>
      </c>
      <c r="L1861">
        <v>1</v>
      </c>
      <c r="M1861">
        <v>378</v>
      </c>
      <c r="N1861">
        <v>56.7</v>
      </c>
      <c r="O1861">
        <v>0</v>
      </c>
      <c r="P1861">
        <v>378</v>
      </c>
      <c r="Q1861">
        <v>321.3</v>
      </c>
      <c r="R1861" t="s">
        <v>39</v>
      </c>
      <c r="S1861" t="s">
        <v>31</v>
      </c>
      <c r="T1861" t="s">
        <v>32</v>
      </c>
      <c r="U1861">
        <v>50</v>
      </c>
      <c r="V1861">
        <v>3.5</v>
      </c>
      <c r="W1861">
        <f>Table2[[#This Row],[Quantity]]*Table2[[#This Row],[Item_Price]]</f>
        <v>378</v>
      </c>
    </row>
    <row r="1862" spans="1:23" x14ac:dyDescent="0.25">
      <c r="A1862" t="s">
        <v>1960</v>
      </c>
      <c r="B1862" s="1">
        <v>45793</v>
      </c>
      <c r="C1862" t="s">
        <v>1749</v>
      </c>
      <c r="D1862">
        <v>5</v>
      </c>
      <c r="E1862">
        <v>16</v>
      </c>
      <c r="F1862" t="s">
        <v>114</v>
      </c>
      <c r="G1862" t="s">
        <v>34</v>
      </c>
      <c r="H1862" t="s">
        <v>108</v>
      </c>
      <c r="I1862" t="s">
        <v>27</v>
      </c>
      <c r="J1862" t="s">
        <v>78</v>
      </c>
      <c r="K1862" t="s">
        <v>45</v>
      </c>
      <c r="L1862">
        <v>2</v>
      </c>
      <c r="M1862">
        <v>514</v>
      </c>
      <c r="N1862">
        <v>77.099999999999994</v>
      </c>
      <c r="O1862">
        <v>30</v>
      </c>
      <c r="P1862">
        <v>1028</v>
      </c>
      <c r="Q1862">
        <v>980.9</v>
      </c>
      <c r="R1862" t="s">
        <v>112</v>
      </c>
      <c r="S1862" t="s">
        <v>31</v>
      </c>
      <c r="T1862" t="s">
        <v>40</v>
      </c>
      <c r="U1862">
        <v>67</v>
      </c>
      <c r="V1862">
        <v>4.7</v>
      </c>
      <c r="W1862">
        <f>Table2[[#This Row],[Quantity]]*Table2[[#This Row],[Item_Price]]</f>
        <v>1028</v>
      </c>
    </row>
    <row r="1863" spans="1:23" x14ac:dyDescent="0.25">
      <c r="A1863" t="s">
        <v>1961</v>
      </c>
      <c r="B1863" s="1">
        <v>45793</v>
      </c>
      <c r="C1863" t="s">
        <v>1749</v>
      </c>
      <c r="D1863">
        <v>5</v>
      </c>
      <c r="E1863">
        <v>16</v>
      </c>
      <c r="F1863" t="s">
        <v>114</v>
      </c>
      <c r="G1863" t="s">
        <v>80</v>
      </c>
      <c r="H1863" t="s">
        <v>52</v>
      </c>
      <c r="I1863" t="s">
        <v>61</v>
      </c>
      <c r="J1863" t="s">
        <v>119</v>
      </c>
      <c r="K1863" t="s">
        <v>45</v>
      </c>
      <c r="L1863">
        <v>3</v>
      </c>
      <c r="M1863">
        <v>334</v>
      </c>
      <c r="N1863">
        <v>16.7</v>
      </c>
      <c r="O1863">
        <v>40</v>
      </c>
      <c r="P1863">
        <v>1002</v>
      </c>
      <c r="Q1863">
        <v>1025.3</v>
      </c>
      <c r="R1863" t="s">
        <v>39</v>
      </c>
      <c r="S1863" t="s">
        <v>31</v>
      </c>
      <c r="T1863" t="s">
        <v>40</v>
      </c>
      <c r="U1863">
        <v>49</v>
      </c>
      <c r="V1863">
        <v>4.8</v>
      </c>
      <c r="W1863">
        <f>Table2[[#This Row],[Quantity]]*Table2[[#This Row],[Item_Price]]</f>
        <v>1002</v>
      </c>
    </row>
    <row r="1864" spans="1:23" x14ac:dyDescent="0.25">
      <c r="A1864" t="s">
        <v>1962</v>
      </c>
      <c r="B1864" s="1">
        <v>45793</v>
      </c>
      <c r="C1864" t="s">
        <v>1749</v>
      </c>
      <c r="D1864">
        <v>5</v>
      </c>
      <c r="E1864">
        <v>16</v>
      </c>
      <c r="F1864" t="s">
        <v>114</v>
      </c>
      <c r="G1864" t="s">
        <v>34</v>
      </c>
      <c r="H1864" t="s">
        <v>48</v>
      </c>
      <c r="I1864" t="s">
        <v>27</v>
      </c>
      <c r="J1864" t="s">
        <v>44</v>
      </c>
      <c r="K1864" t="s">
        <v>38</v>
      </c>
      <c r="L1864">
        <v>2</v>
      </c>
      <c r="M1864">
        <v>853</v>
      </c>
      <c r="N1864">
        <v>0</v>
      </c>
      <c r="O1864">
        <v>60</v>
      </c>
      <c r="P1864">
        <v>1706</v>
      </c>
      <c r="Q1864">
        <v>1766</v>
      </c>
      <c r="R1864" t="s">
        <v>75</v>
      </c>
      <c r="S1864" t="s">
        <v>31</v>
      </c>
      <c r="T1864" t="s">
        <v>32</v>
      </c>
      <c r="U1864">
        <v>25</v>
      </c>
      <c r="V1864">
        <v>4.4000000000000004</v>
      </c>
      <c r="W1864">
        <f>Table2[[#This Row],[Quantity]]*Table2[[#This Row],[Item_Price]]</f>
        <v>1706</v>
      </c>
    </row>
    <row r="1865" spans="1:23" x14ac:dyDescent="0.25">
      <c r="A1865" t="s">
        <v>1963</v>
      </c>
      <c r="B1865" s="1">
        <v>45794</v>
      </c>
      <c r="C1865" t="s">
        <v>1749</v>
      </c>
      <c r="D1865">
        <v>5</v>
      </c>
      <c r="E1865">
        <v>17</v>
      </c>
      <c r="F1865" t="s">
        <v>134</v>
      </c>
      <c r="G1865" t="s">
        <v>80</v>
      </c>
      <c r="H1865" t="s">
        <v>48</v>
      </c>
      <c r="I1865" t="s">
        <v>36</v>
      </c>
      <c r="J1865" t="s">
        <v>101</v>
      </c>
      <c r="K1865" t="s">
        <v>38</v>
      </c>
      <c r="L1865">
        <v>1</v>
      </c>
      <c r="M1865">
        <v>433</v>
      </c>
      <c r="N1865">
        <v>108.25</v>
      </c>
      <c r="O1865">
        <v>30</v>
      </c>
      <c r="P1865">
        <v>433</v>
      </c>
      <c r="Q1865">
        <v>354.75</v>
      </c>
      <c r="R1865" t="s">
        <v>98</v>
      </c>
      <c r="S1865" t="s">
        <v>31</v>
      </c>
      <c r="T1865" t="s">
        <v>32</v>
      </c>
      <c r="U1865">
        <v>45</v>
      </c>
      <c r="V1865">
        <v>4.7</v>
      </c>
      <c r="W1865">
        <f>Table2[[#This Row],[Quantity]]*Table2[[#This Row],[Item_Price]]</f>
        <v>433</v>
      </c>
    </row>
    <row r="1866" spans="1:23" x14ac:dyDescent="0.25">
      <c r="A1866" t="s">
        <v>1964</v>
      </c>
      <c r="B1866" s="1">
        <v>45794</v>
      </c>
      <c r="C1866" t="s">
        <v>1749</v>
      </c>
      <c r="D1866">
        <v>5</v>
      </c>
      <c r="E1866">
        <v>17</v>
      </c>
      <c r="F1866" t="s">
        <v>134</v>
      </c>
      <c r="G1866" t="s">
        <v>80</v>
      </c>
      <c r="H1866" t="s">
        <v>52</v>
      </c>
      <c r="I1866" t="s">
        <v>57</v>
      </c>
      <c r="J1866" t="s">
        <v>53</v>
      </c>
      <c r="K1866" t="s">
        <v>38</v>
      </c>
      <c r="L1866">
        <v>1</v>
      </c>
      <c r="M1866">
        <v>219</v>
      </c>
      <c r="N1866">
        <v>43.8</v>
      </c>
      <c r="O1866">
        <v>50</v>
      </c>
      <c r="P1866">
        <v>219</v>
      </c>
      <c r="Q1866">
        <v>225.2</v>
      </c>
      <c r="R1866" t="s">
        <v>75</v>
      </c>
      <c r="S1866" t="s">
        <v>31</v>
      </c>
      <c r="T1866" t="s">
        <v>40</v>
      </c>
      <c r="U1866">
        <v>68</v>
      </c>
      <c r="V1866">
        <v>4.5999999999999996</v>
      </c>
      <c r="W1866">
        <f>Table2[[#This Row],[Quantity]]*Table2[[#This Row],[Item_Price]]</f>
        <v>219</v>
      </c>
    </row>
    <row r="1867" spans="1:23" x14ac:dyDescent="0.25">
      <c r="A1867" t="s">
        <v>1965</v>
      </c>
      <c r="B1867" s="1">
        <v>45794</v>
      </c>
      <c r="C1867" t="s">
        <v>1749</v>
      </c>
      <c r="D1867">
        <v>5</v>
      </c>
      <c r="E1867">
        <v>17</v>
      </c>
      <c r="F1867" t="s">
        <v>134</v>
      </c>
      <c r="G1867" t="s">
        <v>96</v>
      </c>
      <c r="H1867" t="s">
        <v>42</v>
      </c>
      <c r="I1867" t="s">
        <v>36</v>
      </c>
      <c r="J1867" t="s">
        <v>50</v>
      </c>
      <c r="K1867" t="s">
        <v>38</v>
      </c>
      <c r="L1867">
        <v>3</v>
      </c>
      <c r="M1867">
        <v>407</v>
      </c>
      <c r="N1867">
        <v>40.700000000000003</v>
      </c>
      <c r="O1867">
        <v>40</v>
      </c>
      <c r="P1867">
        <v>1221</v>
      </c>
      <c r="Q1867">
        <v>1220.3</v>
      </c>
      <c r="R1867" t="s">
        <v>39</v>
      </c>
      <c r="S1867" t="s">
        <v>31</v>
      </c>
      <c r="T1867" t="s">
        <v>40</v>
      </c>
      <c r="U1867">
        <v>28</v>
      </c>
      <c r="V1867">
        <v>4</v>
      </c>
      <c r="W1867">
        <f>Table2[[#This Row],[Quantity]]*Table2[[#This Row],[Item_Price]]</f>
        <v>1221</v>
      </c>
    </row>
    <row r="1868" spans="1:23" x14ac:dyDescent="0.25">
      <c r="A1868" t="s">
        <v>1966</v>
      </c>
      <c r="B1868" s="1">
        <v>45794</v>
      </c>
      <c r="C1868" t="s">
        <v>1749</v>
      </c>
      <c r="D1868">
        <v>5</v>
      </c>
      <c r="E1868">
        <v>17</v>
      </c>
      <c r="F1868" t="s">
        <v>134</v>
      </c>
      <c r="G1868" t="s">
        <v>34</v>
      </c>
      <c r="H1868" t="s">
        <v>65</v>
      </c>
      <c r="I1868" t="s">
        <v>36</v>
      </c>
      <c r="J1868" t="s">
        <v>44</v>
      </c>
      <c r="K1868" t="s">
        <v>38</v>
      </c>
      <c r="L1868">
        <v>2</v>
      </c>
      <c r="M1868">
        <v>161</v>
      </c>
      <c r="N1868">
        <v>16.100000000000001</v>
      </c>
      <c r="O1868">
        <v>40</v>
      </c>
      <c r="P1868">
        <v>322</v>
      </c>
      <c r="Q1868">
        <v>345.9</v>
      </c>
      <c r="R1868" t="s">
        <v>98</v>
      </c>
      <c r="S1868" t="s">
        <v>31</v>
      </c>
      <c r="T1868" t="s">
        <v>40</v>
      </c>
      <c r="U1868">
        <v>19</v>
      </c>
      <c r="V1868">
        <v>4</v>
      </c>
      <c r="W1868">
        <f>Table2[[#This Row],[Quantity]]*Table2[[#This Row],[Item_Price]]</f>
        <v>322</v>
      </c>
    </row>
    <row r="1869" spans="1:23" x14ac:dyDescent="0.25">
      <c r="A1869" t="s">
        <v>1967</v>
      </c>
      <c r="B1869" s="1">
        <v>45794</v>
      </c>
      <c r="C1869" t="s">
        <v>1749</v>
      </c>
      <c r="D1869">
        <v>5</v>
      </c>
      <c r="E1869">
        <v>17</v>
      </c>
      <c r="F1869" t="s">
        <v>134</v>
      </c>
      <c r="G1869" t="s">
        <v>80</v>
      </c>
      <c r="H1869" t="s">
        <v>139</v>
      </c>
      <c r="I1869" t="s">
        <v>49</v>
      </c>
      <c r="J1869" t="s">
        <v>28</v>
      </c>
      <c r="K1869" t="s">
        <v>38</v>
      </c>
      <c r="L1869">
        <v>2</v>
      </c>
      <c r="M1869">
        <v>195</v>
      </c>
      <c r="N1869">
        <v>48.75</v>
      </c>
      <c r="O1869">
        <v>40</v>
      </c>
      <c r="P1869">
        <v>390</v>
      </c>
      <c r="Q1869">
        <v>381.25</v>
      </c>
      <c r="R1869" t="s">
        <v>39</v>
      </c>
      <c r="S1869" t="s">
        <v>31</v>
      </c>
      <c r="T1869" t="s">
        <v>32</v>
      </c>
      <c r="U1869">
        <v>58</v>
      </c>
      <c r="V1869">
        <v>3.3</v>
      </c>
      <c r="W1869">
        <f>Table2[[#This Row],[Quantity]]*Table2[[#This Row],[Item_Price]]</f>
        <v>390</v>
      </c>
    </row>
    <row r="1870" spans="1:23" x14ac:dyDescent="0.25">
      <c r="A1870" t="s">
        <v>1968</v>
      </c>
      <c r="B1870" s="1">
        <v>45794</v>
      </c>
      <c r="C1870" t="s">
        <v>1749</v>
      </c>
      <c r="D1870">
        <v>5</v>
      </c>
      <c r="E1870">
        <v>17</v>
      </c>
      <c r="F1870" t="s">
        <v>134</v>
      </c>
      <c r="G1870" t="s">
        <v>84</v>
      </c>
      <c r="H1870" t="s">
        <v>42</v>
      </c>
      <c r="I1870" t="s">
        <v>27</v>
      </c>
      <c r="J1870" t="s">
        <v>101</v>
      </c>
      <c r="K1870" t="s">
        <v>38</v>
      </c>
      <c r="L1870">
        <v>1</v>
      </c>
      <c r="M1870">
        <v>896</v>
      </c>
      <c r="N1870">
        <v>0</v>
      </c>
      <c r="O1870">
        <v>20</v>
      </c>
      <c r="P1870">
        <v>896</v>
      </c>
      <c r="Q1870">
        <v>916</v>
      </c>
      <c r="R1870" t="s">
        <v>112</v>
      </c>
      <c r="S1870" t="s">
        <v>31</v>
      </c>
      <c r="T1870" t="s">
        <v>32</v>
      </c>
      <c r="U1870">
        <v>63</v>
      </c>
      <c r="V1870">
        <v>3.7</v>
      </c>
      <c r="W1870">
        <f>Table2[[#This Row],[Quantity]]*Table2[[#This Row],[Item_Price]]</f>
        <v>896</v>
      </c>
    </row>
    <row r="1871" spans="1:23" x14ac:dyDescent="0.25">
      <c r="A1871" t="s">
        <v>1969</v>
      </c>
      <c r="B1871" s="1">
        <v>45794</v>
      </c>
      <c r="C1871" t="s">
        <v>1749</v>
      </c>
      <c r="D1871">
        <v>5</v>
      </c>
      <c r="E1871">
        <v>17</v>
      </c>
      <c r="F1871" t="s">
        <v>134</v>
      </c>
      <c r="G1871" t="s">
        <v>73</v>
      </c>
      <c r="H1871" t="s">
        <v>139</v>
      </c>
      <c r="I1871" t="s">
        <v>43</v>
      </c>
      <c r="J1871" t="s">
        <v>74</v>
      </c>
      <c r="K1871" t="s">
        <v>38</v>
      </c>
      <c r="L1871">
        <v>2</v>
      </c>
      <c r="M1871">
        <v>752</v>
      </c>
      <c r="N1871">
        <v>112.8</v>
      </c>
      <c r="O1871">
        <v>30</v>
      </c>
      <c r="P1871">
        <v>1504</v>
      </c>
      <c r="Q1871">
        <v>1421.2</v>
      </c>
      <c r="R1871" t="s">
        <v>30</v>
      </c>
      <c r="S1871" t="s">
        <v>31</v>
      </c>
      <c r="T1871" t="s">
        <v>40</v>
      </c>
      <c r="U1871">
        <v>27</v>
      </c>
      <c r="V1871">
        <v>3.4</v>
      </c>
      <c r="W1871">
        <f>Table2[[#This Row],[Quantity]]*Table2[[#This Row],[Item_Price]]</f>
        <v>1504</v>
      </c>
    </row>
    <row r="1872" spans="1:23" x14ac:dyDescent="0.25">
      <c r="A1872" t="s">
        <v>1970</v>
      </c>
      <c r="B1872" s="1">
        <v>45794</v>
      </c>
      <c r="C1872" t="s">
        <v>1749</v>
      </c>
      <c r="D1872">
        <v>5</v>
      </c>
      <c r="E1872">
        <v>17</v>
      </c>
      <c r="F1872" t="s">
        <v>134</v>
      </c>
      <c r="G1872" t="s">
        <v>90</v>
      </c>
      <c r="H1872" t="s">
        <v>77</v>
      </c>
      <c r="I1872" t="s">
        <v>97</v>
      </c>
      <c r="J1872" t="s">
        <v>37</v>
      </c>
      <c r="K1872" t="s">
        <v>38</v>
      </c>
      <c r="L1872">
        <v>1</v>
      </c>
      <c r="M1872">
        <v>541</v>
      </c>
      <c r="N1872">
        <v>54.1</v>
      </c>
      <c r="O1872">
        <v>30</v>
      </c>
      <c r="P1872">
        <v>541</v>
      </c>
      <c r="Q1872">
        <v>516.9</v>
      </c>
      <c r="R1872" t="s">
        <v>75</v>
      </c>
      <c r="S1872" t="s">
        <v>46</v>
      </c>
      <c r="T1872" t="s">
        <v>32</v>
      </c>
      <c r="U1872">
        <v>50</v>
      </c>
      <c r="W1872">
        <f>Table2[[#This Row],[Quantity]]*Table2[[#This Row],[Item_Price]]</f>
        <v>541</v>
      </c>
    </row>
    <row r="1873" spans="1:23" x14ac:dyDescent="0.25">
      <c r="A1873" t="s">
        <v>1971</v>
      </c>
      <c r="B1873" s="1">
        <v>45794</v>
      </c>
      <c r="C1873" t="s">
        <v>1749</v>
      </c>
      <c r="D1873">
        <v>5</v>
      </c>
      <c r="E1873">
        <v>17</v>
      </c>
      <c r="F1873" t="s">
        <v>134</v>
      </c>
      <c r="G1873" t="s">
        <v>80</v>
      </c>
      <c r="H1873" t="s">
        <v>56</v>
      </c>
      <c r="I1873" t="s">
        <v>57</v>
      </c>
      <c r="J1873" t="s">
        <v>78</v>
      </c>
      <c r="K1873" t="s">
        <v>38</v>
      </c>
      <c r="L1873">
        <v>1</v>
      </c>
      <c r="M1873">
        <v>869</v>
      </c>
      <c r="N1873">
        <v>0</v>
      </c>
      <c r="O1873">
        <v>0</v>
      </c>
      <c r="P1873">
        <v>869</v>
      </c>
      <c r="Q1873">
        <v>869</v>
      </c>
      <c r="R1873" t="s">
        <v>75</v>
      </c>
      <c r="S1873" t="s">
        <v>31</v>
      </c>
      <c r="T1873" t="s">
        <v>40</v>
      </c>
      <c r="U1873">
        <v>30</v>
      </c>
      <c r="V1873">
        <v>5</v>
      </c>
      <c r="W1873">
        <f>Table2[[#This Row],[Quantity]]*Table2[[#This Row],[Item_Price]]</f>
        <v>869</v>
      </c>
    </row>
    <row r="1874" spans="1:23" x14ac:dyDescent="0.25">
      <c r="A1874" t="s">
        <v>1972</v>
      </c>
      <c r="B1874" s="1">
        <v>45794</v>
      </c>
      <c r="C1874" t="s">
        <v>1749</v>
      </c>
      <c r="D1874">
        <v>5</v>
      </c>
      <c r="E1874">
        <v>17</v>
      </c>
      <c r="F1874" t="s">
        <v>134</v>
      </c>
      <c r="G1874" t="s">
        <v>90</v>
      </c>
      <c r="H1874" t="s">
        <v>26</v>
      </c>
      <c r="I1874" t="s">
        <v>61</v>
      </c>
      <c r="J1874" t="s">
        <v>172</v>
      </c>
      <c r="K1874" t="s">
        <v>38</v>
      </c>
      <c r="L1874">
        <v>3</v>
      </c>
      <c r="M1874">
        <v>525</v>
      </c>
      <c r="N1874">
        <v>78.75</v>
      </c>
      <c r="O1874">
        <v>50</v>
      </c>
      <c r="P1874">
        <v>1575</v>
      </c>
      <c r="Q1874">
        <v>1546.25</v>
      </c>
      <c r="R1874" t="s">
        <v>112</v>
      </c>
      <c r="S1874" t="s">
        <v>91</v>
      </c>
      <c r="T1874" t="s">
        <v>40</v>
      </c>
      <c r="U1874">
        <v>44</v>
      </c>
      <c r="W1874">
        <f>Table2[[#This Row],[Quantity]]*Table2[[#This Row],[Item_Price]]</f>
        <v>1575</v>
      </c>
    </row>
    <row r="1875" spans="1:23" x14ac:dyDescent="0.25">
      <c r="A1875" t="s">
        <v>1973</v>
      </c>
      <c r="B1875" s="1">
        <v>45794</v>
      </c>
      <c r="C1875" t="s">
        <v>1749</v>
      </c>
      <c r="D1875">
        <v>5</v>
      </c>
      <c r="E1875">
        <v>17</v>
      </c>
      <c r="F1875" t="s">
        <v>134</v>
      </c>
      <c r="G1875" t="s">
        <v>34</v>
      </c>
      <c r="H1875" t="s">
        <v>48</v>
      </c>
      <c r="I1875" t="s">
        <v>103</v>
      </c>
      <c r="J1875" t="s">
        <v>94</v>
      </c>
      <c r="K1875" t="s">
        <v>38</v>
      </c>
      <c r="L1875">
        <v>1</v>
      </c>
      <c r="M1875">
        <v>864</v>
      </c>
      <c r="N1875">
        <v>216</v>
      </c>
      <c r="O1875">
        <v>40</v>
      </c>
      <c r="P1875">
        <v>864</v>
      </c>
      <c r="Q1875">
        <v>688</v>
      </c>
      <c r="R1875" t="s">
        <v>39</v>
      </c>
      <c r="S1875" t="s">
        <v>31</v>
      </c>
      <c r="T1875" t="s">
        <v>40</v>
      </c>
      <c r="U1875">
        <v>51</v>
      </c>
      <c r="V1875">
        <v>5</v>
      </c>
      <c r="W1875">
        <f>Table2[[#This Row],[Quantity]]*Table2[[#This Row],[Item_Price]]</f>
        <v>864</v>
      </c>
    </row>
    <row r="1876" spans="1:23" x14ac:dyDescent="0.25">
      <c r="A1876" t="s">
        <v>1974</v>
      </c>
      <c r="B1876" s="1">
        <v>45794</v>
      </c>
      <c r="C1876" t="s">
        <v>1749</v>
      </c>
      <c r="D1876">
        <v>5</v>
      </c>
      <c r="E1876">
        <v>17</v>
      </c>
      <c r="F1876" t="s">
        <v>134</v>
      </c>
      <c r="G1876" t="s">
        <v>80</v>
      </c>
      <c r="H1876" t="s">
        <v>105</v>
      </c>
      <c r="I1876" t="s">
        <v>27</v>
      </c>
      <c r="J1876" t="s">
        <v>53</v>
      </c>
      <c r="K1876" t="s">
        <v>58</v>
      </c>
      <c r="L1876">
        <v>2</v>
      </c>
      <c r="M1876">
        <v>873</v>
      </c>
      <c r="N1876">
        <v>43.65</v>
      </c>
      <c r="O1876">
        <v>50</v>
      </c>
      <c r="P1876">
        <v>1746</v>
      </c>
      <c r="Q1876">
        <v>1752.35</v>
      </c>
      <c r="R1876" t="s">
        <v>39</v>
      </c>
      <c r="S1876" t="s">
        <v>91</v>
      </c>
      <c r="T1876" t="s">
        <v>40</v>
      </c>
      <c r="U1876">
        <v>55</v>
      </c>
      <c r="W1876">
        <f>Table2[[#This Row],[Quantity]]*Table2[[#This Row],[Item_Price]]</f>
        <v>1746</v>
      </c>
    </row>
    <row r="1877" spans="1:23" x14ac:dyDescent="0.25">
      <c r="A1877" t="s">
        <v>1975</v>
      </c>
      <c r="B1877" s="1">
        <v>45794</v>
      </c>
      <c r="C1877" t="s">
        <v>1749</v>
      </c>
      <c r="D1877">
        <v>5</v>
      </c>
      <c r="E1877">
        <v>17</v>
      </c>
      <c r="F1877" t="s">
        <v>134</v>
      </c>
      <c r="G1877" t="s">
        <v>115</v>
      </c>
      <c r="H1877" t="s">
        <v>42</v>
      </c>
      <c r="I1877" t="s">
        <v>36</v>
      </c>
      <c r="J1877" t="s">
        <v>28</v>
      </c>
      <c r="K1877" t="s">
        <v>38</v>
      </c>
      <c r="L1877">
        <v>2</v>
      </c>
      <c r="M1877">
        <v>327</v>
      </c>
      <c r="N1877">
        <v>0</v>
      </c>
      <c r="O1877">
        <v>50</v>
      </c>
      <c r="P1877">
        <v>654</v>
      </c>
      <c r="Q1877">
        <v>704</v>
      </c>
      <c r="R1877" t="s">
        <v>112</v>
      </c>
      <c r="S1877" t="s">
        <v>31</v>
      </c>
      <c r="T1877" t="s">
        <v>32</v>
      </c>
      <c r="U1877">
        <v>56</v>
      </c>
      <c r="V1877">
        <v>3.7</v>
      </c>
      <c r="W1877">
        <f>Table2[[#This Row],[Quantity]]*Table2[[#This Row],[Item_Price]]</f>
        <v>654</v>
      </c>
    </row>
    <row r="1878" spans="1:23" x14ac:dyDescent="0.25">
      <c r="A1878" t="s">
        <v>1976</v>
      </c>
      <c r="B1878" s="1">
        <v>45794</v>
      </c>
      <c r="C1878" t="s">
        <v>1749</v>
      </c>
      <c r="D1878">
        <v>5</v>
      </c>
      <c r="E1878">
        <v>17</v>
      </c>
      <c r="F1878" t="s">
        <v>134</v>
      </c>
      <c r="G1878" t="s">
        <v>55</v>
      </c>
      <c r="H1878" t="s">
        <v>68</v>
      </c>
      <c r="I1878" t="s">
        <v>97</v>
      </c>
      <c r="J1878" t="s">
        <v>70</v>
      </c>
      <c r="K1878" t="s">
        <v>38</v>
      </c>
      <c r="L1878">
        <v>2</v>
      </c>
      <c r="M1878">
        <v>488</v>
      </c>
      <c r="N1878">
        <v>122</v>
      </c>
      <c r="O1878">
        <v>30</v>
      </c>
      <c r="P1878">
        <v>976</v>
      </c>
      <c r="Q1878">
        <v>884</v>
      </c>
      <c r="R1878" t="s">
        <v>75</v>
      </c>
      <c r="S1878" t="s">
        <v>31</v>
      </c>
      <c r="T1878" t="s">
        <v>32</v>
      </c>
      <c r="U1878">
        <v>67</v>
      </c>
      <c r="V1878">
        <v>3.4</v>
      </c>
      <c r="W1878">
        <f>Table2[[#This Row],[Quantity]]*Table2[[#This Row],[Item_Price]]</f>
        <v>976</v>
      </c>
    </row>
    <row r="1879" spans="1:23" x14ac:dyDescent="0.25">
      <c r="A1879" t="s">
        <v>1977</v>
      </c>
      <c r="B1879" s="1">
        <v>45794</v>
      </c>
      <c r="C1879" t="s">
        <v>1749</v>
      </c>
      <c r="D1879">
        <v>5</v>
      </c>
      <c r="E1879">
        <v>17</v>
      </c>
      <c r="F1879" t="s">
        <v>134</v>
      </c>
      <c r="G1879" t="s">
        <v>34</v>
      </c>
      <c r="H1879" t="s">
        <v>65</v>
      </c>
      <c r="I1879" t="s">
        <v>69</v>
      </c>
      <c r="J1879" t="s">
        <v>94</v>
      </c>
      <c r="K1879" t="s">
        <v>38</v>
      </c>
      <c r="L1879">
        <v>1</v>
      </c>
      <c r="M1879">
        <v>713</v>
      </c>
      <c r="N1879">
        <v>71.3</v>
      </c>
      <c r="O1879">
        <v>50</v>
      </c>
      <c r="P1879">
        <v>713</v>
      </c>
      <c r="Q1879">
        <v>691.7</v>
      </c>
      <c r="R1879" t="s">
        <v>75</v>
      </c>
      <c r="S1879" t="s">
        <v>31</v>
      </c>
      <c r="T1879" t="s">
        <v>32</v>
      </c>
      <c r="U1879">
        <v>66</v>
      </c>
      <c r="V1879">
        <v>3.9</v>
      </c>
      <c r="W1879">
        <f>Table2[[#This Row],[Quantity]]*Table2[[#This Row],[Item_Price]]</f>
        <v>713</v>
      </c>
    </row>
    <row r="1880" spans="1:23" x14ac:dyDescent="0.25">
      <c r="A1880" t="s">
        <v>1978</v>
      </c>
      <c r="B1880" s="1">
        <v>45795</v>
      </c>
      <c r="C1880" t="s">
        <v>1749</v>
      </c>
      <c r="D1880">
        <v>5</v>
      </c>
      <c r="E1880">
        <v>18</v>
      </c>
      <c r="F1880" t="s">
        <v>149</v>
      </c>
      <c r="G1880" t="s">
        <v>25</v>
      </c>
      <c r="H1880" t="s">
        <v>105</v>
      </c>
      <c r="I1880" t="s">
        <v>85</v>
      </c>
      <c r="J1880" t="s">
        <v>28</v>
      </c>
      <c r="K1880" t="s">
        <v>45</v>
      </c>
      <c r="L1880">
        <v>2</v>
      </c>
      <c r="M1880">
        <v>764</v>
      </c>
      <c r="N1880">
        <v>191</v>
      </c>
      <c r="O1880">
        <v>70</v>
      </c>
      <c r="P1880">
        <v>1528</v>
      </c>
      <c r="Q1880">
        <v>1407</v>
      </c>
      <c r="R1880" t="s">
        <v>75</v>
      </c>
      <c r="S1880" t="s">
        <v>31</v>
      </c>
      <c r="T1880" t="s">
        <v>32</v>
      </c>
      <c r="U1880">
        <v>61</v>
      </c>
      <c r="V1880">
        <v>4.9000000000000004</v>
      </c>
      <c r="W1880">
        <f>Table2[[#This Row],[Quantity]]*Table2[[#This Row],[Item_Price]]</f>
        <v>1528</v>
      </c>
    </row>
    <row r="1881" spans="1:23" x14ac:dyDescent="0.25">
      <c r="A1881" t="s">
        <v>1979</v>
      </c>
      <c r="B1881" s="1">
        <v>45795</v>
      </c>
      <c r="C1881" t="s">
        <v>1749</v>
      </c>
      <c r="D1881">
        <v>5</v>
      </c>
      <c r="E1881">
        <v>18</v>
      </c>
      <c r="F1881" t="s">
        <v>149</v>
      </c>
      <c r="G1881" t="s">
        <v>73</v>
      </c>
      <c r="H1881" t="s">
        <v>60</v>
      </c>
      <c r="I1881" t="s">
        <v>61</v>
      </c>
      <c r="J1881" t="s">
        <v>66</v>
      </c>
      <c r="K1881" t="s">
        <v>45</v>
      </c>
      <c r="L1881">
        <v>3</v>
      </c>
      <c r="M1881">
        <v>373</v>
      </c>
      <c r="N1881">
        <v>18.649999999999999</v>
      </c>
      <c r="O1881">
        <v>60</v>
      </c>
      <c r="P1881">
        <v>1119</v>
      </c>
      <c r="Q1881">
        <v>1160.3499999999999</v>
      </c>
      <c r="R1881" t="s">
        <v>39</v>
      </c>
      <c r="S1881" t="s">
        <v>31</v>
      </c>
      <c r="T1881" t="s">
        <v>40</v>
      </c>
      <c r="U1881">
        <v>53</v>
      </c>
      <c r="V1881">
        <v>5</v>
      </c>
      <c r="W1881">
        <f>Table2[[#This Row],[Quantity]]*Table2[[#This Row],[Item_Price]]</f>
        <v>1119</v>
      </c>
    </row>
    <row r="1882" spans="1:23" x14ac:dyDescent="0.25">
      <c r="A1882" t="s">
        <v>1980</v>
      </c>
      <c r="B1882" s="1">
        <v>45795</v>
      </c>
      <c r="C1882" t="s">
        <v>1749</v>
      </c>
      <c r="D1882">
        <v>5</v>
      </c>
      <c r="E1882">
        <v>18</v>
      </c>
      <c r="F1882" t="s">
        <v>149</v>
      </c>
      <c r="G1882" t="s">
        <v>80</v>
      </c>
      <c r="H1882" t="s">
        <v>56</v>
      </c>
      <c r="I1882" t="s">
        <v>57</v>
      </c>
      <c r="J1882" t="s">
        <v>101</v>
      </c>
      <c r="K1882" t="s">
        <v>45</v>
      </c>
      <c r="L1882">
        <v>2</v>
      </c>
      <c r="M1882">
        <v>336</v>
      </c>
      <c r="N1882">
        <v>50.4</v>
      </c>
      <c r="O1882">
        <v>30</v>
      </c>
      <c r="P1882">
        <v>672</v>
      </c>
      <c r="Q1882">
        <v>651.6</v>
      </c>
      <c r="R1882" t="s">
        <v>98</v>
      </c>
      <c r="S1882" t="s">
        <v>31</v>
      </c>
      <c r="T1882" t="s">
        <v>40</v>
      </c>
      <c r="U1882">
        <v>35</v>
      </c>
      <c r="V1882">
        <v>3.6</v>
      </c>
      <c r="W1882">
        <f>Table2[[#This Row],[Quantity]]*Table2[[#This Row],[Item_Price]]</f>
        <v>672</v>
      </c>
    </row>
    <row r="1883" spans="1:23" x14ac:dyDescent="0.25">
      <c r="A1883" t="s">
        <v>1981</v>
      </c>
      <c r="B1883" s="1">
        <v>45795</v>
      </c>
      <c r="C1883" t="s">
        <v>1749</v>
      </c>
      <c r="D1883">
        <v>5</v>
      </c>
      <c r="E1883">
        <v>18</v>
      </c>
      <c r="F1883" t="s">
        <v>149</v>
      </c>
      <c r="G1883" t="s">
        <v>115</v>
      </c>
      <c r="H1883" t="s">
        <v>60</v>
      </c>
      <c r="I1883" t="s">
        <v>103</v>
      </c>
      <c r="J1883" t="s">
        <v>28</v>
      </c>
      <c r="K1883" t="s">
        <v>38</v>
      </c>
      <c r="L1883">
        <v>1</v>
      </c>
      <c r="M1883">
        <v>899</v>
      </c>
      <c r="N1883">
        <v>134.85</v>
      </c>
      <c r="O1883">
        <v>30</v>
      </c>
      <c r="P1883">
        <v>899</v>
      </c>
      <c r="Q1883">
        <v>794.15</v>
      </c>
      <c r="R1883" t="s">
        <v>98</v>
      </c>
      <c r="S1883" t="s">
        <v>31</v>
      </c>
      <c r="T1883" t="s">
        <v>40</v>
      </c>
      <c r="U1883">
        <v>70</v>
      </c>
      <c r="V1883">
        <v>4</v>
      </c>
      <c r="W1883">
        <f>Table2[[#This Row],[Quantity]]*Table2[[#This Row],[Item_Price]]</f>
        <v>899</v>
      </c>
    </row>
    <row r="1884" spans="1:23" x14ac:dyDescent="0.25">
      <c r="A1884" t="s">
        <v>1982</v>
      </c>
      <c r="B1884" s="1">
        <v>45795</v>
      </c>
      <c r="C1884" t="s">
        <v>1749</v>
      </c>
      <c r="D1884">
        <v>5</v>
      </c>
      <c r="E1884">
        <v>18</v>
      </c>
      <c r="F1884" t="s">
        <v>149</v>
      </c>
      <c r="G1884" t="s">
        <v>115</v>
      </c>
      <c r="H1884" t="s">
        <v>65</v>
      </c>
      <c r="I1884" t="s">
        <v>49</v>
      </c>
      <c r="J1884" t="s">
        <v>28</v>
      </c>
      <c r="K1884" t="s">
        <v>38</v>
      </c>
      <c r="L1884">
        <v>2</v>
      </c>
      <c r="M1884">
        <v>765</v>
      </c>
      <c r="N1884">
        <v>0</v>
      </c>
      <c r="O1884">
        <v>20</v>
      </c>
      <c r="P1884">
        <v>1530</v>
      </c>
      <c r="Q1884">
        <v>1550</v>
      </c>
      <c r="R1884" t="s">
        <v>39</v>
      </c>
      <c r="S1884" t="s">
        <v>31</v>
      </c>
      <c r="T1884" t="s">
        <v>32</v>
      </c>
      <c r="U1884">
        <v>34</v>
      </c>
      <c r="V1884">
        <v>2.9</v>
      </c>
      <c r="W1884">
        <f>Table2[[#This Row],[Quantity]]*Table2[[#This Row],[Item_Price]]</f>
        <v>1530</v>
      </c>
    </row>
    <row r="1885" spans="1:23" x14ac:dyDescent="0.25">
      <c r="A1885" t="s">
        <v>1983</v>
      </c>
      <c r="B1885" s="1">
        <v>45795</v>
      </c>
      <c r="C1885" t="s">
        <v>1749</v>
      </c>
      <c r="D1885">
        <v>5</v>
      </c>
      <c r="E1885">
        <v>18</v>
      </c>
      <c r="F1885" t="s">
        <v>149</v>
      </c>
      <c r="G1885" t="s">
        <v>80</v>
      </c>
      <c r="H1885" t="s">
        <v>108</v>
      </c>
      <c r="I1885" t="s">
        <v>36</v>
      </c>
      <c r="J1885" t="s">
        <v>37</v>
      </c>
      <c r="K1885" t="s">
        <v>45</v>
      </c>
      <c r="L1885">
        <v>2</v>
      </c>
      <c r="M1885">
        <v>374</v>
      </c>
      <c r="N1885">
        <v>37.4</v>
      </c>
      <c r="O1885">
        <v>30</v>
      </c>
      <c r="P1885">
        <v>748</v>
      </c>
      <c r="Q1885">
        <v>740.6</v>
      </c>
      <c r="R1885" t="s">
        <v>30</v>
      </c>
      <c r="S1885" t="s">
        <v>31</v>
      </c>
      <c r="T1885" t="s">
        <v>32</v>
      </c>
      <c r="U1885">
        <v>22</v>
      </c>
      <c r="V1885">
        <v>3.3</v>
      </c>
      <c r="W1885">
        <f>Table2[[#This Row],[Quantity]]*Table2[[#This Row],[Item_Price]]</f>
        <v>748</v>
      </c>
    </row>
    <row r="1886" spans="1:23" x14ac:dyDescent="0.25">
      <c r="A1886" t="s">
        <v>1984</v>
      </c>
      <c r="B1886" s="1">
        <v>45795</v>
      </c>
      <c r="C1886" t="s">
        <v>1749</v>
      </c>
      <c r="D1886">
        <v>5</v>
      </c>
      <c r="E1886">
        <v>18</v>
      </c>
      <c r="F1886" t="s">
        <v>149</v>
      </c>
      <c r="G1886" t="s">
        <v>80</v>
      </c>
      <c r="H1886" t="s">
        <v>42</v>
      </c>
      <c r="I1886" t="s">
        <v>27</v>
      </c>
      <c r="J1886" t="s">
        <v>53</v>
      </c>
      <c r="K1886" t="s">
        <v>45</v>
      </c>
      <c r="L1886">
        <v>2</v>
      </c>
      <c r="M1886">
        <v>542</v>
      </c>
      <c r="N1886">
        <v>135.5</v>
      </c>
      <c r="O1886">
        <v>0</v>
      </c>
      <c r="P1886">
        <v>1084</v>
      </c>
      <c r="Q1886">
        <v>948.5</v>
      </c>
      <c r="R1886" t="s">
        <v>39</v>
      </c>
      <c r="S1886" t="s">
        <v>31</v>
      </c>
      <c r="T1886" t="s">
        <v>32</v>
      </c>
      <c r="U1886">
        <v>30</v>
      </c>
      <c r="V1886">
        <v>3.9</v>
      </c>
      <c r="W1886">
        <f>Table2[[#This Row],[Quantity]]*Table2[[#This Row],[Item_Price]]</f>
        <v>1084</v>
      </c>
    </row>
    <row r="1887" spans="1:23" x14ac:dyDescent="0.25">
      <c r="A1887" t="s">
        <v>1985</v>
      </c>
      <c r="B1887" s="1">
        <v>45795</v>
      </c>
      <c r="C1887" t="s">
        <v>1749</v>
      </c>
      <c r="D1887">
        <v>5</v>
      </c>
      <c r="E1887">
        <v>18</v>
      </c>
      <c r="F1887" t="s">
        <v>149</v>
      </c>
      <c r="G1887" t="s">
        <v>64</v>
      </c>
      <c r="H1887" t="s">
        <v>42</v>
      </c>
      <c r="I1887" t="s">
        <v>61</v>
      </c>
      <c r="J1887" t="s">
        <v>101</v>
      </c>
      <c r="K1887" t="s">
        <v>58</v>
      </c>
      <c r="L1887">
        <v>1</v>
      </c>
      <c r="M1887">
        <v>351</v>
      </c>
      <c r="N1887">
        <v>35.1</v>
      </c>
      <c r="O1887">
        <v>50</v>
      </c>
      <c r="P1887">
        <v>351</v>
      </c>
      <c r="Q1887">
        <v>365.9</v>
      </c>
      <c r="R1887" t="s">
        <v>75</v>
      </c>
      <c r="S1887" t="s">
        <v>31</v>
      </c>
      <c r="T1887" t="s">
        <v>32</v>
      </c>
      <c r="U1887">
        <v>41</v>
      </c>
      <c r="V1887">
        <v>4.4000000000000004</v>
      </c>
      <c r="W1887">
        <f>Table2[[#This Row],[Quantity]]*Table2[[#This Row],[Item_Price]]</f>
        <v>351</v>
      </c>
    </row>
    <row r="1888" spans="1:23" x14ac:dyDescent="0.25">
      <c r="A1888" t="s">
        <v>1986</v>
      </c>
      <c r="B1888" s="1">
        <v>45795</v>
      </c>
      <c r="C1888" t="s">
        <v>1749</v>
      </c>
      <c r="D1888">
        <v>5</v>
      </c>
      <c r="E1888">
        <v>18</v>
      </c>
      <c r="F1888" t="s">
        <v>149</v>
      </c>
      <c r="G1888" t="s">
        <v>80</v>
      </c>
      <c r="H1888" t="s">
        <v>65</v>
      </c>
      <c r="I1888" t="s">
        <v>43</v>
      </c>
      <c r="J1888" t="s">
        <v>62</v>
      </c>
      <c r="K1888" t="s">
        <v>29</v>
      </c>
      <c r="L1888">
        <v>3</v>
      </c>
      <c r="M1888">
        <v>439</v>
      </c>
      <c r="N1888">
        <v>87.8</v>
      </c>
      <c r="O1888">
        <v>20</v>
      </c>
      <c r="P1888">
        <v>1317</v>
      </c>
      <c r="Q1888">
        <v>1249.2</v>
      </c>
      <c r="R1888" t="s">
        <v>39</v>
      </c>
      <c r="S1888" t="s">
        <v>31</v>
      </c>
      <c r="T1888" t="s">
        <v>40</v>
      </c>
      <c r="U1888">
        <v>28</v>
      </c>
      <c r="V1888">
        <v>4.5999999999999996</v>
      </c>
      <c r="W1888">
        <f>Table2[[#This Row],[Quantity]]*Table2[[#This Row],[Item_Price]]</f>
        <v>1317</v>
      </c>
    </row>
    <row r="1889" spans="1:23" x14ac:dyDescent="0.25">
      <c r="A1889" t="s">
        <v>1987</v>
      </c>
      <c r="B1889" s="1">
        <v>45795</v>
      </c>
      <c r="C1889" t="s">
        <v>1749</v>
      </c>
      <c r="D1889">
        <v>5</v>
      </c>
      <c r="E1889">
        <v>18</v>
      </c>
      <c r="F1889" t="s">
        <v>149</v>
      </c>
      <c r="G1889" t="s">
        <v>34</v>
      </c>
      <c r="H1889" t="s">
        <v>26</v>
      </c>
      <c r="I1889" t="s">
        <v>57</v>
      </c>
      <c r="J1889" t="s">
        <v>70</v>
      </c>
      <c r="K1889" t="s">
        <v>38</v>
      </c>
      <c r="L1889">
        <v>2</v>
      </c>
      <c r="M1889">
        <v>346</v>
      </c>
      <c r="N1889">
        <v>51.9</v>
      </c>
      <c r="O1889">
        <v>0</v>
      </c>
      <c r="P1889">
        <v>692</v>
      </c>
      <c r="Q1889">
        <v>640.1</v>
      </c>
      <c r="R1889" t="s">
        <v>39</v>
      </c>
      <c r="S1889" t="s">
        <v>31</v>
      </c>
      <c r="T1889" t="s">
        <v>40</v>
      </c>
      <c r="U1889">
        <v>31</v>
      </c>
      <c r="V1889">
        <v>4.2</v>
      </c>
      <c r="W1889">
        <f>Table2[[#This Row],[Quantity]]*Table2[[#This Row],[Item_Price]]</f>
        <v>692</v>
      </c>
    </row>
    <row r="1890" spans="1:23" x14ac:dyDescent="0.25">
      <c r="A1890" t="s">
        <v>1988</v>
      </c>
      <c r="B1890" s="1">
        <v>45795</v>
      </c>
      <c r="C1890" t="s">
        <v>1749</v>
      </c>
      <c r="D1890">
        <v>5</v>
      </c>
      <c r="E1890">
        <v>18</v>
      </c>
      <c r="F1890" t="s">
        <v>149</v>
      </c>
      <c r="G1890" t="s">
        <v>80</v>
      </c>
      <c r="H1890" t="s">
        <v>105</v>
      </c>
      <c r="I1890" t="s">
        <v>103</v>
      </c>
      <c r="J1890" t="s">
        <v>66</v>
      </c>
      <c r="K1890" t="s">
        <v>38</v>
      </c>
      <c r="L1890">
        <v>1</v>
      </c>
      <c r="M1890">
        <v>863</v>
      </c>
      <c r="N1890">
        <v>129.44999999999999</v>
      </c>
      <c r="O1890">
        <v>0</v>
      </c>
      <c r="P1890">
        <v>863</v>
      </c>
      <c r="Q1890">
        <v>733.55</v>
      </c>
      <c r="R1890" t="s">
        <v>30</v>
      </c>
      <c r="S1890" t="s">
        <v>91</v>
      </c>
      <c r="T1890" t="s">
        <v>40</v>
      </c>
      <c r="U1890">
        <v>47</v>
      </c>
      <c r="W1890">
        <f>Table2[[#This Row],[Quantity]]*Table2[[#This Row],[Item_Price]]</f>
        <v>863</v>
      </c>
    </row>
    <row r="1891" spans="1:23" x14ac:dyDescent="0.25">
      <c r="A1891" t="s">
        <v>1989</v>
      </c>
      <c r="B1891" s="1">
        <v>45795</v>
      </c>
      <c r="C1891" t="s">
        <v>1749</v>
      </c>
      <c r="D1891">
        <v>5</v>
      </c>
      <c r="E1891">
        <v>18</v>
      </c>
      <c r="F1891" t="s">
        <v>149</v>
      </c>
      <c r="G1891" t="s">
        <v>80</v>
      </c>
      <c r="H1891" t="s">
        <v>60</v>
      </c>
      <c r="I1891" t="s">
        <v>27</v>
      </c>
      <c r="J1891" t="s">
        <v>28</v>
      </c>
      <c r="K1891" t="s">
        <v>38</v>
      </c>
      <c r="L1891">
        <v>2</v>
      </c>
      <c r="M1891">
        <v>786</v>
      </c>
      <c r="N1891">
        <v>157.19999999999999</v>
      </c>
      <c r="O1891">
        <v>0</v>
      </c>
      <c r="P1891">
        <v>1572</v>
      </c>
      <c r="Q1891">
        <v>1414.8</v>
      </c>
      <c r="R1891" t="s">
        <v>75</v>
      </c>
      <c r="S1891" t="s">
        <v>31</v>
      </c>
      <c r="T1891" t="s">
        <v>40</v>
      </c>
      <c r="U1891">
        <v>21</v>
      </c>
      <c r="V1891">
        <v>4.7</v>
      </c>
      <c r="W1891">
        <f>Table2[[#This Row],[Quantity]]*Table2[[#This Row],[Item_Price]]</f>
        <v>1572</v>
      </c>
    </row>
    <row r="1892" spans="1:23" x14ac:dyDescent="0.25">
      <c r="A1892" t="s">
        <v>1990</v>
      </c>
      <c r="B1892" s="1">
        <v>45795</v>
      </c>
      <c r="C1892" t="s">
        <v>1749</v>
      </c>
      <c r="D1892">
        <v>5</v>
      </c>
      <c r="E1892">
        <v>18</v>
      </c>
      <c r="F1892" t="s">
        <v>149</v>
      </c>
      <c r="G1892" t="s">
        <v>34</v>
      </c>
      <c r="H1892" t="s">
        <v>48</v>
      </c>
      <c r="I1892" t="s">
        <v>61</v>
      </c>
      <c r="J1892" t="s">
        <v>119</v>
      </c>
      <c r="K1892" t="s">
        <v>45</v>
      </c>
      <c r="L1892">
        <v>2</v>
      </c>
      <c r="M1892">
        <v>427</v>
      </c>
      <c r="N1892">
        <v>64.05</v>
      </c>
      <c r="O1892">
        <v>20</v>
      </c>
      <c r="P1892">
        <v>854</v>
      </c>
      <c r="Q1892">
        <v>809.95</v>
      </c>
      <c r="R1892" t="s">
        <v>98</v>
      </c>
      <c r="S1892" t="s">
        <v>31</v>
      </c>
      <c r="T1892" t="s">
        <v>40</v>
      </c>
      <c r="U1892">
        <v>36</v>
      </c>
      <c r="V1892">
        <v>5</v>
      </c>
      <c r="W1892">
        <f>Table2[[#This Row],[Quantity]]*Table2[[#This Row],[Item_Price]]</f>
        <v>854</v>
      </c>
    </row>
    <row r="1893" spans="1:23" x14ac:dyDescent="0.25">
      <c r="A1893" t="s">
        <v>1991</v>
      </c>
      <c r="B1893" s="1">
        <v>45795</v>
      </c>
      <c r="C1893" t="s">
        <v>1749</v>
      </c>
      <c r="D1893">
        <v>5</v>
      </c>
      <c r="E1893">
        <v>18</v>
      </c>
      <c r="F1893" t="s">
        <v>149</v>
      </c>
      <c r="G1893" t="s">
        <v>55</v>
      </c>
      <c r="H1893" t="s">
        <v>135</v>
      </c>
      <c r="I1893" t="s">
        <v>43</v>
      </c>
      <c r="J1893" t="s">
        <v>53</v>
      </c>
      <c r="K1893" t="s">
        <v>38</v>
      </c>
      <c r="L1893">
        <v>1</v>
      </c>
      <c r="M1893">
        <v>614</v>
      </c>
      <c r="N1893">
        <v>0</v>
      </c>
      <c r="O1893">
        <v>30</v>
      </c>
      <c r="P1893">
        <v>614</v>
      </c>
      <c r="Q1893">
        <v>644</v>
      </c>
      <c r="R1893" t="s">
        <v>112</v>
      </c>
      <c r="S1893" t="s">
        <v>110</v>
      </c>
      <c r="T1893" t="s">
        <v>40</v>
      </c>
      <c r="U1893">
        <v>57</v>
      </c>
      <c r="W1893">
        <f>Table2[[#This Row],[Quantity]]*Table2[[#This Row],[Item_Price]]</f>
        <v>614</v>
      </c>
    </row>
    <row r="1894" spans="1:23" x14ac:dyDescent="0.25">
      <c r="A1894" t="s">
        <v>1992</v>
      </c>
      <c r="B1894" s="1">
        <v>45795</v>
      </c>
      <c r="C1894" t="s">
        <v>1749</v>
      </c>
      <c r="D1894">
        <v>5</v>
      </c>
      <c r="E1894">
        <v>18</v>
      </c>
      <c r="F1894" t="s">
        <v>149</v>
      </c>
      <c r="G1894" t="s">
        <v>64</v>
      </c>
      <c r="H1894" t="s">
        <v>52</v>
      </c>
      <c r="I1894" t="s">
        <v>69</v>
      </c>
      <c r="J1894" t="s">
        <v>78</v>
      </c>
      <c r="K1894" t="s">
        <v>38</v>
      </c>
      <c r="L1894">
        <v>1</v>
      </c>
      <c r="M1894">
        <v>222</v>
      </c>
      <c r="N1894">
        <v>33.299999999999997</v>
      </c>
      <c r="O1894">
        <v>20</v>
      </c>
      <c r="P1894">
        <v>222</v>
      </c>
      <c r="Q1894">
        <v>208.7</v>
      </c>
      <c r="R1894" t="s">
        <v>39</v>
      </c>
      <c r="S1894" t="s">
        <v>110</v>
      </c>
      <c r="T1894" t="s">
        <v>32</v>
      </c>
      <c r="U1894">
        <v>55</v>
      </c>
      <c r="W1894">
        <f>Table2[[#This Row],[Quantity]]*Table2[[#This Row],[Item_Price]]</f>
        <v>222</v>
      </c>
    </row>
    <row r="1895" spans="1:23" x14ac:dyDescent="0.25">
      <c r="A1895" t="s">
        <v>1993</v>
      </c>
      <c r="B1895" s="1">
        <v>45796</v>
      </c>
      <c r="C1895" t="s">
        <v>1749</v>
      </c>
      <c r="D1895">
        <v>5</v>
      </c>
      <c r="E1895">
        <v>19</v>
      </c>
      <c r="F1895" t="s">
        <v>168</v>
      </c>
      <c r="G1895" t="s">
        <v>90</v>
      </c>
      <c r="H1895" t="s">
        <v>65</v>
      </c>
      <c r="I1895" t="s">
        <v>49</v>
      </c>
      <c r="J1895" t="s">
        <v>53</v>
      </c>
      <c r="K1895" t="s">
        <v>38</v>
      </c>
      <c r="L1895">
        <v>3</v>
      </c>
      <c r="M1895">
        <v>825</v>
      </c>
      <c r="N1895">
        <v>123.75</v>
      </c>
      <c r="O1895">
        <v>20</v>
      </c>
      <c r="P1895">
        <v>2475</v>
      </c>
      <c r="Q1895">
        <v>2371.25</v>
      </c>
      <c r="R1895" t="s">
        <v>39</v>
      </c>
      <c r="S1895" t="s">
        <v>31</v>
      </c>
      <c r="T1895" t="s">
        <v>40</v>
      </c>
      <c r="U1895">
        <v>65</v>
      </c>
      <c r="V1895">
        <v>3.5</v>
      </c>
      <c r="W1895">
        <f>Table2[[#This Row],[Quantity]]*Table2[[#This Row],[Item_Price]]</f>
        <v>2475</v>
      </c>
    </row>
    <row r="1896" spans="1:23" x14ac:dyDescent="0.25">
      <c r="A1896" t="s">
        <v>1994</v>
      </c>
      <c r="B1896" s="1">
        <v>45796</v>
      </c>
      <c r="C1896" t="s">
        <v>1749</v>
      </c>
      <c r="D1896">
        <v>5</v>
      </c>
      <c r="E1896">
        <v>19</v>
      </c>
      <c r="F1896" t="s">
        <v>168</v>
      </c>
      <c r="G1896" t="s">
        <v>64</v>
      </c>
      <c r="H1896" t="s">
        <v>42</v>
      </c>
      <c r="I1896" t="s">
        <v>103</v>
      </c>
      <c r="J1896" t="s">
        <v>37</v>
      </c>
      <c r="K1896" t="s">
        <v>38</v>
      </c>
      <c r="L1896">
        <v>1</v>
      </c>
      <c r="M1896">
        <v>197</v>
      </c>
      <c r="N1896">
        <v>29.55</v>
      </c>
      <c r="O1896">
        <v>30</v>
      </c>
      <c r="P1896">
        <v>197</v>
      </c>
      <c r="Q1896">
        <v>197.45</v>
      </c>
      <c r="R1896" t="s">
        <v>98</v>
      </c>
      <c r="S1896" t="s">
        <v>31</v>
      </c>
      <c r="T1896" t="s">
        <v>40</v>
      </c>
      <c r="U1896">
        <v>22</v>
      </c>
      <c r="V1896">
        <v>4.8</v>
      </c>
      <c r="W1896">
        <f>Table2[[#This Row],[Quantity]]*Table2[[#This Row],[Item_Price]]</f>
        <v>197</v>
      </c>
    </row>
    <row r="1897" spans="1:23" x14ac:dyDescent="0.25">
      <c r="A1897" t="s">
        <v>1995</v>
      </c>
      <c r="B1897" s="1">
        <v>45796</v>
      </c>
      <c r="C1897" t="s">
        <v>1749</v>
      </c>
      <c r="D1897">
        <v>5</v>
      </c>
      <c r="E1897">
        <v>19</v>
      </c>
      <c r="F1897" t="s">
        <v>168</v>
      </c>
      <c r="G1897" t="s">
        <v>115</v>
      </c>
      <c r="H1897" t="s">
        <v>77</v>
      </c>
      <c r="I1897" t="s">
        <v>97</v>
      </c>
      <c r="J1897" t="s">
        <v>28</v>
      </c>
      <c r="K1897" t="s">
        <v>38</v>
      </c>
      <c r="L1897">
        <v>2</v>
      </c>
      <c r="M1897">
        <v>357</v>
      </c>
      <c r="N1897">
        <v>53.55</v>
      </c>
      <c r="O1897">
        <v>20</v>
      </c>
      <c r="P1897">
        <v>714</v>
      </c>
      <c r="Q1897">
        <v>680.45</v>
      </c>
      <c r="R1897" t="s">
        <v>75</v>
      </c>
      <c r="S1897" t="s">
        <v>31</v>
      </c>
      <c r="T1897" t="s">
        <v>40</v>
      </c>
      <c r="U1897">
        <v>20</v>
      </c>
      <c r="V1897">
        <v>5</v>
      </c>
      <c r="W1897">
        <f>Table2[[#This Row],[Quantity]]*Table2[[#This Row],[Item_Price]]</f>
        <v>714</v>
      </c>
    </row>
    <row r="1898" spans="1:23" x14ac:dyDescent="0.25">
      <c r="A1898" t="s">
        <v>1996</v>
      </c>
      <c r="B1898" s="1">
        <v>45796</v>
      </c>
      <c r="C1898" t="s">
        <v>1749</v>
      </c>
      <c r="D1898">
        <v>5</v>
      </c>
      <c r="E1898">
        <v>19</v>
      </c>
      <c r="F1898" t="s">
        <v>168</v>
      </c>
      <c r="G1898" t="s">
        <v>80</v>
      </c>
      <c r="H1898" t="s">
        <v>139</v>
      </c>
      <c r="I1898" t="s">
        <v>69</v>
      </c>
      <c r="J1898" t="s">
        <v>82</v>
      </c>
      <c r="K1898" t="s">
        <v>45</v>
      </c>
      <c r="L1898">
        <v>3</v>
      </c>
      <c r="M1898">
        <v>501</v>
      </c>
      <c r="N1898">
        <v>75.150000000000006</v>
      </c>
      <c r="O1898">
        <v>20</v>
      </c>
      <c r="P1898">
        <v>1503</v>
      </c>
      <c r="Q1898">
        <v>1447.85</v>
      </c>
      <c r="R1898" t="s">
        <v>39</v>
      </c>
      <c r="S1898" t="s">
        <v>46</v>
      </c>
      <c r="T1898" t="s">
        <v>40</v>
      </c>
      <c r="U1898">
        <v>44</v>
      </c>
      <c r="W1898">
        <f>Table2[[#This Row],[Quantity]]*Table2[[#This Row],[Item_Price]]</f>
        <v>1503</v>
      </c>
    </row>
    <row r="1899" spans="1:23" x14ac:dyDescent="0.25">
      <c r="A1899" t="s">
        <v>1997</v>
      </c>
      <c r="B1899" s="1">
        <v>45796</v>
      </c>
      <c r="C1899" t="s">
        <v>1749</v>
      </c>
      <c r="D1899">
        <v>5</v>
      </c>
      <c r="E1899">
        <v>19</v>
      </c>
      <c r="F1899" t="s">
        <v>168</v>
      </c>
      <c r="G1899" t="s">
        <v>64</v>
      </c>
      <c r="H1899" t="s">
        <v>35</v>
      </c>
      <c r="I1899" t="s">
        <v>85</v>
      </c>
      <c r="J1899" t="s">
        <v>44</v>
      </c>
      <c r="K1899" t="s">
        <v>45</v>
      </c>
      <c r="L1899">
        <v>2</v>
      </c>
      <c r="M1899">
        <v>788</v>
      </c>
      <c r="N1899">
        <v>39.4</v>
      </c>
      <c r="O1899">
        <v>20</v>
      </c>
      <c r="P1899">
        <v>1576</v>
      </c>
      <c r="Q1899">
        <v>1556.6</v>
      </c>
      <c r="R1899" t="s">
        <v>39</v>
      </c>
      <c r="S1899" t="s">
        <v>31</v>
      </c>
      <c r="T1899" t="s">
        <v>40</v>
      </c>
      <c r="U1899">
        <v>25</v>
      </c>
      <c r="V1899">
        <v>4</v>
      </c>
      <c r="W1899">
        <f>Table2[[#This Row],[Quantity]]*Table2[[#This Row],[Item_Price]]</f>
        <v>1576</v>
      </c>
    </row>
    <row r="1900" spans="1:23" x14ac:dyDescent="0.25">
      <c r="A1900" t="s">
        <v>1998</v>
      </c>
      <c r="B1900" s="1">
        <v>45796</v>
      </c>
      <c r="C1900" t="s">
        <v>1749</v>
      </c>
      <c r="D1900">
        <v>5</v>
      </c>
      <c r="E1900">
        <v>19</v>
      </c>
      <c r="F1900" t="s">
        <v>168</v>
      </c>
      <c r="G1900" t="s">
        <v>34</v>
      </c>
      <c r="H1900" t="s">
        <v>56</v>
      </c>
      <c r="I1900" t="s">
        <v>36</v>
      </c>
      <c r="J1900" t="s">
        <v>28</v>
      </c>
      <c r="K1900" t="s">
        <v>38</v>
      </c>
      <c r="L1900">
        <v>2</v>
      </c>
      <c r="M1900">
        <v>514</v>
      </c>
      <c r="N1900">
        <v>51.4</v>
      </c>
      <c r="O1900">
        <v>50</v>
      </c>
      <c r="P1900">
        <v>1028</v>
      </c>
      <c r="Q1900">
        <v>1026.5999999999999</v>
      </c>
      <c r="R1900" t="s">
        <v>30</v>
      </c>
      <c r="S1900" t="s">
        <v>31</v>
      </c>
      <c r="T1900" t="s">
        <v>40</v>
      </c>
      <c r="U1900">
        <v>59</v>
      </c>
      <c r="V1900">
        <v>3.7</v>
      </c>
      <c r="W1900">
        <f>Table2[[#This Row],[Quantity]]*Table2[[#This Row],[Item_Price]]</f>
        <v>1028</v>
      </c>
    </row>
    <row r="1901" spans="1:23" x14ac:dyDescent="0.25">
      <c r="A1901" t="s">
        <v>1999</v>
      </c>
      <c r="B1901" s="1">
        <v>45796</v>
      </c>
      <c r="C1901" t="s">
        <v>1749</v>
      </c>
      <c r="D1901">
        <v>5</v>
      </c>
      <c r="E1901">
        <v>19</v>
      </c>
      <c r="F1901" t="s">
        <v>168</v>
      </c>
      <c r="G1901" t="s">
        <v>55</v>
      </c>
      <c r="H1901" t="s">
        <v>26</v>
      </c>
      <c r="I1901" t="s">
        <v>27</v>
      </c>
      <c r="J1901" t="s">
        <v>101</v>
      </c>
      <c r="K1901" t="s">
        <v>45</v>
      </c>
      <c r="L1901">
        <v>2</v>
      </c>
      <c r="M1901">
        <v>861</v>
      </c>
      <c r="N1901">
        <v>86.1</v>
      </c>
      <c r="O1901">
        <v>40</v>
      </c>
      <c r="P1901">
        <v>1722</v>
      </c>
      <c r="Q1901">
        <v>1675.9</v>
      </c>
      <c r="R1901" t="s">
        <v>39</v>
      </c>
      <c r="S1901" t="s">
        <v>91</v>
      </c>
      <c r="T1901" t="s">
        <v>32</v>
      </c>
      <c r="U1901">
        <v>22</v>
      </c>
      <c r="W1901">
        <f>Table2[[#This Row],[Quantity]]*Table2[[#This Row],[Item_Price]]</f>
        <v>1722</v>
      </c>
    </row>
    <row r="1902" spans="1:23" x14ac:dyDescent="0.25">
      <c r="A1902" t="s">
        <v>2000</v>
      </c>
      <c r="B1902" s="1">
        <v>45796</v>
      </c>
      <c r="C1902" t="s">
        <v>1749</v>
      </c>
      <c r="D1902">
        <v>5</v>
      </c>
      <c r="E1902">
        <v>19</v>
      </c>
      <c r="F1902" t="s">
        <v>168</v>
      </c>
      <c r="G1902" t="s">
        <v>80</v>
      </c>
      <c r="H1902" t="s">
        <v>108</v>
      </c>
      <c r="I1902" t="s">
        <v>97</v>
      </c>
      <c r="J1902" t="s">
        <v>78</v>
      </c>
      <c r="K1902" t="s">
        <v>38</v>
      </c>
      <c r="L1902">
        <v>1</v>
      </c>
      <c r="M1902">
        <v>175</v>
      </c>
      <c r="N1902">
        <v>0</v>
      </c>
      <c r="O1902">
        <v>70</v>
      </c>
      <c r="P1902">
        <v>175</v>
      </c>
      <c r="Q1902">
        <v>245</v>
      </c>
      <c r="R1902" t="s">
        <v>112</v>
      </c>
      <c r="S1902" t="s">
        <v>31</v>
      </c>
      <c r="T1902" t="s">
        <v>40</v>
      </c>
      <c r="U1902">
        <v>65</v>
      </c>
      <c r="V1902">
        <v>4</v>
      </c>
      <c r="W1902">
        <f>Table2[[#This Row],[Quantity]]*Table2[[#This Row],[Item_Price]]</f>
        <v>175</v>
      </c>
    </row>
    <row r="1903" spans="1:23" x14ac:dyDescent="0.25">
      <c r="A1903" t="s">
        <v>2001</v>
      </c>
      <c r="B1903" s="1">
        <v>45796</v>
      </c>
      <c r="C1903" t="s">
        <v>1749</v>
      </c>
      <c r="D1903">
        <v>5</v>
      </c>
      <c r="E1903">
        <v>19</v>
      </c>
      <c r="F1903" t="s">
        <v>168</v>
      </c>
      <c r="G1903" t="s">
        <v>64</v>
      </c>
      <c r="H1903" t="s">
        <v>139</v>
      </c>
      <c r="I1903" t="s">
        <v>49</v>
      </c>
      <c r="J1903" t="s">
        <v>101</v>
      </c>
      <c r="K1903" t="s">
        <v>45</v>
      </c>
      <c r="L1903">
        <v>2</v>
      </c>
      <c r="M1903">
        <v>341</v>
      </c>
      <c r="N1903">
        <v>68.2</v>
      </c>
      <c r="O1903">
        <v>40</v>
      </c>
      <c r="P1903">
        <v>682</v>
      </c>
      <c r="Q1903">
        <v>653.79999999999995</v>
      </c>
      <c r="R1903" t="s">
        <v>39</v>
      </c>
      <c r="S1903" t="s">
        <v>31</v>
      </c>
      <c r="T1903" t="s">
        <v>40</v>
      </c>
      <c r="U1903">
        <v>27</v>
      </c>
      <c r="V1903">
        <v>4.9000000000000004</v>
      </c>
      <c r="W1903">
        <f>Table2[[#This Row],[Quantity]]*Table2[[#This Row],[Item_Price]]</f>
        <v>682</v>
      </c>
    </row>
    <row r="1904" spans="1:23" x14ac:dyDescent="0.25">
      <c r="A1904" t="s">
        <v>2002</v>
      </c>
      <c r="B1904" s="1">
        <v>45796</v>
      </c>
      <c r="C1904" t="s">
        <v>1749</v>
      </c>
      <c r="D1904">
        <v>5</v>
      </c>
      <c r="E1904">
        <v>19</v>
      </c>
      <c r="F1904" t="s">
        <v>168</v>
      </c>
      <c r="G1904" t="s">
        <v>115</v>
      </c>
      <c r="H1904" t="s">
        <v>26</v>
      </c>
      <c r="I1904" t="s">
        <v>61</v>
      </c>
      <c r="J1904" t="s">
        <v>28</v>
      </c>
      <c r="K1904" t="s">
        <v>38</v>
      </c>
      <c r="L1904">
        <v>2</v>
      </c>
      <c r="M1904">
        <v>661</v>
      </c>
      <c r="N1904">
        <v>66.099999999999994</v>
      </c>
      <c r="O1904">
        <v>50</v>
      </c>
      <c r="P1904">
        <v>1322</v>
      </c>
      <c r="Q1904">
        <v>1305.9000000000001</v>
      </c>
      <c r="R1904" t="s">
        <v>39</v>
      </c>
      <c r="S1904" t="s">
        <v>31</v>
      </c>
      <c r="T1904" t="s">
        <v>40</v>
      </c>
      <c r="U1904">
        <v>29</v>
      </c>
      <c r="V1904">
        <v>3.6</v>
      </c>
      <c r="W1904">
        <f>Table2[[#This Row],[Quantity]]*Table2[[#This Row],[Item_Price]]</f>
        <v>1322</v>
      </c>
    </row>
    <row r="1905" spans="1:23" x14ac:dyDescent="0.25">
      <c r="A1905" t="s">
        <v>2003</v>
      </c>
      <c r="B1905" s="1">
        <v>45796</v>
      </c>
      <c r="C1905" t="s">
        <v>1749</v>
      </c>
      <c r="D1905">
        <v>5</v>
      </c>
      <c r="E1905">
        <v>19</v>
      </c>
      <c r="F1905" t="s">
        <v>168</v>
      </c>
      <c r="G1905" t="s">
        <v>64</v>
      </c>
      <c r="H1905" t="s">
        <v>52</v>
      </c>
      <c r="I1905" t="s">
        <v>57</v>
      </c>
      <c r="J1905" t="s">
        <v>82</v>
      </c>
      <c r="K1905" t="s">
        <v>38</v>
      </c>
      <c r="L1905">
        <v>1</v>
      </c>
      <c r="M1905">
        <v>857</v>
      </c>
      <c r="N1905">
        <v>85.7</v>
      </c>
      <c r="O1905">
        <v>20</v>
      </c>
      <c r="P1905">
        <v>857</v>
      </c>
      <c r="Q1905">
        <v>791.3</v>
      </c>
      <c r="R1905" t="s">
        <v>39</v>
      </c>
      <c r="S1905" t="s">
        <v>31</v>
      </c>
      <c r="T1905" t="s">
        <v>40</v>
      </c>
      <c r="U1905">
        <v>46</v>
      </c>
      <c r="V1905">
        <v>3.3</v>
      </c>
      <c r="W1905">
        <f>Table2[[#This Row],[Quantity]]*Table2[[#This Row],[Item_Price]]</f>
        <v>857</v>
      </c>
    </row>
    <row r="1906" spans="1:23" x14ac:dyDescent="0.25">
      <c r="A1906" t="s">
        <v>2004</v>
      </c>
      <c r="B1906" s="1">
        <v>45796</v>
      </c>
      <c r="C1906" t="s">
        <v>1749</v>
      </c>
      <c r="D1906">
        <v>5</v>
      </c>
      <c r="E1906">
        <v>19</v>
      </c>
      <c r="F1906" t="s">
        <v>168</v>
      </c>
      <c r="G1906" t="s">
        <v>64</v>
      </c>
      <c r="H1906" t="s">
        <v>65</v>
      </c>
      <c r="I1906" t="s">
        <v>49</v>
      </c>
      <c r="J1906" t="s">
        <v>44</v>
      </c>
      <c r="K1906" t="s">
        <v>38</v>
      </c>
      <c r="L1906">
        <v>2</v>
      </c>
      <c r="M1906">
        <v>714</v>
      </c>
      <c r="N1906">
        <v>71.400000000000006</v>
      </c>
      <c r="O1906">
        <v>40</v>
      </c>
      <c r="P1906">
        <v>1428</v>
      </c>
      <c r="Q1906">
        <v>1396.6</v>
      </c>
      <c r="R1906" t="s">
        <v>39</v>
      </c>
      <c r="S1906" t="s">
        <v>31</v>
      </c>
      <c r="T1906" t="s">
        <v>40</v>
      </c>
      <c r="U1906">
        <v>61</v>
      </c>
      <c r="V1906">
        <v>4.8</v>
      </c>
      <c r="W1906">
        <f>Table2[[#This Row],[Quantity]]*Table2[[#This Row],[Item_Price]]</f>
        <v>1428</v>
      </c>
    </row>
    <row r="1907" spans="1:23" x14ac:dyDescent="0.25">
      <c r="A1907" t="s">
        <v>2005</v>
      </c>
      <c r="B1907" s="1">
        <v>45796</v>
      </c>
      <c r="C1907" t="s">
        <v>1749</v>
      </c>
      <c r="D1907">
        <v>5</v>
      </c>
      <c r="E1907">
        <v>19</v>
      </c>
      <c r="F1907" t="s">
        <v>168</v>
      </c>
      <c r="G1907" t="s">
        <v>90</v>
      </c>
      <c r="H1907" t="s">
        <v>108</v>
      </c>
      <c r="I1907" t="s">
        <v>97</v>
      </c>
      <c r="J1907" t="s">
        <v>94</v>
      </c>
      <c r="K1907" t="s">
        <v>38</v>
      </c>
      <c r="L1907">
        <v>2</v>
      </c>
      <c r="M1907">
        <v>335</v>
      </c>
      <c r="N1907">
        <v>16.75</v>
      </c>
      <c r="O1907">
        <v>20</v>
      </c>
      <c r="P1907">
        <v>670</v>
      </c>
      <c r="Q1907">
        <v>673.25</v>
      </c>
      <c r="R1907" t="s">
        <v>39</v>
      </c>
      <c r="S1907" t="s">
        <v>31</v>
      </c>
      <c r="T1907" t="s">
        <v>40</v>
      </c>
      <c r="U1907">
        <v>55</v>
      </c>
      <c r="V1907">
        <v>2.9</v>
      </c>
      <c r="W1907">
        <f>Table2[[#This Row],[Quantity]]*Table2[[#This Row],[Item_Price]]</f>
        <v>670</v>
      </c>
    </row>
    <row r="1908" spans="1:23" x14ac:dyDescent="0.25">
      <c r="A1908" t="s">
        <v>2006</v>
      </c>
      <c r="B1908" s="1">
        <v>45797</v>
      </c>
      <c r="C1908" t="s">
        <v>1749</v>
      </c>
      <c r="D1908">
        <v>5</v>
      </c>
      <c r="E1908">
        <v>20</v>
      </c>
      <c r="F1908" t="s">
        <v>178</v>
      </c>
      <c r="G1908" t="s">
        <v>80</v>
      </c>
      <c r="H1908" t="s">
        <v>52</v>
      </c>
      <c r="I1908" t="s">
        <v>36</v>
      </c>
      <c r="J1908" t="s">
        <v>44</v>
      </c>
      <c r="K1908" t="s">
        <v>45</v>
      </c>
      <c r="L1908">
        <v>1</v>
      </c>
      <c r="M1908">
        <v>800</v>
      </c>
      <c r="N1908">
        <v>160</v>
      </c>
      <c r="O1908">
        <v>20</v>
      </c>
      <c r="P1908">
        <v>800</v>
      </c>
      <c r="Q1908">
        <v>660</v>
      </c>
      <c r="R1908" t="s">
        <v>75</v>
      </c>
      <c r="S1908" t="s">
        <v>31</v>
      </c>
      <c r="T1908" t="s">
        <v>40</v>
      </c>
      <c r="U1908">
        <v>42</v>
      </c>
      <c r="V1908">
        <v>3.5</v>
      </c>
      <c r="W1908">
        <f>Table2[[#This Row],[Quantity]]*Table2[[#This Row],[Item_Price]]</f>
        <v>800</v>
      </c>
    </row>
    <row r="1909" spans="1:23" x14ac:dyDescent="0.25">
      <c r="A1909" t="s">
        <v>2007</v>
      </c>
      <c r="B1909" s="1">
        <v>45797</v>
      </c>
      <c r="C1909" t="s">
        <v>1749</v>
      </c>
      <c r="D1909">
        <v>5</v>
      </c>
      <c r="E1909">
        <v>20</v>
      </c>
      <c r="F1909" t="s">
        <v>178</v>
      </c>
      <c r="G1909" t="s">
        <v>34</v>
      </c>
      <c r="H1909" t="s">
        <v>135</v>
      </c>
      <c r="I1909" t="s">
        <v>27</v>
      </c>
      <c r="J1909" t="s">
        <v>53</v>
      </c>
      <c r="K1909" t="s">
        <v>58</v>
      </c>
      <c r="L1909">
        <v>1</v>
      </c>
      <c r="M1909">
        <v>833</v>
      </c>
      <c r="N1909">
        <v>166.6</v>
      </c>
      <c r="O1909">
        <v>70</v>
      </c>
      <c r="P1909">
        <v>833</v>
      </c>
      <c r="Q1909">
        <v>736.4</v>
      </c>
      <c r="R1909" t="s">
        <v>30</v>
      </c>
      <c r="S1909" t="s">
        <v>31</v>
      </c>
      <c r="T1909" t="s">
        <v>32</v>
      </c>
      <c r="U1909">
        <v>41</v>
      </c>
      <c r="V1909">
        <v>4.4000000000000004</v>
      </c>
      <c r="W1909">
        <f>Table2[[#This Row],[Quantity]]*Table2[[#This Row],[Item_Price]]</f>
        <v>833</v>
      </c>
    </row>
    <row r="1910" spans="1:23" x14ac:dyDescent="0.25">
      <c r="A1910" t="s">
        <v>2008</v>
      </c>
      <c r="B1910" s="1">
        <v>45797</v>
      </c>
      <c r="C1910" t="s">
        <v>1749</v>
      </c>
      <c r="D1910">
        <v>5</v>
      </c>
      <c r="E1910">
        <v>20</v>
      </c>
      <c r="F1910" t="s">
        <v>178</v>
      </c>
      <c r="G1910" t="s">
        <v>80</v>
      </c>
      <c r="H1910" t="s">
        <v>48</v>
      </c>
      <c r="I1910" t="s">
        <v>97</v>
      </c>
      <c r="J1910" t="s">
        <v>28</v>
      </c>
      <c r="K1910" t="s">
        <v>45</v>
      </c>
      <c r="L1910">
        <v>2</v>
      </c>
      <c r="M1910">
        <v>483</v>
      </c>
      <c r="N1910">
        <v>72.45</v>
      </c>
      <c r="O1910">
        <v>20</v>
      </c>
      <c r="P1910">
        <v>966</v>
      </c>
      <c r="Q1910">
        <v>913.55</v>
      </c>
      <c r="R1910" t="s">
        <v>39</v>
      </c>
      <c r="S1910" t="s">
        <v>31</v>
      </c>
      <c r="T1910" t="s">
        <v>40</v>
      </c>
      <c r="U1910">
        <v>50</v>
      </c>
      <c r="V1910">
        <v>4.4000000000000004</v>
      </c>
      <c r="W1910">
        <f>Table2[[#This Row],[Quantity]]*Table2[[#This Row],[Item_Price]]</f>
        <v>966</v>
      </c>
    </row>
    <row r="1911" spans="1:23" x14ac:dyDescent="0.25">
      <c r="A1911" t="s">
        <v>2009</v>
      </c>
      <c r="B1911" s="1">
        <v>45797</v>
      </c>
      <c r="C1911" t="s">
        <v>1749</v>
      </c>
      <c r="D1911">
        <v>5</v>
      </c>
      <c r="E1911">
        <v>20</v>
      </c>
      <c r="F1911" t="s">
        <v>178</v>
      </c>
      <c r="G1911" t="s">
        <v>25</v>
      </c>
      <c r="H1911" t="s">
        <v>42</v>
      </c>
      <c r="I1911" t="s">
        <v>97</v>
      </c>
      <c r="J1911" t="s">
        <v>62</v>
      </c>
      <c r="K1911" t="s">
        <v>38</v>
      </c>
      <c r="L1911">
        <v>1</v>
      </c>
      <c r="M1911">
        <v>323</v>
      </c>
      <c r="N1911">
        <v>0</v>
      </c>
      <c r="O1911">
        <v>40</v>
      </c>
      <c r="P1911">
        <v>323</v>
      </c>
      <c r="Q1911">
        <v>363</v>
      </c>
      <c r="R1911" t="s">
        <v>39</v>
      </c>
      <c r="S1911" t="s">
        <v>31</v>
      </c>
      <c r="T1911" t="s">
        <v>40</v>
      </c>
      <c r="U1911">
        <v>53</v>
      </c>
      <c r="V1911">
        <v>4.3</v>
      </c>
      <c r="W1911">
        <f>Table2[[#This Row],[Quantity]]*Table2[[#This Row],[Item_Price]]</f>
        <v>323</v>
      </c>
    </row>
    <row r="1912" spans="1:23" x14ac:dyDescent="0.25">
      <c r="A1912" t="s">
        <v>2010</v>
      </c>
      <c r="B1912" s="1">
        <v>45797</v>
      </c>
      <c r="C1912" t="s">
        <v>1749</v>
      </c>
      <c r="D1912">
        <v>5</v>
      </c>
      <c r="E1912">
        <v>20</v>
      </c>
      <c r="F1912" t="s">
        <v>178</v>
      </c>
      <c r="G1912" t="s">
        <v>34</v>
      </c>
      <c r="H1912" t="s">
        <v>42</v>
      </c>
      <c r="I1912" t="s">
        <v>103</v>
      </c>
      <c r="J1912" t="s">
        <v>74</v>
      </c>
      <c r="K1912" t="s">
        <v>45</v>
      </c>
      <c r="L1912">
        <v>1</v>
      </c>
      <c r="M1912">
        <v>436</v>
      </c>
      <c r="N1912">
        <v>109</v>
      </c>
      <c r="O1912">
        <v>0</v>
      </c>
      <c r="P1912">
        <v>436</v>
      </c>
      <c r="Q1912">
        <v>327</v>
      </c>
      <c r="R1912" t="s">
        <v>39</v>
      </c>
      <c r="S1912" t="s">
        <v>31</v>
      </c>
      <c r="T1912" t="s">
        <v>40</v>
      </c>
      <c r="U1912">
        <v>62</v>
      </c>
      <c r="V1912">
        <v>4.4000000000000004</v>
      </c>
      <c r="W1912">
        <f>Table2[[#This Row],[Quantity]]*Table2[[#This Row],[Item_Price]]</f>
        <v>436</v>
      </c>
    </row>
    <row r="1913" spans="1:23" x14ac:dyDescent="0.25">
      <c r="A1913" t="s">
        <v>2011</v>
      </c>
      <c r="B1913" s="1">
        <v>45797</v>
      </c>
      <c r="C1913" t="s">
        <v>1749</v>
      </c>
      <c r="D1913">
        <v>5</v>
      </c>
      <c r="E1913">
        <v>20</v>
      </c>
      <c r="F1913" t="s">
        <v>178</v>
      </c>
      <c r="G1913" t="s">
        <v>80</v>
      </c>
      <c r="H1913" t="s">
        <v>81</v>
      </c>
      <c r="I1913" t="s">
        <v>49</v>
      </c>
      <c r="J1913" t="s">
        <v>53</v>
      </c>
      <c r="K1913" t="s">
        <v>38</v>
      </c>
      <c r="L1913">
        <v>3</v>
      </c>
      <c r="M1913">
        <v>562</v>
      </c>
      <c r="N1913">
        <v>56.2</v>
      </c>
      <c r="O1913">
        <v>40</v>
      </c>
      <c r="P1913">
        <v>1686</v>
      </c>
      <c r="Q1913">
        <v>1669.8</v>
      </c>
      <c r="R1913" t="s">
        <v>75</v>
      </c>
      <c r="S1913" t="s">
        <v>31</v>
      </c>
      <c r="T1913" t="s">
        <v>32</v>
      </c>
      <c r="U1913">
        <v>45</v>
      </c>
      <c r="V1913">
        <v>3.8</v>
      </c>
      <c r="W1913">
        <f>Table2[[#This Row],[Quantity]]*Table2[[#This Row],[Item_Price]]</f>
        <v>1686</v>
      </c>
    </row>
    <row r="1914" spans="1:23" x14ac:dyDescent="0.25">
      <c r="A1914" t="s">
        <v>2012</v>
      </c>
      <c r="B1914" s="1">
        <v>45797</v>
      </c>
      <c r="C1914" t="s">
        <v>1749</v>
      </c>
      <c r="D1914">
        <v>5</v>
      </c>
      <c r="E1914">
        <v>20</v>
      </c>
      <c r="F1914" t="s">
        <v>178</v>
      </c>
      <c r="G1914" t="s">
        <v>96</v>
      </c>
      <c r="H1914" t="s">
        <v>52</v>
      </c>
      <c r="I1914" t="s">
        <v>57</v>
      </c>
      <c r="J1914" t="s">
        <v>62</v>
      </c>
      <c r="K1914" t="s">
        <v>38</v>
      </c>
      <c r="L1914">
        <v>2</v>
      </c>
      <c r="M1914">
        <v>694</v>
      </c>
      <c r="N1914">
        <v>104.1</v>
      </c>
      <c r="O1914">
        <v>30</v>
      </c>
      <c r="P1914">
        <v>1388</v>
      </c>
      <c r="Q1914">
        <v>1313.9</v>
      </c>
      <c r="R1914" t="s">
        <v>30</v>
      </c>
      <c r="S1914" t="s">
        <v>31</v>
      </c>
      <c r="T1914" t="s">
        <v>40</v>
      </c>
      <c r="U1914">
        <v>54</v>
      </c>
      <c r="V1914">
        <v>4.9000000000000004</v>
      </c>
      <c r="W1914">
        <f>Table2[[#This Row],[Quantity]]*Table2[[#This Row],[Item_Price]]</f>
        <v>1388</v>
      </c>
    </row>
    <row r="1915" spans="1:23" x14ac:dyDescent="0.25">
      <c r="A1915" t="s">
        <v>2013</v>
      </c>
      <c r="B1915" s="1">
        <v>45797</v>
      </c>
      <c r="C1915" t="s">
        <v>1749</v>
      </c>
      <c r="D1915">
        <v>5</v>
      </c>
      <c r="E1915">
        <v>20</v>
      </c>
      <c r="F1915" t="s">
        <v>178</v>
      </c>
      <c r="G1915" t="s">
        <v>73</v>
      </c>
      <c r="H1915" t="s">
        <v>135</v>
      </c>
      <c r="I1915" t="s">
        <v>49</v>
      </c>
      <c r="J1915" t="s">
        <v>62</v>
      </c>
      <c r="K1915" t="s">
        <v>38</v>
      </c>
      <c r="L1915">
        <v>1</v>
      </c>
      <c r="M1915">
        <v>464</v>
      </c>
      <c r="N1915">
        <v>69.599999999999994</v>
      </c>
      <c r="O1915">
        <v>30</v>
      </c>
      <c r="P1915">
        <v>464</v>
      </c>
      <c r="Q1915">
        <v>424.4</v>
      </c>
      <c r="R1915" t="s">
        <v>112</v>
      </c>
      <c r="S1915" t="s">
        <v>31</v>
      </c>
      <c r="T1915" t="s">
        <v>40</v>
      </c>
      <c r="U1915">
        <v>40</v>
      </c>
      <c r="V1915">
        <v>3.9</v>
      </c>
      <c r="W1915">
        <f>Table2[[#This Row],[Quantity]]*Table2[[#This Row],[Item_Price]]</f>
        <v>464</v>
      </c>
    </row>
    <row r="1916" spans="1:23" x14ac:dyDescent="0.25">
      <c r="A1916" t="s">
        <v>2014</v>
      </c>
      <c r="B1916" s="1">
        <v>45797</v>
      </c>
      <c r="C1916" t="s">
        <v>1749</v>
      </c>
      <c r="D1916">
        <v>5</v>
      </c>
      <c r="E1916">
        <v>20</v>
      </c>
      <c r="F1916" t="s">
        <v>178</v>
      </c>
      <c r="G1916" t="s">
        <v>64</v>
      </c>
      <c r="H1916" t="s">
        <v>48</v>
      </c>
      <c r="I1916" t="s">
        <v>61</v>
      </c>
      <c r="J1916" t="s">
        <v>53</v>
      </c>
      <c r="K1916" t="s">
        <v>38</v>
      </c>
      <c r="L1916">
        <v>1</v>
      </c>
      <c r="M1916">
        <v>501</v>
      </c>
      <c r="N1916">
        <v>75.150000000000006</v>
      </c>
      <c r="O1916">
        <v>60</v>
      </c>
      <c r="P1916">
        <v>501</v>
      </c>
      <c r="Q1916">
        <v>485.85</v>
      </c>
      <c r="R1916" t="s">
        <v>75</v>
      </c>
      <c r="S1916" t="s">
        <v>31</v>
      </c>
      <c r="T1916" t="s">
        <v>40</v>
      </c>
      <c r="U1916">
        <v>35</v>
      </c>
      <c r="V1916">
        <v>4.5999999999999996</v>
      </c>
      <c r="W1916">
        <f>Table2[[#This Row],[Quantity]]*Table2[[#This Row],[Item_Price]]</f>
        <v>501</v>
      </c>
    </row>
    <row r="1917" spans="1:23" x14ac:dyDescent="0.25">
      <c r="A1917" t="s">
        <v>2015</v>
      </c>
      <c r="B1917" s="1">
        <v>45798</v>
      </c>
      <c r="C1917" t="s">
        <v>1749</v>
      </c>
      <c r="D1917">
        <v>5</v>
      </c>
      <c r="E1917">
        <v>21</v>
      </c>
      <c r="F1917" t="s">
        <v>24</v>
      </c>
      <c r="G1917" t="s">
        <v>64</v>
      </c>
      <c r="H1917" t="s">
        <v>65</v>
      </c>
      <c r="I1917" t="s">
        <v>103</v>
      </c>
      <c r="J1917" t="s">
        <v>82</v>
      </c>
      <c r="K1917" t="s">
        <v>38</v>
      </c>
      <c r="L1917">
        <v>3</v>
      </c>
      <c r="M1917">
        <v>590</v>
      </c>
      <c r="N1917">
        <v>118</v>
      </c>
      <c r="O1917">
        <v>50</v>
      </c>
      <c r="P1917">
        <v>1770</v>
      </c>
      <c r="Q1917">
        <v>1702</v>
      </c>
      <c r="R1917" t="s">
        <v>39</v>
      </c>
      <c r="S1917" t="s">
        <v>31</v>
      </c>
      <c r="T1917" t="s">
        <v>40</v>
      </c>
      <c r="U1917">
        <v>60</v>
      </c>
      <c r="V1917">
        <v>4.5</v>
      </c>
      <c r="W1917">
        <f>Table2[[#This Row],[Quantity]]*Table2[[#This Row],[Item_Price]]</f>
        <v>1770</v>
      </c>
    </row>
    <row r="1918" spans="1:23" x14ac:dyDescent="0.25">
      <c r="A1918" t="s">
        <v>2016</v>
      </c>
      <c r="B1918" s="1">
        <v>45798</v>
      </c>
      <c r="C1918" t="s">
        <v>1749</v>
      </c>
      <c r="D1918">
        <v>5</v>
      </c>
      <c r="E1918">
        <v>21</v>
      </c>
      <c r="F1918" t="s">
        <v>24</v>
      </c>
      <c r="G1918" t="s">
        <v>25</v>
      </c>
      <c r="H1918" t="s">
        <v>139</v>
      </c>
      <c r="I1918" t="s">
        <v>36</v>
      </c>
      <c r="J1918" t="s">
        <v>123</v>
      </c>
      <c r="K1918" t="s">
        <v>38</v>
      </c>
      <c r="L1918">
        <v>2</v>
      </c>
      <c r="M1918">
        <v>240</v>
      </c>
      <c r="N1918">
        <v>36</v>
      </c>
      <c r="O1918">
        <v>30</v>
      </c>
      <c r="P1918">
        <v>480</v>
      </c>
      <c r="Q1918">
        <v>474</v>
      </c>
      <c r="R1918" t="s">
        <v>39</v>
      </c>
      <c r="S1918" t="s">
        <v>31</v>
      </c>
      <c r="T1918" t="s">
        <v>32</v>
      </c>
      <c r="U1918">
        <v>45</v>
      </c>
      <c r="V1918">
        <v>3.3</v>
      </c>
      <c r="W1918">
        <f>Table2[[#This Row],[Quantity]]*Table2[[#This Row],[Item_Price]]</f>
        <v>480</v>
      </c>
    </row>
    <row r="1919" spans="1:23" x14ac:dyDescent="0.25">
      <c r="A1919" t="s">
        <v>2017</v>
      </c>
      <c r="B1919" s="1">
        <v>45798</v>
      </c>
      <c r="C1919" t="s">
        <v>1749</v>
      </c>
      <c r="D1919">
        <v>5</v>
      </c>
      <c r="E1919">
        <v>21</v>
      </c>
      <c r="F1919" t="s">
        <v>24</v>
      </c>
      <c r="G1919" t="s">
        <v>34</v>
      </c>
      <c r="H1919" t="s">
        <v>68</v>
      </c>
      <c r="I1919" t="s">
        <v>61</v>
      </c>
      <c r="J1919" t="s">
        <v>70</v>
      </c>
      <c r="K1919" t="s">
        <v>45</v>
      </c>
      <c r="L1919">
        <v>1</v>
      </c>
      <c r="M1919">
        <v>122</v>
      </c>
      <c r="N1919">
        <v>12.2</v>
      </c>
      <c r="O1919">
        <v>20</v>
      </c>
      <c r="P1919">
        <v>122</v>
      </c>
      <c r="Q1919">
        <v>129.80000000000001</v>
      </c>
      <c r="R1919" t="s">
        <v>98</v>
      </c>
      <c r="S1919" t="s">
        <v>31</v>
      </c>
      <c r="T1919" t="s">
        <v>40</v>
      </c>
      <c r="U1919">
        <v>49</v>
      </c>
      <c r="V1919">
        <v>4.3</v>
      </c>
      <c r="W1919">
        <f>Table2[[#This Row],[Quantity]]*Table2[[#This Row],[Item_Price]]</f>
        <v>122</v>
      </c>
    </row>
    <row r="1920" spans="1:23" x14ac:dyDescent="0.25">
      <c r="A1920" t="s">
        <v>2018</v>
      </c>
      <c r="B1920" s="1">
        <v>45798</v>
      </c>
      <c r="C1920" t="s">
        <v>1749</v>
      </c>
      <c r="D1920">
        <v>5</v>
      </c>
      <c r="E1920">
        <v>21</v>
      </c>
      <c r="F1920" t="s">
        <v>24</v>
      </c>
      <c r="G1920" t="s">
        <v>80</v>
      </c>
      <c r="H1920" t="s">
        <v>65</v>
      </c>
      <c r="I1920" t="s">
        <v>85</v>
      </c>
      <c r="J1920" t="s">
        <v>37</v>
      </c>
      <c r="K1920" t="s">
        <v>38</v>
      </c>
      <c r="L1920">
        <v>1</v>
      </c>
      <c r="M1920">
        <v>678</v>
      </c>
      <c r="N1920">
        <v>135.6</v>
      </c>
      <c r="O1920">
        <v>40</v>
      </c>
      <c r="P1920">
        <v>678</v>
      </c>
      <c r="Q1920">
        <v>582.4</v>
      </c>
      <c r="R1920" t="s">
        <v>30</v>
      </c>
      <c r="S1920" t="s">
        <v>31</v>
      </c>
      <c r="T1920" t="s">
        <v>32</v>
      </c>
      <c r="U1920">
        <v>54</v>
      </c>
      <c r="V1920">
        <v>4.3</v>
      </c>
      <c r="W1920">
        <f>Table2[[#This Row],[Quantity]]*Table2[[#This Row],[Item_Price]]</f>
        <v>678</v>
      </c>
    </row>
    <row r="1921" spans="1:23" x14ac:dyDescent="0.25">
      <c r="A1921" t="s">
        <v>2019</v>
      </c>
      <c r="B1921" s="1">
        <v>45798</v>
      </c>
      <c r="C1921" t="s">
        <v>1749</v>
      </c>
      <c r="D1921">
        <v>5</v>
      </c>
      <c r="E1921">
        <v>21</v>
      </c>
      <c r="F1921" t="s">
        <v>24</v>
      </c>
      <c r="G1921" t="s">
        <v>34</v>
      </c>
      <c r="H1921" t="s">
        <v>105</v>
      </c>
      <c r="I1921" t="s">
        <v>85</v>
      </c>
      <c r="J1921" t="s">
        <v>74</v>
      </c>
      <c r="K1921" t="s">
        <v>45</v>
      </c>
      <c r="L1921">
        <v>3</v>
      </c>
      <c r="M1921">
        <v>678</v>
      </c>
      <c r="N1921">
        <v>101.7</v>
      </c>
      <c r="O1921">
        <v>70</v>
      </c>
      <c r="P1921">
        <v>2034</v>
      </c>
      <c r="Q1921">
        <v>2002.3</v>
      </c>
      <c r="R1921" t="s">
        <v>30</v>
      </c>
      <c r="S1921" t="s">
        <v>31</v>
      </c>
      <c r="T1921" t="s">
        <v>40</v>
      </c>
      <c r="U1921">
        <v>27</v>
      </c>
      <c r="V1921">
        <v>5</v>
      </c>
      <c r="W1921">
        <f>Table2[[#This Row],[Quantity]]*Table2[[#This Row],[Item_Price]]</f>
        <v>2034</v>
      </c>
    </row>
    <row r="1922" spans="1:23" x14ac:dyDescent="0.25">
      <c r="A1922" t="s">
        <v>2020</v>
      </c>
      <c r="B1922" s="1">
        <v>45798</v>
      </c>
      <c r="C1922" t="s">
        <v>1749</v>
      </c>
      <c r="D1922">
        <v>5</v>
      </c>
      <c r="E1922">
        <v>21</v>
      </c>
      <c r="F1922" t="s">
        <v>24</v>
      </c>
      <c r="G1922" t="s">
        <v>34</v>
      </c>
      <c r="H1922" t="s">
        <v>52</v>
      </c>
      <c r="I1922" t="s">
        <v>57</v>
      </c>
      <c r="J1922" t="s">
        <v>74</v>
      </c>
      <c r="K1922" t="s">
        <v>45</v>
      </c>
      <c r="L1922">
        <v>1</v>
      </c>
      <c r="M1922">
        <v>520</v>
      </c>
      <c r="N1922">
        <v>26</v>
      </c>
      <c r="O1922">
        <v>30</v>
      </c>
      <c r="P1922">
        <v>520</v>
      </c>
      <c r="Q1922">
        <v>524</v>
      </c>
      <c r="R1922" t="s">
        <v>39</v>
      </c>
      <c r="S1922" t="s">
        <v>31</v>
      </c>
      <c r="T1922" t="s">
        <v>40</v>
      </c>
      <c r="U1922">
        <v>70</v>
      </c>
      <c r="V1922">
        <v>3.6</v>
      </c>
      <c r="W1922">
        <f>Table2[[#This Row],[Quantity]]*Table2[[#This Row],[Item_Price]]</f>
        <v>520</v>
      </c>
    </row>
    <row r="1923" spans="1:23" x14ac:dyDescent="0.25">
      <c r="A1923" t="s">
        <v>2021</v>
      </c>
      <c r="B1923" s="1">
        <v>45798</v>
      </c>
      <c r="C1923" t="s">
        <v>1749</v>
      </c>
      <c r="D1923">
        <v>5</v>
      </c>
      <c r="E1923">
        <v>21</v>
      </c>
      <c r="F1923" t="s">
        <v>24</v>
      </c>
      <c r="G1923" t="s">
        <v>80</v>
      </c>
      <c r="H1923" t="s">
        <v>26</v>
      </c>
      <c r="I1923" t="s">
        <v>85</v>
      </c>
      <c r="J1923" t="s">
        <v>78</v>
      </c>
      <c r="K1923" t="s">
        <v>38</v>
      </c>
      <c r="L1923">
        <v>2</v>
      </c>
      <c r="M1923">
        <v>866</v>
      </c>
      <c r="N1923">
        <v>43.3</v>
      </c>
      <c r="O1923">
        <v>50</v>
      </c>
      <c r="P1923">
        <v>1732</v>
      </c>
      <c r="Q1923">
        <v>1738.7</v>
      </c>
      <c r="R1923" t="s">
        <v>75</v>
      </c>
      <c r="S1923" t="s">
        <v>46</v>
      </c>
      <c r="T1923" t="s">
        <v>40</v>
      </c>
      <c r="U1923">
        <v>50</v>
      </c>
      <c r="W1923">
        <f>Table2[[#This Row],[Quantity]]*Table2[[#This Row],[Item_Price]]</f>
        <v>1732</v>
      </c>
    </row>
    <row r="1924" spans="1:23" x14ac:dyDescent="0.25">
      <c r="A1924" t="s">
        <v>2022</v>
      </c>
      <c r="B1924" s="1">
        <v>45798</v>
      </c>
      <c r="C1924" t="s">
        <v>1749</v>
      </c>
      <c r="D1924">
        <v>5</v>
      </c>
      <c r="E1924">
        <v>21</v>
      </c>
      <c r="F1924" t="s">
        <v>24</v>
      </c>
      <c r="G1924" t="s">
        <v>80</v>
      </c>
      <c r="H1924" t="s">
        <v>52</v>
      </c>
      <c r="I1924" t="s">
        <v>27</v>
      </c>
      <c r="J1924" t="s">
        <v>66</v>
      </c>
      <c r="K1924" t="s">
        <v>38</v>
      </c>
      <c r="L1924">
        <v>3</v>
      </c>
      <c r="M1924">
        <v>160</v>
      </c>
      <c r="N1924">
        <v>8</v>
      </c>
      <c r="O1924">
        <v>70</v>
      </c>
      <c r="P1924">
        <v>480</v>
      </c>
      <c r="Q1924">
        <v>542</v>
      </c>
      <c r="R1924" t="s">
        <v>75</v>
      </c>
      <c r="S1924" t="s">
        <v>31</v>
      </c>
      <c r="T1924" t="s">
        <v>40</v>
      </c>
      <c r="U1924">
        <v>29</v>
      </c>
      <c r="V1924">
        <v>3.5</v>
      </c>
      <c r="W1924">
        <f>Table2[[#This Row],[Quantity]]*Table2[[#This Row],[Item_Price]]</f>
        <v>480</v>
      </c>
    </row>
    <row r="1925" spans="1:23" x14ac:dyDescent="0.25">
      <c r="A1925" t="s">
        <v>2023</v>
      </c>
      <c r="B1925" s="1">
        <v>45798</v>
      </c>
      <c r="C1925" t="s">
        <v>1749</v>
      </c>
      <c r="D1925">
        <v>5</v>
      </c>
      <c r="E1925">
        <v>21</v>
      </c>
      <c r="F1925" t="s">
        <v>24</v>
      </c>
      <c r="G1925" t="s">
        <v>64</v>
      </c>
      <c r="H1925" t="s">
        <v>42</v>
      </c>
      <c r="I1925" t="s">
        <v>69</v>
      </c>
      <c r="J1925" t="s">
        <v>37</v>
      </c>
      <c r="K1925" t="s">
        <v>38</v>
      </c>
      <c r="L1925">
        <v>2</v>
      </c>
      <c r="M1925">
        <v>403</v>
      </c>
      <c r="N1925">
        <v>40.299999999999997</v>
      </c>
      <c r="O1925">
        <v>40</v>
      </c>
      <c r="P1925">
        <v>806</v>
      </c>
      <c r="Q1925">
        <v>805.7</v>
      </c>
      <c r="R1925" t="s">
        <v>112</v>
      </c>
      <c r="S1925" t="s">
        <v>31</v>
      </c>
      <c r="T1925" t="s">
        <v>32</v>
      </c>
      <c r="U1925">
        <v>66</v>
      </c>
      <c r="V1925">
        <v>5</v>
      </c>
      <c r="W1925">
        <f>Table2[[#This Row],[Quantity]]*Table2[[#This Row],[Item_Price]]</f>
        <v>806</v>
      </c>
    </row>
    <row r="1926" spans="1:23" x14ac:dyDescent="0.25">
      <c r="A1926" t="s">
        <v>2024</v>
      </c>
      <c r="B1926" s="1">
        <v>45798</v>
      </c>
      <c r="C1926" t="s">
        <v>1749</v>
      </c>
      <c r="D1926">
        <v>5</v>
      </c>
      <c r="E1926">
        <v>21</v>
      </c>
      <c r="F1926" t="s">
        <v>24</v>
      </c>
      <c r="G1926" t="s">
        <v>25</v>
      </c>
      <c r="H1926" t="s">
        <v>52</v>
      </c>
      <c r="I1926" t="s">
        <v>97</v>
      </c>
      <c r="J1926" t="s">
        <v>53</v>
      </c>
      <c r="K1926" t="s">
        <v>38</v>
      </c>
      <c r="L1926">
        <v>1</v>
      </c>
      <c r="M1926">
        <v>608</v>
      </c>
      <c r="N1926">
        <v>152</v>
      </c>
      <c r="O1926">
        <v>40</v>
      </c>
      <c r="P1926">
        <v>608</v>
      </c>
      <c r="Q1926">
        <v>496</v>
      </c>
      <c r="R1926" t="s">
        <v>98</v>
      </c>
      <c r="S1926" t="s">
        <v>31</v>
      </c>
      <c r="T1926" t="s">
        <v>40</v>
      </c>
      <c r="U1926">
        <v>55</v>
      </c>
      <c r="V1926">
        <v>3.3</v>
      </c>
      <c r="W1926">
        <f>Table2[[#This Row],[Quantity]]*Table2[[#This Row],[Item_Price]]</f>
        <v>608</v>
      </c>
    </row>
    <row r="1927" spans="1:23" x14ac:dyDescent="0.25">
      <c r="A1927" t="s">
        <v>2025</v>
      </c>
      <c r="B1927" s="1">
        <v>45798</v>
      </c>
      <c r="C1927" t="s">
        <v>1749</v>
      </c>
      <c r="D1927">
        <v>5</v>
      </c>
      <c r="E1927">
        <v>21</v>
      </c>
      <c r="F1927" t="s">
        <v>24</v>
      </c>
      <c r="G1927" t="s">
        <v>25</v>
      </c>
      <c r="H1927" t="s">
        <v>56</v>
      </c>
      <c r="I1927" t="s">
        <v>69</v>
      </c>
      <c r="J1927" t="s">
        <v>74</v>
      </c>
      <c r="K1927" t="s">
        <v>38</v>
      </c>
      <c r="L1927">
        <v>2</v>
      </c>
      <c r="M1927">
        <v>813</v>
      </c>
      <c r="N1927">
        <v>121.95</v>
      </c>
      <c r="O1927">
        <v>20</v>
      </c>
      <c r="P1927">
        <v>1626</v>
      </c>
      <c r="Q1927">
        <v>1524.05</v>
      </c>
      <c r="R1927" t="s">
        <v>75</v>
      </c>
      <c r="S1927" t="s">
        <v>31</v>
      </c>
      <c r="T1927" t="s">
        <v>40</v>
      </c>
      <c r="U1927">
        <v>21</v>
      </c>
      <c r="V1927">
        <v>3.5</v>
      </c>
      <c r="W1927">
        <f>Table2[[#This Row],[Quantity]]*Table2[[#This Row],[Item_Price]]</f>
        <v>1626</v>
      </c>
    </row>
    <row r="1928" spans="1:23" x14ac:dyDescent="0.25">
      <c r="A1928" t="s">
        <v>2026</v>
      </c>
      <c r="B1928" s="1">
        <v>45798</v>
      </c>
      <c r="C1928" t="s">
        <v>1749</v>
      </c>
      <c r="D1928">
        <v>5</v>
      </c>
      <c r="E1928">
        <v>21</v>
      </c>
      <c r="F1928" t="s">
        <v>24</v>
      </c>
      <c r="G1928" t="s">
        <v>55</v>
      </c>
      <c r="H1928" t="s">
        <v>65</v>
      </c>
      <c r="I1928" t="s">
        <v>69</v>
      </c>
      <c r="J1928" t="s">
        <v>53</v>
      </c>
      <c r="K1928" t="s">
        <v>45</v>
      </c>
      <c r="L1928">
        <v>1</v>
      </c>
      <c r="M1928">
        <v>626</v>
      </c>
      <c r="N1928">
        <v>93.9</v>
      </c>
      <c r="O1928">
        <v>50</v>
      </c>
      <c r="P1928">
        <v>626</v>
      </c>
      <c r="Q1928">
        <v>582.1</v>
      </c>
      <c r="R1928" t="s">
        <v>30</v>
      </c>
      <c r="S1928" t="s">
        <v>31</v>
      </c>
      <c r="T1928" t="s">
        <v>32</v>
      </c>
      <c r="U1928">
        <v>47</v>
      </c>
      <c r="V1928">
        <v>3.8</v>
      </c>
      <c r="W1928">
        <f>Table2[[#This Row],[Quantity]]*Table2[[#This Row],[Item_Price]]</f>
        <v>626</v>
      </c>
    </row>
    <row r="1929" spans="1:23" x14ac:dyDescent="0.25">
      <c r="A1929" t="s">
        <v>2027</v>
      </c>
      <c r="B1929" s="1">
        <v>45798</v>
      </c>
      <c r="C1929" t="s">
        <v>1749</v>
      </c>
      <c r="D1929">
        <v>5</v>
      </c>
      <c r="E1929">
        <v>21</v>
      </c>
      <c r="F1929" t="s">
        <v>24</v>
      </c>
      <c r="G1929" t="s">
        <v>73</v>
      </c>
      <c r="H1929" t="s">
        <v>60</v>
      </c>
      <c r="I1929" t="s">
        <v>57</v>
      </c>
      <c r="J1929" t="s">
        <v>123</v>
      </c>
      <c r="K1929" t="s">
        <v>38</v>
      </c>
      <c r="L1929">
        <v>2</v>
      </c>
      <c r="M1929">
        <v>568</v>
      </c>
      <c r="N1929">
        <v>0</v>
      </c>
      <c r="O1929">
        <v>50</v>
      </c>
      <c r="P1929">
        <v>1136</v>
      </c>
      <c r="Q1929">
        <v>1186</v>
      </c>
      <c r="R1929" t="s">
        <v>30</v>
      </c>
      <c r="S1929" t="s">
        <v>31</v>
      </c>
      <c r="T1929" t="s">
        <v>40</v>
      </c>
      <c r="U1929">
        <v>32</v>
      </c>
      <c r="V1929">
        <v>4.0999999999999996</v>
      </c>
      <c r="W1929">
        <f>Table2[[#This Row],[Quantity]]*Table2[[#This Row],[Item_Price]]</f>
        <v>1136</v>
      </c>
    </row>
    <row r="1930" spans="1:23" x14ac:dyDescent="0.25">
      <c r="A1930" t="s">
        <v>2028</v>
      </c>
      <c r="B1930" s="1">
        <v>45798</v>
      </c>
      <c r="C1930" t="s">
        <v>1749</v>
      </c>
      <c r="D1930">
        <v>5</v>
      </c>
      <c r="E1930">
        <v>21</v>
      </c>
      <c r="F1930" t="s">
        <v>24</v>
      </c>
      <c r="G1930" t="s">
        <v>64</v>
      </c>
      <c r="H1930" t="s">
        <v>139</v>
      </c>
      <c r="I1930" t="s">
        <v>69</v>
      </c>
      <c r="J1930" t="s">
        <v>119</v>
      </c>
      <c r="K1930" t="s">
        <v>38</v>
      </c>
      <c r="L1930">
        <v>1</v>
      </c>
      <c r="M1930">
        <v>186</v>
      </c>
      <c r="N1930">
        <v>27.9</v>
      </c>
      <c r="O1930">
        <v>20</v>
      </c>
      <c r="P1930">
        <v>186</v>
      </c>
      <c r="Q1930">
        <v>178.1</v>
      </c>
      <c r="R1930" t="s">
        <v>75</v>
      </c>
      <c r="S1930" t="s">
        <v>31</v>
      </c>
      <c r="T1930" t="s">
        <v>40</v>
      </c>
      <c r="U1930">
        <v>26</v>
      </c>
      <c r="V1930">
        <v>4.0999999999999996</v>
      </c>
      <c r="W1930">
        <f>Table2[[#This Row],[Quantity]]*Table2[[#This Row],[Item_Price]]</f>
        <v>186</v>
      </c>
    </row>
    <row r="1931" spans="1:23" x14ac:dyDescent="0.25">
      <c r="A1931" t="s">
        <v>2029</v>
      </c>
      <c r="B1931" s="1">
        <v>45798</v>
      </c>
      <c r="C1931" t="s">
        <v>1749</v>
      </c>
      <c r="D1931">
        <v>5</v>
      </c>
      <c r="E1931">
        <v>21</v>
      </c>
      <c r="F1931" t="s">
        <v>24</v>
      </c>
      <c r="G1931" t="s">
        <v>25</v>
      </c>
      <c r="H1931" t="s">
        <v>65</v>
      </c>
      <c r="I1931" t="s">
        <v>49</v>
      </c>
      <c r="J1931" t="s">
        <v>82</v>
      </c>
      <c r="K1931" t="s">
        <v>38</v>
      </c>
      <c r="L1931">
        <v>2</v>
      </c>
      <c r="M1931">
        <v>467</v>
      </c>
      <c r="N1931">
        <v>23.35</v>
      </c>
      <c r="O1931">
        <v>0</v>
      </c>
      <c r="P1931">
        <v>934</v>
      </c>
      <c r="Q1931">
        <v>910.65</v>
      </c>
      <c r="R1931" t="s">
        <v>98</v>
      </c>
      <c r="S1931" t="s">
        <v>31</v>
      </c>
      <c r="T1931" t="s">
        <v>40</v>
      </c>
      <c r="U1931">
        <v>59</v>
      </c>
      <c r="V1931">
        <v>3.6</v>
      </c>
      <c r="W1931">
        <f>Table2[[#This Row],[Quantity]]*Table2[[#This Row],[Item_Price]]</f>
        <v>934</v>
      </c>
    </row>
    <row r="1932" spans="1:23" x14ac:dyDescent="0.25">
      <c r="A1932" t="s">
        <v>2030</v>
      </c>
      <c r="B1932" s="1">
        <v>45798</v>
      </c>
      <c r="C1932" t="s">
        <v>1749</v>
      </c>
      <c r="D1932">
        <v>5</v>
      </c>
      <c r="E1932">
        <v>21</v>
      </c>
      <c r="F1932" t="s">
        <v>24</v>
      </c>
      <c r="G1932" t="s">
        <v>34</v>
      </c>
      <c r="H1932" t="s">
        <v>42</v>
      </c>
      <c r="I1932" t="s">
        <v>43</v>
      </c>
      <c r="J1932" t="s">
        <v>28</v>
      </c>
      <c r="K1932" t="s">
        <v>58</v>
      </c>
      <c r="L1932">
        <v>3</v>
      </c>
      <c r="M1932">
        <v>576</v>
      </c>
      <c r="N1932">
        <v>0</v>
      </c>
      <c r="O1932">
        <v>30</v>
      </c>
      <c r="P1932">
        <v>1728</v>
      </c>
      <c r="Q1932">
        <v>1758</v>
      </c>
      <c r="R1932" t="s">
        <v>98</v>
      </c>
      <c r="S1932" t="s">
        <v>31</v>
      </c>
      <c r="T1932" t="s">
        <v>32</v>
      </c>
      <c r="U1932">
        <v>47</v>
      </c>
      <c r="V1932">
        <v>4.5</v>
      </c>
      <c r="W1932">
        <f>Table2[[#This Row],[Quantity]]*Table2[[#This Row],[Item_Price]]</f>
        <v>1728</v>
      </c>
    </row>
    <row r="1933" spans="1:23" x14ac:dyDescent="0.25">
      <c r="A1933" t="s">
        <v>2031</v>
      </c>
      <c r="B1933" s="1">
        <v>45798</v>
      </c>
      <c r="C1933" t="s">
        <v>1749</v>
      </c>
      <c r="D1933">
        <v>5</v>
      </c>
      <c r="E1933">
        <v>21</v>
      </c>
      <c r="F1933" t="s">
        <v>24</v>
      </c>
      <c r="G1933" t="s">
        <v>90</v>
      </c>
      <c r="H1933" t="s">
        <v>48</v>
      </c>
      <c r="I1933" t="s">
        <v>43</v>
      </c>
      <c r="J1933" t="s">
        <v>70</v>
      </c>
      <c r="K1933" t="s">
        <v>38</v>
      </c>
      <c r="L1933">
        <v>2</v>
      </c>
      <c r="M1933">
        <v>671</v>
      </c>
      <c r="N1933">
        <v>67.099999999999994</v>
      </c>
      <c r="O1933">
        <v>30</v>
      </c>
      <c r="P1933">
        <v>1342</v>
      </c>
      <c r="Q1933">
        <v>1304.9000000000001</v>
      </c>
      <c r="R1933" t="s">
        <v>75</v>
      </c>
      <c r="S1933" t="s">
        <v>46</v>
      </c>
      <c r="T1933" t="s">
        <v>40</v>
      </c>
      <c r="U1933">
        <v>47</v>
      </c>
      <c r="W1933">
        <f>Table2[[#This Row],[Quantity]]*Table2[[#This Row],[Item_Price]]</f>
        <v>1342</v>
      </c>
    </row>
    <row r="1934" spans="1:23" x14ac:dyDescent="0.25">
      <c r="A1934" t="s">
        <v>2032</v>
      </c>
      <c r="B1934" s="1">
        <v>45798</v>
      </c>
      <c r="C1934" t="s">
        <v>1749</v>
      </c>
      <c r="D1934">
        <v>5</v>
      </c>
      <c r="E1934">
        <v>21</v>
      </c>
      <c r="F1934" t="s">
        <v>24</v>
      </c>
      <c r="G1934" t="s">
        <v>34</v>
      </c>
      <c r="H1934" t="s">
        <v>56</v>
      </c>
      <c r="I1934" t="s">
        <v>43</v>
      </c>
      <c r="J1934" t="s">
        <v>50</v>
      </c>
      <c r="K1934" t="s">
        <v>38</v>
      </c>
      <c r="L1934">
        <v>1</v>
      </c>
      <c r="M1934">
        <v>668</v>
      </c>
      <c r="N1934">
        <v>100.2</v>
      </c>
      <c r="O1934">
        <v>30</v>
      </c>
      <c r="P1934">
        <v>668</v>
      </c>
      <c r="Q1934">
        <v>597.79999999999995</v>
      </c>
      <c r="R1934" t="s">
        <v>30</v>
      </c>
      <c r="S1934" t="s">
        <v>31</v>
      </c>
      <c r="T1934" t="s">
        <v>40</v>
      </c>
      <c r="U1934">
        <v>49</v>
      </c>
      <c r="V1934">
        <v>3.3</v>
      </c>
      <c r="W1934">
        <f>Table2[[#This Row],[Quantity]]*Table2[[#This Row],[Item_Price]]</f>
        <v>668</v>
      </c>
    </row>
    <row r="1935" spans="1:23" x14ac:dyDescent="0.25">
      <c r="A1935" t="s">
        <v>2033</v>
      </c>
      <c r="B1935" s="1">
        <v>45799</v>
      </c>
      <c r="C1935" t="s">
        <v>1749</v>
      </c>
      <c r="D1935">
        <v>5</v>
      </c>
      <c r="E1935">
        <v>22</v>
      </c>
      <c r="F1935" t="s">
        <v>88</v>
      </c>
      <c r="G1935" t="s">
        <v>90</v>
      </c>
      <c r="H1935" t="s">
        <v>139</v>
      </c>
      <c r="I1935" t="s">
        <v>85</v>
      </c>
      <c r="J1935" t="s">
        <v>70</v>
      </c>
      <c r="K1935" t="s">
        <v>38</v>
      </c>
      <c r="L1935">
        <v>1</v>
      </c>
      <c r="M1935">
        <v>592</v>
      </c>
      <c r="N1935">
        <v>118.4</v>
      </c>
      <c r="O1935">
        <v>40</v>
      </c>
      <c r="P1935">
        <v>592</v>
      </c>
      <c r="Q1935">
        <v>513.6</v>
      </c>
      <c r="R1935" t="s">
        <v>30</v>
      </c>
      <c r="S1935" t="s">
        <v>31</v>
      </c>
      <c r="T1935" t="s">
        <v>32</v>
      </c>
      <c r="U1935">
        <v>27</v>
      </c>
      <c r="V1935">
        <v>3.8</v>
      </c>
      <c r="W1935">
        <f>Table2[[#This Row],[Quantity]]*Table2[[#This Row],[Item_Price]]</f>
        <v>592</v>
      </c>
    </row>
    <row r="1936" spans="1:23" x14ac:dyDescent="0.25">
      <c r="A1936" t="s">
        <v>2034</v>
      </c>
      <c r="B1936" s="1">
        <v>45799</v>
      </c>
      <c r="C1936" t="s">
        <v>1749</v>
      </c>
      <c r="D1936">
        <v>5</v>
      </c>
      <c r="E1936">
        <v>22</v>
      </c>
      <c r="F1936" t="s">
        <v>88</v>
      </c>
      <c r="G1936" t="s">
        <v>90</v>
      </c>
      <c r="H1936" t="s">
        <v>68</v>
      </c>
      <c r="I1936" t="s">
        <v>57</v>
      </c>
      <c r="J1936" t="s">
        <v>123</v>
      </c>
      <c r="K1936" t="s">
        <v>38</v>
      </c>
      <c r="L1936">
        <v>1</v>
      </c>
      <c r="M1936">
        <v>596</v>
      </c>
      <c r="N1936">
        <v>119.2</v>
      </c>
      <c r="O1936">
        <v>50</v>
      </c>
      <c r="P1936">
        <v>596</v>
      </c>
      <c r="Q1936">
        <v>526.79999999999995</v>
      </c>
      <c r="R1936" t="s">
        <v>75</v>
      </c>
      <c r="S1936" t="s">
        <v>31</v>
      </c>
      <c r="T1936" t="s">
        <v>40</v>
      </c>
      <c r="U1936">
        <v>68</v>
      </c>
      <c r="V1936">
        <v>4.3</v>
      </c>
      <c r="W1936">
        <f>Table2[[#This Row],[Quantity]]*Table2[[#This Row],[Item_Price]]</f>
        <v>596</v>
      </c>
    </row>
    <row r="1937" spans="1:23" x14ac:dyDescent="0.25">
      <c r="A1937" t="s">
        <v>2035</v>
      </c>
      <c r="B1937" s="1">
        <v>45799</v>
      </c>
      <c r="C1937" t="s">
        <v>1749</v>
      </c>
      <c r="D1937">
        <v>5</v>
      </c>
      <c r="E1937">
        <v>22</v>
      </c>
      <c r="F1937" t="s">
        <v>88</v>
      </c>
      <c r="G1937" t="s">
        <v>73</v>
      </c>
      <c r="H1937" t="s">
        <v>26</v>
      </c>
      <c r="I1937" t="s">
        <v>61</v>
      </c>
      <c r="J1937" t="s">
        <v>44</v>
      </c>
      <c r="K1937" t="s">
        <v>45</v>
      </c>
      <c r="L1937">
        <v>1</v>
      </c>
      <c r="M1937">
        <v>526</v>
      </c>
      <c r="N1937">
        <v>26.3</v>
      </c>
      <c r="O1937">
        <v>20</v>
      </c>
      <c r="P1937">
        <v>526</v>
      </c>
      <c r="Q1937">
        <v>519.70000000000005</v>
      </c>
      <c r="R1937" t="s">
        <v>39</v>
      </c>
      <c r="S1937" t="s">
        <v>31</v>
      </c>
      <c r="T1937" t="s">
        <v>40</v>
      </c>
      <c r="U1937">
        <v>64</v>
      </c>
      <c r="V1937">
        <v>5</v>
      </c>
      <c r="W1937">
        <f>Table2[[#This Row],[Quantity]]*Table2[[#This Row],[Item_Price]]</f>
        <v>526</v>
      </c>
    </row>
    <row r="1938" spans="1:23" x14ac:dyDescent="0.25">
      <c r="A1938" t="s">
        <v>2036</v>
      </c>
      <c r="B1938" s="1">
        <v>45799</v>
      </c>
      <c r="C1938" t="s">
        <v>1749</v>
      </c>
      <c r="D1938">
        <v>5</v>
      </c>
      <c r="E1938">
        <v>22</v>
      </c>
      <c r="F1938" t="s">
        <v>88</v>
      </c>
      <c r="G1938" t="s">
        <v>25</v>
      </c>
      <c r="H1938" t="s">
        <v>56</v>
      </c>
      <c r="I1938" t="s">
        <v>61</v>
      </c>
      <c r="J1938" t="s">
        <v>119</v>
      </c>
      <c r="K1938" t="s">
        <v>38</v>
      </c>
      <c r="L1938">
        <v>1</v>
      </c>
      <c r="M1938">
        <v>245</v>
      </c>
      <c r="N1938">
        <v>61.25</v>
      </c>
      <c r="O1938">
        <v>40</v>
      </c>
      <c r="P1938">
        <v>245</v>
      </c>
      <c r="Q1938">
        <v>223.75</v>
      </c>
      <c r="R1938" t="s">
        <v>39</v>
      </c>
      <c r="S1938" t="s">
        <v>31</v>
      </c>
      <c r="T1938" t="s">
        <v>40</v>
      </c>
      <c r="U1938">
        <v>64</v>
      </c>
      <c r="V1938">
        <v>4.0999999999999996</v>
      </c>
      <c r="W1938">
        <f>Table2[[#This Row],[Quantity]]*Table2[[#This Row],[Item_Price]]</f>
        <v>245</v>
      </c>
    </row>
    <row r="1939" spans="1:23" x14ac:dyDescent="0.25">
      <c r="A1939" t="s">
        <v>2037</v>
      </c>
      <c r="B1939" s="1">
        <v>45799</v>
      </c>
      <c r="C1939" t="s">
        <v>1749</v>
      </c>
      <c r="D1939">
        <v>5</v>
      </c>
      <c r="E1939">
        <v>22</v>
      </c>
      <c r="F1939" t="s">
        <v>88</v>
      </c>
      <c r="G1939" t="s">
        <v>55</v>
      </c>
      <c r="H1939" t="s">
        <v>77</v>
      </c>
      <c r="I1939" t="s">
        <v>27</v>
      </c>
      <c r="J1939" t="s">
        <v>74</v>
      </c>
      <c r="K1939" t="s">
        <v>38</v>
      </c>
      <c r="L1939">
        <v>1</v>
      </c>
      <c r="M1939">
        <v>122</v>
      </c>
      <c r="N1939">
        <v>30.5</v>
      </c>
      <c r="O1939">
        <v>30</v>
      </c>
      <c r="P1939">
        <v>122</v>
      </c>
      <c r="Q1939">
        <v>121.5</v>
      </c>
      <c r="R1939" t="s">
        <v>39</v>
      </c>
      <c r="S1939" t="s">
        <v>31</v>
      </c>
      <c r="T1939" t="s">
        <v>40</v>
      </c>
      <c r="U1939">
        <v>22</v>
      </c>
      <c r="V1939">
        <v>3.7</v>
      </c>
      <c r="W1939">
        <f>Table2[[#This Row],[Quantity]]*Table2[[#This Row],[Item_Price]]</f>
        <v>122</v>
      </c>
    </row>
    <row r="1940" spans="1:23" x14ac:dyDescent="0.25">
      <c r="A1940" t="s">
        <v>2038</v>
      </c>
      <c r="B1940" s="1">
        <v>45799</v>
      </c>
      <c r="C1940" t="s">
        <v>1749</v>
      </c>
      <c r="D1940">
        <v>5</v>
      </c>
      <c r="E1940">
        <v>22</v>
      </c>
      <c r="F1940" t="s">
        <v>88</v>
      </c>
      <c r="G1940" t="s">
        <v>80</v>
      </c>
      <c r="H1940" t="s">
        <v>56</v>
      </c>
      <c r="I1940" t="s">
        <v>97</v>
      </c>
      <c r="J1940" t="s">
        <v>172</v>
      </c>
      <c r="K1940" t="s">
        <v>38</v>
      </c>
      <c r="L1940">
        <v>3</v>
      </c>
      <c r="M1940">
        <v>860</v>
      </c>
      <c r="N1940">
        <v>129</v>
      </c>
      <c r="O1940">
        <v>20</v>
      </c>
      <c r="P1940">
        <v>2580</v>
      </c>
      <c r="Q1940">
        <v>2471</v>
      </c>
      <c r="R1940" t="s">
        <v>30</v>
      </c>
      <c r="S1940" t="s">
        <v>31</v>
      </c>
      <c r="T1940" t="s">
        <v>40</v>
      </c>
      <c r="U1940">
        <v>49</v>
      </c>
      <c r="V1940">
        <v>4.8</v>
      </c>
      <c r="W1940">
        <f>Table2[[#This Row],[Quantity]]*Table2[[#This Row],[Item_Price]]</f>
        <v>2580</v>
      </c>
    </row>
    <row r="1941" spans="1:23" x14ac:dyDescent="0.25">
      <c r="A1941" t="s">
        <v>2039</v>
      </c>
      <c r="B1941" s="1">
        <v>45799</v>
      </c>
      <c r="C1941" t="s">
        <v>1749</v>
      </c>
      <c r="D1941">
        <v>5</v>
      </c>
      <c r="E1941">
        <v>22</v>
      </c>
      <c r="F1941" t="s">
        <v>88</v>
      </c>
      <c r="G1941" t="s">
        <v>80</v>
      </c>
      <c r="H1941" t="s">
        <v>60</v>
      </c>
      <c r="I1941" t="s">
        <v>57</v>
      </c>
      <c r="J1941" t="s">
        <v>44</v>
      </c>
      <c r="K1941" t="s">
        <v>45</v>
      </c>
      <c r="L1941">
        <v>1</v>
      </c>
      <c r="M1941">
        <v>162</v>
      </c>
      <c r="N1941">
        <v>24.3</v>
      </c>
      <c r="O1941">
        <v>60</v>
      </c>
      <c r="P1941">
        <v>162</v>
      </c>
      <c r="Q1941">
        <v>197.7</v>
      </c>
      <c r="R1941" t="s">
        <v>39</v>
      </c>
      <c r="S1941" t="s">
        <v>31</v>
      </c>
      <c r="T1941" t="s">
        <v>40</v>
      </c>
      <c r="U1941">
        <v>43</v>
      </c>
      <c r="V1941">
        <v>4.7</v>
      </c>
      <c r="W1941">
        <f>Table2[[#This Row],[Quantity]]*Table2[[#This Row],[Item_Price]]</f>
        <v>162</v>
      </c>
    </row>
    <row r="1942" spans="1:23" x14ac:dyDescent="0.25">
      <c r="A1942" t="s">
        <v>2040</v>
      </c>
      <c r="B1942" s="1">
        <v>45799</v>
      </c>
      <c r="C1942" t="s">
        <v>1749</v>
      </c>
      <c r="D1942">
        <v>5</v>
      </c>
      <c r="E1942">
        <v>22</v>
      </c>
      <c r="F1942" t="s">
        <v>88</v>
      </c>
      <c r="G1942" t="s">
        <v>34</v>
      </c>
      <c r="H1942" t="s">
        <v>52</v>
      </c>
      <c r="I1942" t="s">
        <v>57</v>
      </c>
      <c r="J1942" t="s">
        <v>123</v>
      </c>
      <c r="K1942" t="s">
        <v>45</v>
      </c>
      <c r="L1942">
        <v>3</v>
      </c>
      <c r="M1942">
        <v>138</v>
      </c>
      <c r="N1942">
        <v>0</v>
      </c>
      <c r="O1942">
        <v>40</v>
      </c>
      <c r="P1942">
        <v>414</v>
      </c>
      <c r="Q1942">
        <v>454</v>
      </c>
      <c r="R1942" t="s">
        <v>98</v>
      </c>
      <c r="S1942" t="s">
        <v>31</v>
      </c>
      <c r="T1942" t="s">
        <v>40</v>
      </c>
      <c r="U1942">
        <v>62</v>
      </c>
      <c r="V1942">
        <v>3.7</v>
      </c>
      <c r="W1942">
        <f>Table2[[#This Row],[Quantity]]*Table2[[#This Row],[Item_Price]]</f>
        <v>414</v>
      </c>
    </row>
    <row r="1943" spans="1:23" x14ac:dyDescent="0.25">
      <c r="A1943" t="s">
        <v>2041</v>
      </c>
      <c r="B1943" s="1">
        <v>45799</v>
      </c>
      <c r="C1943" t="s">
        <v>1749</v>
      </c>
      <c r="D1943">
        <v>5</v>
      </c>
      <c r="E1943">
        <v>22</v>
      </c>
      <c r="F1943" t="s">
        <v>88</v>
      </c>
      <c r="G1943" t="s">
        <v>34</v>
      </c>
      <c r="H1943" t="s">
        <v>105</v>
      </c>
      <c r="I1943" t="s">
        <v>49</v>
      </c>
      <c r="J1943" t="s">
        <v>78</v>
      </c>
      <c r="K1943" t="s">
        <v>38</v>
      </c>
      <c r="L1943">
        <v>1</v>
      </c>
      <c r="M1943">
        <v>861</v>
      </c>
      <c r="N1943">
        <v>86.1</v>
      </c>
      <c r="O1943">
        <v>20</v>
      </c>
      <c r="P1943">
        <v>861</v>
      </c>
      <c r="Q1943">
        <v>794.9</v>
      </c>
      <c r="R1943" t="s">
        <v>75</v>
      </c>
      <c r="S1943" t="s">
        <v>31</v>
      </c>
      <c r="T1943" t="s">
        <v>40</v>
      </c>
      <c r="U1943">
        <v>54</v>
      </c>
      <c r="V1943">
        <v>4.2</v>
      </c>
      <c r="W1943">
        <f>Table2[[#This Row],[Quantity]]*Table2[[#This Row],[Item_Price]]</f>
        <v>861</v>
      </c>
    </row>
    <row r="1944" spans="1:23" x14ac:dyDescent="0.25">
      <c r="A1944" t="s">
        <v>2042</v>
      </c>
      <c r="B1944" s="1">
        <v>45799</v>
      </c>
      <c r="C1944" t="s">
        <v>1749</v>
      </c>
      <c r="D1944">
        <v>5</v>
      </c>
      <c r="E1944">
        <v>22</v>
      </c>
      <c r="F1944" t="s">
        <v>88</v>
      </c>
      <c r="G1944" t="s">
        <v>90</v>
      </c>
      <c r="H1944" t="s">
        <v>135</v>
      </c>
      <c r="I1944" t="s">
        <v>61</v>
      </c>
      <c r="J1944" t="s">
        <v>78</v>
      </c>
      <c r="K1944" t="s">
        <v>38</v>
      </c>
      <c r="L1944">
        <v>1</v>
      </c>
      <c r="M1944">
        <v>337</v>
      </c>
      <c r="N1944">
        <v>84.25</v>
      </c>
      <c r="O1944">
        <v>40</v>
      </c>
      <c r="P1944">
        <v>337</v>
      </c>
      <c r="Q1944">
        <v>292.75</v>
      </c>
      <c r="R1944" t="s">
        <v>30</v>
      </c>
      <c r="S1944" t="s">
        <v>31</v>
      </c>
      <c r="T1944" t="s">
        <v>40</v>
      </c>
      <c r="U1944">
        <v>64</v>
      </c>
      <c r="V1944">
        <v>2.9</v>
      </c>
      <c r="W1944">
        <f>Table2[[#This Row],[Quantity]]*Table2[[#This Row],[Item_Price]]</f>
        <v>337</v>
      </c>
    </row>
    <row r="1945" spans="1:23" x14ac:dyDescent="0.25">
      <c r="A1945" t="s">
        <v>2043</v>
      </c>
      <c r="B1945" s="1">
        <v>45799</v>
      </c>
      <c r="C1945" t="s">
        <v>1749</v>
      </c>
      <c r="D1945">
        <v>5</v>
      </c>
      <c r="E1945">
        <v>22</v>
      </c>
      <c r="F1945" t="s">
        <v>88</v>
      </c>
      <c r="G1945" t="s">
        <v>64</v>
      </c>
      <c r="H1945" t="s">
        <v>81</v>
      </c>
      <c r="I1945" t="s">
        <v>36</v>
      </c>
      <c r="J1945" t="s">
        <v>66</v>
      </c>
      <c r="K1945" t="s">
        <v>38</v>
      </c>
      <c r="L1945">
        <v>2</v>
      </c>
      <c r="M1945">
        <v>742</v>
      </c>
      <c r="N1945">
        <v>37.1</v>
      </c>
      <c r="O1945">
        <v>40</v>
      </c>
      <c r="P1945">
        <v>1484</v>
      </c>
      <c r="Q1945">
        <v>1486.9</v>
      </c>
      <c r="R1945" t="s">
        <v>112</v>
      </c>
      <c r="S1945" t="s">
        <v>31</v>
      </c>
      <c r="T1945" t="s">
        <v>32</v>
      </c>
      <c r="U1945">
        <v>57</v>
      </c>
      <c r="V1945">
        <v>5</v>
      </c>
      <c r="W1945">
        <f>Table2[[#This Row],[Quantity]]*Table2[[#This Row],[Item_Price]]</f>
        <v>1484</v>
      </c>
    </row>
    <row r="1946" spans="1:23" x14ac:dyDescent="0.25">
      <c r="A1946" t="s">
        <v>2044</v>
      </c>
      <c r="B1946" s="1">
        <v>45800</v>
      </c>
      <c r="C1946" t="s">
        <v>1749</v>
      </c>
      <c r="D1946">
        <v>5</v>
      </c>
      <c r="E1946">
        <v>23</v>
      </c>
      <c r="F1946" t="s">
        <v>114</v>
      </c>
      <c r="G1946" t="s">
        <v>64</v>
      </c>
      <c r="H1946" t="s">
        <v>56</v>
      </c>
      <c r="I1946" t="s">
        <v>85</v>
      </c>
      <c r="J1946" t="s">
        <v>50</v>
      </c>
      <c r="K1946" t="s">
        <v>45</v>
      </c>
      <c r="L1946">
        <v>2</v>
      </c>
      <c r="M1946">
        <v>238</v>
      </c>
      <c r="N1946">
        <v>35.700000000000003</v>
      </c>
      <c r="O1946">
        <v>20</v>
      </c>
      <c r="P1946">
        <v>476</v>
      </c>
      <c r="Q1946">
        <v>460.3</v>
      </c>
      <c r="R1946" t="s">
        <v>112</v>
      </c>
      <c r="S1946" t="s">
        <v>31</v>
      </c>
      <c r="T1946" t="s">
        <v>40</v>
      </c>
      <c r="U1946">
        <v>49</v>
      </c>
      <c r="V1946">
        <v>4.2</v>
      </c>
      <c r="W1946">
        <f>Table2[[#This Row],[Quantity]]*Table2[[#This Row],[Item_Price]]</f>
        <v>476</v>
      </c>
    </row>
    <row r="1947" spans="1:23" x14ac:dyDescent="0.25">
      <c r="A1947" t="s">
        <v>2045</v>
      </c>
      <c r="B1947" s="1">
        <v>45800</v>
      </c>
      <c r="C1947" t="s">
        <v>1749</v>
      </c>
      <c r="D1947">
        <v>5</v>
      </c>
      <c r="E1947">
        <v>23</v>
      </c>
      <c r="F1947" t="s">
        <v>114</v>
      </c>
      <c r="G1947" t="s">
        <v>80</v>
      </c>
      <c r="H1947" t="s">
        <v>48</v>
      </c>
      <c r="I1947" t="s">
        <v>43</v>
      </c>
      <c r="J1947" t="s">
        <v>101</v>
      </c>
      <c r="K1947" t="s">
        <v>38</v>
      </c>
      <c r="L1947">
        <v>1</v>
      </c>
      <c r="M1947">
        <v>806</v>
      </c>
      <c r="N1947">
        <v>161.19999999999999</v>
      </c>
      <c r="O1947">
        <v>50</v>
      </c>
      <c r="P1947">
        <v>806</v>
      </c>
      <c r="Q1947">
        <v>694.8</v>
      </c>
      <c r="R1947" t="s">
        <v>30</v>
      </c>
      <c r="S1947" t="s">
        <v>91</v>
      </c>
      <c r="T1947" t="s">
        <v>40</v>
      </c>
      <c r="U1947">
        <v>52</v>
      </c>
      <c r="W1947">
        <f>Table2[[#This Row],[Quantity]]*Table2[[#This Row],[Item_Price]]</f>
        <v>806</v>
      </c>
    </row>
    <row r="1948" spans="1:23" x14ac:dyDescent="0.25">
      <c r="A1948" t="s">
        <v>2046</v>
      </c>
      <c r="B1948" s="1">
        <v>45800</v>
      </c>
      <c r="C1948" t="s">
        <v>1749</v>
      </c>
      <c r="D1948">
        <v>5</v>
      </c>
      <c r="E1948">
        <v>23</v>
      </c>
      <c r="F1948" t="s">
        <v>114</v>
      </c>
      <c r="G1948" t="s">
        <v>73</v>
      </c>
      <c r="H1948" t="s">
        <v>65</v>
      </c>
      <c r="I1948" t="s">
        <v>43</v>
      </c>
      <c r="J1948" t="s">
        <v>37</v>
      </c>
      <c r="K1948" t="s">
        <v>45</v>
      </c>
      <c r="L1948">
        <v>3</v>
      </c>
      <c r="M1948">
        <v>133</v>
      </c>
      <c r="N1948">
        <v>19.95</v>
      </c>
      <c r="O1948">
        <v>40</v>
      </c>
      <c r="P1948">
        <v>399</v>
      </c>
      <c r="Q1948">
        <v>419.05</v>
      </c>
      <c r="R1948" t="s">
        <v>112</v>
      </c>
      <c r="S1948" t="s">
        <v>31</v>
      </c>
      <c r="T1948" t="s">
        <v>40</v>
      </c>
      <c r="U1948">
        <v>36</v>
      </c>
      <c r="V1948">
        <v>4.8</v>
      </c>
      <c r="W1948">
        <f>Table2[[#This Row],[Quantity]]*Table2[[#This Row],[Item_Price]]</f>
        <v>399</v>
      </c>
    </row>
    <row r="1949" spans="1:23" x14ac:dyDescent="0.25">
      <c r="A1949" t="s">
        <v>2047</v>
      </c>
      <c r="B1949" s="1">
        <v>45800</v>
      </c>
      <c r="C1949" t="s">
        <v>1749</v>
      </c>
      <c r="D1949">
        <v>5</v>
      </c>
      <c r="E1949">
        <v>23</v>
      </c>
      <c r="F1949" t="s">
        <v>114</v>
      </c>
      <c r="G1949" t="s">
        <v>80</v>
      </c>
      <c r="H1949" t="s">
        <v>68</v>
      </c>
      <c r="I1949" t="s">
        <v>69</v>
      </c>
      <c r="J1949" t="s">
        <v>50</v>
      </c>
      <c r="K1949" t="s">
        <v>38</v>
      </c>
      <c r="L1949">
        <v>3</v>
      </c>
      <c r="M1949">
        <v>272</v>
      </c>
      <c r="N1949">
        <v>40.799999999999997</v>
      </c>
      <c r="O1949">
        <v>40</v>
      </c>
      <c r="P1949">
        <v>816</v>
      </c>
      <c r="Q1949">
        <v>815.2</v>
      </c>
      <c r="R1949" t="s">
        <v>39</v>
      </c>
      <c r="S1949" t="s">
        <v>31</v>
      </c>
      <c r="T1949" t="s">
        <v>40</v>
      </c>
      <c r="U1949">
        <v>35</v>
      </c>
      <c r="V1949">
        <v>4.7</v>
      </c>
      <c r="W1949">
        <f>Table2[[#This Row],[Quantity]]*Table2[[#This Row],[Item_Price]]</f>
        <v>816</v>
      </c>
    </row>
    <row r="1950" spans="1:23" x14ac:dyDescent="0.25">
      <c r="A1950" t="s">
        <v>2048</v>
      </c>
      <c r="B1950" s="1">
        <v>45800</v>
      </c>
      <c r="C1950" t="s">
        <v>1749</v>
      </c>
      <c r="D1950">
        <v>5</v>
      </c>
      <c r="E1950">
        <v>23</v>
      </c>
      <c r="F1950" t="s">
        <v>114</v>
      </c>
      <c r="G1950" t="s">
        <v>64</v>
      </c>
      <c r="H1950" t="s">
        <v>26</v>
      </c>
      <c r="I1950" t="s">
        <v>43</v>
      </c>
      <c r="J1950" t="s">
        <v>119</v>
      </c>
      <c r="K1950" t="s">
        <v>38</v>
      </c>
      <c r="L1950">
        <v>1</v>
      </c>
      <c r="M1950">
        <v>750</v>
      </c>
      <c r="N1950">
        <v>187.5</v>
      </c>
      <c r="O1950">
        <v>50</v>
      </c>
      <c r="P1950">
        <v>750</v>
      </c>
      <c r="Q1950">
        <v>612.5</v>
      </c>
      <c r="R1950" t="s">
        <v>30</v>
      </c>
      <c r="S1950" t="s">
        <v>31</v>
      </c>
      <c r="T1950" t="s">
        <v>32</v>
      </c>
      <c r="U1950">
        <v>55</v>
      </c>
      <c r="V1950">
        <v>3.6</v>
      </c>
      <c r="W1950">
        <f>Table2[[#This Row],[Quantity]]*Table2[[#This Row],[Item_Price]]</f>
        <v>750</v>
      </c>
    </row>
    <row r="1951" spans="1:23" x14ac:dyDescent="0.25">
      <c r="A1951" t="s">
        <v>2049</v>
      </c>
      <c r="B1951" s="1">
        <v>45800</v>
      </c>
      <c r="C1951" t="s">
        <v>1749</v>
      </c>
      <c r="D1951">
        <v>5</v>
      </c>
      <c r="E1951">
        <v>23</v>
      </c>
      <c r="F1951" t="s">
        <v>114</v>
      </c>
      <c r="G1951" t="s">
        <v>80</v>
      </c>
      <c r="H1951" t="s">
        <v>135</v>
      </c>
      <c r="I1951" t="s">
        <v>49</v>
      </c>
      <c r="J1951" t="s">
        <v>53</v>
      </c>
      <c r="K1951" t="s">
        <v>29</v>
      </c>
      <c r="L1951">
        <v>2</v>
      </c>
      <c r="M1951">
        <v>391</v>
      </c>
      <c r="N1951">
        <v>39.1</v>
      </c>
      <c r="O1951">
        <v>60</v>
      </c>
      <c r="P1951">
        <v>782</v>
      </c>
      <c r="Q1951">
        <v>802.9</v>
      </c>
      <c r="R1951" t="s">
        <v>98</v>
      </c>
      <c r="S1951" t="s">
        <v>31</v>
      </c>
      <c r="T1951" t="s">
        <v>40</v>
      </c>
      <c r="U1951">
        <v>49</v>
      </c>
      <c r="V1951">
        <v>4.4000000000000004</v>
      </c>
      <c r="W1951">
        <f>Table2[[#This Row],[Quantity]]*Table2[[#This Row],[Item_Price]]</f>
        <v>782</v>
      </c>
    </row>
    <row r="1952" spans="1:23" x14ac:dyDescent="0.25">
      <c r="A1952" t="s">
        <v>2050</v>
      </c>
      <c r="B1952" s="1">
        <v>45800</v>
      </c>
      <c r="C1952" t="s">
        <v>1749</v>
      </c>
      <c r="D1952">
        <v>5</v>
      </c>
      <c r="E1952">
        <v>23</v>
      </c>
      <c r="F1952" t="s">
        <v>114</v>
      </c>
      <c r="G1952" t="s">
        <v>80</v>
      </c>
      <c r="H1952" t="s">
        <v>105</v>
      </c>
      <c r="I1952" t="s">
        <v>27</v>
      </c>
      <c r="J1952" t="s">
        <v>28</v>
      </c>
      <c r="K1952" t="s">
        <v>38</v>
      </c>
      <c r="L1952">
        <v>1</v>
      </c>
      <c r="M1952">
        <v>379</v>
      </c>
      <c r="N1952">
        <v>75.8</v>
      </c>
      <c r="O1952">
        <v>30</v>
      </c>
      <c r="P1952">
        <v>379</v>
      </c>
      <c r="Q1952">
        <v>333.2</v>
      </c>
      <c r="R1952" t="s">
        <v>39</v>
      </c>
      <c r="S1952" t="s">
        <v>31</v>
      </c>
      <c r="T1952" t="s">
        <v>40</v>
      </c>
      <c r="U1952">
        <v>42</v>
      </c>
      <c r="V1952">
        <v>4.7</v>
      </c>
      <c r="W1952">
        <f>Table2[[#This Row],[Quantity]]*Table2[[#This Row],[Item_Price]]</f>
        <v>379</v>
      </c>
    </row>
    <row r="1953" spans="1:23" x14ac:dyDescent="0.25">
      <c r="A1953" t="s">
        <v>2051</v>
      </c>
      <c r="B1953" s="1">
        <v>45800</v>
      </c>
      <c r="C1953" t="s">
        <v>1749</v>
      </c>
      <c r="D1953">
        <v>5</v>
      </c>
      <c r="E1953">
        <v>23</v>
      </c>
      <c r="F1953" t="s">
        <v>114</v>
      </c>
      <c r="G1953" t="s">
        <v>73</v>
      </c>
      <c r="H1953" t="s">
        <v>135</v>
      </c>
      <c r="I1953" t="s">
        <v>43</v>
      </c>
      <c r="J1953" t="s">
        <v>101</v>
      </c>
      <c r="K1953" t="s">
        <v>38</v>
      </c>
      <c r="L1953">
        <v>1</v>
      </c>
      <c r="M1953">
        <v>430</v>
      </c>
      <c r="N1953">
        <v>64.5</v>
      </c>
      <c r="O1953">
        <v>30</v>
      </c>
      <c r="P1953">
        <v>430</v>
      </c>
      <c r="Q1953">
        <v>395.5</v>
      </c>
      <c r="R1953" t="s">
        <v>39</v>
      </c>
      <c r="S1953" t="s">
        <v>31</v>
      </c>
      <c r="T1953" t="s">
        <v>40</v>
      </c>
      <c r="U1953">
        <v>34</v>
      </c>
      <c r="V1953">
        <v>4.5999999999999996</v>
      </c>
      <c r="W1953">
        <f>Table2[[#This Row],[Quantity]]*Table2[[#This Row],[Item_Price]]</f>
        <v>430</v>
      </c>
    </row>
    <row r="1954" spans="1:23" x14ac:dyDescent="0.25">
      <c r="A1954" t="s">
        <v>2052</v>
      </c>
      <c r="B1954" s="1">
        <v>45800</v>
      </c>
      <c r="C1954" t="s">
        <v>1749</v>
      </c>
      <c r="D1954">
        <v>5</v>
      </c>
      <c r="E1954">
        <v>23</v>
      </c>
      <c r="F1954" t="s">
        <v>114</v>
      </c>
      <c r="G1954" t="s">
        <v>64</v>
      </c>
      <c r="H1954" t="s">
        <v>81</v>
      </c>
      <c r="I1954" t="s">
        <v>69</v>
      </c>
      <c r="J1954" t="s">
        <v>172</v>
      </c>
      <c r="K1954" t="s">
        <v>38</v>
      </c>
      <c r="L1954">
        <v>1</v>
      </c>
      <c r="M1954">
        <v>208</v>
      </c>
      <c r="N1954">
        <v>0</v>
      </c>
      <c r="O1954">
        <v>0</v>
      </c>
      <c r="P1954">
        <v>208</v>
      </c>
      <c r="Q1954">
        <v>208</v>
      </c>
      <c r="R1954" t="s">
        <v>39</v>
      </c>
      <c r="S1954" t="s">
        <v>31</v>
      </c>
      <c r="T1954" t="s">
        <v>32</v>
      </c>
      <c r="U1954">
        <v>67</v>
      </c>
      <c r="V1954">
        <v>4.5999999999999996</v>
      </c>
      <c r="W1954">
        <f>Table2[[#This Row],[Quantity]]*Table2[[#This Row],[Item_Price]]</f>
        <v>208</v>
      </c>
    </row>
    <row r="1955" spans="1:23" x14ac:dyDescent="0.25">
      <c r="A1955" t="s">
        <v>2053</v>
      </c>
      <c r="B1955" s="1">
        <v>45800</v>
      </c>
      <c r="C1955" t="s">
        <v>1749</v>
      </c>
      <c r="D1955">
        <v>5</v>
      </c>
      <c r="E1955">
        <v>23</v>
      </c>
      <c r="F1955" t="s">
        <v>114</v>
      </c>
      <c r="G1955" t="s">
        <v>80</v>
      </c>
      <c r="H1955" t="s">
        <v>65</v>
      </c>
      <c r="I1955" t="s">
        <v>85</v>
      </c>
      <c r="J1955" t="s">
        <v>101</v>
      </c>
      <c r="K1955" t="s">
        <v>29</v>
      </c>
      <c r="L1955">
        <v>1</v>
      </c>
      <c r="M1955">
        <v>266</v>
      </c>
      <c r="N1955">
        <v>0</v>
      </c>
      <c r="O1955">
        <v>50</v>
      </c>
      <c r="P1955">
        <v>266</v>
      </c>
      <c r="Q1955">
        <v>316</v>
      </c>
      <c r="R1955" t="s">
        <v>112</v>
      </c>
      <c r="S1955" t="s">
        <v>31</v>
      </c>
      <c r="T1955" t="s">
        <v>40</v>
      </c>
      <c r="U1955">
        <v>67</v>
      </c>
      <c r="V1955">
        <v>4.0999999999999996</v>
      </c>
      <c r="W1955">
        <f>Table2[[#This Row],[Quantity]]*Table2[[#This Row],[Item_Price]]</f>
        <v>266</v>
      </c>
    </row>
    <row r="1956" spans="1:23" x14ac:dyDescent="0.25">
      <c r="A1956" t="s">
        <v>2054</v>
      </c>
      <c r="B1956" s="1">
        <v>45800</v>
      </c>
      <c r="C1956" t="s">
        <v>1749</v>
      </c>
      <c r="D1956">
        <v>5</v>
      </c>
      <c r="E1956">
        <v>23</v>
      </c>
      <c r="F1956" t="s">
        <v>114</v>
      </c>
      <c r="G1956" t="s">
        <v>25</v>
      </c>
      <c r="H1956" t="s">
        <v>77</v>
      </c>
      <c r="I1956" t="s">
        <v>49</v>
      </c>
      <c r="J1956" t="s">
        <v>53</v>
      </c>
      <c r="K1956" t="s">
        <v>38</v>
      </c>
      <c r="L1956">
        <v>1</v>
      </c>
      <c r="M1956">
        <v>236</v>
      </c>
      <c r="N1956">
        <v>35.4</v>
      </c>
      <c r="O1956">
        <v>30</v>
      </c>
      <c r="P1956">
        <v>236</v>
      </c>
      <c r="Q1956">
        <v>230.6</v>
      </c>
      <c r="R1956" t="s">
        <v>39</v>
      </c>
      <c r="S1956" t="s">
        <v>91</v>
      </c>
      <c r="T1956" t="s">
        <v>32</v>
      </c>
      <c r="U1956">
        <v>42</v>
      </c>
      <c r="W1956">
        <f>Table2[[#This Row],[Quantity]]*Table2[[#This Row],[Item_Price]]</f>
        <v>236</v>
      </c>
    </row>
    <row r="1957" spans="1:23" x14ac:dyDescent="0.25">
      <c r="A1957" t="s">
        <v>2055</v>
      </c>
      <c r="B1957" s="1">
        <v>45800</v>
      </c>
      <c r="C1957" t="s">
        <v>1749</v>
      </c>
      <c r="D1957">
        <v>5</v>
      </c>
      <c r="E1957">
        <v>23</v>
      </c>
      <c r="F1957" t="s">
        <v>114</v>
      </c>
      <c r="G1957" t="s">
        <v>25</v>
      </c>
      <c r="H1957" t="s">
        <v>35</v>
      </c>
      <c r="I1957" t="s">
        <v>49</v>
      </c>
      <c r="J1957" t="s">
        <v>37</v>
      </c>
      <c r="K1957" t="s">
        <v>38</v>
      </c>
      <c r="L1957">
        <v>2</v>
      </c>
      <c r="M1957">
        <v>754</v>
      </c>
      <c r="N1957">
        <v>113.1</v>
      </c>
      <c r="O1957">
        <v>50</v>
      </c>
      <c r="P1957">
        <v>1508</v>
      </c>
      <c r="Q1957">
        <v>1444.9</v>
      </c>
      <c r="R1957" t="s">
        <v>75</v>
      </c>
      <c r="S1957" t="s">
        <v>91</v>
      </c>
      <c r="T1957" t="s">
        <v>40</v>
      </c>
      <c r="U1957">
        <v>30</v>
      </c>
      <c r="W1957">
        <f>Table2[[#This Row],[Quantity]]*Table2[[#This Row],[Item_Price]]</f>
        <v>1508</v>
      </c>
    </row>
    <row r="1958" spans="1:23" x14ac:dyDescent="0.25">
      <c r="A1958" t="s">
        <v>2056</v>
      </c>
      <c r="B1958" s="1">
        <v>45800</v>
      </c>
      <c r="C1958" t="s">
        <v>1749</v>
      </c>
      <c r="D1958">
        <v>5</v>
      </c>
      <c r="E1958">
        <v>23</v>
      </c>
      <c r="F1958" t="s">
        <v>114</v>
      </c>
      <c r="G1958" t="s">
        <v>73</v>
      </c>
      <c r="H1958" t="s">
        <v>68</v>
      </c>
      <c r="I1958" t="s">
        <v>61</v>
      </c>
      <c r="J1958" t="s">
        <v>94</v>
      </c>
      <c r="K1958" t="s">
        <v>38</v>
      </c>
      <c r="L1958">
        <v>3</v>
      </c>
      <c r="M1958">
        <v>375</v>
      </c>
      <c r="N1958">
        <v>75</v>
      </c>
      <c r="O1958">
        <v>70</v>
      </c>
      <c r="P1958">
        <v>1125</v>
      </c>
      <c r="Q1958">
        <v>1120</v>
      </c>
      <c r="R1958" t="s">
        <v>75</v>
      </c>
      <c r="S1958" t="s">
        <v>31</v>
      </c>
      <c r="T1958" t="s">
        <v>40</v>
      </c>
      <c r="U1958">
        <v>50</v>
      </c>
      <c r="V1958">
        <v>4.2</v>
      </c>
      <c r="W1958">
        <f>Table2[[#This Row],[Quantity]]*Table2[[#This Row],[Item_Price]]</f>
        <v>1125</v>
      </c>
    </row>
    <row r="1959" spans="1:23" x14ac:dyDescent="0.25">
      <c r="A1959" t="s">
        <v>2057</v>
      </c>
      <c r="B1959" s="1">
        <v>45800</v>
      </c>
      <c r="C1959" t="s">
        <v>1749</v>
      </c>
      <c r="D1959">
        <v>5</v>
      </c>
      <c r="E1959">
        <v>23</v>
      </c>
      <c r="F1959" t="s">
        <v>114</v>
      </c>
      <c r="G1959" t="s">
        <v>64</v>
      </c>
      <c r="H1959" t="s">
        <v>135</v>
      </c>
      <c r="I1959" t="s">
        <v>85</v>
      </c>
      <c r="J1959" t="s">
        <v>119</v>
      </c>
      <c r="K1959" t="s">
        <v>38</v>
      </c>
      <c r="L1959">
        <v>3</v>
      </c>
      <c r="M1959">
        <v>354</v>
      </c>
      <c r="N1959">
        <v>17.7</v>
      </c>
      <c r="O1959">
        <v>50</v>
      </c>
      <c r="P1959">
        <v>1062</v>
      </c>
      <c r="Q1959">
        <v>1094.3</v>
      </c>
      <c r="R1959" t="s">
        <v>39</v>
      </c>
      <c r="S1959" t="s">
        <v>31</v>
      </c>
      <c r="T1959" t="s">
        <v>40</v>
      </c>
      <c r="U1959">
        <v>59</v>
      </c>
      <c r="V1959">
        <v>3.7</v>
      </c>
      <c r="W1959">
        <f>Table2[[#This Row],[Quantity]]*Table2[[#This Row],[Item_Price]]</f>
        <v>1062</v>
      </c>
    </row>
    <row r="1960" spans="1:23" x14ac:dyDescent="0.25">
      <c r="A1960" t="s">
        <v>2058</v>
      </c>
      <c r="B1960" s="1">
        <v>45800</v>
      </c>
      <c r="C1960" t="s">
        <v>1749</v>
      </c>
      <c r="D1960">
        <v>5</v>
      </c>
      <c r="E1960">
        <v>23</v>
      </c>
      <c r="F1960" t="s">
        <v>114</v>
      </c>
      <c r="G1960" t="s">
        <v>64</v>
      </c>
      <c r="H1960" t="s">
        <v>139</v>
      </c>
      <c r="I1960" t="s">
        <v>97</v>
      </c>
      <c r="J1960" t="s">
        <v>66</v>
      </c>
      <c r="K1960" t="s">
        <v>45</v>
      </c>
      <c r="L1960">
        <v>1</v>
      </c>
      <c r="M1960">
        <v>422</v>
      </c>
      <c r="N1960">
        <v>63.3</v>
      </c>
      <c r="O1960">
        <v>50</v>
      </c>
      <c r="P1960">
        <v>422</v>
      </c>
      <c r="Q1960">
        <v>408.7</v>
      </c>
      <c r="R1960" t="s">
        <v>98</v>
      </c>
      <c r="S1960" t="s">
        <v>31</v>
      </c>
      <c r="T1960" t="s">
        <v>40</v>
      </c>
      <c r="U1960">
        <v>21</v>
      </c>
      <c r="V1960">
        <v>3.2</v>
      </c>
      <c r="W1960">
        <f>Table2[[#This Row],[Quantity]]*Table2[[#This Row],[Item_Price]]</f>
        <v>422</v>
      </c>
    </row>
    <row r="1961" spans="1:23" x14ac:dyDescent="0.25">
      <c r="A1961" t="s">
        <v>2059</v>
      </c>
      <c r="B1961" s="1">
        <v>45800</v>
      </c>
      <c r="C1961" t="s">
        <v>1749</v>
      </c>
      <c r="D1961">
        <v>5</v>
      </c>
      <c r="E1961">
        <v>23</v>
      </c>
      <c r="F1961" t="s">
        <v>114</v>
      </c>
      <c r="G1961" t="s">
        <v>55</v>
      </c>
      <c r="H1961" t="s">
        <v>135</v>
      </c>
      <c r="I1961" t="s">
        <v>27</v>
      </c>
      <c r="J1961" t="s">
        <v>37</v>
      </c>
      <c r="K1961" t="s">
        <v>45</v>
      </c>
      <c r="L1961">
        <v>1</v>
      </c>
      <c r="M1961">
        <v>842</v>
      </c>
      <c r="N1961">
        <v>42.1</v>
      </c>
      <c r="O1961">
        <v>30</v>
      </c>
      <c r="P1961">
        <v>842</v>
      </c>
      <c r="Q1961">
        <v>829.9</v>
      </c>
      <c r="R1961" t="s">
        <v>39</v>
      </c>
      <c r="S1961" t="s">
        <v>31</v>
      </c>
      <c r="T1961" t="s">
        <v>40</v>
      </c>
      <c r="U1961">
        <v>27</v>
      </c>
      <c r="V1961">
        <v>4.5</v>
      </c>
      <c r="W1961">
        <f>Table2[[#This Row],[Quantity]]*Table2[[#This Row],[Item_Price]]</f>
        <v>842</v>
      </c>
    </row>
    <row r="1962" spans="1:23" x14ac:dyDescent="0.25">
      <c r="A1962" t="s">
        <v>2060</v>
      </c>
      <c r="B1962" s="1">
        <v>45800</v>
      </c>
      <c r="C1962" t="s">
        <v>1749</v>
      </c>
      <c r="D1962">
        <v>5</v>
      </c>
      <c r="E1962">
        <v>23</v>
      </c>
      <c r="F1962" t="s">
        <v>114</v>
      </c>
      <c r="G1962" t="s">
        <v>64</v>
      </c>
      <c r="H1962" t="s">
        <v>42</v>
      </c>
      <c r="I1962" t="s">
        <v>97</v>
      </c>
      <c r="J1962" t="s">
        <v>50</v>
      </c>
      <c r="K1962" t="s">
        <v>38</v>
      </c>
      <c r="L1962">
        <v>2</v>
      </c>
      <c r="M1962">
        <v>620</v>
      </c>
      <c r="N1962">
        <v>93</v>
      </c>
      <c r="O1962">
        <v>0</v>
      </c>
      <c r="P1962">
        <v>1240</v>
      </c>
      <c r="Q1962">
        <v>1147</v>
      </c>
      <c r="R1962" t="s">
        <v>30</v>
      </c>
      <c r="S1962" t="s">
        <v>31</v>
      </c>
      <c r="T1962" t="s">
        <v>32</v>
      </c>
      <c r="U1962">
        <v>50</v>
      </c>
      <c r="V1962">
        <v>4.5</v>
      </c>
      <c r="W1962">
        <f>Table2[[#This Row],[Quantity]]*Table2[[#This Row],[Item_Price]]</f>
        <v>1240</v>
      </c>
    </row>
    <row r="1963" spans="1:23" x14ac:dyDescent="0.25">
      <c r="A1963" t="s">
        <v>2061</v>
      </c>
      <c r="B1963" s="1">
        <v>45801</v>
      </c>
      <c r="C1963" t="s">
        <v>1749</v>
      </c>
      <c r="D1963">
        <v>5</v>
      </c>
      <c r="E1963">
        <v>24</v>
      </c>
      <c r="F1963" t="s">
        <v>134</v>
      </c>
      <c r="G1963" t="s">
        <v>34</v>
      </c>
      <c r="H1963" t="s">
        <v>77</v>
      </c>
      <c r="I1963" t="s">
        <v>36</v>
      </c>
      <c r="J1963" t="s">
        <v>50</v>
      </c>
      <c r="K1963" t="s">
        <v>38</v>
      </c>
      <c r="L1963">
        <v>2</v>
      </c>
      <c r="M1963">
        <v>507</v>
      </c>
      <c r="N1963">
        <v>0</v>
      </c>
      <c r="O1963">
        <v>50</v>
      </c>
      <c r="P1963">
        <v>1014</v>
      </c>
      <c r="Q1963">
        <v>1064</v>
      </c>
      <c r="R1963" t="s">
        <v>98</v>
      </c>
      <c r="S1963" t="s">
        <v>31</v>
      </c>
      <c r="T1963" t="s">
        <v>40</v>
      </c>
      <c r="U1963">
        <v>49</v>
      </c>
      <c r="V1963">
        <v>3.6</v>
      </c>
      <c r="W1963">
        <f>Table2[[#This Row],[Quantity]]*Table2[[#This Row],[Item_Price]]</f>
        <v>1014</v>
      </c>
    </row>
    <row r="1964" spans="1:23" x14ac:dyDescent="0.25">
      <c r="A1964" t="s">
        <v>2062</v>
      </c>
      <c r="B1964" s="1">
        <v>45801</v>
      </c>
      <c r="C1964" t="s">
        <v>1749</v>
      </c>
      <c r="D1964">
        <v>5</v>
      </c>
      <c r="E1964">
        <v>24</v>
      </c>
      <c r="F1964" t="s">
        <v>134</v>
      </c>
      <c r="G1964" t="s">
        <v>115</v>
      </c>
      <c r="H1964" t="s">
        <v>135</v>
      </c>
      <c r="I1964" t="s">
        <v>103</v>
      </c>
      <c r="J1964" t="s">
        <v>74</v>
      </c>
      <c r="K1964" t="s">
        <v>38</v>
      </c>
      <c r="L1964">
        <v>2</v>
      </c>
      <c r="M1964">
        <v>891</v>
      </c>
      <c r="N1964">
        <v>133.65</v>
      </c>
      <c r="O1964">
        <v>50</v>
      </c>
      <c r="P1964">
        <v>1782</v>
      </c>
      <c r="Q1964">
        <v>1698.35</v>
      </c>
      <c r="R1964" t="s">
        <v>39</v>
      </c>
      <c r="S1964" t="s">
        <v>31</v>
      </c>
      <c r="T1964" t="s">
        <v>32</v>
      </c>
      <c r="U1964">
        <v>20</v>
      </c>
      <c r="V1964">
        <v>3.3</v>
      </c>
      <c r="W1964">
        <f>Table2[[#This Row],[Quantity]]*Table2[[#This Row],[Item_Price]]</f>
        <v>1782</v>
      </c>
    </row>
    <row r="1965" spans="1:23" x14ac:dyDescent="0.25">
      <c r="A1965" t="s">
        <v>2063</v>
      </c>
      <c r="B1965" s="1">
        <v>45801</v>
      </c>
      <c r="C1965" t="s">
        <v>1749</v>
      </c>
      <c r="D1965">
        <v>5</v>
      </c>
      <c r="E1965">
        <v>24</v>
      </c>
      <c r="F1965" t="s">
        <v>134</v>
      </c>
      <c r="G1965" t="s">
        <v>73</v>
      </c>
      <c r="H1965" t="s">
        <v>65</v>
      </c>
      <c r="I1965" t="s">
        <v>49</v>
      </c>
      <c r="J1965" t="s">
        <v>70</v>
      </c>
      <c r="K1965" t="s">
        <v>38</v>
      </c>
      <c r="L1965">
        <v>2</v>
      </c>
      <c r="M1965">
        <v>288</v>
      </c>
      <c r="N1965">
        <v>57.6</v>
      </c>
      <c r="O1965">
        <v>0</v>
      </c>
      <c r="P1965">
        <v>576</v>
      </c>
      <c r="Q1965">
        <v>518.4</v>
      </c>
      <c r="R1965" t="s">
        <v>39</v>
      </c>
      <c r="S1965" t="s">
        <v>31</v>
      </c>
      <c r="T1965" t="s">
        <v>32</v>
      </c>
      <c r="U1965">
        <v>22</v>
      </c>
      <c r="V1965">
        <v>3.9</v>
      </c>
      <c r="W1965">
        <f>Table2[[#This Row],[Quantity]]*Table2[[#This Row],[Item_Price]]</f>
        <v>576</v>
      </c>
    </row>
    <row r="1966" spans="1:23" x14ac:dyDescent="0.25">
      <c r="A1966" t="s">
        <v>2064</v>
      </c>
      <c r="B1966" s="1">
        <v>45801</v>
      </c>
      <c r="C1966" t="s">
        <v>1749</v>
      </c>
      <c r="D1966">
        <v>5</v>
      </c>
      <c r="E1966">
        <v>24</v>
      </c>
      <c r="F1966" t="s">
        <v>134</v>
      </c>
      <c r="G1966" t="s">
        <v>84</v>
      </c>
      <c r="H1966" t="s">
        <v>135</v>
      </c>
      <c r="I1966" t="s">
        <v>36</v>
      </c>
      <c r="J1966" t="s">
        <v>94</v>
      </c>
      <c r="K1966" t="s">
        <v>58</v>
      </c>
      <c r="L1966">
        <v>3</v>
      </c>
      <c r="M1966">
        <v>506</v>
      </c>
      <c r="N1966">
        <v>75.900000000000006</v>
      </c>
      <c r="O1966">
        <v>40</v>
      </c>
      <c r="P1966">
        <v>1518</v>
      </c>
      <c r="Q1966">
        <v>1482.1</v>
      </c>
      <c r="R1966" t="s">
        <v>39</v>
      </c>
      <c r="S1966" t="s">
        <v>110</v>
      </c>
      <c r="T1966" t="s">
        <v>32</v>
      </c>
      <c r="U1966">
        <v>63</v>
      </c>
      <c r="W1966">
        <f>Table2[[#This Row],[Quantity]]*Table2[[#This Row],[Item_Price]]</f>
        <v>1518</v>
      </c>
    </row>
    <row r="1967" spans="1:23" x14ac:dyDescent="0.25">
      <c r="A1967" t="s">
        <v>2065</v>
      </c>
      <c r="B1967" s="1">
        <v>45801</v>
      </c>
      <c r="C1967" t="s">
        <v>1749</v>
      </c>
      <c r="D1967">
        <v>5</v>
      </c>
      <c r="E1967">
        <v>24</v>
      </c>
      <c r="F1967" t="s">
        <v>134</v>
      </c>
      <c r="G1967" t="s">
        <v>84</v>
      </c>
      <c r="H1967" t="s">
        <v>65</v>
      </c>
      <c r="I1967" t="s">
        <v>57</v>
      </c>
      <c r="J1967" t="s">
        <v>44</v>
      </c>
      <c r="K1967" t="s">
        <v>58</v>
      </c>
      <c r="L1967">
        <v>1</v>
      </c>
      <c r="M1967">
        <v>446</v>
      </c>
      <c r="N1967">
        <v>44.6</v>
      </c>
      <c r="O1967">
        <v>40</v>
      </c>
      <c r="P1967">
        <v>446</v>
      </c>
      <c r="Q1967">
        <v>441.4</v>
      </c>
      <c r="R1967" t="s">
        <v>112</v>
      </c>
      <c r="S1967" t="s">
        <v>31</v>
      </c>
      <c r="T1967" t="s">
        <v>40</v>
      </c>
      <c r="U1967">
        <v>55</v>
      </c>
      <c r="V1967">
        <v>4.0999999999999996</v>
      </c>
      <c r="W1967">
        <f>Table2[[#This Row],[Quantity]]*Table2[[#This Row],[Item_Price]]</f>
        <v>446</v>
      </c>
    </row>
    <row r="1968" spans="1:23" x14ac:dyDescent="0.25">
      <c r="A1968" t="s">
        <v>2066</v>
      </c>
      <c r="B1968" s="1">
        <v>45801</v>
      </c>
      <c r="C1968" t="s">
        <v>1749</v>
      </c>
      <c r="D1968">
        <v>5</v>
      </c>
      <c r="E1968">
        <v>24</v>
      </c>
      <c r="F1968" t="s">
        <v>134</v>
      </c>
      <c r="G1968" t="s">
        <v>80</v>
      </c>
      <c r="H1968" t="s">
        <v>108</v>
      </c>
      <c r="I1968" t="s">
        <v>36</v>
      </c>
      <c r="J1968" t="s">
        <v>62</v>
      </c>
      <c r="K1968" t="s">
        <v>45</v>
      </c>
      <c r="L1968">
        <v>2</v>
      </c>
      <c r="M1968">
        <v>793</v>
      </c>
      <c r="N1968">
        <v>79.3</v>
      </c>
      <c r="O1968">
        <v>30</v>
      </c>
      <c r="P1968">
        <v>1586</v>
      </c>
      <c r="Q1968">
        <v>1536.7</v>
      </c>
      <c r="R1968" t="s">
        <v>75</v>
      </c>
      <c r="S1968" t="s">
        <v>31</v>
      </c>
      <c r="T1968" t="s">
        <v>40</v>
      </c>
      <c r="U1968">
        <v>47</v>
      </c>
      <c r="V1968">
        <v>4</v>
      </c>
      <c r="W1968">
        <f>Table2[[#This Row],[Quantity]]*Table2[[#This Row],[Item_Price]]</f>
        <v>1586</v>
      </c>
    </row>
    <row r="1969" spans="1:23" x14ac:dyDescent="0.25">
      <c r="A1969" t="s">
        <v>2067</v>
      </c>
      <c r="B1969" s="1">
        <v>45801</v>
      </c>
      <c r="C1969" t="s">
        <v>1749</v>
      </c>
      <c r="D1969">
        <v>5</v>
      </c>
      <c r="E1969">
        <v>24</v>
      </c>
      <c r="F1969" t="s">
        <v>134</v>
      </c>
      <c r="G1969" t="s">
        <v>34</v>
      </c>
      <c r="H1969" t="s">
        <v>35</v>
      </c>
      <c r="I1969" t="s">
        <v>43</v>
      </c>
      <c r="J1969" t="s">
        <v>70</v>
      </c>
      <c r="K1969" t="s">
        <v>29</v>
      </c>
      <c r="L1969">
        <v>2</v>
      </c>
      <c r="M1969">
        <v>607</v>
      </c>
      <c r="N1969">
        <v>121.4</v>
      </c>
      <c r="O1969">
        <v>0</v>
      </c>
      <c r="P1969">
        <v>1214</v>
      </c>
      <c r="Q1969">
        <v>1092.5999999999999</v>
      </c>
      <c r="R1969" t="s">
        <v>112</v>
      </c>
      <c r="S1969" t="s">
        <v>31</v>
      </c>
      <c r="T1969" t="s">
        <v>32</v>
      </c>
      <c r="U1969">
        <v>51</v>
      </c>
      <c r="V1969">
        <v>3.7</v>
      </c>
      <c r="W1969">
        <f>Table2[[#This Row],[Quantity]]*Table2[[#This Row],[Item_Price]]</f>
        <v>1214</v>
      </c>
    </row>
    <row r="1970" spans="1:23" x14ac:dyDescent="0.25">
      <c r="A1970" t="s">
        <v>2068</v>
      </c>
      <c r="B1970" s="1">
        <v>45801</v>
      </c>
      <c r="C1970" t="s">
        <v>1749</v>
      </c>
      <c r="D1970">
        <v>5</v>
      </c>
      <c r="E1970">
        <v>24</v>
      </c>
      <c r="F1970" t="s">
        <v>134</v>
      </c>
      <c r="G1970" t="s">
        <v>96</v>
      </c>
      <c r="H1970" t="s">
        <v>65</v>
      </c>
      <c r="I1970" t="s">
        <v>61</v>
      </c>
      <c r="J1970" t="s">
        <v>53</v>
      </c>
      <c r="K1970" t="s">
        <v>38</v>
      </c>
      <c r="L1970">
        <v>1</v>
      </c>
      <c r="M1970">
        <v>493</v>
      </c>
      <c r="N1970">
        <v>73.95</v>
      </c>
      <c r="O1970">
        <v>40</v>
      </c>
      <c r="P1970">
        <v>493</v>
      </c>
      <c r="Q1970">
        <v>459.05</v>
      </c>
      <c r="R1970" t="s">
        <v>39</v>
      </c>
      <c r="S1970" t="s">
        <v>31</v>
      </c>
      <c r="T1970" t="s">
        <v>40</v>
      </c>
      <c r="U1970">
        <v>41</v>
      </c>
      <c r="V1970">
        <v>5</v>
      </c>
      <c r="W1970">
        <f>Table2[[#This Row],[Quantity]]*Table2[[#This Row],[Item_Price]]</f>
        <v>493</v>
      </c>
    </row>
    <row r="1971" spans="1:23" x14ac:dyDescent="0.25">
      <c r="A1971" t="s">
        <v>2069</v>
      </c>
      <c r="B1971" s="1">
        <v>45801</v>
      </c>
      <c r="C1971" t="s">
        <v>1749</v>
      </c>
      <c r="D1971">
        <v>5</v>
      </c>
      <c r="E1971">
        <v>24</v>
      </c>
      <c r="F1971" t="s">
        <v>134</v>
      </c>
      <c r="G1971" t="s">
        <v>64</v>
      </c>
      <c r="H1971" t="s">
        <v>77</v>
      </c>
      <c r="I1971" t="s">
        <v>36</v>
      </c>
      <c r="J1971" t="s">
        <v>62</v>
      </c>
      <c r="K1971" t="s">
        <v>38</v>
      </c>
      <c r="L1971">
        <v>1</v>
      </c>
      <c r="M1971">
        <v>420</v>
      </c>
      <c r="N1971">
        <v>42</v>
      </c>
      <c r="O1971">
        <v>40</v>
      </c>
      <c r="P1971">
        <v>420</v>
      </c>
      <c r="Q1971">
        <v>418</v>
      </c>
      <c r="R1971" t="s">
        <v>30</v>
      </c>
      <c r="S1971" t="s">
        <v>46</v>
      </c>
      <c r="T1971" t="s">
        <v>32</v>
      </c>
      <c r="U1971">
        <v>58</v>
      </c>
      <c r="W1971">
        <f>Table2[[#This Row],[Quantity]]*Table2[[#This Row],[Item_Price]]</f>
        <v>420</v>
      </c>
    </row>
    <row r="1972" spans="1:23" x14ac:dyDescent="0.25">
      <c r="A1972" t="s">
        <v>2070</v>
      </c>
      <c r="B1972" s="1">
        <v>45801</v>
      </c>
      <c r="C1972" t="s">
        <v>1749</v>
      </c>
      <c r="D1972">
        <v>5</v>
      </c>
      <c r="E1972">
        <v>24</v>
      </c>
      <c r="F1972" t="s">
        <v>134</v>
      </c>
      <c r="G1972" t="s">
        <v>64</v>
      </c>
      <c r="H1972" t="s">
        <v>135</v>
      </c>
      <c r="I1972" t="s">
        <v>36</v>
      </c>
      <c r="J1972" t="s">
        <v>28</v>
      </c>
      <c r="K1972" t="s">
        <v>38</v>
      </c>
      <c r="L1972">
        <v>2</v>
      </c>
      <c r="M1972">
        <v>124</v>
      </c>
      <c r="N1972">
        <v>12.4</v>
      </c>
      <c r="O1972">
        <v>0</v>
      </c>
      <c r="P1972">
        <v>248</v>
      </c>
      <c r="Q1972">
        <v>235.6</v>
      </c>
      <c r="R1972" t="s">
        <v>98</v>
      </c>
      <c r="S1972" t="s">
        <v>31</v>
      </c>
      <c r="T1972" t="s">
        <v>32</v>
      </c>
      <c r="U1972">
        <v>40</v>
      </c>
      <c r="V1972">
        <v>5</v>
      </c>
      <c r="W1972">
        <f>Table2[[#This Row],[Quantity]]*Table2[[#This Row],[Item_Price]]</f>
        <v>248</v>
      </c>
    </row>
    <row r="1973" spans="1:23" x14ac:dyDescent="0.25">
      <c r="A1973" t="s">
        <v>2071</v>
      </c>
      <c r="B1973" s="1">
        <v>45801</v>
      </c>
      <c r="C1973" t="s">
        <v>1749</v>
      </c>
      <c r="D1973">
        <v>5</v>
      </c>
      <c r="E1973">
        <v>24</v>
      </c>
      <c r="F1973" t="s">
        <v>134</v>
      </c>
      <c r="G1973" t="s">
        <v>64</v>
      </c>
      <c r="H1973" t="s">
        <v>108</v>
      </c>
      <c r="I1973" t="s">
        <v>57</v>
      </c>
      <c r="J1973" t="s">
        <v>53</v>
      </c>
      <c r="K1973" t="s">
        <v>29</v>
      </c>
      <c r="L1973">
        <v>2</v>
      </c>
      <c r="M1973">
        <v>500</v>
      </c>
      <c r="N1973">
        <v>75</v>
      </c>
      <c r="O1973">
        <v>20</v>
      </c>
      <c r="P1973">
        <v>1000</v>
      </c>
      <c r="Q1973">
        <v>945</v>
      </c>
      <c r="R1973" t="s">
        <v>98</v>
      </c>
      <c r="S1973" t="s">
        <v>31</v>
      </c>
      <c r="T1973" t="s">
        <v>40</v>
      </c>
      <c r="U1973">
        <v>20</v>
      </c>
      <c r="V1973">
        <v>4.0999999999999996</v>
      </c>
      <c r="W1973">
        <f>Table2[[#This Row],[Quantity]]*Table2[[#This Row],[Item_Price]]</f>
        <v>1000</v>
      </c>
    </row>
    <row r="1974" spans="1:23" x14ac:dyDescent="0.25">
      <c r="A1974" t="s">
        <v>2072</v>
      </c>
      <c r="B1974" s="1">
        <v>45801</v>
      </c>
      <c r="C1974" t="s">
        <v>1749</v>
      </c>
      <c r="D1974">
        <v>5</v>
      </c>
      <c r="E1974">
        <v>24</v>
      </c>
      <c r="F1974" t="s">
        <v>134</v>
      </c>
      <c r="G1974" t="s">
        <v>96</v>
      </c>
      <c r="H1974" t="s">
        <v>48</v>
      </c>
      <c r="I1974" t="s">
        <v>57</v>
      </c>
      <c r="J1974" t="s">
        <v>44</v>
      </c>
      <c r="K1974" t="s">
        <v>45</v>
      </c>
      <c r="L1974">
        <v>1</v>
      </c>
      <c r="M1974">
        <v>527</v>
      </c>
      <c r="N1974">
        <v>0</v>
      </c>
      <c r="O1974">
        <v>30</v>
      </c>
      <c r="P1974">
        <v>527</v>
      </c>
      <c r="Q1974">
        <v>557</v>
      </c>
      <c r="R1974" t="s">
        <v>39</v>
      </c>
      <c r="S1974" t="s">
        <v>91</v>
      </c>
      <c r="T1974" t="s">
        <v>40</v>
      </c>
      <c r="U1974">
        <v>52</v>
      </c>
      <c r="W1974">
        <f>Table2[[#This Row],[Quantity]]*Table2[[#This Row],[Item_Price]]</f>
        <v>527</v>
      </c>
    </row>
    <row r="1975" spans="1:23" x14ac:dyDescent="0.25">
      <c r="A1975" t="s">
        <v>2073</v>
      </c>
      <c r="B1975" s="1">
        <v>45801</v>
      </c>
      <c r="C1975" t="s">
        <v>1749</v>
      </c>
      <c r="D1975">
        <v>5</v>
      </c>
      <c r="E1975">
        <v>24</v>
      </c>
      <c r="F1975" t="s">
        <v>134</v>
      </c>
      <c r="G1975" t="s">
        <v>73</v>
      </c>
      <c r="H1975" t="s">
        <v>35</v>
      </c>
      <c r="I1975" t="s">
        <v>27</v>
      </c>
      <c r="J1975" t="s">
        <v>66</v>
      </c>
      <c r="K1975" t="s">
        <v>38</v>
      </c>
      <c r="L1975">
        <v>1</v>
      </c>
      <c r="M1975">
        <v>808</v>
      </c>
      <c r="N1975">
        <v>121.2</v>
      </c>
      <c r="O1975">
        <v>50</v>
      </c>
      <c r="P1975">
        <v>808</v>
      </c>
      <c r="Q1975">
        <v>736.8</v>
      </c>
      <c r="R1975" t="s">
        <v>30</v>
      </c>
      <c r="S1975" t="s">
        <v>31</v>
      </c>
      <c r="T1975" t="s">
        <v>40</v>
      </c>
      <c r="U1975">
        <v>52</v>
      </c>
      <c r="V1975">
        <v>3.4</v>
      </c>
      <c r="W1975">
        <f>Table2[[#This Row],[Quantity]]*Table2[[#This Row],[Item_Price]]</f>
        <v>808</v>
      </c>
    </row>
    <row r="1976" spans="1:23" x14ac:dyDescent="0.25">
      <c r="A1976" t="s">
        <v>2074</v>
      </c>
      <c r="B1976" s="1">
        <v>45801</v>
      </c>
      <c r="C1976" t="s">
        <v>1749</v>
      </c>
      <c r="D1976">
        <v>5</v>
      </c>
      <c r="E1976">
        <v>24</v>
      </c>
      <c r="F1976" t="s">
        <v>134</v>
      </c>
      <c r="G1976" t="s">
        <v>34</v>
      </c>
      <c r="H1976" t="s">
        <v>105</v>
      </c>
      <c r="I1976" t="s">
        <v>27</v>
      </c>
      <c r="J1976" t="s">
        <v>70</v>
      </c>
      <c r="K1976" t="s">
        <v>38</v>
      </c>
      <c r="L1976">
        <v>1</v>
      </c>
      <c r="M1976">
        <v>123</v>
      </c>
      <c r="N1976">
        <v>12.3</v>
      </c>
      <c r="O1976">
        <v>40</v>
      </c>
      <c r="P1976">
        <v>123</v>
      </c>
      <c r="Q1976">
        <v>150.69999999999999</v>
      </c>
      <c r="R1976" t="s">
        <v>98</v>
      </c>
      <c r="S1976" t="s">
        <v>31</v>
      </c>
      <c r="T1976" t="s">
        <v>32</v>
      </c>
      <c r="U1976">
        <v>37</v>
      </c>
      <c r="V1976">
        <v>3</v>
      </c>
      <c r="W1976">
        <f>Table2[[#This Row],[Quantity]]*Table2[[#This Row],[Item_Price]]</f>
        <v>123</v>
      </c>
    </row>
    <row r="1977" spans="1:23" x14ac:dyDescent="0.25">
      <c r="A1977" t="s">
        <v>2075</v>
      </c>
      <c r="B1977" s="1">
        <v>45801</v>
      </c>
      <c r="C1977" t="s">
        <v>1749</v>
      </c>
      <c r="D1977">
        <v>5</v>
      </c>
      <c r="E1977">
        <v>24</v>
      </c>
      <c r="F1977" t="s">
        <v>134</v>
      </c>
      <c r="G1977" t="s">
        <v>73</v>
      </c>
      <c r="H1977" t="s">
        <v>108</v>
      </c>
      <c r="I1977" t="s">
        <v>103</v>
      </c>
      <c r="J1977" t="s">
        <v>119</v>
      </c>
      <c r="K1977" t="s">
        <v>45</v>
      </c>
      <c r="L1977">
        <v>1</v>
      </c>
      <c r="M1977">
        <v>264</v>
      </c>
      <c r="N1977">
        <v>26.4</v>
      </c>
      <c r="O1977">
        <v>40</v>
      </c>
      <c r="P1977">
        <v>264</v>
      </c>
      <c r="Q1977">
        <v>277.60000000000002</v>
      </c>
      <c r="R1977" t="s">
        <v>39</v>
      </c>
      <c r="S1977" t="s">
        <v>31</v>
      </c>
      <c r="T1977" t="s">
        <v>32</v>
      </c>
      <c r="U1977">
        <v>52</v>
      </c>
      <c r="V1977">
        <v>4.4000000000000004</v>
      </c>
      <c r="W1977">
        <f>Table2[[#This Row],[Quantity]]*Table2[[#This Row],[Item_Price]]</f>
        <v>264</v>
      </c>
    </row>
    <row r="1978" spans="1:23" x14ac:dyDescent="0.25">
      <c r="A1978" t="s">
        <v>2076</v>
      </c>
      <c r="B1978" s="1">
        <v>45802</v>
      </c>
      <c r="C1978" t="s">
        <v>1749</v>
      </c>
      <c r="D1978">
        <v>5</v>
      </c>
      <c r="E1978">
        <v>25</v>
      </c>
      <c r="F1978" t="s">
        <v>149</v>
      </c>
      <c r="G1978" t="s">
        <v>115</v>
      </c>
      <c r="H1978" t="s">
        <v>35</v>
      </c>
      <c r="I1978" t="s">
        <v>49</v>
      </c>
      <c r="J1978" t="s">
        <v>119</v>
      </c>
      <c r="K1978" t="s">
        <v>38</v>
      </c>
      <c r="L1978">
        <v>3</v>
      </c>
      <c r="M1978">
        <v>297</v>
      </c>
      <c r="N1978">
        <v>0</v>
      </c>
      <c r="O1978">
        <v>40</v>
      </c>
      <c r="P1978">
        <v>891</v>
      </c>
      <c r="Q1978">
        <v>931</v>
      </c>
      <c r="R1978" t="s">
        <v>30</v>
      </c>
      <c r="S1978" t="s">
        <v>31</v>
      </c>
      <c r="T1978" t="s">
        <v>32</v>
      </c>
      <c r="U1978">
        <v>39</v>
      </c>
      <c r="V1978">
        <v>5</v>
      </c>
      <c r="W1978">
        <f>Table2[[#This Row],[Quantity]]*Table2[[#This Row],[Item_Price]]</f>
        <v>891</v>
      </c>
    </row>
    <row r="1979" spans="1:23" x14ac:dyDescent="0.25">
      <c r="A1979" t="s">
        <v>2077</v>
      </c>
      <c r="B1979" s="1">
        <v>45802</v>
      </c>
      <c r="C1979" t="s">
        <v>1749</v>
      </c>
      <c r="D1979">
        <v>5</v>
      </c>
      <c r="E1979">
        <v>25</v>
      </c>
      <c r="F1979" t="s">
        <v>149</v>
      </c>
      <c r="G1979" t="s">
        <v>73</v>
      </c>
      <c r="H1979" t="s">
        <v>42</v>
      </c>
      <c r="I1979" t="s">
        <v>97</v>
      </c>
      <c r="J1979" t="s">
        <v>44</v>
      </c>
      <c r="K1979" t="s">
        <v>45</v>
      </c>
      <c r="L1979">
        <v>2</v>
      </c>
      <c r="M1979">
        <v>627</v>
      </c>
      <c r="N1979">
        <v>125.4</v>
      </c>
      <c r="O1979">
        <v>50</v>
      </c>
      <c r="P1979">
        <v>1254</v>
      </c>
      <c r="Q1979">
        <v>1178.5999999999999</v>
      </c>
      <c r="R1979" t="s">
        <v>39</v>
      </c>
      <c r="S1979" t="s">
        <v>46</v>
      </c>
      <c r="T1979" t="s">
        <v>32</v>
      </c>
      <c r="U1979">
        <v>38</v>
      </c>
      <c r="W1979">
        <f>Table2[[#This Row],[Quantity]]*Table2[[#This Row],[Item_Price]]</f>
        <v>1254</v>
      </c>
    </row>
    <row r="1980" spans="1:23" x14ac:dyDescent="0.25">
      <c r="A1980" t="s">
        <v>2078</v>
      </c>
      <c r="B1980" s="1">
        <v>45802</v>
      </c>
      <c r="C1980" t="s">
        <v>1749</v>
      </c>
      <c r="D1980">
        <v>5</v>
      </c>
      <c r="E1980">
        <v>25</v>
      </c>
      <c r="F1980" t="s">
        <v>149</v>
      </c>
      <c r="G1980" t="s">
        <v>73</v>
      </c>
      <c r="H1980" t="s">
        <v>81</v>
      </c>
      <c r="I1980" t="s">
        <v>27</v>
      </c>
      <c r="J1980" t="s">
        <v>74</v>
      </c>
      <c r="K1980" t="s">
        <v>38</v>
      </c>
      <c r="L1980">
        <v>1</v>
      </c>
      <c r="M1980">
        <v>745</v>
      </c>
      <c r="N1980">
        <v>74.5</v>
      </c>
      <c r="O1980">
        <v>0</v>
      </c>
      <c r="P1980">
        <v>745</v>
      </c>
      <c r="Q1980">
        <v>670.5</v>
      </c>
      <c r="R1980" t="s">
        <v>39</v>
      </c>
      <c r="S1980" t="s">
        <v>31</v>
      </c>
      <c r="T1980" t="s">
        <v>32</v>
      </c>
      <c r="U1980">
        <v>37</v>
      </c>
      <c r="V1980">
        <v>2.2000000000000002</v>
      </c>
      <c r="W1980">
        <f>Table2[[#This Row],[Quantity]]*Table2[[#This Row],[Item_Price]]</f>
        <v>745</v>
      </c>
    </row>
    <row r="1981" spans="1:23" x14ac:dyDescent="0.25">
      <c r="A1981" t="s">
        <v>2079</v>
      </c>
      <c r="B1981" s="1">
        <v>45802</v>
      </c>
      <c r="C1981" t="s">
        <v>1749</v>
      </c>
      <c r="D1981">
        <v>5</v>
      </c>
      <c r="E1981">
        <v>25</v>
      </c>
      <c r="F1981" t="s">
        <v>149</v>
      </c>
      <c r="G1981" t="s">
        <v>25</v>
      </c>
      <c r="H1981" t="s">
        <v>48</v>
      </c>
      <c r="I1981" t="s">
        <v>49</v>
      </c>
      <c r="J1981" t="s">
        <v>62</v>
      </c>
      <c r="K1981" t="s">
        <v>38</v>
      </c>
      <c r="L1981">
        <v>2</v>
      </c>
      <c r="M1981">
        <v>174</v>
      </c>
      <c r="N1981">
        <v>8.6999999999999993</v>
      </c>
      <c r="O1981">
        <v>40</v>
      </c>
      <c r="P1981">
        <v>348</v>
      </c>
      <c r="Q1981">
        <v>379.3</v>
      </c>
      <c r="R1981" t="s">
        <v>30</v>
      </c>
      <c r="S1981" t="s">
        <v>31</v>
      </c>
      <c r="T1981" t="s">
        <v>32</v>
      </c>
      <c r="U1981">
        <v>50</v>
      </c>
      <c r="V1981">
        <v>4.4000000000000004</v>
      </c>
      <c r="W1981">
        <f>Table2[[#This Row],[Quantity]]*Table2[[#This Row],[Item_Price]]</f>
        <v>348</v>
      </c>
    </row>
    <row r="1982" spans="1:23" x14ac:dyDescent="0.25">
      <c r="A1982" t="s">
        <v>2080</v>
      </c>
      <c r="B1982" s="1">
        <v>45802</v>
      </c>
      <c r="C1982" t="s">
        <v>1749</v>
      </c>
      <c r="D1982">
        <v>5</v>
      </c>
      <c r="E1982">
        <v>25</v>
      </c>
      <c r="F1982" t="s">
        <v>149</v>
      </c>
      <c r="G1982" t="s">
        <v>115</v>
      </c>
      <c r="H1982" t="s">
        <v>77</v>
      </c>
      <c r="I1982" t="s">
        <v>103</v>
      </c>
      <c r="J1982" t="s">
        <v>82</v>
      </c>
      <c r="K1982" t="s">
        <v>38</v>
      </c>
      <c r="L1982">
        <v>1</v>
      </c>
      <c r="M1982">
        <v>277</v>
      </c>
      <c r="N1982">
        <v>55.4</v>
      </c>
      <c r="O1982">
        <v>60</v>
      </c>
      <c r="P1982">
        <v>277</v>
      </c>
      <c r="Q1982">
        <v>281.60000000000002</v>
      </c>
      <c r="R1982" t="s">
        <v>39</v>
      </c>
      <c r="S1982" t="s">
        <v>31</v>
      </c>
      <c r="T1982" t="s">
        <v>40</v>
      </c>
      <c r="U1982">
        <v>31</v>
      </c>
      <c r="V1982">
        <v>3.4</v>
      </c>
      <c r="W1982">
        <f>Table2[[#This Row],[Quantity]]*Table2[[#This Row],[Item_Price]]</f>
        <v>277</v>
      </c>
    </row>
    <row r="1983" spans="1:23" x14ac:dyDescent="0.25">
      <c r="A1983" t="s">
        <v>2081</v>
      </c>
      <c r="B1983" s="1">
        <v>45802</v>
      </c>
      <c r="C1983" t="s">
        <v>1749</v>
      </c>
      <c r="D1983">
        <v>5</v>
      </c>
      <c r="E1983">
        <v>25</v>
      </c>
      <c r="F1983" t="s">
        <v>149</v>
      </c>
      <c r="G1983" t="s">
        <v>64</v>
      </c>
      <c r="H1983" t="s">
        <v>26</v>
      </c>
      <c r="I1983" t="s">
        <v>85</v>
      </c>
      <c r="J1983" t="s">
        <v>172</v>
      </c>
      <c r="K1983" t="s">
        <v>45</v>
      </c>
      <c r="L1983">
        <v>1</v>
      </c>
      <c r="M1983">
        <v>142</v>
      </c>
      <c r="N1983">
        <v>21.3</v>
      </c>
      <c r="O1983">
        <v>0</v>
      </c>
      <c r="P1983">
        <v>142</v>
      </c>
      <c r="Q1983">
        <v>120.7</v>
      </c>
      <c r="R1983" t="s">
        <v>98</v>
      </c>
      <c r="S1983" t="s">
        <v>31</v>
      </c>
      <c r="T1983" t="s">
        <v>40</v>
      </c>
      <c r="U1983">
        <v>33</v>
      </c>
      <c r="V1983">
        <v>4.4000000000000004</v>
      </c>
      <c r="W1983">
        <f>Table2[[#This Row],[Quantity]]*Table2[[#This Row],[Item_Price]]</f>
        <v>142</v>
      </c>
    </row>
    <row r="1984" spans="1:23" x14ac:dyDescent="0.25">
      <c r="A1984" t="s">
        <v>2082</v>
      </c>
      <c r="B1984" s="1">
        <v>45802</v>
      </c>
      <c r="C1984" t="s">
        <v>1749</v>
      </c>
      <c r="D1984">
        <v>5</v>
      </c>
      <c r="E1984">
        <v>25</v>
      </c>
      <c r="F1984" t="s">
        <v>149</v>
      </c>
      <c r="G1984" t="s">
        <v>96</v>
      </c>
      <c r="H1984" t="s">
        <v>56</v>
      </c>
      <c r="I1984" t="s">
        <v>97</v>
      </c>
      <c r="J1984" t="s">
        <v>119</v>
      </c>
      <c r="K1984" t="s">
        <v>38</v>
      </c>
      <c r="L1984">
        <v>1</v>
      </c>
      <c r="M1984">
        <v>896</v>
      </c>
      <c r="N1984">
        <v>134.4</v>
      </c>
      <c r="O1984">
        <v>50</v>
      </c>
      <c r="P1984">
        <v>896</v>
      </c>
      <c r="Q1984">
        <v>811.6</v>
      </c>
      <c r="R1984" t="s">
        <v>75</v>
      </c>
      <c r="S1984" t="s">
        <v>91</v>
      </c>
      <c r="T1984" t="s">
        <v>32</v>
      </c>
      <c r="U1984">
        <v>33</v>
      </c>
      <c r="W1984">
        <f>Table2[[#This Row],[Quantity]]*Table2[[#This Row],[Item_Price]]</f>
        <v>896</v>
      </c>
    </row>
    <row r="1985" spans="1:23" x14ac:dyDescent="0.25">
      <c r="A1985" t="s">
        <v>2083</v>
      </c>
      <c r="B1985" s="1">
        <v>45802</v>
      </c>
      <c r="C1985" t="s">
        <v>1749</v>
      </c>
      <c r="D1985">
        <v>5</v>
      </c>
      <c r="E1985">
        <v>25</v>
      </c>
      <c r="F1985" t="s">
        <v>149</v>
      </c>
      <c r="G1985" t="s">
        <v>64</v>
      </c>
      <c r="H1985" t="s">
        <v>81</v>
      </c>
      <c r="I1985" t="s">
        <v>85</v>
      </c>
      <c r="J1985" t="s">
        <v>37</v>
      </c>
      <c r="K1985" t="s">
        <v>38</v>
      </c>
      <c r="L1985">
        <v>1</v>
      </c>
      <c r="M1985">
        <v>620</v>
      </c>
      <c r="N1985">
        <v>93</v>
      </c>
      <c r="O1985">
        <v>40</v>
      </c>
      <c r="P1985">
        <v>620</v>
      </c>
      <c r="Q1985">
        <v>567</v>
      </c>
      <c r="R1985" t="s">
        <v>112</v>
      </c>
      <c r="S1985" t="s">
        <v>31</v>
      </c>
      <c r="T1985" t="s">
        <v>40</v>
      </c>
      <c r="U1985">
        <v>60</v>
      </c>
      <c r="V1985">
        <v>3.7</v>
      </c>
      <c r="W1985">
        <f>Table2[[#This Row],[Quantity]]*Table2[[#This Row],[Item_Price]]</f>
        <v>620</v>
      </c>
    </row>
    <row r="1986" spans="1:23" x14ac:dyDescent="0.25">
      <c r="A1986" t="s">
        <v>2084</v>
      </c>
      <c r="B1986" s="1">
        <v>45802</v>
      </c>
      <c r="C1986" t="s">
        <v>1749</v>
      </c>
      <c r="D1986">
        <v>5</v>
      </c>
      <c r="E1986">
        <v>25</v>
      </c>
      <c r="F1986" t="s">
        <v>149</v>
      </c>
      <c r="G1986" t="s">
        <v>80</v>
      </c>
      <c r="H1986" t="s">
        <v>105</v>
      </c>
      <c r="I1986" t="s">
        <v>85</v>
      </c>
      <c r="J1986" t="s">
        <v>66</v>
      </c>
      <c r="K1986" t="s">
        <v>45</v>
      </c>
      <c r="L1986">
        <v>2</v>
      </c>
      <c r="M1986">
        <v>402</v>
      </c>
      <c r="N1986">
        <v>40.200000000000003</v>
      </c>
      <c r="O1986">
        <v>40</v>
      </c>
      <c r="P1986">
        <v>804</v>
      </c>
      <c r="Q1986">
        <v>803.8</v>
      </c>
      <c r="R1986" t="s">
        <v>39</v>
      </c>
      <c r="S1986" t="s">
        <v>31</v>
      </c>
      <c r="T1986" t="s">
        <v>40</v>
      </c>
      <c r="U1986">
        <v>43</v>
      </c>
      <c r="V1986">
        <v>4</v>
      </c>
      <c r="W1986">
        <f>Table2[[#This Row],[Quantity]]*Table2[[#This Row],[Item_Price]]</f>
        <v>804</v>
      </c>
    </row>
    <row r="1987" spans="1:23" x14ac:dyDescent="0.25">
      <c r="A1987" t="s">
        <v>2085</v>
      </c>
      <c r="B1987" s="1">
        <v>45802</v>
      </c>
      <c r="C1987" t="s">
        <v>1749</v>
      </c>
      <c r="D1987">
        <v>5</v>
      </c>
      <c r="E1987">
        <v>25</v>
      </c>
      <c r="F1987" t="s">
        <v>149</v>
      </c>
      <c r="G1987" t="s">
        <v>80</v>
      </c>
      <c r="H1987" t="s">
        <v>48</v>
      </c>
      <c r="I1987" t="s">
        <v>69</v>
      </c>
      <c r="J1987" t="s">
        <v>172</v>
      </c>
      <c r="K1987" t="s">
        <v>38</v>
      </c>
      <c r="L1987">
        <v>3</v>
      </c>
      <c r="M1987">
        <v>816</v>
      </c>
      <c r="N1987">
        <v>122.4</v>
      </c>
      <c r="O1987">
        <v>40</v>
      </c>
      <c r="P1987">
        <v>2448</v>
      </c>
      <c r="Q1987">
        <v>2365.6</v>
      </c>
      <c r="R1987" t="s">
        <v>39</v>
      </c>
      <c r="S1987" t="s">
        <v>110</v>
      </c>
      <c r="T1987" t="s">
        <v>40</v>
      </c>
      <c r="U1987">
        <v>44</v>
      </c>
      <c r="W1987">
        <f>Table2[[#This Row],[Quantity]]*Table2[[#This Row],[Item_Price]]</f>
        <v>2448</v>
      </c>
    </row>
    <row r="1988" spans="1:23" x14ac:dyDescent="0.25">
      <c r="A1988" t="s">
        <v>2086</v>
      </c>
      <c r="B1988" s="1">
        <v>45802</v>
      </c>
      <c r="C1988" t="s">
        <v>1749</v>
      </c>
      <c r="D1988">
        <v>5</v>
      </c>
      <c r="E1988">
        <v>25</v>
      </c>
      <c r="F1988" t="s">
        <v>149</v>
      </c>
      <c r="G1988" t="s">
        <v>25</v>
      </c>
      <c r="H1988" t="s">
        <v>56</v>
      </c>
      <c r="I1988" t="s">
        <v>57</v>
      </c>
      <c r="J1988" t="s">
        <v>123</v>
      </c>
      <c r="K1988" t="s">
        <v>45</v>
      </c>
      <c r="L1988">
        <v>1</v>
      </c>
      <c r="M1988">
        <v>873</v>
      </c>
      <c r="N1988">
        <v>0</v>
      </c>
      <c r="O1988">
        <v>40</v>
      </c>
      <c r="P1988">
        <v>873</v>
      </c>
      <c r="Q1988">
        <v>913</v>
      </c>
      <c r="R1988" t="s">
        <v>75</v>
      </c>
      <c r="S1988" t="s">
        <v>31</v>
      </c>
      <c r="T1988" t="s">
        <v>40</v>
      </c>
      <c r="U1988">
        <v>31</v>
      </c>
      <c r="V1988">
        <v>4</v>
      </c>
      <c r="W1988">
        <f>Table2[[#This Row],[Quantity]]*Table2[[#This Row],[Item_Price]]</f>
        <v>873</v>
      </c>
    </row>
    <row r="1989" spans="1:23" x14ac:dyDescent="0.25">
      <c r="A1989" t="s">
        <v>2087</v>
      </c>
      <c r="B1989" s="1">
        <v>45802</v>
      </c>
      <c r="C1989" t="s">
        <v>1749</v>
      </c>
      <c r="D1989">
        <v>5</v>
      </c>
      <c r="E1989">
        <v>25</v>
      </c>
      <c r="F1989" t="s">
        <v>149</v>
      </c>
      <c r="G1989" t="s">
        <v>80</v>
      </c>
      <c r="H1989" t="s">
        <v>48</v>
      </c>
      <c r="I1989" t="s">
        <v>36</v>
      </c>
      <c r="J1989" t="s">
        <v>62</v>
      </c>
      <c r="K1989" t="s">
        <v>45</v>
      </c>
      <c r="L1989">
        <v>1</v>
      </c>
      <c r="M1989">
        <v>647</v>
      </c>
      <c r="N1989">
        <v>32.35</v>
      </c>
      <c r="O1989">
        <v>30</v>
      </c>
      <c r="P1989">
        <v>647</v>
      </c>
      <c r="Q1989">
        <v>644.65</v>
      </c>
      <c r="R1989" t="s">
        <v>98</v>
      </c>
      <c r="S1989" t="s">
        <v>31</v>
      </c>
      <c r="T1989" t="s">
        <v>40</v>
      </c>
      <c r="U1989">
        <v>67</v>
      </c>
      <c r="V1989">
        <v>3.4</v>
      </c>
      <c r="W1989">
        <f>Table2[[#This Row],[Quantity]]*Table2[[#This Row],[Item_Price]]</f>
        <v>647</v>
      </c>
    </row>
    <row r="1990" spans="1:23" x14ac:dyDescent="0.25">
      <c r="A1990" t="s">
        <v>2088</v>
      </c>
      <c r="B1990" s="1">
        <v>45802</v>
      </c>
      <c r="C1990" t="s">
        <v>1749</v>
      </c>
      <c r="D1990">
        <v>5</v>
      </c>
      <c r="E1990">
        <v>25</v>
      </c>
      <c r="F1990" t="s">
        <v>149</v>
      </c>
      <c r="G1990" t="s">
        <v>55</v>
      </c>
      <c r="H1990" t="s">
        <v>68</v>
      </c>
      <c r="I1990" t="s">
        <v>85</v>
      </c>
      <c r="J1990" t="s">
        <v>119</v>
      </c>
      <c r="K1990" t="s">
        <v>45</v>
      </c>
      <c r="L1990">
        <v>3</v>
      </c>
      <c r="M1990">
        <v>809</v>
      </c>
      <c r="N1990">
        <v>161.80000000000001</v>
      </c>
      <c r="O1990">
        <v>50</v>
      </c>
      <c r="P1990">
        <v>2427</v>
      </c>
      <c r="Q1990">
        <v>2315.1999999999998</v>
      </c>
      <c r="R1990" t="s">
        <v>39</v>
      </c>
      <c r="S1990" t="s">
        <v>31</v>
      </c>
      <c r="T1990" t="s">
        <v>32</v>
      </c>
      <c r="U1990">
        <v>50</v>
      </c>
      <c r="V1990">
        <v>3.7</v>
      </c>
      <c r="W1990">
        <f>Table2[[#This Row],[Quantity]]*Table2[[#This Row],[Item_Price]]</f>
        <v>2427</v>
      </c>
    </row>
    <row r="1991" spans="1:23" x14ac:dyDescent="0.25">
      <c r="A1991" t="s">
        <v>2089</v>
      </c>
      <c r="B1991" s="1">
        <v>45802</v>
      </c>
      <c r="C1991" t="s">
        <v>1749</v>
      </c>
      <c r="D1991">
        <v>5</v>
      </c>
      <c r="E1991">
        <v>25</v>
      </c>
      <c r="F1991" t="s">
        <v>149</v>
      </c>
      <c r="G1991" t="s">
        <v>34</v>
      </c>
      <c r="H1991" t="s">
        <v>52</v>
      </c>
      <c r="I1991" t="s">
        <v>103</v>
      </c>
      <c r="J1991" t="s">
        <v>119</v>
      </c>
      <c r="K1991" t="s">
        <v>38</v>
      </c>
      <c r="L1991">
        <v>1</v>
      </c>
      <c r="M1991">
        <v>761</v>
      </c>
      <c r="N1991">
        <v>38.049999999999997</v>
      </c>
      <c r="O1991">
        <v>50</v>
      </c>
      <c r="P1991">
        <v>761</v>
      </c>
      <c r="Q1991">
        <v>772.95</v>
      </c>
      <c r="R1991" t="s">
        <v>30</v>
      </c>
      <c r="S1991" t="s">
        <v>31</v>
      </c>
      <c r="T1991" t="s">
        <v>40</v>
      </c>
      <c r="U1991">
        <v>61</v>
      </c>
      <c r="V1991">
        <v>3.4</v>
      </c>
      <c r="W1991">
        <f>Table2[[#This Row],[Quantity]]*Table2[[#This Row],[Item_Price]]</f>
        <v>761</v>
      </c>
    </row>
    <row r="1992" spans="1:23" x14ac:dyDescent="0.25">
      <c r="A1992" t="s">
        <v>2090</v>
      </c>
      <c r="B1992" s="1">
        <v>45803</v>
      </c>
      <c r="C1992" t="s">
        <v>1749</v>
      </c>
      <c r="D1992">
        <v>5</v>
      </c>
      <c r="E1992">
        <v>26</v>
      </c>
      <c r="F1992" t="s">
        <v>168</v>
      </c>
      <c r="G1992" t="s">
        <v>34</v>
      </c>
      <c r="H1992" t="s">
        <v>35</v>
      </c>
      <c r="I1992" t="s">
        <v>69</v>
      </c>
      <c r="J1992" t="s">
        <v>78</v>
      </c>
      <c r="K1992" t="s">
        <v>38</v>
      </c>
      <c r="L1992">
        <v>1</v>
      </c>
      <c r="M1992">
        <v>827</v>
      </c>
      <c r="N1992">
        <v>124.05</v>
      </c>
      <c r="O1992">
        <v>40</v>
      </c>
      <c r="P1992">
        <v>827</v>
      </c>
      <c r="Q1992">
        <v>742.95</v>
      </c>
      <c r="R1992" t="s">
        <v>39</v>
      </c>
      <c r="S1992" t="s">
        <v>31</v>
      </c>
      <c r="T1992" t="s">
        <v>32</v>
      </c>
      <c r="U1992">
        <v>27</v>
      </c>
      <c r="V1992">
        <v>4.9000000000000004</v>
      </c>
      <c r="W1992">
        <f>Table2[[#This Row],[Quantity]]*Table2[[#This Row],[Item_Price]]</f>
        <v>827</v>
      </c>
    </row>
    <row r="1993" spans="1:23" x14ac:dyDescent="0.25">
      <c r="A1993" t="s">
        <v>2091</v>
      </c>
      <c r="B1993" s="1">
        <v>45803</v>
      </c>
      <c r="C1993" t="s">
        <v>1749</v>
      </c>
      <c r="D1993">
        <v>5</v>
      </c>
      <c r="E1993">
        <v>26</v>
      </c>
      <c r="F1993" t="s">
        <v>168</v>
      </c>
      <c r="G1993" t="s">
        <v>80</v>
      </c>
      <c r="H1993" t="s">
        <v>42</v>
      </c>
      <c r="I1993" t="s">
        <v>43</v>
      </c>
      <c r="J1993" t="s">
        <v>78</v>
      </c>
      <c r="K1993" t="s">
        <v>38</v>
      </c>
      <c r="L1993">
        <v>1</v>
      </c>
      <c r="M1993">
        <v>895</v>
      </c>
      <c r="N1993">
        <v>223.75</v>
      </c>
      <c r="O1993">
        <v>70</v>
      </c>
      <c r="P1993">
        <v>895</v>
      </c>
      <c r="Q1993">
        <v>741.25</v>
      </c>
      <c r="R1993" t="s">
        <v>98</v>
      </c>
      <c r="S1993" t="s">
        <v>31</v>
      </c>
      <c r="T1993" t="s">
        <v>40</v>
      </c>
      <c r="U1993">
        <v>32</v>
      </c>
      <c r="V1993">
        <v>2.8</v>
      </c>
      <c r="W1993">
        <f>Table2[[#This Row],[Quantity]]*Table2[[#This Row],[Item_Price]]</f>
        <v>895</v>
      </c>
    </row>
    <row r="1994" spans="1:23" x14ac:dyDescent="0.25">
      <c r="A1994" t="s">
        <v>2092</v>
      </c>
      <c r="B1994" s="1">
        <v>45803</v>
      </c>
      <c r="C1994" t="s">
        <v>1749</v>
      </c>
      <c r="D1994">
        <v>5</v>
      </c>
      <c r="E1994">
        <v>26</v>
      </c>
      <c r="F1994" t="s">
        <v>168</v>
      </c>
      <c r="G1994" t="s">
        <v>64</v>
      </c>
      <c r="H1994" t="s">
        <v>48</v>
      </c>
      <c r="I1994" t="s">
        <v>43</v>
      </c>
      <c r="J1994" t="s">
        <v>94</v>
      </c>
      <c r="K1994" t="s">
        <v>38</v>
      </c>
      <c r="L1994">
        <v>3</v>
      </c>
      <c r="M1994">
        <v>159</v>
      </c>
      <c r="N1994">
        <v>15.9</v>
      </c>
      <c r="O1994">
        <v>40</v>
      </c>
      <c r="P1994">
        <v>477</v>
      </c>
      <c r="Q1994">
        <v>501.1</v>
      </c>
      <c r="R1994" t="s">
        <v>98</v>
      </c>
      <c r="S1994" t="s">
        <v>31</v>
      </c>
      <c r="T1994" t="s">
        <v>32</v>
      </c>
      <c r="U1994">
        <v>64</v>
      </c>
      <c r="V1994">
        <v>4.4000000000000004</v>
      </c>
      <c r="W1994">
        <f>Table2[[#This Row],[Quantity]]*Table2[[#This Row],[Item_Price]]</f>
        <v>477</v>
      </c>
    </row>
    <row r="1995" spans="1:23" x14ac:dyDescent="0.25">
      <c r="A1995" t="s">
        <v>2093</v>
      </c>
      <c r="B1995" s="1">
        <v>45803</v>
      </c>
      <c r="C1995" t="s">
        <v>1749</v>
      </c>
      <c r="D1995">
        <v>5</v>
      </c>
      <c r="E1995">
        <v>26</v>
      </c>
      <c r="F1995" t="s">
        <v>168</v>
      </c>
      <c r="G1995" t="s">
        <v>64</v>
      </c>
      <c r="H1995" t="s">
        <v>48</v>
      </c>
      <c r="I1995" t="s">
        <v>97</v>
      </c>
      <c r="J1995" t="s">
        <v>94</v>
      </c>
      <c r="K1995" t="s">
        <v>29</v>
      </c>
      <c r="L1995">
        <v>1</v>
      </c>
      <c r="M1995">
        <v>158</v>
      </c>
      <c r="N1995">
        <v>23.7</v>
      </c>
      <c r="O1995">
        <v>70</v>
      </c>
      <c r="P1995">
        <v>158</v>
      </c>
      <c r="Q1995">
        <v>204.3</v>
      </c>
      <c r="R1995" t="s">
        <v>39</v>
      </c>
      <c r="S1995" t="s">
        <v>31</v>
      </c>
      <c r="T1995" t="s">
        <v>32</v>
      </c>
      <c r="U1995">
        <v>66</v>
      </c>
      <c r="V1995">
        <v>3.4</v>
      </c>
      <c r="W1995">
        <f>Table2[[#This Row],[Quantity]]*Table2[[#This Row],[Item_Price]]</f>
        <v>158</v>
      </c>
    </row>
    <row r="1996" spans="1:23" x14ac:dyDescent="0.25">
      <c r="A1996" t="s">
        <v>2094</v>
      </c>
      <c r="B1996" s="1">
        <v>45803</v>
      </c>
      <c r="C1996" t="s">
        <v>1749</v>
      </c>
      <c r="D1996">
        <v>5</v>
      </c>
      <c r="E1996">
        <v>26</v>
      </c>
      <c r="F1996" t="s">
        <v>168</v>
      </c>
      <c r="G1996" t="s">
        <v>55</v>
      </c>
      <c r="H1996" t="s">
        <v>60</v>
      </c>
      <c r="I1996" t="s">
        <v>36</v>
      </c>
      <c r="J1996" t="s">
        <v>62</v>
      </c>
      <c r="K1996" t="s">
        <v>38</v>
      </c>
      <c r="L1996">
        <v>1</v>
      </c>
      <c r="M1996">
        <v>143</v>
      </c>
      <c r="N1996">
        <v>0</v>
      </c>
      <c r="O1996">
        <v>40</v>
      </c>
      <c r="P1996">
        <v>143</v>
      </c>
      <c r="Q1996">
        <v>183</v>
      </c>
      <c r="R1996" t="s">
        <v>39</v>
      </c>
      <c r="S1996" t="s">
        <v>31</v>
      </c>
      <c r="T1996" t="s">
        <v>40</v>
      </c>
      <c r="U1996">
        <v>27</v>
      </c>
      <c r="V1996">
        <v>3.8</v>
      </c>
      <c r="W1996">
        <f>Table2[[#This Row],[Quantity]]*Table2[[#This Row],[Item_Price]]</f>
        <v>143</v>
      </c>
    </row>
    <row r="1997" spans="1:23" x14ac:dyDescent="0.25">
      <c r="A1997" t="s">
        <v>2095</v>
      </c>
      <c r="B1997" s="1">
        <v>45803</v>
      </c>
      <c r="C1997" t="s">
        <v>1749</v>
      </c>
      <c r="D1997">
        <v>5</v>
      </c>
      <c r="E1997">
        <v>26</v>
      </c>
      <c r="F1997" t="s">
        <v>168</v>
      </c>
      <c r="G1997" t="s">
        <v>25</v>
      </c>
      <c r="H1997" t="s">
        <v>26</v>
      </c>
      <c r="I1997" t="s">
        <v>49</v>
      </c>
      <c r="J1997" t="s">
        <v>50</v>
      </c>
      <c r="K1997" t="s">
        <v>38</v>
      </c>
      <c r="L1997">
        <v>3</v>
      </c>
      <c r="M1997">
        <v>664</v>
      </c>
      <c r="N1997">
        <v>132.80000000000001</v>
      </c>
      <c r="O1997">
        <v>50</v>
      </c>
      <c r="P1997">
        <v>1992</v>
      </c>
      <c r="Q1997">
        <v>1909.2</v>
      </c>
      <c r="R1997" t="s">
        <v>39</v>
      </c>
      <c r="S1997" t="s">
        <v>31</v>
      </c>
      <c r="T1997" t="s">
        <v>40</v>
      </c>
      <c r="U1997">
        <v>62</v>
      </c>
      <c r="V1997">
        <v>4.5999999999999996</v>
      </c>
      <c r="W1997">
        <f>Table2[[#This Row],[Quantity]]*Table2[[#This Row],[Item_Price]]</f>
        <v>1992</v>
      </c>
    </row>
    <row r="1998" spans="1:23" x14ac:dyDescent="0.25">
      <c r="A1998" t="s">
        <v>2096</v>
      </c>
      <c r="B1998" s="1">
        <v>45803</v>
      </c>
      <c r="C1998" t="s">
        <v>1749</v>
      </c>
      <c r="D1998">
        <v>5</v>
      </c>
      <c r="E1998">
        <v>26</v>
      </c>
      <c r="F1998" t="s">
        <v>168</v>
      </c>
      <c r="G1998" t="s">
        <v>80</v>
      </c>
      <c r="H1998" t="s">
        <v>48</v>
      </c>
      <c r="I1998" t="s">
        <v>103</v>
      </c>
      <c r="J1998" t="s">
        <v>66</v>
      </c>
      <c r="K1998" t="s">
        <v>38</v>
      </c>
      <c r="L1998">
        <v>3</v>
      </c>
      <c r="M1998">
        <v>762</v>
      </c>
      <c r="N1998">
        <v>190.5</v>
      </c>
      <c r="O1998">
        <v>60</v>
      </c>
      <c r="P1998">
        <v>2286</v>
      </c>
      <c r="Q1998">
        <v>2155.5</v>
      </c>
      <c r="R1998" t="s">
        <v>75</v>
      </c>
      <c r="S1998" t="s">
        <v>31</v>
      </c>
      <c r="T1998" t="s">
        <v>40</v>
      </c>
      <c r="U1998">
        <v>34</v>
      </c>
      <c r="V1998">
        <v>5</v>
      </c>
      <c r="W1998">
        <f>Table2[[#This Row],[Quantity]]*Table2[[#This Row],[Item_Price]]</f>
        <v>2286</v>
      </c>
    </row>
    <row r="1999" spans="1:23" x14ac:dyDescent="0.25">
      <c r="A1999" t="s">
        <v>2097</v>
      </c>
      <c r="B1999" s="1">
        <v>45803</v>
      </c>
      <c r="C1999" t="s">
        <v>1749</v>
      </c>
      <c r="D1999">
        <v>5</v>
      </c>
      <c r="E1999">
        <v>26</v>
      </c>
      <c r="F1999" t="s">
        <v>168</v>
      </c>
      <c r="G1999" t="s">
        <v>73</v>
      </c>
      <c r="H1999" t="s">
        <v>81</v>
      </c>
      <c r="I1999" t="s">
        <v>27</v>
      </c>
      <c r="J1999" t="s">
        <v>28</v>
      </c>
      <c r="K1999" t="s">
        <v>38</v>
      </c>
      <c r="L1999">
        <v>1</v>
      </c>
      <c r="M1999">
        <v>352</v>
      </c>
      <c r="N1999">
        <v>17.600000000000001</v>
      </c>
      <c r="O1999">
        <v>30</v>
      </c>
      <c r="P1999">
        <v>352</v>
      </c>
      <c r="Q1999">
        <v>364.4</v>
      </c>
      <c r="R1999" t="s">
        <v>39</v>
      </c>
      <c r="S1999" t="s">
        <v>31</v>
      </c>
      <c r="T1999" t="s">
        <v>40</v>
      </c>
      <c r="U1999">
        <v>18</v>
      </c>
      <c r="V1999">
        <v>4.2</v>
      </c>
      <c r="W1999">
        <f>Table2[[#This Row],[Quantity]]*Table2[[#This Row],[Item_Price]]</f>
        <v>352</v>
      </c>
    </row>
    <row r="2000" spans="1:23" x14ac:dyDescent="0.25">
      <c r="A2000" t="s">
        <v>2098</v>
      </c>
      <c r="B2000" s="1">
        <v>45803</v>
      </c>
      <c r="C2000" t="s">
        <v>1749</v>
      </c>
      <c r="D2000">
        <v>5</v>
      </c>
      <c r="E2000">
        <v>26</v>
      </c>
      <c r="F2000" t="s">
        <v>168</v>
      </c>
      <c r="G2000" t="s">
        <v>34</v>
      </c>
      <c r="H2000" t="s">
        <v>60</v>
      </c>
      <c r="I2000" t="s">
        <v>85</v>
      </c>
      <c r="J2000" t="s">
        <v>62</v>
      </c>
      <c r="K2000" t="s">
        <v>58</v>
      </c>
      <c r="L2000">
        <v>2</v>
      </c>
      <c r="M2000">
        <v>314</v>
      </c>
      <c r="N2000">
        <v>15.7</v>
      </c>
      <c r="O2000">
        <v>60</v>
      </c>
      <c r="P2000">
        <v>628</v>
      </c>
      <c r="Q2000">
        <v>672.3</v>
      </c>
      <c r="R2000" t="s">
        <v>39</v>
      </c>
      <c r="S2000" t="s">
        <v>110</v>
      </c>
      <c r="T2000" t="s">
        <v>40</v>
      </c>
      <c r="U2000">
        <v>18</v>
      </c>
      <c r="W2000">
        <f>Table2[[#This Row],[Quantity]]*Table2[[#This Row],[Item_Price]]</f>
        <v>628</v>
      </c>
    </row>
    <row r="2001" spans="1:23" x14ac:dyDescent="0.25">
      <c r="A2001" t="s">
        <v>2099</v>
      </c>
      <c r="B2001" s="1">
        <v>45803</v>
      </c>
      <c r="C2001" t="s">
        <v>1749</v>
      </c>
      <c r="D2001">
        <v>5</v>
      </c>
      <c r="E2001">
        <v>26</v>
      </c>
      <c r="F2001" t="s">
        <v>168</v>
      </c>
      <c r="G2001" t="s">
        <v>73</v>
      </c>
      <c r="H2001" t="s">
        <v>108</v>
      </c>
      <c r="I2001" t="s">
        <v>103</v>
      </c>
      <c r="J2001" t="s">
        <v>53</v>
      </c>
      <c r="K2001" t="s">
        <v>45</v>
      </c>
      <c r="L2001">
        <v>3</v>
      </c>
      <c r="M2001">
        <v>192</v>
      </c>
      <c r="N2001">
        <v>9.6</v>
      </c>
      <c r="O2001">
        <v>30</v>
      </c>
      <c r="P2001">
        <v>576</v>
      </c>
      <c r="Q2001">
        <v>596.4</v>
      </c>
      <c r="R2001" t="s">
        <v>112</v>
      </c>
      <c r="S2001" t="s">
        <v>31</v>
      </c>
      <c r="T2001" t="s">
        <v>32</v>
      </c>
      <c r="U2001">
        <v>58</v>
      </c>
      <c r="V2001">
        <v>4.4000000000000004</v>
      </c>
      <c r="W2001">
        <f>Table2[[#This Row],[Quantity]]*Table2[[#This Row],[Item_Price]]</f>
        <v>576</v>
      </c>
    </row>
    <row r="2002" spans="1:23" x14ac:dyDescent="0.25">
      <c r="A2002" t="s">
        <v>2100</v>
      </c>
      <c r="B2002" s="1">
        <v>45803</v>
      </c>
      <c r="C2002" t="s">
        <v>1749</v>
      </c>
      <c r="D2002">
        <v>5</v>
      </c>
      <c r="E2002">
        <v>26</v>
      </c>
      <c r="F2002" t="s">
        <v>168</v>
      </c>
      <c r="G2002" t="s">
        <v>90</v>
      </c>
      <c r="H2002" t="s">
        <v>108</v>
      </c>
      <c r="I2002" t="s">
        <v>61</v>
      </c>
      <c r="J2002" t="s">
        <v>66</v>
      </c>
      <c r="K2002" t="s">
        <v>58</v>
      </c>
      <c r="L2002">
        <v>1</v>
      </c>
      <c r="M2002">
        <v>507</v>
      </c>
      <c r="N2002">
        <v>101.4</v>
      </c>
      <c r="O2002">
        <v>20</v>
      </c>
      <c r="P2002">
        <v>507</v>
      </c>
      <c r="Q2002">
        <v>425.6</v>
      </c>
      <c r="R2002" t="s">
        <v>75</v>
      </c>
      <c r="S2002" t="s">
        <v>91</v>
      </c>
      <c r="T2002" t="s">
        <v>32</v>
      </c>
      <c r="U2002">
        <v>54</v>
      </c>
      <c r="W2002">
        <f>Table2[[#This Row],[Quantity]]*Table2[[#This Row],[Item_Price]]</f>
        <v>507</v>
      </c>
    </row>
    <row r="2003" spans="1:23" x14ac:dyDescent="0.25">
      <c r="A2003" t="s">
        <v>2101</v>
      </c>
      <c r="B2003" s="1">
        <v>45803</v>
      </c>
      <c r="C2003" t="s">
        <v>1749</v>
      </c>
      <c r="D2003">
        <v>5</v>
      </c>
      <c r="E2003">
        <v>26</v>
      </c>
      <c r="F2003" t="s">
        <v>168</v>
      </c>
      <c r="G2003" t="s">
        <v>80</v>
      </c>
      <c r="H2003" t="s">
        <v>48</v>
      </c>
      <c r="I2003" t="s">
        <v>103</v>
      </c>
      <c r="J2003" t="s">
        <v>82</v>
      </c>
      <c r="K2003" t="s">
        <v>38</v>
      </c>
      <c r="L2003">
        <v>1</v>
      </c>
      <c r="M2003">
        <v>485</v>
      </c>
      <c r="N2003">
        <v>48.5</v>
      </c>
      <c r="O2003">
        <v>60</v>
      </c>
      <c r="P2003">
        <v>485</v>
      </c>
      <c r="Q2003">
        <v>496.5</v>
      </c>
      <c r="R2003" t="s">
        <v>39</v>
      </c>
      <c r="S2003" t="s">
        <v>31</v>
      </c>
      <c r="T2003" t="s">
        <v>40</v>
      </c>
      <c r="U2003">
        <v>68</v>
      </c>
      <c r="V2003">
        <v>3.6</v>
      </c>
      <c r="W2003">
        <f>Table2[[#This Row],[Quantity]]*Table2[[#This Row],[Item_Price]]</f>
        <v>485</v>
      </c>
    </row>
    <row r="2004" spans="1:23" x14ac:dyDescent="0.25">
      <c r="A2004" t="s">
        <v>2102</v>
      </c>
      <c r="B2004" s="1">
        <v>45803</v>
      </c>
      <c r="C2004" t="s">
        <v>1749</v>
      </c>
      <c r="D2004">
        <v>5</v>
      </c>
      <c r="E2004">
        <v>26</v>
      </c>
      <c r="F2004" t="s">
        <v>168</v>
      </c>
      <c r="G2004" t="s">
        <v>73</v>
      </c>
      <c r="H2004" t="s">
        <v>65</v>
      </c>
      <c r="I2004" t="s">
        <v>57</v>
      </c>
      <c r="J2004" t="s">
        <v>78</v>
      </c>
      <c r="K2004" t="s">
        <v>45</v>
      </c>
      <c r="L2004">
        <v>1</v>
      </c>
      <c r="M2004">
        <v>809</v>
      </c>
      <c r="N2004">
        <v>40.450000000000003</v>
      </c>
      <c r="O2004">
        <v>40</v>
      </c>
      <c r="P2004">
        <v>809</v>
      </c>
      <c r="Q2004">
        <v>808.55</v>
      </c>
      <c r="R2004" t="s">
        <v>75</v>
      </c>
      <c r="S2004" t="s">
        <v>31</v>
      </c>
      <c r="T2004" t="s">
        <v>32</v>
      </c>
      <c r="U2004">
        <v>42</v>
      </c>
      <c r="V2004">
        <v>4.0999999999999996</v>
      </c>
      <c r="W2004">
        <f>Table2[[#This Row],[Quantity]]*Table2[[#This Row],[Item_Price]]</f>
        <v>809</v>
      </c>
    </row>
    <row r="2005" spans="1:23" x14ac:dyDescent="0.25">
      <c r="A2005" t="s">
        <v>2103</v>
      </c>
      <c r="B2005" s="1">
        <v>45803</v>
      </c>
      <c r="C2005" t="s">
        <v>1749</v>
      </c>
      <c r="D2005">
        <v>5</v>
      </c>
      <c r="E2005">
        <v>26</v>
      </c>
      <c r="F2005" t="s">
        <v>168</v>
      </c>
      <c r="G2005" t="s">
        <v>80</v>
      </c>
      <c r="H2005" t="s">
        <v>135</v>
      </c>
      <c r="I2005" t="s">
        <v>57</v>
      </c>
      <c r="J2005" t="s">
        <v>82</v>
      </c>
      <c r="K2005" t="s">
        <v>38</v>
      </c>
      <c r="L2005">
        <v>2</v>
      </c>
      <c r="M2005">
        <v>649</v>
      </c>
      <c r="N2005">
        <v>64.900000000000006</v>
      </c>
      <c r="O2005">
        <v>50</v>
      </c>
      <c r="P2005">
        <v>1298</v>
      </c>
      <c r="Q2005">
        <v>1283.0999999999999</v>
      </c>
      <c r="R2005" t="s">
        <v>39</v>
      </c>
      <c r="S2005" t="s">
        <v>31</v>
      </c>
      <c r="T2005" t="s">
        <v>40</v>
      </c>
      <c r="U2005">
        <v>19</v>
      </c>
      <c r="V2005">
        <v>3.9</v>
      </c>
      <c r="W2005">
        <f>Table2[[#This Row],[Quantity]]*Table2[[#This Row],[Item_Price]]</f>
        <v>1298</v>
      </c>
    </row>
    <row r="2006" spans="1:23" x14ac:dyDescent="0.25">
      <c r="A2006" t="s">
        <v>2104</v>
      </c>
      <c r="B2006" s="1">
        <v>45803</v>
      </c>
      <c r="C2006" t="s">
        <v>1749</v>
      </c>
      <c r="D2006">
        <v>5</v>
      </c>
      <c r="E2006">
        <v>26</v>
      </c>
      <c r="F2006" t="s">
        <v>168</v>
      </c>
      <c r="G2006" t="s">
        <v>34</v>
      </c>
      <c r="H2006" t="s">
        <v>77</v>
      </c>
      <c r="I2006" t="s">
        <v>85</v>
      </c>
      <c r="J2006" t="s">
        <v>28</v>
      </c>
      <c r="K2006" t="s">
        <v>38</v>
      </c>
      <c r="L2006">
        <v>1</v>
      </c>
      <c r="M2006">
        <v>632</v>
      </c>
      <c r="N2006">
        <v>63.2</v>
      </c>
      <c r="O2006">
        <v>60</v>
      </c>
      <c r="P2006">
        <v>632</v>
      </c>
      <c r="Q2006">
        <v>628.79999999999995</v>
      </c>
      <c r="R2006" t="s">
        <v>39</v>
      </c>
      <c r="S2006" t="s">
        <v>31</v>
      </c>
      <c r="T2006" t="s">
        <v>32</v>
      </c>
      <c r="U2006">
        <v>45</v>
      </c>
      <c r="V2006">
        <v>4.5999999999999996</v>
      </c>
      <c r="W2006">
        <f>Table2[[#This Row],[Quantity]]*Table2[[#This Row],[Item_Price]]</f>
        <v>632</v>
      </c>
    </row>
    <row r="2007" spans="1:23" x14ac:dyDescent="0.25">
      <c r="A2007" t="s">
        <v>2105</v>
      </c>
      <c r="B2007" s="1">
        <v>45804</v>
      </c>
      <c r="C2007" t="s">
        <v>1749</v>
      </c>
      <c r="D2007">
        <v>5</v>
      </c>
      <c r="E2007">
        <v>27</v>
      </c>
      <c r="F2007" t="s">
        <v>178</v>
      </c>
      <c r="G2007" t="s">
        <v>34</v>
      </c>
      <c r="H2007" t="s">
        <v>139</v>
      </c>
      <c r="I2007" t="s">
        <v>103</v>
      </c>
      <c r="J2007" t="s">
        <v>119</v>
      </c>
      <c r="K2007" t="s">
        <v>45</v>
      </c>
      <c r="L2007">
        <v>2</v>
      </c>
      <c r="M2007">
        <v>367</v>
      </c>
      <c r="N2007">
        <v>18.350000000000001</v>
      </c>
      <c r="O2007">
        <v>50</v>
      </c>
      <c r="P2007">
        <v>734</v>
      </c>
      <c r="Q2007">
        <v>765.65</v>
      </c>
      <c r="R2007" t="s">
        <v>75</v>
      </c>
      <c r="S2007" t="s">
        <v>31</v>
      </c>
      <c r="T2007" t="s">
        <v>32</v>
      </c>
      <c r="U2007">
        <v>35</v>
      </c>
      <c r="V2007">
        <v>5</v>
      </c>
      <c r="W2007">
        <f>Table2[[#This Row],[Quantity]]*Table2[[#This Row],[Item_Price]]</f>
        <v>734</v>
      </c>
    </row>
    <row r="2008" spans="1:23" x14ac:dyDescent="0.25">
      <c r="A2008" t="s">
        <v>2106</v>
      </c>
      <c r="B2008" s="1">
        <v>45804</v>
      </c>
      <c r="C2008" t="s">
        <v>1749</v>
      </c>
      <c r="D2008">
        <v>5</v>
      </c>
      <c r="E2008">
        <v>27</v>
      </c>
      <c r="F2008" t="s">
        <v>178</v>
      </c>
      <c r="G2008" t="s">
        <v>55</v>
      </c>
      <c r="H2008" t="s">
        <v>135</v>
      </c>
      <c r="I2008" t="s">
        <v>57</v>
      </c>
      <c r="J2008" t="s">
        <v>101</v>
      </c>
      <c r="K2008" t="s">
        <v>45</v>
      </c>
      <c r="L2008">
        <v>2</v>
      </c>
      <c r="M2008">
        <v>818</v>
      </c>
      <c r="N2008">
        <v>81.8</v>
      </c>
      <c r="O2008">
        <v>0</v>
      </c>
      <c r="P2008">
        <v>1636</v>
      </c>
      <c r="Q2008">
        <v>1554.2</v>
      </c>
      <c r="R2008" t="s">
        <v>30</v>
      </c>
      <c r="S2008" t="s">
        <v>31</v>
      </c>
      <c r="T2008" t="s">
        <v>32</v>
      </c>
      <c r="U2008">
        <v>49</v>
      </c>
      <c r="V2008">
        <v>3.3</v>
      </c>
      <c r="W2008">
        <f>Table2[[#This Row],[Quantity]]*Table2[[#This Row],[Item_Price]]</f>
        <v>1636</v>
      </c>
    </row>
    <row r="2009" spans="1:23" x14ac:dyDescent="0.25">
      <c r="A2009" t="s">
        <v>2107</v>
      </c>
      <c r="B2009" s="1">
        <v>45804</v>
      </c>
      <c r="C2009" t="s">
        <v>1749</v>
      </c>
      <c r="D2009">
        <v>5</v>
      </c>
      <c r="E2009">
        <v>27</v>
      </c>
      <c r="F2009" t="s">
        <v>178</v>
      </c>
      <c r="G2009" t="s">
        <v>80</v>
      </c>
      <c r="H2009" t="s">
        <v>81</v>
      </c>
      <c r="I2009" t="s">
        <v>69</v>
      </c>
      <c r="J2009" t="s">
        <v>66</v>
      </c>
      <c r="K2009" t="s">
        <v>38</v>
      </c>
      <c r="L2009">
        <v>2</v>
      </c>
      <c r="M2009">
        <v>244</v>
      </c>
      <c r="N2009">
        <v>24.4</v>
      </c>
      <c r="O2009">
        <v>20</v>
      </c>
      <c r="P2009">
        <v>488</v>
      </c>
      <c r="Q2009">
        <v>483.6</v>
      </c>
      <c r="R2009" t="s">
        <v>30</v>
      </c>
      <c r="S2009" t="s">
        <v>31</v>
      </c>
      <c r="T2009" t="s">
        <v>40</v>
      </c>
      <c r="U2009">
        <v>45</v>
      </c>
      <c r="V2009">
        <v>3.9</v>
      </c>
      <c r="W2009">
        <f>Table2[[#This Row],[Quantity]]*Table2[[#This Row],[Item_Price]]</f>
        <v>488</v>
      </c>
    </row>
    <row r="2010" spans="1:23" x14ac:dyDescent="0.25">
      <c r="A2010" t="s">
        <v>2108</v>
      </c>
      <c r="B2010" s="1">
        <v>45804</v>
      </c>
      <c r="C2010" t="s">
        <v>1749</v>
      </c>
      <c r="D2010">
        <v>5</v>
      </c>
      <c r="E2010">
        <v>27</v>
      </c>
      <c r="F2010" t="s">
        <v>178</v>
      </c>
      <c r="G2010" t="s">
        <v>73</v>
      </c>
      <c r="H2010" t="s">
        <v>60</v>
      </c>
      <c r="I2010" t="s">
        <v>36</v>
      </c>
      <c r="J2010" t="s">
        <v>66</v>
      </c>
      <c r="K2010" t="s">
        <v>38</v>
      </c>
      <c r="L2010">
        <v>2</v>
      </c>
      <c r="M2010">
        <v>595</v>
      </c>
      <c r="N2010">
        <v>89.25</v>
      </c>
      <c r="O2010">
        <v>30</v>
      </c>
      <c r="P2010">
        <v>1190</v>
      </c>
      <c r="Q2010">
        <v>1130.75</v>
      </c>
      <c r="R2010" t="s">
        <v>112</v>
      </c>
      <c r="S2010" t="s">
        <v>31</v>
      </c>
      <c r="T2010" t="s">
        <v>32</v>
      </c>
      <c r="U2010">
        <v>34</v>
      </c>
      <c r="V2010">
        <v>3.4</v>
      </c>
      <c r="W2010">
        <f>Table2[[#This Row],[Quantity]]*Table2[[#This Row],[Item_Price]]</f>
        <v>1190</v>
      </c>
    </row>
    <row r="2011" spans="1:23" x14ac:dyDescent="0.25">
      <c r="A2011" t="s">
        <v>2109</v>
      </c>
      <c r="B2011" s="1">
        <v>45804</v>
      </c>
      <c r="C2011" t="s">
        <v>1749</v>
      </c>
      <c r="D2011">
        <v>5</v>
      </c>
      <c r="E2011">
        <v>27</v>
      </c>
      <c r="F2011" t="s">
        <v>178</v>
      </c>
      <c r="G2011" t="s">
        <v>80</v>
      </c>
      <c r="H2011" t="s">
        <v>68</v>
      </c>
      <c r="I2011" t="s">
        <v>61</v>
      </c>
      <c r="J2011" t="s">
        <v>172</v>
      </c>
      <c r="K2011" t="s">
        <v>38</v>
      </c>
      <c r="L2011">
        <v>2</v>
      </c>
      <c r="M2011">
        <v>405</v>
      </c>
      <c r="N2011">
        <v>60.75</v>
      </c>
      <c r="O2011">
        <v>20</v>
      </c>
      <c r="P2011">
        <v>810</v>
      </c>
      <c r="Q2011">
        <v>769.25</v>
      </c>
      <c r="R2011" t="s">
        <v>112</v>
      </c>
      <c r="S2011" t="s">
        <v>31</v>
      </c>
      <c r="T2011" t="s">
        <v>40</v>
      </c>
      <c r="U2011">
        <v>22</v>
      </c>
      <c r="V2011">
        <v>4.2</v>
      </c>
      <c r="W2011">
        <f>Table2[[#This Row],[Quantity]]*Table2[[#This Row],[Item_Price]]</f>
        <v>810</v>
      </c>
    </row>
    <row r="2012" spans="1:23" x14ac:dyDescent="0.25">
      <c r="A2012" t="s">
        <v>2110</v>
      </c>
      <c r="B2012" s="1">
        <v>45804</v>
      </c>
      <c r="C2012" t="s">
        <v>1749</v>
      </c>
      <c r="D2012">
        <v>5</v>
      </c>
      <c r="E2012">
        <v>27</v>
      </c>
      <c r="F2012" t="s">
        <v>178</v>
      </c>
      <c r="G2012" t="s">
        <v>73</v>
      </c>
      <c r="H2012" t="s">
        <v>139</v>
      </c>
      <c r="I2012" t="s">
        <v>69</v>
      </c>
      <c r="J2012" t="s">
        <v>66</v>
      </c>
      <c r="K2012" t="s">
        <v>38</v>
      </c>
      <c r="L2012">
        <v>3</v>
      </c>
      <c r="M2012">
        <v>475</v>
      </c>
      <c r="N2012">
        <v>95</v>
      </c>
      <c r="O2012">
        <v>0</v>
      </c>
      <c r="P2012">
        <v>1425</v>
      </c>
      <c r="Q2012">
        <v>1330</v>
      </c>
      <c r="R2012" t="s">
        <v>39</v>
      </c>
      <c r="S2012" t="s">
        <v>31</v>
      </c>
      <c r="T2012" t="s">
        <v>32</v>
      </c>
      <c r="U2012">
        <v>53</v>
      </c>
      <c r="V2012">
        <v>4.5</v>
      </c>
      <c r="W2012">
        <f>Table2[[#This Row],[Quantity]]*Table2[[#This Row],[Item_Price]]</f>
        <v>1425</v>
      </c>
    </row>
    <row r="2013" spans="1:23" x14ac:dyDescent="0.25">
      <c r="A2013" t="s">
        <v>2111</v>
      </c>
      <c r="B2013" s="1">
        <v>45804</v>
      </c>
      <c r="C2013" t="s">
        <v>1749</v>
      </c>
      <c r="D2013">
        <v>5</v>
      </c>
      <c r="E2013">
        <v>27</v>
      </c>
      <c r="F2013" t="s">
        <v>178</v>
      </c>
      <c r="G2013" t="s">
        <v>25</v>
      </c>
      <c r="H2013" t="s">
        <v>52</v>
      </c>
      <c r="I2013" t="s">
        <v>43</v>
      </c>
      <c r="J2013" t="s">
        <v>78</v>
      </c>
      <c r="K2013" t="s">
        <v>38</v>
      </c>
      <c r="L2013">
        <v>1</v>
      </c>
      <c r="M2013">
        <v>266</v>
      </c>
      <c r="N2013">
        <v>66.5</v>
      </c>
      <c r="O2013">
        <v>50</v>
      </c>
      <c r="P2013">
        <v>266</v>
      </c>
      <c r="Q2013">
        <v>249.5</v>
      </c>
      <c r="R2013" t="s">
        <v>39</v>
      </c>
      <c r="S2013" t="s">
        <v>31</v>
      </c>
      <c r="T2013" t="s">
        <v>40</v>
      </c>
      <c r="U2013">
        <v>27</v>
      </c>
      <c r="V2013">
        <v>3.6</v>
      </c>
      <c r="W2013">
        <f>Table2[[#This Row],[Quantity]]*Table2[[#This Row],[Item_Price]]</f>
        <v>266</v>
      </c>
    </row>
    <row r="2014" spans="1:23" x14ac:dyDescent="0.25">
      <c r="A2014" t="s">
        <v>2112</v>
      </c>
      <c r="B2014" s="1">
        <v>45804</v>
      </c>
      <c r="C2014" t="s">
        <v>1749</v>
      </c>
      <c r="D2014">
        <v>5</v>
      </c>
      <c r="E2014">
        <v>27</v>
      </c>
      <c r="F2014" t="s">
        <v>178</v>
      </c>
      <c r="G2014" t="s">
        <v>96</v>
      </c>
      <c r="H2014" t="s">
        <v>77</v>
      </c>
      <c r="I2014" t="s">
        <v>103</v>
      </c>
      <c r="J2014" t="s">
        <v>172</v>
      </c>
      <c r="K2014" t="s">
        <v>38</v>
      </c>
      <c r="L2014">
        <v>2</v>
      </c>
      <c r="M2014">
        <v>777</v>
      </c>
      <c r="N2014">
        <v>38.85</v>
      </c>
      <c r="O2014">
        <v>0</v>
      </c>
      <c r="P2014">
        <v>1554</v>
      </c>
      <c r="Q2014">
        <v>1515.15</v>
      </c>
      <c r="R2014" t="s">
        <v>75</v>
      </c>
      <c r="S2014" t="s">
        <v>46</v>
      </c>
      <c r="T2014" t="s">
        <v>40</v>
      </c>
      <c r="U2014">
        <v>60</v>
      </c>
      <c r="W2014">
        <f>Table2[[#This Row],[Quantity]]*Table2[[#This Row],[Item_Price]]</f>
        <v>1554</v>
      </c>
    </row>
    <row r="2015" spans="1:23" x14ac:dyDescent="0.25">
      <c r="A2015" t="s">
        <v>2113</v>
      </c>
      <c r="B2015" s="1">
        <v>45804</v>
      </c>
      <c r="C2015" t="s">
        <v>1749</v>
      </c>
      <c r="D2015">
        <v>5</v>
      </c>
      <c r="E2015">
        <v>27</v>
      </c>
      <c r="F2015" t="s">
        <v>178</v>
      </c>
      <c r="G2015" t="s">
        <v>80</v>
      </c>
      <c r="H2015" t="s">
        <v>60</v>
      </c>
      <c r="I2015" t="s">
        <v>97</v>
      </c>
      <c r="J2015" t="s">
        <v>66</v>
      </c>
      <c r="K2015" t="s">
        <v>38</v>
      </c>
      <c r="L2015">
        <v>2</v>
      </c>
      <c r="M2015">
        <v>264</v>
      </c>
      <c r="N2015">
        <v>39.6</v>
      </c>
      <c r="O2015">
        <v>0</v>
      </c>
      <c r="P2015">
        <v>528</v>
      </c>
      <c r="Q2015">
        <v>488.4</v>
      </c>
      <c r="R2015" t="s">
        <v>75</v>
      </c>
      <c r="S2015" t="s">
        <v>31</v>
      </c>
      <c r="T2015" t="s">
        <v>40</v>
      </c>
      <c r="U2015">
        <v>67</v>
      </c>
      <c r="V2015">
        <v>3.5</v>
      </c>
      <c r="W2015">
        <f>Table2[[#This Row],[Quantity]]*Table2[[#This Row],[Item_Price]]</f>
        <v>528</v>
      </c>
    </row>
    <row r="2016" spans="1:23" x14ac:dyDescent="0.25">
      <c r="A2016" t="s">
        <v>2114</v>
      </c>
      <c r="B2016" s="1">
        <v>45804</v>
      </c>
      <c r="C2016" t="s">
        <v>1749</v>
      </c>
      <c r="D2016">
        <v>5</v>
      </c>
      <c r="E2016">
        <v>27</v>
      </c>
      <c r="F2016" t="s">
        <v>178</v>
      </c>
      <c r="G2016" t="s">
        <v>80</v>
      </c>
      <c r="H2016" t="s">
        <v>56</v>
      </c>
      <c r="I2016" t="s">
        <v>97</v>
      </c>
      <c r="J2016" t="s">
        <v>172</v>
      </c>
      <c r="K2016" t="s">
        <v>38</v>
      </c>
      <c r="L2016">
        <v>1</v>
      </c>
      <c r="M2016">
        <v>290</v>
      </c>
      <c r="N2016">
        <v>58</v>
      </c>
      <c r="O2016">
        <v>20</v>
      </c>
      <c r="P2016">
        <v>290</v>
      </c>
      <c r="Q2016">
        <v>252</v>
      </c>
      <c r="R2016" t="s">
        <v>30</v>
      </c>
      <c r="S2016" t="s">
        <v>31</v>
      </c>
      <c r="T2016" t="s">
        <v>40</v>
      </c>
      <c r="U2016">
        <v>38</v>
      </c>
      <c r="V2016">
        <v>4.5</v>
      </c>
      <c r="W2016">
        <f>Table2[[#This Row],[Quantity]]*Table2[[#This Row],[Item_Price]]</f>
        <v>290</v>
      </c>
    </row>
    <row r="2017" spans="1:23" x14ac:dyDescent="0.25">
      <c r="A2017" t="s">
        <v>2115</v>
      </c>
      <c r="B2017" s="1">
        <v>45804</v>
      </c>
      <c r="C2017" t="s">
        <v>1749</v>
      </c>
      <c r="D2017">
        <v>5</v>
      </c>
      <c r="E2017">
        <v>27</v>
      </c>
      <c r="F2017" t="s">
        <v>178</v>
      </c>
      <c r="G2017" t="s">
        <v>34</v>
      </c>
      <c r="H2017" t="s">
        <v>26</v>
      </c>
      <c r="I2017" t="s">
        <v>57</v>
      </c>
      <c r="J2017" t="s">
        <v>66</v>
      </c>
      <c r="K2017" t="s">
        <v>38</v>
      </c>
      <c r="L2017">
        <v>2</v>
      </c>
      <c r="M2017">
        <v>138</v>
      </c>
      <c r="N2017">
        <v>13.8</v>
      </c>
      <c r="O2017">
        <v>40</v>
      </c>
      <c r="P2017">
        <v>276</v>
      </c>
      <c r="Q2017">
        <v>302.2</v>
      </c>
      <c r="R2017" t="s">
        <v>39</v>
      </c>
      <c r="S2017" t="s">
        <v>31</v>
      </c>
      <c r="T2017" t="s">
        <v>40</v>
      </c>
      <c r="U2017">
        <v>42</v>
      </c>
      <c r="V2017">
        <v>4.4000000000000004</v>
      </c>
      <c r="W2017">
        <f>Table2[[#This Row],[Quantity]]*Table2[[#This Row],[Item_Price]]</f>
        <v>276</v>
      </c>
    </row>
    <row r="2018" spans="1:23" x14ac:dyDescent="0.25">
      <c r="A2018" t="s">
        <v>2116</v>
      </c>
      <c r="B2018" s="1">
        <v>45804</v>
      </c>
      <c r="C2018" t="s">
        <v>1749</v>
      </c>
      <c r="D2018">
        <v>5</v>
      </c>
      <c r="E2018">
        <v>27</v>
      </c>
      <c r="F2018" t="s">
        <v>178</v>
      </c>
      <c r="G2018" t="s">
        <v>55</v>
      </c>
      <c r="H2018" t="s">
        <v>48</v>
      </c>
      <c r="I2018" t="s">
        <v>69</v>
      </c>
      <c r="J2018" t="s">
        <v>78</v>
      </c>
      <c r="K2018" t="s">
        <v>45</v>
      </c>
      <c r="L2018">
        <v>2</v>
      </c>
      <c r="M2018">
        <v>341</v>
      </c>
      <c r="N2018">
        <v>34.1</v>
      </c>
      <c r="O2018">
        <v>30</v>
      </c>
      <c r="P2018">
        <v>682</v>
      </c>
      <c r="Q2018">
        <v>677.9</v>
      </c>
      <c r="R2018" t="s">
        <v>39</v>
      </c>
      <c r="S2018" t="s">
        <v>31</v>
      </c>
      <c r="T2018" t="s">
        <v>40</v>
      </c>
      <c r="U2018">
        <v>21</v>
      </c>
      <c r="V2018">
        <v>4.8</v>
      </c>
      <c r="W2018">
        <f>Table2[[#This Row],[Quantity]]*Table2[[#This Row],[Item_Price]]</f>
        <v>682</v>
      </c>
    </row>
    <row r="2019" spans="1:23" x14ac:dyDescent="0.25">
      <c r="A2019" t="s">
        <v>2117</v>
      </c>
      <c r="B2019" s="1">
        <v>45804</v>
      </c>
      <c r="C2019" t="s">
        <v>1749</v>
      </c>
      <c r="D2019">
        <v>5</v>
      </c>
      <c r="E2019">
        <v>27</v>
      </c>
      <c r="F2019" t="s">
        <v>178</v>
      </c>
      <c r="G2019" t="s">
        <v>34</v>
      </c>
      <c r="H2019" t="s">
        <v>60</v>
      </c>
      <c r="I2019" t="s">
        <v>97</v>
      </c>
      <c r="J2019" t="s">
        <v>94</v>
      </c>
      <c r="K2019" t="s">
        <v>38</v>
      </c>
      <c r="L2019">
        <v>1</v>
      </c>
      <c r="M2019">
        <v>864</v>
      </c>
      <c r="N2019">
        <v>129.6</v>
      </c>
      <c r="O2019">
        <v>20</v>
      </c>
      <c r="P2019">
        <v>864</v>
      </c>
      <c r="Q2019">
        <v>754.4</v>
      </c>
      <c r="R2019" t="s">
        <v>98</v>
      </c>
      <c r="S2019" t="s">
        <v>31</v>
      </c>
      <c r="T2019" t="s">
        <v>32</v>
      </c>
      <c r="U2019">
        <v>57</v>
      </c>
      <c r="V2019">
        <v>4.5999999999999996</v>
      </c>
      <c r="W2019">
        <f>Table2[[#This Row],[Quantity]]*Table2[[#This Row],[Item_Price]]</f>
        <v>864</v>
      </c>
    </row>
    <row r="2020" spans="1:23" x14ac:dyDescent="0.25">
      <c r="A2020" t="s">
        <v>2118</v>
      </c>
      <c r="B2020" s="1">
        <v>45804</v>
      </c>
      <c r="C2020" t="s">
        <v>1749</v>
      </c>
      <c r="D2020">
        <v>5</v>
      </c>
      <c r="E2020">
        <v>27</v>
      </c>
      <c r="F2020" t="s">
        <v>178</v>
      </c>
      <c r="G2020" t="s">
        <v>55</v>
      </c>
      <c r="H2020" t="s">
        <v>35</v>
      </c>
      <c r="I2020" t="s">
        <v>61</v>
      </c>
      <c r="J2020" t="s">
        <v>82</v>
      </c>
      <c r="K2020" t="s">
        <v>38</v>
      </c>
      <c r="L2020">
        <v>1</v>
      </c>
      <c r="M2020">
        <v>164</v>
      </c>
      <c r="N2020">
        <v>41</v>
      </c>
      <c r="O2020">
        <v>40</v>
      </c>
      <c r="P2020">
        <v>164</v>
      </c>
      <c r="Q2020">
        <v>163</v>
      </c>
      <c r="R2020" t="s">
        <v>75</v>
      </c>
      <c r="S2020" t="s">
        <v>31</v>
      </c>
      <c r="T2020" t="s">
        <v>32</v>
      </c>
      <c r="U2020">
        <v>27</v>
      </c>
      <c r="V2020">
        <v>3.7</v>
      </c>
      <c r="W2020">
        <f>Table2[[#This Row],[Quantity]]*Table2[[#This Row],[Item_Price]]</f>
        <v>164</v>
      </c>
    </row>
    <row r="2021" spans="1:23" x14ac:dyDescent="0.25">
      <c r="A2021" t="s">
        <v>2119</v>
      </c>
      <c r="B2021" s="1">
        <v>45804</v>
      </c>
      <c r="C2021" t="s">
        <v>1749</v>
      </c>
      <c r="D2021">
        <v>5</v>
      </c>
      <c r="E2021">
        <v>27</v>
      </c>
      <c r="F2021" t="s">
        <v>178</v>
      </c>
      <c r="G2021" t="s">
        <v>64</v>
      </c>
      <c r="H2021" t="s">
        <v>68</v>
      </c>
      <c r="I2021" t="s">
        <v>43</v>
      </c>
      <c r="J2021" t="s">
        <v>62</v>
      </c>
      <c r="K2021" t="s">
        <v>45</v>
      </c>
      <c r="L2021">
        <v>1</v>
      </c>
      <c r="M2021">
        <v>321</v>
      </c>
      <c r="N2021">
        <v>64.2</v>
      </c>
      <c r="O2021">
        <v>70</v>
      </c>
      <c r="P2021">
        <v>321</v>
      </c>
      <c r="Q2021">
        <v>326.8</v>
      </c>
      <c r="R2021" t="s">
        <v>39</v>
      </c>
      <c r="S2021" t="s">
        <v>31</v>
      </c>
      <c r="T2021" t="s">
        <v>32</v>
      </c>
      <c r="U2021">
        <v>35</v>
      </c>
      <c r="V2021">
        <v>4.4000000000000004</v>
      </c>
      <c r="W2021">
        <f>Table2[[#This Row],[Quantity]]*Table2[[#This Row],[Item_Price]]</f>
        <v>321</v>
      </c>
    </row>
    <row r="2022" spans="1:23" x14ac:dyDescent="0.25">
      <c r="A2022" t="s">
        <v>2120</v>
      </c>
      <c r="B2022" s="1">
        <v>45804</v>
      </c>
      <c r="C2022" t="s">
        <v>1749</v>
      </c>
      <c r="D2022">
        <v>5</v>
      </c>
      <c r="E2022">
        <v>27</v>
      </c>
      <c r="F2022" t="s">
        <v>178</v>
      </c>
      <c r="G2022" t="s">
        <v>25</v>
      </c>
      <c r="H2022" t="s">
        <v>81</v>
      </c>
      <c r="I2022" t="s">
        <v>69</v>
      </c>
      <c r="J2022" t="s">
        <v>172</v>
      </c>
      <c r="K2022" t="s">
        <v>38</v>
      </c>
      <c r="L2022">
        <v>2</v>
      </c>
      <c r="M2022">
        <v>881</v>
      </c>
      <c r="N2022">
        <v>132.15</v>
      </c>
      <c r="O2022">
        <v>40</v>
      </c>
      <c r="P2022">
        <v>1762</v>
      </c>
      <c r="Q2022">
        <v>1669.85</v>
      </c>
      <c r="R2022" t="s">
        <v>39</v>
      </c>
      <c r="S2022" t="s">
        <v>31</v>
      </c>
      <c r="T2022" t="s">
        <v>32</v>
      </c>
      <c r="U2022">
        <v>26</v>
      </c>
      <c r="V2022">
        <v>4.2</v>
      </c>
      <c r="W2022">
        <f>Table2[[#This Row],[Quantity]]*Table2[[#This Row],[Item_Price]]</f>
        <v>1762</v>
      </c>
    </row>
    <row r="2023" spans="1:23" x14ac:dyDescent="0.25">
      <c r="A2023" t="s">
        <v>2121</v>
      </c>
      <c r="B2023" s="1">
        <v>45804</v>
      </c>
      <c r="C2023" t="s">
        <v>1749</v>
      </c>
      <c r="D2023">
        <v>5</v>
      </c>
      <c r="E2023">
        <v>27</v>
      </c>
      <c r="F2023" t="s">
        <v>178</v>
      </c>
      <c r="G2023" t="s">
        <v>25</v>
      </c>
      <c r="H2023" t="s">
        <v>56</v>
      </c>
      <c r="I2023" t="s">
        <v>85</v>
      </c>
      <c r="J2023" t="s">
        <v>70</v>
      </c>
      <c r="K2023" t="s">
        <v>38</v>
      </c>
      <c r="L2023">
        <v>2</v>
      </c>
      <c r="M2023">
        <v>630</v>
      </c>
      <c r="N2023">
        <v>157.5</v>
      </c>
      <c r="O2023">
        <v>20</v>
      </c>
      <c r="P2023">
        <v>1260</v>
      </c>
      <c r="Q2023">
        <v>1122.5</v>
      </c>
      <c r="R2023" t="s">
        <v>30</v>
      </c>
      <c r="S2023" t="s">
        <v>31</v>
      </c>
      <c r="T2023" t="s">
        <v>40</v>
      </c>
      <c r="U2023">
        <v>58</v>
      </c>
      <c r="V2023">
        <v>4.5999999999999996</v>
      </c>
      <c r="W2023">
        <f>Table2[[#This Row],[Quantity]]*Table2[[#This Row],[Item_Price]]</f>
        <v>1260</v>
      </c>
    </row>
    <row r="2024" spans="1:23" x14ac:dyDescent="0.25">
      <c r="A2024" t="s">
        <v>2122</v>
      </c>
      <c r="B2024" s="1">
        <v>45804</v>
      </c>
      <c r="C2024" t="s">
        <v>1749</v>
      </c>
      <c r="D2024">
        <v>5</v>
      </c>
      <c r="E2024">
        <v>27</v>
      </c>
      <c r="F2024" t="s">
        <v>178</v>
      </c>
      <c r="G2024" t="s">
        <v>55</v>
      </c>
      <c r="H2024" t="s">
        <v>77</v>
      </c>
      <c r="I2024" t="s">
        <v>61</v>
      </c>
      <c r="J2024" t="s">
        <v>66</v>
      </c>
      <c r="K2024" t="s">
        <v>38</v>
      </c>
      <c r="L2024">
        <v>1</v>
      </c>
      <c r="M2024">
        <v>432</v>
      </c>
      <c r="N2024">
        <v>43.2</v>
      </c>
      <c r="O2024">
        <v>20</v>
      </c>
      <c r="P2024">
        <v>432</v>
      </c>
      <c r="Q2024">
        <v>408.8</v>
      </c>
      <c r="R2024" t="s">
        <v>39</v>
      </c>
      <c r="S2024" t="s">
        <v>31</v>
      </c>
      <c r="T2024" t="s">
        <v>40</v>
      </c>
      <c r="U2024">
        <v>41</v>
      </c>
      <c r="V2024">
        <v>4.5999999999999996</v>
      </c>
      <c r="W2024">
        <f>Table2[[#This Row],[Quantity]]*Table2[[#This Row],[Item_Price]]</f>
        <v>432</v>
      </c>
    </row>
    <row r="2025" spans="1:23" x14ac:dyDescent="0.25">
      <c r="A2025" t="s">
        <v>2123</v>
      </c>
      <c r="B2025" s="1">
        <v>45804</v>
      </c>
      <c r="C2025" t="s">
        <v>1749</v>
      </c>
      <c r="D2025">
        <v>5</v>
      </c>
      <c r="E2025">
        <v>27</v>
      </c>
      <c r="F2025" t="s">
        <v>178</v>
      </c>
      <c r="G2025" t="s">
        <v>84</v>
      </c>
      <c r="H2025" t="s">
        <v>42</v>
      </c>
      <c r="I2025" t="s">
        <v>61</v>
      </c>
      <c r="J2025" t="s">
        <v>50</v>
      </c>
      <c r="K2025" t="s">
        <v>45</v>
      </c>
      <c r="L2025">
        <v>1</v>
      </c>
      <c r="M2025">
        <v>480</v>
      </c>
      <c r="N2025">
        <v>48</v>
      </c>
      <c r="O2025">
        <v>40</v>
      </c>
      <c r="P2025">
        <v>480</v>
      </c>
      <c r="Q2025">
        <v>472</v>
      </c>
      <c r="R2025" t="s">
        <v>75</v>
      </c>
      <c r="S2025" t="s">
        <v>31</v>
      </c>
      <c r="T2025" t="s">
        <v>40</v>
      </c>
      <c r="U2025">
        <v>59</v>
      </c>
      <c r="V2025">
        <v>3.5</v>
      </c>
      <c r="W2025">
        <f>Table2[[#This Row],[Quantity]]*Table2[[#This Row],[Item_Price]]</f>
        <v>480</v>
      </c>
    </row>
    <row r="2026" spans="1:23" x14ac:dyDescent="0.25">
      <c r="A2026" t="s">
        <v>2124</v>
      </c>
      <c r="B2026" s="1">
        <v>45804</v>
      </c>
      <c r="C2026" t="s">
        <v>1749</v>
      </c>
      <c r="D2026">
        <v>5</v>
      </c>
      <c r="E2026">
        <v>27</v>
      </c>
      <c r="F2026" t="s">
        <v>178</v>
      </c>
      <c r="G2026" t="s">
        <v>84</v>
      </c>
      <c r="H2026" t="s">
        <v>108</v>
      </c>
      <c r="I2026" t="s">
        <v>49</v>
      </c>
      <c r="J2026" t="s">
        <v>172</v>
      </c>
      <c r="K2026" t="s">
        <v>45</v>
      </c>
      <c r="L2026">
        <v>1</v>
      </c>
      <c r="M2026">
        <v>602</v>
      </c>
      <c r="N2026">
        <v>60.2</v>
      </c>
      <c r="O2026">
        <v>20</v>
      </c>
      <c r="P2026">
        <v>602</v>
      </c>
      <c r="Q2026">
        <v>561.79999999999995</v>
      </c>
      <c r="R2026" t="s">
        <v>30</v>
      </c>
      <c r="S2026" t="s">
        <v>31</v>
      </c>
      <c r="T2026" t="s">
        <v>40</v>
      </c>
      <c r="U2026">
        <v>60</v>
      </c>
      <c r="V2026">
        <v>3.9</v>
      </c>
      <c r="W2026">
        <f>Table2[[#This Row],[Quantity]]*Table2[[#This Row],[Item_Price]]</f>
        <v>602</v>
      </c>
    </row>
    <row r="2027" spans="1:23" x14ac:dyDescent="0.25">
      <c r="A2027" t="s">
        <v>2125</v>
      </c>
      <c r="B2027" s="1">
        <v>45804</v>
      </c>
      <c r="C2027" t="s">
        <v>1749</v>
      </c>
      <c r="D2027">
        <v>5</v>
      </c>
      <c r="E2027">
        <v>27</v>
      </c>
      <c r="F2027" t="s">
        <v>178</v>
      </c>
      <c r="G2027" t="s">
        <v>73</v>
      </c>
      <c r="H2027" t="s">
        <v>52</v>
      </c>
      <c r="I2027" t="s">
        <v>97</v>
      </c>
      <c r="J2027" t="s">
        <v>53</v>
      </c>
      <c r="K2027" t="s">
        <v>38</v>
      </c>
      <c r="L2027">
        <v>1</v>
      </c>
      <c r="M2027">
        <v>180</v>
      </c>
      <c r="N2027">
        <v>18</v>
      </c>
      <c r="O2027">
        <v>40</v>
      </c>
      <c r="P2027">
        <v>180</v>
      </c>
      <c r="Q2027">
        <v>202</v>
      </c>
      <c r="R2027" t="s">
        <v>39</v>
      </c>
      <c r="S2027" t="s">
        <v>31</v>
      </c>
      <c r="T2027" t="s">
        <v>32</v>
      </c>
      <c r="U2027">
        <v>22</v>
      </c>
      <c r="V2027">
        <v>3.9</v>
      </c>
      <c r="W2027">
        <f>Table2[[#This Row],[Quantity]]*Table2[[#This Row],[Item_Price]]</f>
        <v>180</v>
      </c>
    </row>
    <row r="2028" spans="1:23" x14ac:dyDescent="0.25">
      <c r="A2028" t="s">
        <v>2126</v>
      </c>
      <c r="B2028" s="1">
        <v>45804</v>
      </c>
      <c r="C2028" t="s">
        <v>1749</v>
      </c>
      <c r="D2028">
        <v>5</v>
      </c>
      <c r="E2028">
        <v>27</v>
      </c>
      <c r="F2028" t="s">
        <v>178</v>
      </c>
      <c r="G2028" t="s">
        <v>64</v>
      </c>
      <c r="H2028" t="s">
        <v>48</v>
      </c>
      <c r="I2028" t="s">
        <v>85</v>
      </c>
      <c r="J2028" t="s">
        <v>119</v>
      </c>
      <c r="K2028" t="s">
        <v>38</v>
      </c>
      <c r="L2028">
        <v>1</v>
      </c>
      <c r="M2028">
        <v>727</v>
      </c>
      <c r="N2028">
        <v>0</v>
      </c>
      <c r="O2028">
        <v>30</v>
      </c>
      <c r="P2028">
        <v>727</v>
      </c>
      <c r="Q2028">
        <v>757</v>
      </c>
      <c r="R2028" t="s">
        <v>112</v>
      </c>
      <c r="S2028" t="s">
        <v>110</v>
      </c>
      <c r="T2028" t="s">
        <v>40</v>
      </c>
      <c r="U2028">
        <v>45</v>
      </c>
      <c r="W2028">
        <f>Table2[[#This Row],[Quantity]]*Table2[[#This Row],[Item_Price]]</f>
        <v>727</v>
      </c>
    </row>
    <row r="2029" spans="1:23" x14ac:dyDescent="0.25">
      <c r="A2029" t="s">
        <v>2127</v>
      </c>
      <c r="B2029" s="1">
        <v>45804</v>
      </c>
      <c r="C2029" t="s">
        <v>1749</v>
      </c>
      <c r="D2029">
        <v>5</v>
      </c>
      <c r="E2029">
        <v>27</v>
      </c>
      <c r="F2029" t="s">
        <v>178</v>
      </c>
      <c r="G2029" t="s">
        <v>80</v>
      </c>
      <c r="H2029" t="s">
        <v>26</v>
      </c>
      <c r="I2029" t="s">
        <v>85</v>
      </c>
      <c r="J2029" t="s">
        <v>172</v>
      </c>
      <c r="K2029" t="s">
        <v>45</v>
      </c>
      <c r="L2029">
        <v>1</v>
      </c>
      <c r="M2029">
        <v>146</v>
      </c>
      <c r="N2029">
        <v>21.9</v>
      </c>
      <c r="O2029">
        <v>60</v>
      </c>
      <c r="P2029">
        <v>146</v>
      </c>
      <c r="Q2029">
        <v>184.1</v>
      </c>
      <c r="R2029" t="s">
        <v>112</v>
      </c>
      <c r="S2029" t="s">
        <v>31</v>
      </c>
      <c r="T2029" t="s">
        <v>32</v>
      </c>
      <c r="U2029">
        <v>53</v>
      </c>
      <c r="V2029">
        <v>3.4</v>
      </c>
      <c r="W2029">
        <f>Table2[[#This Row],[Quantity]]*Table2[[#This Row],[Item_Price]]</f>
        <v>146</v>
      </c>
    </row>
    <row r="2030" spans="1:23" x14ac:dyDescent="0.25">
      <c r="A2030" t="s">
        <v>2128</v>
      </c>
      <c r="B2030" s="1">
        <v>45805</v>
      </c>
      <c r="C2030" t="s">
        <v>1749</v>
      </c>
      <c r="D2030">
        <v>5</v>
      </c>
      <c r="E2030">
        <v>28</v>
      </c>
      <c r="F2030" t="s">
        <v>24</v>
      </c>
      <c r="G2030" t="s">
        <v>34</v>
      </c>
      <c r="H2030" t="s">
        <v>52</v>
      </c>
      <c r="I2030" t="s">
        <v>27</v>
      </c>
      <c r="J2030" t="s">
        <v>94</v>
      </c>
      <c r="K2030" t="s">
        <v>45</v>
      </c>
      <c r="L2030">
        <v>1</v>
      </c>
      <c r="M2030">
        <v>500</v>
      </c>
      <c r="N2030">
        <v>25</v>
      </c>
      <c r="O2030">
        <v>70</v>
      </c>
      <c r="P2030">
        <v>500</v>
      </c>
      <c r="Q2030">
        <v>545</v>
      </c>
      <c r="R2030" t="s">
        <v>39</v>
      </c>
      <c r="S2030" t="s">
        <v>31</v>
      </c>
      <c r="T2030" t="s">
        <v>32</v>
      </c>
      <c r="U2030">
        <v>70</v>
      </c>
      <c r="V2030">
        <v>4.5</v>
      </c>
      <c r="W2030">
        <f>Table2[[#This Row],[Quantity]]*Table2[[#This Row],[Item_Price]]</f>
        <v>500</v>
      </c>
    </row>
    <row r="2031" spans="1:23" x14ac:dyDescent="0.25">
      <c r="A2031" t="s">
        <v>2129</v>
      </c>
      <c r="B2031" s="1">
        <v>45805</v>
      </c>
      <c r="C2031" t="s">
        <v>1749</v>
      </c>
      <c r="D2031">
        <v>5</v>
      </c>
      <c r="E2031">
        <v>28</v>
      </c>
      <c r="F2031" t="s">
        <v>24</v>
      </c>
      <c r="G2031" t="s">
        <v>34</v>
      </c>
      <c r="H2031" t="s">
        <v>60</v>
      </c>
      <c r="I2031" t="s">
        <v>85</v>
      </c>
      <c r="J2031" t="s">
        <v>172</v>
      </c>
      <c r="K2031" t="s">
        <v>38</v>
      </c>
      <c r="L2031">
        <v>2</v>
      </c>
      <c r="M2031">
        <v>273</v>
      </c>
      <c r="N2031">
        <v>13.65</v>
      </c>
      <c r="O2031">
        <v>60</v>
      </c>
      <c r="P2031">
        <v>546</v>
      </c>
      <c r="Q2031">
        <v>592.35</v>
      </c>
      <c r="R2031" t="s">
        <v>75</v>
      </c>
      <c r="S2031" t="s">
        <v>31</v>
      </c>
      <c r="T2031" t="s">
        <v>32</v>
      </c>
      <c r="U2031">
        <v>63</v>
      </c>
      <c r="V2031">
        <v>5</v>
      </c>
      <c r="W2031">
        <f>Table2[[#This Row],[Quantity]]*Table2[[#This Row],[Item_Price]]</f>
        <v>546</v>
      </c>
    </row>
    <row r="2032" spans="1:23" x14ac:dyDescent="0.25">
      <c r="A2032" t="s">
        <v>2130</v>
      </c>
      <c r="B2032" s="1">
        <v>45805</v>
      </c>
      <c r="C2032" t="s">
        <v>1749</v>
      </c>
      <c r="D2032">
        <v>5</v>
      </c>
      <c r="E2032">
        <v>28</v>
      </c>
      <c r="F2032" t="s">
        <v>24</v>
      </c>
      <c r="G2032" t="s">
        <v>80</v>
      </c>
      <c r="H2032" t="s">
        <v>42</v>
      </c>
      <c r="I2032" t="s">
        <v>69</v>
      </c>
      <c r="J2032" t="s">
        <v>94</v>
      </c>
      <c r="K2032" t="s">
        <v>38</v>
      </c>
      <c r="L2032">
        <v>1</v>
      </c>
      <c r="M2032">
        <v>308</v>
      </c>
      <c r="N2032">
        <v>15.4</v>
      </c>
      <c r="O2032">
        <v>30</v>
      </c>
      <c r="P2032">
        <v>308</v>
      </c>
      <c r="Q2032">
        <v>322.60000000000002</v>
      </c>
      <c r="R2032" t="s">
        <v>39</v>
      </c>
      <c r="S2032" t="s">
        <v>31</v>
      </c>
      <c r="T2032" t="s">
        <v>40</v>
      </c>
      <c r="U2032">
        <v>51</v>
      </c>
      <c r="V2032">
        <v>4.3</v>
      </c>
      <c r="W2032">
        <f>Table2[[#This Row],[Quantity]]*Table2[[#This Row],[Item_Price]]</f>
        <v>308</v>
      </c>
    </row>
    <row r="2033" spans="1:23" x14ac:dyDescent="0.25">
      <c r="A2033" t="s">
        <v>2131</v>
      </c>
      <c r="B2033" s="1">
        <v>45805</v>
      </c>
      <c r="C2033" t="s">
        <v>1749</v>
      </c>
      <c r="D2033">
        <v>5</v>
      </c>
      <c r="E2033">
        <v>28</v>
      </c>
      <c r="F2033" t="s">
        <v>24</v>
      </c>
      <c r="G2033" t="s">
        <v>64</v>
      </c>
      <c r="H2033" t="s">
        <v>139</v>
      </c>
      <c r="I2033" t="s">
        <v>69</v>
      </c>
      <c r="J2033" t="s">
        <v>53</v>
      </c>
      <c r="K2033" t="s">
        <v>45</v>
      </c>
      <c r="L2033">
        <v>1</v>
      </c>
      <c r="M2033">
        <v>372</v>
      </c>
      <c r="N2033">
        <v>0</v>
      </c>
      <c r="O2033">
        <v>50</v>
      </c>
      <c r="P2033">
        <v>372</v>
      </c>
      <c r="Q2033">
        <v>422</v>
      </c>
      <c r="R2033" t="s">
        <v>39</v>
      </c>
      <c r="S2033" t="s">
        <v>46</v>
      </c>
      <c r="T2033" t="s">
        <v>32</v>
      </c>
      <c r="U2033">
        <v>24</v>
      </c>
      <c r="W2033">
        <f>Table2[[#This Row],[Quantity]]*Table2[[#This Row],[Item_Price]]</f>
        <v>372</v>
      </c>
    </row>
    <row r="2034" spans="1:23" x14ac:dyDescent="0.25">
      <c r="A2034" t="s">
        <v>2132</v>
      </c>
      <c r="B2034" s="1">
        <v>45805</v>
      </c>
      <c r="C2034" t="s">
        <v>1749</v>
      </c>
      <c r="D2034">
        <v>5</v>
      </c>
      <c r="E2034">
        <v>28</v>
      </c>
      <c r="F2034" t="s">
        <v>24</v>
      </c>
      <c r="G2034" t="s">
        <v>115</v>
      </c>
      <c r="H2034" t="s">
        <v>52</v>
      </c>
      <c r="I2034" t="s">
        <v>69</v>
      </c>
      <c r="J2034" t="s">
        <v>119</v>
      </c>
      <c r="K2034" t="s">
        <v>38</v>
      </c>
      <c r="L2034">
        <v>1</v>
      </c>
      <c r="M2034">
        <v>379</v>
      </c>
      <c r="N2034">
        <v>56.85</v>
      </c>
      <c r="O2034">
        <v>0</v>
      </c>
      <c r="P2034">
        <v>379</v>
      </c>
      <c r="Q2034">
        <v>322.14999999999998</v>
      </c>
      <c r="R2034" t="s">
        <v>75</v>
      </c>
      <c r="S2034" t="s">
        <v>31</v>
      </c>
      <c r="T2034" t="s">
        <v>40</v>
      </c>
      <c r="U2034">
        <v>19</v>
      </c>
      <c r="V2034">
        <v>3.1</v>
      </c>
      <c r="W2034">
        <f>Table2[[#This Row],[Quantity]]*Table2[[#This Row],[Item_Price]]</f>
        <v>379</v>
      </c>
    </row>
    <row r="2035" spans="1:23" x14ac:dyDescent="0.25">
      <c r="A2035" t="s">
        <v>2133</v>
      </c>
      <c r="B2035" s="1">
        <v>45805</v>
      </c>
      <c r="C2035" t="s">
        <v>1749</v>
      </c>
      <c r="D2035">
        <v>5</v>
      </c>
      <c r="E2035">
        <v>28</v>
      </c>
      <c r="F2035" t="s">
        <v>24</v>
      </c>
      <c r="G2035" t="s">
        <v>96</v>
      </c>
      <c r="H2035" t="s">
        <v>77</v>
      </c>
      <c r="I2035" t="s">
        <v>36</v>
      </c>
      <c r="J2035" t="s">
        <v>101</v>
      </c>
      <c r="K2035" t="s">
        <v>38</v>
      </c>
      <c r="L2035">
        <v>2</v>
      </c>
      <c r="M2035">
        <v>882</v>
      </c>
      <c r="N2035">
        <v>88.2</v>
      </c>
      <c r="O2035">
        <v>30</v>
      </c>
      <c r="P2035">
        <v>1764</v>
      </c>
      <c r="Q2035">
        <v>1705.8</v>
      </c>
      <c r="R2035" t="s">
        <v>98</v>
      </c>
      <c r="S2035" t="s">
        <v>110</v>
      </c>
      <c r="T2035" t="s">
        <v>40</v>
      </c>
      <c r="U2035">
        <v>18</v>
      </c>
      <c r="W2035">
        <f>Table2[[#This Row],[Quantity]]*Table2[[#This Row],[Item_Price]]</f>
        <v>1764</v>
      </c>
    </row>
    <row r="2036" spans="1:23" x14ac:dyDescent="0.25">
      <c r="A2036" t="s">
        <v>2134</v>
      </c>
      <c r="B2036" s="1">
        <v>45805</v>
      </c>
      <c r="C2036" t="s">
        <v>1749</v>
      </c>
      <c r="D2036">
        <v>5</v>
      </c>
      <c r="E2036">
        <v>28</v>
      </c>
      <c r="F2036" t="s">
        <v>24</v>
      </c>
      <c r="G2036" t="s">
        <v>25</v>
      </c>
      <c r="H2036" t="s">
        <v>60</v>
      </c>
      <c r="I2036" t="s">
        <v>85</v>
      </c>
      <c r="J2036" t="s">
        <v>74</v>
      </c>
      <c r="K2036" t="s">
        <v>38</v>
      </c>
      <c r="L2036">
        <v>1</v>
      </c>
      <c r="M2036">
        <v>182</v>
      </c>
      <c r="N2036">
        <v>36.4</v>
      </c>
      <c r="O2036">
        <v>50</v>
      </c>
      <c r="P2036">
        <v>182</v>
      </c>
      <c r="Q2036">
        <v>195.6</v>
      </c>
      <c r="R2036" t="s">
        <v>39</v>
      </c>
      <c r="S2036" t="s">
        <v>31</v>
      </c>
      <c r="T2036" t="s">
        <v>32</v>
      </c>
      <c r="U2036">
        <v>54</v>
      </c>
      <c r="V2036">
        <v>3.7</v>
      </c>
      <c r="W2036">
        <f>Table2[[#This Row],[Quantity]]*Table2[[#This Row],[Item_Price]]</f>
        <v>182</v>
      </c>
    </row>
    <row r="2037" spans="1:23" x14ac:dyDescent="0.25">
      <c r="A2037" t="s">
        <v>2135</v>
      </c>
      <c r="B2037" s="1">
        <v>45805</v>
      </c>
      <c r="C2037" t="s">
        <v>1749</v>
      </c>
      <c r="D2037">
        <v>5</v>
      </c>
      <c r="E2037">
        <v>28</v>
      </c>
      <c r="F2037" t="s">
        <v>24</v>
      </c>
      <c r="G2037" t="s">
        <v>80</v>
      </c>
      <c r="H2037" t="s">
        <v>105</v>
      </c>
      <c r="I2037" t="s">
        <v>85</v>
      </c>
      <c r="J2037" t="s">
        <v>101</v>
      </c>
      <c r="K2037" t="s">
        <v>29</v>
      </c>
      <c r="L2037">
        <v>2</v>
      </c>
      <c r="M2037">
        <v>533</v>
      </c>
      <c r="N2037">
        <v>0</v>
      </c>
      <c r="O2037">
        <v>40</v>
      </c>
      <c r="P2037">
        <v>1066</v>
      </c>
      <c r="Q2037">
        <v>1106</v>
      </c>
      <c r="R2037" t="s">
        <v>75</v>
      </c>
      <c r="S2037" t="s">
        <v>31</v>
      </c>
      <c r="T2037" t="s">
        <v>40</v>
      </c>
      <c r="U2037">
        <v>39</v>
      </c>
      <c r="V2037">
        <v>3.6</v>
      </c>
      <c r="W2037">
        <f>Table2[[#This Row],[Quantity]]*Table2[[#This Row],[Item_Price]]</f>
        <v>1066</v>
      </c>
    </row>
    <row r="2038" spans="1:23" x14ac:dyDescent="0.25">
      <c r="A2038" t="s">
        <v>2136</v>
      </c>
      <c r="B2038" s="1">
        <v>45805</v>
      </c>
      <c r="C2038" t="s">
        <v>1749</v>
      </c>
      <c r="D2038">
        <v>5</v>
      </c>
      <c r="E2038">
        <v>28</v>
      </c>
      <c r="F2038" t="s">
        <v>24</v>
      </c>
      <c r="G2038" t="s">
        <v>115</v>
      </c>
      <c r="H2038" t="s">
        <v>81</v>
      </c>
      <c r="I2038" t="s">
        <v>97</v>
      </c>
      <c r="J2038" t="s">
        <v>66</v>
      </c>
      <c r="K2038" t="s">
        <v>45</v>
      </c>
      <c r="L2038">
        <v>1</v>
      </c>
      <c r="M2038">
        <v>268</v>
      </c>
      <c r="N2038">
        <v>67</v>
      </c>
      <c r="O2038">
        <v>50</v>
      </c>
      <c r="P2038">
        <v>268</v>
      </c>
      <c r="Q2038">
        <v>251</v>
      </c>
      <c r="R2038" t="s">
        <v>39</v>
      </c>
      <c r="S2038" t="s">
        <v>31</v>
      </c>
      <c r="T2038" t="s">
        <v>40</v>
      </c>
      <c r="U2038">
        <v>64</v>
      </c>
      <c r="V2038">
        <v>2.9</v>
      </c>
      <c r="W2038">
        <f>Table2[[#This Row],[Quantity]]*Table2[[#This Row],[Item_Price]]</f>
        <v>268</v>
      </c>
    </row>
    <row r="2039" spans="1:23" x14ac:dyDescent="0.25">
      <c r="A2039" t="s">
        <v>2137</v>
      </c>
      <c r="B2039" s="1">
        <v>45805</v>
      </c>
      <c r="C2039" t="s">
        <v>1749</v>
      </c>
      <c r="D2039">
        <v>5</v>
      </c>
      <c r="E2039">
        <v>28</v>
      </c>
      <c r="F2039" t="s">
        <v>24</v>
      </c>
      <c r="G2039" t="s">
        <v>80</v>
      </c>
      <c r="H2039" t="s">
        <v>105</v>
      </c>
      <c r="I2039" t="s">
        <v>69</v>
      </c>
      <c r="J2039" t="s">
        <v>119</v>
      </c>
      <c r="K2039" t="s">
        <v>38</v>
      </c>
      <c r="L2039">
        <v>2</v>
      </c>
      <c r="M2039">
        <v>483</v>
      </c>
      <c r="N2039">
        <v>48.3</v>
      </c>
      <c r="O2039">
        <v>50</v>
      </c>
      <c r="P2039">
        <v>966</v>
      </c>
      <c r="Q2039">
        <v>967.7</v>
      </c>
      <c r="R2039" t="s">
        <v>39</v>
      </c>
      <c r="S2039" t="s">
        <v>31</v>
      </c>
      <c r="T2039" t="s">
        <v>40</v>
      </c>
      <c r="U2039">
        <v>50</v>
      </c>
      <c r="V2039">
        <v>4.5</v>
      </c>
      <c r="W2039">
        <f>Table2[[#This Row],[Quantity]]*Table2[[#This Row],[Item_Price]]</f>
        <v>966</v>
      </c>
    </row>
    <row r="2040" spans="1:23" x14ac:dyDescent="0.25">
      <c r="A2040" t="s">
        <v>2138</v>
      </c>
      <c r="B2040" s="1">
        <v>45805</v>
      </c>
      <c r="C2040" t="s">
        <v>1749</v>
      </c>
      <c r="D2040">
        <v>5</v>
      </c>
      <c r="E2040">
        <v>28</v>
      </c>
      <c r="F2040" t="s">
        <v>24</v>
      </c>
      <c r="G2040" t="s">
        <v>64</v>
      </c>
      <c r="H2040" t="s">
        <v>56</v>
      </c>
      <c r="I2040" t="s">
        <v>57</v>
      </c>
      <c r="J2040" t="s">
        <v>123</v>
      </c>
      <c r="K2040" t="s">
        <v>38</v>
      </c>
      <c r="L2040">
        <v>1</v>
      </c>
      <c r="M2040">
        <v>561</v>
      </c>
      <c r="N2040">
        <v>0</v>
      </c>
      <c r="O2040">
        <v>40</v>
      </c>
      <c r="P2040">
        <v>561</v>
      </c>
      <c r="Q2040">
        <v>601</v>
      </c>
      <c r="R2040" t="s">
        <v>39</v>
      </c>
      <c r="S2040" t="s">
        <v>31</v>
      </c>
      <c r="T2040" t="s">
        <v>40</v>
      </c>
      <c r="U2040">
        <v>69</v>
      </c>
      <c r="V2040">
        <v>4.2</v>
      </c>
      <c r="W2040">
        <f>Table2[[#This Row],[Quantity]]*Table2[[#This Row],[Item_Price]]</f>
        <v>561</v>
      </c>
    </row>
    <row r="2041" spans="1:23" x14ac:dyDescent="0.25">
      <c r="A2041" t="s">
        <v>2139</v>
      </c>
      <c r="B2041" s="1">
        <v>45805</v>
      </c>
      <c r="C2041" t="s">
        <v>1749</v>
      </c>
      <c r="D2041">
        <v>5</v>
      </c>
      <c r="E2041">
        <v>28</v>
      </c>
      <c r="F2041" t="s">
        <v>24</v>
      </c>
      <c r="G2041" t="s">
        <v>25</v>
      </c>
      <c r="H2041" t="s">
        <v>48</v>
      </c>
      <c r="I2041" t="s">
        <v>36</v>
      </c>
      <c r="J2041" t="s">
        <v>123</v>
      </c>
      <c r="K2041" t="s">
        <v>38</v>
      </c>
      <c r="L2041">
        <v>1</v>
      </c>
      <c r="M2041">
        <v>709</v>
      </c>
      <c r="N2041">
        <v>141.80000000000001</v>
      </c>
      <c r="O2041">
        <v>40</v>
      </c>
      <c r="P2041">
        <v>709</v>
      </c>
      <c r="Q2041">
        <v>607.20000000000005</v>
      </c>
      <c r="R2041" t="s">
        <v>75</v>
      </c>
      <c r="S2041" t="s">
        <v>31</v>
      </c>
      <c r="T2041" t="s">
        <v>40</v>
      </c>
      <c r="U2041">
        <v>41</v>
      </c>
      <c r="V2041">
        <v>4.0999999999999996</v>
      </c>
      <c r="W2041">
        <f>Table2[[#This Row],[Quantity]]*Table2[[#This Row],[Item_Price]]</f>
        <v>709</v>
      </c>
    </row>
    <row r="2042" spans="1:23" x14ac:dyDescent="0.25">
      <c r="A2042" t="s">
        <v>2140</v>
      </c>
      <c r="B2042" s="1">
        <v>45805</v>
      </c>
      <c r="C2042" t="s">
        <v>1749</v>
      </c>
      <c r="D2042">
        <v>5</v>
      </c>
      <c r="E2042">
        <v>28</v>
      </c>
      <c r="F2042" t="s">
        <v>24</v>
      </c>
      <c r="G2042" t="s">
        <v>80</v>
      </c>
      <c r="H2042" t="s">
        <v>68</v>
      </c>
      <c r="I2042" t="s">
        <v>97</v>
      </c>
      <c r="J2042" t="s">
        <v>28</v>
      </c>
      <c r="K2042" t="s">
        <v>38</v>
      </c>
      <c r="L2042">
        <v>3</v>
      </c>
      <c r="M2042">
        <v>886</v>
      </c>
      <c r="N2042">
        <v>88.6</v>
      </c>
      <c r="O2042">
        <v>60</v>
      </c>
      <c r="P2042">
        <v>2658</v>
      </c>
      <c r="Q2042">
        <v>2629.4</v>
      </c>
      <c r="R2042" t="s">
        <v>30</v>
      </c>
      <c r="S2042" t="s">
        <v>31</v>
      </c>
      <c r="T2042" t="s">
        <v>32</v>
      </c>
      <c r="U2042">
        <v>34</v>
      </c>
      <c r="V2042">
        <v>4.4000000000000004</v>
      </c>
      <c r="W2042">
        <f>Table2[[#This Row],[Quantity]]*Table2[[#This Row],[Item_Price]]</f>
        <v>2658</v>
      </c>
    </row>
    <row r="2043" spans="1:23" x14ac:dyDescent="0.25">
      <c r="A2043" t="s">
        <v>2141</v>
      </c>
      <c r="B2043" s="1">
        <v>45805</v>
      </c>
      <c r="C2043" t="s">
        <v>1749</v>
      </c>
      <c r="D2043">
        <v>5</v>
      </c>
      <c r="E2043">
        <v>28</v>
      </c>
      <c r="F2043" t="s">
        <v>24</v>
      </c>
      <c r="G2043" t="s">
        <v>84</v>
      </c>
      <c r="H2043" t="s">
        <v>68</v>
      </c>
      <c r="I2043" t="s">
        <v>103</v>
      </c>
      <c r="J2043" t="s">
        <v>70</v>
      </c>
      <c r="K2043" t="s">
        <v>38</v>
      </c>
      <c r="L2043">
        <v>3</v>
      </c>
      <c r="M2043">
        <v>884</v>
      </c>
      <c r="N2043">
        <v>88.4</v>
      </c>
      <c r="O2043">
        <v>20</v>
      </c>
      <c r="P2043">
        <v>2652</v>
      </c>
      <c r="Q2043">
        <v>2583.6</v>
      </c>
      <c r="R2043" t="s">
        <v>75</v>
      </c>
      <c r="S2043" t="s">
        <v>31</v>
      </c>
      <c r="T2043" t="s">
        <v>32</v>
      </c>
      <c r="U2043">
        <v>25</v>
      </c>
      <c r="V2043">
        <v>4.5</v>
      </c>
      <c r="W2043">
        <f>Table2[[#This Row],[Quantity]]*Table2[[#This Row],[Item_Price]]</f>
        <v>2652</v>
      </c>
    </row>
    <row r="2044" spans="1:23" x14ac:dyDescent="0.25">
      <c r="A2044" t="s">
        <v>2142</v>
      </c>
      <c r="B2044" s="1">
        <v>45805</v>
      </c>
      <c r="C2044" t="s">
        <v>1749</v>
      </c>
      <c r="D2044">
        <v>5</v>
      </c>
      <c r="E2044">
        <v>28</v>
      </c>
      <c r="F2044" t="s">
        <v>24</v>
      </c>
      <c r="G2044" t="s">
        <v>55</v>
      </c>
      <c r="H2044" t="s">
        <v>77</v>
      </c>
      <c r="I2044" t="s">
        <v>61</v>
      </c>
      <c r="J2044" t="s">
        <v>74</v>
      </c>
      <c r="K2044" t="s">
        <v>38</v>
      </c>
      <c r="L2044">
        <v>1</v>
      </c>
      <c r="M2044">
        <v>857</v>
      </c>
      <c r="N2044">
        <v>85.7</v>
      </c>
      <c r="O2044">
        <v>0</v>
      </c>
      <c r="P2044">
        <v>857</v>
      </c>
      <c r="Q2044">
        <v>771.3</v>
      </c>
      <c r="R2044" t="s">
        <v>75</v>
      </c>
      <c r="S2044" t="s">
        <v>31</v>
      </c>
      <c r="T2044" t="s">
        <v>40</v>
      </c>
      <c r="U2044">
        <v>69</v>
      </c>
      <c r="V2044">
        <v>5</v>
      </c>
      <c r="W2044">
        <f>Table2[[#This Row],[Quantity]]*Table2[[#This Row],[Item_Price]]</f>
        <v>857</v>
      </c>
    </row>
    <row r="2045" spans="1:23" x14ac:dyDescent="0.25">
      <c r="A2045" t="s">
        <v>2143</v>
      </c>
      <c r="B2045" s="1">
        <v>45805</v>
      </c>
      <c r="C2045" t="s">
        <v>1749</v>
      </c>
      <c r="D2045">
        <v>5</v>
      </c>
      <c r="E2045">
        <v>28</v>
      </c>
      <c r="F2045" t="s">
        <v>24</v>
      </c>
      <c r="G2045" t="s">
        <v>25</v>
      </c>
      <c r="H2045" t="s">
        <v>52</v>
      </c>
      <c r="I2045" t="s">
        <v>97</v>
      </c>
      <c r="J2045" t="s">
        <v>119</v>
      </c>
      <c r="K2045" t="s">
        <v>38</v>
      </c>
      <c r="L2045">
        <v>1</v>
      </c>
      <c r="M2045">
        <v>468</v>
      </c>
      <c r="N2045">
        <v>23.4</v>
      </c>
      <c r="O2045">
        <v>0</v>
      </c>
      <c r="P2045">
        <v>468</v>
      </c>
      <c r="Q2045">
        <v>444.6</v>
      </c>
      <c r="R2045" t="s">
        <v>75</v>
      </c>
      <c r="S2045" t="s">
        <v>110</v>
      </c>
      <c r="T2045" t="s">
        <v>40</v>
      </c>
      <c r="U2045">
        <v>31</v>
      </c>
      <c r="W2045">
        <f>Table2[[#This Row],[Quantity]]*Table2[[#This Row],[Item_Price]]</f>
        <v>468</v>
      </c>
    </row>
    <row r="2046" spans="1:23" x14ac:dyDescent="0.25">
      <c r="A2046" t="s">
        <v>2144</v>
      </c>
      <c r="B2046" s="1">
        <v>45805</v>
      </c>
      <c r="C2046" t="s">
        <v>1749</v>
      </c>
      <c r="D2046">
        <v>5</v>
      </c>
      <c r="E2046">
        <v>28</v>
      </c>
      <c r="F2046" t="s">
        <v>24</v>
      </c>
      <c r="G2046" t="s">
        <v>80</v>
      </c>
      <c r="H2046" t="s">
        <v>35</v>
      </c>
      <c r="I2046" t="s">
        <v>97</v>
      </c>
      <c r="J2046" t="s">
        <v>53</v>
      </c>
      <c r="K2046" t="s">
        <v>45</v>
      </c>
      <c r="L2046">
        <v>2</v>
      </c>
      <c r="M2046">
        <v>375</v>
      </c>
      <c r="N2046">
        <v>56.25</v>
      </c>
      <c r="O2046">
        <v>0</v>
      </c>
      <c r="P2046">
        <v>750</v>
      </c>
      <c r="Q2046">
        <v>693.75</v>
      </c>
      <c r="R2046" t="s">
        <v>75</v>
      </c>
      <c r="S2046" t="s">
        <v>31</v>
      </c>
      <c r="T2046" t="s">
        <v>40</v>
      </c>
      <c r="U2046">
        <v>30</v>
      </c>
      <c r="V2046">
        <v>3.3</v>
      </c>
      <c r="W2046">
        <f>Table2[[#This Row],[Quantity]]*Table2[[#This Row],[Item_Price]]</f>
        <v>750</v>
      </c>
    </row>
    <row r="2047" spans="1:23" x14ac:dyDescent="0.25">
      <c r="A2047" t="s">
        <v>2145</v>
      </c>
      <c r="B2047" s="1">
        <v>45806</v>
      </c>
      <c r="C2047" t="s">
        <v>1749</v>
      </c>
      <c r="D2047">
        <v>5</v>
      </c>
      <c r="E2047">
        <v>29</v>
      </c>
      <c r="F2047" t="s">
        <v>88</v>
      </c>
      <c r="G2047" t="s">
        <v>73</v>
      </c>
      <c r="H2047" t="s">
        <v>135</v>
      </c>
      <c r="I2047" t="s">
        <v>61</v>
      </c>
      <c r="J2047" t="s">
        <v>44</v>
      </c>
      <c r="K2047" t="s">
        <v>38</v>
      </c>
      <c r="L2047">
        <v>1</v>
      </c>
      <c r="M2047">
        <v>656</v>
      </c>
      <c r="N2047">
        <v>32.799999999999997</v>
      </c>
      <c r="O2047">
        <v>20</v>
      </c>
      <c r="P2047">
        <v>656</v>
      </c>
      <c r="Q2047">
        <v>643.20000000000005</v>
      </c>
      <c r="R2047" t="s">
        <v>39</v>
      </c>
      <c r="S2047" t="s">
        <v>31</v>
      </c>
      <c r="T2047" t="s">
        <v>40</v>
      </c>
      <c r="U2047">
        <v>50</v>
      </c>
      <c r="V2047">
        <v>3</v>
      </c>
      <c r="W2047">
        <f>Table2[[#This Row],[Quantity]]*Table2[[#This Row],[Item_Price]]</f>
        <v>656</v>
      </c>
    </row>
    <row r="2048" spans="1:23" x14ac:dyDescent="0.25">
      <c r="A2048" t="s">
        <v>2146</v>
      </c>
      <c r="B2048" s="1">
        <v>45806</v>
      </c>
      <c r="C2048" t="s">
        <v>1749</v>
      </c>
      <c r="D2048">
        <v>5</v>
      </c>
      <c r="E2048">
        <v>29</v>
      </c>
      <c r="F2048" t="s">
        <v>88</v>
      </c>
      <c r="G2048" t="s">
        <v>73</v>
      </c>
      <c r="H2048" t="s">
        <v>60</v>
      </c>
      <c r="I2048" t="s">
        <v>43</v>
      </c>
      <c r="J2048" t="s">
        <v>70</v>
      </c>
      <c r="K2048" t="s">
        <v>38</v>
      </c>
      <c r="L2048">
        <v>3</v>
      </c>
      <c r="M2048">
        <v>542</v>
      </c>
      <c r="N2048">
        <v>81.3</v>
      </c>
      <c r="O2048">
        <v>30</v>
      </c>
      <c r="P2048">
        <v>1626</v>
      </c>
      <c r="Q2048">
        <v>1574.7</v>
      </c>
      <c r="R2048" t="s">
        <v>39</v>
      </c>
      <c r="S2048" t="s">
        <v>31</v>
      </c>
      <c r="T2048" t="s">
        <v>40</v>
      </c>
      <c r="U2048">
        <v>55</v>
      </c>
      <c r="V2048">
        <v>3.7</v>
      </c>
      <c r="W2048">
        <f>Table2[[#This Row],[Quantity]]*Table2[[#This Row],[Item_Price]]</f>
        <v>1626</v>
      </c>
    </row>
    <row r="2049" spans="1:23" x14ac:dyDescent="0.25">
      <c r="A2049" t="s">
        <v>2147</v>
      </c>
      <c r="B2049" s="1">
        <v>45806</v>
      </c>
      <c r="C2049" t="s">
        <v>1749</v>
      </c>
      <c r="D2049">
        <v>5</v>
      </c>
      <c r="E2049">
        <v>29</v>
      </c>
      <c r="F2049" t="s">
        <v>88</v>
      </c>
      <c r="G2049" t="s">
        <v>25</v>
      </c>
      <c r="H2049" t="s">
        <v>56</v>
      </c>
      <c r="I2049" t="s">
        <v>27</v>
      </c>
      <c r="J2049" t="s">
        <v>94</v>
      </c>
      <c r="K2049" t="s">
        <v>38</v>
      </c>
      <c r="L2049">
        <v>3</v>
      </c>
      <c r="M2049">
        <v>328</v>
      </c>
      <c r="N2049">
        <v>65.599999999999994</v>
      </c>
      <c r="O2049">
        <v>70</v>
      </c>
      <c r="P2049">
        <v>984</v>
      </c>
      <c r="Q2049">
        <v>988.4</v>
      </c>
      <c r="R2049" t="s">
        <v>39</v>
      </c>
      <c r="S2049" t="s">
        <v>31</v>
      </c>
      <c r="T2049" t="s">
        <v>32</v>
      </c>
      <c r="U2049">
        <v>36</v>
      </c>
      <c r="V2049">
        <v>4.4000000000000004</v>
      </c>
      <c r="W2049">
        <f>Table2[[#This Row],[Quantity]]*Table2[[#This Row],[Item_Price]]</f>
        <v>984</v>
      </c>
    </row>
    <row r="2050" spans="1:23" x14ac:dyDescent="0.25">
      <c r="A2050" t="s">
        <v>2148</v>
      </c>
      <c r="B2050" s="1">
        <v>45806</v>
      </c>
      <c r="C2050" t="s">
        <v>1749</v>
      </c>
      <c r="D2050">
        <v>5</v>
      </c>
      <c r="E2050">
        <v>29</v>
      </c>
      <c r="F2050" t="s">
        <v>88</v>
      </c>
      <c r="G2050" t="s">
        <v>115</v>
      </c>
      <c r="H2050" t="s">
        <v>81</v>
      </c>
      <c r="I2050" t="s">
        <v>97</v>
      </c>
      <c r="J2050" t="s">
        <v>50</v>
      </c>
      <c r="K2050" t="s">
        <v>38</v>
      </c>
      <c r="L2050">
        <v>2</v>
      </c>
      <c r="M2050">
        <v>212</v>
      </c>
      <c r="N2050">
        <v>21.2</v>
      </c>
      <c r="O2050">
        <v>50</v>
      </c>
      <c r="P2050">
        <v>424</v>
      </c>
      <c r="Q2050">
        <v>452.8</v>
      </c>
      <c r="R2050" t="s">
        <v>112</v>
      </c>
      <c r="S2050" t="s">
        <v>31</v>
      </c>
      <c r="T2050" t="s">
        <v>32</v>
      </c>
      <c r="U2050">
        <v>42</v>
      </c>
      <c r="V2050">
        <v>4.9000000000000004</v>
      </c>
      <c r="W2050">
        <f>Table2[[#This Row],[Quantity]]*Table2[[#This Row],[Item_Price]]</f>
        <v>424</v>
      </c>
    </row>
    <row r="2051" spans="1:23" x14ac:dyDescent="0.25">
      <c r="A2051" t="s">
        <v>2149</v>
      </c>
      <c r="B2051" s="1">
        <v>45806</v>
      </c>
      <c r="C2051" t="s">
        <v>1749</v>
      </c>
      <c r="D2051">
        <v>5</v>
      </c>
      <c r="E2051">
        <v>29</v>
      </c>
      <c r="F2051" t="s">
        <v>88</v>
      </c>
      <c r="G2051" t="s">
        <v>90</v>
      </c>
      <c r="H2051" t="s">
        <v>135</v>
      </c>
      <c r="I2051" t="s">
        <v>97</v>
      </c>
      <c r="J2051" t="s">
        <v>119</v>
      </c>
      <c r="K2051" t="s">
        <v>38</v>
      </c>
      <c r="L2051">
        <v>2</v>
      </c>
      <c r="M2051">
        <v>333</v>
      </c>
      <c r="N2051">
        <v>16.649999999999999</v>
      </c>
      <c r="O2051">
        <v>0</v>
      </c>
      <c r="P2051">
        <v>666</v>
      </c>
      <c r="Q2051">
        <v>649.35</v>
      </c>
      <c r="R2051" t="s">
        <v>39</v>
      </c>
      <c r="S2051" t="s">
        <v>31</v>
      </c>
      <c r="T2051" t="s">
        <v>32</v>
      </c>
      <c r="U2051">
        <v>47</v>
      </c>
      <c r="V2051">
        <v>4.5</v>
      </c>
      <c r="W2051">
        <f>Table2[[#This Row],[Quantity]]*Table2[[#This Row],[Item_Price]]</f>
        <v>666</v>
      </c>
    </row>
    <row r="2052" spans="1:23" x14ac:dyDescent="0.25">
      <c r="A2052" t="s">
        <v>2150</v>
      </c>
      <c r="B2052" s="1">
        <v>45806</v>
      </c>
      <c r="C2052" t="s">
        <v>1749</v>
      </c>
      <c r="D2052">
        <v>5</v>
      </c>
      <c r="E2052">
        <v>29</v>
      </c>
      <c r="F2052" t="s">
        <v>88</v>
      </c>
      <c r="G2052" t="s">
        <v>90</v>
      </c>
      <c r="H2052" t="s">
        <v>65</v>
      </c>
      <c r="I2052" t="s">
        <v>57</v>
      </c>
      <c r="J2052" t="s">
        <v>70</v>
      </c>
      <c r="K2052" t="s">
        <v>29</v>
      </c>
      <c r="L2052">
        <v>2</v>
      </c>
      <c r="M2052">
        <v>302</v>
      </c>
      <c r="N2052">
        <v>60.4</v>
      </c>
      <c r="O2052">
        <v>40</v>
      </c>
      <c r="P2052">
        <v>604</v>
      </c>
      <c r="Q2052">
        <v>583.6</v>
      </c>
      <c r="R2052" t="s">
        <v>39</v>
      </c>
      <c r="S2052" t="s">
        <v>31</v>
      </c>
      <c r="T2052" t="s">
        <v>32</v>
      </c>
      <c r="U2052">
        <v>62</v>
      </c>
      <c r="V2052">
        <v>5</v>
      </c>
      <c r="W2052">
        <f>Table2[[#This Row],[Quantity]]*Table2[[#This Row],[Item_Price]]</f>
        <v>604</v>
      </c>
    </row>
    <row r="2053" spans="1:23" x14ac:dyDescent="0.25">
      <c r="A2053" t="s">
        <v>2151</v>
      </c>
      <c r="B2053" s="1">
        <v>45806</v>
      </c>
      <c r="C2053" t="s">
        <v>1749</v>
      </c>
      <c r="D2053">
        <v>5</v>
      </c>
      <c r="E2053">
        <v>29</v>
      </c>
      <c r="F2053" t="s">
        <v>88</v>
      </c>
      <c r="G2053" t="s">
        <v>64</v>
      </c>
      <c r="H2053" t="s">
        <v>77</v>
      </c>
      <c r="I2053" t="s">
        <v>49</v>
      </c>
      <c r="J2053" t="s">
        <v>172</v>
      </c>
      <c r="K2053" t="s">
        <v>29</v>
      </c>
      <c r="L2053">
        <v>1</v>
      </c>
      <c r="M2053">
        <v>145</v>
      </c>
      <c r="N2053">
        <v>29</v>
      </c>
      <c r="O2053">
        <v>20</v>
      </c>
      <c r="P2053">
        <v>145</v>
      </c>
      <c r="Q2053">
        <v>136</v>
      </c>
      <c r="R2053" t="s">
        <v>112</v>
      </c>
      <c r="S2053" t="s">
        <v>31</v>
      </c>
      <c r="T2053" t="s">
        <v>40</v>
      </c>
      <c r="U2053">
        <v>62</v>
      </c>
      <c r="V2053">
        <v>3.9</v>
      </c>
      <c r="W2053">
        <f>Table2[[#This Row],[Quantity]]*Table2[[#This Row],[Item_Price]]</f>
        <v>145</v>
      </c>
    </row>
    <row r="2054" spans="1:23" x14ac:dyDescent="0.25">
      <c r="A2054" t="s">
        <v>2152</v>
      </c>
      <c r="B2054" s="1">
        <v>45806</v>
      </c>
      <c r="C2054" t="s">
        <v>1749</v>
      </c>
      <c r="D2054">
        <v>5</v>
      </c>
      <c r="E2054">
        <v>29</v>
      </c>
      <c r="F2054" t="s">
        <v>88</v>
      </c>
      <c r="G2054" t="s">
        <v>90</v>
      </c>
      <c r="H2054" t="s">
        <v>135</v>
      </c>
      <c r="I2054" t="s">
        <v>49</v>
      </c>
      <c r="J2054" t="s">
        <v>119</v>
      </c>
      <c r="K2054" t="s">
        <v>45</v>
      </c>
      <c r="L2054">
        <v>2</v>
      </c>
      <c r="M2054">
        <v>447</v>
      </c>
      <c r="N2054">
        <v>0</v>
      </c>
      <c r="O2054">
        <v>40</v>
      </c>
      <c r="P2054">
        <v>894</v>
      </c>
      <c r="Q2054">
        <v>934</v>
      </c>
      <c r="R2054" t="s">
        <v>30</v>
      </c>
      <c r="S2054" t="s">
        <v>31</v>
      </c>
      <c r="T2054" t="s">
        <v>40</v>
      </c>
      <c r="U2054">
        <v>57</v>
      </c>
      <c r="V2054">
        <v>4.2</v>
      </c>
      <c r="W2054">
        <f>Table2[[#This Row],[Quantity]]*Table2[[#This Row],[Item_Price]]</f>
        <v>894</v>
      </c>
    </row>
    <row r="2055" spans="1:23" x14ac:dyDescent="0.25">
      <c r="A2055" t="s">
        <v>2153</v>
      </c>
      <c r="B2055" s="1">
        <v>45806</v>
      </c>
      <c r="C2055" t="s">
        <v>1749</v>
      </c>
      <c r="D2055">
        <v>5</v>
      </c>
      <c r="E2055">
        <v>29</v>
      </c>
      <c r="F2055" t="s">
        <v>88</v>
      </c>
      <c r="G2055" t="s">
        <v>55</v>
      </c>
      <c r="H2055" t="s">
        <v>65</v>
      </c>
      <c r="I2055" t="s">
        <v>85</v>
      </c>
      <c r="J2055" t="s">
        <v>28</v>
      </c>
      <c r="K2055" t="s">
        <v>58</v>
      </c>
      <c r="L2055">
        <v>2</v>
      </c>
      <c r="M2055">
        <v>520</v>
      </c>
      <c r="N2055">
        <v>52</v>
      </c>
      <c r="O2055">
        <v>20</v>
      </c>
      <c r="P2055">
        <v>1040</v>
      </c>
      <c r="Q2055">
        <v>1008</v>
      </c>
      <c r="R2055" t="s">
        <v>30</v>
      </c>
      <c r="S2055" t="s">
        <v>31</v>
      </c>
      <c r="T2055" t="s">
        <v>32</v>
      </c>
      <c r="U2055">
        <v>40</v>
      </c>
      <c r="V2055">
        <v>3.6</v>
      </c>
      <c r="W2055">
        <f>Table2[[#This Row],[Quantity]]*Table2[[#This Row],[Item_Price]]</f>
        <v>1040</v>
      </c>
    </row>
    <row r="2056" spans="1:23" x14ac:dyDescent="0.25">
      <c r="A2056" t="s">
        <v>2154</v>
      </c>
      <c r="B2056" s="1">
        <v>45806</v>
      </c>
      <c r="C2056" t="s">
        <v>1749</v>
      </c>
      <c r="D2056">
        <v>5</v>
      </c>
      <c r="E2056">
        <v>29</v>
      </c>
      <c r="F2056" t="s">
        <v>88</v>
      </c>
      <c r="G2056" t="s">
        <v>73</v>
      </c>
      <c r="H2056" t="s">
        <v>135</v>
      </c>
      <c r="I2056" t="s">
        <v>69</v>
      </c>
      <c r="J2056" t="s">
        <v>66</v>
      </c>
      <c r="K2056" t="s">
        <v>38</v>
      </c>
      <c r="L2056">
        <v>1</v>
      </c>
      <c r="M2056">
        <v>263</v>
      </c>
      <c r="N2056">
        <v>26.3</v>
      </c>
      <c r="O2056">
        <v>20</v>
      </c>
      <c r="P2056">
        <v>263</v>
      </c>
      <c r="Q2056">
        <v>256.7</v>
      </c>
      <c r="R2056" t="s">
        <v>39</v>
      </c>
      <c r="S2056" t="s">
        <v>31</v>
      </c>
      <c r="T2056" t="s">
        <v>40</v>
      </c>
      <c r="U2056">
        <v>64</v>
      </c>
      <c r="V2056">
        <v>4.5</v>
      </c>
      <c r="W2056">
        <f>Table2[[#This Row],[Quantity]]*Table2[[#This Row],[Item_Price]]</f>
        <v>263</v>
      </c>
    </row>
    <row r="2057" spans="1:23" x14ac:dyDescent="0.25">
      <c r="A2057" t="s">
        <v>2155</v>
      </c>
      <c r="B2057" s="1">
        <v>45806</v>
      </c>
      <c r="C2057" t="s">
        <v>1749</v>
      </c>
      <c r="D2057">
        <v>5</v>
      </c>
      <c r="E2057">
        <v>29</v>
      </c>
      <c r="F2057" t="s">
        <v>88</v>
      </c>
      <c r="G2057" t="s">
        <v>64</v>
      </c>
      <c r="H2057" t="s">
        <v>77</v>
      </c>
      <c r="I2057" t="s">
        <v>85</v>
      </c>
      <c r="J2057" t="s">
        <v>119</v>
      </c>
      <c r="K2057" t="s">
        <v>45</v>
      </c>
      <c r="L2057">
        <v>1</v>
      </c>
      <c r="M2057">
        <v>434</v>
      </c>
      <c r="N2057">
        <v>65.099999999999994</v>
      </c>
      <c r="O2057">
        <v>40</v>
      </c>
      <c r="P2057">
        <v>434</v>
      </c>
      <c r="Q2057">
        <v>408.9</v>
      </c>
      <c r="R2057" t="s">
        <v>75</v>
      </c>
      <c r="S2057" t="s">
        <v>31</v>
      </c>
      <c r="T2057" t="s">
        <v>32</v>
      </c>
      <c r="U2057">
        <v>66</v>
      </c>
      <c r="V2057">
        <v>4.2</v>
      </c>
      <c r="W2057">
        <f>Table2[[#This Row],[Quantity]]*Table2[[#This Row],[Item_Price]]</f>
        <v>434</v>
      </c>
    </row>
    <row r="2058" spans="1:23" x14ac:dyDescent="0.25">
      <c r="A2058" t="s">
        <v>2156</v>
      </c>
      <c r="B2058" s="1">
        <v>45806</v>
      </c>
      <c r="C2058" t="s">
        <v>1749</v>
      </c>
      <c r="D2058">
        <v>5</v>
      </c>
      <c r="E2058">
        <v>29</v>
      </c>
      <c r="F2058" t="s">
        <v>88</v>
      </c>
      <c r="G2058" t="s">
        <v>25</v>
      </c>
      <c r="H2058" t="s">
        <v>81</v>
      </c>
      <c r="I2058" t="s">
        <v>61</v>
      </c>
      <c r="J2058" t="s">
        <v>123</v>
      </c>
      <c r="K2058" t="s">
        <v>38</v>
      </c>
      <c r="L2058">
        <v>3</v>
      </c>
      <c r="M2058">
        <v>130</v>
      </c>
      <c r="N2058">
        <v>6.5</v>
      </c>
      <c r="O2058">
        <v>30</v>
      </c>
      <c r="P2058">
        <v>390</v>
      </c>
      <c r="Q2058">
        <v>413.5</v>
      </c>
      <c r="R2058" t="s">
        <v>39</v>
      </c>
      <c r="S2058" t="s">
        <v>31</v>
      </c>
      <c r="T2058" t="s">
        <v>40</v>
      </c>
      <c r="U2058">
        <v>35</v>
      </c>
      <c r="V2058">
        <v>3.7</v>
      </c>
      <c r="W2058">
        <f>Table2[[#This Row],[Quantity]]*Table2[[#This Row],[Item_Price]]</f>
        <v>390</v>
      </c>
    </row>
    <row r="2059" spans="1:23" x14ac:dyDescent="0.25">
      <c r="A2059" t="s">
        <v>2157</v>
      </c>
      <c r="B2059" s="1">
        <v>45806</v>
      </c>
      <c r="C2059" t="s">
        <v>1749</v>
      </c>
      <c r="D2059">
        <v>5</v>
      </c>
      <c r="E2059">
        <v>29</v>
      </c>
      <c r="F2059" t="s">
        <v>88</v>
      </c>
      <c r="G2059" t="s">
        <v>55</v>
      </c>
      <c r="H2059" t="s">
        <v>68</v>
      </c>
      <c r="I2059" t="s">
        <v>85</v>
      </c>
      <c r="J2059" t="s">
        <v>50</v>
      </c>
      <c r="K2059" t="s">
        <v>38</v>
      </c>
      <c r="L2059">
        <v>3</v>
      </c>
      <c r="M2059">
        <v>513</v>
      </c>
      <c r="N2059">
        <v>102.6</v>
      </c>
      <c r="O2059">
        <v>0</v>
      </c>
      <c r="P2059">
        <v>1539</v>
      </c>
      <c r="Q2059">
        <v>1436.4</v>
      </c>
      <c r="R2059" t="s">
        <v>98</v>
      </c>
      <c r="S2059" t="s">
        <v>31</v>
      </c>
      <c r="T2059" t="s">
        <v>32</v>
      </c>
      <c r="U2059">
        <v>49</v>
      </c>
      <c r="V2059">
        <v>3.3</v>
      </c>
      <c r="W2059">
        <f>Table2[[#This Row],[Quantity]]*Table2[[#This Row],[Item_Price]]</f>
        <v>1539</v>
      </c>
    </row>
    <row r="2060" spans="1:23" x14ac:dyDescent="0.25">
      <c r="A2060" t="s">
        <v>2158</v>
      </c>
      <c r="B2060" s="1">
        <v>45806</v>
      </c>
      <c r="C2060" t="s">
        <v>1749</v>
      </c>
      <c r="D2060">
        <v>5</v>
      </c>
      <c r="E2060">
        <v>29</v>
      </c>
      <c r="F2060" t="s">
        <v>88</v>
      </c>
      <c r="G2060" t="s">
        <v>73</v>
      </c>
      <c r="H2060" t="s">
        <v>56</v>
      </c>
      <c r="I2060" t="s">
        <v>49</v>
      </c>
      <c r="J2060" t="s">
        <v>172</v>
      </c>
      <c r="K2060" t="s">
        <v>38</v>
      </c>
      <c r="L2060">
        <v>1</v>
      </c>
      <c r="M2060">
        <v>508</v>
      </c>
      <c r="N2060">
        <v>50.8</v>
      </c>
      <c r="O2060">
        <v>50</v>
      </c>
      <c r="P2060">
        <v>508</v>
      </c>
      <c r="Q2060">
        <v>507.2</v>
      </c>
      <c r="R2060" t="s">
        <v>30</v>
      </c>
      <c r="S2060" t="s">
        <v>91</v>
      </c>
      <c r="T2060" t="s">
        <v>40</v>
      </c>
      <c r="U2060">
        <v>53</v>
      </c>
      <c r="W2060">
        <f>Table2[[#This Row],[Quantity]]*Table2[[#This Row],[Item_Price]]</f>
        <v>508</v>
      </c>
    </row>
    <row r="2061" spans="1:23" x14ac:dyDescent="0.25">
      <c r="A2061" t="s">
        <v>2159</v>
      </c>
      <c r="B2061" s="1">
        <v>45806</v>
      </c>
      <c r="C2061" t="s">
        <v>1749</v>
      </c>
      <c r="D2061">
        <v>5</v>
      </c>
      <c r="E2061">
        <v>29</v>
      </c>
      <c r="F2061" t="s">
        <v>88</v>
      </c>
      <c r="G2061" t="s">
        <v>25</v>
      </c>
      <c r="H2061" t="s">
        <v>52</v>
      </c>
      <c r="I2061" t="s">
        <v>103</v>
      </c>
      <c r="J2061" t="s">
        <v>28</v>
      </c>
      <c r="K2061" t="s">
        <v>38</v>
      </c>
      <c r="L2061">
        <v>3</v>
      </c>
      <c r="M2061">
        <v>634</v>
      </c>
      <c r="N2061">
        <v>0</v>
      </c>
      <c r="O2061">
        <v>40</v>
      </c>
      <c r="P2061">
        <v>1902</v>
      </c>
      <c r="Q2061">
        <v>1942</v>
      </c>
      <c r="R2061" t="s">
        <v>39</v>
      </c>
      <c r="S2061" t="s">
        <v>91</v>
      </c>
      <c r="T2061" t="s">
        <v>40</v>
      </c>
      <c r="U2061">
        <v>56</v>
      </c>
      <c r="W2061">
        <f>Table2[[#This Row],[Quantity]]*Table2[[#This Row],[Item_Price]]</f>
        <v>1902</v>
      </c>
    </row>
    <row r="2062" spans="1:23" x14ac:dyDescent="0.25">
      <c r="A2062" t="s">
        <v>2160</v>
      </c>
      <c r="B2062" s="1">
        <v>45806</v>
      </c>
      <c r="C2062" t="s">
        <v>1749</v>
      </c>
      <c r="D2062">
        <v>5</v>
      </c>
      <c r="E2062">
        <v>29</v>
      </c>
      <c r="F2062" t="s">
        <v>88</v>
      </c>
      <c r="G2062" t="s">
        <v>90</v>
      </c>
      <c r="H2062" t="s">
        <v>81</v>
      </c>
      <c r="I2062" t="s">
        <v>61</v>
      </c>
      <c r="J2062" t="s">
        <v>70</v>
      </c>
      <c r="K2062" t="s">
        <v>45</v>
      </c>
      <c r="L2062">
        <v>2</v>
      </c>
      <c r="M2062">
        <v>691</v>
      </c>
      <c r="N2062">
        <v>0</v>
      </c>
      <c r="O2062">
        <v>30</v>
      </c>
      <c r="P2062">
        <v>1382</v>
      </c>
      <c r="Q2062">
        <v>1412</v>
      </c>
      <c r="R2062" t="s">
        <v>39</v>
      </c>
      <c r="S2062" t="s">
        <v>46</v>
      </c>
      <c r="T2062" t="s">
        <v>40</v>
      </c>
      <c r="U2062">
        <v>41</v>
      </c>
      <c r="W2062">
        <f>Table2[[#This Row],[Quantity]]*Table2[[#This Row],[Item_Price]]</f>
        <v>1382</v>
      </c>
    </row>
    <row r="2063" spans="1:23" x14ac:dyDescent="0.25">
      <c r="A2063" t="s">
        <v>2161</v>
      </c>
      <c r="B2063" s="1">
        <v>45806</v>
      </c>
      <c r="C2063" t="s">
        <v>1749</v>
      </c>
      <c r="D2063">
        <v>5</v>
      </c>
      <c r="E2063">
        <v>29</v>
      </c>
      <c r="F2063" t="s">
        <v>88</v>
      </c>
      <c r="G2063" t="s">
        <v>73</v>
      </c>
      <c r="H2063" t="s">
        <v>35</v>
      </c>
      <c r="I2063" t="s">
        <v>43</v>
      </c>
      <c r="J2063" t="s">
        <v>44</v>
      </c>
      <c r="K2063" t="s">
        <v>38</v>
      </c>
      <c r="L2063">
        <v>2</v>
      </c>
      <c r="M2063">
        <v>414</v>
      </c>
      <c r="N2063">
        <v>0</v>
      </c>
      <c r="O2063">
        <v>30</v>
      </c>
      <c r="P2063">
        <v>828</v>
      </c>
      <c r="Q2063">
        <v>858</v>
      </c>
      <c r="R2063" t="s">
        <v>75</v>
      </c>
      <c r="S2063" t="s">
        <v>31</v>
      </c>
      <c r="T2063" t="s">
        <v>40</v>
      </c>
      <c r="U2063">
        <v>58</v>
      </c>
      <c r="V2063">
        <v>5</v>
      </c>
      <c r="W2063">
        <f>Table2[[#This Row],[Quantity]]*Table2[[#This Row],[Item_Price]]</f>
        <v>828</v>
      </c>
    </row>
    <row r="2064" spans="1:23" x14ac:dyDescent="0.25">
      <c r="A2064" t="s">
        <v>2162</v>
      </c>
      <c r="B2064" s="1">
        <v>45806</v>
      </c>
      <c r="C2064" t="s">
        <v>1749</v>
      </c>
      <c r="D2064">
        <v>5</v>
      </c>
      <c r="E2064">
        <v>29</v>
      </c>
      <c r="F2064" t="s">
        <v>88</v>
      </c>
      <c r="G2064" t="s">
        <v>64</v>
      </c>
      <c r="H2064" t="s">
        <v>56</v>
      </c>
      <c r="I2064" t="s">
        <v>85</v>
      </c>
      <c r="J2064" t="s">
        <v>70</v>
      </c>
      <c r="K2064" t="s">
        <v>38</v>
      </c>
      <c r="L2064">
        <v>2</v>
      </c>
      <c r="M2064">
        <v>176</v>
      </c>
      <c r="N2064">
        <v>26.4</v>
      </c>
      <c r="O2064">
        <v>0</v>
      </c>
      <c r="P2064">
        <v>352</v>
      </c>
      <c r="Q2064">
        <v>325.60000000000002</v>
      </c>
      <c r="R2064" t="s">
        <v>39</v>
      </c>
      <c r="S2064" t="s">
        <v>31</v>
      </c>
      <c r="T2064" t="s">
        <v>32</v>
      </c>
      <c r="U2064">
        <v>57</v>
      </c>
      <c r="V2064">
        <v>3.9</v>
      </c>
      <c r="W2064">
        <f>Table2[[#This Row],[Quantity]]*Table2[[#This Row],[Item_Price]]</f>
        <v>352</v>
      </c>
    </row>
    <row r="2065" spans="1:23" x14ac:dyDescent="0.25">
      <c r="A2065" t="s">
        <v>2163</v>
      </c>
      <c r="B2065" s="1">
        <v>45807</v>
      </c>
      <c r="C2065" t="s">
        <v>1749</v>
      </c>
      <c r="D2065">
        <v>5</v>
      </c>
      <c r="E2065">
        <v>30</v>
      </c>
      <c r="F2065" t="s">
        <v>114</v>
      </c>
      <c r="G2065" t="s">
        <v>25</v>
      </c>
      <c r="H2065" t="s">
        <v>35</v>
      </c>
      <c r="I2065" t="s">
        <v>61</v>
      </c>
      <c r="J2065" t="s">
        <v>78</v>
      </c>
      <c r="K2065" t="s">
        <v>38</v>
      </c>
      <c r="L2065">
        <v>1</v>
      </c>
      <c r="M2065">
        <v>857</v>
      </c>
      <c r="N2065">
        <v>85.7</v>
      </c>
      <c r="O2065">
        <v>40</v>
      </c>
      <c r="P2065">
        <v>857</v>
      </c>
      <c r="Q2065">
        <v>811.3</v>
      </c>
      <c r="R2065" t="s">
        <v>98</v>
      </c>
      <c r="S2065" t="s">
        <v>31</v>
      </c>
      <c r="T2065" t="s">
        <v>40</v>
      </c>
      <c r="U2065">
        <v>25</v>
      </c>
      <c r="V2065">
        <v>5</v>
      </c>
      <c r="W2065">
        <f>Table2[[#This Row],[Quantity]]*Table2[[#This Row],[Item_Price]]</f>
        <v>857</v>
      </c>
    </row>
    <row r="2066" spans="1:23" x14ac:dyDescent="0.25">
      <c r="A2066" t="s">
        <v>2164</v>
      </c>
      <c r="B2066" s="1">
        <v>45807</v>
      </c>
      <c r="C2066" t="s">
        <v>1749</v>
      </c>
      <c r="D2066">
        <v>5</v>
      </c>
      <c r="E2066">
        <v>30</v>
      </c>
      <c r="F2066" t="s">
        <v>114</v>
      </c>
      <c r="G2066" t="s">
        <v>80</v>
      </c>
      <c r="H2066" t="s">
        <v>135</v>
      </c>
      <c r="I2066" t="s">
        <v>49</v>
      </c>
      <c r="J2066" t="s">
        <v>37</v>
      </c>
      <c r="K2066" t="s">
        <v>58</v>
      </c>
      <c r="L2066">
        <v>2</v>
      </c>
      <c r="M2066">
        <v>707</v>
      </c>
      <c r="N2066">
        <v>176.75</v>
      </c>
      <c r="O2066">
        <v>0</v>
      </c>
      <c r="P2066">
        <v>1414</v>
      </c>
      <c r="Q2066">
        <v>1237.25</v>
      </c>
      <c r="R2066" t="s">
        <v>39</v>
      </c>
      <c r="S2066" t="s">
        <v>31</v>
      </c>
      <c r="T2066" t="s">
        <v>32</v>
      </c>
      <c r="U2066">
        <v>56</v>
      </c>
      <c r="V2066">
        <v>3</v>
      </c>
      <c r="W2066">
        <f>Table2[[#This Row],[Quantity]]*Table2[[#This Row],[Item_Price]]</f>
        <v>1414</v>
      </c>
    </row>
    <row r="2067" spans="1:23" x14ac:dyDescent="0.25">
      <c r="A2067" t="s">
        <v>2165</v>
      </c>
      <c r="B2067" s="1">
        <v>45807</v>
      </c>
      <c r="C2067" t="s">
        <v>1749</v>
      </c>
      <c r="D2067">
        <v>5</v>
      </c>
      <c r="E2067">
        <v>30</v>
      </c>
      <c r="F2067" t="s">
        <v>114</v>
      </c>
      <c r="G2067" t="s">
        <v>80</v>
      </c>
      <c r="H2067" t="s">
        <v>81</v>
      </c>
      <c r="I2067" t="s">
        <v>49</v>
      </c>
      <c r="J2067" t="s">
        <v>44</v>
      </c>
      <c r="K2067" t="s">
        <v>38</v>
      </c>
      <c r="L2067">
        <v>2</v>
      </c>
      <c r="M2067">
        <v>534</v>
      </c>
      <c r="N2067">
        <v>106.8</v>
      </c>
      <c r="O2067">
        <v>30</v>
      </c>
      <c r="P2067">
        <v>1068</v>
      </c>
      <c r="Q2067">
        <v>991.2</v>
      </c>
      <c r="R2067" t="s">
        <v>75</v>
      </c>
      <c r="S2067" t="s">
        <v>31</v>
      </c>
      <c r="T2067" t="s">
        <v>40</v>
      </c>
      <c r="U2067">
        <v>69</v>
      </c>
      <c r="V2067">
        <v>5</v>
      </c>
      <c r="W2067">
        <f>Table2[[#This Row],[Quantity]]*Table2[[#This Row],[Item_Price]]</f>
        <v>1068</v>
      </c>
    </row>
    <row r="2068" spans="1:23" x14ac:dyDescent="0.25">
      <c r="A2068" t="s">
        <v>2166</v>
      </c>
      <c r="B2068" s="1">
        <v>45807</v>
      </c>
      <c r="C2068" t="s">
        <v>1749</v>
      </c>
      <c r="D2068">
        <v>5</v>
      </c>
      <c r="E2068">
        <v>30</v>
      </c>
      <c r="F2068" t="s">
        <v>114</v>
      </c>
      <c r="G2068" t="s">
        <v>115</v>
      </c>
      <c r="H2068" t="s">
        <v>77</v>
      </c>
      <c r="I2068" t="s">
        <v>103</v>
      </c>
      <c r="J2068" t="s">
        <v>78</v>
      </c>
      <c r="K2068" t="s">
        <v>38</v>
      </c>
      <c r="L2068">
        <v>2</v>
      </c>
      <c r="M2068">
        <v>126</v>
      </c>
      <c r="N2068">
        <v>25.2</v>
      </c>
      <c r="O2068">
        <v>20</v>
      </c>
      <c r="P2068">
        <v>252</v>
      </c>
      <c r="Q2068">
        <v>246.8</v>
      </c>
      <c r="R2068" t="s">
        <v>75</v>
      </c>
      <c r="S2068" t="s">
        <v>110</v>
      </c>
      <c r="T2068" t="s">
        <v>40</v>
      </c>
      <c r="U2068">
        <v>68</v>
      </c>
      <c r="W2068">
        <f>Table2[[#This Row],[Quantity]]*Table2[[#This Row],[Item_Price]]</f>
        <v>252</v>
      </c>
    </row>
    <row r="2069" spans="1:23" x14ac:dyDescent="0.25">
      <c r="A2069" t="s">
        <v>2167</v>
      </c>
      <c r="B2069" s="1">
        <v>45807</v>
      </c>
      <c r="C2069" t="s">
        <v>1749</v>
      </c>
      <c r="D2069">
        <v>5</v>
      </c>
      <c r="E2069">
        <v>30</v>
      </c>
      <c r="F2069" t="s">
        <v>114</v>
      </c>
      <c r="G2069" t="s">
        <v>34</v>
      </c>
      <c r="H2069" t="s">
        <v>35</v>
      </c>
      <c r="I2069" t="s">
        <v>61</v>
      </c>
      <c r="J2069" t="s">
        <v>119</v>
      </c>
      <c r="K2069" t="s">
        <v>38</v>
      </c>
      <c r="L2069">
        <v>1</v>
      </c>
      <c r="M2069">
        <v>645</v>
      </c>
      <c r="N2069">
        <v>0</v>
      </c>
      <c r="O2069">
        <v>50</v>
      </c>
      <c r="P2069">
        <v>645</v>
      </c>
      <c r="Q2069">
        <v>695</v>
      </c>
      <c r="R2069" t="s">
        <v>39</v>
      </c>
      <c r="S2069" t="s">
        <v>31</v>
      </c>
      <c r="T2069" t="s">
        <v>40</v>
      </c>
      <c r="U2069">
        <v>33</v>
      </c>
      <c r="V2069">
        <v>3.4</v>
      </c>
      <c r="W2069">
        <f>Table2[[#This Row],[Quantity]]*Table2[[#This Row],[Item_Price]]</f>
        <v>645</v>
      </c>
    </row>
    <row r="2070" spans="1:23" x14ac:dyDescent="0.25">
      <c r="A2070" t="s">
        <v>2168</v>
      </c>
      <c r="B2070" s="1">
        <v>45807</v>
      </c>
      <c r="C2070" t="s">
        <v>1749</v>
      </c>
      <c r="D2070">
        <v>5</v>
      </c>
      <c r="E2070">
        <v>30</v>
      </c>
      <c r="F2070" t="s">
        <v>114</v>
      </c>
      <c r="G2070" t="s">
        <v>34</v>
      </c>
      <c r="H2070" t="s">
        <v>35</v>
      </c>
      <c r="I2070" t="s">
        <v>61</v>
      </c>
      <c r="J2070" t="s">
        <v>70</v>
      </c>
      <c r="K2070" t="s">
        <v>38</v>
      </c>
      <c r="L2070">
        <v>2</v>
      </c>
      <c r="M2070">
        <v>166</v>
      </c>
      <c r="N2070">
        <v>16.600000000000001</v>
      </c>
      <c r="O2070">
        <v>0</v>
      </c>
      <c r="P2070">
        <v>332</v>
      </c>
      <c r="Q2070">
        <v>315.39999999999998</v>
      </c>
      <c r="R2070" t="s">
        <v>39</v>
      </c>
      <c r="S2070" t="s">
        <v>31</v>
      </c>
      <c r="T2070" t="s">
        <v>40</v>
      </c>
      <c r="U2070">
        <v>58</v>
      </c>
      <c r="V2070">
        <v>4</v>
      </c>
      <c r="W2070">
        <f>Table2[[#This Row],[Quantity]]*Table2[[#This Row],[Item_Price]]</f>
        <v>332</v>
      </c>
    </row>
    <row r="2071" spans="1:23" x14ac:dyDescent="0.25">
      <c r="A2071" t="s">
        <v>2169</v>
      </c>
      <c r="B2071" s="1">
        <v>45807</v>
      </c>
      <c r="C2071" t="s">
        <v>1749</v>
      </c>
      <c r="D2071">
        <v>5</v>
      </c>
      <c r="E2071">
        <v>30</v>
      </c>
      <c r="F2071" t="s">
        <v>114</v>
      </c>
      <c r="G2071" t="s">
        <v>80</v>
      </c>
      <c r="H2071" t="s">
        <v>26</v>
      </c>
      <c r="I2071" t="s">
        <v>69</v>
      </c>
      <c r="J2071" t="s">
        <v>28</v>
      </c>
      <c r="K2071" t="s">
        <v>38</v>
      </c>
      <c r="L2071">
        <v>2</v>
      </c>
      <c r="M2071">
        <v>804</v>
      </c>
      <c r="N2071">
        <v>40.200000000000003</v>
      </c>
      <c r="O2071">
        <v>20</v>
      </c>
      <c r="P2071">
        <v>1608</v>
      </c>
      <c r="Q2071">
        <v>1587.8</v>
      </c>
      <c r="R2071" t="s">
        <v>112</v>
      </c>
      <c r="S2071" t="s">
        <v>31</v>
      </c>
      <c r="T2071" t="s">
        <v>32</v>
      </c>
      <c r="U2071">
        <v>35</v>
      </c>
      <c r="V2071">
        <v>4.4000000000000004</v>
      </c>
      <c r="W2071">
        <f>Table2[[#This Row],[Quantity]]*Table2[[#This Row],[Item_Price]]</f>
        <v>1608</v>
      </c>
    </row>
    <row r="2072" spans="1:23" x14ac:dyDescent="0.25">
      <c r="A2072" t="s">
        <v>2170</v>
      </c>
      <c r="B2072" s="1">
        <v>45807</v>
      </c>
      <c r="C2072" t="s">
        <v>1749</v>
      </c>
      <c r="D2072">
        <v>5</v>
      </c>
      <c r="E2072">
        <v>30</v>
      </c>
      <c r="F2072" t="s">
        <v>114</v>
      </c>
      <c r="G2072" t="s">
        <v>34</v>
      </c>
      <c r="H2072" t="s">
        <v>77</v>
      </c>
      <c r="I2072" t="s">
        <v>85</v>
      </c>
      <c r="J2072" t="s">
        <v>50</v>
      </c>
      <c r="K2072" t="s">
        <v>38</v>
      </c>
      <c r="L2072">
        <v>1</v>
      </c>
      <c r="M2072">
        <v>340</v>
      </c>
      <c r="N2072">
        <v>34</v>
      </c>
      <c r="O2072">
        <v>30</v>
      </c>
      <c r="P2072">
        <v>340</v>
      </c>
      <c r="Q2072">
        <v>336</v>
      </c>
      <c r="R2072" t="s">
        <v>75</v>
      </c>
      <c r="S2072" t="s">
        <v>46</v>
      </c>
      <c r="T2072" t="s">
        <v>40</v>
      </c>
      <c r="U2072">
        <v>65</v>
      </c>
      <c r="W2072">
        <f>Table2[[#This Row],[Quantity]]*Table2[[#This Row],[Item_Price]]</f>
        <v>340</v>
      </c>
    </row>
    <row r="2073" spans="1:23" x14ac:dyDescent="0.25">
      <c r="A2073" t="s">
        <v>2171</v>
      </c>
      <c r="B2073" s="1">
        <v>45807</v>
      </c>
      <c r="C2073" t="s">
        <v>1749</v>
      </c>
      <c r="D2073">
        <v>5</v>
      </c>
      <c r="E2073">
        <v>30</v>
      </c>
      <c r="F2073" t="s">
        <v>114</v>
      </c>
      <c r="G2073" t="s">
        <v>73</v>
      </c>
      <c r="H2073" t="s">
        <v>42</v>
      </c>
      <c r="I2073" t="s">
        <v>27</v>
      </c>
      <c r="J2073" t="s">
        <v>82</v>
      </c>
      <c r="K2073" t="s">
        <v>38</v>
      </c>
      <c r="L2073">
        <v>1</v>
      </c>
      <c r="M2073">
        <v>488</v>
      </c>
      <c r="N2073">
        <v>97.6</v>
      </c>
      <c r="O2073">
        <v>60</v>
      </c>
      <c r="P2073">
        <v>488</v>
      </c>
      <c r="Q2073">
        <v>450.4</v>
      </c>
      <c r="R2073" t="s">
        <v>39</v>
      </c>
      <c r="S2073" t="s">
        <v>31</v>
      </c>
      <c r="T2073" t="s">
        <v>40</v>
      </c>
      <c r="U2073">
        <v>52</v>
      </c>
      <c r="V2073">
        <v>4.0999999999999996</v>
      </c>
      <c r="W2073">
        <f>Table2[[#This Row],[Quantity]]*Table2[[#This Row],[Item_Price]]</f>
        <v>488</v>
      </c>
    </row>
    <row r="2074" spans="1:23" x14ac:dyDescent="0.25">
      <c r="A2074" t="s">
        <v>2172</v>
      </c>
      <c r="B2074" s="1">
        <v>45807</v>
      </c>
      <c r="C2074" t="s">
        <v>1749</v>
      </c>
      <c r="D2074">
        <v>5</v>
      </c>
      <c r="E2074">
        <v>30</v>
      </c>
      <c r="F2074" t="s">
        <v>114</v>
      </c>
      <c r="G2074" t="s">
        <v>80</v>
      </c>
      <c r="H2074" t="s">
        <v>81</v>
      </c>
      <c r="I2074" t="s">
        <v>27</v>
      </c>
      <c r="J2074" t="s">
        <v>78</v>
      </c>
      <c r="K2074" t="s">
        <v>38</v>
      </c>
      <c r="L2074">
        <v>2</v>
      </c>
      <c r="M2074">
        <v>292</v>
      </c>
      <c r="N2074">
        <v>0</v>
      </c>
      <c r="O2074">
        <v>60</v>
      </c>
      <c r="P2074">
        <v>584</v>
      </c>
      <c r="Q2074">
        <v>644</v>
      </c>
      <c r="R2074" t="s">
        <v>39</v>
      </c>
      <c r="S2074" t="s">
        <v>31</v>
      </c>
      <c r="T2074" t="s">
        <v>40</v>
      </c>
      <c r="U2074">
        <v>61</v>
      </c>
      <c r="V2074">
        <v>4.4000000000000004</v>
      </c>
      <c r="W2074">
        <f>Table2[[#This Row],[Quantity]]*Table2[[#This Row],[Item_Price]]</f>
        <v>584</v>
      </c>
    </row>
    <row r="2075" spans="1:23" x14ac:dyDescent="0.25">
      <c r="A2075" t="s">
        <v>2173</v>
      </c>
      <c r="B2075" s="1">
        <v>45807</v>
      </c>
      <c r="C2075" t="s">
        <v>1749</v>
      </c>
      <c r="D2075">
        <v>5</v>
      </c>
      <c r="E2075">
        <v>30</v>
      </c>
      <c r="F2075" t="s">
        <v>114</v>
      </c>
      <c r="G2075" t="s">
        <v>115</v>
      </c>
      <c r="H2075" t="s">
        <v>68</v>
      </c>
      <c r="I2075" t="s">
        <v>69</v>
      </c>
      <c r="J2075" t="s">
        <v>74</v>
      </c>
      <c r="K2075" t="s">
        <v>38</v>
      </c>
      <c r="L2075">
        <v>2</v>
      </c>
      <c r="M2075">
        <v>679</v>
      </c>
      <c r="N2075">
        <v>67.900000000000006</v>
      </c>
      <c r="O2075">
        <v>30</v>
      </c>
      <c r="P2075">
        <v>1358</v>
      </c>
      <c r="Q2075">
        <v>1320.1</v>
      </c>
      <c r="R2075" t="s">
        <v>75</v>
      </c>
      <c r="S2075" t="s">
        <v>31</v>
      </c>
      <c r="T2075" t="s">
        <v>32</v>
      </c>
      <c r="U2075">
        <v>63</v>
      </c>
      <c r="V2075">
        <v>5</v>
      </c>
      <c r="W2075">
        <f>Table2[[#This Row],[Quantity]]*Table2[[#This Row],[Item_Price]]</f>
        <v>1358</v>
      </c>
    </row>
    <row r="2076" spans="1:23" x14ac:dyDescent="0.25">
      <c r="A2076" t="s">
        <v>2174</v>
      </c>
      <c r="B2076" s="1">
        <v>45807</v>
      </c>
      <c r="C2076" t="s">
        <v>1749</v>
      </c>
      <c r="D2076">
        <v>5</v>
      </c>
      <c r="E2076">
        <v>30</v>
      </c>
      <c r="F2076" t="s">
        <v>114</v>
      </c>
      <c r="G2076" t="s">
        <v>115</v>
      </c>
      <c r="H2076" t="s">
        <v>56</v>
      </c>
      <c r="I2076" t="s">
        <v>43</v>
      </c>
      <c r="J2076" t="s">
        <v>119</v>
      </c>
      <c r="K2076" t="s">
        <v>38</v>
      </c>
      <c r="L2076">
        <v>2</v>
      </c>
      <c r="M2076">
        <v>624</v>
      </c>
      <c r="N2076">
        <v>0</v>
      </c>
      <c r="O2076">
        <v>20</v>
      </c>
      <c r="P2076">
        <v>1248</v>
      </c>
      <c r="Q2076">
        <v>1268</v>
      </c>
      <c r="R2076" t="s">
        <v>75</v>
      </c>
      <c r="S2076" t="s">
        <v>31</v>
      </c>
      <c r="T2076" t="s">
        <v>40</v>
      </c>
      <c r="U2076">
        <v>60</v>
      </c>
      <c r="V2076">
        <v>4.7</v>
      </c>
      <c r="W2076">
        <f>Table2[[#This Row],[Quantity]]*Table2[[#This Row],[Item_Price]]</f>
        <v>1248</v>
      </c>
    </row>
    <row r="2077" spans="1:23" x14ac:dyDescent="0.25">
      <c r="A2077" t="s">
        <v>2175</v>
      </c>
      <c r="B2077" s="1">
        <v>45807</v>
      </c>
      <c r="C2077" t="s">
        <v>1749</v>
      </c>
      <c r="D2077">
        <v>5</v>
      </c>
      <c r="E2077">
        <v>30</v>
      </c>
      <c r="F2077" t="s">
        <v>114</v>
      </c>
      <c r="G2077" t="s">
        <v>64</v>
      </c>
      <c r="H2077" t="s">
        <v>108</v>
      </c>
      <c r="I2077" t="s">
        <v>49</v>
      </c>
      <c r="J2077" t="s">
        <v>37</v>
      </c>
      <c r="K2077" t="s">
        <v>38</v>
      </c>
      <c r="L2077">
        <v>1</v>
      </c>
      <c r="M2077">
        <v>274</v>
      </c>
      <c r="N2077">
        <v>13.7</v>
      </c>
      <c r="O2077">
        <v>0</v>
      </c>
      <c r="P2077">
        <v>274</v>
      </c>
      <c r="Q2077">
        <v>260.3</v>
      </c>
      <c r="R2077" t="s">
        <v>39</v>
      </c>
      <c r="S2077" t="s">
        <v>31</v>
      </c>
      <c r="T2077" t="s">
        <v>40</v>
      </c>
      <c r="U2077">
        <v>69</v>
      </c>
      <c r="V2077">
        <v>3.3</v>
      </c>
      <c r="W2077">
        <f>Table2[[#This Row],[Quantity]]*Table2[[#This Row],[Item_Price]]</f>
        <v>274</v>
      </c>
    </row>
    <row r="2078" spans="1:23" x14ac:dyDescent="0.25">
      <c r="A2078" t="s">
        <v>2176</v>
      </c>
      <c r="B2078" s="1">
        <v>45807</v>
      </c>
      <c r="C2078" t="s">
        <v>1749</v>
      </c>
      <c r="D2078">
        <v>5</v>
      </c>
      <c r="E2078">
        <v>30</v>
      </c>
      <c r="F2078" t="s">
        <v>114</v>
      </c>
      <c r="G2078" t="s">
        <v>55</v>
      </c>
      <c r="H2078" t="s">
        <v>65</v>
      </c>
      <c r="I2078" t="s">
        <v>103</v>
      </c>
      <c r="J2078" t="s">
        <v>172</v>
      </c>
      <c r="K2078" t="s">
        <v>45</v>
      </c>
      <c r="L2078">
        <v>2</v>
      </c>
      <c r="M2078">
        <v>318</v>
      </c>
      <c r="N2078">
        <v>63.6</v>
      </c>
      <c r="O2078">
        <v>30</v>
      </c>
      <c r="P2078">
        <v>636</v>
      </c>
      <c r="Q2078">
        <v>602.4</v>
      </c>
      <c r="R2078" t="s">
        <v>39</v>
      </c>
      <c r="S2078" t="s">
        <v>31</v>
      </c>
      <c r="T2078" t="s">
        <v>40</v>
      </c>
      <c r="U2078">
        <v>33</v>
      </c>
      <c r="V2078">
        <v>4.0999999999999996</v>
      </c>
      <c r="W2078">
        <f>Table2[[#This Row],[Quantity]]*Table2[[#This Row],[Item_Price]]</f>
        <v>636</v>
      </c>
    </row>
    <row r="2079" spans="1:23" x14ac:dyDescent="0.25">
      <c r="A2079" t="s">
        <v>2177</v>
      </c>
      <c r="B2079" s="1">
        <v>45807</v>
      </c>
      <c r="C2079" t="s">
        <v>1749</v>
      </c>
      <c r="D2079">
        <v>5</v>
      </c>
      <c r="E2079">
        <v>30</v>
      </c>
      <c r="F2079" t="s">
        <v>114</v>
      </c>
      <c r="G2079" t="s">
        <v>84</v>
      </c>
      <c r="H2079" t="s">
        <v>42</v>
      </c>
      <c r="I2079" t="s">
        <v>27</v>
      </c>
      <c r="J2079" t="s">
        <v>66</v>
      </c>
      <c r="K2079" t="s">
        <v>38</v>
      </c>
      <c r="L2079">
        <v>3</v>
      </c>
      <c r="M2079">
        <v>312</v>
      </c>
      <c r="N2079">
        <v>15.6</v>
      </c>
      <c r="O2079">
        <v>30</v>
      </c>
      <c r="P2079">
        <v>936</v>
      </c>
      <c r="Q2079">
        <v>950.4</v>
      </c>
      <c r="R2079" t="s">
        <v>39</v>
      </c>
      <c r="S2079" t="s">
        <v>31</v>
      </c>
      <c r="T2079" t="s">
        <v>40</v>
      </c>
      <c r="U2079">
        <v>55</v>
      </c>
      <c r="V2079">
        <v>4.5</v>
      </c>
      <c r="W2079">
        <f>Table2[[#This Row],[Quantity]]*Table2[[#This Row],[Item_Price]]</f>
        <v>936</v>
      </c>
    </row>
    <row r="2080" spans="1:23" x14ac:dyDescent="0.25">
      <c r="A2080" t="s">
        <v>2178</v>
      </c>
      <c r="B2080" s="1">
        <v>45808</v>
      </c>
      <c r="C2080" t="s">
        <v>1749</v>
      </c>
      <c r="D2080">
        <v>5</v>
      </c>
      <c r="E2080">
        <v>31</v>
      </c>
      <c r="F2080" t="s">
        <v>134</v>
      </c>
      <c r="G2080" t="s">
        <v>73</v>
      </c>
      <c r="H2080" t="s">
        <v>56</v>
      </c>
      <c r="I2080" t="s">
        <v>61</v>
      </c>
      <c r="J2080" t="s">
        <v>94</v>
      </c>
      <c r="K2080" t="s">
        <v>38</v>
      </c>
      <c r="L2080">
        <v>3</v>
      </c>
      <c r="M2080">
        <v>548</v>
      </c>
      <c r="N2080">
        <v>82.2</v>
      </c>
      <c r="O2080">
        <v>40</v>
      </c>
      <c r="P2080">
        <v>1644</v>
      </c>
      <c r="Q2080">
        <v>1601.8</v>
      </c>
      <c r="R2080" t="s">
        <v>39</v>
      </c>
      <c r="S2080" t="s">
        <v>31</v>
      </c>
      <c r="T2080" t="s">
        <v>32</v>
      </c>
      <c r="U2080">
        <v>33</v>
      </c>
      <c r="V2080">
        <v>4.4000000000000004</v>
      </c>
      <c r="W2080">
        <f>Table2[[#This Row],[Quantity]]*Table2[[#This Row],[Item_Price]]</f>
        <v>1644</v>
      </c>
    </row>
    <row r="2081" spans="1:23" x14ac:dyDescent="0.25">
      <c r="A2081" t="s">
        <v>2179</v>
      </c>
      <c r="B2081" s="1">
        <v>45808</v>
      </c>
      <c r="C2081" t="s">
        <v>1749</v>
      </c>
      <c r="D2081">
        <v>5</v>
      </c>
      <c r="E2081">
        <v>31</v>
      </c>
      <c r="F2081" t="s">
        <v>134</v>
      </c>
      <c r="G2081" t="s">
        <v>84</v>
      </c>
      <c r="H2081" t="s">
        <v>52</v>
      </c>
      <c r="I2081" t="s">
        <v>97</v>
      </c>
      <c r="J2081" t="s">
        <v>44</v>
      </c>
      <c r="K2081" t="s">
        <v>38</v>
      </c>
      <c r="L2081">
        <v>3</v>
      </c>
      <c r="M2081">
        <v>727</v>
      </c>
      <c r="N2081">
        <v>109.05</v>
      </c>
      <c r="O2081">
        <v>0</v>
      </c>
      <c r="P2081">
        <v>2181</v>
      </c>
      <c r="Q2081">
        <v>2071.9499999999998</v>
      </c>
      <c r="R2081" t="s">
        <v>39</v>
      </c>
      <c r="S2081" t="s">
        <v>110</v>
      </c>
      <c r="T2081" t="s">
        <v>40</v>
      </c>
      <c r="U2081">
        <v>60</v>
      </c>
      <c r="W2081">
        <f>Table2[[#This Row],[Quantity]]*Table2[[#This Row],[Item_Price]]</f>
        <v>2181</v>
      </c>
    </row>
    <row r="2082" spans="1:23" x14ac:dyDescent="0.25">
      <c r="A2082" t="s">
        <v>2180</v>
      </c>
      <c r="B2082" s="1">
        <v>45808</v>
      </c>
      <c r="C2082" t="s">
        <v>1749</v>
      </c>
      <c r="D2082">
        <v>5</v>
      </c>
      <c r="E2082">
        <v>31</v>
      </c>
      <c r="F2082" t="s">
        <v>134</v>
      </c>
      <c r="G2082" t="s">
        <v>34</v>
      </c>
      <c r="H2082" t="s">
        <v>105</v>
      </c>
      <c r="I2082" t="s">
        <v>97</v>
      </c>
      <c r="J2082" t="s">
        <v>101</v>
      </c>
      <c r="K2082" t="s">
        <v>38</v>
      </c>
      <c r="L2082">
        <v>2</v>
      </c>
      <c r="M2082">
        <v>824</v>
      </c>
      <c r="N2082">
        <v>41.2</v>
      </c>
      <c r="O2082">
        <v>50</v>
      </c>
      <c r="P2082">
        <v>1648</v>
      </c>
      <c r="Q2082">
        <v>1656.8</v>
      </c>
      <c r="R2082" t="s">
        <v>75</v>
      </c>
      <c r="S2082" t="s">
        <v>31</v>
      </c>
      <c r="T2082" t="s">
        <v>40</v>
      </c>
      <c r="U2082">
        <v>28</v>
      </c>
      <c r="V2082">
        <v>4.8</v>
      </c>
      <c r="W2082">
        <f>Table2[[#This Row],[Quantity]]*Table2[[#This Row],[Item_Price]]</f>
        <v>1648</v>
      </c>
    </row>
    <row r="2083" spans="1:23" x14ac:dyDescent="0.25">
      <c r="A2083" t="s">
        <v>2181</v>
      </c>
      <c r="B2083" s="1">
        <v>45808</v>
      </c>
      <c r="C2083" t="s">
        <v>1749</v>
      </c>
      <c r="D2083">
        <v>5</v>
      </c>
      <c r="E2083">
        <v>31</v>
      </c>
      <c r="F2083" t="s">
        <v>134</v>
      </c>
      <c r="G2083" t="s">
        <v>90</v>
      </c>
      <c r="H2083" t="s">
        <v>52</v>
      </c>
      <c r="I2083" t="s">
        <v>49</v>
      </c>
      <c r="J2083" t="s">
        <v>123</v>
      </c>
      <c r="K2083" t="s">
        <v>29</v>
      </c>
      <c r="L2083">
        <v>1</v>
      </c>
      <c r="M2083">
        <v>206</v>
      </c>
      <c r="N2083">
        <v>20.6</v>
      </c>
      <c r="O2083">
        <v>60</v>
      </c>
      <c r="P2083">
        <v>206</v>
      </c>
      <c r="Q2083">
        <v>245.4</v>
      </c>
      <c r="R2083" t="s">
        <v>98</v>
      </c>
      <c r="S2083" t="s">
        <v>31</v>
      </c>
      <c r="T2083" t="s">
        <v>32</v>
      </c>
      <c r="U2083">
        <v>65</v>
      </c>
      <c r="V2083">
        <v>3.7</v>
      </c>
      <c r="W2083">
        <f>Table2[[#This Row],[Quantity]]*Table2[[#This Row],[Item_Price]]</f>
        <v>206</v>
      </c>
    </row>
    <row r="2084" spans="1:23" x14ac:dyDescent="0.25">
      <c r="A2084" t="s">
        <v>2182</v>
      </c>
      <c r="B2084" s="1">
        <v>45808</v>
      </c>
      <c r="C2084" t="s">
        <v>1749</v>
      </c>
      <c r="D2084">
        <v>5</v>
      </c>
      <c r="E2084">
        <v>31</v>
      </c>
      <c r="F2084" t="s">
        <v>134</v>
      </c>
      <c r="G2084" t="s">
        <v>34</v>
      </c>
      <c r="H2084" t="s">
        <v>105</v>
      </c>
      <c r="I2084" t="s">
        <v>97</v>
      </c>
      <c r="J2084" t="s">
        <v>78</v>
      </c>
      <c r="K2084" t="s">
        <v>38</v>
      </c>
      <c r="L2084">
        <v>3</v>
      </c>
      <c r="M2084">
        <v>852</v>
      </c>
      <c r="N2084">
        <v>85.2</v>
      </c>
      <c r="O2084">
        <v>40</v>
      </c>
      <c r="P2084">
        <v>2556</v>
      </c>
      <c r="Q2084">
        <v>2510.8000000000002</v>
      </c>
      <c r="R2084" t="s">
        <v>39</v>
      </c>
      <c r="S2084" t="s">
        <v>31</v>
      </c>
      <c r="T2084" t="s">
        <v>40</v>
      </c>
      <c r="U2084">
        <v>41</v>
      </c>
      <c r="V2084">
        <v>3.7</v>
      </c>
      <c r="W2084">
        <f>Table2[[#This Row],[Quantity]]*Table2[[#This Row],[Item_Price]]</f>
        <v>2556</v>
      </c>
    </row>
    <row r="2085" spans="1:23" x14ac:dyDescent="0.25">
      <c r="A2085" t="s">
        <v>2183</v>
      </c>
      <c r="B2085" s="1">
        <v>45808</v>
      </c>
      <c r="C2085" t="s">
        <v>1749</v>
      </c>
      <c r="D2085">
        <v>5</v>
      </c>
      <c r="E2085">
        <v>31</v>
      </c>
      <c r="F2085" t="s">
        <v>134</v>
      </c>
      <c r="G2085" t="s">
        <v>90</v>
      </c>
      <c r="H2085" t="s">
        <v>35</v>
      </c>
      <c r="I2085" t="s">
        <v>43</v>
      </c>
      <c r="J2085" t="s">
        <v>37</v>
      </c>
      <c r="K2085" t="s">
        <v>29</v>
      </c>
      <c r="L2085">
        <v>1</v>
      </c>
      <c r="M2085">
        <v>505</v>
      </c>
      <c r="N2085">
        <v>50.5</v>
      </c>
      <c r="O2085">
        <v>0</v>
      </c>
      <c r="P2085">
        <v>505</v>
      </c>
      <c r="Q2085">
        <v>454.5</v>
      </c>
      <c r="R2085" t="s">
        <v>39</v>
      </c>
      <c r="S2085" t="s">
        <v>31</v>
      </c>
      <c r="T2085" t="s">
        <v>40</v>
      </c>
      <c r="U2085">
        <v>19</v>
      </c>
      <c r="V2085">
        <v>2.8</v>
      </c>
      <c r="W2085">
        <f>Table2[[#This Row],[Quantity]]*Table2[[#This Row],[Item_Price]]</f>
        <v>505</v>
      </c>
    </row>
    <row r="2086" spans="1:23" x14ac:dyDescent="0.25">
      <c r="A2086" t="s">
        <v>2184</v>
      </c>
      <c r="B2086" s="1">
        <v>45808</v>
      </c>
      <c r="C2086" t="s">
        <v>1749</v>
      </c>
      <c r="D2086">
        <v>5</v>
      </c>
      <c r="E2086">
        <v>31</v>
      </c>
      <c r="F2086" t="s">
        <v>134</v>
      </c>
      <c r="G2086" t="s">
        <v>25</v>
      </c>
      <c r="H2086" t="s">
        <v>52</v>
      </c>
      <c r="I2086" t="s">
        <v>43</v>
      </c>
      <c r="J2086" t="s">
        <v>28</v>
      </c>
      <c r="K2086" t="s">
        <v>38</v>
      </c>
      <c r="L2086">
        <v>2</v>
      </c>
      <c r="M2086">
        <v>683</v>
      </c>
      <c r="N2086">
        <v>136.6</v>
      </c>
      <c r="O2086">
        <v>30</v>
      </c>
      <c r="P2086">
        <v>1366</v>
      </c>
      <c r="Q2086">
        <v>1259.4000000000001</v>
      </c>
      <c r="R2086" t="s">
        <v>39</v>
      </c>
      <c r="S2086" t="s">
        <v>31</v>
      </c>
      <c r="T2086" t="s">
        <v>40</v>
      </c>
      <c r="U2086">
        <v>61</v>
      </c>
      <c r="V2086">
        <v>4.9000000000000004</v>
      </c>
      <c r="W2086">
        <f>Table2[[#This Row],[Quantity]]*Table2[[#This Row],[Item_Price]]</f>
        <v>1366</v>
      </c>
    </row>
    <row r="2087" spans="1:23" x14ac:dyDescent="0.25">
      <c r="A2087" t="s">
        <v>2185</v>
      </c>
      <c r="B2087" s="1">
        <v>45808</v>
      </c>
      <c r="C2087" t="s">
        <v>1749</v>
      </c>
      <c r="D2087">
        <v>5</v>
      </c>
      <c r="E2087">
        <v>31</v>
      </c>
      <c r="F2087" t="s">
        <v>134</v>
      </c>
      <c r="G2087" t="s">
        <v>34</v>
      </c>
      <c r="H2087" t="s">
        <v>68</v>
      </c>
      <c r="I2087" t="s">
        <v>97</v>
      </c>
      <c r="J2087" t="s">
        <v>94</v>
      </c>
      <c r="K2087" t="s">
        <v>38</v>
      </c>
      <c r="L2087">
        <v>1</v>
      </c>
      <c r="M2087">
        <v>639</v>
      </c>
      <c r="N2087">
        <v>63.9</v>
      </c>
      <c r="O2087">
        <v>50</v>
      </c>
      <c r="P2087">
        <v>639</v>
      </c>
      <c r="Q2087">
        <v>625.1</v>
      </c>
      <c r="R2087" t="s">
        <v>30</v>
      </c>
      <c r="S2087" t="s">
        <v>31</v>
      </c>
      <c r="T2087" t="s">
        <v>40</v>
      </c>
      <c r="U2087">
        <v>68</v>
      </c>
      <c r="V2087">
        <v>3.7</v>
      </c>
      <c r="W2087">
        <f>Table2[[#This Row],[Quantity]]*Table2[[#This Row],[Item_Price]]</f>
        <v>639</v>
      </c>
    </row>
    <row r="2088" spans="1:23" x14ac:dyDescent="0.25">
      <c r="A2088" t="s">
        <v>2186</v>
      </c>
      <c r="B2088" s="1">
        <v>45808</v>
      </c>
      <c r="C2088" t="s">
        <v>1749</v>
      </c>
      <c r="D2088">
        <v>5</v>
      </c>
      <c r="E2088">
        <v>31</v>
      </c>
      <c r="F2088" t="s">
        <v>134</v>
      </c>
      <c r="G2088" t="s">
        <v>115</v>
      </c>
      <c r="H2088" t="s">
        <v>56</v>
      </c>
      <c r="I2088" t="s">
        <v>36</v>
      </c>
      <c r="J2088" t="s">
        <v>70</v>
      </c>
      <c r="K2088" t="s">
        <v>38</v>
      </c>
      <c r="L2088">
        <v>2</v>
      </c>
      <c r="M2088">
        <v>217</v>
      </c>
      <c r="N2088">
        <v>0</v>
      </c>
      <c r="O2088">
        <v>30</v>
      </c>
      <c r="P2088">
        <v>434</v>
      </c>
      <c r="Q2088">
        <v>464</v>
      </c>
      <c r="R2088" t="s">
        <v>39</v>
      </c>
      <c r="S2088" t="s">
        <v>31</v>
      </c>
      <c r="T2088" t="s">
        <v>32</v>
      </c>
      <c r="U2088">
        <v>42</v>
      </c>
      <c r="V2088">
        <v>4</v>
      </c>
      <c r="W2088">
        <f>Table2[[#This Row],[Quantity]]*Table2[[#This Row],[Item_Price]]</f>
        <v>434</v>
      </c>
    </row>
    <row r="2089" spans="1:23" x14ac:dyDescent="0.25">
      <c r="A2089" t="s">
        <v>2187</v>
      </c>
      <c r="B2089" s="1">
        <v>45808</v>
      </c>
      <c r="C2089" t="s">
        <v>1749</v>
      </c>
      <c r="D2089">
        <v>5</v>
      </c>
      <c r="E2089">
        <v>31</v>
      </c>
      <c r="F2089" t="s">
        <v>134</v>
      </c>
      <c r="G2089" t="s">
        <v>55</v>
      </c>
      <c r="H2089" t="s">
        <v>42</v>
      </c>
      <c r="I2089" t="s">
        <v>85</v>
      </c>
      <c r="J2089" t="s">
        <v>70</v>
      </c>
      <c r="K2089" t="s">
        <v>29</v>
      </c>
      <c r="L2089">
        <v>1</v>
      </c>
      <c r="M2089">
        <v>631</v>
      </c>
      <c r="N2089">
        <v>94.65</v>
      </c>
      <c r="O2089">
        <v>30</v>
      </c>
      <c r="P2089">
        <v>631</v>
      </c>
      <c r="Q2089">
        <v>566.35</v>
      </c>
      <c r="R2089" t="s">
        <v>98</v>
      </c>
      <c r="S2089" t="s">
        <v>46</v>
      </c>
      <c r="T2089" t="s">
        <v>40</v>
      </c>
      <c r="U2089">
        <v>68</v>
      </c>
      <c r="W2089">
        <f>Table2[[#This Row],[Quantity]]*Table2[[#This Row],[Item_Price]]</f>
        <v>631</v>
      </c>
    </row>
    <row r="2090" spans="1:23" x14ac:dyDescent="0.25">
      <c r="A2090" t="s">
        <v>2188</v>
      </c>
      <c r="B2090" s="1">
        <v>45808</v>
      </c>
      <c r="C2090" t="s">
        <v>1749</v>
      </c>
      <c r="D2090">
        <v>5</v>
      </c>
      <c r="E2090">
        <v>31</v>
      </c>
      <c r="F2090" t="s">
        <v>134</v>
      </c>
      <c r="G2090" t="s">
        <v>25</v>
      </c>
      <c r="H2090" t="s">
        <v>139</v>
      </c>
      <c r="I2090" t="s">
        <v>57</v>
      </c>
      <c r="J2090" t="s">
        <v>78</v>
      </c>
      <c r="K2090" t="s">
        <v>38</v>
      </c>
      <c r="L2090">
        <v>1</v>
      </c>
      <c r="M2090">
        <v>817</v>
      </c>
      <c r="N2090">
        <v>81.7</v>
      </c>
      <c r="O2090">
        <v>0</v>
      </c>
      <c r="P2090">
        <v>817</v>
      </c>
      <c r="Q2090">
        <v>735.3</v>
      </c>
      <c r="R2090" t="s">
        <v>39</v>
      </c>
      <c r="S2090" t="s">
        <v>46</v>
      </c>
      <c r="T2090" t="s">
        <v>32</v>
      </c>
      <c r="U2090">
        <v>23</v>
      </c>
      <c r="W2090">
        <f>Table2[[#This Row],[Quantity]]*Table2[[#This Row],[Item_Price]]</f>
        <v>817</v>
      </c>
    </row>
    <row r="2091" spans="1:23" x14ac:dyDescent="0.25">
      <c r="A2091" t="s">
        <v>2189</v>
      </c>
      <c r="B2091" s="1">
        <v>45808</v>
      </c>
      <c r="C2091" t="s">
        <v>1749</v>
      </c>
      <c r="D2091">
        <v>5</v>
      </c>
      <c r="E2091">
        <v>31</v>
      </c>
      <c r="F2091" t="s">
        <v>134</v>
      </c>
      <c r="G2091" t="s">
        <v>90</v>
      </c>
      <c r="H2091" t="s">
        <v>52</v>
      </c>
      <c r="I2091" t="s">
        <v>36</v>
      </c>
      <c r="J2091" t="s">
        <v>123</v>
      </c>
      <c r="K2091" t="s">
        <v>38</v>
      </c>
      <c r="L2091">
        <v>2</v>
      </c>
      <c r="M2091">
        <v>823</v>
      </c>
      <c r="N2091">
        <v>41.15</v>
      </c>
      <c r="O2091">
        <v>20</v>
      </c>
      <c r="P2091">
        <v>1646</v>
      </c>
      <c r="Q2091">
        <v>1624.85</v>
      </c>
      <c r="R2091" t="s">
        <v>112</v>
      </c>
      <c r="S2091" t="s">
        <v>31</v>
      </c>
      <c r="T2091" t="s">
        <v>40</v>
      </c>
      <c r="U2091">
        <v>65</v>
      </c>
      <c r="V2091">
        <v>3.6</v>
      </c>
      <c r="W2091">
        <f>Table2[[#This Row],[Quantity]]*Table2[[#This Row],[Item_Price]]</f>
        <v>1646</v>
      </c>
    </row>
    <row r="2092" spans="1:23" x14ac:dyDescent="0.25">
      <c r="A2092" t="s">
        <v>2190</v>
      </c>
      <c r="B2092" s="1">
        <v>45809</v>
      </c>
      <c r="C2092" t="s">
        <v>2191</v>
      </c>
      <c r="D2092">
        <v>6</v>
      </c>
      <c r="E2092">
        <v>1</v>
      </c>
      <c r="F2092" t="s">
        <v>149</v>
      </c>
      <c r="G2092" t="s">
        <v>80</v>
      </c>
      <c r="H2092" t="s">
        <v>60</v>
      </c>
      <c r="I2092" t="s">
        <v>27</v>
      </c>
      <c r="J2092" t="s">
        <v>37</v>
      </c>
      <c r="K2092" t="s">
        <v>38</v>
      </c>
      <c r="L2092">
        <v>1</v>
      </c>
      <c r="M2092">
        <v>607</v>
      </c>
      <c r="N2092">
        <v>30.35</v>
      </c>
      <c r="O2092">
        <v>60</v>
      </c>
      <c r="P2092">
        <v>607</v>
      </c>
      <c r="Q2092">
        <v>636.65</v>
      </c>
      <c r="R2092" t="s">
        <v>98</v>
      </c>
      <c r="S2092" t="s">
        <v>31</v>
      </c>
      <c r="T2092" t="s">
        <v>32</v>
      </c>
      <c r="U2092">
        <v>58</v>
      </c>
      <c r="V2092">
        <v>4.8</v>
      </c>
      <c r="W2092">
        <f>Table2[[#This Row],[Quantity]]*Table2[[#This Row],[Item_Price]]</f>
        <v>607</v>
      </c>
    </row>
    <row r="2093" spans="1:23" x14ac:dyDescent="0.25">
      <c r="A2093" t="s">
        <v>2192</v>
      </c>
      <c r="B2093" s="1">
        <v>45809</v>
      </c>
      <c r="C2093" t="s">
        <v>2191</v>
      </c>
      <c r="D2093">
        <v>6</v>
      </c>
      <c r="E2093">
        <v>1</v>
      </c>
      <c r="F2093" t="s">
        <v>149</v>
      </c>
      <c r="G2093" t="s">
        <v>64</v>
      </c>
      <c r="H2093" t="s">
        <v>26</v>
      </c>
      <c r="I2093" t="s">
        <v>27</v>
      </c>
      <c r="J2093" t="s">
        <v>119</v>
      </c>
      <c r="K2093" t="s">
        <v>38</v>
      </c>
      <c r="L2093">
        <v>3</v>
      </c>
      <c r="M2093">
        <v>619</v>
      </c>
      <c r="N2093">
        <v>0</v>
      </c>
      <c r="O2093">
        <v>30</v>
      </c>
      <c r="P2093">
        <v>1857</v>
      </c>
      <c r="Q2093">
        <v>1887</v>
      </c>
      <c r="R2093" t="s">
        <v>39</v>
      </c>
      <c r="S2093" t="s">
        <v>31</v>
      </c>
      <c r="T2093" t="s">
        <v>32</v>
      </c>
      <c r="U2093">
        <v>62</v>
      </c>
      <c r="V2093">
        <v>3.6</v>
      </c>
      <c r="W2093">
        <f>Table2[[#This Row],[Quantity]]*Table2[[#This Row],[Item_Price]]</f>
        <v>1857</v>
      </c>
    </row>
    <row r="2094" spans="1:23" x14ac:dyDescent="0.25">
      <c r="A2094" t="s">
        <v>2193</v>
      </c>
      <c r="B2094" s="1">
        <v>45809</v>
      </c>
      <c r="C2094" t="s">
        <v>2191</v>
      </c>
      <c r="D2094">
        <v>6</v>
      </c>
      <c r="E2094">
        <v>1</v>
      </c>
      <c r="F2094" t="s">
        <v>149</v>
      </c>
      <c r="G2094" t="s">
        <v>34</v>
      </c>
      <c r="H2094" t="s">
        <v>60</v>
      </c>
      <c r="I2094" t="s">
        <v>49</v>
      </c>
      <c r="J2094" t="s">
        <v>74</v>
      </c>
      <c r="K2094" t="s">
        <v>38</v>
      </c>
      <c r="L2094">
        <v>1</v>
      </c>
      <c r="M2094">
        <v>175</v>
      </c>
      <c r="N2094">
        <v>17.5</v>
      </c>
      <c r="O2094">
        <v>20</v>
      </c>
      <c r="P2094">
        <v>175</v>
      </c>
      <c r="Q2094">
        <v>177.5</v>
      </c>
      <c r="R2094" t="s">
        <v>75</v>
      </c>
      <c r="S2094" t="s">
        <v>31</v>
      </c>
      <c r="T2094" t="s">
        <v>40</v>
      </c>
      <c r="U2094">
        <v>46</v>
      </c>
      <c r="V2094">
        <v>3.7</v>
      </c>
      <c r="W2094">
        <f>Table2[[#This Row],[Quantity]]*Table2[[#This Row],[Item_Price]]</f>
        <v>175</v>
      </c>
    </row>
    <row r="2095" spans="1:23" x14ac:dyDescent="0.25">
      <c r="A2095" t="s">
        <v>2194</v>
      </c>
      <c r="B2095" s="1">
        <v>45809</v>
      </c>
      <c r="C2095" t="s">
        <v>2191</v>
      </c>
      <c r="D2095">
        <v>6</v>
      </c>
      <c r="E2095">
        <v>1</v>
      </c>
      <c r="F2095" t="s">
        <v>149</v>
      </c>
      <c r="G2095" t="s">
        <v>34</v>
      </c>
      <c r="H2095" t="s">
        <v>135</v>
      </c>
      <c r="I2095" t="s">
        <v>97</v>
      </c>
      <c r="J2095" t="s">
        <v>50</v>
      </c>
      <c r="K2095" t="s">
        <v>45</v>
      </c>
      <c r="L2095">
        <v>1</v>
      </c>
      <c r="M2095">
        <v>752</v>
      </c>
      <c r="N2095">
        <v>75.2</v>
      </c>
      <c r="O2095">
        <v>0</v>
      </c>
      <c r="P2095">
        <v>752</v>
      </c>
      <c r="Q2095">
        <v>676.8</v>
      </c>
      <c r="R2095" t="s">
        <v>39</v>
      </c>
      <c r="S2095" t="s">
        <v>31</v>
      </c>
      <c r="T2095" t="s">
        <v>40</v>
      </c>
      <c r="U2095">
        <v>67</v>
      </c>
      <c r="V2095">
        <v>4.9000000000000004</v>
      </c>
      <c r="W2095">
        <f>Table2[[#This Row],[Quantity]]*Table2[[#This Row],[Item_Price]]</f>
        <v>752</v>
      </c>
    </row>
    <row r="2096" spans="1:23" x14ac:dyDescent="0.25">
      <c r="A2096" t="s">
        <v>2195</v>
      </c>
      <c r="B2096" s="1">
        <v>45809</v>
      </c>
      <c r="C2096" t="s">
        <v>2191</v>
      </c>
      <c r="D2096">
        <v>6</v>
      </c>
      <c r="E2096">
        <v>1</v>
      </c>
      <c r="F2096" t="s">
        <v>149</v>
      </c>
      <c r="G2096" t="s">
        <v>64</v>
      </c>
      <c r="H2096" t="s">
        <v>105</v>
      </c>
      <c r="I2096" t="s">
        <v>36</v>
      </c>
      <c r="J2096" t="s">
        <v>66</v>
      </c>
      <c r="K2096" t="s">
        <v>38</v>
      </c>
      <c r="L2096">
        <v>2</v>
      </c>
      <c r="M2096">
        <v>589</v>
      </c>
      <c r="N2096">
        <v>0</v>
      </c>
      <c r="O2096">
        <v>0</v>
      </c>
      <c r="P2096">
        <v>1178</v>
      </c>
      <c r="Q2096">
        <v>1178</v>
      </c>
      <c r="R2096" t="s">
        <v>39</v>
      </c>
      <c r="S2096" t="s">
        <v>31</v>
      </c>
      <c r="T2096" t="s">
        <v>32</v>
      </c>
      <c r="U2096">
        <v>65</v>
      </c>
      <c r="V2096">
        <v>4.8</v>
      </c>
      <c r="W2096">
        <f>Table2[[#This Row],[Quantity]]*Table2[[#This Row],[Item_Price]]</f>
        <v>1178</v>
      </c>
    </row>
    <row r="2097" spans="1:23" x14ac:dyDescent="0.25">
      <c r="A2097" t="s">
        <v>2196</v>
      </c>
      <c r="B2097" s="1">
        <v>45809</v>
      </c>
      <c r="C2097" t="s">
        <v>2191</v>
      </c>
      <c r="D2097">
        <v>6</v>
      </c>
      <c r="E2097">
        <v>1</v>
      </c>
      <c r="F2097" t="s">
        <v>149</v>
      </c>
      <c r="G2097" t="s">
        <v>115</v>
      </c>
      <c r="H2097" t="s">
        <v>135</v>
      </c>
      <c r="I2097" t="s">
        <v>61</v>
      </c>
      <c r="J2097" t="s">
        <v>172</v>
      </c>
      <c r="K2097" t="s">
        <v>38</v>
      </c>
      <c r="L2097">
        <v>1</v>
      </c>
      <c r="M2097">
        <v>809</v>
      </c>
      <c r="N2097">
        <v>40.450000000000003</v>
      </c>
      <c r="O2097">
        <v>40</v>
      </c>
      <c r="P2097">
        <v>809</v>
      </c>
      <c r="Q2097">
        <v>808.55</v>
      </c>
      <c r="R2097" t="s">
        <v>39</v>
      </c>
      <c r="S2097" t="s">
        <v>46</v>
      </c>
      <c r="T2097" t="s">
        <v>40</v>
      </c>
      <c r="U2097">
        <v>24</v>
      </c>
      <c r="W2097">
        <f>Table2[[#This Row],[Quantity]]*Table2[[#This Row],[Item_Price]]</f>
        <v>809</v>
      </c>
    </row>
    <row r="2098" spans="1:23" x14ac:dyDescent="0.25">
      <c r="A2098" t="s">
        <v>2197</v>
      </c>
      <c r="B2098" s="1">
        <v>45809</v>
      </c>
      <c r="C2098" t="s">
        <v>2191</v>
      </c>
      <c r="D2098">
        <v>6</v>
      </c>
      <c r="E2098">
        <v>1</v>
      </c>
      <c r="F2098" t="s">
        <v>149</v>
      </c>
      <c r="G2098" t="s">
        <v>80</v>
      </c>
      <c r="H2098" t="s">
        <v>56</v>
      </c>
      <c r="I2098" t="s">
        <v>103</v>
      </c>
      <c r="J2098" t="s">
        <v>62</v>
      </c>
      <c r="K2098" t="s">
        <v>38</v>
      </c>
      <c r="L2098">
        <v>1</v>
      </c>
      <c r="M2098">
        <v>545</v>
      </c>
      <c r="N2098">
        <v>54.5</v>
      </c>
      <c r="O2098">
        <v>30</v>
      </c>
      <c r="P2098">
        <v>545</v>
      </c>
      <c r="Q2098">
        <v>520.5</v>
      </c>
      <c r="R2098" t="s">
        <v>112</v>
      </c>
      <c r="S2098" t="s">
        <v>31</v>
      </c>
      <c r="T2098" t="s">
        <v>40</v>
      </c>
      <c r="U2098">
        <v>58</v>
      </c>
      <c r="V2098">
        <v>3.6</v>
      </c>
      <c r="W2098">
        <f>Table2[[#This Row],[Quantity]]*Table2[[#This Row],[Item_Price]]</f>
        <v>545</v>
      </c>
    </row>
    <row r="2099" spans="1:23" x14ac:dyDescent="0.25">
      <c r="A2099" t="s">
        <v>2198</v>
      </c>
      <c r="B2099" s="1">
        <v>45809</v>
      </c>
      <c r="C2099" t="s">
        <v>2191</v>
      </c>
      <c r="D2099">
        <v>6</v>
      </c>
      <c r="E2099">
        <v>1</v>
      </c>
      <c r="F2099" t="s">
        <v>149</v>
      </c>
      <c r="G2099" t="s">
        <v>73</v>
      </c>
      <c r="H2099" t="s">
        <v>105</v>
      </c>
      <c r="I2099" t="s">
        <v>36</v>
      </c>
      <c r="J2099" t="s">
        <v>50</v>
      </c>
      <c r="K2099" t="s">
        <v>38</v>
      </c>
      <c r="L2099">
        <v>1</v>
      </c>
      <c r="M2099">
        <v>447</v>
      </c>
      <c r="N2099">
        <v>0</v>
      </c>
      <c r="O2099">
        <v>0</v>
      </c>
      <c r="P2099">
        <v>447</v>
      </c>
      <c r="Q2099">
        <v>447</v>
      </c>
      <c r="R2099" t="s">
        <v>75</v>
      </c>
      <c r="S2099" t="s">
        <v>91</v>
      </c>
      <c r="T2099" t="s">
        <v>40</v>
      </c>
      <c r="U2099">
        <v>26</v>
      </c>
      <c r="W2099">
        <f>Table2[[#This Row],[Quantity]]*Table2[[#This Row],[Item_Price]]</f>
        <v>447</v>
      </c>
    </row>
    <row r="2100" spans="1:23" x14ac:dyDescent="0.25">
      <c r="A2100" t="s">
        <v>2199</v>
      </c>
      <c r="B2100" s="1">
        <v>45809</v>
      </c>
      <c r="C2100" t="s">
        <v>2191</v>
      </c>
      <c r="D2100">
        <v>6</v>
      </c>
      <c r="E2100">
        <v>1</v>
      </c>
      <c r="F2100" t="s">
        <v>149</v>
      </c>
      <c r="G2100" t="s">
        <v>64</v>
      </c>
      <c r="H2100" t="s">
        <v>56</v>
      </c>
      <c r="I2100" t="s">
        <v>36</v>
      </c>
      <c r="J2100" t="s">
        <v>28</v>
      </c>
      <c r="K2100" t="s">
        <v>38</v>
      </c>
      <c r="L2100">
        <v>1</v>
      </c>
      <c r="M2100">
        <v>618</v>
      </c>
      <c r="N2100">
        <v>30.9</v>
      </c>
      <c r="O2100">
        <v>20</v>
      </c>
      <c r="P2100">
        <v>618</v>
      </c>
      <c r="Q2100">
        <v>607.1</v>
      </c>
      <c r="R2100" t="s">
        <v>112</v>
      </c>
      <c r="S2100" t="s">
        <v>31</v>
      </c>
      <c r="T2100" t="s">
        <v>40</v>
      </c>
      <c r="U2100">
        <v>19</v>
      </c>
      <c r="V2100">
        <v>4.3</v>
      </c>
      <c r="W2100">
        <f>Table2[[#This Row],[Quantity]]*Table2[[#This Row],[Item_Price]]</f>
        <v>618</v>
      </c>
    </row>
    <row r="2101" spans="1:23" x14ac:dyDescent="0.25">
      <c r="A2101" t="s">
        <v>2200</v>
      </c>
      <c r="B2101" s="1">
        <v>45809</v>
      </c>
      <c r="C2101" t="s">
        <v>2191</v>
      </c>
      <c r="D2101">
        <v>6</v>
      </c>
      <c r="E2101">
        <v>1</v>
      </c>
      <c r="F2101" t="s">
        <v>149</v>
      </c>
      <c r="G2101" t="s">
        <v>64</v>
      </c>
      <c r="H2101" t="s">
        <v>108</v>
      </c>
      <c r="I2101" t="s">
        <v>43</v>
      </c>
      <c r="J2101" t="s">
        <v>44</v>
      </c>
      <c r="K2101" t="s">
        <v>45</v>
      </c>
      <c r="L2101">
        <v>2</v>
      </c>
      <c r="M2101">
        <v>309</v>
      </c>
      <c r="N2101">
        <v>30.9</v>
      </c>
      <c r="O2101">
        <v>20</v>
      </c>
      <c r="P2101">
        <v>618</v>
      </c>
      <c r="Q2101">
        <v>607.1</v>
      </c>
      <c r="R2101" t="s">
        <v>98</v>
      </c>
      <c r="S2101" t="s">
        <v>31</v>
      </c>
      <c r="T2101" t="s">
        <v>40</v>
      </c>
      <c r="U2101">
        <v>58</v>
      </c>
      <c r="V2101">
        <v>4</v>
      </c>
      <c r="W2101">
        <f>Table2[[#This Row],[Quantity]]*Table2[[#This Row],[Item_Price]]</f>
        <v>618</v>
      </c>
    </row>
    <row r="2102" spans="1:23" x14ac:dyDescent="0.25">
      <c r="A2102" t="s">
        <v>2201</v>
      </c>
      <c r="B2102" s="1">
        <v>45809</v>
      </c>
      <c r="C2102" t="s">
        <v>2191</v>
      </c>
      <c r="D2102">
        <v>6</v>
      </c>
      <c r="E2102">
        <v>1</v>
      </c>
      <c r="F2102" t="s">
        <v>149</v>
      </c>
      <c r="G2102" t="s">
        <v>64</v>
      </c>
      <c r="H2102" t="s">
        <v>65</v>
      </c>
      <c r="I2102" t="s">
        <v>103</v>
      </c>
      <c r="J2102" t="s">
        <v>172</v>
      </c>
      <c r="K2102" t="s">
        <v>38</v>
      </c>
      <c r="L2102">
        <v>1</v>
      </c>
      <c r="M2102">
        <v>152</v>
      </c>
      <c r="N2102">
        <v>38</v>
      </c>
      <c r="O2102">
        <v>40</v>
      </c>
      <c r="P2102">
        <v>152</v>
      </c>
      <c r="Q2102">
        <v>154</v>
      </c>
      <c r="R2102" t="s">
        <v>39</v>
      </c>
      <c r="S2102" t="s">
        <v>31</v>
      </c>
      <c r="T2102" t="s">
        <v>32</v>
      </c>
      <c r="U2102">
        <v>46</v>
      </c>
      <c r="V2102">
        <v>4.5</v>
      </c>
      <c r="W2102">
        <f>Table2[[#This Row],[Quantity]]*Table2[[#This Row],[Item_Price]]</f>
        <v>152</v>
      </c>
    </row>
    <row r="2103" spans="1:23" x14ac:dyDescent="0.25">
      <c r="A2103" t="s">
        <v>2202</v>
      </c>
      <c r="B2103" s="1">
        <v>45809</v>
      </c>
      <c r="C2103" t="s">
        <v>2191</v>
      </c>
      <c r="D2103">
        <v>6</v>
      </c>
      <c r="E2103">
        <v>1</v>
      </c>
      <c r="F2103" t="s">
        <v>149</v>
      </c>
      <c r="G2103" t="s">
        <v>73</v>
      </c>
      <c r="H2103" t="s">
        <v>60</v>
      </c>
      <c r="I2103" t="s">
        <v>69</v>
      </c>
      <c r="J2103" t="s">
        <v>78</v>
      </c>
      <c r="K2103" t="s">
        <v>38</v>
      </c>
      <c r="L2103">
        <v>2</v>
      </c>
      <c r="M2103">
        <v>252</v>
      </c>
      <c r="N2103">
        <v>50.4</v>
      </c>
      <c r="O2103">
        <v>60</v>
      </c>
      <c r="P2103">
        <v>504</v>
      </c>
      <c r="Q2103">
        <v>513.6</v>
      </c>
      <c r="R2103" t="s">
        <v>75</v>
      </c>
      <c r="S2103" t="s">
        <v>31</v>
      </c>
      <c r="T2103" t="s">
        <v>40</v>
      </c>
      <c r="U2103">
        <v>67</v>
      </c>
      <c r="V2103">
        <v>4.0999999999999996</v>
      </c>
      <c r="W2103">
        <f>Table2[[#This Row],[Quantity]]*Table2[[#This Row],[Item_Price]]</f>
        <v>504</v>
      </c>
    </row>
    <row r="2104" spans="1:23" x14ac:dyDescent="0.25">
      <c r="A2104" t="s">
        <v>2203</v>
      </c>
      <c r="B2104" s="1">
        <v>45809</v>
      </c>
      <c r="C2104" t="s">
        <v>2191</v>
      </c>
      <c r="D2104">
        <v>6</v>
      </c>
      <c r="E2104">
        <v>1</v>
      </c>
      <c r="F2104" t="s">
        <v>149</v>
      </c>
      <c r="G2104" t="s">
        <v>64</v>
      </c>
      <c r="H2104" t="s">
        <v>60</v>
      </c>
      <c r="I2104" t="s">
        <v>85</v>
      </c>
      <c r="J2104" t="s">
        <v>123</v>
      </c>
      <c r="K2104" t="s">
        <v>38</v>
      </c>
      <c r="L2104">
        <v>1</v>
      </c>
      <c r="M2104">
        <v>365</v>
      </c>
      <c r="N2104">
        <v>36.5</v>
      </c>
      <c r="O2104">
        <v>40</v>
      </c>
      <c r="P2104">
        <v>365</v>
      </c>
      <c r="Q2104">
        <v>368.5</v>
      </c>
      <c r="R2104" t="s">
        <v>30</v>
      </c>
      <c r="S2104" t="s">
        <v>31</v>
      </c>
      <c r="T2104" t="s">
        <v>40</v>
      </c>
      <c r="U2104">
        <v>31</v>
      </c>
      <c r="V2104">
        <v>3.4</v>
      </c>
      <c r="W2104">
        <f>Table2[[#This Row],[Quantity]]*Table2[[#This Row],[Item_Price]]</f>
        <v>365</v>
      </c>
    </row>
    <row r="2105" spans="1:23" x14ac:dyDescent="0.25">
      <c r="A2105" t="s">
        <v>2204</v>
      </c>
      <c r="B2105" s="1">
        <v>45809</v>
      </c>
      <c r="C2105" t="s">
        <v>2191</v>
      </c>
      <c r="D2105">
        <v>6</v>
      </c>
      <c r="E2105">
        <v>1</v>
      </c>
      <c r="F2105" t="s">
        <v>149</v>
      </c>
      <c r="G2105" t="s">
        <v>115</v>
      </c>
      <c r="H2105" t="s">
        <v>48</v>
      </c>
      <c r="I2105" t="s">
        <v>36</v>
      </c>
      <c r="J2105" t="s">
        <v>78</v>
      </c>
      <c r="K2105" t="s">
        <v>38</v>
      </c>
      <c r="L2105">
        <v>1</v>
      </c>
      <c r="M2105">
        <v>844</v>
      </c>
      <c r="N2105">
        <v>84.4</v>
      </c>
      <c r="O2105">
        <v>50</v>
      </c>
      <c r="P2105">
        <v>844</v>
      </c>
      <c r="Q2105">
        <v>809.6</v>
      </c>
      <c r="R2105" t="s">
        <v>39</v>
      </c>
      <c r="S2105" t="s">
        <v>31</v>
      </c>
      <c r="T2105" t="s">
        <v>40</v>
      </c>
      <c r="U2105">
        <v>22</v>
      </c>
      <c r="V2105">
        <v>3.1</v>
      </c>
      <c r="W2105">
        <f>Table2[[#This Row],[Quantity]]*Table2[[#This Row],[Item_Price]]</f>
        <v>844</v>
      </c>
    </row>
    <row r="2106" spans="1:23" x14ac:dyDescent="0.25">
      <c r="A2106" t="s">
        <v>2205</v>
      </c>
      <c r="B2106" s="1">
        <v>45809</v>
      </c>
      <c r="C2106" t="s">
        <v>2191</v>
      </c>
      <c r="D2106">
        <v>6</v>
      </c>
      <c r="E2106">
        <v>1</v>
      </c>
      <c r="F2106" t="s">
        <v>149</v>
      </c>
      <c r="G2106" t="s">
        <v>80</v>
      </c>
      <c r="H2106" t="s">
        <v>35</v>
      </c>
      <c r="I2106" t="s">
        <v>85</v>
      </c>
      <c r="J2106" t="s">
        <v>119</v>
      </c>
      <c r="K2106" t="s">
        <v>45</v>
      </c>
      <c r="L2106">
        <v>1</v>
      </c>
      <c r="M2106">
        <v>151</v>
      </c>
      <c r="N2106">
        <v>30.2</v>
      </c>
      <c r="O2106">
        <v>0</v>
      </c>
      <c r="P2106">
        <v>151</v>
      </c>
      <c r="Q2106">
        <v>120.8</v>
      </c>
      <c r="R2106" t="s">
        <v>39</v>
      </c>
      <c r="S2106" t="s">
        <v>31</v>
      </c>
      <c r="T2106" t="s">
        <v>40</v>
      </c>
      <c r="U2106">
        <v>50</v>
      </c>
      <c r="V2106">
        <v>4.5999999999999996</v>
      </c>
      <c r="W2106">
        <f>Table2[[#This Row],[Quantity]]*Table2[[#This Row],[Item_Price]]</f>
        <v>151</v>
      </c>
    </row>
    <row r="2107" spans="1:23" x14ac:dyDescent="0.25">
      <c r="A2107" t="s">
        <v>2206</v>
      </c>
      <c r="B2107" s="1">
        <v>45809</v>
      </c>
      <c r="C2107" t="s">
        <v>2191</v>
      </c>
      <c r="D2107">
        <v>6</v>
      </c>
      <c r="E2107">
        <v>1</v>
      </c>
      <c r="F2107" t="s">
        <v>149</v>
      </c>
      <c r="G2107" t="s">
        <v>115</v>
      </c>
      <c r="H2107" t="s">
        <v>35</v>
      </c>
      <c r="I2107" t="s">
        <v>43</v>
      </c>
      <c r="J2107" t="s">
        <v>101</v>
      </c>
      <c r="K2107" t="s">
        <v>38</v>
      </c>
      <c r="L2107">
        <v>1</v>
      </c>
      <c r="M2107">
        <v>848</v>
      </c>
      <c r="N2107">
        <v>84.8</v>
      </c>
      <c r="O2107">
        <v>50</v>
      </c>
      <c r="P2107">
        <v>848</v>
      </c>
      <c r="Q2107">
        <v>813.2</v>
      </c>
      <c r="R2107" t="s">
        <v>75</v>
      </c>
      <c r="S2107" t="s">
        <v>31</v>
      </c>
      <c r="T2107" t="s">
        <v>40</v>
      </c>
      <c r="U2107">
        <v>21</v>
      </c>
      <c r="V2107">
        <v>4.5999999999999996</v>
      </c>
      <c r="W2107">
        <f>Table2[[#This Row],[Quantity]]*Table2[[#This Row],[Item_Price]]</f>
        <v>848</v>
      </c>
    </row>
    <row r="2108" spans="1:23" x14ac:dyDescent="0.25">
      <c r="A2108" t="s">
        <v>2207</v>
      </c>
      <c r="B2108" s="1">
        <v>45809</v>
      </c>
      <c r="C2108" t="s">
        <v>2191</v>
      </c>
      <c r="D2108">
        <v>6</v>
      </c>
      <c r="E2108">
        <v>1</v>
      </c>
      <c r="F2108" t="s">
        <v>149</v>
      </c>
      <c r="G2108" t="s">
        <v>80</v>
      </c>
      <c r="H2108" t="s">
        <v>68</v>
      </c>
      <c r="I2108" t="s">
        <v>61</v>
      </c>
      <c r="J2108" t="s">
        <v>50</v>
      </c>
      <c r="K2108" t="s">
        <v>38</v>
      </c>
      <c r="L2108">
        <v>2</v>
      </c>
      <c r="M2108">
        <v>694</v>
      </c>
      <c r="N2108">
        <v>173.5</v>
      </c>
      <c r="O2108">
        <v>50</v>
      </c>
      <c r="P2108">
        <v>1388</v>
      </c>
      <c r="Q2108">
        <v>1264.5</v>
      </c>
      <c r="R2108" t="s">
        <v>98</v>
      </c>
      <c r="S2108" t="s">
        <v>31</v>
      </c>
      <c r="T2108" t="s">
        <v>40</v>
      </c>
      <c r="U2108">
        <v>37</v>
      </c>
      <c r="V2108">
        <v>4.0999999999999996</v>
      </c>
      <c r="W2108">
        <f>Table2[[#This Row],[Quantity]]*Table2[[#This Row],[Item_Price]]</f>
        <v>1388</v>
      </c>
    </row>
    <row r="2109" spans="1:23" x14ac:dyDescent="0.25">
      <c r="A2109" t="s">
        <v>2208</v>
      </c>
      <c r="B2109" s="1">
        <v>45809</v>
      </c>
      <c r="C2109" t="s">
        <v>2191</v>
      </c>
      <c r="D2109">
        <v>6</v>
      </c>
      <c r="E2109">
        <v>1</v>
      </c>
      <c r="F2109" t="s">
        <v>149</v>
      </c>
      <c r="G2109" t="s">
        <v>80</v>
      </c>
      <c r="H2109" t="s">
        <v>81</v>
      </c>
      <c r="I2109" t="s">
        <v>57</v>
      </c>
      <c r="J2109" t="s">
        <v>53</v>
      </c>
      <c r="K2109" t="s">
        <v>38</v>
      </c>
      <c r="L2109">
        <v>3</v>
      </c>
      <c r="M2109">
        <v>609</v>
      </c>
      <c r="N2109">
        <v>121.8</v>
      </c>
      <c r="O2109">
        <v>60</v>
      </c>
      <c r="P2109">
        <v>1827</v>
      </c>
      <c r="Q2109">
        <v>1765.2</v>
      </c>
      <c r="R2109" t="s">
        <v>39</v>
      </c>
      <c r="S2109" t="s">
        <v>31</v>
      </c>
      <c r="T2109" t="s">
        <v>40</v>
      </c>
      <c r="U2109">
        <v>41</v>
      </c>
      <c r="V2109">
        <v>5</v>
      </c>
      <c r="W2109">
        <f>Table2[[#This Row],[Quantity]]*Table2[[#This Row],[Item_Price]]</f>
        <v>1827</v>
      </c>
    </row>
    <row r="2110" spans="1:23" x14ac:dyDescent="0.25">
      <c r="A2110" t="s">
        <v>2209</v>
      </c>
      <c r="B2110" s="1">
        <v>45809</v>
      </c>
      <c r="C2110" t="s">
        <v>2191</v>
      </c>
      <c r="D2110">
        <v>6</v>
      </c>
      <c r="E2110">
        <v>1</v>
      </c>
      <c r="F2110" t="s">
        <v>149</v>
      </c>
      <c r="G2110" t="s">
        <v>80</v>
      </c>
      <c r="H2110" t="s">
        <v>42</v>
      </c>
      <c r="I2110" t="s">
        <v>36</v>
      </c>
      <c r="J2110" t="s">
        <v>53</v>
      </c>
      <c r="K2110" t="s">
        <v>38</v>
      </c>
      <c r="L2110">
        <v>1</v>
      </c>
      <c r="M2110">
        <v>454</v>
      </c>
      <c r="N2110">
        <v>90.8</v>
      </c>
      <c r="O2110">
        <v>30</v>
      </c>
      <c r="P2110">
        <v>454</v>
      </c>
      <c r="Q2110">
        <v>393.2</v>
      </c>
      <c r="R2110" t="s">
        <v>39</v>
      </c>
      <c r="S2110" t="s">
        <v>31</v>
      </c>
      <c r="T2110" t="s">
        <v>32</v>
      </c>
      <c r="U2110">
        <v>69</v>
      </c>
      <c r="V2110">
        <v>3.1</v>
      </c>
      <c r="W2110">
        <f>Table2[[#This Row],[Quantity]]*Table2[[#This Row],[Item_Price]]</f>
        <v>454</v>
      </c>
    </row>
    <row r="2111" spans="1:23" x14ac:dyDescent="0.25">
      <c r="A2111" t="s">
        <v>2210</v>
      </c>
      <c r="B2111" s="1">
        <v>45810</v>
      </c>
      <c r="C2111" t="s">
        <v>2191</v>
      </c>
      <c r="D2111">
        <v>6</v>
      </c>
      <c r="E2111">
        <v>2</v>
      </c>
      <c r="F2111" t="s">
        <v>168</v>
      </c>
      <c r="G2111" t="s">
        <v>80</v>
      </c>
      <c r="H2111" t="s">
        <v>77</v>
      </c>
      <c r="I2111" t="s">
        <v>69</v>
      </c>
      <c r="J2111" t="s">
        <v>62</v>
      </c>
      <c r="K2111" t="s">
        <v>38</v>
      </c>
      <c r="L2111">
        <v>3</v>
      </c>
      <c r="M2111">
        <v>357</v>
      </c>
      <c r="N2111">
        <v>0</v>
      </c>
      <c r="O2111">
        <v>50</v>
      </c>
      <c r="P2111">
        <v>1071</v>
      </c>
      <c r="Q2111">
        <v>1121</v>
      </c>
      <c r="R2111" t="s">
        <v>75</v>
      </c>
      <c r="S2111" t="s">
        <v>31</v>
      </c>
      <c r="T2111" t="s">
        <v>40</v>
      </c>
      <c r="U2111">
        <v>24</v>
      </c>
      <c r="V2111">
        <v>4.5999999999999996</v>
      </c>
      <c r="W2111">
        <f>Table2[[#This Row],[Quantity]]*Table2[[#This Row],[Item_Price]]</f>
        <v>1071</v>
      </c>
    </row>
    <row r="2112" spans="1:23" x14ac:dyDescent="0.25">
      <c r="A2112" t="s">
        <v>2211</v>
      </c>
      <c r="B2112" s="1">
        <v>45810</v>
      </c>
      <c r="C2112" t="s">
        <v>2191</v>
      </c>
      <c r="D2112">
        <v>6</v>
      </c>
      <c r="E2112">
        <v>2</v>
      </c>
      <c r="F2112" t="s">
        <v>168</v>
      </c>
      <c r="G2112" t="s">
        <v>64</v>
      </c>
      <c r="H2112" t="s">
        <v>35</v>
      </c>
      <c r="I2112" t="s">
        <v>103</v>
      </c>
      <c r="J2112" t="s">
        <v>28</v>
      </c>
      <c r="K2112" t="s">
        <v>38</v>
      </c>
      <c r="L2112">
        <v>1</v>
      </c>
      <c r="M2112">
        <v>367</v>
      </c>
      <c r="N2112">
        <v>91.75</v>
      </c>
      <c r="O2112">
        <v>20</v>
      </c>
      <c r="P2112">
        <v>367</v>
      </c>
      <c r="Q2112">
        <v>295.25</v>
      </c>
      <c r="R2112" t="s">
        <v>39</v>
      </c>
      <c r="S2112" t="s">
        <v>91</v>
      </c>
      <c r="T2112" t="s">
        <v>32</v>
      </c>
      <c r="U2112">
        <v>45</v>
      </c>
      <c r="W2112">
        <f>Table2[[#This Row],[Quantity]]*Table2[[#This Row],[Item_Price]]</f>
        <v>367</v>
      </c>
    </row>
    <row r="2113" spans="1:23" x14ac:dyDescent="0.25">
      <c r="A2113" t="s">
        <v>2212</v>
      </c>
      <c r="B2113" s="1">
        <v>45810</v>
      </c>
      <c r="C2113" t="s">
        <v>2191</v>
      </c>
      <c r="D2113">
        <v>6</v>
      </c>
      <c r="E2113">
        <v>2</v>
      </c>
      <c r="F2113" t="s">
        <v>168</v>
      </c>
      <c r="G2113" t="s">
        <v>80</v>
      </c>
      <c r="H2113" t="s">
        <v>48</v>
      </c>
      <c r="I2113" t="s">
        <v>49</v>
      </c>
      <c r="J2113" t="s">
        <v>82</v>
      </c>
      <c r="K2113" t="s">
        <v>38</v>
      </c>
      <c r="L2113">
        <v>1</v>
      </c>
      <c r="M2113">
        <v>672</v>
      </c>
      <c r="N2113">
        <v>134.4</v>
      </c>
      <c r="O2113">
        <v>50</v>
      </c>
      <c r="P2113">
        <v>672</v>
      </c>
      <c r="Q2113">
        <v>587.6</v>
      </c>
      <c r="R2113" t="s">
        <v>39</v>
      </c>
      <c r="S2113" t="s">
        <v>31</v>
      </c>
      <c r="T2113" t="s">
        <v>40</v>
      </c>
      <c r="U2113">
        <v>39</v>
      </c>
      <c r="V2113">
        <v>3.4</v>
      </c>
      <c r="W2113">
        <f>Table2[[#This Row],[Quantity]]*Table2[[#This Row],[Item_Price]]</f>
        <v>672</v>
      </c>
    </row>
    <row r="2114" spans="1:23" x14ac:dyDescent="0.25">
      <c r="A2114" t="s">
        <v>2213</v>
      </c>
      <c r="B2114" s="1">
        <v>45810</v>
      </c>
      <c r="C2114" t="s">
        <v>2191</v>
      </c>
      <c r="D2114">
        <v>6</v>
      </c>
      <c r="E2114">
        <v>2</v>
      </c>
      <c r="F2114" t="s">
        <v>168</v>
      </c>
      <c r="G2114" t="s">
        <v>64</v>
      </c>
      <c r="H2114" t="s">
        <v>35</v>
      </c>
      <c r="I2114" t="s">
        <v>49</v>
      </c>
      <c r="J2114" t="s">
        <v>70</v>
      </c>
      <c r="K2114" t="s">
        <v>38</v>
      </c>
      <c r="L2114">
        <v>3</v>
      </c>
      <c r="M2114">
        <v>386</v>
      </c>
      <c r="N2114">
        <v>77.2</v>
      </c>
      <c r="O2114">
        <v>30</v>
      </c>
      <c r="P2114">
        <v>1158</v>
      </c>
      <c r="Q2114">
        <v>1110.8</v>
      </c>
      <c r="R2114" t="s">
        <v>112</v>
      </c>
      <c r="S2114" t="s">
        <v>31</v>
      </c>
      <c r="T2114" t="s">
        <v>32</v>
      </c>
      <c r="U2114">
        <v>41</v>
      </c>
      <c r="V2114">
        <v>5</v>
      </c>
      <c r="W2114">
        <f>Table2[[#This Row],[Quantity]]*Table2[[#This Row],[Item_Price]]</f>
        <v>1158</v>
      </c>
    </row>
    <row r="2115" spans="1:23" x14ac:dyDescent="0.25">
      <c r="A2115" t="s">
        <v>2214</v>
      </c>
      <c r="B2115" s="1">
        <v>45810</v>
      </c>
      <c r="C2115" t="s">
        <v>2191</v>
      </c>
      <c r="D2115">
        <v>6</v>
      </c>
      <c r="E2115">
        <v>2</v>
      </c>
      <c r="F2115" t="s">
        <v>168</v>
      </c>
      <c r="G2115" t="s">
        <v>84</v>
      </c>
      <c r="H2115" t="s">
        <v>65</v>
      </c>
      <c r="I2115" t="s">
        <v>69</v>
      </c>
      <c r="J2115" t="s">
        <v>94</v>
      </c>
      <c r="K2115" t="s">
        <v>38</v>
      </c>
      <c r="L2115">
        <v>1</v>
      </c>
      <c r="M2115">
        <v>289</v>
      </c>
      <c r="N2115">
        <v>28.9</v>
      </c>
      <c r="O2115">
        <v>20</v>
      </c>
      <c r="P2115">
        <v>289</v>
      </c>
      <c r="Q2115">
        <v>280.10000000000002</v>
      </c>
      <c r="R2115" t="s">
        <v>98</v>
      </c>
      <c r="S2115" t="s">
        <v>31</v>
      </c>
      <c r="T2115" t="s">
        <v>32</v>
      </c>
      <c r="U2115">
        <v>69</v>
      </c>
      <c r="V2115">
        <v>3.4</v>
      </c>
      <c r="W2115">
        <f>Table2[[#This Row],[Quantity]]*Table2[[#This Row],[Item_Price]]</f>
        <v>289</v>
      </c>
    </row>
    <row r="2116" spans="1:23" x14ac:dyDescent="0.25">
      <c r="A2116" t="s">
        <v>2215</v>
      </c>
      <c r="B2116" s="1">
        <v>45810</v>
      </c>
      <c r="C2116" t="s">
        <v>2191</v>
      </c>
      <c r="D2116">
        <v>6</v>
      </c>
      <c r="E2116">
        <v>2</v>
      </c>
      <c r="F2116" t="s">
        <v>168</v>
      </c>
      <c r="G2116" t="s">
        <v>34</v>
      </c>
      <c r="H2116" t="s">
        <v>135</v>
      </c>
      <c r="I2116" t="s">
        <v>27</v>
      </c>
      <c r="J2116" t="s">
        <v>119</v>
      </c>
      <c r="K2116" t="s">
        <v>38</v>
      </c>
      <c r="L2116">
        <v>2</v>
      </c>
      <c r="M2116">
        <v>279</v>
      </c>
      <c r="N2116">
        <v>0</v>
      </c>
      <c r="O2116">
        <v>0</v>
      </c>
      <c r="P2116">
        <v>558</v>
      </c>
      <c r="Q2116">
        <v>558</v>
      </c>
      <c r="R2116" t="s">
        <v>39</v>
      </c>
      <c r="S2116" t="s">
        <v>31</v>
      </c>
      <c r="T2116" t="s">
        <v>40</v>
      </c>
      <c r="U2116">
        <v>35</v>
      </c>
      <c r="V2116">
        <v>4.5</v>
      </c>
      <c r="W2116">
        <f>Table2[[#This Row],[Quantity]]*Table2[[#This Row],[Item_Price]]</f>
        <v>558</v>
      </c>
    </row>
    <row r="2117" spans="1:23" x14ac:dyDescent="0.25">
      <c r="A2117" t="s">
        <v>2216</v>
      </c>
      <c r="B2117" s="1">
        <v>45810</v>
      </c>
      <c r="C2117" t="s">
        <v>2191</v>
      </c>
      <c r="D2117">
        <v>6</v>
      </c>
      <c r="E2117">
        <v>2</v>
      </c>
      <c r="F2117" t="s">
        <v>168</v>
      </c>
      <c r="G2117" t="s">
        <v>80</v>
      </c>
      <c r="H2117" t="s">
        <v>105</v>
      </c>
      <c r="I2117" t="s">
        <v>85</v>
      </c>
      <c r="J2117" t="s">
        <v>101</v>
      </c>
      <c r="K2117" t="s">
        <v>38</v>
      </c>
      <c r="L2117">
        <v>2</v>
      </c>
      <c r="M2117">
        <v>467</v>
      </c>
      <c r="N2117">
        <v>70.05</v>
      </c>
      <c r="O2117">
        <v>0</v>
      </c>
      <c r="P2117">
        <v>934</v>
      </c>
      <c r="Q2117">
        <v>863.95</v>
      </c>
      <c r="R2117" t="s">
        <v>39</v>
      </c>
      <c r="S2117" t="s">
        <v>31</v>
      </c>
      <c r="T2117" t="s">
        <v>40</v>
      </c>
      <c r="U2117">
        <v>49</v>
      </c>
      <c r="V2117">
        <v>3.2</v>
      </c>
      <c r="W2117">
        <f>Table2[[#This Row],[Quantity]]*Table2[[#This Row],[Item_Price]]</f>
        <v>934</v>
      </c>
    </row>
    <row r="2118" spans="1:23" x14ac:dyDescent="0.25">
      <c r="A2118" t="s">
        <v>2217</v>
      </c>
      <c r="B2118" s="1">
        <v>45810</v>
      </c>
      <c r="C2118" t="s">
        <v>2191</v>
      </c>
      <c r="D2118">
        <v>6</v>
      </c>
      <c r="E2118">
        <v>2</v>
      </c>
      <c r="F2118" t="s">
        <v>168</v>
      </c>
      <c r="G2118" t="s">
        <v>115</v>
      </c>
      <c r="H2118" t="s">
        <v>56</v>
      </c>
      <c r="I2118" t="s">
        <v>69</v>
      </c>
      <c r="J2118" t="s">
        <v>70</v>
      </c>
      <c r="K2118" t="s">
        <v>45</v>
      </c>
      <c r="L2118">
        <v>3</v>
      </c>
      <c r="M2118">
        <v>808</v>
      </c>
      <c r="N2118">
        <v>202</v>
      </c>
      <c r="O2118">
        <v>30</v>
      </c>
      <c r="P2118">
        <v>2424</v>
      </c>
      <c r="Q2118">
        <v>2252</v>
      </c>
      <c r="R2118" t="s">
        <v>39</v>
      </c>
      <c r="S2118" t="s">
        <v>31</v>
      </c>
      <c r="T2118" t="s">
        <v>32</v>
      </c>
      <c r="U2118">
        <v>23</v>
      </c>
      <c r="V2118">
        <v>3.6</v>
      </c>
      <c r="W2118">
        <f>Table2[[#This Row],[Quantity]]*Table2[[#This Row],[Item_Price]]</f>
        <v>2424</v>
      </c>
    </row>
    <row r="2119" spans="1:23" x14ac:dyDescent="0.25">
      <c r="A2119" t="s">
        <v>2218</v>
      </c>
      <c r="B2119" s="1">
        <v>45810</v>
      </c>
      <c r="C2119" t="s">
        <v>2191</v>
      </c>
      <c r="D2119">
        <v>6</v>
      </c>
      <c r="E2119">
        <v>2</v>
      </c>
      <c r="F2119" t="s">
        <v>168</v>
      </c>
      <c r="G2119" t="s">
        <v>25</v>
      </c>
      <c r="H2119" t="s">
        <v>108</v>
      </c>
      <c r="I2119" t="s">
        <v>27</v>
      </c>
      <c r="J2119" t="s">
        <v>172</v>
      </c>
      <c r="K2119" t="s">
        <v>38</v>
      </c>
      <c r="L2119">
        <v>2</v>
      </c>
      <c r="M2119">
        <v>872</v>
      </c>
      <c r="N2119">
        <v>218</v>
      </c>
      <c r="O2119">
        <v>60</v>
      </c>
      <c r="P2119">
        <v>1744</v>
      </c>
      <c r="Q2119">
        <v>1586</v>
      </c>
      <c r="R2119" t="s">
        <v>30</v>
      </c>
      <c r="S2119" t="s">
        <v>110</v>
      </c>
      <c r="T2119" t="s">
        <v>40</v>
      </c>
      <c r="U2119">
        <v>52</v>
      </c>
      <c r="W2119">
        <f>Table2[[#This Row],[Quantity]]*Table2[[#This Row],[Item_Price]]</f>
        <v>1744</v>
      </c>
    </row>
    <row r="2120" spans="1:23" x14ac:dyDescent="0.25">
      <c r="A2120" t="s">
        <v>2219</v>
      </c>
      <c r="B2120" s="1">
        <v>45810</v>
      </c>
      <c r="C2120" t="s">
        <v>2191</v>
      </c>
      <c r="D2120">
        <v>6</v>
      </c>
      <c r="E2120">
        <v>2</v>
      </c>
      <c r="F2120" t="s">
        <v>168</v>
      </c>
      <c r="G2120" t="s">
        <v>80</v>
      </c>
      <c r="H2120" t="s">
        <v>26</v>
      </c>
      <c r="I2120" t="s">
        <v>43</v>
      </c>
      <c r="J2120" t="s">
        <v>53</v>
      </c>
      <c r="K2120" t="s">
        <v>38</v>
      </c>
      <c r="L2120">
        <v>2</v>
      </c>
      <c r="M2120">
        <v>610</v>
      </c>
      <c r="N2120">
        <v>152.5</v>
      </c>
      <c r="O2120">
        <v>50</v>
      </c>
      <c r="P2120">
        <v>1220</v>
      </c>
      <c r="Q2120">
        <v>1117.5</v>
      </c>
      <c r="R2120" t="s">
        <v>39</v>
      </c>
      <c r="S2120" t="s">
        <v>31</v>
      </c>
      <c r="T2120" t="s">
        <v>32</v>
      </c>
      <c r="U2120">
        <v>41</v>
      </c>
      <c r="V2120">
        <v>5</v>
      </c>
      <c r="W2120">
        <f>Table2[[#This Row],[Quantity]]*Table2[[#This Row],[Item_Price]]</f>
        <v>1220</v>
      </c>
    </row>
    <row r="2121" spans="1:23" x14ac:dyDescent="0.25">
      <c r="A2121" t="s">
        <v>2220</v>
      </c>
      <c r="B2121" s="1">
        <v>45810</v>
      </c>
      <c r="C2121" t="s">
        <v>2191</v>
      </c>
      <c r="D2121">
        <v>6</v>
      </c>
      <c r="E2121">
        <v>2</v>
      </c>
      <c r="F2121" t="s">
        <v>168</v>
      </c>
      <c r="G2121" t="s">
        <v>96</v>
      </c>
      <c r="H2121" t="s">
        <v>81</v>
      </c>
      <c r="I2121" t="s">
        <v>49</v>
      </c>
      <c r="J2121" t="s">
        <v>28</v>
      </c>
      <c r="K2121" t="s">
        <v>58</v>
      </c>
      <c r="L2121">
        <v>3</v>
      </c>
      <c r="M2121">
        <v>362</v>
      </c>
      <c r="N2121">
        <v>0</v>
      </c>
      <c r="O2121">
        <v>30</v>
      </c>
      <c r="P2121">
        <v>1086</v>
      </c>
      <c r="Q2121">
        <v>1116</v>
      </c>
      <c r="R2121" t="s">
        <v>75</v>
      </c>
      <c r="S2121" t="s">
        <v>31</v>
      </c>
      <c r="T2121" t="s">
        <v>40</v>
      </c>
      <c r="U2121">
        <v>28</v>
      </c>
      <c r="V2121">
        <v>3.3</v>
      </c>
      <c r="W2121">
        <f>Table2[[#This Row],[Quantity]]*Table2[[#This Row],[Item_Price]]</f>
        <v>1086</v>
      </c>
    </row>
    <row r="2122" spans="1:23" x14ac:dyDescent="0.25">
      <c r="A2122" t="s">
        <v>2221</v>
      </c>
      <c r="B2122" s="1">
        <v>45810</v>
      </c>
      <c r="C2122" t="s">
        <v>2191</v>
      </c>
      <c r="D2122">
        <v>6</v>
      </c>
      <c r="E2122">
        <v>2</v>
      </c>
      <c r="F2122" t="s">
        <v>168</v>
      </c>
      <c r="G2122" t="s">
        <v>34</v>
      </c>
      <c r="H2122" t="s">
        <v>60</v>
      </c>
      <c r="I2122" t="s">
        <v>27</v>
      </c>
      <c r="J2122" t="s">
        <v>37</v>
      </c>
      <c r="K2122" t="s">
        <v>38</v>
      </c>
      <c r="L2122">
        <v>2</v>
      </c>
      <c r="M2122">
        <v>184</v>
      </c>
      <c r="N2122">
        <v>9.1999999999999993</v>
      </c>
      <c r="O2122">
        <v>50</v>
      </c>
      <c r="P2122">
        <v>368</v>
      </c>
      <c r="Q2122">
        <v>408.8</v>
      </c>
      <c r="R2122" t="s">
        <v>98</v>
      </c>
      <c r="S2122" t="s">
        <v>31</v>
      </c>
      <c r="T2122" t="s">
        <v>40</v>
      </c>
      <c r="U2122">
        <v>64</v>
      </c>
      <c r="V2122">
        <v>4.7</v>
      </c>
      <c r="W2122">
        <f>Table2[[#This Row],[Quantity]]*Table2[[#This Row],[Item_Price]]</f>
        <v>368</v>
      </c>
    </row>
    <row r="2123" spans="1:23" x14ac:dyDescent="0.25">
      <c r="A2123" t="s">
        <v>2222</v>
      </c>
      <c r="B2123" s="1">
        <v>45810</v>
      </c>
      <c r="C2123" t="s">
        <v>2191</v>
      </c>
      <c r="D2123">
        <v>6</v>
      </c>
      <c r="E2123">
        <v>2</v>
      </c>
      <c r="F2123" t="s">
        <v>168</v>
      </c>
      <c r="G2123" t="s">
        <v>84</v>
      </c>
      <c r="H2123" t="s">
        <v>139</v>
      </c>
      <c r="I2123" t="s">
        <v>36</v>
      </c>
      <c r="J2123" t="s">
        <v>172</v>
      </c>
      <c r="K2123" t="s">
        <v>38</v>
      </c>
      <c r="L2123">
        <v>1</v>
      </c>
      <c r="M2123">
        <v>441</v>
      </c>
      <c r="N2123">
        <v>110.25</v>
      </c>
      <c r="O2123">
        <v>20</v>
      </c>
      <c r="P2123">
        <v>441</v>
      </c>
      <c r="Q2123">
        <v>350.75</v>
      </c>
      <c r="R2123" t="s">
        <v>39</v>
      </c>
      <c r="S2123" t="s">
        <v>31</v>
      </c>
      <c r="T2123" t="s">
        <v>40</v>
      </c>
      <c r="U2123">
        <v>26</v>
      </c>
      <c r="V2123">
        <v>3.8</v>
      </c>
      <c r="W2123">
        <f>Table2[[#This Row],[Quantity]]*Table2[[#This Row],[Item_Price]]</f>
        <v>441</v>
      </c>
    </row>
    <row r="2124" spans="1:23" x14ac:dyDescent="0.25">
      <c r="A2124" t="s">
        <v>2223</v>
      </c>
      <c r="B2124" s="1">
        <v>45810</v>
      </c>
      <c r="C2124" t="s">
        <v>2191</v>
      </c>
      <c r="D2124">
        <v>6</v>
      </c>
      <c r="E2124">
        <v>2</v>
      </c>
      <c r="F2124" t="s">
        <v>168</v>
      </c>
      <c r="G2124" t="s">
        <v>73</v>
      </c>
      <c r="H2124" t="s">
        <v>139</v>
      </c>
      <c r="I2124" t="s">
        <v>85</v>
      </c>
      <c r="J2124" t="s">
        <v>119</v>
      </c>
      <c r="K2124" t="s">
        <v>38</v>
      </c>
      <c r="L2124">
        <v>1</v>
      </c>
      <c r="M2124">
        <v>165</v>
      </c>
      <c r="N2124">
        <v>41.25</v>
      </c>
      <c r="O2124">
        <v>40</v>
      </c>
      <c r="P2124">
        <v>165</v>
      </c>
      <c r="Q2124">
        <v>163.75</v>
      </c>
      <c r="R2124" t="s">
        <v>30</v>
      </c>
      <c r="S2124" t="s">
        <v>31</v>
      </c>
      <c r="T2124" t="s">
        <v>40</v>
      </c>
      <c r="U2124">
        <v>62</v>
      </c>
      <c r="V2124">
        <v>3.7</v>
      </c>
      <c r="W2124">
        <f>Table2[[#This Row],[Quantity]]*Table2[[#This Row],[Item_Price]]</f>
        <v>165</v>
      </c>
    </row>
    <row r="2125" spans="1:23" x14ac:dyDescent="0.25">
      <c r="A2125" t="s">
        <v>2224</v>
      </c>
      <c r="B2125" s="1">
        <v>45810</v>
      </c>
      <c r="C2125" t="s">
        <v>2191</v>
      </c>
      <c r="D2125">
        <v>6</v>
      </c>
      <c r="E2125">
        <v>2</v>
      </c>
      <c r="F2125" t="s">
        <v>168</v>
      </c>
      <c r="G2125" t="s">
        <v>34</v>
      </c>
      <c r="H2125" t="s">
        <v>108</v>
      </c>
      <c r="I2125" t="s">
        <v>57</v>
      </c>
      <c r="J2125" t="s">
        <v>28</v>
      </c>
      <c r="K2125" t="s">
        <v>38</v>
      </c>
      <c r="L2125">
        <v>1</v>
      </c>
      <c r="M2125">
        <v>745</v>
      </c>
      <c r="N2125">
        <v>74.5</v>
      </c>
      <c r="O2125">
        <v>60</v>
      </c>
      <c r="P2125">
        <v>745</v>
      </c>
      <c r="Q2125">
        <v>730.5</v>
      </c>
      <c r="R2125" t="s">
        <v>98</v>
      </c>
      <c r="S2125" t="s">
        <v>91</v>
      </c>
      <c r="T2125" t="s">
        <v>40</v>
      </c>
      <c r="U2125">
        <v>42</v>
      </c>
      <c r="W2125">
        <f>Table2[[#This Row],[Quantity]]*Table2[[#This Row],[Item_Price]]</f>
        <v>745</v>
      </c>
    </row>
    <row r="2126" spans="1:23" x14ac:dyDescent="0.25">
      <c r="A2126" t="s">
        <v>2225</v>
      </c>
      <c r="B2126" s="1">
        <v>45810</v>
      </c>
      <c r="C2126" t="s">
        <v>2191</v>
      </c>
      <c r="D2126">
        <v>6</v>
      </c>
      <c r="E2126">
        <v>2</v>
      </c>
      <c r="F2126" t="s">
        <v>168</v>
      </c>
      <c r="G2126" t="s">
        <v>115</v>
      </c>
      <c r="H2126" t="s">
        <v>42</v>
      </c>
      <c r="I2126" t="s">
        <v>57</v>
      </c>
      <c r="J2126" t="s">
        <v>53</v>
      </c>
      <c r="K2126" t="s">
        <v>58</v>
      </c>
      <c r="L2126">
        <v>1</v>
      </c>
      <c r="M2126">
        <v>432</v>
      </c>
      <c r="N2126">
        <v>86.4</v>
      </c>
      <c r="O2126">
        <v>60</v>
      </c>
      <c r="P2126">
        <v>432</v>
      </c>
      <c r="Q2126">
        <v>405.6</v>
      </c>
      <c r="R2126" t="s">
        <v>98</v>
      </c>
      <c r="S2126" t="s">
        <v>31</v>
      </c>
      <c r="T2126" t="s">
        <v>40</v>
      </c>
      <c r="U2126">
        <v>34</v>
      </c>
      <c r="V2126">
        <v>3.7</v>
      </c>
      <c r="W2126">
        <f>Table2[[#This Row],[Quantity]]*Table2[[#This Row],[Item_Price]]</f>
        <v>432</v>
      </c>
    </row>
    <row r="2127" spans="1:23" x14ac:dyDescent="0.25">
      <c r="A2127" t="s">
        <v>2226</v>
      </c>
      <c r="B2127" s="1">
        <v>45811</v>
      </c>
      <c r="C2127" t="s">
        <v>2191</v>
      </c>
      <c r="D2127">
        <v>6</v>
      </c>
      <c r="E2127">
        <v>3</v>
      </c>
      <c r="F2127" t="s">
        <v>178</v>
      </c>
      <c r="G2127" t="s">
        <v>80</v>
      </c>
      <c r="H2127" t="s">
        <v>35</v>
      </c>
      <c r="I2127" t="s">
        <v>69</v>
      </c>
      <c r="J2127" t="s">
        <v>62</v>
      </c>
      <c r="K2127" t="s">
        <v>38</v>
      </c>
      <c r="L2127">
        <v>1</v>
      </c>
      <c r="M2127">
        <v>816</v>
      </c>
      <c r="N2127">
        <v>81.599999999999994</v>
      </c>
      <c r="O2127">
        <v>0</v>
      </c>
      <c r="P2127">
        <v>816</v>
      </c>
      <c r="Q2127">
        <v>734.4</v>
      </c>
      <c r="R2127" t="s">
        <v>75</v>
      </c>
      <c r="S2127" t="s">
        <v>31</v>
      </c>
      <c r="T2127" t="s">
        <v>40</v>
      </c>
      <c r="U2127">
        <v>31</v>
      </c>
      <c r="V2127">
        <v>3.9</v>
      </c>
      <c r="W2127">
        <f>Table2[[#This Row],[Quantity]]*Table2[[#This Row],[Item_Price]]</f>
        <v>816</v>
      </c>
    </row>
    <row r="2128" spans="1:23" x14ac:dyDescent="0.25">
      <c r="A2128" t="s">
        <v>2227</v>
      </c>
      <c r="B2128" s="1">
        <v>45811</v>
      </c>
      <c r="C2128" t="s">
        <v>2191</v>
      </c>
      <c r="D2128">
        <v>6</v>
      </c>
      <c r="E2128">
        <v>3</v>
      </c>
      <c r="F2128" t="s">
        <v>178</v>
      </c>
      <c r="G2128" t="s">
        <v>73</v>
      </c>
      <c r="H2128" t="s">
        <v>81</v>
      </c>
      <c r="I2128" t="s">
        <v>69</v>
      </c>
      <c r="J2128" t="s">
        <v>123</v>
      </c>
      <c r="K2128" t="s">
        <v>45</v>
      </c>
      <c r="L2128">
        <v>2</v>
      </c>
      <c r="M2128">
        <v>358</v>
      </c>
      <c r="N2128">
        <v>71.599999999999994</v>
      </c>
      <c r="O2128">
        <v>40</v>
      </c>
      <c r="P2128">
        <v>716</v>
      </c>
      <c r="Q2128">
        <v>684.4</v>
      </c>
      <c r="R2128" t="s">
        <v>75</v>
      </c>
      <c r="S2128" t="s">
        <v>31</v>
      </c>
      <c r="T2128" t="s">
        <v>40</v>
      </c>
      <c r="U2128">
        <v>53</v>
      </c>
      <c r="V2128">
        <v>4.5</v>
      </c>
      <c r="W2128">
        <f>Table2[[#This Row],[Quantity]]*Table2[[#This Row],[Item_Price]]</f>
        <v>716</v>
      </c>
    </row>
    <row r="2129" spans="1:23" x14ac:dyDescent="0.25">
      <c r="A2129" t="s">
        <v>2228</v>
      </c>
      <c r="B2129" s="1">
        <v>45811</v>
      </c>
      <c r="C2129" t="s">
        <v>2191</v>
      </c>
      <c r="D2129">
        <v>6</v>
      </c>
      <c r="E2129">
        <v>3</v>
      </c>
      <c r="F2129" t="s">
        <v>178</v>
      </c>
      <c r="G2129" t="s">
        <v>80</v>
      </c>
      <c r="H2129" t="s">
        <v>81</v>
      </c>
      <c r="I2129" t="s">
        <v>85</v>
      </c>
      <c r="J2129" t="s">
        <v>123</v>
      </c>
      <c r="K2129" t="s">
        <v>38</v>
      </c>
      <c r="L2129">
        <v>2</v>
      </c>
      <c r="M2129">
        <v>437</v>
      </c>
      <c r="N2129">
        <v>65.55</v>
      </c>
      <c r="O2129">
        <v>60</v>
      </c>
      <c r="P2129">
        <v>874</v>
      </c>
      <c r="Q2129">
        <v>868.45</v>
      </c>
      <c r="R2129" t="s">
        <v>75</v>
      </c>
      <c r="S2129" t="s">
        <v>31</v>
      </c>
      <c r="T2129" t="s">
        <v>40</v>
      </c>
      <c r="U2129">
        <v>47</v>
      </c>
      <c r="V2129">
        <v>4.3</v>
      </c>
      <c r="W2129">
        <f>Table2[[#This Row],[Quantity]]*Table2[[#This Row],[Item_Price]]</f>
        <v>874</v>
      </c>
    </row>
    <row r="2130" spans="1:23" x14ac:dyDescent="0.25">
      <c r="A2130" t="s">
        <v>2229</v>
      </c>
      <c r="B2130" s="1">
        <v>45811</v>
      </c>
      <c r="C2130" t="s">
        <v>2191</v>
      </c>
      <c r="D2130">
        <v>6</v>
      </c>
      <c r="E2130">
        <v>3</v>
      </c>
      <c r="F2130" t="s">
        <v>178</v>
      </c>
      <c r="G2130" t="s">
        <v>64</v>
      </c>
      <c r="H2130" t="s">
        <v>52</v>
      </c>
      <c r="I2130" t="s">
        <v>85</v>
      </c>
      <c r="J2130" t="s">
        <v>28</v>
      </c>
      <c r="K2130" t="s">
        <v>38</v>
      </c>
      <c r="L2130">
        <v>2</v>
      </c>
      <c r="M2130">
        <v>215</v>
      </c>
      <c r="N2130">
        <v>53.75</v>
      </c>
      <c r="O2130">
        <v>50</v>
      </c>
      <c r="P2130">
        <v>430</v>
      </c>
      <c r="Q2130">
        <v>426.25</v>
      </c>
      <c r="R2130" t="s">
        <v>75</v>
      </c>
      <c r="S2130" t="s">
        <v>31</v>
      </c>
      <c r="T2130" t="s">
        <v>40</v>
      </c>
      <c r="U2130">
        <v>67</v>
      </c>
      <c r="V2130">
        <v>3.6</v>
      </c>
      <c r="W2130">
        <f>Table2[[#This Row],[Quantity]]*Table2[[#This Row],[Item_Price]]</f>
        <v>430</v>
      </c>
    </row>
    <row r="2131" spans="1:23" x14ac:dyDescent="0.25">
      <c r="A2131" t="s">
        <v>2230</v>
      </c>
      <c r="B2131" s="1">
        <v>45811</v>
      </c>
      <c r="C2131" t="s">
        <v>2191</v>
      </c>
      <c r="D2131">
        <v>6</v>
      </c>
      <c r="E2131">
        <v>3</v>
      </c>
      <c r="F2131" t="s">
        <v>178</v>
      </c>
      <c r="G2131" t="s">
        <v>90</v>
      </c>
      <c r="H2131" t="s">
        <v>52</v>
      </c>
      <c r="I2131" t="s">
        <v>36</v>
      </c>
      <c r="J2131" t="s">
        <v>50</v>
      </c>
      <c r="K2131" t="s">
        <v>38</v>
      </c>
      <c r="L2131">
        <v>1</v>
      </c>
      <c r="M2131">
        <v>661</v>
      </c>
      <c r="N2131">
        <v>132.19999999999999</v>
      </c>
      <c r="O2131">
        <v>40</v>
      </c>
      <c r="P2131">
        <v>661</v>
      </c>
      <c r="Q2131">
        <v>568.79999999999995</v>
      </c>
      <c r="R2131" t="s">
        <v>39</v>
      </c>
      <c r="S2131" t="s">
        <v>31</v>
      </c>
      <c r="T2131" t="s">
        <v>32</v>
      </c>
      <c r="U2131">
        <v>60</v>
      </c>
      <c r="V2131">
        <v>3.2</v>
      </c>
      <c r="W2131">
        <f>Table2[[#This Row],[Quantity]]*Table2[[#This Row],[Item_Price]]</f>
        <v>661</v>
      </c>
    </row>
    <row r="2132" spans="1:23" x14ac:dyDescent="0.25">
      <c r="A2132" t="s">
        <v>2231</v>
      </c>
      <c r="B2132" s="1">
        <v>45811</v>
      </c>
      <c r="C2132" t="s">
        <v>2191</v>
      </c>
      <c r="D2132">
        <v>6</v>
      </c>
      <c r="E2132">
        <v>3</v>
      </c>
      <c r="F2132" t="s">
        <v>178</v>
      </c>
      <c r="G2132" t="s">
        <v>80</v>
      </c>
      <c r="H2132" t="s">
        <v>135</v>
      </c>
      <c r="I2132" t="s">
        <v>61</v>
      </c>
      <c r="J2132" t="s">
        <v>28</v>
      </c>
      <c r="K2132" t="s">
        <v>45</v>
      </c>
      <c r="L2132">
        <v>1</v>
      </c>
      <c r="M2132">
        <v>363</v>
      </c>
      <c r="N2132">
        <v>36.299999999999997</v>
      </c>
      <c r="O2132">
        <v>60</v>
      </c>
      <c r="P2132">
        <v>363</v>
      </c>
      <c r="Q2132">
        <v>386.7</v>
      </c>
      <c r="R2132" t="s">
        <v>75</v>
      </c>
      <c r="S2132" t="s">
        <v>31</v>
      </c>
      <c r="T2132" t="s">
        <v>32</v>
      </c>
      <c r="U2132">
        <v>44</v>
      </c>
      <c r="V2132">
        <v>3.6</v>
      </c>
      <c r="W2132">
        <f>Table2[[#This Row],[Quantity]]*Table2[[#This Row],[Item_Price]]</f>
        <v>363</v>
      </c>
    </row>
    <row r="2133" spans="1:23" x14ac:dyDescent="0.25">
      <c r="A2133" t="s">
        <v>2232</v>
      </c>
      <c r="B2133" s="1">
        <v>45811</v>
      </c>
      <c r="C2133" t="s">
        <v>2191</v>
      </c>
      <c r="D2133">
        <v>6</v>
      </c>
      <c r="E2133">
        <v>3</v>
      </c>
      <c r="F2133" t="s">
        <v>178</v>
      </c>
      <c r="G2133" t="s">
        <v>115</v>
      </c>
      <c r="H2133" t="s">
        <v>108</v>
      </c>
      <c r="I2133" t="s">
        <v>97</v>
      </c>
      <c r="J2133" t="s">
        <v>123</v>
      </c>
      <c r="K2133" t="s">
        <v>38</v>
      </c>
      <c r="L2133">
        <v>1</v>
      </c>
      <c r="M2133">
        <v>718</v>
      </c>
      <c r="N2133">
        <v>143.6</v>
      </c>
      <c r="O2133">
        <v>50</v>
      </c>
      <c r="P2133">
        <v>718</v>
      </c>
      <c r="Q2133">
        <v>624.4</v>
      </c>
      <c r="R2133" t="s">
        <v>30</v>
      </c>
      <c r="S2133" t="s">
        <v>31</v>
      </c>
      <c r="T2133" t="s">
        <v>32</v>
      </c>
      <c r="U2133">
        <v>40</v>
      </c>
      <c r="V2133">
        <v>4.5999999999999996</v>
      </c>
      <c r="W2133">
        <f>Table2[[#This Row],[Quantity]]*Table2[[#This Row],[Item_Price]]</f>
        <v>718</v>
      </c>
    </row>
    <row r="2134" spans="1:23" x14ac:dyDescent="0.25">
      <c r="A2134" t="s">
        <v>2233</v>
      </c>
      <c r="B2134" s="1">
        <v>45811</v>
      </c>
      <c r="C2134" t="s">
        <v>2191</v>
      </c>
      <c r="D2134">
        <v>6</v>
      </c>
      <c r="E2134">
        <v>3</v>
      </c>
      <c r="F2134" t="s">
        <v>178</v>
      </c>
      <c r="G2134" t="s">
        <v>34</v>
      </c>
      <c r="H2134" t="s">
        <v>105</v>
      </c>
      <c r="I2134" t="s">
        <v>36</v>
      </c>
      <c r="J2134" t="s">
        <v>94</v>
      </c>
      <c r="K2134" t="s">
        <v>38</v>
      </c>
      <c r="L2134">
        <v>2</v>
      </c>
      <c r="M2134">
        <v>736</v>
      </c>
      <c r="N2134">
        <v>36.799999999999997</v>
      </c>
      <c r="O2134">
        <v>20</v>
      </c>
      <c r="P2134">
        <v>1472</v>
      </c>
      <c r="Q2134">
        <v>1455.2</v>
      </c>
      <c r="R2134" t="s">
        <v>75</v>
      </c>
      <c r="S2134" t="s">
        <v>31</v>
      </c>
      <c r="T2134" t="s">
        <v>40</v>
      </c>
      <c r="U2134">
        <v>31</v>
      </c>
      <c r="V2134">
        <v>3.2</v>
      </c>
      <c r="W2134">
        <f>Table2[[#This Row],[Quantity]]*Table2[[#This Row],[Item_Price]]</f>
        <v>1472</v>
      </c>
    </row>
    <row r="2135" spans="1:23" x14ac:dyDescent="0.25">
      <c r="A2135" t="s">
        <v>2234</v>
      </c>
      <c r="B2135" s="1">
        <v>45811</v>
      </c>
      <c r="C2135" t="s">
        <v>2191</v>
      </c>
      <c r="D2135">
        <v>6</v>
      </c>
      <c r="E2135">
        <v>3</v>
      </c>
      <c r="F2135" t="s">
        <v>178</v>
      </c>
      <c r="G2135" t="s">
        <v>115</v>
      </c>
      <c r="H2135" t="s">
        <v>139</v>
      </c>
      <c r="I2135" t="s">
        <v>97</v>
      </c>
      <c r="J2135" t="s">
        <v>82</v>
      </c>
      <c r="K2135" t="s">
        <v>29</v>
      </c>
      <c r="L2135">
        <v>2</v>
      </c>
      <c r="M2135">
        <v>190</v>
      </c>
      <c r="N2135">
        <v>0</v>
      </c>
      <c r="O2135">
        <v>40</v>
      </c>
      <c r="P2135">
        <v>380</v>
      </c>
      <c r="Q2135">
        <v>420</v>
      </c>
      <c r="R2135" t="s">
        <v>30</v>
      </c>
      <c r="S2135" t="s">
        <v>31</v>
      </c>
      <c r="T2135" t="s">
        <v>40</v>
      </c>
      <c r="U2135">
        <v>33</v>
      </c>
      <c r="V2135">
        <v>3.8</v>
      </c>
      <c r="W2135">
        <f>Table2[[#This Row],[Quantity]]*Table2[[#This Row],[Item_Price]]</f>
        <v>380</v>
      </c>
    </row>
    <row r="2136" spans="1:23" x14ac:dyDescent="0.25">
      <c r="A2136" t="s">
        <v>2235</v>
      </c>
      <c r="B2136" s="1">
        <v>45811</v>
      </c>
      <c r="C2136" t="s">
        <v>2191</v>
      </c>
      <c r="D2136">
        <v>6</v>
      </c>
      <c r="E2136">
        <v>3</v>
      </c>
      <c r="F2136" t="s">
        <v>178</v>
      </c>
      <c r="G2136" t="s">
        <v>96</v>
      </c>
      <c r="H2136" t="s">
        <v>35</v>
      </c>
      <c r="I2136" t="s">
        <v>85</v>
      </c>
      <c r="J2136" t="s">
        <v>94</v>
      </c>
      <c r="K2136" t="s">
        <v>38</v>
      </c>
      <c r="L2136">
        <v>1</v>
      </c>
      <c r="M2136">
        <v>872</v>
      </c>
      <c r="N2136">
        <v>43.6</v>
      </c>
      <c r="O2136">
        <v>20</v>
      </c>
      <c r="P2136">
        <v>872</v>
      </c>
      <c r="Q2136">
        <v>848.4</v>
      </c>
      <c r="R2136" t="s">
        <v>39</v>
      </c>
      <c r="S2136" t="s">
        <v>31</v>
      </c>
      <c r="T2136" t="s">
        <v>40</v>
      </c>
      <c r="U2136">
        <v>50</v>
      </c>
      <c r="V2136">
        <v>5</v>
      </c>
      <c r="W2136">
        <f>Table2[[#This Row],[Quantity]]*Table2[[#This Row],[Item_Price]]</f>
        <v>872</v>
      </c>
    </row>
    <row r="2137" spans="1:23" x14ac:dyDescent="0.25">
      <c r="A2137" t="s">
        <v>2236</v>
      </c>
      <c r="B2137" s="1">
        <v>45811</v>
      </c>
      <c r="C2137" t="s">
        <v>2191</v>
      </c>
      <c r="D2137">
        <v>6</v>
      </c>
      <c r="E2137">
        <v>3</v>
      </c>
      <c r="F2137" t="s">
        <v>178</v>
      </c>
      <c r="G2137" t="s">
        <v>64</v>
      </c>
      <c r="H2137" t="s">
        <v>52</v>
      </c>
      <c r="I2137" t="s">
        <v>97</v>
      </c>
      <c r="J2137" t="s">
        <v>172</v>
      </c>
      <c r="K2137" t="s">
        <v>58</v>
      </c>
      <c r="L2137">
        <v>2</v>
      </c>
      <c r="M2137">
        <v>601</v>
      </c>
      <c r="N2137">
        <v>90.15</v>
      </c>
      <c r="O2137">
        <v>60</v>
      </c>
      <c r="P2137">
        <v>1202</v>
      </c>
      <c r="Q2137">
        <v>1171.8499999999999</v>
      </c>
      <c r="R2137" t="s">
        <v>98</v>
      </c>
      <c r="S2137" t="s">
        <v>31</v>
      </c>
      <c r="T2137" t="s">
        <v>32</v>
      </c>
      <c r="U2137">
        <v>28</v>
      </c>
      <c r="V2137">
        <v>3.6</v>
      </c>
      <c r="W2137">
        <f>Table2[[#This Row],[Quantity]]*Table2[[#This Row],[Item_Price]]</f>
        <v>1202</v>
      </c>
    </row>
    <row r="2138" spans="1:23" x14ac:dyDescent="0.25">
      <c r="A2138" t="s">
        <v>2237</v>
      </c>
      <c r="B2138" s="1">
        <v>45811</v>
      </c>
      <c r="C2138" t="s">
        <v>2191</v>
      </c>
      <c r="D2138">
        <v>6</v>
      </c>
      <c r="E2138">
        <v>3</v>
      </c>
      <c r="F2138" t="s">
        <v>178</v>
      </c>
      <c r="G2138" t="s">
        <v>115</v>
      </c>
      <c r="H2138" t="s">
        <v>81</v>
      </c>
      <c r="I2138" t="s">
        <v>36</v>
      </c>
      <c r="J2138" t="s">
        <v>28</v>
      </c>
      <c r="K2138" t="s">
        <v>38</v>
      </c>
      <c r="L2138">
        <v>1</v>
      </c>
      <c r="M2138">
        <v>154</v>
      </c>
      <c r="N2138">
        <v>15.4</v>
      </c>
      <c r="O2138">
        <v>20</v>
      </c>
      <c r="P2138">
        <v>154</v>
      </c>
      <c r="Q2138">
        <v>158.6</v>
      </c>
      <c r="R2138" t="s">
        <v>39</v>
      </c>
      <c r="S2138" t="s">
        <v>31</v>
      </c>
      <c r="T2138" t="s">
        <v>40</v>
      </c>
      <c r="U2138">
        <v>50</v>
      </c>
      <c r="V2138">
        <v>4.7</v>
      </c>
      <c r="W2138">
        <f>Table2[[#This Row],[Quantity]]*Table2[[#This Row],[Item_Price]]</f>
        <v>154</v>
      </c>
    </row>
    <row r="2139" spans="1:23" x14ac:dyDescent="0.25">
      <c r="A2139" t="s">
        <v>2238</v>
      </c>
      <c r="B2139" s="1">
        <v>45811</v>
      </c>
      <c r="C2139" t="s">
        <v>2191</v>
      </c>
      <c r="D2139">
        <v>6</v>
      </c>
      <c r="E2139">
        <v>3</v>
      </c>
      <c r="F2139" t="s">
        <v>178</v>
      </c>
      <c r="G2139" t="s">
        <v>25</v>
      </c>
      <c r="H2139" t="s">
        <v>139</v>
      </c>
      <c r="I2139" t="s">
        <v>103</v>
      </c>
      <c r="J2139" t="s">
        <v>119</v>
      </c>
      <c r="K2139" t="s">
        <v>29</v>
      </c>
      <c r="L2139">
        <v>1</v>
      </c>
      <c r="M2139">
        <v>198</v>
      </c>
      <c r="N2139">
        <v>29.7</v>
      </c>
      <c r="O2139">
        <v>30</v>
      </c>
      <c r="P2139">
        <v>198</v>
      </c>
      <c r="Q2139">
        <v>198.3</v>
      </c>
      <c r="R2139" t="s">
        <v>39</v>
      </c>
      <c r="S2139" t="s">
        <v>31</v>
      </c>
      <c r="T2139" t="s">
        <v>40</v>
      </c>
      <c r="U2139">
        <v>53</v>
      </c>
      <c r="V2139">
        <v>3.9</v>
      </c>
      <c r="W2139">
        <f>Table2[[#This Row],[Quantity]]*Table2[[#This Row],[Item_Price]]</f>
        <v>198</v>
      </c>
    </row>
    <row r="2140" spans="1:23" x14ac:dyDescent="0.25">
      <c r="A2140" t="s">
        <v>2239</v>
      </c>
      <c r="B2140" s="1">
        <v>45811</v>
      </c>
      <c r="C2140" t="s">
        <v>2191</v>
      </c>
      <c r="D2140">
        <v>6</v>
      </c>
      <c r="E2140">
        <v>3</v>
      </c>
      <c r="F2140" t="s">
        <v>178</v>
      </c>
      <c r="G2140" t="s">
        <v>90</v>
      </c>
      <c r="H2140" t="s">
        <v>26</v>
      </c>
      <c r="I2140" t="s">
        <v>61</v>
      </c>
      <c r="J2140" t="s">
        <v>50</v>
      </c>
      <c r="K2140" t="s">
        <v>38</v>
      </c>
      <c r="L2140">
        <v>2</v>
      </c>
      <c r="M2140">
        <v>376</v>
      </c>
      <c r="N2140">
        <v>0</v>
      </c>
      <c r="O2140">
        <v>20</v>
      </c>
      <c r="P2140">
        <v>752</v>
      </c>
      <c r="Q2140">
        <v>772</v>
      </c>
      <c r="R2140" t="s">
        <v>112</v>
      </c>
      <c r="S2140" t="s">
        <v>31</v>
      </c>
      <c r="T2140" t="s">
        <v>40</v>
      </c>
      <c r="U2140">
        <v>64</v>
      </c>
      <c r="V2140">
        <v>4.0999999999999996</v>
      </c>
      <c r="W2140">
        <f>Table2[[#This Row],[Quantity]]*Table2[[#This Row],[Item_Price]]</f>
        <v>752</v>
      </c>
    </row>
    <row r="2141" spans="1:23" x14ac:dyDescent="0.25">
      <c r="A2141" t="s">
        <v>2240</v>
      </c>
      <c r="B2141" s="1">
        <v>45811</v>
      </c>
      <c r="C2141" t="s">
        <v>2191</v>
      </c>
      <c r="D2141">
        <v>6</v>
      </c>
      <c r="E2141">
        <v>3</v>
      </c>
      <c r="F2141" t="s">
        <v>178</v>
      </c>
      <c r="G2141" t="s">
        <v>80</v>
      </c>
      <c r="H2141" t="s">
        <v>65</v>
      </c>
      <c r="I2141" t="s">
        <v>49</v>
      </c>
      <c r="J2141" t="s">
        <v>172</v>
      </c>
      <c r="K2141" t="s">
        <v>45</v>
      </c>
      <c r="L2141">
        <v>1</v>
      </c>
      <c r="M2141">
        <v>619</v>
      </c>
      <c r="N2141">
        <v>123.8</v>
      </c>
      <c r="O2141">
        <v>40</v>
      </c>
      <c r="P2141">
        <v>619</v>
      </c>
      <c r="Q2141">
        <v>535.20000000000005</v>
      </c>
      <c r="R2141" t="s">
        <v>98</v>
      </c>
      <c r="S2141" t="s">
        <v>31</v>
      </c>
      <c r="T2141" t="s">
        <v>32</v>
      </c>
      <c r="U2141">
        <v>51</v>
      </c>
      <c r="V2141">
        <v>3.8</v>
      </c>
      <c r="W2141">
        <f>Table2[[#This Row],[Quantity]]*Table2[[#This Row],[Item_Price]]</f>
        <v>619</v>
      </c>
    </row>
    <row r="2142" spans="1:23" x14ac:dyDescent="0.25">
      <c r="A2142" t="s">
        <v>2241</v>
      </c>
      <c r="B2142" s="1">
        <v>45811</v>
      </c>
      <c r="C2142" t="s">
        <v>2191</v>
      </c>
      <c r="D2142">
        <v>6</v>
      </c>
      <c r="E2142">
        <v>3</v>
      </c>
      <c r="F2142" t="s">
        <v>178</v>
      </c>
      <c r="G2142" t="s">
        <v>25</v>
      </c>
      <c r="H2142" t="s">
        <v>77</v>
      </c>
      <c r="I2142" t="s">
        <v>27</v>
      </c>
      <c r="J2142" t="s">
        <v>28</v>
      </c>
      <c r="K2142" t="s">
        <v>38</v>
      </c>
      <c r="L2142">
        <v>1</v>
      </c>
      <c r="M2142">
        <v>516</v>
      </c>
      <c r="N2142">
        <v>0</v>
      </c>
      <c r="O2142">
        <v>20</v>
      </c>
      <c r="P2142">
        <v>516</v>
      </c>
      <c r="Q2142">
        <v>536</v>
      </c>
      <c r="R2142" t="s">
        <v>39</v>
      </c>
      <c r="S2142" t="s">
        <v>31</v>
      </c>
      <c r="T2142" t="s">
        <v>32</v>
      </c>
      <c r="U2142">
        <v>49</v>
      </c>
      <c r="V2142">
        <v>3.4</v>
      </c>
      <c r="W2142">
        <f>Table2[[#This Row],[Quantity]]*Table2[[#This Row],[Item_Price]]</f>
        <v>516</v>
      </c>
    </row>
    <row r="2143" spans="1:23" x14ac:dyDescent="0.25">
      <c r="A2143" t="s">
        <v>2242</v>
      </c>
      <c r="B2143" s="1">
        <v>45811</v>
      </c>
      <c r="C2143" t="s">
        <v>2191</v>
      </c>
      <c r="D2143">
        <v>6</v>
      </c>
      <c r="E2143">
        <v>3</v>
      </c>
      <c r="F2143" t="s">
        <v>178</v>
      </c>
      <c r="G2143" t="s">
        <v>25</v>
      </c>
      <c r="H2143" t="s">
        <v>35</v>
      </c>
      <c r="I2143" t="s">
        <v>36</v>
      </c>
      <c r="J2143" t="s">
        <v>123</v>
      </c>
      <c r="K2143" t="s">
        <v>45</v>
      </c>
      <c r="L2143">
        <v>1</v>
      </c>
      <c r="M2143">
        <v>275</v>
      </c>
      <c r="N2143">
        <v>68.75</v>
      </c>
      <c r="O2143">
        <v>60</v>
      </c>
      <c r="P2143">
        <v>275</v>
      </c>
      <c r="Q2143">
        <v>266.25</v>
      </c>
      <c r="R2143" t="s">
        <v>39</v>
      </c>
      <c r="S2143" t="s">
        <v>91</v>
      </c>
      <c r="T2143" t="s">
        <v>32</v>
      </c>
      <c r="U2143">
        <v>22</v>
      </c>
      <c r="W2143">
        <f>Table2[[#This Row],[Quantity]]*Table2[[#This Row],[Item_Price]]</f>
        <v>275</v>
      </c>
    </row>
    <row r="2144" spans="1:23" x14ac:dyDescent="0.25">
      <c r="A2144" t="s">
        <v>2243</v>
      </c>
      <c r="B2144" s="1">
        <v>45811</v>
      </c>
      <c r="C2144" t="s">
        <v>2191</v>
      </c>
      <c r="D2144">
        <v>6</v>
      </c>
      <c r="E2144">
        <v>3</v>
      </c>
      <c r="F2144" t="s">
        <v>178</v>
      </c>
      <c r="G2144" t="s">
        <v>80</v>
      </c>
      <c r="H2144" t="s">
        <v>77</v>
      </c>
      <c r="I2144" t="s">
        <v>103</v>
      </c>
      <c r="J2144" t="s">
        <v>82</v>
      </c>
      <c r="K2144" t="s">
        <v>38</v>
      </c>
      <c r="L2144">
        <v>1</v>
      </c>
      <c r="M2144">
        <v>638</v>
      </c>
      <c r="N2144">
        <v>63.8</v>
      </c>
      <c r="O2144">
        <v>0</v>
      </c>
      <c r="P2144">
        <v>638</v>
      </c>
      <c r="Q2144">
        <v>574.20000000000005</v>
      </c>
      <c r="R2144" t="s">
        <v>39</v>
      </c>
      <c r="S2144" t="s">
        <v>31</v>
      </c>
      <c r="T2144" t="s">
        <v>32</v>
      </c>
      <c r="U2144">
        <v>53</v>
      </c>
      <c r="V2144">
        <v>3.7</v>
      </c>
      <c r="W2144">
        <f>Table2[[#This Row],[Quantity]]*Table2[[#This Row],[Item_Price]]</f>
        <v>638</v>
      </c>
    </row>
    <row r="2145" spans="1:23" x14ac:dyDescent="0.25">
      <c r="A2145" t="s">
        <v>2244</v>
      </c>
      <c r="B2145" s="1">
        <v>45811</v>
      </c>
      <c r="C2145" t="s">
        <v>2191</v>
      </c>
      <c r="D2145">
        <v>6</v>
      </c>
      <c r="E2145">
        <v>3</v>
      </c>
      <c r="F2145" t="s">
        <v>178</v>
      </c>
      <c r="G2145" t="s">
        <v>34</v>
      </c>
      <c r="H2145" t="s">
        <v>135</v>
      </c>
      <c r="I2145" t="s">
        <v>103</v>
      </c>
      <c r="J2145" t="s">
        <v>44</v>
      </c>
      <c r="K2145" t="s">
        <v>45</v>
      </c>
      <c r="L2145">
        <v>2</v>
      </c>
      <c r="M2145">
        <v>472</v>
      </c>
      <c r="N2145">
        <v>0</v>
      </c>
      <c r="O2145">
        <v>0</v>
      </c>
      <c r="P2145">
        <v>944</v>
      </c>
      <c r="Q2145">
        <v>944</v>
      </c>
      <c r="R2145" t="s">
        <v>39</v>
      </c>
      <c r="S2145" t="s">
        <v>31</v>
      </c>
      <c r="T2145" t="s">
        <v>40</v>
      </c>
      <c r="U2145">
        <v>64</v>
      </c>
      <c r="V2145">
        <v>4.4000000000000004</v>
      </c>
      <c r="W2145">
        <f>Table2[[#This Row],[Quantity]]*Table2[[#This Row],[Item_Price]]</f>
        <v>944</v>
      </c>
    </row>
    <row r="2146" spans="1:23" x14ac:dyDescent="0.25">
      <c r="A2146" t="s">
        <v>2245</v>
      </c>
      <c r="B2146" s="1">
        <v>45811</v>
      </c>
      <c r="C2146" t="s">
        <v>2191</v>
      </c>
      <c r="D2146">
        <v>6</v>
      </c>
      <c r="E2146">
        <v>3</v>
      </c>
      <c r="F2146" t="s">
        <v>178</v>
      </c>
      <c r="G2146" t="s">
        <v>64</v>
      </c>
      <c r="H2146" t="s">
        <v>77</v>
      </c>
      <c r="I2146" t="s">
        <v>85</v>
      </c>
      <c r="J2146" t="s">
        <v>50</v>
      </c>
      <c r="K2146" t="s">
        <v>38</v>
      </c>
      <c r="L2146">
        <v>1</v>
      </c>
      <c r="M2146">
        <v>893</v>
      </c>
      <c r="N2146">
        <v>89.3</v>
      </c>
      <c r="O2146">
        <v>30</v>
      </c>
      <c r="P2146">
        <v>893</v>
      </c>
      <c r="Q2146">
        <v>833.7</v>
      </c>
      <c r="R2146" t="s">
        <v>75</v>
      </c>
      <c r="S2146" t="s">
        <v>91</v>
      </c>
      <c r="T2146" t="s">
        <v>40</v>
      </c>
      <c r="U2146">
        <v>53</v>
      </c>
      <c r="W2146">
        <f>Table2[[#This Row],[Quantity]]*Table2[[#This Row],[Item_Price]]</f>
        <v>893</v>
      </c>
    </row>
    <row r="2147" spans="1:23" x14ac:dyDescent="0.25">
      <c r="A2147" t="s">
        <v>2246</v>
      </c>
      <c r="B2147" s="1">
        <v>45811</v>
      </c>
      <c r="C2147" t="s">
        <v>2191</v>
      </c>
      <c r="D2147">
        <v>6</v>
      </c>
      <c r="E2147">
        <v>3</v>
      </c>
      <c r="F2147" t="s">
        <v>178</v>
      </c>
      <c r="G2147" t="s">
        <v>84</v>
      </c>
      <c r="H2147" t="s">
        <v>52</v>
      </c>
      <c r="I2147" t="s">
        <v>27</v>
      </c>
      <c r="J2147" t="s">
        <v>123</v>
      </c>
      <c r="K2147" t="s">
        <v>29</v>
      </c>
      <c r="L2147">
        <v>3</v>
      </c>
      <c r="M2147">
        <v>374</v>
      </c>
      <c r="N2147">
        <v>56.1</v>
      </c>
      <c r="O2147">
        <v>40</v>
      </c>
      <c r="P2147">
        <v>1122</v>
      </c>
      <c r="Q2147">
        <v>1105.9000000000001</v>
      </c>
      <c r="R2147" t="s">
        <v>39</v>
      </c>
      <c r="S2147" t="s">
        <v>31</v>
      </c>
      <c r="T2147" t="s">
        <v>32</v>
      </c>
      <c r="U2147">
        <v>28</v>
      </c>
      <c r="V2147">
        <v>3.1</v>
      </c>
      <c r="W2147">
        <f>Table2[[#This Row],[Quantity]]*Table2[[#This Row],[Item_Price]]</f>
        <v>1122</v>
      </c>
    </row>
    <row r="2148" spans="1:23" x14ac:dyDescent="0.25">
      <c r="A2148" t="s">
        <v>2247</v>
      </c>
      <c r="B2148" s="1">
        <v>45811</v>
      </c>
      <c r="C2148" t="s">
        <v>2191</v>
      </c>
      <c r="D2148">
        <v>6</v>
      </c>
      <c r="E2148">
        <v>3</v>
      </c>
      <c r="F2148" t="s">
        <v>178</v>
      </c>
      <c r="G2148" t="s">
        <v>90</v>
      </c>
      <c r="H2148" t="s">
        <v>65</v>
      </c>
      <c r="I2148" t="s">
        <v>69</v>
      </c>
      <c r="J2148" t="s">
        <v>70</v>
      </c>
      <c r="K2148" t="s">
        <v>29</v>
      </c>
      <c r="L2148">
        <v>3</v>
      </c>
      <c r="M2148">
        <v>827</v>
      </c>
      <c r="N2148">
        <v>165.4</v>
      </c>
      <c r="O2148">
        <v>40</v>
      </c>
      <c r="P2148">
        <v>2481</v>
      </c>
      <c r="Q2148">
        <v>2355.6</v>
      </c>
      <c r="R2148" t="s">
        <v>98</v>
      </c>
      <c r="S2148" t="s">
        <v>31</v>
      </c>
      <c r="T2148" t="s">
        <v>40</v>
      </c>
      <c r="U2148">
        <v>21</v>
      </c>
      <c r="V2148">
        <v>4.5999999999999996</v>
      </c>
      <c r="W2148">
        <f>Table2[[#This Row],[Quantity]]*Table2[[#This Row],[Item_Price]]</f>
        <v>2481</v>
      </c>
    </row>
    <row r="2149" spans="1:23" x14ac:dyDescent="0.25">
      <c r="A2149" t="s">
        <v>2248</v>
      </c>
      <c r="B2149" s="1">
        <v>45811</v>
      </c>
      <c r="C2149" t="s">
        <v>2191</v>
      </c>
      <c r="D2149">
        <v>6</v>
      </c>
      <c r="E2149">
        <v>3</v>
      </c>
      <c r="F2149" t="s">
        <v>178</v>
      </c>
      <c r="G2149" t="s">
        <v>34</v>
      </c>
      <c r="H2149" t="s">
        <v>105</v>
      </c>
      <c r="I2149" t="s">
        <v>103</v>
      </c>
      <c r="J2149" t="s">
        <v>74</v>
      </c>
      <c r="K2149" t="s">
        <v>38</v>
      </c>
      <c r="L2149">
        <v>2</v>
      </c>
      <c r="M2149">
        <v>496</v>
      </c>
      <c r="N2149">
        <v>0</v>
      </c>
      <c r="O2149">
        <v>40</v>
      </c>
      <c r="P2149">
        <v>992</v>
      </c>
      <c r="Q2149">
        <v>1032</v>
      </c>
      <c r="R2149" t="s">
        <v>39</v>
      </c>
      <c r="S2149" t="s">
        <v>31</v>
      </c>
      <c r="T2149" t="s">
        <v>40</v>
      </c>
      <c r="U2149">
        <v>40</v>
      </c>
      <c r="V2149">
        <v>3.3</v>
      </c>
      <c r="W2149">
        <f>Table2[[#This Row],[Quantity]]*Table2[[#This Row],[Item_Price]]</f>
        <v>992</v>
      </c>
    </row>
    <row r="2150" spans="1:23" x14ac:dyDescent="0.25">
      <c r="A2150" t="s">
        <v>2249</v>
      </c>
      <c r="B2150" s="1">
        <v>45811</v>
      </c>
      <c r="C2150" t="s">
        <v>2191</v>
      </c>
      <c r="D2150">
        <v>6</v>
      </c>
      <c r="E2150">
        <v>3</v>
      </c>
      <c r="F2150" t="s">
        <v>178</v>
      </c>
      <c r="G2150" t="s">
        <v>84</v>
      </c>
      <c r="H2150" t="s">
        <v>68</v>
      </c>
      <c r="I2150" t="s">
        <v>69</v>
      </c>
      <c r="J2150" t="s">
        <v>172</v>
      </c>
      <c r="K2150" t="s">
        <v>38</v>
      </c>
      <c r="L2150">
        <v>1</v>
      </c>
      <c r="M2150">
        <v>382</v>
      </c>
      <c r="N2150">
        <v>38.200000000000003</v>
      </c>
      <c r="O2150">
        <v>20</v>
      </c>
      <c r="P2150">
        <v>382</v>
      </c>
      <c r="Q2150">
        <v>363.8</v>
      </c>
      <c r="R2150" t="s">
        <v>30</v>
      </c>
      <c r="S2150" t="s">
        <v>31</v>
      </c>
      <c r="T2150" t="s">
        <v>32</v>
      </c>
      <c r="U2150">
        <v>49</v>
      </c>
      <c r="V2150">
        <v>2.9</v>
      </c>
      <c r="W2150">
        <f>Table2[[#This Row],[Quantity]]*Table2[[#This Row],[Item_Price]]</f>
        <v>382</v>
      </c>
    </row>
    <row r="2151" spans="1:23" x14ac:dyDescent="0.25">
      <c r="A2151" t="s">
        <v>2250</v>
      </c>
      <c r="B2151" s="1">
        <v>45812</v>
      </c>
      <c r="C2151" t="s">
        <v>2191</v>
      </c>
      <c r="D2151">
        <v>6</v>
      </c>
      <c r="E2151">
        <v>4</v>
      </c>
      <c r="F2151" t="s">
        <v>24</v>
      </c>
      <c r="G2151" t="s">
        <v>55</v>
      </c>
      <c r="H2151" t="s">
        <v>26</v>
      </c>
      <c r="I2151" t="s">
        <v>69</v>
      </c>
      <c r="J2151" t="s">
        <v>94</v>
      </c>
      <c r="K2151" t="s">
        <v>38</v>
      </c>
      <c r="L2151">
        <v>2</v>
      </c>
      <c r="M2151">
        <v>687</v>
      </c>
      <c r="N2151">
        <v>103.05</v>
      </c>
      <c r="O2151">
        <v>30</v>
      </c>
      <c r="P2151">
        <v>1374</v>
      </c>
      <c r="Q2151">
        <v>1300.95</v>
      </c>
      <c r="R2151" t="s">
        <v>75</v>
      </c>
      <c r="S2151" t="s">
        <v>31</v>
      </c>
      <c r="T2151" t="s">
        <v>40</v>
      </c>
      <c r="U2151">
        <v>58</v>
      </c>
      <c r="V2151">
        <v>4.0999999999999996</v>
      </c>
      <c r="W2151">
        <f>Table2[[#This Row],[Quantity]]*Table2[[#This Row],[Item_Price]]</f>
        <v>1374</v>
      </c>
    </row>
    <row r="2152" spans="1:23" x14ac:dyDescent="0.25">
      <c r="A2152" t="s">
        <v>2251</v>
      </c>
      <c r="B2152" s="1">
        <v>45812</v>
      </c>
      <c r="C2152" t="s">
        <v>2191</v>
      </c>
      <c r="D2152">
        <v>6</v>
      </c>
      <c r="E2152">
        <v>4</v>
      </c>
      <c r="F2152" t="s">
        <v>24</v>
      </c>
      <c r="G2152" t="s">
        <v>64</v>
      </c>
      <c r="H2152" t="s">
        <v>135</v>
      </c>
      <c r="I2152" t="s">
        <v>43</v>
      </c>
      <c r="J2152" t="s">
        <v>53</v>
      </c>
      <c r="K2152" t="s">
        <v>29</v>
      </c>
      <c r="L2152">
        <v>1</v>
      </c>
      <c r="M2152">
        <v>658</v>
      </c>
      <c r="N2152">
        <v>164.5</v>
      </c>
      <c r="O2152">
        <v>30</v>
      </c>
      <c r="P2152">
        <v>658</v>
      </c>
      <c r="Q2152">
        <v>523.5</v>
      </c>
      <c r="R2152" t="s">
        <v>39</v>
      </c>
      <c r="S2152" t="s">
        <v>31</v>
      </c>
      <c r="T2152" t="s">
        <v>40</v>
      </c>
      <c r="U2152">
        <v>37</v>
      </c>
      <c r="V2152">
        <v>4.5999999999999996</v>
      </c>
      <c r="W2152">
        <f>Table2[[#This Row],[Quantity]]*Table2[[#This Row],[Item_Price]]</f>
        <v>658</v>
      </c>
    </row>
    <row r="2153" spans="1:23" x14ac:dyDescent="0.25">
      <c r="A2153" t="s">
        <v>2252</v>
      </c>
      <c r="B2153" s="1">
        <v>45812</v>
      </c>
      <c r="C2153" t="s">
        <v>2191</v>
      </c>
      <c r="D2153">
        <v>6</v>
      </c>
      <c r="E2153">
        <v>4</v>
      </c>
      <c r="F2153" t="s">
        <v>24</v>
      </c>
      <c r="G2153" t="s">
        <v>64</v>
      </c>
      <c r="H2153" t="s">
        <v>56</v>
      </c>
      <c r="I2153" t="s">
        <v>85</v>
      </c>
      <c r="J2153" t="s">
        <v>74</v>
      </c>
      <c r="K2153" t="s">
        <v>38</v>
      </c>
      <c r="L2153">
        <v>1</v>
      </c>
      <c r="M2153">
        <v>761</v>
      </c>
      <c r="N2153">
        <v>152.19999999999999</v>
      </c>
      <c r="O2153">
        <v>60</v>
      </c>
      <c r="P2153">
        <v>761</v>
      </c>
      <c r="Q2153">
        <v>668.8</v>
      </c>
      <c r="R2153" t="s">
        <v>39</v>
      </c>
      <c r="S2153" t="s">
        <v>31</v>
      </c>
      <c r="T2153" t="s">
        <v>32</v>
      </c>
      <c r="U2153">
        <v>26</v>
      </c>
      <c r="V2153">
        <v>3.8</v>
      </c>
      <c r="W2153">
        <f>Table2[[#This Row],[Quantity]]*Table2[[#This Row],[Item_Price]]</f>
        <v>761</v>
      </c>
    </row>
    <row r="2154" spans="1:23" x14ac:dyDescent="0.25">
      <c r="A2154" t="s">
        <v>2253</v>
      </c>
      <c r="B2154" s="1">
        <v>45812</v>
      </c>
      <c r="C2154" t="s">
        <v>2191</v>
      </c>
      <c r="D2154">
        <v>6</v>
      </c>
      <c r="E2154">
        <v>4</v>
      </c>
      <c r="F2154" t="s">
        <v>24</v>
      </c>
      <c r="G2154" t="s">
        <v>25</v>
      </c>
      <c r="H2154" t="s">
        <v>26</v>
      </c>
      <c r="I2154" t="s">
        <v>36</v>
      </c>
      <c r="J2154" t="s">
        <v>70</v>
      </c>
      <c r="K2154" t="s">
        <v>38</v>
      </c>
      <c r="L2154">
        <v>1</v>
      </c>
      <c r="M2154">
        <v>286</v>
      </c>
      <c r="N2154">
        <v>28.6</v>
      </c>
      <c r="O2154">
        <v>20</v>
      </c>
      <c r="P2154">
        <v>286</v>
      </c>
      <c r="Q2154">
        <v>277.39999999999998</v>
      </c>
      <c r="R2154" t="s">
        <v>98</v>
      </c>
      <c r="S2154" t="s">
        <v>31</v>
      </c>
      <c r="T2154" t="s">
        <v>40</v>
      </c>
      <c r="U2154">
        <v>67</v>
      </c>
      <c r="V2154">
        <v>4.9000000000000004</v>
      </c>
      <c r="W2154">
        <f>Table2[[#This Row],[Quantity]]*Table2[[#This Row],[Item_Price]]</f>
        <v>286</v>
      </c>
    </row>
    <row r="2155" spans="1:23" x14ac:dyDescent="0.25">
      <c r="A2155" t="s">
        <v>2254</v>
      </c>
      <c r="B2155" s="1">
        <v>45812</v>
      </c>
      <c r="C2155" t="s">
        <v>2191</v>
      </c>
      <c r="D2155">
        <v>6</v>
      </c>
      <c r="E2155">
        <v>4</v>
      </c>
      <c r="F2155" t="s">
        <v>24</v>
      </c>
      <c r="G2155" t="s">
        <v>25</v>
      </c>
      <c r="H2155" t="s">
        <v>56</v>
      </c>
      <c r="I2155" t="s">
        <v>27</v>
      </c>
      <c r="J2155" t="s">
        <v>53</v>
      </c>
      <c r="K2155" t="s">
        <v>45</v>
      </c>
      <c r="L2155">
        <v>2</v>
      </c>
      <c r="M2155">
        <v>837</v>
      </c>
      <c r="N2155">
        <v>0</v>
      </c>
      <c r="O2155">
        <v>50</v>
      </c>
      <c r="P2155">
        <v>1674</v>
      </c>
      <c r="Q2155">
        <v>1724</v>
      </c>
      <c r="R2155" t="s">
        <v>75</v>
      </c>
      <c r="S2155" t="s">
        <v>31</v>
      </c>
      <c r="T2155" t="s">
        <v>32</v>
      </c>
      <c r="U2155">
        <v>61</v>
      </c>
      <c r="V2155">
        <v>3.8</v>
      </c>
      <c r="W2155">
        <f>Table2[[#This Row],[Quantity]]*Table2[[#This Row],[Item_Price]]</f>
        <v>1674</v>
      </c>
    </row>
    <row r="2156" spans="1:23" x14ac:dyDescent="0.25">
      <c r="A2156" t="s">
        <v>2255</v>
      </c>
      <c r="B2156" s="1">
        <v>45812</v>
      </c>
      <c r="C2156" t="s">
        <v>2191</v>
      </c>
      <c r="D2156">
        <v>6</v>
      </c>
      <c r="E2156">
        <v>4</v>
      </c>
      <c r="F2156" t="s">
        <v>24</v>
      </c>
      <c r="G2156" t="s">
        <v>90</v>
      </c>
      <c r="H2156" t="s">
        <v>26</v>
      </c>
      <c r="I2156" t="s">
        <v>97</v>
      </c>
      <c r="J2156" t="s">
        <v>74</v>
      </c>
      <c r="K2156" t="s">
        <v>38</v>
      </c>
      <c r="L2156">
        <v>1</v>
      </c>
      <c r="M2156">
        <v>545</v>
      </c>
      <c r="N2156">
        <v>81.75</v>
      </c>
      <c r="O2156">
        <v>40</v>
      </c>
      <c r="P2156">
        <v>545</v>
      </c>
      <c r="Q2156">
        <v>503.25</v>
      </c>
      <c r="R2156" t="s">
        <v>30</v>
      </c>
      <c r="S2156" t="s">
        <v>91</v>
      </c>
      <c r="T2156" t="s">
        <v>32</v>
      </c>
      <c r="U2156">
        <v>69</v>
      </c>
      <c r="W2156">
        <f>Table2[[#This Row],[Quantity]]*Table2[[#This Row],[Item_Price]]</f>
        <v>545</v>
      </c>
    </row>
    <row r="2157" spans="1:23" x14ac:dyDescent="0.25">
      <c r="A2157" t="s">
        <v>2256</v>
      </c>
      <c r="B2157" s="1">
        <v>45812</v>
      </c>
      <c r="C2157" t="s">
        <v>2191</v>
      </c>
      <c r="D2157">
        <v>6</v>
      </c>
      <c r="E2157">
        <v>4</v>
      </c>
      <c r="F2157" t="s">
        <v>24</v>
      </c>
      <c r="G2157" t="s">
        <v>34</v>
      </c>
      <c r="H2157" t="s">
        <v>48</v>
      </c>
      <c r="I2157" t="s">
        <v>36</v>
      </c>
      <c r="J2157" t="s">
        <v>78</v>
      </c>
      <c r="K2157" t="s">
        <v>38</v>
      </c>
      <c r="L2157">
        <v>3</v>
      </c>
      <c r="M2157">
        <v>876</v>
      </c>
      <c r="N2157">
        <v>87.6</v>
      </c>
      <c r="O2157">
        <v>30</v>
      </c>
      <c r="P2157">
        <v>2628</v>
      </c>
      <c r="Q2157">
        <v>2570.4</v>
      </c>
      <c r="R2157" t="s">
        <v>98</v>
      </c>
      <c r="S2157" t="s">
        <v>31</v>
      </c>
      <c r="T2157" t="s">
        <v>32</v>
      </c>
      <c r="U2157">
        <v>68</v>
      </c>
      <c r="V2157">
        <v>3.5</v>
      </c>
      <c r="W2157">
        <f>Table2[[#This Row],[Quantity]]*Table2[[#This Row],[Item_Price]]</f>
        <v>2628</v>
      </c>
    </row>
    <row r="2158" spans="1:23" x14ac:dyDescent="0.25">
      <c r="A2158" t="s">
        <v>2257</v>
      </c>
      <c r="B2158" s="1">
        <v>45812</v>
      </c>
      <c r="C2158" t="s">
        <v>2191</v>
      </c>
      <c r="D2158">
        <v>6</v>
      </c>
      <c r="E2158">
        <v>4</v>
      </c>
      <c r="F2158" t="s">
        <v>24</v>
      </c>
      <c r="G2158" t="s">
        <v>64</v>
      </c>
      <c r="H2158" t="s">
        <v>81</v>
      </c>
      <c r="I2158" t="s">
        <v>85</v>
      </c>
      <c r="J2158" t="s">
        <v>78</v>
      </c>
      <c r="K2158" t="s">
        <v>38</v>
      </c>
      <c r="L2158">
        <v>2</v>
      </c>
      <c r="M2158">
        <v>860</v>
      </c>
      <c r="N2158">
        <v>0</v>
      </c>
      <c r="O2158">
        <v>30</v>
      </c>
      <c r="P2158">
        <v>1720</v>
      </c>
      <c r="Q2158">
        <v>1750</v>
      </c>
      <c r="R2158" t="s">
        <v>30</v>
      </c>
      <c r="S2158" t="s">
        <v>31</v>
      </c>
      <c r="T2158" t="s">
        <v>40</v>
      </c>
      <c r="U2158">
        <v>70</v>
      </c>
      <c r="V2158">
        <v>4.0999999999999996</v>
      </c>
      <c r="W2158">
        <f>Table2[[#This Row],[Quantity]]*Table2[[#This Row],[Item_Price]]</f>
        <v>1720</v>
      </c>
    </row>
    <row r="2159" spans="1:23" x14ac:dyDescent="0.25">
      <c r="A2159" t="s">
        <v>2258</v>
      </c>
      <c r="B2159" s="1">
        <v>45812</v>
      </c>
      <c r="C2159" t="s">
        <v>2191</v>
      </c>
      <c r="D2159">
        <v>6</v>
      </c>
      <c r="E2159">
        <v>4</v>
      </c>
      <c r="F2159" t="s">
        <v>24</v>
      </c>
      <c r="G2159" t="s">
        <v>34</v>
      </c>
      <c r="H2159" t="s">
        <v>81</v>
      </c>
      <c r="I2159" t="s">
        <v>49</v>
      </c>
      <c r="J2159" t="s">
        <v>119</v>
      </c>
      <c r="K2159" t="s">
        <v>38</v>
      </c>
      <c r="L2159">
        <v>3</v>
      </c>
      <c r="M2159">
        <v>896</v>
      </c>
      <c r="N2159">
        <v>224</v>
      </c>
      <c r="O2159">
        <v>40</v>
      </c>
      <c r="P2159">
        <v>2688</v>
      </c>
      <c r="Q2159">
        <v>2504</v>
      </c>
      <c r="R2159" t="s">
        <v>39</v>
      </c>
      <c r="S2159" t="s">
        <v>31</v>
      </c>
      <c r="T2159" t="s">
        <v>32</v>
      </c>
      <c r="U2159">
        <v>45</v>
      </c>
      <c r="V2159">
        <v>5</v>
      </c>
      <c r="W2159">
        <f>Table2[[#This Row],[Quantity]]*Table2[[#This Row],[Item_Price]]</f>
        <v>2688</v>
      </c>
    </row>
    <row r="2160" spans="1:23" x14ac:dyDescent="0.25">
      <c r="A2160" t="s">
        <v>2259</v>
      </c>
      <c r="B2160" s="1">
        <v>45812</v>
      </c>
      <c r="C2160" t="s">
        <v>2191</v>
      </c>
      <c r="D2160">
        <v>6</v>
      </c>
      <c r="E2160">
        <v>4</v>
      </c>
      <c r="F2160" t="s">
        <v>24</v>
      </c>
      <c r="G2160" t="s">
        <v>115</v>
      </c>
      <c r="H2160" t="s">
        <v>77</v>
      </c>
      <c r="I2160" t="s">
        <v>69</v>
      </c>
      <c r="J2160" t="s">
        <v>28</v>
      </c>
      <c r="K2160" t="s">
        <v>38</v>
      </c>
      <c r="L2160">
        <v>2</v>
      </c>
      <c r="M2160">
        <v>266</v>
      </c>
      <c r="N2160">
        <v>26.6</v>
      </c>
      <c r="O2160">
        <v>0</v>
      </c>
      <c r="P2160">
        <v>532</v>
      </c>
      <c r="Q2160">
        <v>505.4</v>
      </c>
      <c r="R2160" t="s">
        <v>39</v>
      </c>
      <c r="S2160" t="s">
        <v>31</v>
      </c>
      <c r="T2160" t="s">
        <v>40</v>
      </c>
      <c r="U2160">
        <v>50</v>
      </c>
      <c r="V2160">
        <v>3.6</v>
      </c>
      <c r="W2160">
        <f>Table2[[#This Row],[Quantity]]*Table2[[#This Row],[Item_Price]]</f>
        <v>532</v>
      </c>
    </row>
    <row r="2161" spans="1:23" x14ac:dyDescent="0.25">
      <c r="A2161" t="s">
        <v>2260</v>
      </c>
      <c r="B2161" s="1">
        <v>45812</v>
      </c>
      <c r="C2161" t="s">
        <v>2191</v>
      </c>
      <c r="D2161">
        <v>6</v>
      </c>
      <c r="E2161">
        <v>4</v>
      </c>
      <c r="F2161" t="s">
        <v>24</v>
      </c>
      <c r="G2161" t="s">
        <v>90</v>
      </c>
      <c r="H2161" t="s">
        <v>35</v>
      </c>
      <c r="I2161" t="s">
        <v>27</v>
      </c>
      <c r="J2161" t="s">
        <v>70</v>
      </c>
      <c r="K2161" t="s">
        <v>38</v>
      </c>
      <c r="L2161">
        <v>2</v>
      </c>
      <c r="M2161">
        <v>892</v>
      </c>
      <c r="N2161">
        <v>0</v>
      </c>
      <c r="O2161">
        <v>40</v>
      </c>
      <c r="P2161">
        <v>1784</v>
      </c>
      <c r="Q2161">
        <v>1824</v>
      </c>
      <c r="R2161" t="s">
        <v>75</v>
      </c>
      <c r="S2161" t="s">
        <v>31</v>
      </c>
      <c r="T2161" t="s">
        <v>40</v>
      </c>
      <c r="U2161">
        <v>55</v>
      </c>
      <c r="V2161">
        <v>4.4000000000000004</v>
      </c>
      <c r="W2161">
        <f>Table2[[#This Row],[Quantity]]*Table2[[#This Row],[Item_Price]]</f>
        <v>1784</v>
      </c>
    </row>
    <row r="2162" spans="1:23" x14ac:dyDescent="0.25">
      <c r="A2162" t="s">
        <v>2261</v>
      </c>
      <c r="B2162" s="1">
        <v>45813</v>
      </c>
      <c r="C2162" t="s">
        <v>2191</v>
      </c>
      <c r="D2162">
        <v>6</v>
      </c>
      <c r="E2162">
        <v>5</v>
      </c>
      <c r="F2162" t="s">
        <v>88</v>
      </c>
      <c r="G2162" t="s">
        <v>80</v>
      </c>
      <c r="H2162" t="s">
        <v>65</v>
      </c>
      <c r="I2162" t="s">
        <v>49</v>
      </c>
      <c r="J2162" t="s">
        <v>62</v>
      </c>
      <c r="K2162" t="s">
        <v>38</v>
      </c>
      <c r="L2162">
        <v>3</v>
      </c>
      <c r="M2162">
        <v>817</v>
      </c>
      <c r="N2162">
        <v>0</v>
      </c>
      <c r="O2162">
        <v>40</v>
      </c>
      <c r="P2162">
        <v>2451</v>
      </c>
      <c r="Q2162">
        <v>2491</v>
      </c>
      <c r="R2162" t="s">
        <v>39</v>
      </c>
      <c r="S2162" t="s">
        <v>31</v>
      </c>
      <c r="T2162" t="s">
        <v>40</v>
      </c>
      <c r="U2162">
        <v>23</v>
      </c>
      <c r="V2162">
        <v>3.1</v>
      </c>
      <c r="W2162">
        <f>Table2[[#This Row],[Quantity]]*Table2[[#This Row],[Item_Price]]</f>
        <v>2451</v>
      </c>
    </row>
    <row r="2163" spans="1:23" x14ac:dyDescent="0.25">
      <c r="A2163" t="s">
        <v>2262</v>
      </c>
      <c r="B2163" s="1">
        <v>45813</v>
      </c>
      <c r="C2163" t="s">
        <v>2191</v>
      </c>
      <c r="D2163">
        <v>6</v>
      </c>
      <c r="E2163">
        <v>5</v>
      </c>
      <c r="F2163" t="s">
        <v>88</v>
      </c>
      <c r="G2163" t="s">
        <v>55</v>
      </c>
      <c r="H2163" t="s">
        <v>60</v>
      </c>
      <c r="I2163" t="s">
        <v>49</v>
      </c>
      <c r="J2163" t="s">
        <v>62</v>
      </c>
      <c r="K2163" t="s">
        <v>38</v>
      </c>
      <c r="L2163">
        <v>2</v>
      </c>
      <c r="M2163">
        <v>334</v>
      </c>
      <c r="N2163">
        <v>33.4</v>
      </c>
      <c r="O2163">
        <v>60</v>
      </c>
      <c r="P2163">
        <v>668</v>
      </c>
      <c r="Q2163">
        <v>694.6</v>
      </c>
      <c r="R2163" t="s">
        <v>39</v>
      </c>
      <c r="S2163" t="s">
        <v>31</v>
      </c>
      <c r="T2163" t="s">
        <v>32</v>
      </c>
      <c r="U2163">
        <v>23</v>
      </c>
      <c r="V2163">
        <v>5</v>
      </c>
      <c r="W2163">
        <f>Table2[[#This Row],[Quantity]]*Table2[[#This Row],[Item_Price]]</f>
        <v>668</v>
      </c>
    </row>
    <row r="2164" spans="1:23" x14ac:dyDescent="0.25">
      <c r="A2164" t="s">
        <v>2263</v>
      </c>
      <c r="B2164" s="1">
        <v>45813</v>
      </c>
      <c r="C2164" t="s">
        <v>2191</v>
      </c>
      <c r="D2164">
        <v>6</v>
      </c>
      <c r="E2164">
        <v>5</v>
      </c>
      <c r="F2164" t="s">
        <v>88</v>
      </c>
      <c r="G2164" t="s">
        <v>64</v>
      </c>
      <c r="H2164" t="s">
        <v>48</v>
      </c>
      <c r="I2164" t="s">
        <v>43</v>
      </c>
      <c r="J2164" t="s">
        <v>119</v>
      </c>
      <c r="K2164" t="s">
        <v>58</v>
      </c>
      <c r="L2164">
        <v>1</v>
      </c>
      <c r="M2164">
        <v>681</v>
      </c>
      <c r="N2164">
        <v>102.15</v>
      </c>
      <c r="O2164">
        <v>60</v>
      </c>
      <c r="P2164">
        <v>681</v>
      </c>
      <c r="Q2164">
        <v>638.85</v>
      </c>
      <c r="R2164" t="s">
        <v>39</v>
      </c>
      <c r="S2164" t="s">
        <v>31</v>
      </c>
      <c r="T2164" t="s">
        <v>40</v>
      </c>
      <c r="U2164">
        <v>57</v>
      </c>
      <c r="V2164">
        <v>4.8</v>
      </c>
      <c r="W2164">
        <f>Table2[[#This Row],[Quantity]]*Table2[[#This Row],[Item_Price]]</f>
        <v>681</v>
      </c>
    </row>
    <row r="2165" spans="1:23" x14ac:dyDescent="0.25">
      <c r="A2165" t="s">
        <v>2264</v>
      </c>
      <c r="B2165" s="1">
        <v>45813</v>
      </c>
      <c r="C2165" t="s">
        <v>2191</v>
      </c>
      <c r="D2165">
        <v>6</v>
      </c>
      <c r="E2165">
        <v>5</v>
      </c>
      <c r="F2165" t="s">
        <v>88</v>
      </c>
      <c r="G2165" t="s">
        <v>80</v>
      </c>
      <c r="H2165" t="s">
        <v>52</v>
      </c>
      <c r="I2165" t="s">
        <v>103</v>
      </c>
      <c r="J2165" t="s">
        <v>172</v>
      </c>
      <c r="K2165" t="s">
        <v>38</v>
      </c>
      <c r="L2165">
        <v>3</v>
      </c>
      <c r="M2165">
        <v>337</v>
      </c>
      <c r="N2165">
        <v>84.25</v>
      </c>
      <c r="O2165">
        <v>50</v>
      </c>
      <c r="P2165">
        <v>1011</v>
      </c>
      <c r="Q2165">
        <v>976.75</v>
      </c>
      <c r="R2165" t="s">
        <v>98</v>
      </c>
      <c r="S2165" t="s">
        <v>91</v>
      </c>
      <c r="T2165" t="s">
        <v>40</v>
      </c>
      <c r="U2165">
        <v>35</v>
      </c>
      <c r="W2165">
        <f>Table2[[#This Row],[Quantity]]*Table2[[#This Row],[Item_Price]]</f>
        <v>1011</v>
      </c>
    </row>
    <row r="2166" spans="1:23" x14ac:dyDescent="0.25">
      <c r="A2166" t="s">
        <v>2265</v>
      </c>
      <c r="B2166" s="1">
        <v>45813</v>
      </c>
      <c r="C2166" t="s">
        <v>2191</v>
      </c>
      <c r="D2166">
        <v>6</v>
      </c>
      <c r="E2166">
        <v>5</v>
      </c>
      <c r="F2166" t="s">
        <v>88</v>
      </c>
      <c r="G2166" t="s">
        <v>64</v>
      </c>
      <c r="H2166" t="s">
        <v>60</v>
      </c>
      <c r="I2166" t="s">
        <v>27</v>
      </c>
      <c r="J2166" t="s">
        <v>37</v>
      </c>
      <c r="K2166" t="s">
        <v>45</v>
      </c>
      <c r="L2166">
        <v>1</v>
      </c>
      <c r="M2166">
        <v>322</v>
      </c>
      <c r="N2166">
        <v>64.400000000000006</v>
      </c>
      <c r="O2166">
        <v>60</v>
      </c>
      <c r="P2166">
        <v>322</v>
      </c>
      <c r="Q2166">
        <v>317.60000000000002</v>
      </c>
      <c r="R2166" t="s">
        <v>39</v>
      </c>
      <c r="S2166" t="s">
        <v>31</v>
      </c>
      <c r="T2166" t="s">
        <v>40</v>
      </c>
      <c r="U2166">
        <v>67</v>
      </c>
      <c r="V2166">
        <v>3.7</v>
      </c>
      <c r="W2166">
        <f>Table2[[#This Row],[Quantity]]*Table2[[#This Row],[Item_Price]]</f>
        <v>322</v>
      </c>
    </row>
    <row r="2167" spans="1:23" x14ac:dyDescent="0.25">
      <c r="A2167" t="s">
        <v>2266</v>
      </c>
      <c r="B2167" s="1">
        <v>45813</v>
      </c>
      <c r="C2167" t="s">
        <v>2191</v>
      </c>
      <c r="D2167">
        <v>6</v>
      </c>
      <c r="E2167">
        <v>5</v>
      </c>
      <c r="F2167" t="s">
        <v>88</v>
      </c>
      <c r="G2167" t="s">
        <v>25</v>
      </c>
      <c r="H2167" t="s">
        <v>68</v>
      </c>
      <c r="I2167" t="s">
        <v>85</v>
      </c>
      <c r="J2167" t="s">
        <v>44</v>
      </c>
      <c r="K2167" t="s">
        <v>45</v>
      </c>
      <c r="L2167">
        <v>1</v>
      </c>
      <c r="M2167">
        <v>442</v>
      </c>
      <c r="N2167">
        <v>44.2</v>
      </c>
      <c r="O2167">
        <v>40</v>
      </c>
      <c r="P2167">
        <v>442</v>
      </c>
      <c r="Q2167">
        <v>437.8</v>
      </c>
      <c r="R2167" t="s">
        <v>98</v>
      </c>
      <c r="S2167" t="s">
        <v>31</v>
      </c>
      <c r="T2167" t="s">
        <v>40</v>
      </c>
      <c r="U2167">
        <v>23</v>
      </c>
      <c r="V2167">
        <v>4.2</v>
      </c>
      <c r="W2167">
        <f>Table2[[#This Row],[Quantity]]*Table2[[#This Row],[Item_Price]]</f>
        <v>442</v>
      </c>
    </row>
    <row r="2168" spans="1:23" x14ac:dyDescent="0.25">
      <c r="A2168" t="s">
        <v>2267</v>
      </c>
      <c r="B2168" s="1">
        <v>45813</v>
      </c>
      <c r="C2168" t="s">
        <v>2191</v>
      </c>
      <c r="D2168">
        <v>6</v>
      </c>
      <c r="E2168">
        <v>5</v>
      </c>
      <c r="F2168" t="s">
        <v>88</v>
      </c>
      <c r="G2168" t="s">
        <v>84</v>
      </c>
      <c r="H2168" t="s">
        <v>26</v>
      </c>
      <c r="I2168" t="s">
        <v>57</v>
      </c>
      <c r="J2168" t="s">
        <v>123</v>
      </c>
      <c r="K2168" t="s">
        <v>45</v>
      </c>
      <c r="L2168">
        <v>2</v>
      </c>
      <c r="M2168">
        <v>267</v>
      </c>
      <c r="N2168">
        <v>13.35</v>
      </c>
      <c r="O2168">
        <v>30</v>
      </c>
      <c r="P2168">
        <v>534</v>
      </c>
      <c r="Q2168">
        <v>550.65</v>
      </c>
      <c r="R2168" t="s">
        <v>75</v>
      </c>
      <c r="S2168" t="s">
        <v>31</v>
      </c>
      <c r="T2168" t="s">
        <v>40</v>
      </c>
      <c r="U2168">
        <v>39</v>
      </c>
      <c r="V2168">
        <v>4.2</v>
      </c>
      <c r="W2168">
        <f>Table2[[#This Row],[Quantity]]*Table2[[#This Row],[Item_Price]]</f>
        <v>534</v>
      </c>
    </row>
    <row r="2169" spans="1:23" x14ac:dyDescent="0.25">
      <c r="A2169" t="s">
        <v>2268</v>
      </c>
      <c r="B2169" s="1">
        <v>45813</v>
      </c>
      <c r="C2169" t="s">
        <v>2191</v>
      </c>
      <c r="D2169">
        <v>6</v>
      </c>
      <c r="E2169">
        <v>5</v>
      </c>
      <c r="F2169" t="s">
        <v>88</v>
      </c>
      <c r="G2169" t="s">
        <v>73</v>
      </c>
      <c r="H2169" t="s">
        <v>81</v>
      </c>
      <c r="I2169" t="s">
        <v>49</v>
      </c>
      <c r="J2169" t="s">
        <v>28</v>
      </c>
      <c r="K2169" t="s">
        <v>38</v>
      </c>
      <c r="L2169">
        <v>3</v>
      </c>
      <c r="M2169">
        <v>363</v>
      </c>
      <c r="N2169">
        <v>54.45</v>
      </c>
      <c r="O2169">
        <v>40</v>
      </c>
      <c r="P2169">
        <v>1089</v>
      </c>
      <c r="Q2169">
        <v>1074.55</v>
      </c>
      <c r="R2169" t="s">
        <v>75</v>
      </c>
      <c r="S2169" t="s">
        <v>31</v>
      </c>
      <c r="T2169" t="s">
        <v>40</v>
      </c>
      <c r="U2169">
        <v>55</v>
      </c>
      <c r="V2169">
        <v>4</v>
      </c>
      <c r="W2169">
        <f>Table2[[#This Row],[Quantity]]*Table2[[#This Row],[Item_Price]]</f>
        <v>1089</v>
      </c>
    </row>
    <row r="2170" spans="1:23" x14ac:dyDescent="0.25">
      <c r="A2170" t="s">
        <v>2269</v>
      </c>
      <c r="B2170" s="1">
        <v>45813</v>
      </c>
      <c r="C2170" t="s">
        <v>2191</v>
      </c>
      <c r="D2170">
        <v>6</v>
      </c>
      <c r="E2170">
        <v>5</v>
      </c>
      <c r="F2170" t="s">
        <v>88</v>
      </c>
      <c r="G2170" t="s">
        <v>64</v>
      </c>
      <c r="H2170" t="s">
        <v>68</v>
      </c>
      <c r="I2170" t="s">
        <v>27</v>
      </c>
      <c r="J2170" t="s">
        <v>70</v>
      </c>
      <c r="K2170" t="s">
        <v>29</v>
      </c>
      <c r="L2170">
        <v>2</v>
      </c>
      <c r="M2170">
        <v>526</v>
      </c>
      <c r="N2170">
        <v>78.900000000000006</v>
      </c>
      <c r="O2170">
        <v>60</v>
      </c>
      <c r="P2170">
        <v>1052</v>
      </c>
      <c r="Q2170">
        <v>1033.0999999999999</v>
      </c>
      <c r="R2170" t="s">
        <v>30</v>
      </c>
      <c r="S2170" t="s">
        <v>31</v>
      </c>
      <c r="T2170" t="s">
        <v>32</v>
      </c>
      <c r="U2170">
        <v>50</v>
      </c>
      <c r="V2170">
        <v>3.6</v>
      </c>
      <c r="W2170">
        <f>Table2[[#This Row],[Quantity]]*Table2[[#This Row],[Item_Price]]</f>
        <v>1052</v>
      </c>
    </row>
    <row r="2171" spans="1:23" x14ac:dyDescent="0.25">
      <c r="A2171" t="s">
        <v>2270</v>
      </c>
      <c r="B2171" s="1">
        <v>45813</v>
      </c>
      <c r="C2171" t="s">
        <v>2191</v>
      </c>
      <c r="D2171">
        <v>6</v>
      </c>
      <c r="E2171">
        <v>5</v>
      </c>
      <c r="F2171" t="s">
        <v>88</v>
      </c>
      <c r="G2171" t="s">
        <v>90</v>
      </c>
      <c r="H2171" t="s">
        <v>108</v>
      </c>
      <c r="I2171" t="s">
        <v>36</v>
      </c>
      <c r="J2171" t="s">
        <v>82</v>
      </c>
      <c r="K2171" t="s">
        <v>38</v>
      </c>
      <c r="L2171">
        <v>2</v>
      </c>
      <c r="M2171">
        <v>786</v>
      </c>
      <c r="N2171">
        <v>196.5</v>
      </c>
      <c r="O2171">
        <v>0</v>
      </c>
      <c r="P2171">
        <v>1572</v>
      </c>
      <c r="Q2171">
        <v>1375.5</v>
      </c>
      <c r="R2171" t="s">
        <v>75</v>
      </c>
      <c r="S2171" t="s">
        <v>91</v>
      </c>
      <c r="T2171" t="s">
        <v>40</v>
      </c>
      <c r="U2171">
        <v>54</v>
      </c>
      <c r="W2171">
        <f>Table2[[#This Row],[Quantity]]*Table2[[#This Row],[Item_Price]]</f>
        <v>1572</v>
      </c>
    </row>
    <row r="2172" spans="1:23" x14ac:dyDescent="0.25">
      <c r="A2172" t="s">
        <v>2271</v>
      </c>
      <c r="B2172" s="1">
        <v>45813</v>
      </c>
      <c r="C2172" t="s">
        <v>2191</v>
      </c>
      <c r="D2172">
        <v>6</v>
      </c>
      <c r="E2172">
        <v>5</v>
      </c>
      <c r="F2172" t="s">
        <v>88</v>
      </c>
      <c r="G2172" t="s">
        <v>73</v>
      </c>
      <c r="H2172" t="s">
        <v>48</v>
      </c>
      <c r="I2172" t="s">
        <v>69</v>
      </c>
      <c r="J2172" t="s">
        <v>94</v>
      </c>
      <c r="K2172" t="s">
        <v>29</v>
      </c>
      <c r="L2172">
        <v>2</v>
      </c>
      <c r="M2172">
        <v>690</v>
      </c>
      <c r="N2172">
        <v>0</v>
      </c>
      <c r="O2172">
        <v>40</v>
      </c>
      <c r="P2172">
        <v>1380</v>
      </c>
      <c r="Q2172">
        <v>1420</v>
      </c>
      <c r="R2172" t="s">
        <v>30</v>
      </c>
      <c r="S2172" t="s">
        <v>31</v>
      </c>
      <c r="T2172" t="s">
        <v>40</v>
      </c>
      <c r="U2172">
        <v>68</v>
      </c>
      <c r="V2172">
        <v>4.5999999999999996</v>
      </c>
      <c r="W2172">
        <f>Table2[[#This Row],[Quantity]]*Table2[[#This Row],[Item_Price]]</f>
        <v>1380</v>
      </c>
    </row>
    <row r="2173" spans="1:23" x14ac:dyDescent="0.25">
      <c r="A2173" t="s">
        <v>2272</v>
      </c>
      <c r="B2173" s="1">
        <v>45813</v>
      </c>
      <c r="C2173" t="s">
        <v>2191</v>
      </c>
      <c r="D2173">
        <v>6</v>
      </c>
      <c r="E2173">
        <v>5</v>
      </c>
      <c r="F2173" t="s">
        <v>88</v>
      </c>
      <c r="G2173" t="s">
        <v>25</v>
      </c>
      <c r="H2173" t="s">
        <v>68</v>
      </c>
      <c r="I2173" t="s">
        <v>103</v>
      </c>
      <c r="J2173" t="s">
        <v>50</v>
      </c>
      <c r="K2173" t="s">
        <v>38</v>
      </c>
      <c r="L2173">
        <v>1</v>
      </c>
      <c r="M2173">
        <v>353</v>
      </c>
      <c r="N2173">
        <v>17.649999999999999</v>
      </c>
      <c r="O2173">
        <v>40</v>
      </c>
      <c r="P2173">
        <v>353</v>
      </c>
      <c r="Q2173">
        <v>375.35</v>
      </c>
      <c r="R2173" t="s">
        <v>98</v>
      </c>
      <c r="S2173" t="s">
        <v>31</v>
      </c>
      <c r="T2173" t="s">
        <v>40</v>
      </c>
      <c r="U2173">
        <v>35</v>
      </c>
      <c r="V2173">
        <v>4.3</v>
      </c>
      <c r="W2173">
        <f>Table2[[#This Row],[Quantity]]*Table2[[#This Row],[Item_Price]]</f>
        <v>353</v>
      </c>
    </row>
    <row r="2174" spans="1:23" x14ac:dyDescent="0.25">
      <c r="A2174" t="s">
        <v>2273</v>
      </c>
      <c r="B2174" s="1">
        <v>45813</v>
      </c>
      <c r="C2174" t="s">
        <v>2191</v>
      </c>
      <c r="D2174">
        <v>6</v>
      </c>
      <c r="E2174">
        <v>5</v>
      </c>
      <c r="F2174" t="s">
        <v>88</v>
      </c>
      <c r="G2174" t="s">
        <v>64</v>
      </c>
      <c r="H2174" t="s">
        <v>56</v>
      </c>
      <c r="I2174" t="s">
        <v>85</v>
      </c>
      <c r="J2174" t="s">
        <v>82</v>
      </c>
      <c r="K2174" t="s">
        <v>38</v>
      </c>
      <c r="L2174">
        <v>2</v>
      </c>
      <c r="M2174">
        <v>459</v>
      </c>
      <c r="N2174">
        <v>45.9</v>
      </c>
      <c r="O2174">
        <v>50</v>
      </c>
      <c r="P2174">
        <v>918</v>
      </c>
      <c r="Q2174">
        <v>922.1</v>
      </c>
      <c r="R2174" t="s">
        <v>30</v>
      </c>
      <c r="S2174" t="s">
        <v>31</v>
      </c>
      <c r="T2174" t="s">
        <v>32</v>
      </c>
      <c r="U2174">
        <v>69</v>
      </c>
      <c r="V2174">
        <v>3.9</v>
      </c>
      <c r="W2174">
        <f>Table2[[#This Row],[Quantity]]*Table2[[#This Row],[Item_Price]]</f>
        <v>918</v>
      </c>
    </row>
    <row r="2175" spans="1:23" x14ac:dyDescent="0.25">
      <c r="A2175" t="s">
        <v>2274</v>
      </c>
      <c r="B2175" s="1">
        <v>45813</v>
      </c>
      <c r="C2175" t="s">
        <v>2191</v>
      </c>
      <c r="D2175">
        <v>6</v>
      </c>
      <c r="E2175">
        <v>5</v>
      </c>
      <c r="F2175" t="s">
        <v>88</v>
      </c>
      <c r="G2175" t="s">
        <v>25</v>
      </c>
      <c r="H2175" t="s">
        <v>42</v>
      </c>
      <c r="I2175" t="s">
        <v>97</v>
      </c>
      <c r="J2175" t="s">
        <v>94</v>
      </c>
      <c r="K2175" t="s">
        <v>45</v>
      </c>
      <c r="L2175">
        <v>1</v>
      </c>
      <c r="M2175">
        <v>668</v>
      </c>
      <c r="N2175">
        <v>33.4</v>
      </c>
      <c r="O2175">
        <v>50</v>
      </c>
      <c r="P2175">
        <v>668</v>
      </c>
      <c r="Q2175">
        <v>684.6</v>
      </c>
      <c r="R2175" t="s">
        <v>98</v>
      </c>
      <c r="S2175" t="s">
        <v>31</v>
      </c>
      <c r="T2175" t="s">
        <v>40</v>
      </c>
      <c r="U2175">
        <v>22</v>
      </c>
      <c r="V2175">
        <v>3.4</v>
      </c>
      <c r="W2175">
        <f>Table2[[#This Row],[Quantity]]*Table2[[#This Row],[Item_Price]]</f>
        <v>668</v>
      </c>
    </row>
    <row r="2176" spans="1:23" x14ac:dyDescent="0.25">
      <c r="A2176" t="s">
        <v>2275</v>
      </c>
      <c r="B2176" s="1">
        <v>45813</v>
      </c>
      <c r="C2176" t="s">
        <v>2191</v>
      </c>
      <c r="D2176">
        <v>6</v>
      </c>
      <c r="E2176">
        <v>5</v>
      </c>
      <c r="F2176" t="s">
        <v>88</v>
      </c>
      <c r="G2176" t="s">
        <v>80</v>
      </c>
      <c r="H2176" t="s">
        <v>65</v>
      </c>
      <c r="I2176" t="s">
        <v>97</v>
      </c>
      <c r="J2176" t="s">
        <v>70</v>
      </c>
      <c r="K2176" t="s">
        <v>38</v>
      </c>
      <c r="L2176">
        <v>1</v>
      </c>
      <c r="M2176">
        <v>147</v>
      </c>
      <c r="N2176">
        <v>22.05</v>
      </c>
      <c r="O2176">
        <v>60</v>
      </c>
      <c r="P2176">
        <v>147</v>
      </c>
      <c r="Q2176">
        <v>184.95</v>
      </c>
      <c r="R2176" t="s">
        <v>39</v>
      </c>
      <c r="S2176" t="s">
        <v>31</v>
      </c>
      <c r="T2176" t="s">
        <v>32</v>
      </c>
      <c r="U2176">
        <v>56</v>
      </c>
      <c r="V2176">
        <v>3.2</v>
      </c>
      <c r="W2176">
        <f>Table2[[#This Row],[Quantity]]*Table2[[#This Row],[Item_Price]]</f>
        <v>147</v>
      </c>
    </row>
    <row r="2177" spans="1:23" x14ac:dyDescent="0.25">
      <c r="A2177" t="s">
        <v>2276</v>
      </c>
      <c r="B2177" s="1">
        <v>45813</v>
      </c>
      <c r="C2177" t="s">
        <v>2191</v>
      </c>
      <c r="D2177">
        <v>6</v>
      </c>
      <c r="E2177">
        <v>5</v>
      </c>
      <c r="F2177" t="s">
        <v>88</v>
      </c>
      <c r="G2177" t="s">
        <v>55</v>
      </c>
      <c r="H2177" t="s">
        <v>56</v>
      </c>
      <c r="I2177" t="s">
        <v>69</v>
      </c>
      <c r="J2177" t="s">
        <v>28</v>
      </c>
      <c r="K2177" t="s">
        <v>45</v>
      </c>
      <c r="L2177">
        <v>2</v>
      </c>
      <c r="M2177">
        <v>528</v>
      </c>
      <c r="N2177">
        <v>52.8</v>
      </c>
      <c r="O2177">
        <v>40</v>
      </c>
      <c r="P2177">
        <v>1056</v>
      </c>
      <c r="Q2177">
        <v>1043.2</v>
      </c>
      <c r="R2177" t="s">
        <v>75</v>
      </c>
      <c r="S2177" t="s">
        <v>31</v>
      </c>
      <c r="T2177" t="s">
        <v>32</v>
      </c>
      <c r="U2177">
        <v>67</v>
      </c>
      <c r="V2177">
        <v>3.5</v>
      </c>
      <c r="W2177">
        <f>Table2[[#This Row],[Quantity]]*Table2[[#This Row],[Item_Price]]</f>
        <v>1056</v>
      </c>
    </row>
    <row r="2178" spans="1:23" x14ac:dyDescent="0.25">
      <c r="A2178" t="s">
        <v>2277</v>
      </c>
      <c r="B2178" s="1">
        <v>45814</v>
      </c>
      <c r="C2178" t="s">
        <v>2191</v>
      </c>
      <c r="D2178">
        <v>6</v>
      </c>
      <c r="E2178">
        <v>6</v>
      </c>
      <c r="F2178" t="s">
        <v>114</v>
      </c>
      <c r="G2178" t="s">
        <v>80</v>
      </c>
      <c r="H2178" t="s">
        <v>52</v>
      </c>
      <c r="I2178" t="s">
        <v>97</v>
      </c>
      <c r="J2178" t="s">
        <v>44</v>
      </c>
      <c r="K2178" t="s">
        <v>45</v>
      </c>
      <c r="L2178">
        <v>2</v>
      </c>
      <c r="M2178">
        <v>702</v>
      </c>
      <c r="N2178">
        <v>70.2</v>
      </c>
      <c r="O2178">
        <v>0</v>
      </c>
      <c r="P2178">
        <v>1404</v>
      </c>
      <c r="Q2178">
        <v>1333.8</v>
      </c>
      <c r="R2178" t="s">
        <v>75</v>
      </c>
      <c r="S2178" t="s">
        <v>31</v>
      </c>
      <c r="T2178" t="s">
        <v>40</v>
      </c>
      <c r="U2178">
        <v>61</v>
      </c>
      <c r="V2178">
        <v>4.4000000000000004</v>
      </c>
      <c r="W2178">
        <f>Table2[[#This Row],[Quantity]]*Table2[[#This Row],[Item_Price]]</f>
        <v>1404</v>
      </c>
    </row>
    <row r="2179" spans="1:23" x14ac:dyDescent="0.25">
      <c r="A2179" t="s">
        <v>2278</v>
      </c>
      <c r="B2179" s="1">
        <v>45814</v>
      </c>
      <c r="C2179" t="s">
        <v>2191</v>
      </c>
      <c r="D2179">
        <v>6</v>
      </c>
      <c r="E2179">
        <v>6</v>
      </c>
      <c r="F2179" t="s">
        <v>114</v>
      </c>
      <c r="G2179" t="s">
        <v>73</v>
      </c>
      <c r="H2179" t="s">
        <v>42</v>
      </c>
      <c r="I2179" t="s">
        <v>97</v>
      </c>
      <c r="J2179" t="s">
        <v>82</v>
      </c>
      <c r="K2179" t="s">
        <v>29</v>
      </c>
      <c r="L2179">
        <v>3</v>
      </c>
      <c r="M2179">
        <v>771</v>
      </c>
      <c r="N2179">
        <v>115.65</v>
      </c>
      <c r="O2179">
        <v>30</v>
      </c>
      <c r="P2179">
        <v>2313</v>
      </c>
      <c r="Q2179">
        <v>2227.35</v>
      </c>
      <c r="R2179" t="s">
        <v>75</v>
      </c>
      <c r="S2179" t="s">
        <v>31</v>
      </c>
      <c r="T2179" t="s">
        <v>32</v>
      </c>
      <c r="U2179">
        <v>68</v>
      </c>
      <c r="V2179">
        <v>3.4</v>
      </c>
      <c r="W2179">
        <f>Table2[[#This Row],[Quantity]]*Table2[[#This Row],[Item_Price]]</f>
        <v>2313</v>
      </c>
    </row>
    <row r="2180" spans="1:23" x14ac:dyDescent="0.25">
      <c r="A2180" t="s">
        <v>2279</v>
      </c>
      <c r="B2180" s="1">
        <v>45814</v>
      </c>
      <c r="C2180" t="s">
        <v>2191</v>
      </c>
      <c r="D2180">
        <v>6</v>
      </c>
      <c r="E2180">
        <v>6</v>
      </c>
      <c r="F2180" t="s">
        <v>114</v>
      </c>
      <c r="G2180" t="s">
        <v>25</v>
      </c>
      <c r="H2180" t="s">
        <v>139</v>
      </c>
      <c r="I2180" t="s">
        <v>43</v>
      </c>
      <c r="J2180" t="s">
        <v>78</v>
      </c>
      <c r="K2180" t="s">
        <v>38</v>
      </c>
      <c r="L2180">
        <v>2</v>
      </c>
      <c r="M2180">
        <v>618</v>
      </c>
      <c r="N2180">
        <v>61.8</v>
      </c>
      <c r="O2180">
        <v>30</v>
      </c>
      <c r="P2180">
        <v>1236</v>
      </c>
      <c r="Q2180">
        <v>1204.2</v>
      </c>
      <c r="R2180" t="s">
        <v>30</v>
      </c>
      <c r="S2180" t="s">
        <v>31</v>
      </c>
      <c r="T2180" t="s">
        <v>40</v>
      </c>
      <c r="U2180">
        <v>45</v>
      </c>
      <c r="V2180">
        <v>3.2</v>
      </c>
      <c r="W2180">
        <f>Table2[[#This Row],[Quantity]]*Table2[[#This Row],[Item_Price]]</f>
        <v>1236</v>
      </c>
    </row>
    <row r="2181" spans="1:23" x14ac:dyDescent="0.25">
      <c r="A2181" t="s">
        <v>2280</v>
      </c>
      <c r="B2181" s="1">
        <v>45814</v>
      </c>
      <c r="C2181" t="s">
        <v>2191</v>
      </c>
      <c r="D2181">
        <v>6</v>
      </c>
      <c r="E2181">
        <v>6</v>
      </c>
      <c r="F2181" t="s">
        <v>114</v>
      </c>
      <c r="G2181" t="s">
        <v>115</v>
      </c>
      <c r="H2181" t="s">
        <v>139</v>
      </c>
      <c r="I2181" t="s">
        <v>36</v>
      </c>
      <c r="J2181" t="s">
        <v>50</v>
      </c>
      <c r="K2181" t="s">
        <v>45</v>
      </c>
      <c r="L2181">
        <v>1</v>
      </c>
      <c r="M2181">
        <v>442</v>
      </c>
      <c r="N2181">
        <v>44.2</v>
      </c>
      <c r="O2181">
        <v>40</v>
      </c>
      <c r="P2181">
        <v>442</v>
      </c>
      <c r="Q2181">
        <v>437.8</v>
      </c>
      <c r="R2181" t="s">
        <v>75</v>
      </c>
      <c r="S2181" t="s">
        <v>31</v>
      </c>
      <c r="T2181" t="s">
        <v>40</v>
      </c>
      <c r="U2181">
        <v>28</v>
      </c>
      <c r="V2181">
        <v>3.4</v>
      </c>
      <c r="W2181">
        <f>Table2[[#This Row],[Quantity]]*Table2[[#This Row],[Item_Price]]</f>
        <v>442</v>
      </c>
    </row>
    <row r="2182" spans="1:23" x14ac:dyDescent="0.25">
      <c r="A2182" t="s">
        <v>2281</v>
      </c>
      <c r="B2182" s="1">
        <v>45814</v>
      </c>
      <c r="C2182" t="s">
        <v>2191</v>
      </c>
      <c r="D2182">
        <v>6</v>
      </c>
      <c r="E2182">
        <v>6</v>
      </c>
      <c r="F2182" t="s">
        <v>114</v>
      </c>
      <c r="G2182" t="s">
        <v>80</v>
      </c>
      <c r="H2182" t="s">
        <v>56</v>
      </c>
      <c r="I2182" t="s">
        <v>43</v>
      </c>
      <c r="J2182" t="s">
        <v>62</v>
      </c>
      <c r="K2182" t="s">
        <v>38</v>
      </c>
      <c r="L2182">
        <v>1</v>
      </c>
      <c r="M2182">
        <v>770</v>
      </c>
      <c r="N2182">
        <v>115.5</v>
      </c>
      <c r="O2182">
        <v>20</v>
      </c>
      <c r="P2182">
        <v>770</v>
      </c>
      <c r="Q2182">
        <v>674.5</v>
      </c>
      <c r="R2182" t="s">
        <v>75</v>
      </c>
      <c r="S2182" t="s">
        <v>110</v>
      </c>
      <c r="T2182" t="s">
        <v>40</v>
      </c>
      <c r="U2182">
        <v>46</v>
      </c>
      <c r="W2182">
        <f>Table2[[#This Row],[Quantity]]*Table2[[#This Row],[Item_Price]]</f>
        <v>770</v>
      </c>
    </row>
    <row r="2183" spans="1:23" x14ac:dyDescent="0.25">
      <c r="A2183" t="s">
        <v>2282</v>
      </c>
      <c r="B2183" s="1">
        <v>45814</v>
      </c>
      <c r="C2183" t="s">
        <v>2191</v>
      </c>
      <c r="D2183">
        <v>6</v>
      </c>
      <c r="E2183">
        <v>6</v>
      </c>
      <c r="F2183" t="s">
        <v>114</v>
      </c>
      <c r="G2183" t="s">
        <v>84</v>
      </c>
      <c r="H2183" t="s">
        <v>35</v>
      </c>
      <c r="I2183" t="s">
        <v>36</v>
      </c>
      <c r="J2183" t="s">
        <v>123</v>
      </c>
      <c r="K2183" t="s">
        <v>45</v>
      </c>
      <c r="L2183">
        <v>2</v>
      </c>
      <c r="M2183">
        <v>813</v>
      </c>
      <c r="N2183">
        <v>0</v>
      </c>
      <c r="O2183">
        <v>0</v>
      </c>
      <c r="P2183">
        <v>1626</v>
      </c>
      <c r="Q2183">
        <v>1626</v>
      </c>
      <c r="R2183" t="s">
        <v>30</v>
      </c>
      <c r="S2183" t="s">
        <v>31</v>
      </c>
      <c r="T2183" t="s">
        <v>40</v>
      </c>
      <c r="U2183">
        <v>24</v>
      </c>
      <c r="V2183">
        <v>3.7</v>
      </c>
      <c r="W2183">
        <f>Table2[[#This Row],[Quantity]]*Table2[[#This Row],[Item_Price]]</f>
        <v>1626</v>
      </c>
    </row>
    <row r="2184" spans="1:23" x14ac:dyDescent="0.25">
      <c r="A2184" t="s">
        <v>2283</v>
      </c>
      <c r="B2184" s="1">
        <v>45814</v>
      </c>
      <c r="C2184" t="s">
        <v>2191</v>
      </c>
      <c r="D2184">
        <v>6</v>
      </c>
      <c r="E2184">
        <v>6</v>
      </c>
      <c r="F2184" t="s">
        <v>114</v>
      </c>
      <c r="G2184" t="s">
        <v>25</v>
      </c>
      <c r="H2184" t="s">
        <v>60</v>
      </c>
      <c r="I2184" t="s">
        <v>103</v>
      </c>
      <c r="J2184" t="s">
        <v>101</v>
      </c>
      <c r="K2184" t="s">
        <v>45</v>
      </c>
      <c r="L2184">
        <v>2</v>
      </c>
      <c r="M2184">
        <v>871</v>
      </c>
      <c r="N2184">
        <v>0</v>
      </c>
      <c r="O2184">
        <v>30</v>
      </c>
      <c r="P2184">
        <v>1742</v>
      </c>
      <c r="Q2184">
        <v>1772</v>
      </c>
      <c r="R2184" t="s">
        <v>112</v>
      </c>
      <c r="S2184" t="s">
        <v>46</v>
      </c>
      <c r="T2184" t="s">
        <v>40</v>
      </c>
      <c r="U2184">
        <v>40</v>
      </c>
      <c r="W2184">
        <f>Table2[[#This Row],[Quantity]]*Table2[[#This Row],[Item_Price]]</f>
        <v>1742</v>
      </c>
    </row>
    <row r="2185" spans="1:23" x14ac:dyDescent="0.25">
      <c r="A2185" t="s">
        <v>2284</v>
      </c>
      <c r="B2185" s="1">
        <v>45814</v>
      </c>
      <c r="C2185" t="s">
        <v>2191</v>
      </c>
      <c r="D2185">
        <v>6</v>
      </c>
      <c r="E2185">
        <v>6</v>
      </c>
      <c r="F2185" t="s">
        <v>114</v>
      </c>
      <c r="G2185" t="s">
        <v>96</v>
      </c>
      <c r="H2185" t="s">
        <v>108</v>
      </c>
      <c r="I2185" t="s">
        <v>61</v>
      </c>
      <c r="J2185" t="s">
        <v>37</v>
      </c>
      <c r="K2185" t="s">
        <v>38</v>
      </c>
      <c r="L2185">
        <v>1</v>
      </c>
      <c r="M2185">
        <v>243</v>
      </c>
      <c r="N2185">
        <v>24.3</v>
      </c>
      <c r="O2185">
        <v>40</v>
      </c>
      <c r="P2185">
        <v>243</v>
      </c>
      <c r="Q2185">
        <v>258.7</v>
      </c>
      <c r="R2185" t="s">
        <v>112</v>
      </c>
      <c r="S2185" t="s">
        <v>91</v>
      </c>
      <c r="T2185" t="s">
        <v>32</v>
      </c>
      <c r="U2185">
        <v>49</v>
      </c>
      <c r="W2185">
        <f>Table2[[#This Row],[Quantity]]*Table2[[#This Row],[Item_Price]]</f>
        <v>243</v>
      </c>
    </row>
    <row r="2186" spans="1:23" x14ac:dyDescent="0.25">
      <c r="A2186" t="s">
        <v>2285</v>
      </c>
      <c r="B2186" s="1">
        <v>45814</v>
      </c>
      <c r="C2186" t="s">
        <v>2191</v>
      </c>
      <c r="D2186">
        <v>6</v>
      </c>
      <c r="E2186">
        <v>6</v>
      </c>
      <c r="F2186" t="s">
        <v>114</v>
      </c>
      <c r="G2186" t="s">
        <v>80</v>
      </c>
      <c r="H2186" t="s">
        <v>60</v>
      </c>
      <c r="I2186" t="s">
        <v>43</v>
      </c>
      <c r="J2186" t="s">
        <v>78</v>
      </c>
      <c r="K2186" t="s">
        <v>38</v>
      </c>
      <c r="L2186">
        <v>3</v>
      </c>
      <c r="M2186">
        <v>462</v>
      </c>
      <c r="N2186">
        <v>0</v>
      </c>
      <c r="O2186">
        <v>30</v>
      </c>
      <c r="P2186">
        <v>1386</v>
      </c>
      <c r="Q2186">
        <v>1416</v>
      </c>
      <c r="R2186" t="s">
        <v>30</v>
      </c>
      <c r="S2186" t="s">
        <v>31</v>
      </c>
      <c r="T2186" t="s">
        <v>32</v>
      </c>
      <c r="U2186">
        <v>43</v>
      </c>
      <c r="V2186">
        <v>4.0999999999999996</v>
      </c>
      <c r="W2186">
        <f>Table2[[#This Row],[Quantity]]*Table2[[#This Row],[Item_Price]]</f>
        <v>1386</v>
      </c>
    </row>
    <row r="2187" spans="1:23" x14ac:dyDescent="0.25">
      <c r="A2187" t="s">
        <v>2286</v>
      </c>
      <c r="B2187" s="1">
        <v>45814</v>
      </c>
      <c r="C2187" t="s">
        <v>2191</v>
      </c>
      <c r="D2187">
        <v>6</v>
      </c>
      <c r="E2187">
        <v>6</v>
      </c>
      <c r="F2187" t="s">
        <v>114</v>
      </c>
      <c r="G2187" t="s">
        <v>73</v>
      </c>
      <c r="H2187" t="s">
        <v>26</v>
      </c>
      <c r="I2187" t="s">
        <v>43</v>
      </c>
      <c r="J2187" t="s">
        <v>123</v>
      </c>
      <c r="K2187" t="s">
        <v>38</v>
      </c>
      <c r="L2187">
        <v>1</v>
      </c>
      <c r="M2187">
        <v>192</v>
      </c>
      <c r="N2187">
        <v>48</v>
      </c>
      <c r="O2187">
        <v>40</v>
      </c>
      <c r="P2187">
        <v>192</v>
      </c>
      <c r="Q2187">
        <v>184</v>
      </c>
      <c r="R2187" t="s">
        <v>30</v>
      </c>
      <c r="S2187" t="s">
        <v>31</v>
      </c>
      <c r="T2187" t="s">
        <v>40</v>
      </c>
      <c r="U2187">
        <v>47</v>
      </c>
      <c r="V2187">
        <v>3.5</v>
      </c>
      <c r="W2187">
        <f>Table2[[#This Row],[Quantity]]*Table2[[#This Row],[Item_Price]]</f>
        <v>192</v>
      </c>
    </row>
    <row r="2188" spans="1:23" x14ac:dyDescent="0.25">
      <c r="A2188" t="s">
        <v>2287</v>
      </c>
      <c r="B2188" s="1">
        <v>45814</v>
      </c>
      <c r="C2188" t="s">
        <v>2191</v>
      </c>
      <c r="D2188">
        <v>6</v>
      </c>
      <c r="E2188">
        <v>6</v>
      </c>
      <c r="F2188" t="s">
        <v>114</v>
      </c>
      <c r="G2188" t="s">
        <v>73</v>
      </c>
      <c r="H2188" t="s">
        <v>65</v>
      </c>
      <c r="I2188" t="s">
        <v>61</v>
      </c>
      <c r="J2188" t="s">
        <v>37</v>
      </c>
      <c r="K2188" t="s">
        <v>38</v>
      </c>
      <c r="L2188">
        <v>1</v>
      </c>
      <c r="M2188">
        <v>367</v>
      </c>
      <c r="N2188">
        <v>18.350000000000001</v>
      </c>
      <c r="O2188">
        <v>0</v>
      </c>
      <c r="P2188">
        <v>367</v>
      </c>
      <c r="Q2188">
        <v>348.65</v>
      </c>
      <c r="R2188" t="s">
        <v>112</v>
      </c>
      <c r="S2188" t="s">
        <v>46</v>
      </c>
      <c r="T2188" t="s">
        <v>40</v>
      </c>
      <c r="U2188">
        <v>51</v>
      </c>
      <c r="W2188">
        <f>Table2[[#This Row],[Quantity]]*Table2[[#This Row],[Item_Price]]</f>
        <v>367</v>
      </c>
    </row>
    <row r="2189" spans="1:23" x14ac:dyDescent="0.25">
      <c r="A2189" t="s">
        <v>2288</v>
      </c>
      <c r="B2189" s="1">
        <v>45814</v>
      </c>
      <c r="C2189" t="s">
        <v>2191</v>
      </c>
      <c r="D2189">
        <v>6</v>
      </c>
      <c r="E2189">
        <v>6</v>
      </c>
      <c r="F2189" t="s">
        <v>114</v>
      </c>
      <c r="G2189" t="s">
        <v>84</v>
      </c>
      <c r="H2189" t="s">
        <v>77</v>
      </c>
      <c r="I2189" t="s">
        <v>43</v>
      </c>
      <c r="J2189" t="s">
        <v>44</v>
      </c>
      <c r="K2189" t="s">
        <v>58</v>
      </c>
      <c r="L2189">
        <v>2</v>
      </c>
      <c r="M2189">
        <v>895</v>
      </c>
      <c r="N2189">
        <v>89.5</v>
      </c>
      <c r="O2189">
        <v>30</v>
      </c>
      <c r="P2189">
        <v>1790</v>
      </c>
      <c r="Q2189">
        <v>1730.5</v>
      </c>
      <c r="R2189" t="s">
        <v>30</v>
      </c>
      <c r="S2189" t="s">
        <v>31</v>
      </c>
      <c r="T2189" t="s">
        <v>32</v>
      </c>
      <c r="U2189">
        <v>33</v>
      </c>
      <c r="V2189">
        <v>4.7</v>
      </c>
      <c r="W2189">
        <f>Table2[[#This Row],[Quantity]]*Table2[[#This Row],[Item_Price]]</f>
        <v>1790</v>
      </c>
    </row>
    <row r="2190" spans="1:23" x14ac:dyDescent="0.25">
      <c r="A2190" t="s">
        <v>2289</v>
      </c>
      <c r="B2190" s="1">
        <v>45814</v>
      </c>
      <c r="C2190" t="s">
        <v>2191</v>
      </c>
      <c r="D2190">
        <v>6</v>
      </c>
      <c r="E2190">
        <v>6</v>
      </c>
      <c r="F2190" t="s">
        <v>114</v>
      </c>
      <c r="G2190" t="s">
        <v>80</v>
      </c>
      <c r="H2190" t="s">
        <v>48</v>
      </c>
      <c r="I2190" t="s">
        <v>27</v>
      </c>
      <c r="J2190" t="s">
        <v>50</v>
      </c>
      <c r="K2190" t="s">
        <v>38</v>
      </c>
      <c r="L2190">
        <v>2</v>
      </c>
      <c r="M2190">
        <v>185</v>
      </c>
      <c r="N2190">
        <v>27.75</v>
      </c>
      <c r="O2190">
        <v>40</v>
      </c>
      <c r="P2190">
        <v>370</v>
      </c>
      <c r="Q2190">
        <v>382.25</v>
      </c>
      <c r="R2190" t="s">
        <v>112</v>
      </c>
      <c r="S2190" t="s">
        <v>31</v>
      </c>
      <c r="T2190" t="s">
        <v>40</v>
      </c>
      <c r="U2190">
        <v>21</v>
      </c>
      <c r="V2190">
        <v>4</v>
      </c>
      <c r="W2190">
        <f>Table2[[#This Row],[Quantity]]*Table2[[#This Row],[Item_Price]]</f>
        <v>370</v>
      </c>
    </row>
    <row r="2191" spans="1:23" x14ac:dyDescent="0.25">
      <c r="A2191" t="s">
        <v>2290</v>
      </c>
      <c r="B2191" s="1">
        <v>45814</v>
      </c>
      <c r="C2191" t="s">
        <v>2191</v>
      </c>
      <c r="D2191">
        <v>6</v>
      </c>
      <c r="E2191">
        <v>6</v>
      </c>
      <c r="F2191" t="s">
        <v>114</v>
      </c>
      <c r="G2191" t="s">
        <v>64</v>
      </c>
      <c r="H2191" t="s">
        <v>26</v>
      </c>
      <c r="I2191" t="s">
        <v>43</v>
      </c>
      <c r="J2191" t="s">
        <v>119</v>
      </c>
      <c r="K2191" t="s">
        <v>45</v>
      </c>
      <c r="L2191">
        <v>1</v>
      </c>
      <c r="M2191">
        <v>128</v>
      </c>
      <c r="N2191">
        <v>19.2</v>
      </c>
      <c r="O2191">
        <v>40</v>
      </c>
      <c r="P2191">
        <v>128</v>
      </c>
      <c r="Q2191">
        <v>148.80000000000001</v>
      </c>
      <c r="R2191" t="s">
        <v>39</v>
      </c>
      <c r="S2191" t="s">
        <v>31</v>
      </c>
      <c r="T2191" t="s">
        <v>32</v>
      </c>
      <c r="U2191">
        <v>62</v>
      </c>
      <c r="V2191">
        <v>3.7</v>
      </c>
      <c r="W2191">
        <f>Table2[[#This Row],[Quantity]]*Table2[[#This Row],[Item_Price]]</f>
        <v>128</v>
      </c>
    </row>
    <row r="2192" spans="1:23" x14ac:dyDescent="0.25">
      <c r="A2192" t="s">
        <v>2291</v>
      </c>
      <c r="B2192" s="1">
        <v>45815</v>
      </c>
      <c r="C2192" t="s">
        <v>2191</v>
      </c>
      <c r="D2192">
        <v>6</v>
      </c>
      <c r="E2192">
        <v>7</v>
      </c>
      <c r="F2192" t="s">
        <v>134</v>
      </c>
      <c r="G2192" t="s">
        <v>80</v>
      </c>
      <c r="H2192" t="s">
        <v>52</v>
      </c>
      <c r="I2192" t="s">
        <v>27</v>
      </c>
      <c r="J2192" t="s">
        <v>119</v>
      </c>
      <c r="K2192" t="s">
        <v>38</v>
      </c>
      <c r="L2192">
        <v>3</v>
      </c>
      <c r="M2192">
        <v>604</v>
      </c>
      <c r="N2192">
        <v>90.6</v>
      </c>
      <c r="O2192">
        <v>40</v>
      </c>
      <c r="P2192">
        <v>1812</v>
      </c>
      <c r="Q2192">
        <v>1761.4</v>
      </c>
      <c r="R2192" t="s">
        <v>39</v>
      </c>
      <c r="S2192" t="s">
        <v>91</v>
      </c>
      <c r="T2192" t="s">
        <v>40</v>
      </c>
      <c r="U2192">
        <v>43</v>
      </c>
      <c r="W2192">
        <f>Table2[[#This Row],[Quantity]]*Table2[[#This Row],[Item_Price]]</f>
        <v>1812</v>
      </c>
    </row>
    <row r="2193" spans="1:23" x14ac:dyDescent="0.25">
      <c r="A2193" t="s">
        <v>2292</v>
      </c>
      <c r="B2193" s="1">
        <v>45815</v>
      </c>
      <c r="C2193" t="s">
        <v>2191</v>
      </c>
      <c r="D2193">
        <v>6</v>
      </c>
      <c r="E2193">
        <v>7</v>
      </c>
      <c r="F2193" t="s">
        <v>134</v>
      </c>
      <c r="G2193" t="s">
        <v>80</v>
      </c>
      <c r="H2193" t="s">
        <v>139</v>
      </c>
      <c r="I2193" t="s">
        <v>97</v>
      </c>
      <c r="J2193" t="s">
        <v>94</v>
      </c>
      <c r="K2193" t="s">
        <v>38</v>
      </c>
      <c r="L2193">
        <v>3</v>
      </c>
      <c r="M2193">
        <v>293</v>
      </c>
      <c r="N2193">
        <v>73.25</v>
      </c>
      <c r="O2193">
        <v>30</v>
      </c>
      <c r="P2193">
        <v>879</v>
      </c>
      <c r="Q2193">
        <v>835.75</v>
      </c>
      <c r="R2193" t="s">
        <v>30</v>
      </c>
      <c r="S2193" t="s">
        <v>31</v>
      </c>
      <c r="T2193" t="s">
        <v>32</v>
      </c>
      <c r="U2193">
        <v>41</v>
      </c>
      <c r="V2193">
        <v>3.3</v>
      </c>
      <c r="W2193">
        <f>Table2[[#This Row],[Quantity]]*Table2[[#This Row],[Item_Price]]</f>
        <v>879</v>
      </c>
    </row>
    <row r="2194" spans="1:23" x14ac:dyDescent="0.25">
      <c r="A2194" t="s">
        <v>2293</v>
      </c>
      <c r="B2194" s="1">
        <v>45815</v>
      </c>
      <c r="C2194" t="s">
        <v>2191</v>
      </c>
      <c r="D2194">
        <v>6</v>
      </c>
      <c r="E2194">
        <v>7</v>
      </c>
      <c r="F2194" t="s">
        <v>134</v>
      </c>
      <c r="G2194" t="s">
        <v>34</v>
      </c>
      <c r="H2194" t="s">
        <v>35</v>
      </c>
      <c r="I2194" t="s">
        <v>97</v>
      </c>
      <c r="J2194" t="s">
        <v>66</v>
      </c>
      <c r="K2194" t="s">
        <v>38</v>
      </c>
      <c r="L2194">
        <v>2</v>
      </c>
      <c r="M2194">
        <v>395</v>
      </c>
      <c r="N2194">
        <v>79</v>
      </c>
      <c r="O2194">
        <v>20</v>
      </c>
      <c r="P2194">
        <v>790</v>
      </c>
      <c r="Q2194">
        <v>731</v>
      </c>
      <c r="R2194" t="s">
        <v>30</v>
      </c>
      <c r="S2194" t="s">
        <v>31</v>
      </c>
      <c r="T2194" t="s">
        <v>40</v>
      </c>
      <c r="U2194">
        <v>48</v>
      </c>
      <c r="V2194">
        <v>4</v>
      </c>
      <c r="W2194">
        <f>Table2[[#This Row],[Quantity]]*Table2[[#This Row],[Item_Price]]</f>
        <v>790</v>
      </c>
    </row>
    <row r="2195" spans="1:23" x14ac:dyDescent="0.25">
      <c r="A2195" t="s">
        <v>2294</v>
      </c>
      <c r="B2195" s="1">
        <v>45815</v>
      </c>
      <c r="C2195" t="s">
        <v>2191</v>
      </c>
      <c r="D2195">
        <v>6</v>
      </c>
      <c r="E2195">
        <v>7</v>
      </c>
      <c r="F2195" t="s">
        <v>134</v>
      </c>
      <c r="G2195" t="s">
        <v>25</v>
      </c>
      <c r="H2195" t="s">
        <v>60</v>
      </c>
      <c r="I2195" t="s">
        <v>36</v>
      </c>
      <c r="J2195" t="s">
        <v>123</v>
      </c>
      <c r="K2195" t="s">
        <v>38</v>
      </c>
      <c r="L2195">
        <v>1</v>
      </c>
      <c r="M2195">
        <v>870</v>
      </c>
      <c r="N2195">
        <v>87</v>
      </c>
      <c r="O2195">
        <v>0</v>
      </c>
      <c r="P2195">
        <v>870</v>
      </c>
      <c r="Q2195">
        <v>783</v>
      </c>
      <c r="R2195" t="s">
        <v>98</v>
      </c>
      <c r="S2195" t="s">
        <v>31</v>
      </c>
      <c r="T2195" t="s">
        <v>40</v>
      </c>
      <c r="U2195">
        <v>68</v>
      </c>
      <c r="V2195">
        <v>3.4</v>
      </c>
      <c r="W2195">
        <f>Table2[[#This Row],[Quantity]]*Table2[[#This Row],[Item_Price]]</f>
        <v>870</v>
      </c>
    </row>
    <row r="2196" spans="1:23" x14ac:dyDescent="0.25">
      <c r="A2196" t="s">
        <v>2295</v>
      </c>
      <c r="B2196" s="1">
        <v>45815</v>
      </c>
      <c r="C2196" t="s">
        <v>2191</v>
      </c>
      <c r="D2196">
        <v>6</v>
      </c>
      <c r="E2196">
        <v>7</v>
      </c>
      <c r="F2196" t="s">
        <v>134</v>
      </c>
      <c r="G2196" t="s">
        <v>73</v>
      </c>
      <c r="H2196" t="s">
        <v>139</v>
      </c>
      <c r="I2196" t="s">
        <v>69</v>
      </c>
      <c r="J2196" t="s">
        <v>172</v>
      </c>
      <c r="K2196" t="s">
        <v>45</v>
      </c>
      <c r="L2196">
        <v>1</v>
      </c>
      <c r="M2196">
        <v>758</v>
      </c>
      <c r="N2196">
        <v>113.7</v>
      </c>
      <c r="O2196">
        <v>40</v>
      </c>
      <c r="P2196">
        <v>758</v>
      </c>
      <c r="Q2196">
        <v>684.3</v>
      </c>
      <c r="R2196" t="s">
        <v>98</v>
      </c>
      <c r="S2196" t="s">
        <v>31</v>
      </c>
      <c r="T2196" t="s">
        <v>40</v>
      </c>
      <c r="U2196">
        <v>30</v>
      </c>
      <c r="V2196">
        <v>3.6</v>
      </c>
      <c r="W2196">
        <f>Table2[[#This Row],[Quantity]]*Table2[[#This Row],[Item_Price]]</f>
        <v>758</v>
      </c>
    </row>
    <row r="2197" spans="1:23" x14ac:dyDescent="0.25">
      <c r="A2197" t="s">
        <v>2296</v>
      </c>
      <c r="B2197" s="1">
        <v>45815</v>
      </c>
      <c r="C2197" t="s">
        <v>2191</v>
      </c>
      <c r="D2197">
        <v>6</v>
      </c>
      <c r="E2197">
        <v>7</v>
      </c>
      <c r="F2197" t="s">
        <v>134</v>
      </c>
      <c r="G2197" t="s">
        <v>55</v>
      </c>
      <c r="H2197" t="s">
        <v>108</v>
      </c>
      <c r="I2197" t="s">
        <v>61</v>
      </c>
      <c r="J2197" t="s">
        <v>28</v>
      </c>
      <c r="K2197" t="s">
        <v>38</v>
      </c>
      <c r="L2197">
        <v>1</v>
      </c>
      <c r="M2197">
        <v>700</v>
      </c>
      <c r="N2197">
        <v>35</v>
      </c>
      <c r="O2197">
        <v>20</v>
      </c>
      <c r="P2197">
        <v>700</v>
      </c>
      <c r="Q2197">
        <v>685</v>
      </c>
      <c r="R2197" t="s">
        <v>112</v>
      </c>
      <c r="S2197" t="s">
        <v>31</v>
      </c>
      <c r="T2197" t="s">
        <v>40</v>
      </c>
      <c r="U2197">
        <v>65</v>
      </c>
      <c r="V2197">
        <v>3.4</v>
      </c>
      <c r="W2197">
        <f>Table2[[#This Row],[Quantity]]*Table2[[#This Row],[Item_Price]]</f>
        <v>700</v>
      </c>
    </row>
    <row r="2198" spans="1:23" x14ac:dyDescent="0.25">
      <c r="A2198" t="s">
        <v>2297</v>
      </c>
      <c r="B2198" s="1">
        <v>45815</v>
      </c>
      <c r="C2198" t="s">
        <v>2191</v>
      </c>
      <c r="D2198">
        <v>6</v>
      </c>
      <c r="E2198">
        <v>7</v>
      </c>
      <c r="F2198" t="s">
        <v>134</v>
      </c>
      <c r="G2198" t="s">
        <v>64</v>
      </c>
      <c r="H2198" t="s">
        <v>108</v>
      </c>
      <c r="I2198" t="s">
        <v>49</v>
      </c>
      <c r="J2198" t="s">
        <v>44</v>
      </c>
      <c r="K2198" t="s">
        <v>38</v>
      </c>
      <c r="L2198">
        <v>2</v>
      </c>
      <c r="M2198">
        <v>286</v>
      </c>
      <c r="N2198">
        <v>28.6</v>
      </c>
      <c r="O2198">
        <v>0</v>
      </c>
      <c r="P2198">
        <v>572</v>
      </c>
      <c r="Q2198">
        <v>543.4</v>
      </c>
      <c r="R2198" t="s">
        <v>75</v>
      </c>
      <c r="S2198" t="s">
        <v>31</v>
      </c>
      <c r="T2198" t="s">
        <v>40</v>
      </c>
      <c r="U2198">
        <v>55</v>
      </c>
      <c r="V2198">
        <v>4.0999999999999996</v>
      </c>
      <c r="W2198">
        <f>Table2[[#This Row],[Quantity]]*Table2[[#This Row],[Item_Price]]</f>
        <v>572</v>
      </c>
    </row>
    <row r="2199" spans="1:23" x14ac:dyDescent="0.25">
      <c r="A2199" t="s">
        <v>2298</v>
      </c>
      <c r="B2199" s="1">
        <v>45815</v>
      </c>
      <c r="C2199" t="s">
        <v>2191</v>
      </c>
      <c r="D2199">
        <v>6</v>
      </c>
      <c r="E2199">
        <v>7</v>
      </c>
      <c r="F2199" t="s">
        <v>134</v>
      </c>
      <c r="G2199" t="s">
        <v>80</v>
      </c>
      <c r="H2199" t="s">
        <v>139</v>
      </c>
      <c r="I2199" t="s">
        <v>69</v>
      </c>
      <c r="J2199" t="s">
        <v>123</v>
      </c>
      <c r="K2199" t="s">
        <v>38</v>
      </c>
      <c r="L2199">
        <v>2</v>
      </c>
      <c r="M2199">
        <v>333</v>
      </c>
      <c r="N2199">
        <v>49.95</v>
      </c>
      <c r="O2199">
        <v>40</v>
      </c>
      <c r="P2199">
        <v>666</v>
      </c>
      <c r="Q2199">
        <v>656.05</v>
      </c>
      <c r="R2199" t="s">
        <v>39</v>
      </c>
      <c r="S2199" t="s">
        <v>31</v>
      </c>
      <c r="T2199" t="s">
        <v>40</v>
      </c>
      <c r="U2199">
        <v>42</v>
      </c>
      <c r="V2199">
        <v>4.5</v>
      </c>
      <c r="W2199">
        <f>Table2[[#This Row],[Quantity]]*Table2[[#This Row],[Item_Price]]</f>
        <v>666</v>
      </c>
    </row>
    <row r="2200" spans="1:23" x14ac:dyDescent="0.25">
      <c r="A2200" t="s">
        <v>2299</v>
      </c>
      <c r="B2200" s="1">
        <v>45815</v>
      </c>
      <c r="C2200" t="s">
        <v>2191</v>
      </c>
      <c r="D2200">
        <v>6</v>
      </c>
      <c r="E2200">
        <v>7</v>
      </c>
      <c r="F2200" t="s">
        <v>134</v>
      </c>
      <c r="G2200" t="s">
        <v>84</v>
      </c>
      <c r="H2200" t="s">
        <v>42</v>
      </c>
      <c r="I2200" t="s">
        <v>43</v>
      </c>
      <c r="J2200" t="s">
        <v>119</v>
      </c>
      <c r="K2200" t="s">
        <v>58</v>
      </c>
      <c r="L2200">
        <v>3</v>
      </c>
      <c r="M2200">
        <v>387</v>
      </c>
      <c r="N2200">
        <v>58.05</v>
      </c>
      <c r="O2200">
        <v>60</v>
      </c>
      <c r="P2200">
        <v>1161</v>
      </c>
      <c r="Q2200">
        <v>1162.95</v>
      </c>
      <c r="R2200" t="s">
        <v>112</v>
      </c>
      <c r="S2200" t="s">
        <v>31</v>
      </c>
      <c r="T2200" t="s">
        <v>40</v>
      </c>
      <c r="U2200">
        <v>43</v>
      </c>
      <c r="V2200">
        <v>3.8</v>
      </c>
      <c r="W2200">
        <f>Table2[[#This Row],[Quantity]]*Table2[[#This Row],[Item_Price]]</f>
        <v>1161</v>
      </c>
    </row>
    <row r="2201" spans="1:23" x14ac:dyDescent="0.25">
      <c r="A2201" t="s">
        <v>2300</v>
      </c>
      <c r="B2201" s="1">
        <v>45815</v>
      </c>
      <c r="C2201" t="s">
        <v>2191</v>
      </c>
      <c r="D2201">
        <v>6</v>
      </c>
      <c r="E2201">
        <v>7</v>
      </c>
      <c r="F2201" t="s">
        <v>134</v>
      </c>
      <c r="G2201" t="s">
        <v>64</v>
      </c>
      <c r="H2201" t="s">
        <v>56</v>
      </c>
      <c r="I2201" t="s">
        <v>49</v>
      </c>
      <c r="J2201" t="s">
        <v>37</v>
      </c>
      <c r="K2201" t="s">
        <v>38</v>
      </c>
      <c r="L2201">
        <v>2</v>
      </c>
      <c r="M2201">
        <v>120</v>
      </c>
      <c r="N2201">
        <v>12</v>
      </c>
      <c r="O2201">
        <v>0</v>
      </c>
      <c r="P2201">
        <v>240</v>
      </c>
      <c r="Q2201">
        <v>228</v>
      </c>
      <c r="R2201" t="s">
        <v>39</v>
      </c>
      <c r="S2201" t="s">
        <v>31</v>
      </c>
      <c r="T2201" t="s">
        <v>32</v>
      </c>
      <c r="U2201">
        <v>45</v>
      </c>
      <c r="V2201">
        <v>4.5999999999999996</v>
      </c>
      <c r="W2201">
        <f>Table2[[#This Row],[Quantity]]*Table2[[#This Row],[Item_Price]]</f>
        <v>240</v>
      </c>
    </row>
    <row r="2202" spans="1:23" x14ac:dyDescent="0.25">
      <c r="A2202" t="s">
        <v>2301</v>
      </c>
      <c r="B2202" s="1">
        <v>45815</v>
      </c>
      <c r="C2202" t="s">
        <v>2191</v>
      </c>
      <c r="D2202">
        <v>6</v>
      </c>
      <c r="E2202">
        <v>7</v>
      </c>
      <c r="F2202" t="s">
        <v>134</v>
      </c>
      <c r="G2202" t="s">
        <v>90</v>
      </c>
      <c r="H2202" t="s">
        <v>105</v>
      </c>
      <c r="I2202" t="s">
        <v>85</v>
      </c>
      <c r="J2202" t="s">
        <v>28</v>
      </c>
      <c r="K2202" t="s">
        <v>38</v>
      </c>
      <c r="L2202">
        <v>1</v>
      </c>
      <c r="M2202">
        <v>166</v>
      </c>
      <c r="N2202">
        <v>41.5</v>
      </c>
      <c r="O2202">
        <v>30</v>
      </c>
      <c r="P2202">
        <v>166</v>
      </c>
      <c r="Q2202">
        <v>154.5</v>
      </c>
      <c r="R2202" t="s">
        <v>112</v>
      </c>
      <c r="S2202" t="s">
        <v>91</v>
      </c>
      <c r="T2202" t="s">
        <v>32</v>
      </c>
      <c r="U2202">
        <v>49</v>
      </c>
      <c r="W2202">
        <f>Table2[[#This Row],[Quantity]]*Table2[[#This Row],[Item_Price]]</f>
        <v>166</v>
      </c>
    </row>
    <row r="2203" spans="1:23" x14ac:dyDescent="0.25">
      <c r="A2203" t="s">
        <v>2302</v>
      </c>
      <c r="B2203" s="1">
        <v>45815</v>
      </c>
      <c r="C2203" t="s">
        <v>2191</v>
      </c>
      <c r="D2203">
        <v>6</v>
      </c>
      <c r="E2203">
        <v>7</v>
      </c>
      <c r="F2203" t="s">
        <v>134</v>
      </c>
      <c r="G2203" t="s">
        <v>34</v>
      </c>
      <c r="H2203" t="s">
        <v>52</v>
      </c>
      <c r="I2203" t="s">
        <v>43</v>
      </c>
      <c r="J2203" t="s">
        <v>44</v>
      </c>
      <c r="K2203" t="s">
        <v>38</v>
      </c>
      <c r="L2203">
        <v>1</v>
      </c>
      <c r="M2203">
        <v>669</v>
      </c>
      <c r="N2203">
        <v>33.450000000000003</v>
      </c>
      <c r="O2203">
        <v>30</v>
      </c>
      <c r="P2203">
        <v>669</v>
      </c>
      <c r="Q2203">
        <v>665.55</v>
      </c>
      <c r="R2203" t="s">
        <v>112</v>
      </c>
      <c r="S2203" t="s">
        <v>31</v>
      </c>
      <c r="T2203" t="s">
        <v>32</v>
      </c>
      <c r="U2203">
        <v>41</v>
      </c>
      <c r="V2203">
        <v>3.2</v>
      </c>
      <c r="W2203">
        <f>Table2[[#This Row],[Quantity]]*Table2[[#This Row],[Item_Price]]</f>
        <v>669</v>
      </c>
    </row>
    <row r="2204" spans="1:23" x14ac:dyDescent="0.25">
      <c r="A2204" t="s">
        <v>2303</v>
      </c>
      <c r="B2204" s="1">
        <v>45815</v>
      </c>
      <c r="C2204" t="s">
        <v>2191</v>
      </c>
      <c r="D2204">
        <v>6</v>
      </c>
      <c r="E2204">
        <v>7</v>
      </c>
      <c r="F2204" t="s">
        <v>134</v>
      </c>
      <c r="G2204" t="s">
        <v>64</v>
      </c>
      <c r="H2204" t="s">
        <v>77</v>
      </c>
      <c r="I2204" t="s">
        <v>97</v>
      </c>
      <c r="J2204" t="s">
        <v>70</v>
      </c>
      <c r="K2204" t="s">
        <v>38</v>
      </c>
      <c r="L2204">
        <v>1</v>
      </c>
      <c r="M2204">
        <v>167</v>
      </c>
      <c r="N2204">
        <v>16.7</v>
      </c>
      <c r="O2204">
        <v>40</v>
      </c>
      <c r="P2204">
        <v>167</v>
      </c>
      <c r="Q2204">
        <v>190.3</v>
      </c>
      <c r="R2204" t="s">
        <v>30</v>
      </c>
      <c r="S2204" t="s">
        <v>31</v>
      </c>
      <c r="T2204" t="s">
        <v>40</v>
      </c>
      <c r="U2204">
        <v>36</v>
      </c>
      <c r="V2204">
        <v>4</v>
      </c>
      <c r="W2204">
        <f>Table2[[#This Row],[Quantity]]*Table2[[#This Row],[Item_Price]]</f>
        <v>167</v>
      </c>
    </row>
    <row r="2205" spans="1:23" x14ac:dyDescent="0.25">
      <c r="A2205" t="s">
        <v>2304</v>
      </c>
      <c r="B2205" s="1">
        <v>45815</v>
      </c>
      <c r="C2205" t="s">
        <v>2191</v>
      </c>
      <c r="D2205">
        <v>6</v>
      </c>
      <c r="E2205">
        <v>7</v>
      </c>
      <c r="F2205" t="s">
        <v>134</v>
      </c>
      <c r="G2205" t="s">
        <v>80</v>
      </c>
      <c r="H2205" t="s">
        <v>52</v>
      </c>
      <c r="I2205" t="s">
        <v>36</v>
      </c>
      <c r="J2205" t="s">
        <v>28</v>
      </c>
      <c r="K2205" t="s">
        <v>38</v>
      </c>
      <c r="L2205">
        <v>1</v>
      </c>
      <c r="M2205">
        <v>438</v>
      </c>
      <c r="N2205">
        <v>21.9</v>
      </c>
      <c r="O2205">
        <v>40</v>
      </c>
      <c r="P2205">
        <v>438</v>
      </c>
      <c r="Q2205">
        <v>456.1</v>
      </c>
      <c r="R2205" t="s">
        <v>39</v>
      </c>
      <c r="S2205" t="s">
        <v>31</v>
      </c>
      <c r="T2205" t="s">
        <v>40</v>
      </c>
      <c r="U2205">
        <v>62</v>
      </c>
      <c r="V2205">
        <v>4.5999999999999996</v>
      </c>
      <c r="W2205">
        <f>Table2[[#This Row],[Quantity]]*Table2[[#This Row],[Item_Price]]</f>
        <v>438</v>
      </c>
    </row>
    <row r="2206" spans="1:23" x14ac:dyDescent="0.25">
      <c r="A2206" t="s">
        <v>2305</v>
      </c>
      <c r="B2206" s="1">
        <v>45815</v>
      </c>
      <c r="C2206" t="s">
        <v>2191</v>
      </c>
      <c r="D2206">
        <v>6</v>
      </c>
      <c r="E2206">
        <v>7</v>
      </c>
      <c r="F2206" t="s">
        <v>134</v>
      </c>
      <c r="G2206" t="s">
        <v>64</v>
      </c>
      <c r="H2206" t="s">
        <v>139</v>
      </c>
      <c r="I2206" t="s">
        <v>43</v>
      </c>
      <c r="J2206" t="s">
        <v>101</v>
      </c>
      <c r="K2206" t="s">
        <v>29</v>
      </c>
      <c r="L2206">
        <v>2</v>
      </c>
      <c r="M2206">
        <v>673</v>
      </c>
      <c r="N2206">
        <v>33.65</v>
      </c>
      <c r="O2206">
        <v>40</v>
      </c>
      <c r="P2206">
        <v>1346</v>
      </c>
      <c r="Q2206">
        <v>1352.35</v>
      </c>
      <c r="R2206" t="s">
        <v>39</v>
      </c>
      <c r="S2206" t="s">
        <v>31</v>
      </c>
      <c r="T2206" t="s">
        <v>40</v>
      </c>
      <c r="U2206">
        <v>62</v>
      </c>
      <c r="V2206">
        <v>3.9</v>
      </c>
      <c r="W2206">
        <f>Table2[[#This Row],[Quantity]]*Table2[[#This Row],[Item_Price]]</f>
        <v>1346</v>
      </c>
    </row>
    <row r="2207" spans="1:23" x14ac:dyDescent="0.25">
      <c r="A2207" t="s">
        <v>2306</v>
      </c>
      <c r="B2207" s="1">
        <v>45815</v>
      </c>
      <c r="C2207" t="s">
        <v>2191</v>
      </c>
      <c r="D2207">
        <v>6</v>
      </c>
      <c r="E2207">
        <v>7</v>
      </c>
      <c r="F2207" t="s">
        <v>134</v>
      </c>
      <c r="G2207" t="s">
        <v>25</v>
      </c>
      <c r="H2207" t="s">
        <v>52</v>
      </c>
      <c r="I2207" t="s">
        <v>49</v>
      </c>
      <c r="J2207" t="s">
        <v>70</v>
      </c>
      <c r="K2207" t="s">
        <v>38</v>
      </c>
      <c r="L2207">
        <v>1</v>
      </c>
      <c r="M2207">
        <v>361</v>
      </c>
      <c r="N2207">
        <v>0</v>
      </c>
      <c r="O2207">
        <v>0</v>
      </c>
      <c r="P2207">
        <v>361</v>
      </c>
      <c r="Q2207">
        <v>361</v>
      </c>
      <c r="R2207" t="s">
        <v>39</v>
      </c>
      <c r="S2207" t="s">
        <v>31</v>
      </c>
      <c r="T2207" t="s">
        <v>40</v>
      </c>
      <c r="U2207">
        <v>58</v>
      </c>
      <c r="V2207">
        <v>4.7</v>
      </c>
      <c r="W2207">
        <f>Table2[[#This Row],[Quantity]]*Table2[[#This Row],[Item_Price]]</f>
        <v>361</v>
      </c>
    </row>
    <row r="2208" spans="1:23" x14ac:dyDescent="0.25">
      <c r="A2208" t="s">
        <v>2307</v>
      </c>
      <c r="B2208" s="1">
        <v>45816</v>
      </c>
      <c r="C2208" t="s">
        <v>2191</v>
      </c>
      <c r="D2208">
        <v>6</v>
      </c>
      <c r="E2208">
        <v>8</v>
      </c>
      <c r="F2208" t="s">
        <v>149</v>
      </c>
      <c r="G2208" t="s">
        <v>80</v>
      </c>
      <c r="H2208" t="s">
        <v>56</v>
      </c>
      <c r="I2208" t="s">
        <v>61</v>
      </c>
      <c r="J2208" t="s">
        <v>172</v>
      </c>
      <c r="K2208" t="s">
        <v>38</v>
      </c>
      <c r="L2208">
        <v>1</v>
      </c>
      <c r="M2208">
        <v>325</v>
      </c>
      <c r="N2208">
        <v>0</v>
      </c>
      <c r="O2208">
        <v>0</v>
      </c>
      <c r="P2208">
        <v>325</v>
      </c>
      <c r="Q2208">
        <v>325</v>
      </c>
      <c r="R2208" t="s">
        <v>39</v>
      </c>
      <c r="S2208" t="s">
        <v>31</v>
      </c>
      <c r="T2208" t="s">
        <v>40</v>
      </c>
      <c r="U2208">
        <v>35</v>
      </c>
      <c r="V2208">
        <v>3.7</v>
      </c>
      <c r="W2208">
        <f>Table2[[#This Row],[Quantity]]*Table2[[#This Row],[Item_Price]]</f>
        <v>325</v>
      </c>
    </row>
    <row r="2209" spans="1:23" x14ac:dyDescent="0.25">
      <c r="A2209" t="s">
        <v>2308</v>
      </c>
      <c r="B2209" s="1">
        <v>45816</v>
      </c>
      <c r="C2209" t="s">
        <v>2191</v>
      </c>
      <c r="D2209">
        <v>6</v>
      </c>
      <c r="E2209">
        <v>8</v>
      </c>
      <c r="F2209" t="s">
        <v>149</v>
      </c>
      <c r="G2209" t="s">
        <v>25</v>
      </c>
      <c r="H2209" t="s">
        <v>52</v>
      </c>
      <c r="I2209" t="s">
        <v>36</v>
      </c>
      <c r="J2209" t="s">
        <v>28</v>
      </c>
      <c r="K2209" t="s">
        <v>38</v>
      </c>
      <c r="L2209">
        <v>1</v>
      </c>
      <c r="M2209">
        <v>421</v>
      </c>
      <c r="N2209">
        <v>84.2</v>
      </c>
      <c r="O2209">
        <v>50</v>
      </c>
      <c r="P2209">
        <v>421</v>
      </c>
      <c r="Q2209">
        <v>386.8</v>
      </c>
      <c r="R2209" t="s">
        <v>39</v>
      </c>
      <c r="S2209" t="s">
        <v>91</v>
      </c>
      <c r="T2209" t="s">
        <v>32</v>
      </c>
      <c r="U2209">
        <v>50</v>
      </c>
      <c r="W2209">
        <f>Table2[[#This Row],[Quantity]]*Table2[[#This Row],[Item_Price]]</f>
        <v>421</v>
      </c>
    </row>
    <row r="2210" spans="1:23" x14ac:dyDescent="0.25">
      <c r="A2210" t="s">
        <v>2309</v>
      </c>
      <c r="B2210" s="1">
        <v>45816</v>
      </c>
      <c r="C2210" t="s">
        <v>2191</v>
      </c>
      <c r="D2210">
        <v>6</v>
      </c>
      <c r="E2210">
        <v>8</v>
      </c>
      <c r="F2210" t="s">
        <v>149</v>
      </c>
      <c r="G2210" t="s">
        <v>64</v>
      </c>
      <c r="H2210" t="s">
        <v>42</v>
      </c>
      <c r="I2210" t="s">
        <v>57</v>
      </c>
      <c r="J2210" t="s">
        <v>44</v>
      </c>
      <c r="K2210" t="s">
        <v>58</v>
      </c>
      <c r="L2210">
        <v>2</v>
      </c>
      <c r="M2210">
        <v>121</v>
      </c>
      <c r="N2210">
        <v>24.2</v>
      </c>
      <c r="O2210">
        <v>50</v>
      </c>
      <c r="P2210">
        <v>242</v>
      </c>
      <c r="Q2210">
        <v>267.8</v>
      </c>
      <c r="R2210" t="s">
        <v>30</v>
      </c>
      <c r="S2210" t="s">
        <v>31</v>
      </c>
      <c r="T2210" t="s">
        <v>40</v>
      </c>
      <c r="U2210">
        <v>33</v>
      </c>
      <c r="V2210">
        <v>4.2</v>
      </c>
      <c r="W2210">
        <f>Table2[[#This Row],[Quantity]]*Table2[[#This Row],[Item_Price]]</f>
        <v>242</v>
      </c>
    </row>
    <row r="2211" spans="1:23" x14ac:dyDescent="0.25">
      <c r="A2211" t="s">
        <v>2310</v>
      </c>
      <c r="B2211" s="1">
        <v>45816</v>
      </c>
      <c r="C2211" t="s">
        <v>2191</v>
      </c>
      <c r="D2211">
        <v>6</v>
      </c>
      <c r="E2211">
        <v>8</v>
      </c>
      <c r="F2211" t="s">
        <v>149</v>
      </c>
      <c r="G2211" t="s">
        <v>25</v>
      </c>
      <c r="H2211" t="s">
        <v>56</v>
      </c>
      <c r="I2211" t="s">
        <v>103</v>
      </c>
      <c r="J2211" t="s">
        <v>82</v>
      </c>
      <c r="K2211" t="s">
        <v>58</v>
      </c>
      <c r="L2211">
        <v>1</v>
      </c>
      <c r="M2211">
        <v>445</v>
      </c>
      <c r="N2211">
        <v>66.75</v>
      </c>
      <c r="O2211">
        <v>0</v>
      </c>
      <c r="P2211">
        <v>445</v>
      </c>
      <c r="Q2211">
        <v>378.25</v>
      </c>
      <c r="R2211" t="s">
        <v>39</v>
      </c>
      <c r="S2211" t="s">
        <v>46</v>
      </c>
      <c r="T2211" t="s">
        <v>40</v>
      </c>
      <c r="U2211">
        <v>22</v>
      </c>
      <c r="W2211">
        <f>Table2[[#This Row],[Quantity]]*Table2[[#This Row],[Item_Price]]</f>
        <v>445</v>
      </c>
    </row>
    <row r="2212" spans="1:23" x14ac:dyDescent="0.25">
      <c r="A2212" t="s">
        <v>2311</v>
      </c>
      <c r="B2212" s="1">
        <v>45816</v>
      </c>
      <c r="C2212" t="s">
        <v>2191</v>
      </c>
      <c r="D2212">
        <v>6</v>
      </c>
      <c r="E2212">
        <v>8</v>
      </c>
      <c r="F2212" t="s">
        <v>149</v>
      </c>
      <c r="G2212" t="s">
        <v>73</v>
      </c>
      <c r="H2212" t="s">
        <v>35</v>
      </c>
      <c r="I2212" t="s">
        <v>36</v>
      </c>
      <c r="J2212" t="s">
        <v>37</v>
      </c>
      <c r="K2212" t="s">
        <v>45</v>
      </c>
      <c r="L2212">
        <v>1</v>
      </c>
      <c r="M2212">
        <v>221</v>
      </c>
      <c r="N2212">
        <v>22.1</v>
      </c>
      <c r="O2212">
        <v>60</v>
      </c>
      <c r="P2212">
        <v>221</v>
      </c>
      <c r="Q2212">
        <v>258.89999999999998</v>
      </c>
      <c r="R2212" t="s">
        <v>75</v>
      </c>
      <c r="S2212" t="s">
        <v>31</v>
      </c>
      <c r="T2212" t="s">
        <v>32</v>
      </c>
      <c r="U2212">
        <v>64</v>
      </c>
      <c r="V2212">
        <v>4.0999999999999996</v>
      </c>
      <c r="W2212">
        <f>Table2[[#This Row],[Quantity]]*Table2[[#This Row],[Item_Price]]</f>
        <v>221</v>
      </c>
    </row>
    <row r="2213" spans="1:23" x14ac:dyDescent="0.25">
      <c r="A2213" t="s">
        <v>2312</v>
      </c>
      <c r="B2213" s="1">
        <v>45816</v>
      </c>
      <c r="C2213" t="s">
        <v>2191</v>
      </c>
      <c r="D2213">
        <v>6</v>
      </c>
      <c r="E2213">
        <v>8</v>
      </c>
      <c r="F2213" t="s">
        <v>149</v>
      </c>
      <c r="G2213" t="s">
        <v>64</v>
      </c>
      <c r="H2213" t="s">
        <v>77</v>
      </c>
      <c r="I2213" t="s">
        <v>27</v>
      </c>
      <c r="J2213" t="s">
        <v>37</v>
      </c>
      <c r="K2213" t="s">
        <v>38</v>
      </c>
      <c r="L2213">
        <v>1</v>
      </c>
      <c r="M2213">
        <v>424</v>
      </c>
      <c r="N2213">
        <v>63.6</v>
      </c>
      <c r="O2213">
        <v>40</v>
      </c>
      <c r="P2213">
        <v>424</v>
      </c>
      <c r="Q2213">
        <v>400.4</v>
      </c>
      <c r="R2213" t="s">
        <v>75</v>
      </c>
      <c r="S2213" t="s">
        <v>31</v>
      </c>
      <c r="T2213" t="s">
        <v>40</v>
      </c>
      <c r="U2213">
        <v>53</v>
      </c>
      <c r="V2213">
        <v>4.0999999999999996</v>
      </c>
      <c r="W2213">
        <f>Table2[[#This Row],[Quantity]]*Table2[[#This Row],[Item_Price]]</f>
        <v>424</v>
      </c>
    </row>
    <row r="2214" spans="1:23" x14ac:dyDescent="0.25">
      <c r="A2214" t="s">
        <v>2313</v>
      </c>
      <c r="B2214" s="1">
        <v>45816</v>
      </c>
      <c r="C2214" t="s">
        <v>2191</v>
      </c>
      <c r="D2214">
        <v>6</v>
      </c>
      <c r="E2214">
        <v>8</v>
      </c>
      <c r="F2214" t="s">
        <v>149</v>
      </c>
      <c r="G2214" t="s">
        <v>64</v>
      </c>
      <c r="H2214" t="s">
        <v>35</v>
      </c>
      <c r="I2214" t="s">
        <v>85</v>
      </c>
      <c r="J2214" t="s">
        <v>50</v>
      </c>
      <c r="K2214" t="s">
        <v>38</v>
      </c>
      <c r="L2214">
        <v>1</v>
      </c>
      <c r="M2214">
        <v>207</v>
      </c>
      <c r="N2214">
        <v>0</v>
      </c>
      <c r="O2214">
        <v>30</v>
      </c>
      <c r="P2214">
        <v>207</v>
      </c>
      <c r="Q2214">
        <v>237</v>
      </c>
      <c r="R2214" t="s">
        <v>112</v>
      </c>
      <c r="S2214" t="s">
        <v>31</v>
      </c>
      <c r="T2214" t="s">
        <v>32</v>
      </c>
      <c r="U2214">
        <v>67</v>
      </c>
      <c r="V2214">
        <v>3.8</v>
      </c>
      <c r="W2214">
        <f>Table2[[#This Row],[Quantity]]*Table2[[#This Row],[Item_Price]]</f>
        <v>207</v>
      </c>
    </row>
    <row r="2215" spans="1:23" x14ac:dyDescent="0.25">
      <c r="A2215" t="s">
        <v>2314</v>
      </c>
      <c r="B2215" s="1">
        <v>45816</v>
      </c>
      <c r="C2215" t="s">
        <v>2191</v>
      </c>
      <c r="D2215">
        <v>6</v>
      </c>
      <c r="E2215">
        <v>8</v>
      </c>
      <c r="F2215" t="s">
        <v>149</v>
      </c>
      <c r="G2215" t="s">
        <v>115</v>
      </c>
      <c r="H2215" t="s">
        <v>26</v>
      </c>
      <c r="I2215" t="s">
        <v>49</v>
      </c>
      <c r="J2215" t="s">
        <v>37</v>
      </c>
      <c r="K2215" t="s">
        <v>45</v>
      </c>
      <c r="L2215">
        <v>1</v>
      </c>
      <c r="M2215">
        <v>809</v>
      </c>
      <c r="N2215">
        <v>40.450000000000003</v>
      </c>
      <c r="O2215">
        <v>50</v>
      </c>
      <c r="P2215">
        <v>809</v>
      </c>
      <c r="Q2215">
        <v>818.55</v>
      </c>
      <c r="R2215" t="s">
        <v>30</v>
      </c>
      <c r="S2215" t="s">
        <v>31</v>
      </c>
      <c r="T2215" t="s">
        <v>40</v>
      </c>
      <c r="U2215">
        <v>50</v>
      </c>
      <c r="V2215">
        <v>3.1</v>
      </c>
      <c r="W2215">
        <f>Table2[[#This Row],[Quantity]]*Table2[[#This Row],[Item_Price]]</f>
        <v>809</v>
      </c>
    </row>
    <row r="2216" spans="1:23" x14ac:dyDescent="0.25">
      <c r="A2216" t="s">
        <v>2315</v>
      </c>
      <c r="B2216" s="1">
        <v>45817</v>
      </c>
      <c r="C2216" t="s">
        <v>2191</v>
      </c>
      <c r="D2216">
        <v>6</v>
      </c>
      <c r="E2216">
        <v>9</v>
      </c>
      <c r="F2216" t="s">
        <v>168</v>
      </c>
      <c r="G2216" t="s">
        <v>90</v>
      </c>
      <c r="H2216" t="s">
        <v>108</v>
      </c>
      <c r="I2216" t="s">
        <v>85</v>
      </c>
      <c r="J2216" t="s">
        <v>74</v>
      </c>
      <c r="K2216" t="s">
        <v>45</v>
      </c>
      <c r="L2216">
        <v>1</v>
      </c>
      <c r="M2216">
        <v>168</v>
      </c>
      <c r="N2216">
        <v>16.8</v>
      </c>
      <c r="O2216">
        <v>0</v>
      </c>
      <c r="P2216">
        <v>168</v>
      </c>
      <c r="Q2216">
        <v>151.19999999999999</v>
      </c>
      <c r="R2216" t="s">
        <v>75</v>
      </c>
      <c r="S2216" t="s">
        <v>31</v>
      </c>
      <c r="T2216" t="s">
        <v>32</v>
      </c>
      <c r="U2216">
        <v>45</v>
      </c>
      <c r="V2216">
        <v>4.0999999999999996</v>
      </c>
      <c r="W2216">
        <f>Table2[[#This Row],[Quantity]]*Table2[[#This Row],[Item_Price]]</f>
        <v>168</v>
      </c>
    </row>
    <row r="2217" spans="1:23" x14ac:dyDescent="0.25">
      <c r="A2217" t="s">
        <v>2316</v>
      </c>
      <c r="B2217" s="1">
        <v>45817</v>
      </c>
      <c r="C2217" t="s">
        <v>2191</v>
      </c>
      <c r="D2217">
        <v>6</v>
      </c>
      <c r="E2217">
        <v>9</v>
      </c>
      <c r="F2217" t="s">
        <v>168</v>
      </c>
      <c r="G2217" t="s">
        <v>90</v>
      </c>
      <c r="H2217" t="s">
        <v>105</v>
      </c>
      <c r="I2217" t="s">
        <v>27</v>
      </c>
      <c r="J2217" t="s">
        <v>74</v>
      </c>
      <c r="K2217" t="s">
        <v>38</v>
      </c>
      <c r="L2217">
        <v>2</v>
      </c>
      <c r="M2217">
        <v>283</v>
      </c>
      <c r="N2217">
        <v>28.3</v>
      </c>
      <c r="O2217">
        <v>60</v>
      </c>
      <c r="P2217">
        <v>566</v>
      </c>
      <c r="Q2217">
        <v>597.70000000000005</v>
      </c>
      <c r="R2217" t="s">
        <v>30</v>
      </c>
      <c r="S2217" t="s">
        <v>110</v>
      </c>
      <c r="T2217" t="s">
        <v>32</v>
      </c>
      <c r="U2217">
        <v>35</v>
      </c>
      <c r="W2217">
        <f>Table2[[#This Row],[Quantity]]*Table2[[#This Row],[Item_Price]]</f>
        <v>566</v>
      </c>
    </row>
    <row r="2218" spans="1:23" x14ac:dyDescent="0.25">
      <c r="A2218" t="s">
        <v>2317</v>
      </c>
      <c r="B2218" s="1">
        <v>45817</v>
      </c>
      <c r="C2218" t="s">
        <v>2191</v>
      </c>
      <c r="D2218">
        <v>6</v>
      </c>
      <c r="E2218">
        <v>9</v>
      </c>
      <c r="F2218" t="s">
        <v>168</v>
      </c>
      <c r="G2218" t="s">
        <v>80</v>
      </c>
      <c r="H2218" t="s">
        <v>108</v>
      </c>
      <c r="I2218" t="s">
        <v>69</v>
      </c>
      <c r="J2218" t="s">
        <v>94</v>
      </c>
      <c r="K2218" t="s">
        <v>38</v>
      </c>
      <c r="L2218">
        <v>1</v>
      </c>
      <c r="M2218">
        <v>812</v>
      </c>
      <c r="N2218">
        <v>162.4</v>
      </c>
      <c r="O2218">
        <v>0</v>
      </c>
      <c r="P2218">
        <v>812</v>
      </c>
      <c r="Q2218">
        <v>649.6</v>
      </c>
      <c r="R2218" t="s">
        <v>75</v>
      </c>
      <c r="S2218" t="s">
        <v>31</v>
      </c>
      <c r="T2218" t="s">
        <v>32</v>
      </c>
      <c r="U2218">
        <v>64</v>
      </c>
      <c r="V2218">
        <v>5</v>
      </c>
      <c r="W2218">
        <f>Table2[[#This Row],[Quantity]]*Table2[[#This Row],[Item_Price]]</f>
        <v>812</v>
      </c>
    </row>
    <row r="2219" spans="1:23" x14ac:dyDescent="0.25">
      <c r="A2219" t="s">
        <v>2318</v>
      </c>
      <c r="B2219" s="1">
        <v>45817</v>
      </c>
      <c r="C2219" t="s">
        <v>2191</v>
      </c>
      <c r="D2219">
        <v>6</v>
      </c>
      <c r="E2219">
        <v>9</v>
      </c>
      <c r="F2219" t="s">
        <v>168</v>
      </c>
      <c r="G2219" t="s">
        <v>25</v>
      </c>
      <c r="H2219" t="s">
        <v>56</v>
      </c>
      <c r="I2219" t="s">
        <v>57</v>
      </c>
      <c r="J2219" t="s">
        <v>82</v>
      </c>
      <c r="K2219" t="s">
        <v>29</v>
      </c>
      <c r="L2219">
        <v>1</v>
      </c>
      <c r="M2219">
        <v>581</v>
      </c>
      <c r="N2219">
        <v>145.25</v>
      </c>
      <c r="O2219">
        <v>40</v>
      </c>
      <c r="P2219">
        <v>581</v>
      </c>
      <c r="Q2219">
        <v>475.75</v>
      </c>
      <c r="R2219" t="s">
        <v>39</v>
      </c>
      <c r="S2219" t="s">
        <v>91</v>
      </c>
      <c r="T2219" t="s">
        <v>32</v>
      </c>
      <c r="U2219">
        <v>31</v>
      </c>
      <c r="W2219">
        <f>Table2[[#This Row],[Quantity]]*Table2[[#This Row],[Item_Price]]</f>
        <v>581</v>
      </c>
    </row>
    <row r="2220" spans="1:23" x14ac:dyDescent="0.25">
      <c r="A2220" t="s">
        <v>2319</v>
      </c>
      <c r="B2220" s="1">
        <v>45817</v>
      </c>
      <c r="C2220" t="s">
        <v>2191</v>
      </c>
      <c r="D2220">
        <v>6</v>
      </c>
      <c r="E2220">
        <v>9</v>
      </c>
      <c r="F2220" t="s">
        <v>168</v>
      </c>
      <c r="G2220" t="s">
        <v>96</v>
      </c>
      <c r="H2220" t="s">
        <v>48</v>
      </c>
      <c r="I2220" t="s">
        <v>69</v>
      </c>
      <c r="J2220" t="s">
        <v>37</v>
      </c>
      <c r="K2220" t="s">
        <v>38</v>
      </c>
      <c r="L2220">
        <v>3</v>
      </c>
      <c r="M2220">
        <v>498</v>
      </c>
      <c r="N2220">
        <v>24.9</v>
      </c>
      <c r="O2220">
        <v>30</v>
      </c>
      <c r="P2220">
        <v>1494</v>
      </c>
      <c r="Q2220">
        <v>1499.1</v>
      </c>
      <c r="R2220" t="s">
        <v>39</v>
      </c>
      <c r="S2220" t="s">
        <v>91</v>
      </c>
      <c r="T2220" t="s">
        <v>32</v>
      </c>
      <c r="U2220">
        <v>37</v>
      </c>
      <c r="W2220">
        <f>Table2[[#This Row],[Quantity]]*Table2[[#This Row],[Item_Price]]</f>
        <v>1494</v>
      </c>
    </row>
    <row r="2221" spans="1:23" x14ac:dyDescent="0.25">
      <c r="A2221" t="s">
        <v>2320</v>
      </c>
      <c r="B2221" s="1">
        <v>45817</v>
      </c>
      <c r="C2221" t="s">
        <v>2191</v>
      </c>
      <c r="D2221">
        <v>6</v>
      </c>
      <c r="E2221">
        <v>9</v>
      </c>
      <c r="F2221" t="s">
        <v>168</v>
      </c>
      <c r="G2221" t="s">
        <v>55</v>
      </c>
      <c r="H2221" t="s">
        <v>108</v>
      </c>
      <c r="I2221" t="s">
        <v>61</v>
      </c>
      <c r="J2221" t="s">
        <v>119</v>
      </c>
      <c r="K2221" t="s">
        <v>38</v>
      </c>
      <c r="L2221">
        <v>2</v>
      </c>
      <c r="M2221">
        <v>365</v>
      </c>
      <c r="N2221">
        <v>36.5</v>
      </c>
      <c r="O2221">
        <v>50</v>
      </c>
      <c r="P2221">
        <v>730</v>
      </c>
      <c r="Q2221">
        <v>743.5</v>
      </c>
      <c r="R2221" t="s">
        <v>112</v>
      </c>
      <c r="S2221" t="s">
        <v>110</v>
      </c>
      <c r="T2221" t="s">
        <v>32</v>
      </c>
      <c r="U2221">
        <v>59</v>
      </c>
      <c r="W2221">
        <f>Table2[[#This Row],[Quantity]]*Table2[[#This Row],[Item_Price]]</f>
        <v>730</v>
      </c>
    </row>
    <row r="2222" spans="1:23" x14ac:dyDescent="0.25">
      <c r="A2222" t="s">
        <v>2321</v>
      </c>
      <c r="B2222" s="1">
        <v>45817</v>
      </c>
      <c r="C2222" t="s">
        <v>2191</v>
      </c>
      <c r="D2222">
        <v>6</v>
      </c>
      <c r="E2222">
        <v>9</v>
      </c>
      <c r="F2222" t="s">
        <v>168</v>
      </c>
      <c r="G2222" t="s">
        <v>80</v>
      </c>
      <c r="H2222" t="s">
        <v>139</v>
      </c>
      <c r="I2222" t="s">
        <v>49</v>
      </c>
      <c r="J2222" t="s">
        <v>74</v>
      </c>
      <c r="K2222" t="s">
        <v>38</v>
      </c>
      <c r="L2222">
        <v>1</v>
      </c>
      <c r="M2222">
        <v>601</v>
      </c>
      <c r="N2222">
        <v>60.1</v>
      </c>
      <c r="O2222">
        <v>50</v>
      </c>
      <c r="P2222">
        <v>601</v>
      </c>
      <c r="Q2222">
        <v>590.9</v>
      </c>
      <c r="R2222" t="s">
        <v>112</v>
      </c>
      <c r="S2222" t="s">
        <v>46</v>
      </c>
      <c r="T2222" t="s">
        <v>40</v>
      </c>
      <c r="U2222">
        <v>52</v>
      </c>
      <c r="W2222">
        <f>Table2[[#This Row],[Quantity]]*Table2[[#This Row],[Item_Price]]</f>
        <v>601</v>
      </c>
    </row>
    <row r="2223" spans="1:23" x14ac:dyDescent="0.25">
      <c r="A2223" t="s">
        <v>2322</v>
      </c>
      <c r="B2223" s="1">
        <v>45817</v>
      </c>
      <c r="C2223" t="s">
        <v>2191</v>
      </c>
      <c r="D2223">
        <v>6</v>
      </c>
      <c r="E2223">
        <v>9</v>
      </c>
      <c r="F2223" t="s">
        <v>168</v>
      </c>
      <c r="G2223" t="s">
        <v>34</v>
      </c>
      <c r="H2223" t="s">
        <v>108</v>
      </c>
      <c r="I2223" t="s">
        <v>103</v>
      </c>
      <c r="J2223" t="s">
        <v>70</v>
      </c>
      <c r="K2223" t="s">
        <v>38</v>
      </c>
      <c r="L2223">
        <v>1</v>
      </c>
      <c r="M2223">
        <v>186</v>
      </c>
      <c r="N2223">
        <v>37.200000000000003</v>
      </c>
      <c r="O2223">
        <v>30</v>
      </c>
      <c r="P2223">
        <v>186</v>
      </c>
      <c r="Q2223">
        <v>178.8</v>
      </c>
      <c r="R2223" t="s">
        <v>39</v>
      </c>
      <c r="S2223" t="s">
        <v>46</v>
      </c>
      <c r="T2223" t="s">
        <v>40</v>
      </c>
      <c r="U2223">
        <v>23</v>
      </c>
      <c r="W2223">
        <f>Table2[[#This Row],[Quantity]]*Table2[[#This Row],[Item_Price]]</f>
        <v>186</v>
      </c>
    </row>
    <row r="2224" spans="1:23" x14ac:dyDescent="0.25">
      <c r="A2224" t="s">
        <v>2323</v>
      </c>
      <c r="B2224" s="1">
        <v>45817</v>
      </c>
      <c r="C2224" t="s">
        <v>2191</v>
      </c>
      <c r="D2224">
        <v>6</v>
      </c>
      <c r="E2224">
        <v>9</v>
      </c>
      <c r="F2224" t="s">
        <v>168</v>
      </c>
      <c r="G2224" t="s">
        <v>115</v>
      </c>
      <c r="H2224" t="s">
        <v>60</v>
      </c>
      <c r="I2224" t="s">
        <v>69</v>
      </c>
      <c r="J2224" t="s">
        <v>50</v>
      </c>
      <c r="K2224" t="s">
        <v>45</v>
      </c>
      <c r="L2224">
        <v>1</v>
      </c>
      <c r="M2224">
        <v>261</v>
      </c>
      <c r="N2224">
        <v>0</v>
      </c>
      <c r="O2224">
        <v>40</v>
      </c>
      <c r="P2224">
        <v>261</v>
      </c>
      <c r="Q2224">
        <v>301</v>
      </c>
      <c r="R2224" t="s">
        <v>30</v>
      </c>
      <c r="S2224" t="s">
        <v>31</v>
      </c>
      <c r="T2224" t="s">
        <v>32</v>
      </c>
      <c r="U2224">
        <v>18</v>
      </c>
      <c r="V2224">
        <v>4.3</v>
      </c>
      <c r="W2224">
        <f>Table2[[#This Row],[Quantity]]*Table2[[#This Row],[Item_Price]]</f>
        <v>261</v>
      </c>
    </row>
    <row r="2225" spans="1:23" x14ac:dyDescent="0.25">
      <c r="A2225" t="s">
        <v>2324</v>
      </c>
      <c r="B2225" s="1">
        <v>45817</v>
      </c>
      <c r="C2225" t="s">
        <v>2191</v>
      </c>
      <c r="D2225">
        <v>6</v>
      </c>
      <c r="E2225">
        <v>9</v>
      </c>
      <c r="F2225" t="s">
        <v>168</v>
      </c>
      <c r="G2225" t="s">
        <v>64</v>
      </c>
      <c r="H2225" t="s">
        <v>42</v>
      </c>
      <c r="I2225" t="s">
        <v>57</v>
      </c>
      <c r="J2225" t="s">
        <v>62</v>
      </c>
      <c r="K2225" t="s">
        <v>38</v>
      </c>
      <c r="L2225">
        <v>1</v>
      </c>
      <c r="M2225">
        <v>780</v>
      </c>
      <c r="N2225">
        <v>156</v>
      </c>
      <c r="O2225">
        <v>20</v>
      </c>
      <c r="P2225">
        <v>780</v>
      </c>
      <c r="Q2225">
        <v>644</v>
      </c>
      <c r="R2225" t="s">
        <v>30</v>
      </c>
      <c r="S2225" t="s">
        <v>110</v>
      </c>
      <c r="T2225" t="s">
        <v>40</v>
      </c>
      <c r="U2225">
        <v>66</v>
      </c>
      <c r="W2225">
        <f>Table2[[#This Row],[Quantity]]*Table2[[#This Row],[Item_Price]]</f>
        <v>780</v>
      </c>
    </row>
    <row r="2226" spans="1:23" x14ac:dyDescent="0.25">
      <c r="A2226" t="s">
        <v>2325</v>
      </c>
      <c r="B2226" s="1">
        <v>45817</v>
      </c>
      <c r="C2226" t="s">
        <v>2191</v>
      </c>
      <c r="D2226">
        <v>6</v>
      </c>
      <c r="E2226">
        <v>9</v>
      </c>
      <c r="F2226" t="s">
        <v>168</v>
      </c>
      <c r="G2226" t="s">
        <v>115</v>
      </c>
      <c r="H2226" t="s">
        <v>52</v>
      </c>
      <c r="I2226" t="s">
        <v>103</v>
      </c>
      <c r="J2226" t="s">
        <v>101</v>
      </c>
      <c r="K2226" t="s">
        <v>38</v>
      </c>
      <c r="L2226">
        <v>1</v>
      </c>
      <c r="M2226">
        <v>346</v>
      </c>
      <c r="N2226">
        <v>34.6</v>
      </c>
      <c r="O2226">
        <v>40</v>
      </c>
      <c r="P2226">
        <v>346</v>
      </c>
      <c r="Q2226">
        <v>351.4</v>
      </c>
      <c r="R2226" t="s">
        <v>39</v>
      </c>
      <c r="S2226" t="s">
        <v>31</v>
      </c>
      <c r="T2226" t="s">
        <v>40</v>
      </c>
      <c r="U2226">
        <v>56</v>
      </c>
      <c r="V2226">
        <v>3.9</v>
      </c>
      <c r="W2226">
        <f>Table2[[#This Row],[Quantity]]*Table2[[#This Row],[Item_Price]]</f>
        <v>346</v>
      </c>
    </row>
    <row r="2227" spans="1:23" x14ac:dyDescent="0.25">
      <c r="A2227" t="s">
        <v>2326</v>
      </c>
      <c r="B2227" s="1">
        <v>45817</v>
      </c>
      <c r="C2227" t="s">
        <v>2191</v>
      </c>
      <c r="D2227">
        <v>6</v>
      </c>
      <c r="E2227">
        <v>9</v>
      </c>
      <c r="F2227" t="s">
        <v>168</v>
      </c>
      <c r="G2227" t="s">
        <v>34</v>
      </c>
      <c r="H2227" t="s">
        <v>65</v>
      </c>
      <c r="I2227" t="s">
        <v>57</v>
      </c>
      <c r="J2227" t="s">
        <v>70</v>
      </c>
      <c r="K2227" t="s">
        <v>38</v>
      </c>
      <c r="L2227">
        <v>2</v>
      </c>
      <c r="M2227">
        <v>540</v>
      </c>
      <c r="N2227">
        <v>81</v>
      </c>
      <c r="O2227">
        <v>50</v>
      </c>
      <c r="P2227">
        <v>1080</v>
      </c>
      <c r="Q2227">
        <v>1049</v>
      </c>
      <c r="R2227" t="s">
        <v>75</v>
      </c>
      <c r="S2227" t="s">
        <v>31</v>
      </c>
      <c r="T2227" t="s">
        <v>40</v>
      </c>
      <c r="U2227">
        <v>52</v>
      </c>
      <c r="V2227">
        <v>4.3</v>
      </c>
      <c r="W2227">
        <f>Table2[[#This Row],[Quantity]]*Table2[[#This Row],[Item_Price]]</f>
        <v>1080</v>
      </c>
    </row>
    <row r="2228" spans="1:23" x14ac:dyDescent="0.25">
      <c r="A2228" t="s">
        <v>2327</v>
      </c>
      <c r="B2228" s="1">
        <v>45817</v>
      </c>
      <c r="C2228" t="s">
        <v>2191</v>
      </c>
      <c r="D2228">
        <v>6</v>
      </c>
      <c r="E2228">
        <v>9</v>
      </c>
      <c r="F2228" t="s">
        <v>168</v>
      </c>
      <c r="G2228" t="s">
        <v>80</v>
      </c>
      <c r="H2228" t="s">
        <v>81</v>
      </c>
      <c r="I2228" t="s">
        <v>69</v>
      </c>
      <c r="J2228" t="s">
        <v>44</v>
      </c>
      <c r="K2228" t="s">
        <v>38</v>
      </c>
      <c r="L2228">
        <v>1</v>
      </c>
      <c r="M2228">
        <v>603</v>
      </c>
      <c r="N2228">
        <v>90.45</v>
      </c>
      <c r="O2228">
        <v>30</v>
      </c>
      <c r="P2228">
        <v>603</v>
      </c>
      <c r="Q2228">
        <v>542.54999999999995</v>
      </c>
      <c r="R2228" t="s">
        <v>39</v>
      </c>
      <c r="S2228" t="s">
        <v>31</v>
      </c>
      <c r="T2228" t="s">
        <v>40</v>
      </c>
      <c r="U2228">
        <v>37</v>
      </c>
      <c r="V2228">
        <v>4.0999999999999996</v>
      </c>
      <c r="W2228">
        <f>Table2[[#This Row],[Quantity]]*Table2[[#This Row],[Item_Price]]</f>
        <v>603</v>
      </c>
    </row>
    <row r="2229" spans="1:23" x14ac:dyDescent="0.25">
      <c r="A2229" t="s">
        <v>2328</v>
      </c>
      <c r="B2229" s="1">
        <v>45817</v>
      </c>
      <c r="C2229" t="s">
        <v>2191</v>
      </c>
      <c r="D2229">
        <v>6</v>
      </c>
      <c r="E2229">
        <v>9</v>
      </c>
      <c r="F2229" t="s">
        <v>168</v>
      </c>
      <c r="G2229" t="s">
        <v>80</v>
      </c>
      <c r="H2229" t="s">
        <v>108</v>
      </c>
      <c r="I2229" t="s">
        <v>85</v>
      </c>
      <c r="J2229" t="s">
        <v>94</v>
      </c>
      <c r="K2229" t="s">
        <v>38</v>
      </c>
      <c r="L2229">
        <v>2</v>
      </c>
      <c r="M2229">
        <v>664</v>
      </c>
      <c r="N2229">
        <v>99.6</v>
      </c>
      <c r="O2229">
        <v>60</v>
      </c>
      <c r="P2229">
        <v>1328</v>
      </c>
      <c r="Q2229">
        <v>1288.4000000000001</v>
      </c>
      <c r="R2229" t="s">
        <v>39</v>
      </c>
      <c r="S2229" t="s">
        <v>31</v>
      </c>
      <c r="T2229" t="s">
        <v>40</v>
      </c>
      <c r="U2229">
        <v>25</v>
      </c>
      <c r="V2229">
        <v>5</v>
      </c>
      <c r="W2229">
        <f>Table2[[#This Row],[Quantity]]*Table2[[#This Row],[Item_Price]]</f>
        <v>1328</v>
      </c>
    </row>
    <row r="2230" spans="1:23" x14ac:dyDescent="0.25">
      <c r="A2230" t="s">
        <v>2329</v>
      </c>
      <c r="B2230" s="1">
        <v>45817</v>
      </c>
      <c r="C2230" t="s">
        <v>2191</v>
      </c>
      <c r="D2230">
        <v>6</v>
      </c>
      <c r="E2230">
        <v>9</v>
      </c>
      <c r="F2230" t="s">
        <v>168</v>
      </c>
      <c r="G2230" t="s">
        <v>80</v>
      </c>
      <c r="H2230" t="s">
        <v>135</v>
      </c>
      <c r="I2230" t="s">
        <v>61</v>
      </c>
      <c r="J2230" t="s">
        <v>82</v>
      </c>
      <c r="K2230" t="s">
        <v>38</v>
      </c>
      <c r="L2230">
        <v>2</v>
      </c>
      <c r="M2230">
        <v>624</v>
      </c>
      <c r="N2230">
        <v>156</v>
      </c>
      <c r="O2230">
        <v>30</v>
      </c>
      <c r="P2230">
        <v>1248</v>
      </c>
      <c r="Q2230">
        <v>1122</v>
      </c>
      <c r="R2230" t="s">
        <v>39</v>
      </c>
      <c r="S2230" t="s">
        <v>31</v>
      </c>
      <c r="T2230" t="s">
        <v>32</v>
      </c>
      <c r="U2230">
        <v>68</v>
      </c>
      <c r="V2230">
        <v>5</v>
      </c>
      <c r="W2230">
        <f>Table2[[#This Row],[Quantity]]*Table2[[#This Row],[Item_Price]]</f>
        <v>1248</v>
      </c>
    </row>
    <row r="2231" spans="1:23" x14ac:dyDescent="0.25">
      <c r="A2231" t="s">
        <v>2330</v>
      </c>
      <c r="B2231" s="1">
        <v>45817</v>
      </c>
      <c r="C2231" t="s">
        <v>2191</v>
      </c>
      <c r="D2231">
        <v>6</v>
      </c>
      <c r="E2231">
        <v>9</v>
      </c>
      <c r="F2231" t="s">
        <v>168</v>
      </c>
      <c r="G2231" t="s">
        <v>25</v>
      </c>
      <c r="H2231" t="s">
        <v>81</v>
      </c>
      <c r="I2231" t="s">
        <v>85</v>
      </c>
      <c r="J2231" t="s">
        <v>94</v>
      </c>
      <c r="K2231" t="s">
        <v>45</v>
      </c>
      <c r="L2231">
        <v>2</v>
      </c>
      <c r="M2231">
        <v>482</v>
      </c>
      <c r="N2231">
        <v>48.2</v>
      </c>
      <c r="O2231">
        <v>30</v>
      </c>
      <c r="P2231">
        <v>964</v>
      </c>
      <c r="Q2231">
        <v>945.8</v>
      </c>
      <c r="R2231" t="s">
        <v>39</v>
      </c>
      <c r="S2231" t="s">
        <v>110</v>
      </c>
      <c r="T2231" t="s">
        <v>40</v>
      </c>
      <c r="U2231">
        <v>29</v>
      </c>
      <c r="W2231">
        <f>Table2[[#This Row],[Quantity]]*Table2[[#This Row],[Item_Price]]</f>
        <v>964</v>
      </c>
    </row>
    <row r="2232" spans="1:23" x14ac:dyDescent="0.25">
      <c r="A2232" t="s">
        <v>2331</v>
      </c>
      <c r="B2232" s="1">
        <v>45817</v>
      </c>
      <c r="C2232" t="s">
        <v>2191</v>
      </c>
      <c r="D2232">
        <v>6</v>
      </c>
      <c r="E2232">
        <v>9</v>
      </c>
      <c r="F2232" t="s">
        <v>168</v>
      </c>
      <c r="G2232" t="s">
        <v>64</v>
      </c>
      <c r="H2232" t="s">
        <v>65</v>
      </c>
      <c r="I2232" t="s">
        <v>27</v>
      </c>
      <c r="J2232" t="s">
        <v>37</v>
      </c>
      <c r="K2232" t="s">
        <v>58</v>
      </c>
      <c r="L2232">
        <v>1</v>
      </c>
      <c r="M2232">
        <v>373</v>
      </c>
      <c r="N2232">
        <v>0</v>
      </c>
      <c r="O2232">
        <v>20</v>
      </c>
      <c r="P2232">
        <v>373</v>
      </c>
      <c r="Q2232">
        <v>393</v>
      </c>
      <c r="R2232" t="s">
        <v>112</v>
      </c>
      <c r="S2232" t="s">
        <v>31</v>
      </c>
      <c r="T2232" t="s">
        <v>40</v>
      </c>
      <c r="U2232">
        <v>36</v>
      </c>
      <c r="V2232">
        <v>4.5999999999999996</v>
      </c>
      <c r="W2232">
        <f>Table2[[#This Row],[Quantity]]*Table2[[#This Row],[Item_Price]]</f>
        <v>373</v>
      </c>
    </row>
    <row r="2233" spans="1:23" x14ac:dyDescent="0.25">
      <c r="A2233" t="s">
        <v>2332</v>
      </c>
      <c r="B2233" s="1">
        <v>45817</v>
      </c>
      <c r="C2233" t="s">
        <v>2191</v>
      </c>
      <c r="D2233">
        <v>6</v>
      </c>
      <c r="E2233">
        <v>9</v>
      </c>
      <c r="F2233" t="s">
        <v>168</v>
      </c>
      <c r="G2233" t="s">
        <v>34</v>
      </c>
      <c r="H2233" t="s">
        <v>108</v>
      </c>
      <c r="I2233" t="s">
        <v>27</v>
      </c>
      <c r="J2233" t="s">
        <v>94</v>
      </c>
      <c r="K2233" t="s">
        <v>45</v>
      </c>
      <c r="L2233">
        <v>2</v>
      </c>
      <c r="M2233">
        <v>311</v>
      </c>
      <c r="N2233">
        <v>46.65</v>
      </c>
      <c r="O2233">
        <v>0</v>
      </c>
      <c r="P2233">
        <v>622</v>
      </c>
      <c r="Q2233">
        <v>575.35</v>
      </c>
      <c r="R2233" t="s">
        <v>39</v>
      </c>
      <c r="S2233" t="s">
        <v>91</v>
      </c>
      <c r="T2233" t="s">
        <v>40</v>
      </c>
      <c r="U2233">
        <v>56</v>
      </c>
      <c r="W2233">
        <f>Table2[[#This Row],[Quantity]]*Table2[[#This Row],[Item_Price]]</f>
        <v>622</v>
      </c>
    </row>
    <row r="2234" spans="1:23" x14ac:dyDescent="0.25">
      <c r="A2234" t="s">
        <v>2333</v>
      </c>
      <c r="B2234" s="1">
        <v>45817</v>
      </c>
      <c r="C2234" t="s">
        <v>2191</v>
      </c>
      <c r="D2234">
        <v>6</v>
      </c>
      <c r="E2234">
        <v>9</v>
      </c>
      <c r="F2234" t="s">
        <v>168</v>
      </c>
      <c r="G2234" t="s">
        <v>96</v>
      </c>
      <c r="H2234" t="s">
        <v>52</v>
      </c>
      <c r="I2234" t="s">
        <v>49</v>
      </c>
      <c r="J2234" t="s">
        <v>50</v>
      </c>
      <c r="K2234" t="s">
        <v>38</v>
      </c>
      <c r="L2234">
        <v>1</v>
      </c>
      <c r="M2234">
        <v>772</v>
      </c>
      <c r="N2234">
        <v>38.6</v>
      </c>
      <c r="O2234">
        <v>60</v>
      </c>
      <c r="P2234">
        <v>772</v>
      </c>
      <c r="Q2234">
        <v>793.4</v>
      </c>
      <c r="R2234" t="s">
        <v>112</v>
      </c>
      <c r="S2234" t="s">
        <v>31</v>
      </c>
      <c r="T2234" t="s">
        <v>32</v>
      </c>
      <c r="U2234">
        <v>67</v>
      </c>
      <c r="V2234">
        <v>4.5999999999999996</v>
      </c>
      <c r="W2234">
        <f>Table2[[#This Row],[Quantity]]*Table2[[#This Row],[Item_Price]]</f>
        <v>772</v>
      </c>
    </row>
    <row r="2235" spans="1:23" x14ac:dyDescent="0.25">
      <c r="A2235" t="s">
        <v>2334</v>
      </c>
      <c r="B2235" s="1">
        <v>45817</v>
      </c>
      <c r="C2235" t="s">
        <v>2191</v>
      </c>
      <c r="D2235">
        <v>6</v>
      </c>
      <c r="E2235">
        <v>9</v>
      </c>
      <c r="F2235" t="s">
        <v>168</v>
      </c>
      <c r="G2235" t="s">
        <v>84</v>
      </c>
      <c r="H2235" t="s">
        <v>48</v>
      </c>
      <c r="I2235" t="s">
        <v>43</v>
      </c>
      <c r="J2235" t="s">
        <v>101</v>
      </c>
      <c r="K2235" t="s">
        <v>38</v>
      </c>
      <c r="L2235">
        <v>1</v>
      </c>
      <c r="M2235">
        <v>221</v>
      </c>
      <c r="N2235">
        <v>33.15</v>
      </c>
      <c r="O2235">
        <v>0</v>
      </c>
      <c r="P2235">
        <v>221</v>
      </c>
      <c r="Q2235">
        <v>187.85</v>
      </c>
      <c r="R2235" t="s">
        <v>30</v>
      </c>
      <c r="S2235" t="s">
        <v>31</v>
      </c>
      <c r="T2235" t="s">
        <v>40</v>
      </c>
      <c r="U2235">
        <v>18</v>
      </c>
      <c r="V2235">
        <v>4.0999999999999996</v>
      </c>
      <c r="W2235">
        <f>Table2[[#This Row],[Quantity]]*Table2[[#This Row],[Item_Price]]</f>
        <v>221</v>
      </c>
    </row>
    <row r="2236" spans="1:23" x14ac:dyDescent="0.25">
      <c r="A2236" t="s">
        <v>2335</v>
      </c>
      <c r="B2236" s="1">
        <v>45817</v>
      </c>
      <c r="C2236" t="s">
        <v>2191</v>
      </c>
      <c r="D2236">
        <v>6</v>
      </c>
      <c r="E2236">
        <v>9</v>
      </c>
      <c r="F2236" t="s">
        <v>168</v>
      </c>
      <c r="G2236" t="s">
        <v>115</v>
      </c>
      <c r="H2236" t="s">
        <v>108</v>
      </c>
      <c r="I2236" t="s">
        <v>103</v>
      </c>
      <c r="J2236" t="s">
        <v>172</v>
      </c>
      <c r="K2236" t="s">
        <v>38</v>
      </c>
      <c r="L2236">
        <v>1</v>
      </c>
      <c r="M2236">
        <v>408</v>
      </c>
      <c r="N2236">
        <v>61.2</v>
      </c>
      <c r="O2236">
        <v>50</v>
      </c>
      <c r="P2236">
        <v>408</v>
      </c>
      <c r="Q2236">
        <v>396.8</v>
      </c>
      <c r="R2236" t="s">
        <v>75</v>
      </c>
      <c r="S2236" t="s">
        <v>31</v>
      </c>
      <c r="T2236" t="s">
        <v>40</v>
      </c>
      <c r="U2236">
        <v>54</v>
      </c>
      <c r="V2236">
        <v>4.7</v>
      </c>
      <c r="W2236">
        <f>Table2[[#This Row],[Quantity]]*Table2[[#This Row],[Item_Price]]</f>
        <v>408</v>
      </c>
    </row>
    <row r="2237" spans="1:23" x14ac:dyDescent="0.25">
      <c r="A2237" t="s">
        <v>2336</v>
      </c>
      <c r="B2237" s="1">
        <v>45818</v>
      </c>
      <c r="C2237" t="s">
        <v>2191</v>
      </c>
      <c r="D2237">
        <v>6</v>
      </c>
      <c r="E2237">
        <v>10</v>
      </c>
      <c r="F2237" t="s">
        <v>178</v>
      </c>
      <c r="G2237" t="s">
        <v>55</v>
      </c>
      <c r="H2237" t="s">
        <v>77</v>
      </c>
      <c r="I2237" t="s">
        <v>61</v>
      </c>
      <c r="J2237" t="s">
        <v>101</v>
      </c>
      <c r="K2237" t="s">
        <v>38</v>
      </c>
      <c r="L2237">
        <v>2</v>
      </c>
      <c r="M2237">
        <v>290</v>
      </c>
      <c r="N2237">
        <v>0</v>
      </c>
      <c r="O2237">
        <v>0</v>
      </c>
      <c r="P2237">
        <v>580</v>
      </c>
      <c r="Q2237">
        <v>580</v>
      </c>
      <c r="R2237" t="s">
        <v>75</v>
      </c>
      <c r="S2237" t="s">
        <v>31</v>
      </c>
      <c r="T2237" t="s">
        <v>32</v>
      </c>
      <c r="U2237">
        <v>47</v>
      </c>
      <c r="V2237">
        <v>4.2</v>
      </c>
      <c r="W2237">
        <f>Table2[[#This Row],[Quantity]]*Table2[[#This Row],[Item_Price]]</f>
        <v>580</v>
      </c>
    </row>
    <row r="2238" spans="1:23" x14ac:dyDescent="0.25">
      <c r="A2238" t="s">
        <v>2337</v>
      </c>
      <c r="B2238" s="1">
        <v>45818</v>
      </c>
      <c r="C2238" t="s">
        <v>2191</v>
      </c>
      <c r="D2238">
        <v>6</v>
      </c>
      <c r="E2238">
        <v>10</v>
      </c>
      <c r="F2238" t="s">
        <v>178</v>
      </c>
      <c r="G2238" t="s">
        <v>34</v>
      </c>
      <c r="H2238" t="s">
        <v>105</v>
      </c>
      <c r="I2238" t="s">
        <v>103</v>
      </c>
      <c r="J2238" t="s">
        <v>74</v>
      </c>
      <c r="K2238" t="s">
        <v>38</v>
      </c>
      <c r="L2238">
        <v>1</v>
      </c>
      <c r="M2238">
        <v>635</v>
      </c>
      <c r="N2238">
        <v>95.25</v>
      </c>
      <c r="O2238">
        <v>60</v>
      </c>
      <c r="P2238">
        <v>635</v>
      </c>
      <c r="Q2238">
        <v>599.75</v>
      </c>
      <c r="R2238" t="s">
        <v>39</v>
      </c>
      <c r="S2238" t="s">
        <v>91</v>
      </c>
      <c r="T2238" t="s">
        <v>32</v>
      </c>
      <c r="U2238">
        <v>40</v>
      </c>
      <c r="W2238">
        <f>Table2[[#This Row],[Quantity]]*Table2[[#This Row],[Item_Price]]</f>
        <v>635</v>
      </c>
    </row>
    <row r="2239" spans="1:23" x14ac:dyDescent="0.25">
      <c r="A2239" t="s">
        <v>2338</v>
      </c>
      <c r="B2239" s="1">
        <v>45818</v>
      </c>
      <c r="C2239" t="s">
        <v>2191</v>
      </c>
      <c r="D2239">
        <v>6</v>
      </c>
      <c r="E2239">
        <v>10</v>
      </c>
      <c r="F2239" t="s">
        <v>178</v>
      </c>
      <c r="G2239" t="s">
        <v>25</v>
      </c>
      <c r="H2239" t="s">
        <v>135</v>
      </c>
      <c r="I2239" t="s">
        <v>57</v>
      </c>
      <c r="J2239" t="s">
        <v>172</v>
      </c>
      <c r="K2239" t="s">
        <v>45</v>
      </c>
      <c r="L2239">
        <v>2</v>
      </c>
      <c r="M2239">
        <v>602</v>
      </c>
      <c r="N2239">
        <v>120.4</v>
      </c>
      <c r="O2239">
        <v>60</v>
      </c>
      <c r="P2239">
        <v>1204</v>
      </c>
      <c r="Q2239">
        <v>1143.5999999999999</v>
      </c>
      <c r="R2239" t="s">
        <v>75</v>
      </c>
      <c r="S2239" t="s">
        <v>31</v>
      </c>
      <c r="T2239" t="s">
        <v>32</v>
      </c>
      <c r="U2239">
        <v>33</v>
      </c>
      <c r="V2239">
        <v>4.8</v>
      </c>
      <c r="W2239">
        <f>Table2[[#This Row],[Quantity]]*Table2[[#This Row],[Item_Price]]</f>
        <v>1204</v>
      </c>
    </row>
    <row r="2240" spans="1:23" x14ac:dyDescent="0.25">
      <c r="A2240" t="s">
        <v>2339</v>
      </c>
      <c r="B2240" s="1">
        <v>45818</v>
      </c>
      <c r="C2240" t="s">
        <v>2191</v>
      </c>
      <c r="D2240">
        <v>6</v>
      </c>
      <c r="E2240">
        <v>10</v>
      </c>
      <c r="F2240" t="s">
        <v>178</v>
      </c>
      <c r="G2240" t="s">
        <v>90</v>
      </c>
      <c r="H2240" t="s">
        <v>105</v>
      </c>
      <c r="I2240" t="s">
        <v>36</v>
      </c>
      <c r="J2240" t="s">
        <v>62</v>
      </c>
      <c r="K2240" t="s">
        <v>45</v>
      </c>
      <c r="L2240">
        <v>2</v>
      </c>
      <c r="M2240">
        <v>753</v>
      </c>
      <c r="N2240">
        <v>112.95</v>
      </c>
      <c r="O2240">
        <v>20</v>
      </c>
      <c r="P2240">
        <v>1506</v>
      </c>
      <c r="Q2240">
        <v>1413.05</v>
      </c>
      <c r="R2240" t="s">
        <v>112</v>
      </c>
      <c r="S2240" t="s">
        <v>31</v>
      </c>
      <c r="T2240" t="s">
        <v>32</v>
      </c>
      <c r="U2240">
        <v>23</v>
      </c>
      <c r="V2240">
        <v>4.5</v>
      </c>
      <c r="W2240">
        <f>Table2[[#This Row],[Quantity]]*Table2[[#This Row],[Item_Price]]</f>
        <v>1506</v>
      </c>
    </row>
    <row r="2241" spans="1:23" x14ac:dyDescent="0.25">
      <c r="A2241" t="s">
        <v>2340</v>
      </c>
      <c r="B2241" s="1">
        <v>45818</v>
      </c>
      <c r="C2241" t="s">
        <v>2191</v>
      </c>
      <c r="D2241">
        <v>6</v>
      </c>
      <c r="E2241">
        <v>10</v>
      </c>
      <c r="F2241" t="s">
        <v>178</v>
      </c>
      <c r="G2241" t="s">
        <v>34</v>
      </c>
      <c r="H2241" t="s">
        <v>68</v>
      </c>
      <c r="I2241" t="s">
        <v>103</v>
      </c>
      <c r="J2241" t="s">
        <v>62</v>
      </c>
      <c r="K2241" t="s">
        <v>38</v>
      </c>
      <c r="L2241">
        <v>2</v>
      </c>
      <c r="M2241">
        <v>852</v>
      </c>
      <c r="N2241">
        <v>127.8</v>
      </c>
      <c r="O2241">
        <v>60</v>
      </c>
      <c r="P2241">
        <v>1704</v>
      </c>
      <c r="Q2241">
        <v>1636.2</v>
      </c>
      <c r="R2241" t="s">
        <v>98</v>
      </c>
      <c r="S2241" t="s">
        <v>31</v>
      </c>
      <c r="T2241" t="s">
        <v>32</v>
      </c>
      <c r="U2241">
        <v>25</v>
      </c>
      <c r="V2241">
        <v>5</v>
      </c>
      <c r="W2241">
        <f>Table2[[#This Row],[Quantity]]*Table2[[#This Row],[Item_Price]]</f>
        <v>1704</v>
      </c>
    </row>
    <row r="2242" spans="1:23" x14ac:dyDescent="0.25">
      <c r="A2242" t="s">
        <v>2341</v>
      </c>
      <c r="B2242" s="1">
        <v>45818</v>
      </c>
      <c r="C2242" t="s">
        <v>2191</v>
      </c>
      <c r="D2242">
        <v>6</v>
      </c>
      <c r="E2242">
        <v>10</v>
      </c>
      <c r="F2242" t="s">
        <v>178</v>
      </c>
      <c r="G2242" t="s">
        <v>115</v>
      </c>
      <c r="H2242" t="s">
        <v>35</v>
      </c>
      <c r="I2242" t="s">
        <v>43</v>
      </c>
      <c r="J2242" t="s">
        <v>28</v>
      </c>
      <c r="K2242" t="s">
        <v>38</v>
      </c>
      <c r="L2242">
        <v>2</v>
      </c>
      <c r="M2242">
        <v>631</v>
      </c>
      <c r="N2242">
        <v>94.65</v>
      </c>
      <c r="O2242">
        <v>20</v>
      </c>
      <c r="P2242">
        <v>1262</v>
      </c>
      <c r="Q2242">
        <v>1187.3499999999999</v>
      </c>
      <c r="R2242" t="s">
        <v>75</v>
      </c>
      <c r="S2242" t="s">
        <v>110</v>
      </c>
      <c r="T2242" t="s">
        <v>40</v>
      </c>
      <c r="U2242">
        <v>66</v>
      </c>
      <c r="W2242">
        <f>Table2[[#This Row],[Quantity]]*Table2[[#This Row],[Item_Price]]</f>
        <v>1262</v>
      </c>
    </row>
    <row r="2243" spans="1:23" x14ac:dyDescent="0.25">
      <c r="A2243" t="s">
        <v>2342</v>
      </c>
      <c r="B2243" s="1">
        <v>45818</v>
      </c>
      <c r="C2243" t="s">
        <v>2191</v>
      </c>
      <c r="D2243">
        <v>6</v>
      </c>
      <c r="E2243">
        <v>10</v>
      </c>
      <c r="F2243" t="s">
        <v>178</v>
      </c>
      <c r="G2243" t="s">
        <v>115</v>
      </c>
      <c r="H2243" t="s">
        <v>135</v>
      </c>
      <c r="I2243" t="s">
        <v>61</v>
      </c>
      <c r="J2243" t="s">
        <v>82</v>
      </c>
      <c r="K2243" t="s">
        <v>45</v>
      </c>
      <c r="L2243">
        <v>2</v>
      </c>
      <c r="M2243">
        <v>717</v>
      </c>
      <c r="N2243">
        <v>71.7</v>
      </c>
      <c r="O2243">
        <v>0</v>
      </c>
      <c r="P2243">
        <v>1434</v>
      </c>
      <c r="Q2243">
        <v>1362.3</v>
      </c>
      <c r="R2243" t="s">
        <v>75</v>
      </c>
      <c r="S2243" t="s">
        <v>91</v>
      </c>
      <c r="T2243" t="s">
        <v>32</v>
      </c>
      <c r="U2243">
        <v>49</v>
      </c>
      <c r="W2243">
        <f>Table2[[#This Row],[Quantity]]*Table2[[#This Row],[Item_Price]]</f>
        <v>1434</v>
      </c>
    </row>
    <row r="2244" spans="1:23" x14ac:dyDescent="0.25">
      <c r="A2244" t="s">
        <v>2343</v>
      </c>
      <c r="B2244" s="1">
        <v>45818</v>
      </c>
      <c r="C2244" t="s">
        <v>2191</v>
      </c>
      <c r="D2244">
        <v>6</v>
      </c>
      <c r="E2244">
        <v>10</v>
      </c>
      <c r="F2244" t="s">
        <v>178</v>
      </c>
      <c r="G2244" t="s">
        <v>115</v>
      </c>
      <c r="H2244" t="s">
        <v>105</v>
      </c>
      <c r="I2244" t="s">
        <v>57</v>
      </c>
      <c r="J2244" t="s">
        <v>70</v>
      </c>
      <c r="K2244" t="s">
        <v>38</v>
      </c>
      <c r="L2244">
        <v>1</v>
      </c>
      <c r="M2244">
        <v>891</v>
      </c>
      <c r="N2244">
        <v>178.2</v>
      </c>
      <c r="O2244">
        <v>0</v>
      </c>
      <c r="P2244">
        <v>891</v>
      </c>
      <c r="Q2244">
        <v>712.8</v>
      </c>
      <c r="R2244" t="s">
        <v>98</v>
      </c>
      <c r="S2244" t="s">
        <v>31</v>
      </c>
      <c r="T2244" t="s">
        <v>40</v>
      </c>
      <c r="U2244">
        <v>63</v>
      </c>
      <c r="V2244">
        <v>3.3</v>
      </c>
      <c r="W2244">
        <f>Table2[[#This Row],[Quantity]]*Table2[[#This Row],[Item_Price]]</f>
        <v>891</v>
      </c>
    </row>
    <row r="2245" spans="1:23" x14ac:dyDescent="0.25">
      <c r="A2245" t="s">
        <v>2344</v>
      </c>
      <c r="B2245" s="1">
        <v>45818</v>
      </c>
      <c r="C2245" t="s">
        <v>2191</v>
      </c>
      <c r="D2245">
        <v>6</v>
      </c>
      <c r="E2245">
        <v>10</v>
      </c>
      <c r="F2245" t="s">
        <v>178</v>
      </c>
      <c r="G2245" t="s">
        <v>84</v>
      </c>
      <c r="H2245" t="s">
        <v>139</v>
      </c>
      <c r="I2245" t="s">
        <v>43</v>
      </c>
      <c r="J2245" t="s">
        <v>82</v>
      </c>
      <c r="K2245" t="s">
        <v>38</v>
      </c>
      <c r="L2245">
        <v>1</v>
      </c>
      <c r="M2245">
        <v>339</v>
      </c>
      <c r="N2245">
        <v>67.8</v>
      </c>
      <c r="O2245">
        <v>30</v>
      </c>
      <c r="P2245">
        <v>339</v>
      </c>
      <c r="Q2245">
        <v>301.2</v>
      </c>
      <c r="R2245" t="s">
        <v>30</v>
      </c>
      <c r="S2245" t="s">
        <v>31</v>
      </c>
      <c r="T2245" t="s">
        <v>32</v>
      </c>
      <c r="U2245">
        <v>41</v>
      </c>
      <c r="V2245">
        <v>4.9000000000000004</v>
      </c>
      <c r="W2245">
        <f>Table2[[#This Row],[Quantity]]*Table2[[#This Row],[Item_Price]]</f>
        <v>339</v>
      </c>
    </row>
    <row r="2246" spans="1:23" x14ac:dyDescent="0.25">
      <c r="A2246" t="s">
        <v>2345</v>
      </c>
      <c r="B2246" s="1">
        <v>45818</v>
      </c>
      <c r="C2246" t="s">
        <v>2191</v>
      </c>
      <c r="D2246">
        <v>6</v>
      </c>
      <c r="E2246">
        <v>10</v>
      </c>
      <c r="F2246" t="s">
        <v>178</v>
      </c>
      <c r="G2246" t="s">
        <v>80</v>
      </c>
      <c r="H2246" t="s">
        <v>65</v>
      </c>
      <c r="I2246" t="s">
        <v>49</v>
      </c>
      <c r="J2246" t="s">
        <v>53</v>
      </c>
      <c r="K2246" t="s">
        <v>38</v>
      </c>
      <c r="L2246">
        <v>1</v>
      </c>
      <c r="M2246">
        <v>272</v>
      </c>
      <c r="N2246">
        <v>54.4</v>
      </c>
      <c r="O2246">
        <v>20</v>
      </c>
      <c r="P2246">
        <v>272</v>
      </c>
      <c r="Q2246">
        <v>237.6</v>
      </c>
      <c r="R2246" t="s">
        <v>30</v>
      </c>
      <c r="S2246" t="s">
        <v>31</v>
      </c>
      <c r="T2246" t="s">
        <v>32</v>
      </c>
      <c r="U2246">
        <v>36</v>
      </c>
      <c r="V2246">
        <v>3.4</v>
      </c>
      <c r="W2246">
        <f>Table2[[#This Row],[Quantity]]*Table2[[#This Row],[Item_Price]]</f>
        <v>272</v>
      </c>
    </row>
    <row r="2247" spans="1:23" x14ac:dyDescent="0.25">
      <c r="A2247" t="s">
        <v>2346</v>
      </c>
      <c r="B2247" s="1">
        <v>45818</v>
      </c>
      <c r="C2247" t="s">
        <v>2191</v>
      </c>
      <c r="D2247">
        <v>6</v>
      </c>
      <c r="E2247">
        <v>10</v>
      </c>
      <c r="F2247" t="s">
        <v>178</v>
      </c>
      <c r="G2247" t="s">
        <v>64</v>
      </c>
      <c r="H2247" t="s">
        <v>42</v>
      </c>
      <c r="I2247" t="s">
        <v>43</v>
      </c>
      <c r="J2247" t="s">
        <v>28</v>
      </c>
      <c r="K2247" t="s">
        <v>29</v>
      </c>
      <c r="L2247">
        <v>2</v>
      </c>
      <c r="M2247">
        <v>299</v>
      </c>
      <c r="N2247">
        <v>74.75</v>
      </c>
      <c r="O2247">
        <v>20</v>
      </c>
      <c r="P2247">
        <v>598</v>
      </c>
      <c r="Q2247">
        <v>543.25</v>
      </c>
      <c r="R2247" t="s">
        <v>39</v>
      </c>
      <c r="S2247" t="s">
        <v>31</v>
      </c>
      <c r="T2247" t="s">
        <v>32</v>
      </c>
      <c r="U2247">
        <v>43</v>
      </c>
      <c r="V2247">
        <v>2.6</v>
      </c>
      <c r="W2247">
        <f>Table2[[#This Row],[Quantity]]*Table2[[#This Row],[Item_Price]]</f>
        <v>598</v>
      </c>
    </row>
    <row r="2248" spans="1:23" x14ac:dyDescent="0.25">
      <c r="A2248" t="s">
        <v>2347</v>
      </c>
      <c r="B2248" s="1">
        <v>45818</v>
      </c>
      <c r="C2248" t="s">
        <v>2191</v>
      </c>
      <c r="D2248">
        <v>6</v>
      </c>
      <c r="E2248">
        <v>10</v>
      </c>
      <c r="F2248" t="s">
        <v>178</v>
      </c>
      <c r="G2248" t="s">
        <v>73</v>
      </c>
      <c r="H2248" t="s">
        <v>52</v>
      </c>
      <c r="I2248" t="s">
        <v>61</v>
      </c>
      <c r="J2248" t="s">
        <v>172</v>
      </c>
      <c r="K2248" t="s">
        <v>38</v>
      </c>
      <c r="L2248">
        <v>1</v>
      </c>
      <c r="M2248">
        <v>445</v>
      </c>
      <c r="N2248">
        <v>66.75</v>
      </c>
      <c r="O2248">
        <v>40</v>
      </c>
      <c r="P2248">
        <v>445</v>
      </c>
      <c r="Q2248">
        <v>418.25</v>
      </c>
      <c r="R2248" t="s">
        <v>30</v>
      </c>
      <c r="S2248" t="s">
        <v>31</v>
      </c>
      <c r="T2248" t="s">
        <v>32</v>
      </c>
      <c r="U2248">
        <v>65</v>
      </c>
      <c r="V2248">
        <v>4.3</v>
      </c>
      <c r="W2248">
        <f>Table2[[#This Row],[Quantity]]*Table2[[#This Row],[Item_Price]]</f>
        <v>445</v>
      </c>
    </row>
    <row r="2249" spans="1:23" x14ac:dyDescent="0.25">
      <c r="A2249" t="s">
        <v>2348</v>
      </c>
      <c r="B2249" s="1">
        <v>45818</v>
      </c>
      <c r="C2249" t="s">
        <v>2191</v>
      </c>
      <c r="D2249">
        <v>6</v>
      </c>
      <c r="E2249">
        <v>10</v>
      </c>
      <c r="F2249" t="s">
        <v>178</v>
      </c>
      <c r="G2249" t="s">
        <v>64</v>
      </c>
      <c r="H2249" t="s">
        <v>26</v>
      </c>
      <c r="I2249" t="s">
        <v>27</v>
      </c>
      <c r="J2249" t="s">
        <v>119</v>
      </c>
      <c r="K2249" t="s">
        <v>58</v>
      </c>
      <c r="L2249">
        <v>2</v>
      </c>
      <c r="M2249">
        <v>378</v>
      </c>
      <c r="N2249">
        <v>37.799999999999997</v>
      </c>
      <c r="O2249">
        <v>50</v>
      </c>
      <c r="P2249">
        <v>756</v>
      </c>
      <c r="Q2249">
        <v>768.2</v>
      </c>
      <c r="R2249" t="s">
        <v>112</v>
      </c>
      <c r="S2249" t="s">
        <v>31</v>
      </c>
      <c r="T2249" t="s">
        <v>40</v>
      </c>
      <c r="U2249">
        <v>49</v>
      </c>
      <c r="V2249">
        <v>4.0999999999999996</v>
      </c>
      <c r="W2249">
        <f>Table2[[#This Row],[Quantity]]*Table2[[#This Row],[Item_Price]]</f>
        <v>756</v>
      </c>
    </row>
    <row r="2250" spans="1:23" x14ac:dyDescent="0.25">
      <c r="A2250" t="s">
        <v>2349</v>
      </c>
      <c r="B2250" s="1">
        <v>45818</v>
      </c>
      <c r="C2250" t="s">
        <v>2191</v>
      </c>
      <c r="D2250">
        <v>6</v>
      </c>
      <c r="E2250">
        <v>10</v>
      </c>
      <c r="F2250" t="s">
        <v>178</v>
      </c>
      <c r="G2250" t="s">
        <v>80</v>
      </c>
      <c r="H2250" t="s">
        <v>139</v>
      </c>
      <c r="I2250" t="s">
        <v>27</v>
      </c>
      <c r="J2250" t="s">
        <v>28</v>
      </c>
      <c r="K2250" t="s">
        <v>38</v>
      </c>
      <c r="L2250">
        <v>2</v>
      </c>
      <c r="M2250">
        <v>686</v>
      </c>
      <c r="N2250">
        <v>68.599999999999994</v>
      </c>
      <c r="O2250">
        <v>50</v>
      </c>
      <c r="P2250">
        <v>1372</v>
      </c>
      <c r="Q2250">
        <v>1353.4</v>
      </c>
      <c r="R2250" t="s">
        <v>30</v>
      </c>
      <c r="S2250" t="s">
        <v>31</v>
      </c>
      <c r="T2250" t="s">
        <v>40</v>
      </c>
      <c r="U2250">
        <v>45</v>
      </c>
      <c r="V2250">
        <v>4.5</v>
      </c>
      <c r="W2250">
        <f>Table2[[#This Row],[Quantity]]*Table2[[#This Row],[Item_Price]]</f>
        <v>1372</v>
      </c>
    </row>
    <row r="2251" spans="1:23" x14ac:dyDescent="0.25">
      <c r="A2251" t="s">
        <v>2350</v>
      </c>
      <c r="B2251" s="1">
        <v>45818</v>
      </c>
      <c r="C2251" t="s">
        <v>2191</v>
      </c>
      <c r="D2251">
        <v>6</v>
      </c>
      <c r="E2251">
        <v>10</v>
      </c>
      <c r="F2251" t="s">
        <v>178</v>
      </c>
      <c r="G2251" t="s">
        <v>84</v>
      </c>
      <c r="H2251" t="s">
        <v>81</v>
      </c>
      <c r="I2251" t="s">
        <v>36</v>
      </c>
      <c r="J2251" t="s">
        <v>66</v>
      </c>
      <c r="K2251" t="s">
        <v>38</v>
      </c>
      <c r="L2251">
        <v>1</v>
      </c>
      <c r="M2251">
        <v>686</v>
      </c>
      <c r="N2251">
        <v>102.9</v>
      </c>
      <c r="O2251">
        <v>0</v>
      </c>
      <c r="P2251">
        <v>686</v>
      </c>
      <c r="Q2251">
        <v>583.1</v>
      </c>
      <c r="R2251" t="s">
        <v>30</v>
      </c>
      <c r="S2251" t="s">
        <v>91</v>
      </c>
      <c r="T2251" t="s">
        <v>40</v>
      </c>
      <c r="U2251">
        <v>38</v>
      </c>
      <c r="W2251">
        <f>Table2[[#This Row],[Quantity]]*Table2[[#This Row],[Item_Price]]</f>
        <v>686</v>
      </c>
    </row>
    <row r="2252" spans="1:23" x14ac:dyDescent="0.25">
      <c r="A2252" t="s">
        <v>2351</v>
      </c>
      <c r="B2252" s="1">
        <v>45818</v>
      </c>
      <c r="C2252" t="s">
        <v>2191</v>
      </c>
      <c r="D2252">
        <v>6</v>
      </c>
      <c r="E2252">
        <v>10</v>
      </c>
      <c r="F2252" t="s">
        <v>178</v>
      </c>
      <c r="G2252" t="s">
        <v>73</v>
      </c>
      <c r="H2252" t="s">
        <v>60</v>
      </c>
      <c r="I2252" t="s">
        <v>43</v>
      </c>
      <c r="J2252" t="s">
        <v>70</v>
      </c>
      <c r="K2252" t="s">
        <v>38</v>
      </c>
      <c r="L2252">
        <v>3</v>
      </c>
      <c r="M2252">
        <v>158</v>
      </c>
      <c r="N2252">
        <v>15.8</v>
      </c>
      <c r="O2252">
        <v>40</v>
      </c>
      <c r="P2252">
        <v>474</v>
      </c>
      <c r="Q2252">
        <v>498.2</v>
      </c>
      <c r="R2252" t="s">
        <v>39</v>
      </c>
      <c r="S2252" t="s">
        <v>31</v>
      </c>
      <c r="T2252" t="s">
        <v>40</v>
      </c>
      <c r="U2252">
        <v>66</v>
      </c>
      <c r="V2252">
        <v>4.0999999999999996</v>
      </c>
      <c r="W2252">
        <f>Table2[[#This Row],[Quantity]]*Table2[[#This Row],[Item_Price]]</f>
        <v>474</v>
      </c>
    </row>
    <row r="2253" spans="1:23" x14ac:dyDescent="0.25">
      <c r="A2253" t="s">
        <v>2352</v>
      </c>
      <c r="B2253" s="1">
        <v>45818</v>
      </c>
      <c r="C2253" t="s">
        <v>2191</v>
      </c>
      <c r="D2253">
        <v>6</v>
      </c>
      <c r="E2253">
        <v>10</v>
      </c>
      <c r="F2253" t="s">
        <v>178</v>
      </c>
      <c r="G2253" t="s">
        <v>64</v>
      </c>
      <c r="H2253" t="s">
        <v>105</v>
      </c>
      <c r="I2253" t="s">
        <v>57</v>
      </c>
      <c r="J2253" t="s">
        <v>70</v>
      </c>
      <c r="K2253" t="s">
        <v>38</v>
      </c>
      <c r="L2253">
        <v>3</v>
      </c>
      <c r="M2253">
        <v>221</v>
      </c>
      <c r="N2253">
        <v>22.1</v>
      </c>
      <c r="O2253">
        <v>40</v>
      </c>
      <c r="P2253">
        <v>663</v>
      </c>
      <c r="Q2253">
        <v>680.9</v>
      </c>
      <c r="R2253" t="s">
        <v>30</v>
      </c>
      <c r="S2253" t="s">
        <v>110</v>
      </c>
      <c r="T2253" t="s">
        <v>40</v>
      </c>
      <c r="U2253">
        <v>37</v>
      </c>
      <c r="W2253">
        <f>Table2[[#This Row],[Quantity]]*Table2[[#This Row],[Item_Price]]</f>
        <v>663</v>
      </c>
    </row>
    <row r="2254" spans="1:23" x14ac:dyDescent="0.25">
      <c r="A2254" t="s">
        <v>2353</v>
      </c>
      <c r="B2254" s="1">
        <v>45818</v>
      </c>
      <c r="C2254" t="s">
        <v>2191</v>
      </c>
      <c r="D2254">
        <v>6</v>
      </c>
      <c r="E2254">
        <v>10</v>
      </c>
      <c r="F2254" t="s">
        <v>178</v>
      </c>
      <c r="G2254" t="s">
        <v>64</v>
      </c>
      <c r="H2254" t="s">
        <v>81</v>
      </c>
      <c r="I2254" t="s">
        <v>69</v>
      </c>
      <c r="J2254" t="s">
        <v>82</v>
      </c>
      <c r="K2254" t="s">
        <v>38</v>
      </c>
      <c r="L2254">
        <v>1</v>
      </c>
      <c r="M2254">
        <v>325</v>
      </c>
      <c r="N2254">
        <v>16.25</v>
      </c>
      <c r="O2254">
        <v>30</v>
      </c>
      <c r="P2254">
        <v>325</v>
      </c>
      <c r="Q2254">
        <v>338.75</v>
      </c>
      <c r="R2254" t="s">
        <v>39</v>
      </c>
      <c r="S2254" t="s">
        <v>31</v>
      </c>
      <c r="T2254" t="s">
        <v>32</v>
      </c>
      <c r="U2254">
        <v>33</v>
      </c>
      <c r="V2254">
        <v>3.6</v>
      </c>
      <c r="W2254">
        <f>Table2[[#This Row],[Quantity]]*Table2[[#This Row],[Item_Price]]</f>
        <v>325</v>
      </c>
    </row>
    <row r="2255" spans="1:23" x14ac:dyDescent="0.25">
      <c r="A2255" t="s">
        <v>2354</v>
      </c>
      <c r="B2255" s="1">
        <v>45818</v>
      </c>
      <c r="C2255" t="s">
        <v>2191</v>
      </c>
      <c r="D2255">
        <v>6</v>
      </c>
      <c r="E2255">
        <v>10</v>
      </c>
      <c r="F2255" t="s">
        <v>178</v>
      </c>
      <c r="G2255" t="s">
        <v>25</v>
      </c>
      <c r="H2255" t="s">
        <v>68</v>
      </c>
      <c r="I2255" t="s">
        <v>57</v>
      </c>
      <c r="J2255" t="s">
        <v>172</v>
      </c>
      <c r="K2255" t="s">
        <v>29</v>
      </c>
      <c r="L2255">
        <v>2</v>
      </c>
      <c r="M2255">
        <v>507</v>
      </c>
      <c r="N2255">
        <v>126.75</v>
      </c>
      <c r="O2255">
        <v>60</v>
      </c>
      <c r="P2255">
        <v>1014</v>
      </c>
      <c r="Q2255">
        <v>947.25</v>
      </c>
      <c r="R2255" t="s">
        <v>98</v>
      </c>
      <c r="S2255" t="s">
        <v>31</v>
      </c>
      <c r="T2255" t="s">
        <v>32</v>
      </c>
      <c r="U2255">
        <v>43</v>
      </c>
      <c r="V2255">
        <v>4.5</v>
      </c>
      <c r="W2255">
        <f>Table2[[#This Row],[Quantity]]*Table2[[#This Row],[Item_Price]]</f>
        <v>1014</v>
      </c>
    </row>
    <row r="2256" spans="1:23" x14ac:dyDescent="0.25">
      <c r="A2256" t="s">
        <v>2355</v>
      </c>
      <c r="B2256" s="1">
        <v>45818</v>
      </c>
      <c r="C2256" t="s">
        <v>2191</v>
      </c>
      <c r="D2256">
        <v>6</v>
      </c>
      <c r="E2256">
        <v>10</v>
      </c>
      <c r="F2256" t="s">
        <v>178</v>
      </c>
      <c r="G2256" t="s">
        <v>84</v>
      </c>
      <c r="H2256" t="s">
        <v>77</v>
      </c>
      <c r="I2256" t="s">
        <v>103</v>
      </c>
      <c r="J2256" t="s">
        <v>78</v>
      </c>
      <c r="K2256" t="s">
        <v>38</v>
      </c>
      <c r="L2256">
        <v>1</v>
      </c>
      <c r="M2256">
        <v>748</v>
      </c>
      <c r="N2256">
        <v>74.8</v>
      </c>
      <c r="O2256">
        <v>30</v>
      </c>
      <c r="P2256">
        <v>748</v>
      </c>
      <c r="Q2256">
        <v>703.2</v>
      </c>
      <c r="R2256" t="s">
        <v>112</v>
      </c>
      <c r="S2256" t="s">
        <v>46</v>
      </c>
      <c r="T2256" t="s">
        <v>32</v>
      </c>
      <c r="U2256">
        <v>46</v>
      </c>
      <c r="W2256">
        <f>Table2[[#This Row],[Quantity]]*Table2[[#This Row],[Item_Price]]</f>
        <v>748</v>
      </c>
    </row>
    <row r="2257" spans="1:23" x14ac:dyDescent="0.25">
      <c r="A2257" t="s">
        <v>2356</v>
      </c>
      <c r="B2257" s="1">
        <v>45818</v>
      </c>
      <c r="C2257" t="s">
        <v>2191</v>
      </c>
      <c r="D2257">
        <v>6</v>
      </c>
      <c r="E2257">
        <v>10</v>
      </c>
      <c r="F2257" t="s">
        <v>178</v>
      </c>
      <c r="G2257" t="s">
        <v>34</v>
      </c>
      <c r="H2257" t="s">
        <v>60</v>
      </c>
      <c r="I2257" t="s">
        <v>27</v>
      </c>
      <c r="J2257" t="s">
        <v>74</v>
      </c>
      <c r="K2257" t="s">
        <v>58</v>
      </c>
      <c r="L2257">
        <v>2</v>
      </c>
      <c r="M2257">
        <v>342</v>
      </c>
      <c r="N2257">
        <v>68.400000000000006</v>
      </c>
      <c r="O2257">
        <v>40</v>
      </c>
      <c r="P2257">
        <v>684</v>
      </c>
      <c r="Q2257">
        <v>655.6</v>
      </c>
      <c r="R2257" t="s">
        <v>30</v>
      </c>
      <c r="S2257" t="s">
        <v>31</v>
      </c>
      <c r="T2257" t="s">
        <v>32</v>
      </c>
      <c r="U2257">
        <v>35</v>
      </c>
      <c r="V2257">
        <v>3.5</v>
      </c>
      <c r="W2257">
        <f>Table2[[#This Row],[Quantity]]*Table2[[#This Row],[Item_Price]]</f>
        <v>684</v>
      </c>
    </row>
    <row r="2258" spans="1:23" x14ac:dyDescent="0.25">
      <c r="A2258" t="s">
        <v>2357</v>
      </c>
      <c r="B2258" s="1">
        <v>45819</v>
      </c>
      <c r="C2258" t="s">
        <v>2191</v>
      </c>
      <c r="D2258">
        <v>6</v>
      </c>
      <c r="E2258">
        <v>11</v>
      </c>
      <c r="F2258" t="s">
        <v>24</v>
      </c>
      <c r="G2258" t="s">
        <v>64</v>
      </c>
      <c r="H2258" t="s">
        <v>35</v>
      </c>
      <c r="I2258" t="s">
        <v>97</v>
      </c>
      <c r="J2258" t="s">
        <v>70</v>
      </c>
      <c r="K2258" t="s">
        <v>58</v>
      </c>
      <c r="L2258">
        <v>2</v>
      </c>
      <c r="M2258">
        <v>898</v>
      </c>
      <c r="N2258">
        <v>134.69999999999999</v>
      </c>
      <c r="O2258">
        <v>30</v>
      </c>
      <c r="P2258">
        <v>1796</v>
      </c>
      <c r="Q2258">
        <v>1691.3</v>
      </c>
      <c r="R2258" t="s">
        <v>39</v>
      </c>
      <c r="S2258" t="s">
        <v>31</v>
      </c>
      <c r="T2258" t="s">
        <v>40</v>
      </c>
      <c r="U2258">
        <v>42</v>
      </c>
      <c r="V2258">
        <v>4.3</v>
      </c>
      <c r="W2258">
        <f>Table2[[#This Row],[Quantity]]*Table2[[#This Row],[Item_Price]]</f>
        <v>1796</v>
      </c>
    </row>
    <row r="2259" spans="1:23" x14ac:dyDescent="0.25">
      <c r="A2259" t="s">
        <v>2358</v>
      </c>
      <c r="B2259" s="1">
        <v>45819</v>
      </c>
      <c r="C2259" t="s">
        <v>2191</v>
      </c>
      <c r="D2259">
        <v>6</v>
      </c>
      <c r="E2259">
        <v>11</v>
      </c>
      <c r="F2259" t="s">
        <v>24</v>
      </c>
      <c r="G2259" t="s">
        <v>115</v>
      </c>
      <c r="H2259" t="s">
        <v>48</v>
      </c>
      <c r="I2259" t="s">
        <v>97</v>
      </c>
      <c r="J2259" t="s">
        <v>44</v>
      </c>
      <c r="K2259" t="s">
        <v>38</v>
      </c>
      <c r="L2259">
        <v>3</v>
      </c>
      <c r="M2259">
        <v>728</v>
      </c>
      <c r="N2259">
        <v>109.2</v>
      </c>
      <c r="O2259">
        <v>20</v>
      </c>
      <c r="P2259">
        <v>2184</v>
      </c>
      <c r="Q2259">
        <v>2094.8000000000002</v>
      </c>
      <c r="R2259" t="s">
        <v>112</v>
      </c>
      <c r="S2259" t="s">
        <v>31</v>
      </c>
      <c r="T2259" t="s">
        <v>32</v>
      </c>
      <c r="U2259">
        <v>34</v>
      </c>
      <c r="V2259">
        <v>4.4000000000000004</v>
      </c>
      <c r="W2259">
        <f>Table2[[#This Row],[Quantity]]*Table2[[#This Row],[Item_Price]]</f>
        <v>2184</v>
      </c>
    </row>
    <row r="2260" spans="1:23" x14ac:dyDescent="0.25">
      <c r="A2260" t="s">
        <v>2359</v>
      </c>
      <c r="B2260" s="1">
        <v>45819</v>
      </c>
      <c r="C2260" t="s">
        <v>2191</v>
      </c>
      <c r="D2260">
        <v>6</v>
      </c>
      <c r="E2260">
        <v>11</v>
      </c>
      <c r="F2260" t="s">
        <v>24</v>
      </c>
      <c r="G2260" t="s">
        <v>64</v>
      </c>
      <c r="H2260" t="s">
        <v>108</v>
      </c>
      <c r="I2260" t="s">
        <v>36</v>
      </c>
      <c r="J2260" t="s">
        <v>119</v>
      </c>
      <c r="K2260" t="s">
        <v>38</v>
      </c>
      <c r="L2260">
        <v>1</v>
      </c>
      <c r="M2260">
        <v>396</v>
      </c>
      <c r="N2260">
        <v>0</v>
      </c>
      <c r="O2260">
        <v>60</v>
      </c>
      <c r="P2260">
        <v>396</v>
      </c>
      <c r="Q2260">
        <v>456</v>
      </c>
      <c r="R2260" t="s">
        <v>112</v>
      </c>
      <c r="S2260" t="s">
        <v>31</v>
      </c>
      <c r="T2260" t="s">
        <v>32</v>
      </c>
      <c r="U2260">
        <v>54</v>
      </c>
      <c r="V2260">
        <v>3.5</v>
      </c>
      <c r="W2260">
        <f>Table2[[#This Row],[Quantity]]*Table2[[#This Row],[Item_Price]]</f>
        <v>396</v>
      </c>
    </row>
    <row r="2261" spans="1:23" x14ac:dyDescent="0.25">
      <c r="A2261" t="s">
        <v>2360</v>
      </c>
      <c r="B2261" s="1">
        <v>45819</v>
      </c>
      <c r="C2261" t="s">
        <v>2191</v>
      </c>
      <c r="D2261">
        <v>6</v>
      </c>
      <c r="E2261">
        <v>11</v>
      </c>
      <c r="F2261" t="s">
        <v>24</v>
      </c>
      <c r="G2261" t="s">
        <v>25</v>
      </c>
      <c r="H2261" t="s">
        <v>65</v>
      </c>
      <c r="I2261" t="s">
        <v>69</v>
      </c>
      <c r="J2261" t="s">
        <v>123</v>
      </c>
      <c r="K2261" t="s">
        <v>38</v>
      </c>
      <c r="L2261">
        <v>1</v>
      </c>
      <c r="M2261">
        <v>753</v>
      </c>
      <c r="N2261">
        <v>75.3</v>
      </c>
      <c r="O2261">
        <v>0</v>
      </c>
      <c r="P2261">
        <v>753</v>
      </c>
      <c r="Q2261">
        <v>677.7</v>
      </c>
      <c r="R2261" t="s">
        <v>39</v>
      </c>
      <c r="S2261" t="s">
        <v>31</v>
      </c>
      <c r="T2261" t="s">
        <v>32</v>
      </c>
      <c r="U2261">
        <v>68</v>
      </c>
      <c r="V2261">
        <v>5</v>
      </c>
      <c r="W2261">
        <f>Table2[[#This Row],[Quantity]]*Table2[[#This Row],[Item_Price]]</f>
        <v>753</v>
      </c>
    </row>
    <row r="2262" spans="1:23" x14ac:dyDescent="0.25">
      <c r="A2262" t="s">
        <v>2361</v>
      </c>
      <c r="B2262" s="1">
        <v>45819</v>
      </c>
      <c r="C2262" t="s">
        <v>2191</v>
      </c>
      <c r="D2262">
        <v>6</v>
      </c>
      <c r="E2262">
        <v>11</v>
      </c>
      <c r="F2262" t="s">
        <v>24</v>
      </c>
      <c r="G2262" t="s">
        <v>84</v>
      </c>
      <c r="H2262" t="s">
        <v>26</v>
      </c>
      <c r="I2262" t="s">
        <v>97</v>
      </c>
      <c r="J2262" t="s">
        <v>172</v>
      </c>
      <c r="K2262" t="s">
        <v>38</v>
      </c>
      <c r="L2262">
        <v>1</v>
      </c>
      <c r="M2262">
        <v>187</v>
      </c>
      <c r="N2262">
        <v>46.75</v>
      </c>
      <c r="O2262">
        <v>40</v>
      </c>
      <c r="P2262">
        <v>187</v>
      </c>
      <c r="Q2262">
        <v>180.25</v>
      </c>
      <c r="R2262" t="s">
        <v>39</v>
      </c>
      <c r="S2262" t="s">
        <v>31</v>
      </c>
      <c r="T2262" t="s">
        <v>32</v>
      </c>
      <c r="U2262">
        <v>23</v>
      </c>
      <c r="V2262">
        <v>4.5</v>
      </c>
      <c r="W2262">
        <f>Table2[[#This Row],[Quantity]]*Table2[[#This Row],[Item_Price]]</f>
        <v>187</v>
      </c>
    </row>
    <row r="2263" spans="1:23" x14ac:dyDescent="0.25">
      <c r="A2263" t="s">
        <v>2362</v>
      </c>
      <c r="B2263" s="1">
        <v>45819</v>
      </c>
      <c r="C2263" t="s">
        <v>2191</v>
      </c>
      <c r="D2263">
        <v>6</v>
      </c>
      <c r="E2263">
        <v>11</v>
      </c>
      <c r="F2263" t="s">
        <v>24</v>
      </c>
      <c r="G2263" t="s">
        <v>96</v>
      </c>
      <c r="H2263" t="s">
        <v>68</v>
      </c>
      <c r="I2263" t="s">
        <v>49</v>
      </c>
      <c r="J2263" t="s">
        <v>78</v>
      </c>
      <c r="K2263" t="s">
        <v>38</v>
      </c>
      <c r="L2263">
        <v>1</v>
      </c>
      <c r="M2263">
        <v>783</v>
      </c>
      <c r="N2263">
        <v>117.45</v>
      </c>
      <c r="O2263">
        <v>30</v>
      </c>
      <c r="P2263">
        <v>783</v>
      </c>
      <c r="Q2263">
        <v>695.55</v>
      </c>
      <c r="R2263" t="s">
        <v>39</v>
      </c>
      <c r="S2263" t="s">
        <v>31</v>
      </c>
      <c r="T2263" t="s">
        <v>40</v>
      </c>
      <c r="U2263">
        <v>40</v>
      </c>
      <c r="V2263">
        <v>4.4000000000000004</v>
      </c>
      <c r="W2263">
        <f>Table2[[#This Row],[Quantity]]*Table2[[#This Row],[Item_Price]]</f>
        <v>783</v>
      </c>
    </row>
    <row r="2264" spans="1:23" x14ac:dyDescent="0.25">
      <c r="A2264" t="s">
        <v>2363</v>
      </c>
      <c r="B2264" s="1">
        <v>45819</v>
      </c>
      <c r="C2264" t="s">
        <v>2191</v>
      </c>
      <c r="D2264">
        <v>6</v>
      </c>
      <c r="E2264">
        <v>11</v>
      </c>
      <c r="F2264" t="s">
        <v>24</v>
      </c>
      <c r="G2264" t="s">
        <v>55</v>
      </c>
      <c r="H2264" t="s">
        <v>35</v>
      </c>
      <c r="I2264" t="s">
        <v>85</v>
      </c>
      <c r="J2264" t="s">
        <v>119</v>
      </c>
      <c r="K2264" t="s">
        <v>38</v>
      </c>
      <c r="L2264">
        <v>1</v>
      </c>
      <c r="M2264">
        <v>215</v>
      </c>
      <c r="N2264">
        <v>32.25</v>
      </c>
      <c r="O2264">
        <v>40</v>
      </c>
      <c r="P2264">
        <v>215</v>
      </c>
      <c r="Q2264">
        <v>222.75</v>
      </c>
      <c r="R2264" t="s">
        <v>39</v>
      </c>
      <c r="S2264" t="s">
        <v>31</v>
      </c>
      <c r="T2264" t="s">
        <v>40</v>
      </c>
      <c r="U2264">
        <v>49</v>
      </c>
      <c r="V2264">
        <v>5</v>
      </c>
      <c r="W2264">
        <f>Table2[[#This Row],[Quantity]]*Table2[[#This Row],[Item_Price]]</f>
        <v>215</v>
      </c>
    </row>
    <row r="2265" spans="1:23" x14ac:dyDescent="0.25">
      <c r="A2265" t="s">
        <v>2364</v>
      </c>
      <c r="B2265" s="1">
        <v>45819</v>
      </c>
      <c r="C2265" t="s">
        <v>2191</v>
      </c>
      <c r="D2265">
        <v>6</v>
      </c>
      <c r="E2265">
        <v>11</v>
      </c>
      <c r="F2265" t="s">
        <v>24</v>
      </c>
      <c r="G2265" t="s">
        <v>55</v>
      </c>
      <c r="H2265" t="s">
        <v>108</v>
      </c>
      <c r="I2265" t="s">
        <v>57</v>
      </c>
      <c r="J2265" t="s">
        <v>44</v>
      </c>
      <c r="K2265" t="s">
        <v>45</v>
      </c>
      <c r="L2265">
        <v>1</v>
      </c>
      <c r="M2265">
        <v>898</v>
      </c>
      <c r="N2265">
        <v>179.6</v>
      </c>
      <c r="O2265">
        <v>50</v>
      </c>
      <c r="P2265">
        <v>898</v>
      </c>
      <c r="Q2265">
        <v>768.4</v>
      </c>
      <c r="R2265" t="s">
        <v>30</v>
      </c>
      <c r="S2265" t="s">
        <v>91</v>
      </c>
      <c r="T2265" t="s">
        <v>40</v>
      </c>
      <c r="U2265">
        <v>23</v>
      </c>
      <c r="W2265">
        <f>Table2[[#This Row],[Quantity]]*Table2[[#This Row],[Item_Price]]</f>
        <v>898</v>
      </c>
    </row>
    <row r="2266" spans="1:23" x14ac:dyDescent="0.25">
      <c r="A2266" t="s">
        <v>2365</v>
      </c>
      <c r="B2266" s="1">
        <v>45819</v>
      </c>
      <c r="C2266" t="s">
        <v>2191</v>
      </c>
      <c r="D2266">
        <v>6</v>
      </c>
      <c r="E2266">
        <v>11</v>
      </c>
      <c r="F2266" t="s">
        <v>24</v>
      </c>
      <c r="G2266" t="s">
        <v>34</v>
      </c>
      <c r="H2266" t="s">
        <v>35</v>
      </c>
      <c r="I2266" t="s">
        <v>61</v>
      </c>
      <c r="J2266" t="s">
        <v>172</v>
      </c>
      <c r="K2266" t="s">
        <v>58</v>
      </c>
      <c r="L2266">
        <v>1</v>
      </c>
      <c r="M2266">
        <v>546</v>
      </c>
      <c r="N2266">
        <v>81.900000000000006</v>
      </c>
      <c r="O2266">
        <v>20</v>
      </c>
      <c r="P2266">
        <v>546</v>
      </c>
      <c r="Q2266">
        <v>484.1</v>
      </c>
      <c r="R2266" t="s">
        <v>39</v>
      </c>
      <c r="S2266" t="s">
        <v>31</v>
      </c>
      <c r="T2266" t="s">
        <v>32</v>
      </c>
      <c r="U2266">
        <v>34</v>
      </c>
      <c r="V2266">
        <v>4.7</v>
      </c>
      <c r="W2266">
        <f>Table2[[#This Row],[Quantity]]*Table2[[#This Row],[Item_Price]]</f>
        <v>546</v>
      </c>
    </row>
    <row r="2267" spans="1:23" x14ac:dyDescent="0.25">
      <c r="A2267" t="s">
        <v>2366</v>
      </c>
      <c r="B2267" s="1">
        <v>45819</v>
      </c>
      <c r="C2267" t="s">
        <v>2191</v>
      </c>
      <c r="D2267">
        <v>6</v>
      </c>
      <c r="E2267">
        <v>11</v>
      </c>
      <c r="F2267" t="s">
        <v>24</v>
      </c>
      <c r="G2267" t="s">
        <v>55</v>
      </c>
      <c r="H2267" t="s">
        <v>26</v>
      </c>
      <c r="I2267" t="s">
        <v>61</v>
      </c>
      <c r="J2267" t="s">
        <v>119</v>
      </c>
      <c r="K2267" t="s">
        <v>38</v>
      </c>
      <c r="L2267">
        <v>3</v>
      </c>
      <c r="M2267">
        <v>294</v>
      </c>
      <c r="N2267">
        <v>44.1</v>
      </c>
      <c r="O2267">
        <v>50</v>
      </c>
      <c r="P2267">
        <v>882</v>
      </c>
      <c r="Q2267">
        <v>887.9</v>
      </c>
      <c r="R2267" t="s">
        <v>39</v>
      </c>
      <c r="S2267" t="s">
        <v>31</v>
      </c>
      <c r="T2267" t="s">
        <v>40</v>
      </c>
      <c r="U2267">
        <v>26</v>
      </c>
      <c r="V2267">
        <v>4.5999999999999996</v>
      </c>
      <c r="W2267">
        <f>Table2[[#This Row],[Quantity]]*Table2[[#This Row],[Item_Price]]</f>
        <v>882</v>
      </c>
    </row>
    <row r="2268" spans="1:23" x14ac:dyDescent="0.25">
      <c r="A2268" t="s">
        <v>2367</v>
      </c>
      <c r="B2268" s="1">
        <v>45819</v>
      </c>
      <c r="C2268" t="s">
        <v>2191</v>
      </c>
      <c r="D2268">
        <v>6</v>
      </c>
      <c r="E2268">
        <v>11</v>
      </c>
      <c r="F2268" t="s">
        <v>24</v>
      </c>
      <c r="G2268" t="s">
        <v>55</v>
      </c>
      <c r="H2268" t="s">
        <v>56</v>
      </c>
      <c r="I2268" t="s">
        <v>27</v>
      </c>
      <c r="J2268" t="s">
        <v>78</v>
      </c>
      <c r="K2268" t="s">
        <v>38</v>
      </c>
      <c r="L2268">
        <v>1</v>
      </c>
      <c r="M2268">
        <v>740</v>
      </c>
      <c r="N2268">
        <v>37</v>
      </c>
      <c r="O2268">
        <v>0</v>
      </c>
      <c r="P2268">
        <v>740</v>
      </c>
      <c r="Q2268">
        <v>703</v>
      </c>
      <c r="R2268" t="s">
        <v>30</v>
      </c>
      <c r="S2268" t="s">
        <v>31</v>
      </c>
      <c r="T2268" t="s">
        <v>40</v>
      </c>
      <c r="U2268">
        <v>22</v>
      </c>
      <c r="V2268">
        <v>4.5999999999999996</v>
      </c>
      <c r="W2268">
        <f>Table2[[#This Row],[Quantity]]*Table2[[#This Row],[Item_Price]]</f>
        <v>740</v>
      </c>
    </row>
    <row r="2269" spans="1:23" x14ac:dyDescent="0.25">
      <c r="A2269" t="s">
        <v>2368</v>
      </c>
      <c r="B2269" s="1">
        <v>45819</v>
      </c>
      <c r="C2269" t="s">
        <v>2191</v>
      </c>
      <c r="D2269">
        <v>6</v>
      </c>
      <c r="E2269">
        <v>11</v>
      </c>
      <c r="F2269" t="s">
        <v>24</v>
      </c>
      <c r="G2269" t="s">
        <v>55</v>
      </c>
      <c r="H2269" t="s">
        <v>26</v>
      </c>
      <c r="I2269" t="s">
        <v>57</v>
      </c>
      <c r="J2269" t="s">
        <v>28</v>
      </c>
      <c r="K2269" t="s">
        <v>38</v>
      </c>
      <c r="L2269">
        <v>1</v>
      </c>
      <c r="M2269">
        <v>817</v>
      </c>
      <c r="N2269">
        <v>0</v>
      </c>
      <c r="O2269">
        <v>30</v>
      </c>
      <c r="P2269">
        <v>817</v>
      </c>
      <c r="Q2269">
        <v>847</v>
      </c>
      <c r="R2269" t="s">
        <v>39</v>
      </c>
      <c r="S2269" t="s">
        <v>31</v>
      </c>
      <c r="T2269" t="s">
        <v>32</v>
      </c>
      <c r="U2269">
        <v>32</v>
      </c>
      <c r="V2269">
        <v>3.8</v>
      </c>
      <c r="W2269">
        <f>Table2[[#This Row],[Quantity]]*Table2[[#This Row],[Item_Price]]</f>
        <v>817</v>
      </c>
    </row>
    <row r="2270" spans="1:23" x14ac:dyDescent="0.25">
      <c r="A2270" t="s">
        <v>2369</v>
      </c>
      <c r="B2270" s="1">
        <v>45819</v>
      </c>
      <c r="C2270" t="s">
        <v>2191</v>
      </c>
      <c r="D2270">
        <v>6</v>
      </c>
      <c r="E2270">
        <v>11</v>
      </c>
      <c r="F2270" t="s">
        <v>24</v>
      </c>
      <c r="G2270" t="s">
        <v>34</v>
      </c>
      <c r="H2270" t="s">
        <v>26</v>
      </c>
      <c r="I2270" t="s">
        <v>97</v>
      </c>
      <c r="J2270" t="s">
        <v>82</v>
      </c>
      <c r="K2270" t="s">
        <v>58</v>
      </c>
      <c r="L2270">
        <v>3</v>
      </c>
      <c r="M2270">
        <v>696</v>
      </c>
      <c r="N2270">
        <v>139.19999999999999</v>
      </c>
      <c r="O2270">
        <v>20</v>
      </c>
      <c r="P2270">
        <v>2088</v>
      </c>
      <c r="Q2270">
        <v>1968.8</v>
      </c>
      <c r="R2270" t="s">
        <v>39</v>
      </c>
      <c r="S2270" t="s">
        <v>31</v>
      </c>
      <c r="T2270" t="s">
        <v>40</v>
      </c>
      <c r="U2270">
        <v>21</v>
      </c>
      <c r="V2270">
        <v>4.5</v>
      </c>
      <c r="W2270">
        <f>Table2[[#This Row],[Quantity]]*Table2[[#This Row],[Item_Price]]</f>
        <v>2088</v>
      </c>
    </row>
    <row r="2271" spans="1:23" x14ac:dyDescent="0.25">
      <c r="A2271" t="s">
        <v>2370</v>
      </c>
      <c r="B2271" s="1">
        <v>45819</v>
      </c>
      <c r="C2271" t="s">
        <v>2191</v>
      </c>
      <c r="D2271">
        <v>6</v>
      </c>
      <c r="E2271">
        <v>11</v>
      </c>
      <c r="F2271" t="s">
        <v>24</v>
      </c>
      <c r="G2271" t="s">
        <v>73</v>
      </c>
      <c r="H2271" t="s">
        <v>60</v>
      </c>
      <c r="I2271" t="s">
        <v>57</v>
      </c>
      <c r="J2271" t="s">
        <v>119</v>
      </c>
      <c r="K2271" t="s">
        <v>38</v>
      </c>
      <c r="L2271">
        <v>1</v>
      </c>
      <c r="M2271">
        <v>580</v>
      </c>
      <c r="N2271">
        <v>116</v>
      </c>
      <c r="O2271">
        <v>20</v>
      </c>
      <c r="P2271">
        <v>580</v>
      </c>
      <c r="Q2271">
        <v>484</v>
      </c>
      <c r="R2271" t="s">
        <v>30</v>
      </c>
      <c r="S2271" t="s">
        <v>31</v>
      </c>
      <c r="T2271" t="s">
        <v>32</v>
      </c>
      <c r="U2271">
        <v>46</v>
      </c>
      <c r="V2271">
        <v>3.3</v>
      </c>
      <c r="W2271">
        <f>Table2[[#This Row],[Quantity]]*Table2[[#This Row],[Item_Price]]</f>
        <v>580</v>
      </c>
    </row>
    <row r="2272" spans="1:23" x14ac:dyDescent="0.25">
      <c r="A2272" t="s">
        <v>2371</v>
      </c>
      <c r="B2272" s="1">
        <v>45819</v>
      </c>
      <c r="C2272" t="s">
        <v>2191</v>
      </c>
      <c r="D2272">
        <v>6</v>
      </c>
      <c r="E2272">
        <v>11</v>
      </c>
      <c r="F2272" t="s">
        <v>24</v>
      </c>
      <c r="G2272" t="s">
        <v>55</v>
      </c>
      <c r="H2272" t="s">
        <v>77</v>
      </c>
      <c r="I2272" t="s">
        <v>103</v>
      </c>
      <c r="J2272" t="s">
        <v>94</v>
      </c>
      <c r="K2272" t="s">
        <v>58</v>
      </c>
      <c r="L2272">
        <v>1</v>
      </c>
      <c r="M2272">
        <v>775</v>
      </c>
      <c r="N2272">
        <v>77.5</v>
      </c>
      <c r="O2272">
        <v>50</v>
      </c>
      <c r="P2272">
        <v>775</v>
      </c>
      <c r="Q2272">
        <v>747.5</v>
      </c>
      <c r="R2272" t="s">
        <v>75</v>
      </c>
      <c r="S2272" t="s">
        <v>31</v>
      </c>
      <c r="T2272" t="s">
        <v>32</v>
      </c>
      <c r="U2272">
        <v>34</v>
      </c>
      <c r="V2272">
        <v>3.6</v>
      </c>
      <c r="W2272">
        <f>Table2[[#This Row],[Quantity]]*Table2[[#This Row],[Item_Price]]</f>
        <v>775</v>
      </c>
    </row>
    <row r="2273" spans="1:23" x14ac:dyDescent="0.25">
      <c r="A2273" t="s">
        <v>2372</v>
      </c>
      <c r="B2273" s="1">
        <v>45820</v>
      </c>
      <c r="C2273" t="s">
        <v>2191</v>
      </c>
      <c r="D2273">
        <v>6</v>
      </c>
      <c r="E2273">
        <v>12</v>
      </c>
      <c r="F2273" t="s">
        <v>88</v>
      </c>
      <c r="G2273" t="s">
        <v>80</v>
      </c>
      <c r="H2273" t="s">
        <v>42</v>
      </c>
      <c r="I2273" t="s">
        <v>85</v>
      </c>
      <c r="J2273" t="s">
        <v>70</v>
      </c>
      <c r="K2273" t="s">
        <v>38</v>
      </c>
      <c r="L2273">
        <v>1</v>
      </c>
      <c r="M2273">
        <v>609</v>
      </c>
      <c r="N2273">
        <v>30.45</v>
      </c>
      <c r="O2273">
        <v>40</v>
      </c>
      <c r="P2273">
        <v>609</v>
      </c>
      <c r="Q2273">
        <v>618.54999999999995</v>
      </c>
      <c r="R2273" t="s">
        <v>39</v>
      </c>
      <c r="S2273" t="s">
        <v>31</v>
      </c>
      <c r="T2273" t="s">
        <v>40</v>
      </c>
      <c r="U2273">
        <v>64</v>
      </c>
      <c r="V2273">
        <v>3.5</v>
      </c>
      <c r="W2273">
        <f>Table2[[#This Row],[Quantity]]*Table2[[#This Row],[Item_Price]]</f>
        <v>609</v>
      </c>
    </row>
    <row r="2274" spans="1:23" x14ac:dyDescent="0.25">
      <c r="A2274" t="s">
        <v>2373</v>
      </c>
      <c r="B2274" s="1">
        <v>45820</v>
      </c>
      <c r="C2274" t="s">
        <v>2191</v>
      </c>
      <c r="D2274">
        <v>6</v>
      </c>
      <c r="E2274">
        <v>12</v>
      </c>
      <c r="F2274" t="s">
        <v>88</v>
      </c>
      <c r="G2274" t="s">
        <v>25</v>
      </c>
      <c r="H2274" t="s">
        <v>56</v>
      </c>
      <c r="I2274" t="s">
        <v>27</v>
      </c>
      <c r="J2274" t="s">
        <v>94</v>
      </c>
      <c r="K2274" t="s">
        <v>38</v>
      </c>
      <c r="L2274">
        <v>2</v>
      </c>
      <c r="M2274">
        <v>872</v>
      </c>
      <c r="N2274">
        <v>43.6</v>
      </c>
      <c r="O2274">
        <v>0</v>
      </c>
      <c r="P2274">
        <v>1744</v>
      </c>
      <c r="Q2274">
        <v>1700.4</v>
      </c>
      <c r="R2274" t="s">
        <v>39</v>
      </c>
      <c r="S2274" t="s">
        <v>31</v>
      </c>
      <c r="T2274" t="s">
        <v>32</v>
      </c>
      <c r="U2274">
        <v>29</v>
      </c>
      <c r="V2274">
        <v>5</v>
      </c>
      <c r="W2274">
        <f>Table2[[#This Row],[Quantity]]*Table2[[#This Row],[Item_Price]]</f>
        <v>1744</v>
      </c>
    </row>
    <row r="2275" spans="1:23" x14ac:dyDescent="0.25">
      <c r="A2275" t="s">
        <v>2374</v>
      </c>
      <c r="B2275" s="1">
        <v>45820</v>
      </c>
      <c r="C2275" t="s">
        <v>2191</v>
      </c>
      <c r="D2275">
        <v>6</v>
      </c>
      <c r="E2275">
        <v>12</v>
      </c>
      <c r="F2275" t="s">
        <v>88</v>
      </c>
      <c r="G2275" t="s">
        <v>25</v>
      </c>
      <c r="H2275" t="s">
        <v>68</v>
      </c>
      <c r="I2275" t="s">
        <v>85</v>
      </c>
      <c r="J2275" t="s">
        <v>94</v>
      </c>
      <c r="K2275" t="s">
        <v>38</v>
      </c>
      <c r="L2275">
        <v>1</v>
      </c>
      <c r="M2275">
        <v>814</v>
      </c>
      <c r="N2275">
        <v>162.80000000000001</v>
      </c>
      <c r="O2275">
        <v>40</v>
      </c>
      <c r="P2275">
        <v>814</v>
      </c>
      <c r="Q2275">
        <v>691.2</v>
      </c>
      <c r="R2275" t="s">
        <v>39</v>
      </c>
      <c r="S2275" t="s">
        <v>110</v>
      </c>
      <c r="T2275" t="s">
        <v>32</v>
      </c>
      <c r="U2275">
        <v>41</v>
      </c>
      <c r="W2275">
        <f>Table2[[#This Row],[Quantity]]*Table2[[#This Row],[Item_Price]]</f>
        <v>814</v>
      </c>
    </row>
    <row r="2276" spans="1:23" x14ac:dyDescent="0.25">
      <c r="A2276" t="s">
        <v>2375</v>
      </c>
      <c r="B2276" s="1">
        <v>45820</v>
      </c>
      <c r="C2276" t="s">
        <v>2191</v>
      </c>
      <c r="D2276">
        <v>6</v>
      </c>
      <c r="E2276">
        <v>12</v>
      </c>
      <c r="F2276" t="s">
        <v>88</v>
      </c>
      <c r="G2276" t="s">
        <v>90</v>
      </c>
      <c r="H2276" t="s">
        <v>56</v>
      </c>
      <c r="I2276" t="s">
        <v>36</v>
      </c>
      <c r="J2276" t="s">
        <v>53</v>
      </c>
      <c r="K2276" t="s">
        <v>45</v>
      </c>
      <c r="L2276">
        <v>2</v>
      </c>
      <c r="M2276">
        <v>518</v>
      </c>
      <c r="N2276">
        <v>51.8</v>
      </c>
      <c r="O2276">
        <v>30</v>
      </c>
      <c r="P2276">
        <v>1036</v>
      </c>
      <c r="Q2276">
        <v>1014.2</v>
      </c>
      <c r="R2276" t="s">
        <v>39</v>
      </c>
      <c r="S2276" t="s">
        <v>46</v>
      </c>
      <c r="T2276" t="s">
        <v>40</v>
      </c>
      <c r="U2276">
        <v>25</v>
      </c>
      <c r="W2276">
        <f>Table2[[#This Row],[Quantity]]*Table2[[#This Row],[Item_Price]]</f>
        <v>1036</v>
      </c>
    </row>
    <row r="2277" spans="1:23" x14ac:dyDescent="0.25">
      <c r="A2277" t="s">
        <v>2376</v>
      </c>
      <c r="B2277" s="1">
        <v>45820</v>
      </c>
      <c r="C2277" t="s">
        <v>2191</v>
      </c>
      <c r="D2277">
        <v>6</v>
      </c>
      <c r="E2277">
        <v>12</v>
      </c>
      <c r="F2277" t="s">
        <v>88</v>
      </c>
      <c r="G2277" t="s">
        <v>55</v>
      </c>
      <c r="H2277" t="s">
        <v>68</v>
      </c>
      <c r="I2277" t="s">
        <v>36</v>
      </c>
      <c r="J2277" t="s">
        <v>94</v>
      </c>
      <c r="K2277" t="s">
        <v>38</v>
      </c>
      <c r="L2277">
        <v>2</v>
      </c>
      <c r="M2277">
        <v>391</v>
      </c>
      <c r="N2277">
        <v>58.65</v>
      </c>
      <c r="O2277">
        <v>60</v>
      </c>
      <c r="P2277">
        <v>782</v>
      </c>
      <c r="Q2277">
        <v>783.35</v>
      </c>
      <c r="R2277" t="s">
        <v>98</v>
      </c>
      <c r="S2277" t="s">
        <v>31</v>
      </c>
      <c r="T2277" t="s">
        <v>40</v>
      </c>
      <c r="U2277">
        <v>23</v>
      </c>
      <c r="V2277">
        <v>3.1</v>
      </c>
      <c r="W2277">
        <f>Table2[[#This Row],[Quantity]]*Table2[[#This Row],[Item_Price]]</f>
        <v>782</v>
      </c>
    </row>
    <row r="2278" spans="1:23" x14ac:dyDescent="0.25">
      <c r="A2278" t="s">
        <v>2377</v>
      </c>
      <c r="B2278" s="1">
        <v>45820</v>
      </c>
      <c r="C2278" t="s">
        <v>2191</v>
      </c>
      <c r="D2278">
        <v>6</v>
      </c>
      <c r="E2278">
        <v>12</v>
      </c>
      <c r="F2278" t="s">
        <v>88</v>
      </c>
      <c r="G2278" t="s">
        <v>55</v>
      </c>
      <c r="H2278" t="s">
        <v>68</v>
      </c>
      <c r="I2278" t="s">
        <v>85</v>
      </c>
      <c r="J2278" t="s">
        <v>82</v>
      </c>
      <c r="K2278" t="s">
        <v>38</v>
      </c>
      <c r="L2278">
        <v>2</v>
      </c>
      <c r="M2278">
        <v>363</v>
      </c>
      <c r="N2278">
        <v>36.299999999999997</v>
      </c>
      <c r="O2278">
        <v>50</v>
      </c>
      <c r="P2278">
        <v>726</v>
      </c>
      <c r="Q2278">
        <v>739.7</v>
      </c>
      <c r="R2278" t="s">
        <v>39</v>
      </c>
      <c r="S2278" t="s">
        <v>31</v>
      </c>
      <c r="T2278" t="s">
        <v>32</v>
      </c>
      <c r="U2278">
        <v>18</v>
      </c>
      <c r="V2278">
        <v>3.8</v>
      </c>
      <c r="W2278">
        <f>Table2[[#This Row],[Quantity]]*Table2[[#This Row],[Item_Price]]</f>
        <v>726</v>
      </c>
    </row>
    <row r="2279" spans="1:23" x14ac:dyDescent="0.25">
      <c r="A2279" t="s">
        <v>2378</v>
      </c>
      <c r="B2279" s="1">
        <v>45820</v>
      </c>
      <c r="C2279" t="s">
        <v>2191</v>
      </c>
      <c r="D2279">
        <v>6</v>
      </c>
      <c r="E2279">
        <v>12</v>
      </c>
      <c r="F2279" t="s">
        <v>88</v>
      </c>
      <c r="G2279" t="s">
        <v>34</v>
      </c>
      <c r="H2279" t="s">
        <v>81</v>
      </c>
      <c r="I2279" t="s">
        <v>36</v>
      </c>
      <c r="J2279" t="s">
        <v>28</v>
      </c>
      <c r="K2279" t="s">
        <v>29</v>
      </c>
      <c r="L2279">
        <v>2</v>
      </c>
      <c r="M2279">
        <v>241</v>
      </c>
      <c r="N2279">
        <v>36.15</v>
      </c>
      <c r="O2279">
        <v>60</v>
      </c>
      <c r="P2279">
        <v>482</v>
      </c>
      <c r="Q2279">
        <v>505.85</v>
      </c>
      <c r="R2279" t="s">
        <v>75</v>
      </c>
      <c r="S2279" t="s">
        <v>31</v>
      </c>
      <c r="T2279" t="s">
        <v>32</v>
      </c>
      <c r="U2279">
        <v>48</v>
      </c>
      <c r="V2279">
        <v>3.7</v>
      </c>
      <c r="W2279">
        <f>Table2[[#This Row],[Quantity]]*Table2[[#This Row],[Item_Price]]</f>
        <v>482</v>
      </c>
    </row>
    <row r="2280" spans="1:23" x14ac:dyDescent="0.25">
      <c r="A2280" t="s">
        <v>2379</v>
      </c>
      <c r="B2280" s="1">
        <v>45820</v>
      </c>
      <c r="C2280" t="s">
        <v>2191</v>
      </c>
      <c r="D2280">
        <v>6</v>
      </c>
      <c r="E2280">
        <v>12</v>
      </c>
      <c r="F2280" t="s">
        <v>88</v>
      </c>
      <c r="G2280" t="s">
        <v>80</v>
      </c>
      <c r="H2280" t="s">
        <v>35</v>
      </c>
      <c r="I2280" t="s">
        <v>97</v>
      </c>
      <c r="J2280" t="s">
        <v>37</v>
      </c>
      <c r="K2280" t="s">
        <v>38</v>
      </c>
      <c r="L2280">
        <v>1</v>
      </c>
      <c r="M2280">
        <v>715</v>
      </c>
      <c r="N2280">
        <v>35.75</v>
      </c>
      <c r="O2280">
        <v>0</v>
      </c>
      <c r="P2280">
        <v>715</v>
      </c>
      <c r="Q2280">
        <v>679.25</v>
      </c>
      <c r="R2280" t="s">
        <v>39</v>
      </c>
      <c r="S2280" t="s">
        <v>31</v>
      </c>
      <c r="T2280" t="s">
        <v>40</v>
      </c>
      <c r="U2280">
        <v>50</v>
      </c>
      <c r="V2280">
        <v>4.3</v>
      </c>
      <c r="W2280">
        <f>Table2[[#This Row],[Quantity]]*Table2[[#This Row],[Item_Price]]</f>
        <v>715</v>
      </c>
    </row>
    <row r="2281" spans="1:23" x14ac:dyDescent="0.25">
      <c r="A2281" t="s">
        <v>2380</v>
      </c>
      <c r="B2281" s="1">
        <v>45820</v>
      </c>
      <c r="C2281" t="s">
        <v>2191</v>
      </c>
      <c r="D2281">
        <v>6</v>
      </c>
      <c r="E2281">
        <v>12</v>
      </c>
      <c r="F2281" t="s">
        <v>88</v>
      </c>
      <c r="G2281" t="s">
        <v>90</v>
      </c>
      <c r="H2281" t="s">
        <v>68</v>
      </c>
      <c r="I2281" t="s">
        <v>69</v>
      </c>
      <c r="J2281" t="s">
        <v>123</v>
      </c>
      <c r="K2281" t="s">
        <v>38</v>
      </c>
      <c r="L2281">
        <v>3</v>
      </c>
      <c r="M2281">
        <v>489</v>
      </c>
      <c r="N2281">
        <v>122.25</v>
      </c>
      <c r="O2281">
        <v>40</v>
      </c>
      <c r="P2281">
        <v>1467</v>
      </c>
      <c r="Q2281">
        <v>1384.75</v>
      </c>
      <c r="R2281" t="s">
        <v>112</v>
      </c>
      <c r="S2281" t="s">
        <v>31</v>
      </c>
      <c r="T2281" t="s">
        <v>40</v>
      </c>
      <c r="U2281">
        <v>56</v>
      </c>
      <c r="V2281">
        <v>3.3</v>
      </c>
      <c r="W2281">
        <f>Table2[[#This Row],[Quantity]]*Table2[[#This Row],[Item_Price]]</f>
        <v>1467</v>
      </c>
    </row>
    <row r="2282" spans="1:23" x14ac:dyDescent="0.25">
      <c r="A2282" t="s">
        <v>2381</v>
      </c>
      <c r="B2282" s="1">
        <v>45820</v>
      </c>
      <c r="C2282" t="s">
        <v>2191</v>
      </c>
      <c r="D2282">
        <v>6</v>
      </c>
      <c r="E2282">
        <v>12</v>
      </c>
      <c r="F2282" t="s">
        <v>88</v>
      </c>
      <c r="G2282" t="s">
        <v>80</v>
      </c>
      <c r="H2282" t="s">
        <v>68</v>
      </c>
      <c r="I2282" t="s">
        <v>43</v>
      </c>
      <c r="J2282" t="s">
        <v>74</v>
      </c>
      <c r="K2282" t="s">
        <v>29</v>
      </c>
      <c r="L2282">
        <v>1</v>
      </c>
      <c r="M2282">
        <v>354</v>
      </c>
      <c r="N2282">
        <v>53.1</v>
      </c>
      <c r="O2282">
        <v>60</v>
      </c>
      <c r="P2282">
        <v>354</v>
      </c>
      <c r="Q2282">
        <v>360.9</v>
      </c>
      <c r="R2282" t="s">
        <v>112</v>
      </c>
      <c r="S2282" t="s">
        <v>31</v>
      </c>
      <c r="T2282" t="s">
        <v>32</v>
      </c>
      <c r="U2282">
        <v>30</v>
      </c>
      <c r="V2282">
        <v>4.9000000000000004</v>
      </c>
      <c r="W2282">
        <f>Table2[[#This Row],[Quantity]]*Table2[[#This Row],[Item_Price]]</f>
        <v>354</v>
      </c>
    </row>
    <row r="2283" spans="1:23" x14ac:dyDescent="0.25">
      <c r="A2283" t="s">
        <v>2382</v>
      </c>
      <c r="B2283" s="1">
        <v>45820</v>
      </c>
      <c r="C2283" t="s">
        <v>2191</v>
      </c>
      <c r="D2283">
        <v>6</v>
      </c>
      <c r="E2283">
        <v>12</v>
      </c>
      <c r="F2283" t="s">
        <v>88</v>
      </c>
      <c r="G2283" t="s">
        <v>84</v>
      </c>
      <c r="H2283" t="s">
        <v>60</v>
      </c>
      <c r="I2283" t="s">
        <v>103</v>
      </c>
      <c r="J2283" t="s">
        <v>37</v>
      </c>
      <c r="K2283" t="s">
        <v>38</v>
      </c>
      <c r="L2283">
        <v>2</v>
      </c>
      <c r="M2283">
        <v>461</v>
      </c>
      <c r="N2283">
        <v>46.1</v>
      </c>
      <c r="O2283">
        <v>50</v>
      </c>
      <c r="P2283">
        <v>922</v>
      </c>
      <c r="Q2283">
        <v>925.9</v>
      </c>
      <c r="R2283" t="s">
        <v>98</v>
      </c>
      <c r="S2283" t="s">
        <v>31</v>
      </c>
      <c r="T2283" t="s">
        <v>40</v>
      </c>
      <c r="U2283">
        <v>63</v>
      </c>
      <c r="V2283">
        <v>4.7</v>
      </c>
      <c r="W2283">
        <f>Table2[[#This Row],[Quantity]]*Table2[[#This Row],[Item_Price]]</f>
        <v>922</v>
      </c>
    </row>
    <row r="2284" spans="1:23" x14ac:dyDescent="0.25">
      <c r="A2284" t="s">
        <v>2383</v>
      </c>
      <c r="B2284" s="1">
        <v>45820</v>
      </c>
      <c r="C2284" t="s">
        <v>2191</v>
      </c>
      <c r="D2284">
        <v>6</v>
      </c>
      <c r="E2284">
        <v>12</v>
      </c>
      <c r="F2284" t="s">
        <v>88</v>
      </c>
      <c r="G2284" t="s">
        <v>64</v>
      </c>
      <c r="H2284" t="s">
        <v>139</v>
      </c>
      <c r="I2284" t="s">
        <v>36</v>
      </c>
      <c r="J2284" t="s">
        <v>172</v>
      </c>
      <c r="K2284" t="s">
        <v>45</v>
      </c>
      <c r="L2284">
        <v>3</v>
      </c>
      <c r="M2284">
        <v>288</v>
      </c>
      <c r="N2284">
        <v>14.4</v>
      </c>
      <c r="O2284">
        <v>30</v>
      </c>
      <c r="P2284">
        <v>864</v>
      </c>
      <c r="Q2284">
        <v>879.6</v>
      </c>
      <c r="R2284" t="s">
        <v>39</v>
      </c>
      <c r="S2284" t="s">
        <v>31</v>
      </c>
      <c r="T2284" t="s">
        <v>32</v>
      </c>
      <c r="U2284">
        <v>34</v>
      </c>
      <c r="V2284">
        <v>4.7</v>
      </c>
      <c r="W2284">
        <f>Table2[[#This Row],[Quantity]]*Table2[[#This Row],[Item_Price]]</f>
        <v>864</v>
      </c>
    </row>
    <row r="2285" spans="1:23" x14ac:dyDescent="0.25">
      <c r="A2285" t="s">
        <v>2384</v>
      </c>
      <c r="B2285" s="1">
        <v>45820</v>
      </c>
      <c r="C2285" t="s">
        <v>2191</v>
      </c>
      <c r="D2285">
        <v>6</v>
      </c>
      <c r="E2285">
        <v>12</v>
      </c>
      <c r="F2285" t="s">
        <v>88</v>
      </c>
      <c r="G2285" t="s">
        <v>64</v>
      </c>
      <c r="H2285" t="s">
        <v>42</v>
      </c>
      <c r="I2285" t="s">
        <v>57</v>
      </c>
      <c r="J2285" t="s">
        <v>44</v>
      </c>
      <c r="K2285" t="s">
        <v>58</v>
      </c>
      <c r="L2285">
        <v>1</v>
      </c>
      <c r="M2285">
        <v>124</v>
      </c>
      <c r="N2285">
        <v>31</v>
      </c>
      <c r="O2285">
        <v>20</v>
      </c>
      <c r="P2285">
        <v>124</v>
      </c>
      <c r="Q2285">
        <v>113</v>
      </c>
      <c r="R2285" t="s">
        <v>75</v>
      </c>
      <c r="S2285" t="s">
        <v>91</v>
      </c>
      <c r="T2285" t="s">
        <v>40</v>
      </c>
      <c r="U2285">
        <v>60</v>
      </c>
      <c r="W2285">
        <f>Table2[[#This Row],[Quantity]]*Table2[[#This Row],[Item_Price]]</f>
        <v>124</v>
      </c>
    </row>
    <row r="2286" spans="1:23" x14ac:dyDescent="0.25">
      <c r="A2286" t="s">
        <v>2385</v>
      </c>
      <c r="B2286" s="1">
        <v>45820</v>
      </c>
      <c r="C2286" t="s">
        <v>2191</v>
      </c>
      <c r="D2286">
        <v>6</v>
      </c>
      <c r="E2286">
        <v>12</v>
      </c>
      <c r="F2286" t="s">
        <v>88</v>
      </c>
      <c r="G2286" t="s">
        <v>25</v>
      </c>
      <c r="H2286" t="s">
        <v>108</v>
      </c>
      <c r="I2286" t="s">
        <v>85</v>
      </c>
      <c r="J2286" t="s">
        <v>82</v>
      </c>
      <c r="K2286" t="s">
        <v>45</v>
      </c>
      <c r="L2286">
        <v>3</v>
      </c>
      <c r="M2286">
        <v>624</v>
      </c>
      <c r="N2286">
        <v>124.8</v>
      </c>
      <c r="O2286">
        <v>50</v>
      </c>
      <c r="P2286">
        <v>1872</v>
      </c>
      <c r="Q2286">
        <v>1797.2</v>
      </c>
      <c r="R2286" t="s">
        <v>75</v>
      </c>
      <c r="S2286" t="s">
        <v>31</v>
      </c>
      <c r="T2286" t="s">
        <v>40</v>
      </c>
      <c r="U2286">
        <v>37</v>
      </c>
      <c r="V2286">
        <v>3.4</v>
      </c>
      <c r="W2286">
        <f>Table2[[#This Row],[Quantity]]*Table2[[#This Row],[Item_Price]]</f>
        <v>1872</v>
      </c>
    </row>
    <row r="2287" spans="1:23" x14ac:dyDescent="0.25">
      <c r="A2287" t="s">
        <v>2386</v>
      </c>
      <c r="B2287" s="1">
        <v>45820</v>
      </c>
      <c r="C2287" t="s">
        <v>2191</v>
      </c>
      <c r="D2287">
        <v>6</v>
      </c>
      <c r="E2287">
        <v>12</v>
      </c>
      <c r="F2287" t="s">
        <v>88</v>
      </c>
      <c r="G2287" t="s">
        <v>55</v>
      </c>
      <c r="H2287" t="s">
        <v>81</v>
      </c>
      <c r="I2287" t="s">
        <v>43</v>
      </c>
      <c r="J2287" t="s">
        <v>53</v>
      </c>
      <c r="K2287" t="s">
        <v>45</v>
      </c>
      <c r="L2287">
        <v>2</v>
      </c>
      <c r="M2287">
        <v>526</v>
      </c>
      <c r="N2287">
        <v>105.2</v>
      </c>
      <c r="O2287">
        <v>20</v>
      </c>
      <c r="P2287">
        <v>1052</v>
      </c>
      <c r="Q2287">
        <v>966.8</v>
      </c>
      <c r="R2287" t="s">
        <v>112</v>
      </c>
      <c r="S2287" t="s">
        <v>31</v>
      </c>
      <c r="T2287" t="s">
        <v>40</v>
      </c>
      <c r="U2287">
        <v>27</v>
      </c>
      <c r="V2287">
        <v>3.4</v>
      </c>
      <c r="W2287">
        <f>Table2[[#This Row],[Quantity]]*Table2[[#This Row],[Item_Price]]</f>
        <v>1052</v>
      </c>
    </row>
    <row r="2288" spans="1:23" x14ac:dyDescent="0.25">
      <c r="A2288" t="s">
        <v>2387</v>
      </c>
      <c r="B2288" s="1">
        <v>45820</v>
      </c>
      <c r="C2288" t="s">
        <v>2191</v>
      </c>
      <c r="D2288">
        <v>6</v>
      </c>
      <c r="E2288">
        <v>12</v>
      </c>
      <c r="F2288" t="s">
        <v>88</v>
      </c>
      <c r="G2288" t="s">
        <v>64</v>
      </c>
      <c r="H2288" t="s">
        <v>60</v>
      </c>
      <c r="I2288" t="s">
        <v>97</v>
      </c>
      <c r="J2288" t="s">
        <v>78</v>
      </c>
      <c r="K2288" t="s">
        <v>38</v>
      </c>
      <c r="L2288">
        <v>1</v>
      </c>
      <c r="M2288">
        <v>359</v>
      </c>
      <c r="N2288">
        <v>35.9</v>
      </c>
      <c r="O2288">
        <v>0</v>
      </c>
      <c r="P2288">
        <v>359</v>
      </c>
      <c r="Q2288">
        <v>323.10000000000002</v>
      </c>
      <c r="R2288" t="s">
        <v>112</v>
      </c>
      <c r="S2288" t="s">
        <v>31</v>
      </c>
      <c r="T2288" t="s">
        <v>40</v>
      </c>
      <c r="U2288">
        <v>37</v>
      </c>
      <c r="V2288">
        <v>2.6</v>
      </c>
      <c r="W2288">
        <f>Table2[[#This Row],[Quantity]]*Table2[[#This Row],[Item_Price]]</f>
        <v>359</v>
      </c>
    </row>
    <row r="2289" spans="1:23" x14ac:dyDescent="0.25">
      <c r="A2289" t="s">
        <v>2388</v>
      </c>
      <c r="B2289" s="1">
        <v>45821</v>
      </c>
      <c r="C2289" t="s">
        <v>2191</v>
      </c>
      <c r="D2289">
        <v>6</v>
      </c>
      <c r="E2289">
        <v>13</v>
      </c>
      <c r="F2289" t="s">
        <v>114</v>
      </c>
      <c r="G2289" t="s">
        <v>34</v>
      </c>
      <c r="H2289" t="s">
        <v>81</v>
      </c>
      <c r="I2289" t="s">
        <v>49</v>
      </c>
      <c r="J2289" t="s">
        <v>70</v>
      </c>
      <c r="K2289" t="s">
        <v>38</v>
      </c>
      <c r="L2289">
        <v>1</v>
      </c>
      <c r="M2289">
        <v>293</v>
      </c>
      <c r="N2289">
        <v>73.25</v>
      </c>
      <c r="O2289">
        <v>0</v>
      </c>
      <c r="P2289">
        <v>293</v>
      </c>
      <c r="Q2289">
        <v>219.75</v>
      </c>
      <c r="R2289" t="s">
        <v>75</v>
      </c>
      <c r="S2289" t="s">
        <v>31</v>
      </c>
      <c r="T2289" t="s">
        <v>40</v>
      </c>
      <c r="U2289">
        <v>52</v>
      </c>
      <c r="V2289">
        <v>3.4</v>
      </c>
      <c r="W2289">
        <f>Table2[[#This Row],[Quantity]]*Table2[[#This Row],[Item_Price]]</f>
        <v>293</v>
      </c>
    </row>
    <row r="2290" spans="1:23" x14ac:dyDescent="0.25">
      <c r="A2290" t="s">
        <v>2389</v>
      </c>
      <c r="B2290" s="1">
        <v>45821</v>
      </c>
      <c r="C2290" t="s">
        <v>2191</v>
      </c>
      <c r="D2290">
        <v>6</v>
      </c>
      <c r="E2290">
        <v>13</v>
      </c>
      <c r="F2290" t="s">
        <v>114</v>
      </c>
      <c r="G2290" t="s">
        <v>64</v>
      </c>
      <c r="H2290" t="s">
        <v>35</v>
      </c>
      <c r="I2290" t="s">
        <v>103</v>
      </c>
      <c r="J2290" t="s">
        <v>74</v>
      </c>
      <c r="K2290" t="s">
        <v>38</v>
      </c>
      <c r="L2290">
        <v>1</v>
      </c>
      <c r="M2290">
        <v>824</v>
      </c>
      <c r="N2290">
        <v>164.8</v>
      </c>
      <c r="O2290">
        <v>40</v>
      </c>
      <c r="P2290">
        <v>824</v>
      </c>
      <c r="Q2290">
        <v>699.2</v>
      </c>
      <c r="R2290" t="s">
        <v>39</v>
      </c>
      <c r="S2290" t="s">
        <v>31</v>
      </c>
      <c r="T2290" t="s">
        <v>40</v>
      </c>
      <c r="U2290">
        <v>64</v>
      </c>
      <c r="V2290">
        <v>3.5</v>
      </c>
      <c r="W2290">
        <f>Table2[[#This Row],[Quantity]]*Table2[[#This Row],[Item_Price]]</f>
        <v>824</v>
      </c>
    </row>
    <row r="2291" spans="1:23" x14ac:dyDescent="0.25">
      <c r="A2291" t="s">
        <v>2390</v>
      </c>
      <c r="B2291" s="1">
        <v>45821</v>
      </c>
      <c r="C2291" t="s">
        <v>2191</v>
      </c>
      <c r="D2291">
        <v>6</v>
      </c>
      <c r="E2291">
        <v>13</v>
      </c>
      <c r="F2291" t="s">
        <v>114</v>
      </c>
      <c r="G2291" t="s">
        <v>34</v>
      </c>
      <c r="H2291" t="s">
        <v>139</v>
      </c>
      <c r="I2291" t="s">
        <v>85</v>
      </c>
      <c r="J2291" t="s">
        <v>62</v>
      </c>
      <c r="K2291" t="s">
        <v>38</v>
      </c>
      <c r="L2291">
        <v>1</v>
      </c>
      <c r="M2291">
        <v>897</v>
      </c>
      <c r="N2291">
        <v>134.55000000000001</v>
      </c>
      <c r="O2291">
        <v>20</v>
      </c>
      <c r="P2291">
        <v>897</v>
      </c>
      <c r="Q2291">
        <v>782.45</v>
      </c>
      <c r="R2291" t="s">
        <v>98</v>
      </c>
      <c r="S2291" t="s">
        <v>110</v>
      </c>
      <c r="T2291" t="s">
        <v>32</v>
      </c>
      <c r="U2291">
        <v>53</v>
      </c>
      <c r="W2291">
        <f>Table2[[#This Row],[Quantity]]*Table2[[#This Row],[Item_Price]]</f>
        <v>897</v>
      </c>
    </row>
    <row r="2292" spans="1:23" x14ac:dyDescent="0.25">
      <c r="A2292" t="s">
        <v>2391</v>
      </c>
      <c r="B2292" s="1">
        <v>45821</v>
      </c>
      <c r="C2292" t="s">
        <v>2191</v>
      </c>
      <c r="D2292">
        <v>6</v>
      </c>
      <c r="E2292">
        <v>13</v>
      </c>
      <c r="F2292" t="s">
        <v>114</v>
      </c>
      <c r="G2292" t="s">
        <v>64</v>
      </c>
      <c r="H2292" t="s">
        <v>60</v>
      </c>
      <c r="I2292" t="s">
        <v>61</v>
      </c>
      <c r="J2292" t="s">
        <v>78</v>
      </c>
      <c r="K2292" t="s">
        <v>38</v>
      </c>
      <c r="L2292">
        <v>1</v>
      </c>
      <c r="M2292">
        <v>326</v>
      </c>
      <c r="N2292">
        <v>0</v>
      </c>
      <c r="O2292">
        <v>40</v>
      </c>
      <c r="P2292">
        <v>326</v>
      </c>
      <c r="Q2292">
        <v>366</v>
      </c>
      <c r="R2292" t="s">
        <v>98</v>
      </c>
      <c r="S2292" t="s">
        <v>31</v>
      </c>
      <c r="T2292" t="s">
        <v>40</v>
      </c>
      <c r="U2292">
        <v>49</v>
      </c>
      <c r="V2292">
        <v>3.9</v>
      </c>
      <c r="W2292">
        <f>Table2[[#This Row],[Quantity]]*Table2[[#This Row],[Item_Price]]</f>
        <v>326</v>
      </c>
    </row>
    <row r="2293" spans="1:23" x14ac:dyDescent="0.25">
      <c r="A2293" t="s">
        <v>2392</v>
      </c>
      <c r="B2293" s="1">
        <v>45821</v>
      </c>
      <c r="C2293" t="s">
        <v>2191</v>
      </c>
      <c r="D2293">
        <v>6</v>
      </c>
      <c r="E2293">
        <v>13</v>
      </c>
      <c r="F2293" t="s">
        <v>114</v>
      </c>
      <c r="G2293" t="s">
        <v>34</v>
      </c>
      <c r="H2293" t="s">
        <v>60</v>
      </c>
      <c r="I2293" t="s">
        <v>49</v>
      </c>
      <c r="J2293" t="s">
        <v>74</v>
      </c>
      <c r="K2293" t="s">
        <v>38</v>
      </c>
      <c r="L2293">
        <v>3</v>
      </c>
      <c r="M2293">
        <v>213</v>
      </c>
      <c r="N2293">
        <v>21.3</v>
      </c>
      <c r="O2293">
        <v>30</v>
      </c>
      <c r="P2293">
        <v>639</v>
      </c>
      <c r="Q2293">
        <v>647.70000000000005</v>
      </c>
      <c r="R2293" t="s">
        <v>39</v>
      </c>
      <c r="S2293" t="s">
        <v>31</v>
      </c>
      <c r="T2293" t="s">
        <v>40</v>
      </c>
      <c r="U2293">
        <v>60</v>
      </c>
      <c r="V2293">
        <v>3</v>
      </c>
      <c r="W2293">
        <f>Table2[[#This Row],[Quantity]]*Table2[[#This Row],[Item_Price]]</f>
        <v>639</v>
      </c>
    </row>
    <row r="2294" spans="1:23" x14ac:dyDescent="0.25">
      <c r="A2294" t="s">
        <v>2393</v>
      </c>
      <c r="B2294" s="1">
        <v>45821</v>
      </c>
      <c r="C2294" t="s">
        <v>2191</v>
      </c>
      <c r="D2294">
        <v>6</v>
      </c>
      <c r="E2294">
        <v>13</v>
      </c>
      <c r="F2294" t="s">
        <v>114</v>
      </c>
      <c r="G2294" t="s">
        <v>64</v>
      </c>
      <c r="H2294" t="s">
        <v>81</v>
      </c>
      <c r="I2294" t="s">
        <v>49</v>
      </c>
      <c r="J2294" t="s">
        <v>123</v>
      </c>
      <c r="K2294" t="s">
        <v>45</v>
      </c>
      <c r="L2294">
        <v>1</v>
      </c>
      <c r="M2294">
        <v>758</v>
      </c>
      <c r="N2294">
        <v>37.9</v>
      </c>
      <c r="O2294">
        <v>20</v>
      </c>
      <c r="P2294">
        <v>758</v>
      </c>
      <c r="Q2294">
        <v>740.1</v>
      </c>
      <c r="R2294" t="s">
        <v>30</v>
      </c>
      <c r="S2294" t="s">
        <v>31</v>
      </c>
      <c r="T2294" t="s">
        <v>32</v>
      </c>
      <c r="U2294">
        <v>25</v>
      </c>
      <c r="V2294">
        <v>3.8</v>
      </c>
      <c r="W2294">
        <f>Table2[[#This Row],[Quantity]]*Table2[[#This Row],[Item_Price]]</f>
        <v>758</v>
      </c>
    </row>
    <row r="2295" spans="1:23" x14ac:dyDescent="0.25">
      <c r="A2295" t="s">
        <v>2394</v>
      </c>
      <c r="B2295" s="1">
        <v>45821</v>
      </c>
      <c r="C2295" t="s">
        <v>2191</v>
      </c>
      <c r="D2295">
        <v>6</v>
      </c>
      <c r="E2295">
        <v>13</v>
      </c>
      <c r="F2295" t="s">
        <v>114</v>
      </c>
      <c r="G2295" t="s">
        <v>115</v>
      </c>
      <c r="H2295" t="s">
        <v>65</v>
      </c>
      <c r="I2295" t="s">
        <v>36</v>
      </c>
      <c r="J2295" t="s">
        <v>28</v>
      </c>
      <c r="K2295" t="s">
        <v>38</v>
      </c>
      <c r="L2295">
        <v>2</v>
      </c>
      <c r="M2295">
        <v>205</v>
      </c>
      <c r="N2295">
        <v>30.75</v>
      </c>
      <c r="O2295">
        <v>30</v>
      </c>
      <c r="P2295">
        <v>410</v>
      </c>
      <c r="Q2295">
        <v>409.25</v>
      </c>
      <c r="R2295" t="s">
        <v>112</v>
      </c>
      <c r="S2295" t="s">
        <v>46</v>
      </c>
      <c r="T2295" t="s">
        <v>40</v>
      </c>
      <c r="U2295">
        <v>50</v>
      </c>
      <c r="W2295">
        <f>Table2[[#This Row],[Quantity]]*Table2[[#This Row],[Item_Price]]</f>
        <v>410</v>
      </c>
    </row>
    <row r="2296" spans="1:23" x14ac:dyDescent="0.25">
      <c r="A2296" t="s">
        <v>2395</v>
      </c>
      <c r="B2296" s="1">
        <v>45821</v>
      </c>
      <c r="C2296" t="s">
        <v>2191</v>
      </c>
      <c r="D2296">
        <v>6</v>
      </c>
      <c r="E2296">
        <v>13</v>
      </c>
      <c r="F2296" t="s">
        <v>114</v>
      </c>
      <c r="G2296" t="s">
        <v>73</v>
      </c>
      <c r="H2296" t="s">
        <v>52</v>
      </c>
      <c r="I2296" t="s">
        <v>27</v>
      </c>
      <c r="J2296" t="s">
        <v>53</v>
      </c>
      <c r="K2296" t="s">
        <v>45</v>
      </c>
      <c r="L2296">
        <v>3</v>
      </c>
      <c r="M2296">
        <v>303</v>
      </c>
      <c r="N2296">
        <v>45.45</v>
      </c>
      <c r="O2296">
        <v>30</v>
      </c>
      <c r="P2296">
        <v>909</v>
      </c>
      <c r="Q2296">
        <v>893.55</v>
      </c>
      <c r="R2296" t="s">
        <v>39</v>
      </c>
      <c r="S2296" t="s">
        <v>31</v>
      </c>
      <c r="T2296" t="s">
        <v>32</v>
      </c>
      <c r="U2296">
        <v>36</v>
      </c>
      <c r="V2296">
        <v>4.3</v>
      </c>
      <c r="W2296">
        <f>Table2[[#This Row],[Quantity]]*Table2[[#This Row],[Item_Price]]</f>
        <v>909</v>
      </c>
    </row>
    <row r="2297" spans="1:23" x14ac:dyDescent="0.25">
      <c r="A2297" t="s">
        <v>2396</v>
      </c>
      <c r="B2297" s="1">
        <v>45821</v>
      </c>
      <c r="C2297" t="s">
        <v>2191</v>
      </c>
      <c r="D2297">
        <v>6</v>
      </c>
      <c r="E2297">
        <v>13</v>
      </c>
      <c r="F2297" t="s">
        <v>114</v>
      </c>
      <c r="G2297" t="s">
        <v>80</v>
      </c>
      <c r="H2297" t="s">
        <v>108</v>
      </c>
      <c r="I2297" t="s">
        <v>43</v>
      </c>
      <c r="J2297" t="s">
        <v>101</v>
      </c>
      <c r="K2297" t="s">
        <v>38</v>
      </c>
      <c r="L2297">
        <v>1</v>
      </c>
      <c r="M2297">
        <v>180</v>
      </c>
      <c r="N2297">
        <v>27</v>
      </c>
      <c r="O2297">
        <v>40</v>
      </c>
      <c r="P2297">
        <v>180</v>
      </c>
      <c r="Q2297">
        <v>193</v>
      </c>
      <c r="R2297" t="s">
        <v>112</v>
      </c>
      <c r="S2297" t="s">
        <v>31</v>
      </c>
      <c r="T2297" t="s">
        <v>40</v>
      </c>
      <c r="U2297">
        <v>67</v>
      </c>
      <c r="V2297">
        <v>4.0999999999999996</v>
      </c>
      <c r="W2297">
        <f>Table2[[#This Row],[Quantity]]*Table2[[#This Row],[Item_Price]]</f>
        <v>180</v>
      </c>
    </row>
    <row r="2298" spans="1:23" x14ac:dyDescent="0.25">
      <c r="A2298" t="s">
        <v>2397</v>
      </c>
      <c r="B2298" s="1">
        <v>45821</v>
      </c>
      <c r="C2298" t="s">
        <v>2191</v>
      </c>
      <c r="D2298">
        <v>6</v>
      </c>
      <c r="E2298">
        <v>13</v>
      </c>
      <c r="F2298" t="s">
        <v>114</v>
      </c>
      <c r="G2298" t="s">
        <v>25</v>
      </c>
      <c r="H2298" t="s">
        <v>68</v>
      </c>
      <c r="I2298" t="s">
        <v>27</v>
      </c>
      <c r="J2298" t="s">
        <v>28</v>
      </c>
      <c r="K2298" t="s">
        <v>38</v>
      </c>
      <c r="L2298">
        <v>1</v>
      </c>
      <c r="M2298">
        <v>577</v>
      </c>
      <c r="N2298">
        <v>115.4</v>
      </c>
      <c r="O2298">
        <v>40</v>
      </c>
      <c r="P2298">
        <v>577</v>
      </c>
      <c r="Q2298">
        <v>501.6</v>
      </c>
      <c r="R2298" t="s">
        <v>30</v>
      </c>
      <c r="S2298" t="s">
        <v>31</v>
      </c>
      <c r="T2298" t="s">
        <v>40</v>
      </c>
      <c r="U2298">
        <v>60</v>
      </c>
      <c r="V2298">
        <v>5</v>
      </c>
      <c r="W2298">
        <f>Table2[[#This Row],[Quantity]]*Table2[[#This Row],[Item_Price]]</f>
        <v>577</v>
      </c>
    </row>
    <row r="2299" spans="1:23" x14ac:dyDescent="0.25">
      <c r="A2299" t="s">
        <v>2398</v>
      </c>
      <c r="B2299" s="1">
        <v>45821</v>
      </c>
      <c r="C2299" t="s">
        <v>2191</v>
      </c>
      <c r="D2299">
        <v>6</v>
      </c>
      <c r="E2299">
        <v>13</v>
      </c>
      <c r="F2299" t="s">
        <v>114</v>
      </c>
      <c r="G2299" t="s">
        <v>96</v>
      </c>
      <c r="H2299" t="s">
        <v>68</v>
      </c>
      <c r="I2299" t="s">
        <v>103</v>
      </c>
      <c r="J2299" t="s">
        <v>101</v>
      </c>
      <c r="K2299" t="s">
        <v>38</v>
      </c>
      <c r="L2299">
        <v>1</v>
      </c>
      <c r="M2299">
        <v>740</v>
      </c>
      <c r="N2299">
        <v>111</v>
      </c>
      <c r="O2299">
        <v>40</v>
      </c>
      <c r="P2299">
        <v>740</v>
      </c>
      <c r="Q2299">
        <v>669</v>
      </c>
      <c r="R2299" t="s">
        <v>30</v>
      </c>
      <c r="S2299" t="s">
        <v>31</v>
      </c>
      <c r="T2299" t="s">
        <v>40</v>
      </c>
      <c r="U2299">
        <v>18</v>
      </c>
      <c r="V2299">
        <v>5</v>
      </c>
      <c r="W2299">
        <f>Table2[[#This Row],[Quantity]]*Table2[[#This Row],[Item_Price]]</f>
        <v>740</v>
      </c>
    </row>
    <row r="2300" spans="1:23" x14ac:dyDescent="0.25">
      <c r="A2300" t="s">
        <v>2399</v>
      </c>
      <c r="B2300" s="1">
        <v>45821</v>
      </c>
      <c r="C2300" t="s">
        <v>2191</v>
      </c>
      <c r="D2300">
        <v>6</v>
      </c>
      <c r="E2300">
        <v>13</v>
      </c>
      <c r="F2300" t="s">
        <v>114</v>
      </c>
      <c r="G2300" t="s">
        <v>55</v>
      </c>
      <c r="H2300" t="s">
        <v>65</v>
      </c>
      <c r="I2300" t="s">
        <v>97</v>
      </c>
      <c r="J2300" t="s">
        <v>66</v>
      </c>
      <c r="K2300" t="s">
        <v>38</v>
      </c>
      <c r="L2300">
        <v>2</v>
      </c>
      <c r="M2300">
        <v>309</v>
      </c>
      <c r="N2300">
        <v>61.8</v>
      </c>
      <c r="O2300">
        <v>40</v>
      </c>
      <c r="P2300">
        <v>618</v>
      </c>
      <c r="Q2300">
        <v>596.20000000000005</v>
      </c>
      <c r="R2300" t="s">
        <v>39</v>
      </c>
      <c r="S2300" t="s">
        <v>31</v>
      </c>
      <c r="T2300" t="s">
        <v>40</v>
      </c>
      <c r="U2300">
        <v>32</v>
      </c>
      <c r="V2300">
        <v>4.3</v>
      </c>
      <c r="W2300">
        <f>Table2[[#This Row],[Quantity]]*Table2[[#This Row],[Item_Price]]</f>
        <v>618</v>
      </c>
    </row>
    <row r="2301" spans="1:23" x14ac:dyDescent="0.25">
      <c r="A2301" t="s">
        <v>2400</v>
      </c>
      <c r="B2301" s="1">
        <v>45821</v>
      </c>
      <c r="C2301" t="s">
        <v>2191</v>
      </c>
      <c r="D2301">
        <v>6</v>
      </c>
      <c r="E2301">
        <v>13</v>
      </c>
      <c r="F2301" t="s">
        <v>114</v>
      </c>
      <c r="G2301" t="s">
        <v>64</v>
      </c>
      <c r="H2301" t="s">
        <v>42</v>
      </c>
      <c r="I2301" t="s">
        <v>43</v>
      </c>
      <c r="J2301" t="s">
        <v>119</v>
      </c>
      <c r="K2301" t="s">
        <v>29</v>
      </c>
      <c r="L2301">
        <v>2</v>
      </c>
      <c r="M2301">
        <v>751</v>
      </c>
      <c r="N2301">
        <v>75.099999999999994</v>
      </c>
      <c r="O2301">
        <v>60</v>
      </c>
      <c r="P2301">
        <v>1502</v>
      </c>
      <c r="Q2301">
        <v>1486.9</v>
      </c>
      <c r="R2301" t="s">
        <v>98</v>
      </c>
      <c r="S2301" t="s">
        <v>31</v>
      </c>
      <c r="T2301" t="s">
        <v>40</v>
      </c>
      <c r="U2301">
        <v>26</v>
      </c>
      <c r="V2301">
        <v>4.0999999999999996</v>
      </c>
      <c r="W2301">
        <f>Table2[[#This Row],[Quantity]]*Table2[[#This Row],[Item_Price]]</f>
        <v>1502</v>
      </c>
    </row>
    <row r="2302" spans="1:23" x14ac:dyDescent="0.25">
      <c r="A2302" t="s">
        <v>2401</v>
      </c>
      <c r="B2302" s="1">
        <v>45821</v>
      </c>
      <c r="C2302" t="s">
        <v>2191</v>
      </c>
      <c r="D2302">
        <v>6</v>
      </c>
      <c r="E2302">
        <v>13</v>
      </c>
      <c r="F2302" t="s">
        <v>114</v>
      </c>
      <c r="G2302" t="s">
        <v>84</v>
      </c>
      <c r="H2302" t="s">
        <v>26</v>
      </c>
      <c r="I2302" t="s">
        <v>97</v>
      </c>
      <c r="J2302" t="s">
        <v>53</v>
      </c>
      <c r="K2302" t="s">
        <v>38</v>
      </c>
      <c r="L2302">
        <v>2</v>
      </c>
      <c r="M2302">
        <v>285</v>
      </c>
      <c r="N2302">
        <v>57</v>
      </c>
      <c r="O2302">
        <v>50</v>
      </c>
      <c r="P2302">
        <v>570</v>
      </c>
      <c r="Q2302">
        <v>563</v>
      </c>
      <c r="R2302" t="s">
        <v>39</v>
      </c>
      <c r="S2302" t="s">
        <v>91</v>
      </c>
      <c r="T2302" t="s">
        <v>32</v>
      </c>
      <c r="U2302">
        <v>44</v>
      </c>
      <c r="W2302">
        <f>Table2[[#This Row],[Quantity]]*Table2[[#This Row],[Item_Price]]</f>
        <v>570</v>
      </c>
    </row>
    <row r="2303" spans="1:23" x14ac:dyDescent="0.25">
      <c r="A2303" t="s">
        <v>2402</v>
      </c>
      <c r="B2303" s="1">
        <v>45821</v>
      </c>
      <c r="C2303" t="s">
        <v>2191</v>
      </c>
      <c r="D2303">
        <v>6</v>
      </c>
      <c r="E2303">
        <v>13</v>
      </c>
      <c r="F2303" t="s">
        <v>114</v>
      </c>
      <c r="G2303" t="s">
        <v>80</v>
      </c>
      <c r="H2303" t="s">
        <v>81</v>
      </c>
      <c r="I2303" t="s">
        <v>97</v>
      </c>
      <c r="J2303" t="s">
        <v>119</v>
      </c>
      <c r="K2303" t="s">
        <v>38</v>
      </c>
      <c r="L2303">
        <v>1</v>
      </c>
      <c r="M2303">
        <v>326</v>
      </c>
      <c r="N2303">
        <v>0</v>
      </c>
      <c r="O2303">
        <v>30</v>
      </c>
      <c r="P2303">
        <v>326</v>
      </c>
      <c r="Q2303">
        <v>356</v>
      </c>
      <c r="R2303" t="s">
        <v>75</v>
      </c>
      <c r="S2303" t="s">
        <v>31</v>
      </c>
      <c r="T2303" t="s">
        <v>40</v>
      </c>
      <c r="U2303">
        <v>42</v>
      </c>
      <c r="V2303">
        <v>3.6</v>
      </c>
      <c r="W2303">
        <f>Table2[[#This Row],[Quantity]]*Table2[[#This Row],[Item_Price]]</f>
        <v>326</v>
      </c>
    </row>
    <row r="2304" spans="1:23" x14ac:dyDescent="0.25">
      <c r="A2304" t="s">
        <v>2403</v>
      </c>
      <c r="B2304" s="1">
        <v>45821</v>
      </c>
      <c r="C2304" t="s">
        <v>2191</v>
      </c>
      <c r="D2304">
        <v>6</v>
      </c>
      <c r="E2304">
        <v>13</v>
      </c>
      <c r="F2304" t="s">
        <v>114</v>
      </c>
      <c r="G2304" t="s">
        <v>73</v>
      </c>
      <c r="H2304" t="s">
        <v>26</v>
      </c>
      <c r="I2304" t="s">
        <v>36</v>
      </c>
      <c r="J2304" t="s">
        <v>50</v>
      </c>
      <c r="K2304" t="s">
        <v>38</v>
      </c>
      <c r="L2304">
        <v>1</v>
      </c>
      <c r="M2304">
        <v>463</v>
      </c>
      <c r="N2304">
        <v>23.15</v>
      </c>
      <c r="O2304">
        <v>50</v>
      </c>
      <c r="P2304">
        <v>463</v>
      </c>
      <c r="Q2304">
        <v>489.85</v>
      </c>
      <c r="R2304" t="s">
        <v>112</v>
      </c>
      <c r="S2304" t="s">
        <v>31</v>
      </c>
      <c r="T2304" t="s">
        <v>40</v>
      </c>
      <c r="U2304">
        <v>50</v>
      </c>
      <c r="V2304">
        <v>4.5</v>
      </c>
      <c r="W2304">
        <f>Table2[[#This Row],[Quantity]]*Table2[[#This Row],[Item_Price]]</f>
        <v>463</v>
      </c>
    </row>
    <row r="2305" spans="1:23" x14ac:dyDescent="0.25">
      <c r="A2305" t="s">
        <v>2404</v>
      </c>
      <c r="B2305" s="1">
        <v>45821</v>
      </c>
      <c r="C2305" t="s">
        <v>2191</v>
      </c>
      <c r="D2305">
        <v>6</v>
      </c>
      <c r="E2305">
        <v>13</v>
      </c>
      <c r="F2305" t="s">
        <v>114</v>
      </c>
      <c r="G2305" t="s">
        <v>55</v>
      </c>
      <c r="H2305" t="s">
        <v>52</v>
      </c>
      <c r="I2305" t="s">
        <v>27</v>
      </c>
      <c r="J2305" t="s">
        <v>28</v>
      </c>
      <c r="K2305" t="s">
        <v>38</v>
      </c>
      <c r="L2305">
        <v>2</v>
      </c>
      <c r="M2305">
        <v>727</v>
      </c>
      <c r="N2305">
        <v>181.75</v>
      </c>
      <c r="O2305">
        <v>0</v>
      </c>
      <c r="P2305">
        <v>1454</v>
      </c>
      <c r="Q2305">
        <v>1272.25</v>
      </c>
      <c r="R2305" t="s">
        <v>39</v>
      </c>
      <c r="S2305" t="s">
        <v>46</v>
      </c>
      <c r="T2305" t="s">
        <v>40</v>
      </c>
      <c r="U2305">
        <v>34</v>
      </c>
      <c r="W2305">
        <f>Table2[[#This Row],[Quantity]]*Table2[[#This Row],[Item_Price]]</f>
        <v>1454</v>
      </c>
    </row>
    <row r="2306" spans="1:23" x14ac:dyDescent="0.25">
      <c r="A2306" t="s">
        <v>2405</v>
      </c>
      <c r="B2306" s="1">
        <v>45821</v>
      </c>
      <c r="C2306" t="s">
        <v>2191</v>
      </c>
      <c r="D2306">
        <v>6</v>
      </c>
      <c r="E2306">
        <v>13</v>
      </c>
      <c r="F2306" t="s">
        <v>114</v>
      </c>
      <c r="G2306" t="s">
        <v>80</v>
      </c>
      <c r="H2306" t="s">
        <v>139</v>
      </c>
      <c r="I2306" t="s">
        <v>61</v>
      </c>
      <c r="J2306" t="s">
        <v>37</v>
      </c>
      <c r="K2306" t="s">
        <v>45</v>
      </c>
      <c r="L2306">
        <v>3</v>
      </c>
      <c r="M2306">
        <v>582</v>
      </c>
      <c r="N2306">
        <v>87.3</v>
      </c>
      <c r="O2306">
        <v>30</v>
      </c>
      <c r="P2306">
        <v>1746</v>
      </c>
      <c r="Q2306">
        <v>1688.7</v>
      </c>
      <c r="R2306" t="s">
        <v>30</v>
      </c>
      <c r="S2306" t="s">
        <v>31</v>
      </c>
      <c r="T2306" t="s">
        <v>40</v>
      </c>
      <c r="U2306">
        <v>38</v>
      </c>
      <c r="V2306">
        <v>4.7</v>
      </c>
      <c r="W2306">
        <f>Table2[[#This Row],[Quantity]]*Table2[[#This Row],[Item_Price]]</f>
        <v>1746</v>
      </c>
    </row>
    <row r="2307" spans="1:23" x14ac:dyDescent="0.25">
      <c r="A2307" t="s">
        <v>2406</v>
      </c>
      <c r="B2307" s="1">
        <v>45822</v>
      </c>
      <c r="C2307" t="s">
        <v>2191</v>
      </c>
      <c r="D2307">
        <v>6</v>
      </c>
      <c r="E2307">
        <v>14</v>
      </c>
      <c r="F2307" t="s">
        <v>134</v>
      </c>
      <c r="G2307" t="s">
        <v>55</v>
      </c>
      <c r="H2307" t="s">
        <v>81</v>
      </c>
      <c r="I2307" t="s">
        <v>27</v>
      </c>
      <c r="J2307" t="s">
        <v>70</v>
      </c>
      <c r="K2307" t="s">
        <v>45</v>
      </c>
      <c r="L2307">
        <v>2</v>
      </c>
      <c r="M2307">
        <v>784</v>
      </c>
      <c r="N2307">
        <v>78.400000000000006</v>
      </c>
      <c r="O2307">
        <v>60</v>
      </c>
      <c r="P2307">
        <v>1568</v>
      </c>
      <c r="Q2307">
        <v>1549.6</v>
      </c>
      <c r="R2307" t="s">
        <v>75</v>
      </c>
      <c r="S2307" t="s">
        <v>31</v>
      </c>
      <c r="T2307" t="s">
        <v>40</v>
      </c>
      <c r="U2307">
        <v>33</v>
      </c>
      <c r="V2307">
        <v>3.5</v>
      </c>
      <c r="W2307">
        <f>Table2[[#This Row],[Quantity]]*Table2[[#This Row],[Item_Price]]</f>
        <v>1568</v>
      </c>
    </row>
    <row r="2308" spans="1:23" x14ac:dyDescent="0.25">
      <c r="A2308" t="s">
        <v>2407</v>
      </c>
      <c r="B2308" s="1">
        <v>45822</v>
      </c>
      <c r="C2308" t="s">
        <v>2191</v>
      </c>
      <c r="D2308">
        <v>6</v>
      </c>
      <c r="E2308">
        <v>14</v>
      </c>
      <c r="F2308" t="s">
        <v>134</v>
      </c>
      <c r="G2308" t="s">
        <v>115</v>
      </c>
      <c r="H2308" t="s">
        <v>81</v>
      </c>
      <c r="I2308" t="s">
        <v>43</v>
      </c>
      <c r="J2308" t="s">
        <v>172</v>
      </c>
      <c r="K2308" t="s">
        <v>38</v>
      </c>
      <c r="L2308">
        <v>1</v>
      </c>
      <c r="M2308">
        <v>261</v>
      </c>
      <c r="N2308">
        <v>0</v>
      </c>
      <c r="O2308">
        <v>0</v>
      </c>
      <c r="P2308">
        <v>261</v>
      </c>
      <c r="Q2308">
        <v>261</v>
      </c>
      <c r="R2308" t="s">
        <v>39</v>
      </c>
      <c r="S2308" t="s">
        <v>31</v>
      </c>
      <c r="T2308" t="s">
        <v>40</v>
      </c>
      <c r="U2308">
        <v>53</v>
      </c>
      <c r="V2308">
        <v>5</v>
      </c>
      <c r="W2308">
        <f>Table2[[#This Row],[Quantity]]*Table2[[#This Row],[Item_Price]]</f>
        <v>261</v>
      </c>
    </row>
    <row r="2309" spans="1:23" x14ac:dyDescent="0.25">
      <c r="A2309" t="s">
        <v>2408</v>
      </c>
      <c r="B2309" s="1">
        <v>45822</v>
      </c>
      <c r="C2309" t="s">
        <v>2191</v>
      </c>
      <c r="D2309">
        <v>6</v>
      </c>
      <c r="E2309">
        <v>14</v>
      </c>
      <c r="F2309" t="s">
        <v>134</v>
      </c>
      <c r="G2309" t="s">
        <v>73</v>
      </c>
      <c r="H2309" t="s">
        <v>68</v>
      </c>
      <c r="I2309" t="s">
        <v>57</v>
      </c>
      <c r="J2309" t="s">
        <v>70</v>
      </c>
      <c r="K2309" t="s">
        <v>45</v>
      </c>
      <c r="L2309">
        <v>1</v>
      </c>
      <c r="M2309">
        <v>425</v>
      </c>
      <c r="N2309">
        <v>42.5</v>
      </c>
      <c r="O2309">
        <v>50</v>
      </c>
      <c r="P2309">
        <v>425</v>
      </c>
      <c r="Q2309">
        <v>432.5</v>
      </c>
      <c r="R2309" t="s">
        <v>98</v>
      </c>
      <c r="S2309" t="s">
        <v>91</v>
      </c>
      <c r="T2309" t="s">
        <v>32</v>
      </c>
      <c r="U2309">
        <v>22</v>
      </c>
      <c r="W2309">
        <f>Table2[[#This Row],[Quantity]]*Table2[[#This Row],[Item_Price]]</f>
        <v>425</v>
      </c>
    </row>
    <row r="2310" spans="1:23" x14ac:dyDescent="0.25">
      <c r="A2310" t="s">
        <v>2409</v>
      </c>
      <c r="B2310" s="1">
        <v>45822</v>
      </c>
      <c r="C2310" t="s">
        <v>2191</v>
      </c>
      <c r="D2310">
        <v>6</v>
      </c>
      <c r="E2310">
        <v>14</v>
      </c>
      <c r="F2310" t="s">
        <v>134</v>
      </c>
      <c r="G2310" t="s">
        <v>64</v>
      </c>
      <c r="H2310" t="s">
        <v>48</v>
      </c>
      <c r="I2310" t="s">
        <v>97</v>
      </c>
      <c r="J2310" t="s">
        <v>44</v>
      </c>
      <c r="K2310" t="s">
        <v>38</v>
      </c>
      <c r="L2310">
        <v>1</v>
      </c>
      <c r="M2310">
        <v>384</v>
      </c>
      <c r="N2310">
        <v>0</v>
      </c>
      <c r="O2310">
        <v>30</v>
      </c>
      <c r="P2310">
        <v>384</v>
      </c>
      <c r="Q2310">
        <v>414</v>
      </c>
      <c r="R2310" t="s">
        <v>98</v>
      </c>
      <c r="S2310" t="s">
        <v>31</v>
      </c>
      <c r="T2310" t="s">
        <v>32</v>
      </c>
      <c r="U2310">
        <v>54</v>
      </c>
      <c r="V2310">
        <v>4.2</v>
      </c>
      <c r="W2310">
        <f>Table2[[#This Row],[Quantity]]*Table2[[#This Row],[Item_Price]]</f>
        <v>384</v>
      </c>
    </row>
    <row r="2311" spans="1:23" x14ac:dyDescent="0.25">
      <c r="A2311" t="s">
        <v>2410</v>
      </c>
      <c r="B2311" s="1">
        <v>45822</v>
      </c>
      <c r="C2311" t="s">
        <v>2191</v>
      </c>
      <c r="D2311">
        <v>6</v>
      </c>
      <c r="E2311">
        <v>14</v>
      </c>
      <c r="F2311" t="s">
        <v>134</v>
      </c>
      <c r="G2311" t="s">
        <v>90</v>
      </c>
      <c r="H2311" t="s">
        <v>48</v>
      </c>
      <c r="I2311" t="s">
        <v>57</v>
      </c>
      <c r="J2311" t="s">
        <v>119</v>
      </c>
      <c r="K2311" t="s">
        <v>38</v>
      </c>
      <c r="L2311">
        <v>3</v>
      </c>
      <c r="M2311">
        <v>336</v>
      </c>
      <c r="N2311">
        <v>50.4</v>
      </c>
      <c r="O2311">
        <v>40</v>
      </c>
      <c r="P2311">
        <v>1008</v>
      </c>
      <c r="Q2311">
        <v>997.6</v>
      </c>
      <c r="R2311" t="s">
        <v>112</v>
      </c>
      <c r="S2311" t="s">
        <v>31</v>
      </c>
      <c r="T2311" t="s">
        <v>40</v>
      </c>
      <c r="U2311">
        <v>39</v>
      </c>
      <c r="V2311">
        <v>4</v>
      </c>
      <c r="W2311">
        <f>Table2[[#This Row],[Quantity]]*Table2[[#This Row],[Item_Price]]</f>
        <v>1008</v>
      </c>
    </row>
    <row r="2312" spans="1:23" x14ac:dyDescent="0.25">
      <c r="A2312" t="s">
        <v>2411</v>
      </c>
      <c r="B2312" s="1">
        <v>45822</v>
      </c>
      <c r="C2312" t="s">
        <v>2191</v>
      </c>
      <c r="D2312">
        <v>6</v>
      </c>
      <c r="E2312">
        <v>14</v>
      </c>
      <c r="F2312" t="s">
        <v>134</v>
      </c>
      <c r="G2312" t="s">
        <v>25</v>
      </c>
      <c r="H2312" t="s">
        <v>42</v>
      </c>
      <c r="I2312" t="s">
        <v>36</v>
      </c>
      <c r="J2312" t="s">
        <v>28</v>
      </c>
      <c r="K2312" t="s">
        <v>38</v>
      </c>
      <c r="L2312">
        <v>2</v>
      </c>
      <c r="M2312">
        <v>861</v>
      </c>
      <c r="N2312">
        <v>172.2</v>
      </c>
      <c r="O2312">
        <v>20</v>
      </c>
      <c r="P2312">
        <v>1722</v>
      </c>
      <c r="Q2312">
        <v>1569.8</v>
      </c>
      <c r="R2312" t="s">
        <v>39</v>
      </c>
      <c r="S2312" t="s">
        <v>31</v>
      </c>
      <c r="T2312" t="s">
        <v>40</v>
      </c>
      <c r="U2312">
        <v>45</v>
      </c>
      <c r="V2312">
        <v>4.2</v>
      </c>
      <c r="W2312">
        <f>Table2[[#This Row],[Quantity]]*Table2[[#This Row],[Item_Price]]</f>
        <v>1722</v>
      </c>
    </row>
    <row r="2313" spans="1:23" x14ac:dyDescent="0.25">
      <c r="A2313" t="s">
        <v>2412</v>
      </c>
      <c r="B2313" s="1">
        <v>45822</v>
      </c>
      <c r="C2313" t="s">
        <v>2191</v>
      </c>
      <c r="D2313">
        <v>6</v>
      </c>
      <c r="E2313">
        <v>14</v>
      </c>
      <c r="F2313" t="s">
        <v>134</v>
      </c>
      <c r="G2313" t="s">
        <v>80</v>
      </c>
      <c r="H2313" t="s">
        <v>52</v>
      </c>
      <c r="I2313" t="s">
        <v>69</v>
      </c>
      <c r="J2313" t="s">
        <v>53</v>
      </c>
      <c r="K2313" t="s">
        <v>45</v>
      </c>
      <c r="L2313">
        <v>2</v>
      </c>
      <c r="M2313">
        <v>848</v>
      </c>
      <c r="N2313">
        <v>42.4</v>
      </c>
      <c r="O2313">
        <v>40</v>
      </c>
      <c r="P2313">
        <v>1696</v>
      </c>
      <c r="Q2313">
        <v>1693.6</v>
      </c>
      <c r="R2313" t="s">
        <v>30</v>
      </c>
      <c r="S2313" t="s">
        <v>31</v>
      </c>
      <c r="T2313" t="s">
        <v>32</v>
      </c>
      <c r="U2313">
        <v>23</v>
      </c>
      <c r="V2313">
        <v>3.9</v>
      </c>
      <c r="W2313">
        <f>Table2[[#This Row],[Quantity]]*Table2[[#This Row],[Item_Price]]</f>
        <v>1696</v>
      </c>
    </row>
    <row r="2314" spans="1:23" x14ac:dyDescent="0.25">
      <c r="A2314" t="s">
        <v>2413</v>
      </c>
      <c r="B2314" s="1">
        <v>45822</v>
      </c>
      <c r="C2314" t="s">
        <v>2191</v>
      </c>
      <c r="D2314">
        <v>6</v>
      </c>
      <c r="E2314">
        <v>14</v>
      </c>
      <c r="F2314" t="s">
        <v>134</v>
      </c>
      <c r="G2314" t="s">
        <v>84</v>
      </c>
      <c r="H2314" t="s">
        <v>42</v>
      </c>
      <c r="I2314" t="s">
        <v>85</v>
      </c>
      <c r="J2314" t="s">
        <v>28</v>
      </c>
      <c r="K2314" t="s">
        <v>38</v>
      </c>
      <c r="L2314">
        <v>1</v>
      </c>
      <c r="M2314">
        <v>142</v>
      </c>
      <c r="N2314">
        <v>28.4</v>
      </c>
      <c r="O2314">
        <v>60</v>
      </c>
      <c r="P2314">
        <v>142</v>
      </c>
      <c r="Q2314">
        <v>173.6</v>
      </c>
      <c r="R2314" t="s">
        <v>39</v>
      </c>
      <c r="S2314" t="s">
        <v>46</v>
      </c>
      <c r="T2314" t="s">
        <v>32</v>
      </c>
      <c r="U2314">
        <v>59</v>
      </c>
      <c r="W2314">
        <f>Table2[[#This Row],[Quantity]]*Table2[[#This Row],[Item_Price]]</f>
        <v>142</v>
      </c>
    </row>
    <row r="2315" spans="1:23" x14ac:dyDescent="0.25">
      <c r="A2315" t="s">
        <v>2414</v>
      </c>
      <c r="B2315" s="1">
        <v>45822</v>
      </c>
      <c r="C2315" t="s">
        <v>2191</v>
      </c>
      <c r="D2315">
        <v>6</v>
      </c>
      <c r="E2315">
        <v>14</v>
      </c>
      <c r="F2315" t="s">
        <v>134</v>
      </c>
      <c r="G2315" t="s">
        <v>80</v>
      </c>
      <c r="H2315" t="s">
        <v>105</v>
      </c>
      <c r="I2315" t="s">
        <v>85</v>
      </c>
      <c r="J2315" t="s">
        <v>37</v>
      </c>
      <c r="K2315" t="s">
        <v>38</v>
      </c>
      <c r="L2315">
        <v>1</v>
      </c>
      <c r="M2315">
        <v>699</v>
      </c>
      <c r="N2315">
        <v>34.950000000000003</v>
      </c>
      <c r="O2315">
        <v>20</v>
      </c>
      <c r="P2315">
        <v>699</v>
      </c>
      <c r="Q2315">
        <v>684.05</v>
      </c>
      <c r="R2315" t="s">
        <v>75</v>
      </c>
      <c r="S2315" t="s">
        <v>31</v>
      </c>
      <c r="T2315" t="s">
        <v>40</v>
      </c>
      <c r="U2315">
        <v>37</v>
      </c>
      <c r="V2315">
        <v>4.9000000000000004</v>
      </c>
      <c r="W2315">
        <f>Table2[[#This Row],[Quantity]]*Table2[[#This Row],[Item_Price]]</f>
        <v>699</v>
      </c>
    </row>
    <row r="2316" spans="1:23" x14ac:dyDescent="0.25">
      <c r="A2316" t="s">
        <v>2415</v>
      </c>
      <c r="B2316" s="1">
        <v>45822</v>
      </c>
      <c r="C2316" t="s">
        <v>2191</v>
      </c>
      <c r="D2316">
        <v>6</v>
      </c>
      <c r="E2316">
        <v>14</v>
      </c>
      <c r="F2316" t="s">
        <v>134</v>
      </c>
      <c r="G2316" t="s">
        <v>73</v>
      </c>
      <c r="H2316" t="s">
        <v>65</v>
      </c>
      <c r="I2316" t="s">
        <v>103</v>
      </c>
      <c r="J2316" t="s">
        <v>94</v>
      </c>
      <c r="K2316" t="s">
        <v>58</v>
      </c>
      <c r="L2316">
        <v>3</v>
      </c>
      <c r="M2316">
        <v>281</v>
      </c>
      <c r="N2316">
        <v>42.15</v>
      </c>
      <c r="O2316">
        <v>40</v>
      </c>
      <c r="P2316">
        <v>843</v>
      </c>
      <c r="Q2316">
        <v>840.85</v>
      </c>
      <c r="R2316" t="s">
        <v>30</v>
      </c>
      <c r="S2316" t="s">
        <v>31</v>
      </c>
      <c r="T2316" t="s">
        <v>40</v>
      </c>
      <c r="U2316">
        <v>40</v>
      </c>
      <c r="V2316">
        <v>4.0999999999999996</v>
      </c>
      <c r="W2316">
        <f>Table2[[#This Row],[Quantity]]*Table2[[#This Row],[Item_Price]]</f>
        <v>843</v>
      </c>
    </row>
    <row r="2317" spans="1:23" x14ac:dyDescent="0.25">
      <c r="A2317" t="s">
        <v>2416</v>
      </c>
      <c r="B2317" s="1">
        <v>45822</v>
      </c>
      <c r="C2317" t="s">
        <v>2191</v>
      </c>
      <c r="D2317">
        <v>6</v>
      </c>
      <c r="E2317">
        <v>14</v>
      </c>
      <c r="F2317" t="s">
        <v>134</v>
      </c>
      <c r="G2317" t="s">
        <v>64</v>
      </c>
      <c r="H2317" t="s">
        <v>81</v>
      </c>
      <c r="I2317" t="s">
        <v>69</v>
      </c>
      <c r="J2317" t="s">
        <v>50</v>
      </c>
      <c r="K2317" t="s">
        <v>38</v>
      </c>
      <c r="L2317">
        <v>3</v>
      </c>
      <c r="M2317">
        <v>441</v>
      </c>
      <c r="N2317">
        <v>22.05</v>
      </c>
      <c r="O2317">
        <v>0</v>
      </c>
      <c r="P2317">
        <v>1323</v>
      </c>
      <c r="Q2317">
        <v>1300.95</v>
      </c>
      <c r="R2317" t="s">
        <v>30</v>
      </c>
      <c r="S2317" t="s">
        <v>31</v>
      </c>
      <c r="T2317" t="s">
        <v>32</v>
      </c>
      <c r="U2317">
        <v>29</v>
      </c>
      <c r="V2317">
        <v>4.8</v>
      </c>
      <c r="W2317">
        <f>Table2[[#This Row],[Quantity]]*Table2[[#This Row],[Item_Price]]</f>
        <v>1323</v>
      </c>
    </row>
    <row r="2318" spans="1:23" x14ac:dyDescent="0.25">
      <c r="A2318" t="s">
        <v>2417</v>
      </c>
      <c r="B2318" s="1">
        <v>45822</v>
      </c>
      <c r="C2318" t="s">
        <v>2191</v>
      </c>
      <c r="D2318">
        <v>6</v>
      </c>
      <c r="E2318">
        <v>14</v>
      </c>
      <c r="F2318" t="s">
        <v>134</v>
      </c>
      <c r="G2318" t="s">
        <v>34</v>
      </c>
      <c r="H2318" t="s">
        <v>77</v>
      </c>
      <c r="I2318" t="s">
        <v>36</v>
      </c>
      <c r="J2318" t="s">
        <v>62</v>
      </c>
      <c r="K2318" t="s">
        <v>45</v>
      </c>
      <c r="L2318">
        <v>2</v>
      </c>
      <c r="M2318">
        <v>801</v>
      </c>
      <c r="N2318">
        <v>160.19999999999999</v>
      </c>
      <c r="O2318">
        <v>0</v>
      </c>
      <c r="P2318">
        <v>1602</v>
      </c>
      <c r="Q2318">
        <v>1441.8</v>
      </c>
      <c r="R2318" t="s">
        <v>75</v>
      </c>
      <c r="S2318" t="s">
        <v>91</v>
      </c>
      <c r="T2318" t="s">
        <v>40</v>
      </c>
      <c r="U2318">
        <v>42</v>
      </c>
      <c r="W2318">
        <f>Table2[[#This Row],[Quantity]]*Table2[[#This Row],[Item_Price]]</f>
        <v>1602</v>
      </c>
    </row>
    <row r="2319" spans="1:23" x14ac:dyDescent="0.25">
      <c r="A2319" t="s">
        <v>2418</v>
      </c>
      <c r="B2319" s="1">
        <v>45822</v>
      </c>
      <c r="C2319" t="s">
        <v>2191</v>
      </c>
      <c r="D2319">
        <v>6</v>
      </c>
      <c r="E2319">
        <v>14</v>
      </c>
      <c r="F2319" t="s">
        <v>134</v>
      </c>
      <c r="G2319" t="s">
        <v>73</v>
      </c>
      <c r="H2319" t="s">
        <v>42</v>
      </c>
      <c r="I2319" t="s">
        <v>103</v>
      </c>
      <c r="J2319" t="s">
        <v>119</v>
      </c>
      <c r="K2319" t="s">
        <v>45</v>
      </c>
      <c r="L2319">
        <v>1</v>
      </c>
      <c r="M2319">
        <v>439</v>
      </c>
      <c r="N2319">
        <v>21.95</v>
      </c>
      <c r="O2319">
        <v>60</v>
      </c>
      <c r="P2319">
        <v>439</v>
      </c>
      <c r="Q2319">
        <v>477.05</v>
      </c>
      <c r="R2319" t="s">
        <v>30</v>
      </c>
      <c r="S2319" t="s">
        <v>31</v>
      </c>
      <c r="T2319" t="s">
        <v>40</v>
      </c>
      <c r="U2319">
        <v>43</v>
      </c>
      <c r="V2319">
        <v>3.4</v>
      </c>
      <c r="W2319">
        <f>Table2[[#This Row],[Quantity]]*Table2[[#This Row],[Item_Price]]</f>
        <v>439</v>
      </c>
    </row>
    <row r="2320" spans="1:23" x14ac:dyDescent="0.25">
      <c r="A2320" t="s">
        <v>2419</v>
      </c>
      <c r="B2320" s="1">
        <v>45823</v>
      </c>
      <c r="C2320" t="s">
        <v>2191</v>
      </c>
      <c r="D2320">
        <v>6</v>
      </c>
      <c r="E2320">
        <v>15</v>
      </c>
      <c r="F2320" t="s">
        <v>149</v>
      </c>
      <c r="G2320" t="s">
        <v>34</v>
      </c>
      <c r="H2320" t="s">
        <v>42</v>
      </c>
      <c r="I2320" t="s">
        <v>85</v>
      </c>
      <c r="J2320" t="s">
        <v>70</v>
      </c>
      <c r="K2320" t="s">
        <v>29</v>
      </c>
      <c r="L2320">
        <v>1</v>
      </c>
      <c r="M2320">
        <v>767</v>
      </c>
      <c r="N2320">
        <v>115.05</v>
      </c>
      <c r="O2320">
        <v>70</v>
      </c>
      <c r="P2320">
        <v>767</v>
      </c>
      <c r="Q2320">
        <v>721.95</v>
      </c>
      <c r="R2320" t="s">
        <v>112</v>
      </c>
      <c r="S2320" t="s">
        <v>31</v>
      </c>
      <c r="T2320" t="s">
        <v>40</v>
      </c>
      <c r="U2320">
        <v>25</v>
      </c>
      <c r="V2320">
        <v>3.9</v>
      </c>
      <c r="W2320">
        <f>Table2[[#This Row],[Quantity]]*Table2[[#This Row],[Item_Price]]</f>
        <v>767</v>
      </c>
    </row>
    <row r="2321" spans="1:23" x14ac:dyDescent="0.25">
      <c r="A2321" t="s">
        <v>2420</v>
      </c>
      <c r="B2321" s="1">
        <v>45823</v>
      </c>
      <c r="C2321" t="s">
        <v>2191</v>
      </c>
      <c r="D2321">
        <v>6</v>
      </c>
      <c r="E2321">
        <v>15</v>
      </c>
      <c r="F2321" t="s">
        <v>149</v>
      </c>
      <c r="G2321" t="s">
        <v>80</v>
      </c>
      <c r="H2321" t="s">
        <v>81</v>
      </c>
      <c r="I2321" t="s">
        <v>69</v>
      </c>
      <c r="J2321" t="s">
        <v>94</v>
      </c>
      <c r="K2321" t="s">
        <v>38</v>
      </c>
      <c r="L2321">
        <v>2</v>
      </c>
      <c r="M2321">
        <v>219</v>
      </c>
      <c r="N2321">
        <v>0</v>
      </c>
      <c r="O2321">
        <v>20</v>
      </c>
      <c r="P2321">
        <v>438</v>
      </c>
      <c r="Q2321">
        <v>458</v>
      </c>
      <c r="R2321" t="s">
        <v>39</v>
      </c>
      <c r="S2321" t="s">
        <v>31</v>
      </c>
      <c r="T2321" t="s">
        <v>32</v>
      </c>
      <c r="U2321">
        <v>19</v>
      </c>
      <c r="V2321">
        <v>3.5</v>
      </c>
      <c r="W2321">
        <f>Table2[[#This Row],[Quantity]]*Table2[[#This Row],[Item_Price]]</f>
        <v>438</v>
      </c>
    </row>
    <row r="2322" spans="1:23" x14ac:dyDescent="0.25">
      <c r="A2322" t="s">
        <v>2421</v>
      </c>
      <c r="B2322" s="1">
        <v>45823</v>
      </c>
      <c r="C2322" t="s">
        <v>2191</v>
      </c>
      <c r="D2322">
        <v>6</v>
      </c>
      <c r="E2322">
        <v>15</v>
      </c>
      <c r="F2322" t="s">
        <v>149</v>
      </c>
      <c r="G2322" t="s">
        <v>64</v>
      </c>
      <c r="H2322" t="s">
        <v>81</v>
      </c>
      <c r="I2322" t="s">
        <v>103</v>
      </c>
      <c r="J2322" t="s">
        <v>74</v>
      </c>
      <c r="K2322" t="s">
        <v>45</v>
      </c>
      <c r="L2322">
        <v>3</v>
      </c>
      <c r="M2322">
        <v>840</v>
      </c>
      <c r="N2322">
        <v>84</v>
      </c>
      <c r="O2322">
        <v>40</v>
      </c>
      <c r="P2322">
        <v>2520</v>
      </c>
      <c r="Q2322">
        <v>2476</v>
      </c>
      <c r="R2322" t="s">
        <v>30</v>
      </c>
      <c r="S2322" t="s">
        <v>31</v>
      </c>
      <c r="T2322" t="s">
        <v>32</v>
      </c>
      <c r="U2322">
        <v>59</v>
      </c>
      <c r="V2322">
        <v>2.7</v>
      </c>
      <c r="W2322">
        <f>Table2[[#This Row],[Quantity]]*Table2[[#This Row],[Item_Price]]</f>
        <v>2520</v>
      </c>
    </row>
    <row r="2323" spans="1:23" x14ac:dyDescent="0.25">
      <c r="A2323" t="s">
        <v>2422</v>
      </c>
      <c r="B2323" s="1">
        <v>45823</v>
      </c>
      <c r="C2323" t="s">
        <v>2191</v>
      </c>
      <c r="D2323">
        <v>6</v>
      </c>
      <c r="E2323">
        <v>15</v>
      </c>
      <c r="F2323" t="s">
        <v>149</v>
      </c>
      <c r="G2323" t="s">
        <v>80</v>
      </c>
      <c r="H2323" t="s">
        <v>35</v>
      </c>
      <c r="I2323" t="s">
        <v>36</v>
      </c>
      <c r="J2323" t="s">
        <v>50</v>
      </c>
      <c r="K2323" t="s">
        <v>45</v>
      </c>
      <c r="L2323">
        <v>1</v>
      </c>
      <c r="M2323">
        <v>688</v>
      </c>
      <c r="N2323">
        <v>172</v>
      </c>
      <c r="O2323">
        <v>30</v>
      </c>
      <c r="P2323">
        <v>688</v>
      </c>
      <c r="Q2323">
        <v>546</v>
      </c>
      <c r="R2323" t="s">
        <v>39</v>
      </c>
      <c r="S2323" t="s">
        <v>31</v>
      </c>
      <c r="T2323" t="s">
        <v>40</v>
      </c>
      <c r="U2323">
        <v>64</v>
      </c>
      <c r="V2323">
        <v>4.5999999999999996</v>
      </c>
      <c r="W2323">
        <f>Table2[[#This Row],[Quantity]]*Table2[[#This Row],[Item_Price]]</f>
        <v>688</v>
      </c>
    </row>
    <row r="2324" spans="1:23" x14ac:dyDescent="0.25">
      <c r="A2324" t="s">
        <v>2423</v>
      </c>
      <c r="B2324" s="1">
        <v>45823</v>
      </c>
      <c r="C2324" t="s">
        <v>2191</v>
      </c>
      <c r="D2324">
        <v>6</v>
      </c>
      <c r="E2324">
        <v>15</v>
      </c>
      <c r="F2324" t="s">
        <v>149</v>
      </c>
      <c r="G2324" t="s">
        <v>34</v>
      </c>
      <c r="H2324" t="s">
        <v>56</v>
      </c>
      <c r="I2324" t="s">
        <v>97</v>
      </c>
      <c r="J2324" t="s">
        <v>50</v>
      </c>
      <c r="K2324" t="s">
        <v>58</v>
      </c>
      <c r="L2324">
        <v>1</v>
      </c>
      <c r="M2324">
        <v>217</v>
      </c>
      <c r="N2324">
        <v>0</v>
      </c>
      <c r="O2324">
        <v>40</v>
      </c>
      <c r="P2324">
        <v>217</v>
      </c>
      <c r="Q2324">
        <v>257</v>
      </c>
      <c r="R2324" t="s">
        <v>39</v>
      </c>
      <c r="S2324" t="s">
        <v>31</v>
      </c>
      <c r="T2324" t="s">
        <v>40</v>
      </c>
      <c r="U2324">
        <v>41</v>
      </c>
      <c r="V2324">
        <v>3.9</v>
      </c>
      <c r="W2324">
        <f>Table2[[#This Row],[Quantity]]*Table2[[#This Row],[Item_Price]]</f>
        <v>217</v>
      </c>
    </row>
    <row r="2325" spans="1:23" x14ac:dyDescent="0.25">
      <c r="A2325" t="s">
        <v>2424</v>
      </c>
      <c r="B2325" s="1">
        <v>45823</v>
      </c>
      <c r="C2325" t="s">
        <v>2191</v>
      </c>
      <c r="D2325">
        <v>6</v>
      </c>
      <c r="E2325">
        <v>15</v>
      </c>
      <c r="F2325" t="s">
        <v>149</v>
      </c>
      <c r="G2325" t="s">
        <v>55</v>
      </c>
      <c r="H2325" t="s">
        <v>108</v>
      </c>
      <c r="I2325" t="s">
        <v>103</v>
      </c>
      <c r="J2325" t="s">
        <v>123</v>
      </c>
      <c r="K2325" t="s">
        <v>38</v>
      </c>
      <c r="L2325">
        <v>2</v>
      </c>
      <c r="M2325">
        <v>632</v>
      </c>
      <c r="N2325">
        <v>0</v>
      </c>
      <c r="O2325">
        <v>0</v>
      </c>
      <c r="P2325">
        <v>1264</v>
      </c>
      <c r="Q2325">
        <v>1264</v>
      </c>
      <c r="R2325" t="s">
        <v>39</v>
      </c>
      <c r="S2325" t="s">
        <v>31</v>
      </c>
      <c r="T2325" t="s">
        <v>40</v>
      </c>
      <c r="U2325">
        <v>38</v>
      </c>
      <c r="V2325">
        <v>4.4000000000000004</v>
      </c>
      <c r="W2325">
        <f>Table2[[#This Row],[Quantity]]*Table2[[#This Row],[Item_Price]]</f>
        <v>1264</v>
      </c>
    </row>
    <row r="2326" spans="1:23" x14ac:dyDescent="0.25">
      <c r="A2326" t="s">
        <v>2425</v>
      </c>
      <c r="B2326" s="1">
        <v>45823</v>
      </c>
      <c r="C2326" t="s">
        <v>2191</v>
      </c>
      <c r="D2326">
        <v>6</v>
      </c>
      <c r="E2326">
        <v>15</v>
      </c>
      <c r="F2326" t="s">
        <v>149</v>
      </c>
      <c r="G2326" t="s">
        <v>80</v>
      </c>
      <c r="H2326" t="s">
        <v>60</v>
      </c>
      <c r="I2326" t="s">
        <v>85</v>
      </c>
      <c r="J2326" t="s">
        <v>101</v>
      </c>
      <c r="K2326" t="s">
        <v>38</v>
      </c>
      <c r="L2326">
        <v>2</v>
      </c>
      <c r="M2326">
        <v>297</v>
      </c>
      <c r="N2326">
        <v>59.4</v>
      </c>
      <c r="O2326">
        <v>60</v>
      </c>
      <c r="P2326">
        <v>594</v>
      </c>
      <c r="Q2326">
        <v>594.6</v>
      </c>
      <c r="R2326" t="s">
        <v>112</v>
      </c>
      <c r="S2326" t="s">
        <v>31</v>
      </c>
      <c r="T2326" t="s">
        <v>40</v>
      </c>
      <c r="U2326">
        <v>68</v>
      </c>
      <c r="V2326">
        <v>4.2</v>
      </c>
      <c r="W2326">
        <f>Table2[[#This Row],[Quantity]]*Table2[[#This Row],[Item_Price]]</f>
        <v>594</v>
      </c>
    </row>
    <row r="2327" spans="1:23" x14ac:dyDescent="0.25">
      <c r="A2327" t="s">
        <v>2426</v>
      </c>
      <c r="B2327" s="1">
        <v>45823</v>
      </c>
      <c r="C2327" t="s">
        <v>2191</v>
      </c>
      <c r="D2327">
        <v>6</v>
      </c>
      <c r="E2327">
        <v>15</v>
      </c>
      <c r="F2327" t="s">
        <v>149</v>
      </c>
      <c r="G2327" t="s">
        <v>115</v>
      </c>
      <c r="H2327" t="s">
        <v>65</v>
      </c>
      <c r="I2327" t="s">
        <v>69</v>
      </c>
      <c r="J2327" t="s">
        <v>50</v>
      </c>
      <c r="K2327" t="s">
        <v>38</v>
      </c>
      <c r="L2327">
        <v>1</v>
      </c>
      <c r="M2327">
        <v>568</v>
      </c>
      <c r="N2327">
        <v>85.2</v>
      </c>
      <c r="O2327">
        <v>40</v>
      </c>
      <c r="P2327">
        <v>568</v>
      </c>
      <c r="Q2327">
        <v>522.79999999999995</v>
      </c>
      <c r="R2327" t="s">
        <v>98</v>
      </c>
      <c r="S2327" t="s">
        <v>31</v>
      </c>
      <c r="T2327" t="s">
        <v>40</v>
      </c>
      <c r="U2327">
        <v>29</v>
      </c>
      <c r="V2327">
        <v>4</v>
      </c>
      <c r="W2327">
        <f>Table2[[#This Row],[Quantity]]*Table2[[#This Row],[Item_Price]]</f>
        <v>568</v>
      </c>
    </row>
    <row r="2328" spans="1:23" x14ac:dyDescent="0.25">
      <c r="A2328" t="s">
        <v>2427</v>
      </c>
      <c r="B2328" s="1">
        <v>45823</v>
      </c>
      <c r="C2328" t="s">
        <v>2191</v>
      </c>
      <c r="D2328">
        <v>6</v>
      </c>
      <c r="E2328">
        <v>15</v>
      </c>
      <c r="F2328" t="s">
        <v>149</v>
      </c>
      <c r="G2328" t="s">
        <v>64</v>
      </c>
      <c r="H2328" t="s">
        <v>48</v>
      </c>
      <c r="I2328" t="s">
        <v>49</v>
      </c>
      <c r="J2328" t="s">
        <v>119</v>
      </c>
      <c r="K2328" t="s">
        <v>38</v>
      </c>
      <c r="L2328">
        <v>2</v>
      </c>
      <c r="M2328">
        <v>240</v>
      </c>
      <c r="N2328">
        <v>0</v>
      </c>
      <c r="O2328">
        <v>70</v>
      </c>
      <c r="P2328">
        <v>480</v>
      </c>
      <c r="Q2328">
        <v>550</v>
      </c>
      <c r="R2328" t="s">
        <v>39</v>
      </c>
      <c r="S2328" t="s">
        <v>31</v>
      </c>
      <c r="T2328" t="s">
        <v>40</v>
      </c>
      <c r="U2328">
        <v>39</v>
      </c>
      <c r="V2328">
        <v>3.1</v>
      </c>
      <c r="W2328">
        <f>Table2[[#This Row],[Quantity]]*Table2[[#This Row],[Item_Price]]</f>
        <v>480</v>
      </c>
    </row>
    <row r="2329" spans="1:23" x14ac:dyDescent="0.25">
      <c r="A2329" t="s">
        <v>2428</v>
      </c>
      <c r="B2329" s="1">
        <v>45823</v>
      </c>
      <c r="C2329" t="s">
        <v>2191</v>
      </c>
      <c r="D2329">
        <v>6</v>
      </c>
      <c r="E2329">
        <v>15</v>
      </c>
      <c r="F2329" t="s">
        <v>149</v>
      </c>
      <c r="G2329" t="s">
        <v>80</v>
      </c>
      <c r="H2329" t="s">
        <v>52</v>
      </c>
      <c r="I2329" t="s">
        <v>61</v>
      </c>
      <c r="J2329" t="s">
        <v>70</v>
      </c>
      <c r="K2329" t="s">
        <v>45</v>
      </c>
      <c r="L2329">
        <v>1</v>
      </c>
      <c r="M2329">
        <v>613</v>
      </c>
      <c r="N2329">
        <v>153.25</v>
      </c>
      <c r="O2329">
        <v>30</v>
      </c>
      <c r="P2329">
        <v>613</v>
      </c>
      <c r="Q2329">
        <v>489.75</v>
      </c>
      <c r="R2329" t="s">
        <v>98</v>
      </c>
      <c r="S2329" t="s">
        <v>31</v>
      </c>
      <c r="T2329" t="s">
        <v>40</v>
      </c>
      <c r="U2329">
        <v>66</v>
      </c>
      <c r="V2329">
        <v>4.8</v>
      </c>
      <c r="W2329">
        <f>Table2[[#This Row],[Quantity]]*Table2[[#This Row],[Item_Price]]</f>
        <v>613</v>
      </c>
    </row>
    <row r="2330" spans="1:23" x14ac:dyDescent="0.25">
      <c r="A2330" t="s">
        <v>2429</v>
      </c>
      <c r="B2330" s="1">
        <v>45823</v>
      </c>
      <c r="C2330" t="s">
        <v>2191</v>
      </c>
      <c r="D2330">
        <v>6</v>
      </c>
      <c r="E2330">
        <v>15</v>
      </c>
      <c r="F2330" t="s">
        <v>149</v>
      </c>
      <c r="G2330" t="s">
        <v>64</v>
      </c>
      <c r="H2330" t="s">
        <v>56</v>
      </c>
      <c r="I2330" t="s">
        <v>57</v>
      </c>
      <c r="J2330" t="s">
        <v>62</v>
      </c>
      <c r="K2330" t="s">
        <v>38</v>
      </c>
      <c r="L2330">
        <v>2</v>
      </c>
      <c r="M2330">
        <v>125</v>
      </c>
      <c r="N2330">
        <v>25</v>
      </c>
      <c r="O2330">
        <v>60</v>
      </c>
      <c r="P2330">
        <v>250</v>
      </c>
      <c r="Q2330">
        <v>285</v>
      </c>
      <c r="R2330" t="s">
        <v>75</v>
      </c>
      <c r="S2330" t="s">
        <v>31</v>
      </c>
      <c r="T2330" t="s">
        <v>40</v>
      </c>
      <c r="U2330">
        <v>64</v>
      </c>
      <c r="V2330">
        <v>4.2</v>
      </c>
      <c r="W2330">
        <f>Table2[[#This Row],[Quantity]]*Table2[[#This Row],[Item_Price]]</f>
        <v>250</v>
      </c>
    </row>
    <row r="2331" spans="1:23" x14ac:dyDescent="0.25">
      <c r="A2331" t="s">
        <v>2430</v>
      </c>
      <c r="B2331" s="1">
        <v>45823</v>
      </c>
      <c r="C2331" t="s">
        <v>2191</v>
      </c>
      <c r="D2331">
        <v>6</v>
      </c>
      <c r="E2331">
        <v>15</v>
      </c>
      <c r="F2331" t="s">
        <v>149</v>
      </c>
      <c r="G2331" t="s">
        <v>55</v>
      </c>
      <c r="H2331" t="s">
        <v>60</v>
      </c>
      <c r="I2331" t="s">
        <v>97</v>
      </c>
      <c r="J2331" t="s">
        <v>119</v>
      </c>
      <c r="K2331" t="s">
        <v>38</v>
      </c>
      <c r="L2331">
        <v>2</v>
      </c>
      <c r="M2331">
        <v>633</v>
      </c>
      <c r="N2331">
        <v>94.95</v>
      </c>
      <c r="O2331">
        <v>20</v>
      </c>
      <c r="P2331">
        <v>1266</v>
      </c>
      <c r="Q2331">
        <v>1191.05</v>
      </c>
      <c r="R2331" t="s">
        <v>112</v>
      </c>
      <c r="S2331" t="s">
        <v>31</v>
      </c>
      <c r="T2331" t="s">
        <v>40</v>
      </c>
      <c r="U2331">
        <v>35</v>
      </c>
      <c r="V2331">
        <v>4.5</v>
      </c>
      <c r="W2331">
        <f>Table2[[#This Row],[Quantity]]*Table2[[#This Row],[Item_Price]]</f>
        <v>1266</v>
      </c>
    </row>
    <row r="2332" spans="1:23" x14ac:dyDescent="0.25">
      <c r="A2332" t="s">
        <v>2431</v>
      </c>
      <c r="B2332" s="1">
        <v>45823</v>
      </c>
      <c r="C2332" t="s">
        <v>2191</v>
      </c>
      <c r="D2332">
        <v>6</v>
      </c>
      <c r="E2332">
        <v>15</v>
      </c>
      <c r="F2332" t="s">
        <v>149</v>
      </c>
      <c r="G2332" t="s">
        <v>55</v>
      </c>
      <c r="H2332" t="s">
        <v>81</v>
      </c>
      <c r="I2332" t="s">
        <v>36</v>
      </c>
      <c r="J2332" t="s">
        <v>44</v>
      </c>
      <c r="K2332" t="s">
        <v>38</v>
      </c>
      <c r="L2332">
        <v>1</v>
      </c>
      <c r="M2332">
        <v>405</v>
      </c>
      <c r="N2332">
        <v>20.25</v>
      </c>
      <c r="O2332">
        <v>50</v>
      </c>
      <c r="P2332">
        <v>405</v>
      </c>
      <c r="Q2332">
        <v>434.75</v>
      </c>
      <c r="R2332" t="s">
        <v>75</v>
      </c>
      <c r="S2332" t="s">
        <v>31</v>
      </c>
      <c r="T2332" t="s">
        <v>40</v>
      </c>
      <c r="U2332">
        <v>51</v>
      </c>
      <c r="V2332">
        <v>4.0999999999999996</v>
      </c>
      <c r="W2332">
        <f>Table2[[#This Row],[Quantity]]*Table2[[#This Row],[Item_Price]]</f>
        <v>405</v>
      </c>
    </row>
    <row r="2333" spans="1:23" x14ac:dyDescent="0.25">
      <c r="A2333" t="s">
        <v>2432</v>
      </c>
      <c r="B2333" s="1">
        <v>45823</v>
      </c>
      <c r="C2333" t="s">
        <v>2191</v>
      </c>
      <c r="D2333">
        <v>6</v>
      </c>
      <c r="E2333">
        <v>15</v>
      </c>
      <c r="F2333" t="s">
        <v>149</v>
      </c>
      <c r="G2333" t="s">
        <v>73</v>
      </c>
      <c r="H2333" t="s">
        <v>26</v>
      </c>
      <c r="I2333" t="s">
        <v>27</v>
      </c>
      <c r="J2333" t="s">
        <v>119</v>
      </c>
      <c r="K2333" t="s">
        <v>45</v>
      </c>
      <c r="L2333">
        <v>3</v>
      </c>
      <c r="M2333">
        <v>497</v>
      </c>
      <c r="N2333">
        <v>99.4</v>
      </c>
      <c r="O2333">
        <v>0</v>
      </c>
      <c r="P2333">
        <v>1491</v>
      </c>
      <c r="Q2333">
        <v>1391.6</v>
      </c>
      <c r="R2333" t="s">
        <v>30</v>
      </c>
      <c r="S2333" t="s">
        <v>31</v>
      </c>
      <c r="T2333" t="s">
        <v>40</v>
      </c>
      <c r="U2333">
        <v>33</v>
      </c>
      <c r="V2333">
        <v>4.9000000000000004</v>
      </c>
      <c r="W2333">
        <f>Table2[[#This Row],[Quantity]]*Table2[[#This Row],[Item_Price]]</f>
        <v>1491</v>
      </c>
    </row>
    <row r="2334" spans="1:23" x14ac:dyDescent="0.25">
      <c r="A2334" t="s">
        <v>2433</v>
      </c>
      <c r="B2334" s="1">
        <v>45824</v>
      </c>
      <c r="C2334" t="s">
        <v>2191</v>
      </c>
      <c r="D2334">
        <v>6</v>
      </c>
      <c r="E2334">
        <v>16</v>
      </c>
      <c r="F2334" t="s">
        <v>168</v>
      </c>
      <c r="G2334" t="s">
        <v>55</v>
      </c>
      <c r="H2334" t="s">
        <v>56</v>
      </c>
      <c r="I2334" t="s">
        <v>36</v>
      </c>
      <c r="J2334" t="s">
        <v>28</v>
      </c>
      <c r="K2334" t="s">
        <v>38</v>
      </c>
      <c r="L2334">
        <v>3</v>
      </c>
      <c r="M2334">
        <v>313</v>
      </c>
      <c r="N2334">
        <v>46.95</v>
      </c>
      <c r="O2334">
        <v>40</v>
      </c>
      <c r="P2334">
        <v>939</v>
      </c>
      <c r="Q2334">
        <v>932.05</v>
      </c>
      <c r="R2334" t="s">
        <v>39</v>
      </c>
      <c r="S2334" t="s">
        <v>31</v>
      </c>
      <c r="T2334" t="s">
        <v>40</v>
      </c>
      <c r="U2334">
        <v>18</v>
      </c>
      <c r="V2334">
        <v>2.6</v>
      </c>
      <c r="W2334">
        <f>Table2[[#This Row],[Quantity]]*Table2[[#This Row],[Item_Price]]</f>
        <v>939</v>
      </c>
    </row>
    <row r="2335" spans="1:23" x14ac:dyDescent="0.25">
      <c r="A2335" t="s">
        <v>2434</v>
      </c>
      <c r="B2335" s="1">
        <v>45824</v>
      </c>
      <c r="C2335" t="s">
        <v>2191</v>
      </c>
      <c r="D2335">
        <v>6</v>
      </c>
      <c r="E2335">
        <v>16</v>
      </c>
      <c r="F2335" t="s">
        <v>168</v>
      </c>
      <c r="G2335" t="s">
        <v>64</v>
      </c>
      <c r="H2335" t="s">
        <v>135</v>
      </c>
      <c r="I2335" t="s">
        <v>27</v>
      </c>
      <c r="J2335" t="s">
        <v>66</v>
      </c>
      <c r="K2335" t="s">
        <v>38</v>
      </c>
      <c r="L2335">
        <v>1</v>
      </c>
      <c r="M2335">
        <v>675</v>
      </c>
      <c r="N2335">
        <v>168.75</v>
      </c>
      <c r="O2335">
        <v>50</v>
      </c>
      <c r="P2335">
        <v>675</v>
      </c>
      <c r="Q2335">
        <v>556.25</v>
      </c>
      <c r="R2335" t="s">
        <v>98</v>
      </c>
      <c r="S2335" t="s">
        <v>31</v>
      </c>
      <c r="T2335" t="s">
        <v>40</v>
      </c>
      <c r="U2335">
        <v>63</v>
      </c>
      <c r="V2335">
        <v>4.0999999999999996</v>
      </c>
      <c r="W2335">
        <f>Table2[[#This Row],[Quantity]]*Table2[[#This Row],[Item_Price]]</f>
        <v>675</v>
      </c>
    </row>
    <row r="2336" spans="1:23" x14ac:dyDescent="0.25">
      <c r="A2336" t="s">
        <v>2435</v>
      </c>
      <c r="B2336" s="1">
        <v>45824</v>
      </c>
      <c r="C2336" t="s">
        <v>2191</v>
      </c>
      <c r="D2336">
        <v>6</v>
      </c>
      <c r="E2336">
        <v>16</v>
      </c>
      <c r="F2336" t="s">
        <v>168</v>
      </c>
      <c r="G2336" t="s">
        <v>34</v>
      </c>
      <c r="H2336" t="s">
        <v>108</v>
      </c>
      <c r="I2336" t="s">
        <v>43</v>
      </c>
      <c r="J2336" t="s">
        <v>28</v>
      </c>
      <c r="K2336" t="s">
        <v>45</v>
      </c>
      <c r="L2336">
        <v>2</v>
      </c>
      <c r="M2336">
        <v>434</v>
      </c>
      <c r="N2336">
        <v>21.7</v>
      </c>
      <c r="O2336">
        <v>20</v>
      </c>
      <c r="P2336">
        <v>868</v>
      </c>
      <c r="Q2336">
        <v>866.3</v>
      </c>
      <c r="R2336" t="s">
        <v>98</v>
      </c>
      <c r="S2336" t="s">
        <v>31</v>
      </c>
      <c r="T2336" t="s">
        <v>32</v>
      </c>
      <c r="U2336">
        <v>39</v>
      </c>
      <c r="V2336">
        <v>4.4000000000000004</v>
      </c>
      <c r="W2336">
        <f>Table2[[#This Row],[Quantity]]*Table2[[#This Row],[Item_Price]]</f>
        <v>868</v>
      </c>
    </row>
    <row r="2337" spans="1:23" x14ac:dyDescent="0.25">
      <c r="A2337" t="s">
        <v>2436</v>
      </c>
      <c r="B2337" s="1">
        <v>45824</v>
      </c>
      <c r="C2337" t="s">
        <v>2191</v>
      </c>
      <c r="D2337">
        <v>6</v>
      </c>
      <c r="E2337">
        <v>16</v>
      </c>
      <c r="F2337" t="s">
        <v>168</v>
      </c>
      <c r="G2337" t="s">
        <v>96</v>
      </c>
      <c r="H2337" t="s">
        <v>42</v>
      </c>
      <c r="I2337" t="s">
        <v>49</v>
      </c>
      <c r="J2337" t="s">
        <v>94</v>
      </c>
      <c r="K2337" t="s">
        <v>38</v>
      </c>
      <c r="L2337">
        <v>1</v>
      </c>
      <c r="M2337">
        <v>156</v>
      </c>
      <c r="N2337">
        <v>15.6</v>
      </c>
      <c r="O2337">
        <v>50</v>
      </c>
      <c r="P2337">
        <v>156</v>
      </c>
      <c r="Q2337">
        <v>190.4</v>
      </c>
      <c r="R2337" t="s">
        <v>30</v>
      </c>
      <c r="S2337" t="s">
        <v>46</v>
      </c>
      <c r="T2337" t="s">
        <v>40</v>
      </c>
      <c r="U2337">
        <v>32</v>
      </c>
      <c r="W2337">
        <f>Table2[[#This Row],[Quantity]]*Table2[[#This Row],[Item_Price]]</f>
        <v>156</v>
      </c>
    </row>
    <row r="2338" spans="1:23" x14ac:dyDescent="0.25">
      <c r="A2338" t="s">
        <v>2437</v>
      </c>
      <c r="B2338" s="1">
        <v>45824</v>
      </c>
      <c r="C2338" t="s">
        <v>2191</v>
      </c>
      <c r="D2338">
        <v>6</v>
      </c>
      <c r="E2338">
        <v>16</v>
      </c>
      <c r="F2338" t="s">
        <v>168</v>
      </c>
      <c r="G2338" t="s">
        <v>64</v>
      </c>
      <c r="H2338" t="s">
        <v>56</v>
      </c>
      <c r="I2338" t="s">
        <v>97</v>
      </c>
      <c r="J2338" t="s">
        <v>172</v>
      </c>
      <c r="K2338" t="s">
        <v>58</v>
      </c>
      <c r="L2338">
        <v>2</v>
      </c>
      <c r="M2338">
        <v>305</v>
      </c>
      <c r="N2338">
        <v>61</v>
      </c>
      <c r="O2338">
        <v>70</v>
      </c>
      <c r="P2338">
        <v>610</v>
      </c>
      <c r="Q2338">
        <v>619</v>
      </c>
      <c r="R2338" t="s">
        <v>75</v>
      </c>
      <c r="S2338" t="s">
        <v>31</v>
      </c>
      <c r="T2338" t="s">
        <v>40</v>
      </c>
      <c r="U2338">
        <v>19</v>
      </c>
      <c r="V2338">
        <v>5</v>
      </c>
      <c r="W2338">
        <f>Table2[[#This Row],[Quantity]]*Table2[[#This Row],[Item_Price]]</f>
        <v>610</v>
      </c>
    </row>
    <row r="2339" spans="1:23" x14ac:dyDescent="0.25">
      <c r="A2339" t="s">
        <v>2438</v>
      </c>
      <c r="B2339" s="1">
        <v>45824</v>
      </c>
      <c r="C2339" t="s">
        <v>2191</v>
      </c>
      <c r="D2339">
        <v>6</v>
      </c>
      <c r="E2339">
        <v>16</v>
      </c>
      <c r="F2339" t="s">
        <v>168</v>
      </c>
      <c r="G2339" t="s">
        <v>80</v>
      </c>
      <c r="H2339" t="s">
        <v>56</v>
      </c>
      <c r="I2339" t="s">
        <v>85</v>
      </c>
      <c r="J2339" t="s">
        <v>28</v>
      </c>
      <c r="K2339" t="s">
        <v>45</v>
      </c>
      <c r="L2339">
        <v>1</v>
      </c>
      <c r="M2339">
        <v>205</v>
      </c>
      <c r="N2339">
        <v>10.25</v>
      </c>
      <c r="O2339">
        <v>40</v>
      </c>
      <c r="P2339">
        <v>205</v>
      </c>
      <c r="Q2339">
        <v>234.75</v>
      </c>
      <c r="R2339" t="s">
        <v>39</v>
      </c>
      <c r="S2339" t="s">
        <v>31</v>
      </c>
      <c r="T2339" t="s">
        <v>32</v>
      </c>
      <c r="U2339">
        <v>21</v>
      </c>
      <c r="V2339">
        <v>3.6</v>
      </c>
      <c r="W2339">
        <f>Table2[[#This Row],[Quantity]]*Table2[[#This Row],[Item_Price]]</f>
        <v>205</v>
      </c>
    </row>
    <row r="2340" spans="1:23" x14ac:dyDescent="0.25">
      <c r="A2340" t="s">
        <v>2439</v>
      </c>
      <c r="B2340" s="1">
        <v>45824</v>
      </c>
      <c r="C2340" t="s">
        <v>2191</v>
      </c>
      <c r="D2340">
        <v>6</v>
      </c>
      <c r="E2340">
        <v>16</v>
      </c>
      <c r="F2340" t="s">
        <v>168</v>
      </c>
      <c r="G2340" t="s">
        <v>80</v>
      </c>
      <c r="H2340" t="s">
        <v>48</v>
      </c>
      <c r="I2340" t="s">
        <v>27</v>
      </c>
      <c r="J2340" t="s">
        <v>37</v>
      </c>
      <c r="K2340" t="s">
        <v>45</v>
      </c>
      <c r="L2340">
        <v>2</v>
      </c>
      <c r="M2340">
        <v>154</v>
      </c>
      <c r="N2340">
        <v>15.4</v>
      </c>
      <c r="O2340">
        <v>60</v>
      </c>
      <c r="P2340">
        <v>308</v>
      </c>
      <c r="Q2340">
        <v>352.6</v>
      </c>
      <c r="R2340" t="s">
        <v>39</v>
      </c>
      <c r="S2340" t="s">
        <v>31</v>
      </c>
      <c r="T2340" t="s">
        <v>40</v>
      </c>
      <c r="U2340">
        <v>34</v>
      </c>
      <c r="V2340">
        <v>4.5</v>
      </c>
      <c r="W2340">
        <f>Table2[[#This Row],[Quantity]]*Table2[[#This Row],[Item_Price]]</f>
        <v>308</v>
      </c>
    </row>
    <row r="2341" spans="1:23" x14ac:dyDescent="0.25">
      <c r="A2341" t="s">
        <v>2440</v>
      </c>
      <c r="B2341" s="1">
        <v>45824</v>
      </c>
      <c r="C2341" t="s">
        <v>2191</v>
      </c>
      <c r="D2341">
        <v>6</v>
      </c>
      <c r="E2341">
        <v>16</v>
      </c>
      <c r="F2341" t="s">
        <v>168</v>
      </c>
      <c r="G2341" t="s">
        <v>80</v>
      </c>
      <c r="H2341" t="s">
        <v>77</v>
      </c>
      <c r="I2341" t="s">
        <v>36</v>
      </c>
      <c r="J2341" t="s">
        <v>119</v>
      </c>
      <c r="K2341" t="s">
        <v>38</v>
      </c>
      <c r="L2341">
        <v>1</v>
      </c>
      <c r="M2341">
        <v>548</v>
      </c>
      <c r="N2341">
        <v>54.8</v>
      </c>
      <c r="O2341">
        <v>0</v>
      </c>
      <c r="P2341">
        <v>548</v>
      </c>
      <c r="Q2341">
        <v>493.2</v>
      </c>
      <c r="R2341" t="s">
        <v>39</v>
      </c>
      <c r="S2341" t="s">
        <v>31</v>
      </c>
      <c r="T2341" t="s">
        <v>32</v>
      </c>
      <c r="U2341">
        <v>28</v>
      </c>
      <c r="V2341">
        <v>4.2</v>
      </c>
      <c r="W2341">
        <f>Table2[[#This Row],[Quantity]]*Table2[[#This Row],[Item_Price]]</f>
        <v>548</v>
      </c>
    </row>
    <row r="2342" spans="1:23" x14ac:dyDescent="0.25">
      <c r="A2342" t="s">
        <v>2441</v>
      </c>
      <c r="B2342" s="1">
        <v>45824</v>
      </c>
      <c r="C2342" t="s">
        <v>2191</v>
      </c>
      <c r="D2342">
        <v>6</v>
      </c>
      <c r="E2342">
        <v>16</v>
      </c>
      <c r="F2342" t="s">
        <v>168</v>
      </c>
      <c r="G2342" t="s">
        <v>73</v>
      </c>
      <c r="H2342" t="s">
        <v>42</v>
      </c>
      <c r="I2342" t="s">
        <v>57</v>
      </c>
      <c r="J2342" t="s">
        <v>44</v>
      </c>
      <c r="K2342" t="s">
        <v>45</v>
      </c>
      <c r="L2342">
        <v>2</v>
      </c>
      <c r="M2342">
        <v>327</v>
      </c>
      <c r="N2342">
        <v>16.350000000000001</v>
      </c>
      <c r="O2342">
        <v>0</v>
      </c>
      <c r="P2342">
        <v>654</v>
      </c>
      <c r="Q2342">
        <v>637.65</v>
      </c>
      <c r="R2342" t="s">
        <v>112</v>
      </c>
      <c r="S2342" t="s">
        <v>31</v>
      </c>
      <c r="T2342" t="s">
        <v>40</v>
      </c>
      <c r="U2342">
        <v>69</v>
      </c>
      <c r="V2342">
        <v>3.8</v>
      </c>
      <c r="W2342">
        <f>Table2[[#This Row],[Quantity]]*Table2[[#This Row],[Item_Price]]</f>
        <v>654</v>
      </c>
    </row>
    <row r="2343" spans="1:23" x14ac:dyDescent="0.25">
      <c r="A2343" t="s">
        <v>2442</v>
      </c>
      <c r="B2343" s="1">
        <v>45824</v>
      </c>
      <c r="C2343" t="s">
        <v>2191</v>
      </c>
      <c r="D2343">
        <v>6</v>
      </c>
      <c r="E2343">
        <v>16</v>
      </c>
      <c r="F2343" t="s">
        <v>168</v>
      </c>
      <c r="G2343" t="s">
        <v>90</v>
      </c>
      <c r="H2343" t="s">
        <v>52</v>
      </c>
      <c r="I2343" t="s">
        <v>61</v>
      </c>
      <c r="J2343" t="s">
        <v>119</v>
      </c>
      <c r="K2343" t="s">
        <v>45</v>
      </c>
      <c r="L2343">
        <v>1</v>
      </c>
      <c r="M2343">
        <v>852</v>
      </c>
      <c r="N2343">
        <v>213</v>
      </c>
      <c r="O2343">
        <v>70</v>
      </c>
      <c r="P2343">
        <v>852</v>
      </c>
      <c r="Q2343">
        <v>709</v>
      </c>
      <c r="R2343" t="s">
        <v>112</v>
      </c>
      <c r="S2343" t="s">
        <v>31</v>
      </c>
      <c r="T2343" t="s">
        <v>40</v>
      </c>
      <c r="U2343">
        <v>39</v>
      </c>
      <c r="V2343">
        <v>4.4000000000000004</v>
      </c>
      <c r="W2343">
        <f>Table2[[#This Row],[Quantity]]*Table2[[#This Row],[Item_Price]]</f>
        <v>852</v>
      </c>
    </row>
    <row r="2344" spans="1:23" x14ac:dyDescent="0.25">
      <c r="A2344" t="s">
        <v>2443</v>
      </c>
      <c r="B2344" s="1">
        <v>45824</v>
      </c>
      <c r="C2344" t="s">
        <v>2191</v>
      </c>
      <c r="D2344">
        <v>6</v>
      </c>
      <c r="E2344">
        <v>16</v>
      </c>
      <c r="F2344" t="s">
        <v>168</v>
      </c>
      <c r="G2344" t="s">
        <v>34</v>
      </c>
      <c r="H2344" t="s">
        <v>60</v>
      </c>
      <c r="I2344" t="s">
        <v>43</v>
      </c>
      <c r="J2344" t="s">
        <v>50</v>
      </c>
      <c r="K2344" t="s">
        <v>38</v>
      </c>
      <c r="L2344">
        <v>2</v>
      </c>
      <c r="M2344">
        <v>141</v>
      </c>
      <c r="N2344">
        <v>21.15</v>
      </c>
      <c r="O2344">
        <v>40</v>
      </c>
      <c r="P2344">
        <v>282</v>
      </c>
      <c r="Q2344">
        <v>300.85000000000002</v>
      </c>
      <c r="R2344" t="s">
        <v>98</v>
      </c>
      <c r="S2344" t="s">
        <v>91</v>
      </c>
      <c r="T2344" t="s">
        <v>40</v>
      </c>
      <c r="U2344">
        <v>21</v>
      </c>
      <c r="W2344">
        <f>Table2[[#This Row],[Quantity]]*Table2[[#This Row],[Item_Price]]</f>
        <v>282</v>
      </c>
    </row>
    <row r="2345" spans="1:23" x14ac:dyDescent="0.25">
      <c r="A2345" t="s">
        <v>2444</v>
      </c>
      <c r="B2345" s="1">
        <v>45825</v>
      </c>
      <c r="C2345" t="s">
        <v>2191</v>
      </c>
      <c r="D2345">
        <v>6</v>
      </c>
      <c r="E2345">
        <v>17</v>
      </c>
      <c r="F2345" t="s">
        <v>178</v>
      </c>
      <c r="G2345" t="s">
        <v>34</v>
      </c>
      <c r="H2345" t="s">
        <v>35</v>
      </c>
      <c r="I2345" t="s">
        <v>27</v>
      </c>
      <c r="J2345" t="s">
        <v>119</v>
      </c>
      <c r="K2345" t="s">
        <v>38</v>
      </c>
      <c r="L2345">
        <v>1</v>
      </c>
      <c r="M2345">
        <v>373</v>
      </c>
      <c r="N2345">
        <v>55.95</v>
      </c>
      <c r="O2345">
        <v>70</v>
      </c>
      <c r="P2345">
        <v>373</v>
      </c>
      <c r="Q2345">
        <v>387.05</v>
      </c>
      <c r="R2345" t="s">
        <v>39</v>
      </c>
      <c r="S2345" t="s">
        <v>31</v>
      </c>
      <c r="T2345" t="s">
        <v>32</v>
      </c>
      <c r="U2345">
        <v>63</v>
      </c>
      <c r="V2345">
        <v>4.9000000000000004</v>
      </c>
      <c r="W2345">
        <f>Table2[[#This Row],[Quantity]]*Table2[[#This Row],[Item_Price]]</f>
        <v>373</v>
      </c>
    </row>
    <row r="2346" spans="1:23" x14ac:dyDescent="0.25">
      <c r="A2346" t="s">
        <v>2445</v>
      </c>
      <c r="B2346" s="1">
        <v>45825</v>
      </c>
      <c r="C2346" t="s">
        <v>2191</v>
      </c>
      <c r="D2346">
        <v>6</v>
      </c>
      <c r="E2346">
        <v>17</v>
      </c>
      <c r="F2346" t="s">
        <v>178</v>
      </c>
      <c r="G2346" t="s">
        <v>73</v>
      </c>
      <c r="H2346" t="s">
        <v>35</v>
      </c>
      <c r="I2346" t="s">
        <v>27</v>
      </c>
      <c r="J2346" t="s">
        <v>82</v>
      </c>
      <c r="K2346" t="s">
        <v>45</v>
      </c>
      <c r="L2346">
        <v>2</v>
      </c>
      <c r="M2346">
        <v>357</v>
      </c>
      <c r="N2346">
        <v>17.850000000000001</v>
      </c>
      <c r="O2346">
        <v>30</v>
      </c>
      <c r="P2346">
        <v>714</v>
      </c>
      <c r="Q2346">
        <v>726.15</v>
      </c>
      <c r="R2346" t="s">
        <v>112</v>
      </c>
      <c r="S2346" t="s">
        <v>31</v>
      </c>
      <c r="T2346" t="s">
        <v>40</v>
      </c>
      <c r="U2346">
        <v>30</v>
      </c>
      <c r="V2346">
        <v>3.6</v>
      </c>
      <c r="W2346">
        <f>Table2[[#This Row],[Quantity]]*Table2[[#This Row],[Item_Price]]</f>
        <v>714</v>
      </c>
    </row>
    <row r="2347" spans="1:23" x14ac:dyDescent="0.25">
      <c r="A2347" t="s">
        <v>2446</v>
      </c>
      <c r="B2347" s="1">
        <v>45825</v>
      </c>
      <c r="C2347" t="s">
        <v>2191</v>
      </c>
      <c r="D2347">
        <v>6</v>
      </c>
      <c r="E2347">
        <v>17</v>
      </c>
      <c r="F2347" t="s">
        <v>178</v>
      </c>
      <c r="G2347" t="s">
        <v>64</v>
      </c>
      <c r="H2347" t="s">
        <v>52</v>
      </c>
      <c r="I2347" t="s">
        <v>85</v>
      </c>
      <c r="J2347" t="s">
        <v>101</v>
      </c>
      <c r="K2347" t="s">
        <v>38</v>
      </c>
      <c r="L2347">
        <v>1</v>
      </c>
      <c r="M2347">
        <v>333</v>
      </c>
      <c r="N2347">
        <v>49.95</v>
      </c>
      <c r="O2347">
        <v>40</v>
      </c>
      <c r="P2347">
        <v>333</v>
      </c>
      <c r="Q2347">
        <v>323.05</v>
      </c>
      <c r="R2347" t="s">
        <v>30</v>
      </c>
      <c r="S2347" t="s">
        <v>46</v>
      </c>
      <c r="T2347" t="s">
        <v>40</v>
      </c>
      <c r="U2347">
        <v>34</v>
      </c>
      <c r="W2347">
        <f>Table2[[#This Row],[Quantity]]*Table2[[#This Row],[Item_Price]]</f>
        <v>333</v>
      </c>
    </row>
    <row r="2348" spans="1:23" x14ac:dyDescent="0.25">
      <c r="A2348" t="s">
        <v>2447</v>
      </c>
      <c r="B2348" s="1">
        <v>45825</v>
      </c>
      <c r="C2348" t="s">
        <v>2191</v>
      </c>
      <c r="D2348">
        <v>6</v>
      </c>
      <c r="E2348">
        <v>17</v>
      </c>
      <c r="F2348" t="s">
        <v>178</v>
      </c>
      <c r="G2348" t="s">
        <v>73</v>
      </c>
      <c r="H2348" t="s">
        <v>56</v>
      </c>
      <c r="I2348" t="s">
        <v>61</v>
      </c>
      <c r="J2348" t="s">
        <v>28</v>
      </c>
      <c r="K2348" t="s">
        <v>38</v>
      </c>
      <c r="L2348">
        <v>1</v>
      </c>
      <c r="M2348">
        <v>781</v>
      </c>
      <c r="N2348">
        <v>117.15</v>
      </c>
      <c r="O2348">
        <v>30</v>
      </c>
      <c r="P2348">
        <v>781</v>
      </c>
      <c r="Q2348">
        <v>693.85</v>
      </c>
      <c r="R2348" t="s">
        <v>112</v>
      </c>
      <c r="S2348" t="s">
        <v>31</v>
      </c>
      <c r="T2348" t="s">
        <v>40</v>
      </c>
      <c r="U2348">
        <v>65</v>
      </c>
      <c r="V2348">
        <v>3.3</v>
      </c>
      <c r="W2348">
        <f>Table2[[#This Row],[Quantity]]*Table2[[#This Row],[Item_Price]]</f>
        <v>781</v>
      </c>
    </row>
    <row r="2349" spans="1:23" x14ac:dyDescent="0.25">
      <c r="A2349" t="s">
        <v>2448</v>
      </c>
      <c r="B2349" s="1">
        <v>45825</v>
      </c>
      <c r="C2349" t="s">
        <v>2191</v>
      </c>
      <c r="D2349">
        <v>6</v>
      </c>
      <c r="E2349">
        <v>17</v>
      </c>
      <c r="F2349" t="s">
        <v>178</v>
      </c>
      <c r="G2349" t="s">
        <v>64</v>
      </c>
      <c r="H2349" t="s">
        <v>26</v>
      </c>
      <c r="I2349" t="s">
        <v>69</v>
      </c>
      <c r="J2349" t="s">
        <v>28</v>
      </c>
      <c r="K2349" t="s">
        <v>38</v>
      </c>
      <c r="L2349">
        <v>1</v>
      </c>
      <c r="M2349">
        <v>362</v>
      </c>
      <c r="N2349">
        <v>18.100000000000001</v>
      </c>
      <c r="O2349">
        <v>70</v>
      </c>
      <c r="P2349">
        <v>362</v>
      </c>
      <c r="Q2349">
        <v>413.9</v>
      </c>
      <c r="R2349" t="s">
        <v>98</v>
      </c>
      <c r="S2349" t="s">
        <v>31</v>
      </c>
      <c r="T2349" t="s">
        <v>40</v>
      </c>
      <c r="U2349">
        <v>55</v>
      </c>
      <c r="V2349">
        <v>4.5</v>
      </c>
      <c r="W2349">
        <f>Table2[[#This Row],[Quantity]]*Table2[[#This Row],[Item_Price]]</f>
        <v>362</v>
      </c>
    </row>
    <row r="2350" spans="1:23" x14ac:dyDescent="0.25">
      <c r="A2350" t="s">
        <v>2449</v>
      </c>
      <c r="B2350" s="1">
        <v>45825</v>
      </c>
      <c r="C2350" t="s">
        <v>2191</v>
      </c>
      <c r="D2350">
        <v>6</v>
      </c>
      <c r="E2350">
        <v>17</v>
      </c>
      <c r="F2350" t="s">
        <v>178</v>
      </c>
      <c r="G2350" t="s">
        <v>64</v>
      </c>
      <c r="H2350" t="s">
        <v>26</v>
      </c>
      <c r="I2350" t="s">
        <v>36</v>
      </c>
      <c r="J2350" t="s">
        <v>66</v>
      </c>
      <c r="K2350" t="s">
        <v>38</v>
      </c>
      <c r="L2350">
        <v>2</v>
      </c>
      <c r="M2350">
        <v>321</v>
      </c>
      <c r="N2350">
        <v>80.25</v>
      </c>
      <c r="O2350">
        <v>0</v>
      </c>
      <c r="P2350">
        <v>642</v>
      </c>
      <c r="Q2350">
        <v>561.75</v>
      </c>
      <c r="R2350" t="s">
        <v>75</v>
      </c>
      <c r="S2350" t="s">
        <v>31</v>
      </c>
      <c r="T2350" t="s">
        <v>32</v>
      </c>
      <c r="U2350">
        <v>48</v>
      </c>
      <c r="V2350">
        <v>3.7</v>
      </c>
      <c r="W2350">
        <f>Table2[[#This Row],[Quantity]]*Table2[[#This Row],[Item_Price]]</f>
        <v>642</v>
      </c>
    </row>
    <row r="2351" spans="1:23" x14ac:dyDescent="0.25">
      <c r="A2351" t="s">
        <v>2450</v>
      </c>
      <c r="B2351" s="1">
        <v>45825</v>
      </c>
      <c r="C2351" t="s">
        <v>2191</v>
      </c>
      <c r="D2351">
        <v>6</v>
      </c>
      <c r="E2351">
        <v>17</v>
      </c>
      <c r="F2351" t="s">
        <v>178</v>
      </c>
      <c r="G2351" t="s">
        <v>115</v>
      </c>
      <c r="H2351" t="s">
        <v>139</v>
      </c>
      <c r="I2351" t="s">
        <v>49</v>
      </c>
      <c r="J2351" t="s">
        <v>74</v>
      </c>
      <c r="K2351" t="s">
        <v>38</v>
      </c>
      <c r="L2351">
        <v>2</v>
      </c>
      <c r="M2351">
        <v>709</v>
      </c>
      <c r="N2351">
        <v>106.35</v>
      </c>
      <c r="O2351">
        <v>0</v>
      </c>
      <c r="P2351">
        <v>1418</v>
      </c>
      <c r="Q2351">
        <v>1311.65</v>
      </c>
      <c r="R2351" t="s">
        <v>75</v>
      </c>
      <c r="S2351" t="s">
        <v>31</v>
      </c>
      <c r="T2351" t="s">
        <v>40</v>
      </c>
      <c r="U2351">
        <v>37</v>
      </c>
      <c r="V2351">
        <v>5</v>
      </c>
      <c r="W2351">
        <f>Table2[[#This Row],[Quantity]]*Table2[[#This Row],[Item_Price]]</f>
        <v>1418</v>
      </c>
    </row>
    <row r="2352" spans="1:23" x14ac:dyDescent="0.25">
      <c r="A2352" t="s">
        <v>2451</v>
      </c>
      <c r="B2352" s="1">
        <v>45825</v>
      </c>
      <c r="C2352" t="s">
        <v>2191</v>
      </c>
      <c r="D2352">
        <v>6</v>
      </c>
      <c r="E2352">
        <v>17</v>
      </c>
      <c r="F2352" t="s">
        <v>178</v>
      </c>
      <c r="G2352" t="s">
        <v>73</v>
      </c>
      <c r="H2352" t="s">
        <v>108</v>
      </c>
      <c r="I2352" t="s">
        <v>43</v>
      </c>
      <c r="J2352" t="s">
        <v>37</v>
      </c>
      <c r="K2352" t="s">
        <v>38</v>
      </c>
      <c r="L2352">
        <v>1</v>
      </c>
      <c r="M2352">
        <v>233</v>
      </c>
      <c r="N2352">
        <v>58.25</v>
      </c>
      <c r="O2352">
        <v>40</v>
      </c>
      <c r="P2352">
        <v>233</v>
      </c>
      <c r="Q2352">
        <v>214.75</v>
      </c>
      <c r="R2352" t="s">
        <v>30</v>
      </c>
      <c r="S2352" t="s">
        <v>46</v>
      </c>
      <c r="T2352" t="s">
        <v>32</v>
      </c>
      <c r="U2352">
        <v>43</v>
      </c>
      <c r="W2352">
        <f>Table2[[#This Row],[Quantity]]*Table2[[#This Row],[Item_Price]]</f>
        <v>233</v>
      </c>
    </row>
    <row r="2353" spans="1:23" x14ac:dyDescent="0.25">
      <c r="A2353" t="s">
        <v>2452</v>
      </c>
      <c r="B2353" s="1">
        <v>45825</v>
      </c>
      <c r="C2353" t="s">
        <v>2191</v>
      </c>
      <c r="D2353">
        <v>6</v>
      </c>
      <c r="E2353">
        <v>17</v>
      </c>
      <c r="F2353" t="s">
        <v>178</v>
      </c>
      <c r="G2353" t="s">
        <v>80</v>
      </c>
      <c r="H2353" t="s">
        <v>139</v>
      </c>
      <c r="I2353" t="s">
        <v>103</v>
      </c>
      <c r="J2353" t="s">
        <v>123</v>
      </c>
      <c r="K2353" t="s">
        <v>38</v>
      </c>
      <c r="L2353">
        <v>1</v>
      </c>
      <c r="M2353">
        <v>455</v>
      </c>
      <c r="N2353">
        <v>113.75</v>
      </c>
      <c r="O2353">
        <v>40</v>
      </c>
      <c r="P2353">
        <v>455</v>
      </c>
      <c r="Q2353">
        <v>381.25</v>
      </c>
      <c r="R2353" t="s">
        <v>30</v>
      </c>
      <c r="S2353" t="s">
        <v>110</v>
      </c>
      <c r="T2353" t="s">
        <v>40</v>
      </c>
      <c r="U2353">
        <v>59</v>
      </c>
      <c r="W2353">
        <f>Table2[[#This Row],[Quantity]]*Table2[[#This Row],[Item_Price]]</f>
        <v>455</v>
      </c>
    </row>
    <row r="2354" spans="1:23" x14ac:dyDescent="0.25">
      <c r="A2354" t="s">
        <v>2453</v>
      </c>
      <c r="B2354" s="1">
        <v>45825</v>
      </c>
      <c r="C2354" t="s">
        <v>2191</v>
      </c>
      <c r="D2354">
        <v>6</v>
      </c>
      <c r="E2354">
        <v>17</v>
      </c>
      <c r="F2354" t="s">
        <v>178</v>
      </c>
      <c r="G2354" t="s">
        <v>55</v>
      </c>
      <c r="H2354" t="s">
        <v>26</v>
      </c>
      <c r="I2354" t="s">
        <v>97</v>
      </c>
      <c r="J2354" t="s">
        <v>62</v>
      </c>
      <c r="K2354" t="s">
        <v>38</v>
      </c>
      <c r="L2354">
        <v>1</v>
      </c>
      <c r="M2354">
        <v>874</v>
      </c>
      <c r="N2354">
        <v>131.1</v>
      </c>
      <c r="O2354">
        <v>40</v>
      </c>
      <c r="P2354">
        <v>874</v>
      </c>
      <c r="Q2354">
        <v>782.9</v>
      </c>
      <c r="R2354" t="s">
        <v>39</v>
      </c>
      <c r="S2354" t="s">
        <v>31</v>
      </c>
      <c r="T2354" t="s">
        <v>40</v>
      </c>
      <c r="U2354">
        <v>57</v>
      </c>
      <c r="V2354">
        <v>4.4000000000000004</v>
      </c>
      <c r="W2354">
        <f>Table2[[#This Row],[Quantity]]*Table2[[#This Row],[Item_Price]]</f>
        <v>874</v>
      </c>
    </row>
    <row r="2355" spans="1:23" x14ac:dyDescent="0.25">
      <c r="A2355" t="s">
        <v>2454</v>
      </c>
      <c r="B2355" s="1">
        <v>45825</v>
      </c>
      <c r="C2355" t="s">
        <v>2191</v>
      </c>
      <c r="D2355">
        <v>6</v>
      </c>
      <c r="E2355">
        <v>17</v>
      </c>
      <c r="F2355" t="s">
        <v>178</v>
      </c>
      <c r="G2355" t="s">
        <v>64</v>
      </c>
      <c r="H2355" t="s">
        <v>52</v>
      </c>
      <c r="I2355" t="s">
        <v>57</v>
      </c>
      <c r="J2355" t="s">
        <v>44</v>
      </c>
      <c r="K2355" t="s">
        <v>38</v>
      </c>
      <c r="L2355">
        <v>2</v>
      </c>
      <c r="M2355">
        <v>512</v>
      </c>
      <c r="N2355">
        <v>102.4</v>
      </c>
      <c r="O2355">
        <v>50</v>
      </c>
      <c r="P2355">
        <v>1024</v>
      </c>
      <c r="Q2355">
        <v>971.6</v>
      </c>
      <c r="R2355" t="s">
        <v>39</v>
      </c>
      <c r="S2355" t="s">
        <v>31</v>
      </c>
      <c r="T2355" t="s">
        <v>40</v>
      </c>
      <c r="U2355">
        <v>21</v>
      </c>
      <c r="V2355">
        <v>4.0999999999999996</v>
      </c>
      <c r="W2355">
        <f>Table2[[#This Row],[Quantity]]*Table2[[#This Row],[Item_Price]]</f>
        <v>1024</v>
      </c>
    </row>
    <row r="2356" spans="1:23" x14ac:dyDescent="0.25">
      <c r="A2356" t="s">
        <v>2455</v>
      </c>
      <c r="B2356" s="1">
        <v>45826</v>
      </c>
      <c r="C2356" t="s">
        <v>2191</v>
      </c>
      <c r="D2356">
        <v>6</v>
      </c>
      <c r="E2356">
        <v>18</v>
      </c>
      <c r="F2356" t="s">
        <v>24</v>
      </c>
      <c r="G2356" t="s">
        <v>80</v>
      </c>
      <c r="H2356" t="s">
        <v>26</v>
      </c>
      <c r="I2356" t="s">
        <v>69</v>
      </c>
      <c r="J2356" t="s">
        <v>28</v>
      </c>
      <c r="K2356" t="s">
        <v>38</v>
      </c>
      <c r="L2356">
        <v>2</v>
      </c>
      <c r="M2356">
        <v>535</v>
      </c>
      <c r="N2356">
        <v>53.5</v>
      </c>
      <c r="O2356">
        <v>60</v>
      </c>
      <c r="P2356">
        <v>1070</v>
      </c>
      <c r="Q2356">
        <v>1076.5</v>
      </c>
      <c r="R2356" t="s">
        <v>75</v>
      </c>
      <c r="S2356" t="s">
        <v>31</v>
      </c>
      <c r="T2356" t="s">
        <v>40</v>
      </c>
      <c r="U2356">
        <v>22</v>
      </c>
      <c r="V2356">
        <v>4.5999999999999996</v>
      </c>
      <c r="W2356">
        <f>Table2[[#This Row],[Quantity]]*Table2[[#This Row],[Item_Price]]</f>
        <v>1070</v>
      </c>
    </row>
    <row r="2357" spans="1:23" x14ac:dyDescent="0.25">
      <c r="A2357" t="s">
        <v>2456</v>
      </c>
      <c r="B2357" s="1">
        <v>45826</v>
      </c>
      <c r="C2357" t="s">
        <v>2191</v>
      </c>
      <c r="D2357">
        <v>6</v>
      </c>
      <c r="E2357">
        <v>18</v>
      </c>
      <c r="F2357" t="s">
        <v>24</v>
      </c>
      <c r="G2357" t="s">
        <v>73</v>
      </c>
      <c r="H2357" t="s">
        <v>52</v>
      </c>
      <c r="I2357" t="s">
        <v>36</v>
      </c>
      <c r="J2357" t="s">
        <v>70</v>
      </c>
      <c r="K2357" t="s">
        <v>45</v>
      </c>
      <c r="L2357">
        <v>1</v>
      </c>
      <c r="M2357">
        <v>527</v>
      </c>
      <c r="N2357">
        <v>26.35</v>
      </c>
      <c r="O2357">
        <v>50</v>
      </c>
      <c r="P2357">
        <v>527</v>
      </c>
      <c r="Q2357">
        <v>550.65</v>
      </c>
      <c r="R2357" t="s">
        <v>39</v>
      </c>
      <c r="S2357" t="s">
        <v>46</v>
      </c>
      <c r="T2357" t="s">
        <v>40</v>
      </c>
      <c r="U2357">
        <v>43</v>
      </c>
      <c r="W2357">
        <f>Table2[[#This Row],[Quantity]]*Table2[[#This Row],[Item_Price]]</f>
        <v>527</v>
      </c>
    </row>
    <row r="2358" spans="1:23" x14ac:dyDescent="0.25">
      <c r="A2358" t="s">
        <v>2457</v>
      </c>
      <c r="B2358" s="1">
        <v>45826</v>
      </c>
      <c r="C2358" t="s">
        <v>2191</v>
      </c>
      <c r="D2358">
        <v>6</v>
      </c>
      <c r="E2358">
        <v>18</v>
      </c>
      <c r="F2358" t="s">
        <v>24</v>
      </c>
      <c r="G2358" t="s">
        <v>84</v>
      </c>
      <c r="H2358" t="s">
        <v>60</v>
      </c>
      <c r="I2358" t="s">
        <v>61</v>
      </c>
      <c r="J2358" t="s">
        <v>94</v>
      </c>
      <c r="K2358" t="s">
        <v>38</v>
      </c>
      <c r="L2358">
        <v>1</v>
      </c>
      <c r="M2358">
        <v>337</v>
      </c>
      <c r="N2358">
        <v>33.700000000000003</v>
      </c>
      <c r="O2358">
        <v>30</v>
      </c>
      <c r="P2358">
        <v>337</v>
      </c>
      <c r="Q2358">
        <v>333.3</v>
      </c>
      <c r="R2358" t="s">
        <v>30</v>
      </c>
      <c r="S2358" t="s">
        <v>31</v>
      </c>
      <c r="T2358" t="s">
        <v>40</v>
      </c>
      <c r="U2358">
        <v>23</v>
      </c>
      <c r="V2358">
        <v>4.5</v>
      </c>
      <c r="W2358">
        <f>Table2[[#This Row],[Quantity]]*Table2[[#This Row],[Item_Price]]</f>
        <v>337</v>
      </c>
    </row>
    <row r="2359" spans="1:23" x14ac:dyDescent="0.25">
      <c r="A2359" t="s">
        <v>2458</v>
      </c>
      <c r="B2359" s="1">
        <v>45826</v>
      </c>
      <c r="C2359" t="s">
        <v>2191</v>
      </c>
      <c r="D2359">
        <v>6</v>
      </c>
      <c r="E2359">
        <v>18</v>
      </c>
      <c r="F2359" t="s">
        <v>24</v>
      </c>
      <c r="G2359" t="s">
        <v>34</v>
      </c>
      <c r="H2359" t="s">
        <v>26</v>
      </c>
      <c r="I2359" t="s">
        <v>85</v>
      </c>
      <c r="J2359" t="s">
        <v>172</v>
      </c>
      <c r="K2359" t="s">
        <v>58</v>
      </c>
      <c r="L2359">
        <v>1</v>
      </c>
      <c r="M2359">
        <v>738</v>
      </c>
      <c r="N2359">
        <v>73.8</v>
      </c>
      <c r="O2359">
        <v>60</v>
      </c>
      <c r="P2359">
        <v>738</v>
      </c>
      <c r="Q2359">
        <v>724.2</v>
      </c>
      <c r="R2359" t="s">
        <v>39</v>
      </c>
      <c r="S2359" t="s">
        <v>31</v>
      </c>
      <c r="T2359" t="s">
        <v>32</v>
      </c>
      <c r="U2359">
        <v>55</v>
      </c>
      <c r="V2359">
        <v>4.2</v>
      </c>
      <c r="W2359">
        <f>Table2[[#This Row],[Quantity]]*Table2[[#This Row],[Item_Price]]</f>
        <v>738</v>
      </c>
    </row>
    <row r="2360" spans="1:23" x14ac:dyDescent="0.25">
      <c r="A2360" t="s">
        <v>2459</v>
      </c>
      <c r="B2360" s="1">
        <v>45826</v>
      </c>
      <c r="C2360" t="s">
        <v>2191</v>
      </c>
      <c r="D2360">
        <v>6</v>
      </c>
      <c r="E2360">
        <v>18</v>
      </c>
      <c r="F2360" t="s">
        <v>24</v>
      </c>
      <c r="G2360" t="s">
        <v>84</v>
      </c>
      <c r="H2360" t="s">
        <v>135</v>
      </c>
      <c r="I2360" t="s">
        <v>97</v>
      </c>
      <c r="J2360" t="s">
        <v>53</v>
      </c>
      <c r="K2360" t="s">
        <v>38</v>
      </c>
      <c r="L2360">
        <v>1</v>
      </c>
      <c r="M2360">
        <v>618</v>
      </c>
      <c r="N2360">
        <v>92.7</v>
      </c>
      <c r="O2360">
        <v>70</v>
      </c>
      <c r="P2360">
        <v>618</v>
      </c>
      <c r="Q2360">
        <v>595.29999999999995</v>
      </c>
      <c r="R2360" t="s">
        <v>30</v>
      </c>
      <c r="S2360" t="s">
        <v>31</v>
      </c>
      <c r="T2360" t="s">
        <v>40</v>
      </c>
      <c r="U2360">
        <v>37</v>
      </c>
      <c r="V2360">
        <v>3.8</v>
      </c>
      <c r="W2360">
        <f>Table2[[#This Row],[Quantity]]*Table2[[#This Row],[Item_Price]]</f>
        <v>618</v>
      </c>
    </row>
    <row r="2361" spans="1:23" x14ac:dyDescent="0.25">
      <c r="A2361" t="s">
        <v>2460</v>
      </c>
      <c r="B2361" s="1">
        <v>45826</v>
      </c>
      <c r="C2361" t="s">
        <v>2191</v>
      </c>
      <c r="D2361">
        <v>6</v>
      </c>
      <c r="E2361">
        <v>18</v>
      </c>
      <c r="F2361" t="s">
        <v>24</v>
      </c>
      <c r="G2361" t="s">
        <v>64</v>
      </c>
      <c r="H2361" t="s">
        <v>108</v>
      </c>
      <c r="I2361" t="s">
        <v>103</v>
      </c>
      <c r="J2361" t="s">
        <v>37</v>
      </c>
      <c r="K2361" t="s">
        <v>38</v>
      </c>
      <c r="L2361">
        <v>2</v>
      </c>
      <c r="M2361">
        <v>804</v>
      </c>
      <c r="N2361">
        <v>40.200000000000003</v>
      </c>
      <c r="O2361">
        <v>40</v>
      </c>
      <c r="P2361">
        <v>1608</v>
      </c>
      <c r="Q2361">
        <v>1607.8</v>
      </c>
      <c r="R2361" t="s">
        <v>112</v>
      </c>
      <c r="S2361" t="s">
        <v>31</v>
      </c>
      <c r="T2361" t="s">
        <v>32</v>
      </c>
      <c r="U2361">
        <v>56</v>
      </c>
      <c r="V2361">
        <v>3.4</v>
      </c>
      <c r="W2361">
        <f>Table2[[#This Row],[Quantity]]*Table2[[#This Row],[Item_Price]]</f>
        <v>1608</v>
      </c>
    </row>
    <row r="2362" spans="1:23" x14ac:dyDescent="0.25">
      <c r="A2362" t="s">
        <v>2461</v>
      </c>
      <c r="B2362" s="1">
        <v>45826</v>
      </c>
      <c r="C2362" t="s">
        <v>2191</v>
      </c>
      <c r="D2362">
        <v>6</v>
      </c>
      <c r="E2362">
        <v>18</v>
      </c>
      <c r="F2362" t="s">
        <v>24</v>
      </c>
      <c r="G2362" t="s">
        <v>80</v>
      </c>
      <c r="H2362" t="s">
        <v>65</v>
      </c>
      <c r="I2362" t="s">
        <v>27</v>
      </c>
      <c r="J2362" t="s">
        <v>101</v>
      </c>
      <c r="K2362" t="s">
        <v>38</v>
      </c>
      <c r="L2362">
        <v>1</v>
      </c>
      <c r="M2362">
        <v>876</v>
      </c>
      <c r="N2362">
        <v>43.8</v>
      </c>
      <c r="O2362">
        <v>20</v>
      </c>
      <c r="P2362">
        <v>876</v>
      </c>
      <c r="Q2362">
        <v>852.2</v>
      </c>
      <c r="R2362" t="s">
        <v>39</v>
      </c>
      <c r="S2362" t="s">
        <v>31</v>
      </c>
      <c r="T2362" t="s">
        <v>40</v>
      </c>
      <c r="U2362">
        <v>41</v>
      </c>
      <c r="V2362">
        <v>4.5</v>
      </c>
      <c r="W2362">
        <f>Table2[[#This Row],[Quantity]]*Table2[[#This Row],[Item_Price]]</f>
        <v>876</v>
      </c>
    </row>
    <row r="2363" spans="1:23" x14ac:dyDescent="0.25">
      <c r="A2363" t="s">
        <v>2462</v>
      </c>
      <c r="B2363" s="1">
        <v>45826</v>
      </c>
      <c r="C2363" t="s">
        <v>2191</v>
      </c>
      <c r="D2363">
        <v>6</v>
      </c>
      <c r="E2363">
        <v>18</v>
      </c>
      <c r="F2363" t="s">
        <v>24</v>
      </c>
      <c r="G2363" t="s">
        <v>64</v>
      </c>
      <c r="H2363" t="s">
        <v>77</v>
      </c>
      <c r="I2363" t="s">
        <v>97</v>
      </c>
      <c r="J2363" t="s">
        <v>44</v>
      </c>
      <c r="K2363" t="s">
        <v>29</v>
      </c>
      <c r="L2363">
        <v>2</v>
      </c>
      <c r="M2363">
        <v>364</v>
      </c>
      <c r="N2363">
        <v>91</v>
      </c>
      <c r="O2363">
        <v>50</v>
      </c>
      <c r="P2363">
        <v>728</v>
      </c>
      <c r="Q2363">
        <v>687</v>
      </c>
      <c r="R2363" t="s">
        <v>39</v>
      </c>
      <c r="S2363" t="s">
        <v>31</v>
      </c>
      <c r="T2363" t="s">
        <v>32</v>
      </c>
      <c r="U2363">
        <v>68</v>
      </c>
      <c r="V2363">
        <v>3.6</v>
      </c>
      <c r="W2363">
        <f>Table2[[#This Row],[Quantity]]*Table2[[#This Row],[Item_Price]]</f>
        <v>728</v>
      </c>
    </row>
    <row r="2364" spans="1:23" x14ac:dyDescent="0.25">
      <c r="A2364" t="s">
        <v>2463</v>
      </c>
      <c r="B2364" s="1">
        <v>45826</v>
      </c>
      <c r="C2364" t="s">
        <v>2191</v>
      </c>
      <c r="D2364">
        <v>6</v>
      </c>
      <c r="E2364">
        <v>18</v>
      </c>
      <c r="F2364" t="s">
        <v>24</v>
      </c>
      <c r="G2364" t="s">
        <v>25</v>
      </c>
      <c r="H2364" t="s">
        <v>65</v>
      </c>
      <c r="I2364" t="s">
        <v>57</v>
      </c>
      <c r="J2364" t="s">
        <v>78</v>
      </c>
      <c r="K2364" t="s">
        <v>38</v>
      </c>
      <c r="L2364">
        <v>2</v>
      </c>
      <c r="M2364">
        <v>176</v>
      </c>
      <c r="N2364">
        <v>8.8000000000000007</v>
      </c>
      <c r="O2364">
        <v>40</v>
      </c>
      <c r="P2364">
        <v>352</v>
      </c>
      <c r="Q2364">
        <v>383.2</v>
      </c>
      <c r="R2364" t="s">
        <v>39</v>
      </c>
      <c r="S2364" t="s">
        <v>91</v>
      </c>
      <c r="T2364" t="s">
        <v>32</v>
      </c>
      <c r="U2364">
        <v>67</v>
      </c>
      <c r="W2364">
        <f>Table2[[#This Row],[Quantity]]*Table2[[#This Row],[Item_Price]]</f>
        <v>352</v>
      </c>
    </row>
    <row r="2365" spans="1:23" x14ac:dyDescent="0.25">
      <c r="A2365" t="s">
        <v>2464</v>
      </c>
      <c r="B2365" s="1">
        <v>45826</v>
      </c>
      <c r="C2365" t="s">
        <v>2191</v>
      </c>
      <c r="D2365">
        <v>6</v>
      </c>
      <c r="E2365">
        <v>18</v>
      </c>
      <c r="F2365" t="s">
        <v>24</v>
      </c>
      <c r="G2365" t="s">
        <v>64</v>
      </c>
      <c r="H2365" t="s">
        <v>139</v>
      </c>
      <c r="I2365" t="s">
        <v>61</v>
      </c>
      <c r="J2365" t="s">
        <v>101</v>
      </c>
      <c r="K2365" t="s">
        <v>38</v>
      </c>
      <c r="L2365">
        <v>2</v>
      </c>
      <c r="M2365">
        <v>194</v>
      </c>
      <c r="N2365">
        <v>29.1</v>
      </c>
      <c r="O2365">
        <v>40</v>
      </c>
      <c r="P2365">
        <v>388</v>
      </c>
      <c r="Q2365">
        <v>398.9</v>
      </c>
      <c r="R2365" t="s">
        <v>30</v>
      </c>
      <c r="S2365" t="s">
        <v>31</v>
      </c>
      <c r="T2365" t="s">
        <v>32</v>
      </c>
      <c r="U2365">
        <v>55</v>
      </c>
      <c r="V2365">
        <v>4.8</v>
      </c>
      <c r="W2365">
        <f>Table2[[#This Row],[Quantity]]*Table2[[#This Row],[Item_Price]]</f>
        <v>388</v>
      </c>
    </row>
    <row r="2366" spans="1:23" x14ac:dyDescent="0.25">
      <c r="A2366" t="s">
        <v>2465</v>
      </c>
      <c r="B2366" s="1">
        <v>45826</v>
      </c>
      <c r="C2366" t="s">
        <v>2191</v>
      </c>
      <c r="D2366">
        <v>6</v>
      </c>
      <c r="E2366">
        <v>18</v>
      </c>
      <c r="F2366" t="s">
        <v>24</v>
      </c>
      <c r="G2366" t="s">
        <v>25</v>
      </c>
      <c r="H2366" t="s">
        <v>77</v>
      </c>
      <c r="I2366" t="s">
        <v>36</v>
      </c>
      <c r="J2366" t="s">
        <v>28</v>
      </c>
      <c r="K2366" t="s">
        <v>45</v>
      </c>
      <c r="L2366">
        <v>2</v>
      </c>
      <c r="M2366">
        <v>571</v>
      </c>
      <c r="N2366">
        <v>28.55</v>
      </c>
      <c r="O2366">
        <v>40</v>
      </c>
      <c r="P2366">
        <v>1142</v>
      </c>
      <c r="Q2366">
        <v>1153.45</v>
      </c>
      <c r="R2366" t="s">
        <v>98</v>
      </c>
      <c r="S2366" t="s">
        <v>31</v>
      </c>
      <c r="T2366" t="s">
        <v>40</v>
      </c>
      <c r="U2366">
        <v>27</v>
      </c>
      <c r="V2366">
        <v>4.9000000000000004</v>
      </c>
      <c r="W2366">
        <f>Table2[[#This Row],[Quantity]]*Table2[[#This Row],[Item_Price]]</f>
        <v>1142</v>
      </c>
    </row>
    <row r="2367" spans="1:23" x14ac:dyDescent="0.25">
      <c r="A2367" t="s">
        <v>2466</v>
      </c>
      <c r="B2367" s="1">
        <v>45827</v>
      </c>
      <c r="C2367" t="s">
        <v>2191</v>
      </c>
      <c r="D2367">
        <v>6</v>
      </c>
      <c r="E2367">
        <v>19</v>
      </c>
      <c r="F2367" t="s">
        <v>88</v>
      </c>
      <c r="G2367" t="s">
        <v>115</v>
      </c>
      <c r="H2367" t="s">
        <v>105</v>
      </c>
      <c r="I2367" t="s">
        <v>36</v>
      </c>
      <c r="J2367" t="s">
        <v>70</v>
      </c>
      <c r="K2367" t="s">
        <v>58</v>
      </c>
      <c r="L2367">
        <v>1</v>
      </c>
      <c r="M2367">
        <v>852</v>
      </c>
      <c r="N2367">
        <v>127.8</v>
      </c>
      <c r="O2367">
        <v>20</v>
      </c>
      <c r="P2367">
        <v>852</v>
      </c>
      <c r="Q2367">
        <v>744.2</v>
      </c>
      <c r="R2367" t="s">
        <v>75</v>
      </c>
      <c r="S2367" t="s">
        <v>31</v>
      </c>
      <c r="T2367" t="s">
        <v>32</v>
      </c>
      <c r="U2367">
        <v>48</v>
      </c>
      <c r="V2367">
        <v>4.8</v>
      </c>
      <c r="W2367">
        <f>Table2[[#This Row],[Quantity]]*Table2[[#This Row],[Item_Price]]</f>
        <v>852</v>
      </c>
    </row>
    <row r="2368" spans="1:23" x14ac:dyDescent="0.25">
      <c r="A2368" t="s">
        <v>2467</v>
      </c>
      <c r="B2368" s="1">
        <v>45827</v>
      </c>
      <c r="C2368" t="s">
        <v>2191</v>
      </c>
      <c r="D2368">
        <v>6</v>
      </c>
      <c r="E2368">
        <v>19</v>
      </c>
      <c r="F2368" t="s">
        <v>88</v>
      </c>
      <c r="G2368" t="s">
        <v>64</v>
      </c>
      <c r="H2368" t="s">
        <v>108</v>
      </c>
      <c r="I2368" t="s">
        <v>36</v>
      </c>
      <c r="J2368" t="s">
        <v>74</v>
      </c>
      <c r="K2368" t="s">
        <v>38</v>
      </c>
      <c r="L2368">
        <v>2</v>
      </c>
      <c r="M2368">
        <v>580</v>
      </c>
      <c r="N2368">
        <v>116</v>
      </c>
      <c r="O2368">
        <v>30</v>
      </c>
      <c r="P2368">
        <v>1160</v>
      </c>
      <c r="Q2368">
        <v>1074</v>
      </c>
      <c r="R2368" t="s">
        <v>30</v>
      </c>
      <c r="S2368" t="s">
        <v>31</v>
      </c>
      <c r="T2368" t="s">
        <v>40</v>
      </c>
      <c r="U2368">
        <v>60</v>
      </c>
      <c r="V2368">
        <v>3.2</v>
      </c>
      <c r="W2368">
        <f>Table2[[#This Row],[Quantity]]*Table2[[#This Row],[Item_Price]]</f>
        <v>1160</v>
      </c>
    </row>
    <row r="2369" spans="1:23" x14ac:dyDescent="0.25">
      <c r="A2369" t="s">
        <v>2468</v>
      </c>
      <c r="B2369" s="1">
        <v>45827</v>
      </c>
      <c r="C2369" t="s">
        <v>2191</v>
      </c>
      <c r="D2369">
        <v>6</v>
      </c>
      <c r="E2369">
        <v>19</v>
      </c>
      <c r="F2369" t="s">
        <v>88</v>
      </c>
      <c r="G2369" t="s">
        <v>80</v>
      </c>
      <c r="H2369" t="s">
        <v>105</v>
      </c>
      <c r="I2369" t="s">
        <v>69</v>
      </c>
      <c r="J2369" t="s">
        <v>53</v>
      </c>
      <c r="K2369" t="s">
        <v>58</v>
      </c>
      <c r="L2369">
        <v>1</v>
      </c>
      <c r="M2369">
        <v>585</v>
      </c>
      <c r="N2369">
        <v>0</v>
      </c>
      <c r="O2369">
        <v>40</v>
      </c>
      <c r="P2369">
        <v>585</v>
      </c>
      <c r="Q2369">
        <v>625</v>
      </c>
      <c r="R2369" t="s">
        <v>39</v>
      </c>
      <c r="S2369" t="s">
        <v>31</v>
      </c>
      <c r="T2369" t="s">
        <v>32</v>
      </c>
      <c r="U2369">
        <v>66</v>
      </c>
      <c r="V2369">
        <v>5</v>
      </c>
      <c r="W2369">
        <f>Table2[[#This Row],[Quantity]]*Table2[[#This Row],[Item_Price]]</f>
        <v>585</v>
      </c>
    </row>
    <row r="2370" spans="1:23" x14ac:dyDescent="0.25">
      <c r="A2370" t="s">
        <v>2469</v>
      </c>
      <c r="B2370" s="1">
        <v>45827</v>
      </c>
      <c r="C2370" t="s">
        <v>2191</v>
      </c>
      <c r="D2370">
        <v>6</v>
      </c>
      <c r="E2370">
        <v>19</v>
      </c>
      <c r="F2370" t="s">
        <v>88</v>
      </c>
      <c r="G2370" t="s">
        <v>115</v>
      </c>
      <c r="H2370" t="s">
        <v>52</v>
      </c>
      <c r="I2370" t="s">
        <v>49</v>
      </c>
      <c r="J2370" t="s">
        <v>50</v>
      </c>
      <c r="K2370" t="s">
        <v>58</v>
      </c>
      <c r="L2370">
        <v>3</v>
      </c>
      <c r="M2370">
        <v>841</v>
      </c>
      <c r="N2370">
        <v>84.1</v>
      </c>
      <c r="O2370">
        <v>30</v>
      </c>
      <c r="P2370">
        <v>2523</v>
      </c>
      <c r="Q2370">
        <v>2468.9</v>
      </c>
      <c r="R2370" t="s">
        <v>75</v>
      </c>
      <c r="S2370" t="s">
        <v>31</v>
      </c>
      <c r="T2370" t="s">
        <v>32</v>
      </c>
      <c r="U2370">
        <v>69</v>
      </c>
      <c r="V2370">
        <v>4.4000000000000004</v>
      </c>
      <c r="W2370">
        <f>Table2[[#This Row],[Quantity]]*Table2[[#This Row],[Item_Price]]</f>
        <v>2523</v>
      </c>
    </row>
    <row r="2371" spans="1:23" x14ac:dyDescent="0.25">
      <c r="A2371" t="s">
        <v>2470</v>
      </c>
      <c r="B2371" s="1">
        <v>45827</v>
      </c>
      <c r="C2371" t="s">
        <v>2191</v>
      </c>
      <c r="D2371">
        <v>6</v>
      </c>
      <c r="E2371">
        <v>19</v>
      </c>
      <c r="F2371" t="s">
        <v>88</v>
      </c>
      <c r="G2371" t="s">
        <v>25</v>
      </c>
      <c r="H2371" t="s">
        <v>56</v>
      </c>
      <c r="I2371" t="s">
        <v>69</v>
      </c>
      <c r="J2371" t="s">
        <v>119</v>
      </c>
      <c r="K2371" t="s">
        <v>38</v>
      </c>
      <c r="L2371">
        <v>2</v>
      </c>
      <c r="M2371">
        <v>724</v>
      </c>
      <c r="N2371">
        <v>36.200000000000003</v>
      </c>
      <c r="O2371">
        <v>30</v>
      </c>
      <c r="P2371">
        <v>1448</v>
      </c>
      <c r="Q2371">
        <v>1441.8</v>
      </c>
      <c r="R2371" t="s">
        <v>75</v>
      </c>
      <c r="S2371" t="s">
        <v>31</v>
      </c>
      <c r="T2371" t="s">
        <v>40</v>
      </c>
      <c r="U2371">
        <v>70</v>
      </c>
      <c r="V2371">
        <v>4</v>
      </c>
      <c r="W2371">
        <f>Table2[[#This Row],[Quantity]]*Table2[[#This Row],[Item_Price]]</f>
        <v>1448</v>
      </c>
    </row>
    <row r="2372" spans="1:23" x14ac:dyDescent="0.25">
      <c r="A2372" t="s">
        <v>2471</v>
      </c>
      <c r="B2372" s="1">
        <v>45827</v>
      </c>
      <c r="C2372" t="s">
        <v>2191</v>
      </c>
      <c r="D2372">
        <v>6</v>
      </c>
      <c r="E2372">
        <v>19</v>
      </c>
      <c r="F2372" t="s">
        <v>88</v>
      </c>
      <c r="G2372" t="s">
        <v>64</v>
      </c>
      <c r="H2372" t="s">
        <v>135</v>
      </c>
      <c r="I2372" t="s">
        <v>61</v>
      </c>
      <c r="J2372" t="s">
        <v>66</v>
      </c>
      <c r="K2372" t="s">
        <v>45</v>
      </c>
      <c r="L2372">
        <v>1</v>
      </c>
      <c r="M2372">
        <v>812</v>
      </c>
      <c r="N2372">
        <v>121.8</v>
      </c>
      <c r="O2372">
        <v>0</v>
      </c>
      <c r="P2372">
        <v>812</v>
      </c>
      <c r="Q2372">
        <v>690.2</v>
      </c>
      <c r="R2372" t="s">
        <v>30</v>
      </c>
      <c r="S2372" t="s">
        <v>46</v>
      </c>
      <c r="T2372" t="s">
        <v>40</v>
      </c>
      <c r="U2372">
        <v>63</v>
      </c>
      <c r="W2372">
        <f>Table2[[#This Row],[Quantity]]*Table2[[#This Row],[Item_Price]]</f>
        <v>812</v>
      </c>
    </row>
    <row r="2373" spans="1:23" x14ac:dyDescent="0.25">
      <c r="A2373" t="s">
        <v>2472</v>
      </c>
      <c r="B2373" s="1">
        <v>45827</v>
      </c>
      <c r="C2373" t="s">
        <v>2191</v>
      </c>
      <c r="D2373">
        <v>6</v>
      </c>
      <c r="E2373">
        <v>19</v>
      </c>
      <c r="F2373" t="s">
        <v>88</v>
      </c>
      <c r="G2373" t="s">
        <v>115</v>
      </c>
      <c r="H2373" t="s">
        <v>81</v>
      </c>
      <c r="I2373" t="s">
        <v>43</v>
      </c>
      <c r="J2373" t="s">
        <v>50</v>
      </c>
      <c r="K2373" t="s">
        <v>38</v>
      </c>
      <c r="L2373">
        <v>1</v>
      </c>
      <c r="M2373">
        <v>147</v>
      </c>
      <c r="N2373">
        <v>14.7</v>
      </c>
      <c r="O2373">
        <v>50</v>
      </c>
      <c r="P2373">
        <v>147</v>
      </c>
      <c r="Q2373">
        <v>182.3</v>
      </c>
      <c r="R2373" t="s">
        <v>30</v>
      </c>
      <c r="S2373" t="s">
        <v>31</v>
      </c>
      <c r="T2373" t="s">
        <v>40</v>
      </c>
      <c r="U2373">
        <v>31</v>
      </c>
      <c r="V2373">
        <v>4.3</v>
      </c>
      <c r="W2373">
        <f>Table2[[#This Row],[Quantity]]*Table2[[#This Row],[Item_Price]]</f>
        <v>147</v>
      </c>
    </row>
    <row r="2374" spans="1:23" x14ac:dyDescent="0.25">
      <c r="A2374" t="s">
        <v>2473</v>
      </c>
      <c r="B2374" s="1">
        <v>45827</v>
      </c>
      <c r="C2374" t="s">
        <v>2191</v>
      </c>
      <c r="D2374">
        <v>6</v>
      </c>
      <c r="E2374">
        <v>19</v>
      </c>
      <c r="F2374" t="s">
        <v>88</v>
      </c>
      <c r="G2374" t="s">
        <v>84</v>
      </c>
      <c r="H2374" t="s">
        <v>48</v>
      </c>
      <c r="I2374" t="s">
        <v>69</v>
      </c>
      <c r="J2374" t="s">
        <v>123</v>
      </c>
      <c r="K2374" t="s">
        <v>38</v>
      </c>
      <c r="L2374">
        <v>2</v>
      </c>
      <c r="M2374">
        <v>512</v>
      </c>
      <c r="N2374">
        <v>76.8</v>
      </c>
      <c r="O2374">
        <v>60</v>
      </c>
      <c r="P2374">
        <v>1024</v>
      </c>
      <c r="Q2374">
        <v>1007.2</v>
      </c>
      <c r="R2374" t="s">
        <v>75</v>
      </c>
      <c r="S2374" t="s">
        <v>31</v>
      </c>
      <c r="T2374" t="s">
        <v>40</v>
      </c>
      <c r="U2374">
        <v>68</v>
      </c>
      <c r="V2374">
        <v>3.5</v>
      </c>
      <c r="W2374">
        <f>Table2[[#This Row],[Quantity]]*Table2[[#This Row],[Item_Price]]</f>
        <v>1024</v>
      </c>
    </row>
    <row r="2375" spans="1:23" x14ac:dyDescent="0.25">
      <c r="A2375" t="s">
        <v>2474</v>
      </c>
      <c r="B2375" s="1">
        <v>45827</v>
      </c>
      <c r="C2375" t="s">
        <v>2191</v>
      </c>
      <c r="D2375">
        <v>6</v>
      </c>
      <c r="E2375">
        <v>19</v>
      </c>
      <c r="F2375" t="s">
        <v>88</v>
      </c>
      <c r="G2375" t="s">
        <v>90</v>
      </c>
      <c r="H2375" t="s">
        <v>56</v>
      </c>
      <c r="I2375" t="s">
        <v>103</v>
      </c>
      <c r="J2375" t="s">
        <v>78</v>
      </c>
      <c r="K2375" t="s">
        <v>45</v>
      </c>
      <c r="L2375">
        <v>1</v>
      </c>
      <c r="M2375">
        <v>286</v>
      </c>
      <c r="N2375">
        <v>28.6</v>
      </c>
      <c r="O2375">
        <v>30</v>
      </c>
      <c r="P2375">
        <v>286</v>
      </c>
      <c r="Q2375">
        <v>287.39999999999998</v>
      </c>
      <c r="R2375" t="s">
        <v>75</v>
      </c>
      <c r="S2375" t="s">
        <v>31</v>
      </c>
      <c r="T2375" t="s">
        <v>32</v>
      </c>
      <c r="U2375">
        <v>43</v>
      </c>
      <c r="V2375">
        <v>4.5</v>
      </c>
      <c r="W2375">
        <f>Table2[[#This Row],[Quantity]]*Table2[[#This Row],[Item_Price]]</f>
        <v>286</v>
      </c>
    </row>
    <row r="2376" spans="1:23" x14ac:dyDescent="0.25">
      <c r="A2376" t="s">
        <v>2475</v>
      </c>
      <c r="B2376" s="1">
        <v>45827</v>
      </c>
      <c r="C2376" t="s">
        <v>2191</v>
      </c>
      <c r="D2376">
        <v>6</v>
      </c>
      <c r="E2376">
        <v>19</v>
      </c>
      <c r="F2376" t="s">
        <v>88</v>
      </c>
      <c r="G2376" t="s">
        <v>25</v>
      </c>
      <c r="H2376" t="s">
        <v>56</v>
      </c>
      <c r="I2376" t="s">
        <v>69</v>
      </c>
      <c r="J2376" t="s">
        <v>66</v>
      </c>
      <c r="K2376" t="s">
        <v>38</v>
      </c>
      <c r="L2376">
        <v>3</v>
      </c>
      <c r="M2376">
        <v>292</v>
      </c>
      <c r="N2376">
        <v>43.8</v>
      </c>
      <c r="O2376">
        <v>20</v>
      </c>
      <c r="P2376">
        <v>876</v>
      </c>
      <c r="Q2376">
        <v>852.2</v>
      </c>
      <c r="R2376" t="s">
        <v>39</v>
      </c>
      <c r="S2376" t="s">
        <v>31</v>
      </c>
      <c r="T2376" t="s">
        <v>40</v>
      </c>
      <c r="U2376">
        <v>55</v>
      </c>
      <c r="V2376">
        <v>2.6</v>
      </c>
      <c r="W2376">
        <f>Table2[[#This Row],[Quantity]]*Table2[[#This Row],[Item_Price]]</f>
        <v>876</v>
      </c>
    </row>
    <row r="2377" spans="1:23" x14ac:dyDescent="0.25">
      <c r="A2377" t="s">
        <v>2476</v>
      </c>
      <c r="B2377" s="1">
        <v>45827</v>
      </c>
      <c r="C2377" t="s">
        <v>2191</v>
      </c>
      <c r="D2377">
        <v>6</v>
      </c>
      <c r="E2377">
        <v>19</v>
      </c>
      <c r="F2377" t="s">
        <v>88</v>
      </c>
      <c r="G2377" t="s">
        <v>80</v>
      </c>
      <c r="H2377" t="s">
        <v>77</v>
      </c>
      <c r="I2377" t="s">
        <v>57</v>
      </c>
      <c r="J2377" t="s">
        <v>78</v>
      </c>
      <c r="K2377" t="s">
        <v>38</v>
      </c>
      <c r="L2377">
        <v>1</v>
      </c>
      <c r="M2377">
        <v>642</v>
      </c>
      <c r="N2377">
        <v>96.3</v>
      </c>
      <c r="O2377">
        <v>30</v>
      </c>
      <c r="P2377">
        <v>642</v>
      </c>
      <c r="Q2377">
        <v>575.70000000000005</v>
      </c>
      <c r="R2377" t="s">
        <v>98</v>
      </c>
      <c r="S2377" t="s">
        <v>31</v>
      </c>
      <c r="T2377" t="s">
        <v>40</v>
      </c>
      <c r="U2377">
        <v>55</v>
      </c>
      <c r="V2377">
        <v>3.3</v>
      </c>
      <c r="W2377">
        <f>Table2[[#This Row],[Quantity]]*Table2[[#This Row],[Item_Price]]</f>
        <v>642</v>
      </c>
    </row>
    <row r="2378" spans="1:23" x14ac:dyDescent="0.25">
      <c r="A2378" t="s">
        <v>2477</v>
      </c>
      <c r="B2378" s="1">
        <v>45827</v>
      </c>
      <c r="C2378" t="s">
        <v>2191</v>
      </c>
      <c r="D2378">
        <v>6</v>
      </c>
      <c r="E2378">
        <v>19</v>
      </c>
      <c r="F2378" t="s">
        <v>88</v>
      </c>
      <c r="G2378" t="s">
        <v>25</v>
      </c>
      <c r="H2378" t="s">
        <v>135</v>
      </c>
      <c r="I2378" t="s">
        <v>49</v>
      </c>
      <c r="J2378" t="s">
        <v>70</v>
      </c>
      <c r="K2378" t="s">
        <v>38</v>
      </c>
      <c r="L2378">
        <v>2</v>
      </c>
      <c r="M2378">
        <v>796</v>
      </c>
      <c r="N2378">
        <v>79.599999999999994</v>
      </c>
      <c r="O2378">
        <v>30</v>
      </c>
      <c r="P2378">
        <v>1592</v>
      </c>
      <c r="Q2378">
        <v>1542.4</v>
      </c>
      <c r="R2378" t="s">
        <v>98</v>
      </c>
      <c r="S2378" t="s">
        <v>31</v>
      </c>
      <c r="T2378" t="s">
        <v>40</v>
      </c>
      <c r="U2378">
        <v>66</v>
      </c>
      <c r="V2378">
        <v>4.0999999999999996</v>
      </c>
      <c r="W2378">
        <f>Table2[[#This Row],[Quantity]]*Table2[[#This Row],[Item_Price]]</f>
        <v>1592</v>
      </c>
    </row>
    <row r="2379" spans="1:23" x14ac:dyDescent="0.25">
      <c r="A2379" t="s">
        <v>2478</v>
      </c>
      <c r="B2379" s="1">
        <v>45827</v>
      </c>
      <c r="C2379" t="s">
        <v>2191</v>
      </c>
      <c r="D2379">
        <v>6</v>
      </c>
      <c r="E2379">
        <v>19</v>
      </c>
      <c r="F2379" t="s">
        <v>88</v>
      </c>
      <c r="G2379" t="s">
        <v>115</v>
      </c>
      <c r="H2379" t="s">
        <v>135</v>
      </c>
      <c r="I2379" t="s">
        <v>85</v>
      </c>
      <c r="J2379" t="s">
        <v>172</v>
      </c>
      <c r="K2379" t="s">
        <v>45</v>
      </c>
      <c r="L2379">
        <v>3</v>
      </c>
      <c r="M2379">
        <v>415</v>
      </c>
      <c r="N2379">
        <v>83</v>
      </c>
      <c r="O2379">
        <v>0</v>
      </c>
      <c r="P2379">
        <v>1245</v>
      </c>
      <c r="Q2379">
        <v>1162</v>
      </c>
      <c r="R2379" t="s">
        <v>75</v>
      </c>
      <c r="S2379" t="s">
        <v>31</v>
      </c>
      <c r="T2379" t="s">
        <v>32</v>
      </c>
      <c r="U2379">
        <v>25</v>
      </c>
      <c r="V2379">
        <v>2.5</v>
      </c>
      <c r="W2379">
        <f>Table2[[#This Row],[Quantity]]*Table2[[#This Row],[Item_Price]]</f>
        <v>1245</v>
      </c>
    </row>
    <row r="2380" spans="1:23" x14ac:dyDescent="0.25">
      <c r="A2380" t="s">
        <v>2479</v>
      </c>
      <c r="B2380" s="1">
        <v>45827</v>
      </c>
      <c r="C2380" t="s">
        <v>2191</v>
      </c>
      <c r="D2380">
        <v>6</v>
      </c>
      <c r="E2380">
        <v>19</v>
      </c>
      <c r="F2380" t="s">
        <v>88</v>
      </c>
      <c r="G2380" t="s">
        <v>34</v>
      </c>
      <c r="H2380" t="s">
        <v>26</v>
      </c>
      <c r="I2380" t="s">
        <v>27</v>
      </c>
      <c r="J2380" t="s">
        <v>50</v>
      </c>
      <c r="K2380" t="s">
        <v>45</v>
      </c>
      <c r="L2380">
        <v>2</v>
      </c>
      <c r="M2380">
        <v>298</v>
      </c>
      <c r="N2380">
        <v>29.8</v>
      </c>
      <c r="O2380">
        <v>50</v>
      </c>
      <c r="P2380">
        <v>596</v>
      </c>
      <c r="Q2380">
        <v>616.20000000000005</v>
      </c>
      <c r="R2380" t="s">
        <v>30</v>
      </c>
      <c r="S2380" t="s">
        <v>31</v>
      </c>
      <c r="T2380" t="s">
        <v>40</v>
      </c>
      <c r="U2380">
        <v>66</v>
      </c>
      <c r="V2380">
        <v>4</v>
      </c>
      <c r="W2380">
        <f>Table2[[#This Row],[Quantity]]*Table2[[#This Row],[Item_Price]]</f>
        <v>596</v>
      </c>
    </row>
    <row r="2381" spans="1:23" x14ac:dyDescent="0.25">
      <c r="A2381" t="s">
        <v>2480</v>
      </c>
      <c r="B2381" s="1">
        <v>45827</v>
      </c>
      <c r="C2381" t="s">
        <v>2191</v>
      </c>
      <c r="D2381">
        <v>6</v>
      </c>
      <c r="E2381">
        <v>19</v>
      </c>
      <c r="F2381" t="s">
        <v>88</v>
      </c>
      <c r="G2381" t="s">
        <v>73</v>
      </c>
      <c r="H2381" t="s">
        <v>108</v>
      </c>
      <c r="I2381" t="s">
        <v>61</v>
      </c>
      <c r="J2381" t="s">
        <v>94</v>
      </c>
      <c r="K2381" t="s">
        <v>38</v>
      </c>
      <c r="L2381">
        <v>1</v>
      </c>
      <c r="M2381">
        <v>752</v>
      </c>
      <c r="N2381">
        <v>150.4</v>
      </c>
      <c r="O2381">
        <v>40</v>
      </c>
      <c r="P2381">
        <v>752</v>
      </c>
      <c r="Q2381">
        <v>641.6</v>
      </c>
      <c r="R2381" t="s">
        <v>39</v>
      </c>
      <c r="S2381" t="s">
        <v>31</v>
      </c>
      <c r="T2381" t="s">
        <v>40</v>
      </c>
      <c r="U2381">
        <v>46</v>
      </c>
      <c r="V2381">
        <v>4.5</v>
      </c>
      <c r="W2381">
        <f>Table2[[#This Row],[Quantity]]*Table2[[#This Row],[Item_Price]]</f>
        <v>752</v>
      </c>
    </row>
    <row r="2382" spans="1:23" x14ac:dyDescent="0.25">
      <c r="A2382" t="s">
        <v>2481</v>
      </c>
      <c r="B2382" s="1">
        <v>45827</v>
      </c>
      <c r="C2382" t="s">
        <v>2191</v>
      </c>
      <c r="D2382">
        <v>6</v>
      </c>
      <c r="E2382">
        <v>19</v>
      </c>
      <c r="F2382" t="s">
        <v>88</v>
      </c>
      <c r="G2382" t="s">
        <v>80</v>
      </c>
      <c r="H2382" t="s">
        <v>52</v>
      </c>
      <c r="I2382" t="s">
        <v>27</v>
      </c>
      <c r="J2382" t="s">
        <v>70</v>
      </c>
      <c r="K2382" t="s">
        <v>38</v>
      </c>
      <c r="L2382">
        <v>1</v>
      </c>
      <c r="M2382">
        <v>167</v>
      </c>
      <c r="N2382">
        <v>0</v>
      </c>
      <c r="O2382">
        <v>50</v>
      </c>
      <c r="P2382">
        <v>167</v>
      </c>
      <c r="Q2382">
        <v>217</v>
      </c>
      <c r="R2382" t="s">
        <v>75</v>
      </c>
      <c r="S2382" t="s">
        <v>31</v>
      </c>
      <c r="T2382" t="s">
        <v>40</v>
      </c>
      <c r="U2382">
        <v>33</v>
      </c>
      <c r="V2382">
        <v>4</v>
      </c>
      <c r="W2382">
        <f>Table2[[#This Row],[Quantity]]*Table2[[#This Row],[Item_Price]]</f>
        <v>167</v>
      </c>
    </row>
    <row r="2383" spans="1:23" x14ac:dyDescent="0.25">
      <c r="A2383" t="s">
        <v>2482</v>
      </c>
      <c r="B2383" s="1">
        <v>45828</v>
      </c>
      <c r="C2383" t="s">
        <v>2191</v>
      </c>
      <c r="D2383">
        <v>6</v>
      </c>
      <c r="E2383">
        <v>20</v>
      </c>
      <c r="F2383" t="s">
        <v>114</v>
      </c>
      <c r="G2383" t="s">
        <v>115</v>
      </c>
      <c r="H2383" t="s">
        <v>60</v>
      </c>
      <c r="I2383" t="s">
        <v>97</v>
      </c>
      <c r="J2383" t="s">
        <v>74</v>
      </c>
      <c r="K2383" t="s">
        <v>45</v>
      </c>
      <c r="L2383">
        <v>3</v>
      </c>
      <c r="M2383">
        <v>501</v>
      </c>
      <c r="N2383">
        <v>100.2</v>
      </c>
      <c r="O2383">
        <v>20</v>
      </c>
      <c r="P2383">
        <v>1503</v>
      </c>
      <c r="Q2383">
        <v>1422.8</v>
      </c>
      <c r="R2383" t="s">
        <v>75</v>
      </c>
      <c r="S2383" t="s">
        <v>31</v>
      </c>
      <c r="T2383" t="s">
        <v>32</v>
      </c>
      <c r="U2383">
        <v>65</v>
      </c>
      <c r="V2383">
        <v>4.0999999999999996</v>
      </c>
      <c r="W2383">
        <f>Table2[[#This Row],[Quantity]]*Table2[[#This Row],[Item_Price]]</f>
        <v>1503</v>
      </c>
    </row>
    <row r="2384" spans="1:23" x14ac:dyDescent="0.25">
      <c r="A2384" t="s">
        <v>2483</v>
      </c>
      <c r="B2384" s="1">
        <v>45828</v>
      </c>
      <c r="C2384" t="s">
        <v>2191</v>
      </c>
      <c r="D2384">
        <v>6</v>
      </c>
      <c r="E2384">
        <v>20</v>
      </c>
      <c r="F2384" t="s">
        <v>114</v>
      </c>
      <c r="G2384" t="s">
        <v>25</v>
      </c>
      <c r="H2384" t="s">
        <v>42</v>
      </c>
      <c r="I2384" t="s">
        <v>36</v>
      </c>
      <c r="J2384" t="s">
        <v>37</v>
      </c>
      <c r="K2384" t="s">
        <v>29</v>
      </c>
      <c r="L2384">
        <v>2</v>
      </c>
      <c r="M2384">
        <v>126</v>
      </c>
      <c r="N2384">
        <v>6.3</v>
      </c>
      <c r="O2384">
        <v>20</v>
      </c>
      <c r="P2384">
        <v>252</v>
      </c>
      <c r="Q2384">
        <v>265.7</v>
      </c>
      <c r="R2384" t="s">
        <v>39</v>
      </c>
      <c r="S2384" t="s">
        <v>31</v>
      </c>
      <c r="T2384" t="s">
        <v>32</v>
      </c>
      <c r="U2384">
        <v>19</v>
      </c>
      <c r="V2384">
        <v>4</v>
      </c>
      <c r="W2384">
        <f>Table2[[#This Row],[Quantity]]*Table2[[#This Row],[Item_Price]]</f>
        <v>252</v>
      </c>
    </row>
    <row r="2385" spans="1:23" x14ac:dyDescent="0.25">
      <c r="A2385" t="s">
        <v>2484</v>
      </c>
      <c r="B2385" s="1">
        <v>45828</v>
      </c>
      <c r="C2385" t="s">
        <v>2191</v>
      </c>
      <c r="D2385">
        <v>6</v>
      </c>
      <c r="E2385">
        <v>20</v>
      </c>
      <c r="F2385" t="s">
        <v>114</v>
      </c>
      <c r="G2385" t="s">
        <v>64</v>
      </c>
      <c r="H2385" t="s">
        <v>42</v>
      </c>
      <c r="I2385" t="s">
        <v>49</v>
      </c>
      <c r="J2385" t="s">
        <v>53</v>
      </c>
      <c r="K2385" t="s">
        <v>58</v>
      </c>
      <c r="L2385">
        <v>2</v>
      </c>
      <c r="M2385">
        <v>375</v>
      </c>
      <c r="N2385">
        <v>18.75</v>
      </c>
      <c r="O2385">
        <v>40</v>
      </c>
      <c r="P2385">
        <v>750</v>
      </c>
      <c r="Q2385">
        <v>771.25</v>
      </c>
      <c r="R2385" t="s">
        <v>75</v>
      </c>
      <c r="S2385" t="s">
        <v>31</v>
      </c>
      <c r="T2385" t="s">
        <v>40</v>
      </c>
      <c r="U2385">
        <v>46</v>
      </c>
      <c r="V2385">
        <v>3.7</v>
      </c>
      <c r="W2385">
        <f>Table2[[#This Row],[Quantity]]*Table2[[#This Row],[Item_Price]]</f>
        <v>750</v>
      </c>
    </row>
    <row r="2386" spans="1:23" x14ac:dyDescent="0.25">
      <c r="A2386" t="s">
        <v>2485</v>
      </c>
      <c r="B2386" s="1">
        <v>45828</v>
      </c>
      <c r="C2386" t="s">
        <v>2191</v>
      </c>
      <c r="D2386">
        <v>6</v>
      </c>
      <c r="E2386">
        <v>20</v>
      </c>
      <c r="F2386" t="s">
        <v>114</v>
      </c>
      <c r="G2386" t="s">
        <v>25</v>
      </c>
      <c r="H2386" t="s">
        <v>81</v>
      </c>
      <c r="I2386" t="s">
        <v>36</v>
      </c>
      <c r="J2386" t="s">
        <v>53</v>
      </c>
      <c r="K2386" t="s">
        <v>38</v>
      </c>
      <c r="L2386">
        <v>2</v>
      </c>
      <c r="M2386">
        <v>411</v>
      </c>
      <c r="N2386">
        <v>0</v>
      </c>
      <c r="O2386">
        <v>0</v>
      </c>
      <c r="P2386">
        <v>822</v>
      </c>
      <c r="Q2386">
        <v>822</v>
      </c>
      <c r="R2386" t="s">
        <v>39</v>
      </c>
      <c r="S2386" t="s">
        <v>91</v>
      </c>
      <c r="T2386" t="s">
        <v>32</v>
      </c>
      <c r="U2386">
        <v>48</v>
      </c>
      <c r="W2386">
        <f>Table2[[#This Row],[Quantity]]*Table2[[#This Row],[Item_Price]]</f>
        <v>822</v>
      </c>
    </row>
    <row r="2387" spans="1:23" x14ac:dyDescent="0.25">
      <c r="A2387" t="s">
        <v>2486</v>
      </c>
      <c r="B2387" s="1">
        <v>45828</v>
      </c>
      <c r="C2387" t="s">
        <v>2191</v>
      </c>
      <c r="D2387">
        <v>6</v>
      </c>
      <c r="E2387">
        <v>20</v>
      </c>
      <c r="F2387" t="s">
        <v>114</v>
      </c>
      <c r="G2387" t="s">
        <v>80</v>
      </c>
      <c r="H2387" t="s">
        <v>26</v>
      </c>
      <c r="I2387" t="s">
        <v>49</v>
      </c>
      <c r="J2387" t="s">
        <v>37</v>
      </c>
      <c r="K2387" t="s">
        <v>38</v>
      </c>
      <c r="L2387">
        <v>2</v>
      </c>
      <c r="M2387">
        <v>273</v>
      </c>
      <c r="N2387">
        <v>27.3</v>
      </c>
      <c r="O2387">
        <v>50</v>
      </c>
      <c r="P2387">
        <v>546</v>
      </c>
      <c r="Q2387">
        <v>568.70000000000005</v>
      </c>
      <c r="R2387" t="s">
        <v>98</v>
      </c>
      <c r="S2387" t="s">
        <v>31</v>
      </c>
      <c r="T2387" t="s">
        <v>32</v>
      </c>
      <c r="U2387">
        <v>48</v>
      </c>
      <c r="V2387">
        <v>4.4000000000000004</v>
      </c>
      <c r="W2387">
        <f>Table2[[#This Row],[Quantity]]*Table2[[#This Row],[Item_Price]]</f>
        <v>546</v>
      </c>
    </row>
    <row r="2388" spans="1:23" x14ac:dyDescent="0.25">
      <c r="A2388" t="s">
        <v>2487</v>
      </c>
      <c r="B2388" s="1">
        <v>45828</v>
      </c>
      <c r="C2388" t="s">
        <v>2191</v>
      </c>
      <c r="D2388">
        <v>6</v>
      </c>
      <c r="E2388">
        <v>20</v>
      </c>
      <c r="F2388" t="s">
        <v>114</v>
      </c>
      <c r="G2388" t="s">
        <v>34</v>
      </c>
      <c r="H2388" t="s">
        <v>48</v>
      </c>
      <c r="I2388" t="s">
        <v>36</v>
      </c>
      <c r="J2388" t="s">
        <v>50</v>
      </c>
      <c r="K2388" t="s">
        <v>38</v>
      </c>
      <c r="L2388">
        <v>1</v>
      </c>
      <c r="M2388">
        <v>451</v>
      </c>
      <c r="N2388">
        <v>90.2</v>
      </c>
      <c r="O2388">
        <v>0</v>
      </c>
      <c r="P2388">
        <v>451</v>
      </c>
      <c r="Q2388">
        <v>360.8</v>
      </c>
      <c r="R2388" t="s">
        <v>39</v>
      </c>
      <c r="S2388" t="s">
        <v>31</v>
      </c>
      <c r="T2388" t="s">
        <v>40</v>
      </c>
      <c r="U2388">
        <v>56</v>
      </c>
      <c r="V2388">
        <v>3.5</v>
      </c>
      <c r="W2388">
        <f>Table2[[#This Row],[Quantity]]*Table2[[#This Row],[Item_Price]]</f>
        <v>451</v>
      </c>
    </row>
    <row r="2389" spans="1:23" x14ac:dyDescent="0.25">
      <c r="A2389" t="s">
        <v>2488</v>
      </c>
      <c r="B2389" s="1">
        <v>45828</v>
      </c>
      <c r="C2389" t="s">
        <v>2191</v>
      </c>
      <c r="D2389">
        <v>6</v>
      </c>
      <c r="E2389">
        <v>20</v>
      </c>
      <c r="F2389" t="s">
        <v>114</v>
      </c>
      <c r="G2389" t="s">
        <v>55</v>
      </c>
      <c r="H2389" t="s">
        <v>81</v>
      </c>
      <c r="I2389" t="s">
        <v>103</v>
      </c>
      <c r="J2389" t="s">
        <v>119</v>
      </c>
      <c r="K2389" t="s">
        <v>45</v>
      </c>
      <c r="L2389">
        <v>1</v>
      </c>
      <c r="M2389">
        <v>717</v>
      </c>
      <c r="N2389">
        <v>71.7</v>
      </c>
      <c r="O2389">
        <v>50</v>
      </c>
      <c r="P2389">
        <v>717</v>
      </c>
      <c r="Q2389">
        <v>695.3</v>
      </c>
      <c r="R2389" t="s">
        <v>30</v>
      </c>
      <c r="S2389" t="s">
        <v>31</v>
      </c>
      <c r="T2389" t="s">
        <v>40</v>
      </c>
      <c r="U2389">
        <v>36</v>
      </c>
      <c r="V2389">
        <v>4.3</v>
      </c>
      <c r="W2389">
        <f>Table2[[#This Row],[Quantity]]*Table2[[#This Row],[Item_Price]]</f>
        <v>717</v>
      </c>
    </row>
    <row r="2390" spans="1:23" x14ac:dyDescent="0.25">
      <c r="A2390" t="s">
        <v>2489</v>
      </c>
      <c r="B2390" s="1">
        <v>45828</v>
      </c>
      <c r="C2390" t="s">
        <v>2191</v>
      </c>
      <c r="D2390">
        <v>6</v>
      </c>
      <c r="E2390">
        <v>20</v>
      </c>
      <c r="F2390" t="s">
        <v>114</v>
      </c>
      <c r="G2390" t="s">
        <v>25</v>
      </c>
      <c r="H2390" t="s">
        <v>48</v>
      </c>
      <c r="I2390" t="s">
        <v>36</v>
      </c>
      <c r="J2390" t="s">
        <v>70</v>
      </c>
      <c r="K2390" t="s">
        <v>38</v>
      </c>
      <c r="L2390">
        <v>1</v>
      </c>
      <c r="M2390">
        <v>184</v>
      </c>
      <c r="N2390">
        <v>36.799999999999997</v>
      </c>
      <c r="O2390">
        <v>40</v>
      </c>
      <c r="P2390">
        <v>184</v>
      </c>
      <c r="Q2390">
        <v>187.2</v>
      </c>
      <c r="R2390" t="s">
        <v>39</v>
      </c>
      <c r="S2390" t="s">
        <v>31</v>
      </c>
      <c r="T2390" t="s">
        <v>40</v>
      </c>
      <c r="U2390">
        <v>64</v>
      </c>
      <c r="V2390">
        <v>4.5</v>
      </c>
      <c r="W2390">
        <f>Table2[[#This Row],[Quantity]]*Table2[[#This Row],[Item_Price]]</f>
        <v>184</v>
      </c>
    </row>
    <row r="2391" spans="1:23" x14ac:dyDescent="0.25">
      <c r="A2391" t="s">
        <v>2490</v>
      </c>
      <c r="B2391" s="1">
        <v>45828</v>
      </c>
      <c r="C2391" t="s">
        <v>2191</v>
      </c>
      <c r="D2391">
        <v>6</v>
      </c>
      <c r="E2391">
        <v>20</v>
      </c>
      <c r="F2391" t="s">
        <v>114</v>
      </c>
      <c r="G2391" t="s">
        <v>115</v>
      </c>
      <c r="H2391" t="s">
        <v>65</v>
      </c>
      <c r="I2391" t="s">
        <v>97</v>
      </c>
      <c r="J2391" t="s">
        <v>62</v>
      </c>
      <c r="K2391" t="s">
        <v>29</v>
      </c>
      <c r="L2391">
        <v>1</v>
      </c>
      <c r="M2391">
        <v>864</v>
      </c>
      <c r="N2391">
        <v>172.8</v>
      </c>
      <c r="O2391">
        <v>40</v>
      </c>
      <c r="P2391">
        <v>864</v>
      </c>
      <c r="Q2391">
        <v>731.2</v>
      </c>
      <c r="R2391" t="s">
        <v>39</v>
      </c>
      <c r="S2391" t="s">
        <v>31</v>
      </c>
      <c r="T2391" t="s">
        <v>40</v>
      </c>
      <c r="U2391">
        <v>40</v>
      </c>
      <c r="V2391">
        <v>5</v>
      </c>
      <c r="W2391">
        <f>Table2[[#This Row],[Quantity]]*Table2[[#This Row],[Item_Price]]</f>
        <v>864</v>
      </c>
    </row>
    <row r="2392" spans="1:23" x14ac:dyDescent="0.25">
      <c r="A2392" t="s">
        <v>2491</v>
      </c>
      <c r="B2392" s="1">
        <v>45828</v>
      </c>
      <c r="C2392" t="s">
        <v>2191</v>
      </c>
      <c r="D2392">
        <v>6</v>
      </c>
      <c r="E2392">
        <v>20</v>
      </c>
      <c r="F2392" t="s">
        <v>114</v>
      </c>
      <c r="G2392" t="s">
        <v>73</v>
      </c>
      <c r="H2392" t="s">
        <v>60</v>
      </c>
      <c r="I2392" t="s">
        <v>57</v>
      </c>
      <c r="J2392" t="s">
        <v>66</v>
      </c>
      <c r="K2392" t="s">
        <v>58</v>
      </c>
      <c r="L2392">
        <v>1</v>
      </c>
      <c r="M2392">
        <v>368</v>
      </c>
      <c r="N2392">
        <v>0</v>
      </c>
      <c r="O2392">
        <v>50</v>
      </c>
      <c r="P2392">
        <v>368</v>
      </c>
      <c r="Q2392">
        <v>418</v>
      </c>
      <c r="R2392" t="s">
        <v>75</v>
      </c>
      <c r="S2392" t="s">
        <v>31</v>
      </c>
      <c r="T2392" t="s">
        <v>40</v>
      </c>
      <c r="U2392">
        <v>34</v>
      </c>
      <c r="V2392">
        <v>3.5</v>
      </c>
      <c r="W2392">
        <f>Table2[[#This Row],[Quantity]]*Table2[[#This Row],[Item_Price]]</f>
        <v>368</v>
      </c>
    </row>
    <row r="2393" spans="1:23" x14ac:dyDescent="0.25">
      <c r="A2393" t="s">
        <v>2492</v>
      </c>
      <c r="B2393" s="1">
        <v>45829</v>
      </c>
      <c r="C2393" t="s">
        <v>2191</v>
      </c>
      <c r="D2393">
        <v>6</v>
      </c>
      <c r="E2393">
        <v>21</v>
      </c>
      <c r="F2393" t="s">
        <v>134</v>
      </c>
      <c r="G2393" t="s">
        <v>73</v>
      </c>
      <c r="H2393" t="s">
        <v>26</v>
      </c>
      <c r="I2393" t="s">
        <v>97</v>
      </c>
      <c r="J2393" t="s">
        <v>44</v>
      </c>
      <c r="K2393" t="s">
        <v>45</v>
      </c>
      <c r="L2393">
        <v>2</v>
      </c>
      <c r="M2393">
        <v>846</v>
      </c>
      <c r="N2393">
        <v>169.2</v>
      </c>
      <c r="O2393">
        <v>30</v>
      </c>
      <c r="P2393">
        <v>1692</v>
      </c>
      <c r="Q2393">
        <v>1552.8</v>
      </c>
      <c r="R2393" t="s">
        <v>75</v>
      </c>
      <c r="S2393" t="s">
        <v>91</v>
      </c>
      <c r="T2393" t="s">
        <v>40</v>
      </c>
      <c r="U2393">
        <v>58</v>
      </c>
      <c r="W2393">
        <f>Table2[[#This Row],[Quantity]]*Table2[[#This Row],[Item_Price]]</f>
        <v>1692</v>
      </c>
    </row>
    <row r="2394" spans="1:23" x14ac:dyDescent="0.25">
      <c r="A2394" t="s">
        <v>2493</v>
      </c>
      <c r="B2394" s="1">
        <v>45829</v>
      </c>
      <c r="C2394" t="s">
        <v>2191</v>
      </c>
      <c r="D2394">
        <v>6</v>
      </c>
      <c r="E2394">
        <v>21</v>
      </c>
      <c r="F2394" t="s">
        <v>134</v>
      </c>
      <c r="G2394" t="s">
        <v>90</v>
      </c>
      <c r="H2394" t="s">
        <v>105</v>
      </c>
      <c r="I2394" t="s">
        <v>27</v>
      </c>
      <c r="J2394" t="s">
        <v>62</v>
      </c>
      <c r="K2394" t="s">
        <v>29</v>
      </c>
      <c r="L2394">
        <v>3</v>
      </c>
      <c r="M2394">
        <v>872</v>
      </c>
      <c r="N2394">
        <v>218</v>
      </c>
      <c r="O2394">
        <v>30</v>
      </c>
      <c r="P2394">
        <v>2616</v>
      </c>
      <c r="Q2394">
        <v>2428</v>
      </c>
      <c r="R2394" t="s">
        <v>75</v>
      </c>
      <c r="S2394" t="s">
        <v>31</v>
      </c>
      <c r="T2394" t="s">
        <v>40</v>
      </c>
      <c r="U2394">
        <v>64</v>
      </c>
      <c r="V2394">
        <v>3</v>
      </c>
      <c r="W2394">
        <f>Table2[[#This Row],[Quantity]]*Table2[[#This Row],[Item_Price]]</f>
        <v>2616</v>
      </c>
    </row>
    <row r="2395" spans="1:23" x14ac:dyDescent="0.25">
      <c r="A2395" t="s">
        <v>2494</v>
      </c>
      <c r="B2395" s="1">
        <v>45829</v>
      </c>
      <c r="C2395" t="s">
        <v>2191</v>
      </c>
      <c r="D2395">
        <v>6</v>
      </c>
      <c r="E2395">
        <v>21</v>
      </c>
      <c r="F2395" t="s">
        <v>134</v>
      </c>
      <c r="G2395" t="s">
        <v>25</v>
      </c>
      <c r="H2395" t="s">
        <v>26</v>
      </c>
      <c r="I2395" t="s">
        <v>69</v>
      </c>
      <c r="J2395" t="s">
        <v>101</v>
      </c>
      <c r="K2395" t="s">
        <v>38</v>
      </c>
      <c r="L2395">
        <v>1</v>
      </c>
      <c r="M2395">
        <v>770</v>
      </c>
      <c r="N2395">
        <v>77</v>
      </c>
      <c r="O2395">
        <v>40</v>
      </c>
      <c r="P2395">
        <v>770</v>
      </c>
      <c r="Q2395">
        <v>733</v>
      </c>
      <c r="R2395" t="s">
        <v>39</v>
      </c>
      <c r="S2395" t="s">
        <v>31</v>
      </c>
      <c r="T2395" t="s">
        <v>40</v>
      </c>
      <c r="U2395">
        <v>36</v>
      </c>
      <c r="V2395">
        <v>3.6</v>
      </c>
      <c r="W2395">
        <f>Table2[[#This Row],[Quantity]]*Table2[[#This Row],[Item_Price]]</f>
        <v>770</v>
      </c>
    </row>
    <row r="2396" spans="1:23" x14ac:dyDescent="0.25">
      <c r="A2396" t="s">
        <v>2495</v>
      </c>
      <c r="B2396" s="1">
        <v>45829</v>
      </c>
      <c r="C2396" t="s">
        <v>2191</v>
      </c>
      <c r="D2396">
        <v>6</v>
      </c>
      <c r="E2396">
        <v>21</v>
      </c>
      <c r="F2396" t="s">
        <v>134</v>
      </c>
      <c r="G2396" t="s">
        <v>73</v>
      </c>
      <c r="H2396" t="s">
        <v>81</v>
      </c>
      <c r="I2396" t="s">
        <v>49</v>
      </c>
      <c r="J2396" t="s">
        <v>66</v>
      </c>
      <c r="K2396" t="s">
        <v>38</v>
      </c>
      <c r="L2396">
        <v>2</v>
      </c>
      <c r="M2396">
        <v>318</v>
      </c>
      <c r="N2396">
        <v>47.7</v>
      </c>
      <c r="O2396">
        <v>50</v>
      </c>
      <c r="P2396">
        <v>636</v>
      </c>
      <c r="Q2396">
        <v>638.29999999999995</v>
      </c>
      <c r="R2396" t="s">
        <v>39</v>
      </c>
      <c r="S2396" t="s">
        <v>31</v>
      </c>
      <c r="T2396" t="s">
        <v>32</v>
      </c>
      <c r="U2396">
        <v>68</v>
      </c>
      <c r="V2396">
        <v>4.0999999999999996</v>
      </c>
      <c r="W2396">
        <f>Table2[[#This Row],[Quantity]]*Table2[[#This Row],[Item_Price]]</f>
        <v>636</v>
      </c>
    </row>
    <row r="2397" spans="1:23" x14ac:dyDescent="0.25">
      <c r="A2397" t="s">
        <v>2496</v>
      </c>
      <c r="B2397" s="1">
        <v>45829</v>
      </c>
      <c r="C2397" t="s">
        <v>2191</v>
      </c>
      <c r="D2397">
        <v>6</v>
      </c>
      <c r="E2397">
        <v>21</v>
      </c>
      <c r="F2397" t="s">
        <v>134</v>
      </c>
      <c r="G2397" t="s">
        <v>64</v>
      </c>
      <c r="H2397" t="s">
        <v>139</v>
      </c>
      <c r="I2397" t="s">
        <v>97</v>
      </c>
      <c r="J2397" t="s">
        <v>62</v>
      </c>
      <c r="K2397" t="s">
        <v>38</v>
      </c>
      <c r="L2397">
        <v>1</v>
      </c>
      <c r="M2397">
        <v>747</v>
      </c>
      <c r="N2397">
        <v>0</v>
      </c>
      <c r="O2397">
        <v>0</v>
      </c>
      <c r="P2397">
        <v>747</v>
      </c>
      <c r="Q2397">
        <v>747</v>
      </c>
      <c r="R2397" t="s">
        <v>30</v>
      </c>
      <c r="S2397" t="s">
        <v>31</v>
      </c>
      <c r="T2397" t="s">
        <v>40</v>
      </c>
      <c r="U2397">
        <v>25</v>
      </c>
      <c r="V2397">
        <v>3.8</v>
      </c>
      <c r="W2397">
        <f>Table2[[#This Row],[Quantity]]*Table2[[#This Row],[Item_Price]]</f>
        <v>747</v>
      </c>
    </row>
    <row r="2398" spans="1:23" x14ac:dyDescent="0.25">
      <c r="A2398" t="s">
        <v>2497</v>
      </c>
      <c r="B2398" s="1">
        <v>45829</v>
      </c>
      <c r="C2398" t="s">
        <v>2191</v>
      </c>
      <c r="D2398">
        <v>6</v>
      </c>
      <c r="E2398">
        <v>21</v>
      </c>
      <c r="F2398" t="s">
        <v>134</v>
      </c>
      <c r="G2398" t="s">
        <v>55</v>
      </c>
      <c r="H2398" t="s">
        <v>81</v>
      </c>
      <c r="I2398" t="s">
        <v>49</v>
      </c>
      <c r="J2398" t="s">
        <v>78</v>
      </c>
      <c r="K2398" t="s">
        <v>29</v>
      </c>
      <c r="L2398">
        <v>1</v>
      </c>
      <c r="M2398">
        <v>453</v>
      </c>
      <c r="N2398">
        <v>90.6</v>
      </c>
      <c r="O2398">
        <v>20</v>
      </c>
      <c r="P2398">
        <v>453</v>
      </c>
      <c r="Q2398">
        <v>382.4</v>
      </c>
      <c r="R2398" t="s">
        <v>75</v>
      </c>
      <c r="S2398" t="s">
        <v>31</v>
      </c>
      <c r="T2398" t="s">
        <v>40</v>
      </c>
      <c r="U2398">
        <v>48</v>
      </c>
      <c r="V2398">
        <v>3.2</v>
      </c>
      <c r="W2398">
        <f>Table2[[#This Row],[Quantity]]*Table2[[#This Row],[Item_Price]]</f>
        <v>453</v>
      </c>
    </row>
    <row r="2399" spans="1:23" x14ac:dyDescent="0.25">
      <c r="A2399" t="s">
        <v>2498</v>
      </c>
      <c r="B2399" s="1">
        <v>45829</v>
      </c>
      <c r="C2399" t="s">
        <v>2191</v>
      </c>
      <c r="D2399">
        <v>6</v>
      </c>
      <c r="E2399">
        <v>21</v>
      </c>
      <c r="F2399" t="s">
        <v>134</v>
      </c>
      <c r="G2399" t="s">
        <v>73</v>
      </c>
      <c r="H2399" t="s">
        <v>35</v>
      </c>
      <c r="I2399" t="s">
        <v>57</v>
      </c>
      <c r="J2399" t="s">
        <v>101</v>
      </c>
      <c r="K2399" t="s">
        <v>38</v>
      </c>
      <c r="L2399">
        <v>1</v>
      </c>
      <c r="M2399">
        <v>826</v>
      </c>
      <c r="N2399">
        <v>82.6</v>
      </c>
      <c r="O2399">
        <v>30</v>
      </c>
      <c r="P2399">
        <v>826</v>
      </c>
      <c r="Q2399">
        <v>773.4</v>
      </c>
      <c r="R2399" t="s">
        <v>98</v>
      </c>
      <c r="S2399" t="s">
        <v>31</v>
      </c>
      <c r="T2399" t="s">
        <v>40</v>
      </c>
      <c r="U2399">
        <v>51</v>
      </c>
      <c r="V2399">
        <v>4.8</v>
      </c>
      <c r="W2399">
        <f>Table2[[#This Row],[Quantity]]*Table2[[#This Row],[Item_Price]]</f>
        <v>826</v>
      </c>
    </row>
    <row r="2400" spans="1:23" x14ac:dyDescent="0.25">
      <c r="A2400" t="s">
        <v>2499</v>
      </c>
      <c r="B2400" s="1">
        <v>45829</v>
      </c>
      <c r="C2400" t="s">
        <v>2191</v>
      </c>
      <c r="D2400">
        <v>6</v>
      </c>
      <c r="E2400">
        <v>21</v>
      </c>
      <c r="F2400" t="s">
        <v>134</v>
      </c>
      <c r="G2400" t="s">
        <v>55</v>
      </c>
      <c r="H2400" t="s">
        <v>48</v>
      </c>
      <c r="I2400" t="s">
        <v>27</v>
      </c>
      <c r="J2400" t="s">
        <v>172</v>
      </c>
      <c r="K2400" t="s">
        <v>38</v>
      </c>
      <c r="L2400">
        <v>3</v>
      </c>
      <c r="M2400">
        <v>425</v>
      </c>
      <c r="N2400">
        <v>85</v>
      </c>
      <c r="O2400">
        <v>30</v>
      </c>
      <c r="P2400">
        <v>1275</v>
      </c>
      <c r="Q2400">
        <v>1220</v>
      </c>
      <c r="R2400" t="s">
        <v>75</v>
      </c>
      <c r="S2400" t="s">
        <v>31</v>
      </c>
      <c r="T2400" t="s">
        <v>40</v>
      </c>
      <c r="U2400">
        <v>29</v>
      </c>
      <c r="V2400">
        <v>3.9</v>
      </c>
      <c r="W2400">
        <f>Table2[[#This Row],[Quantity]]*Table2[[#This Row],[Item_Price]]</f>
        <v>1275</v>
      </c>
    </row>
    <row r="2401" spans="1:23" x14ac:dyDescent="0.25">
      <c r="A2401" t="s">
        <v>2500</v>
      </c>
      <c r="B2401" s="1">
        <v>45829</v>
      </c>
      <c r="C2401" t="s">
        <v>2191</v>
      </c>
      <c r="D2401">
        <v>6</v>
      </c>
      <c r="E2401">
        <v>21</v>
      </c>
      <c r="F2401" t="s">
        <v>134</v>
      </c>
      <c r="G2401" t="s">
        <v>84</v>
      </c>
      <c r="H2401" t="s">
        <v>26</v>
      </c>
      <c r="I2401" t="s">
        <v>69</v>
      </c>
      <c r="J2401" t="s">
        <v>74</v>
      </c>
      <c r="K2401" t="s">
        <v>38</v>
      </c>
      <c r="L2401">
        <v>2</v>
      </c>
      <c r="M2401">
        <v>865</v>
      </c>
      <c r="N2401">
        <v>129.75</v>
      </c>
      <c r="O2401">
        <v>0</v>
      </c>
      <c r="P2401">
        <v>1730</v>
      </c>
      <c r="Q2401">
        <v>1600.25</v>
      </c>
      <c r="R2401" t="s">
        <v>98</v>
      </c>
      <c r="S2401" t="s">
        <v>31</v>
      </c>
      <c r="T2401" t="s">
        <v>40</v>
      </c>
      <c r="U2401">
        <v>29</v>
      </c>
      <c r="V2401">
        <v>5</v>
      </c>
      <c r="W2401">
        <f>Table2[[#This Row],[Quantity]]*Table2[[#This Row],[Item_Price]]</f>
        <v>1730</v>
      </c>
    </row>
    <row r="2402" spans="1:23" x14ac:dyDescent="0.25">
      <c r="A2402" t="s">
        <v>2501</v>
      </c>
      <c r="B2402" s="1">
        <v>45829</v>
      </c>
      <c r="C2402" t="s">
        <v>2191</v>
      </c>
      <c r="D2402">
        <v>6</v>
      </c>
      <c r="E2402">
        <v>21</v>
      </c>
      <c r="F2402" t="s">
        <v>134</v>
      </c>
      <c r="G2402" t="s">
        <v>90</v>
      </c>
      <c r="H2402" t="s">
        <v>56</v>
      </c>
      <c r="I2402" t="s">
        <v>27</v>
      </c>
      <c r="J2402" t="s">
        <v>37</v>
      </c>
      <c r="K2402" t="s">
        <v>29</v>
      </c>
      <c r="L2402">
        <v>2</v>
      </c>
      <c r="M2402">
        <v>238</v>
      </c>
      <c r="N2402">
        <v>35.700000000000003</v>
      </c>
      <c r="O2402">
        <v>30</v>
      </c>
      <c r="P2402">
        <v>476</v>
      </c>
      <c r="Q2402">
        <v>470.3</v>
      </c>
      <c r="R2402" t="s">
        <v>112</v>
      </c>
      <c r="S2402" t="s">
        <v>31</v>
      </c>
      <c r="T2402" t="s">
        <v>32</v>
      </c>
      <c r="U2402">
        <v>29</v>
      </c>
      <c r="V2402">
        <v>4.8</v>
      </c>
      <c r="W2402">
        <f>Table2[[#This Row],[Quantity]]*Table2[[#This Row],[Item_Price]]</f>
        <v>476</v>
      </c>
    </row>
    <row r="2403" spans="1:23" x14ac:dyDescent="0.25">
      <c r="A2403" t="s">
        <v>2502</v>
      </c>
      <c r="B2403" s="1">
        <v>45829</v>
      </c>
      <c r="C2403" t="s">
        <v>2191</v>
      </c>
      <c r="D2403">
        <v>6</v>
      </c>
      <c r="E2403">
        <v>21</v>
      </c>
      <c r="F2403" t="s">
        <v>134</v>
      </c>
      <c r="G2403" t="s">
        <v>80</v>
      </c>
      <c r="H2403" t="s">
        <v>135</v>
      </c>
      <c r="I2403" t="s">
        <v>27</v>
      </c>
      <c r="J2403" t="s">
        <v>82</v>
      </c>
      <c r="K2403" t="s">
        <v>38</v>
      </c>
      <c r="L2403">
        <v>3</v>
      </c>
      <c r="M2403">
        <v>422</v>
      </c>
      <c r="N2403">
        <v>0</v>
      </c>
      <c r="O2403">
        <v>50</v>
      </c>
      <c r="P2403">
        <v>1266</v>
      </c>
      <c r="Q2403">
        <v>1316</v>
      </c>
      <c r="R2403" t="s">
        <v>75</v>
      </c>
      <c r="S2403" t="s">
        <v>91</v>
      </c>
      <c r="T2403" t="s">
        <v>40</v>
      </c>
      <c r="U2403">
        <v>45</v>
      </c>
      <c r="W2403">
        <f>Table2[[#This Row],[Quantity]]*Table2[[#This Row],[Item_Price]]</f>
        <v>1266</v>
      </c>
    </row>
    <row r="2404" spans="1:23" x14ac:dyDescent="0.25">
      <c r="A2404" t="s">
        <v>2503</v>
      </c>
      <c r="B2404" s="1">
        <v>45830</v>
      </c>
      <c r="C2404" t="s">
        <v>2191</v>
      </c>
      <c r="D2404">
        <v>6</v>
      </c>
      <c r="E2404">
        <v>22</v>
      </c>
      <c r="F2404" t="s">
        <v>149</v>
      </c>
      <c r="G2404" t="s">
        <v>115</v>
      </c>
      <c r="H2404" t="s">
        <v>35</v>
      </c>
      <c r="I2404" t="s">
        <v>97</v>
      </c>
      <c r="J2404" t="s">
        <v>78</v>
      </c>
      <c r="K2404" t="s">
        <v>29</v>
      </c>
      <c r="L2404">
        <v>3</v>
      </c>
      <c r="M2404">
        <v>641</v>
      </c>
      <c r="N2404">
        <v>64.099999999999994</v>
      </c>
      <c r="O2404">
        <v>40</v>
      </c>
      <c r="P2404">
        <v>1923</v>
      </c>
      <c r="Q2404">
        <v>1898.9</v>
      </c>
      <c r="R2404" t="s">
        <v>39</v>
      </c>
      <c r="S2404" t="s">
        <v>31</v>
      </c>
      <c r="T2404" t="s">
        <v>40</v>
      </c>
      <c r="U2404">
        <v>67</v>
      </c>
      <c r="V2404">
        <v>3.8</v>
      </c>
      <c r="W2404">
        <f>Table2[[#This Row],[Quantity]]*Table2[[#This Row],[Item_Price]]</f>
        <v>1923</v>
      </c>
    </row>
    <row r="2405" spans="1:23" x14ac:dyDescent="0.25">
      <c r="A2405" t="s">
        <v>2504</v>
      </c>
      <c r="B2405" s="1">
        <v>45830</v>
      </c>
      <c r="C2405" t="s">
        <v>2191</v>
      </c>
      <c r="D2405">
        <v>6</v>
      </c>
      <c r="E2405">
        <v>22</v>
      </c>
      <c r="F2405" t="s">
        <v>149</v>
      </c>
      <c r="G2405" t="s">
        <v>84</v>
      </c>
      <c r="H2405" t="s">
        <v>139</v>
      </c>
      <c r="I2405" t="s">
        <v>36</v>
      </c>
      <c r="J2405" t="s">
        <v>74</v>
      </c>
      <c r="K2405" t="s">
        <v>38</v>
      </c>
      <c r="L2405">
        <v>1</v>
      </c>
      <c r="M2405">
        <v>580</v>
      </c>
      <c r="N2405">
        <v>116</v>
      </c>
      <c r="O2405">
        <v>50</v>
      </c>
      <c r="P2405">
        <v>580</v>
      </c>
      <c r="Q2405">
        <v>514</v>
      </c>
      <c r="R2405" t="s">
        <v>30</v>
      </c>
      <c r="S2405" t="s">
        <v>31</v>
      </c>
      <c r="T2405" t="s">
        <v>40</v>
      </c>
      <c r="U2405">
        <v>69</v>
      </c>
      <c r="V2405">
        <v>3.4</v>
      </c>
      <c r="W2405">
        <f>Table2[[#This Row],[Quantity]]*Table2[[#This Row],[Item_Price]]</f>
        <v>580</v>
      </c>
    </row>
    <row r="2406" spans="1:23" x14ac:dyDescent="0.25">
      <c r="A2406" t="s">
        <v>2505</v>
      </c>
      <c r="B2406" s="1">
        <v>45830</v>
      </c>
      <c r="C2406" t="s">
        <v>2191</v>
      </c>
      <c r="D2406">
        <v>6</v>
      </c>
      <c r="E2406">
        <v>22</v>
      </c>
      <c r="F2406" t="s">
        <v>149</v>
      </c>
      <c r="G2406" t="s">
        <v>25</v>
      </c>
      <c r="H2406" t="s">
        <v>135</v>
      </c>
      <c r="I2406" t="s">
        <v>85</v>
      </c>
      <c r="J2406" t="s">
        <v>50</v>
      </c>
      <c r="K2406" t="s">
        <v>45</v>
      </c>
      <c r="L2406">
        <v>2</v>
      </c>
      <c r="M2406">
        <v>630</v>
      </c>
      <c r="N2406">
        <v>157.5</v>
      </c>
      <c r="O2406">
        <v>30</v>
      </c>
      <c r="P2406">
        <v>1260</v>
      </c>
      <c r="Q2406">
        <v>1132.5</v>
      </c>
      <c r="R2406" t="s">
        <v>75</v>
      </c>
      <c r="S2406" t="s">
        <v>31</v>
      </c>
      <c r="T2406" t="s">
        <v>40</v>
      </c>
      <c r="U2406">
        <v>34</v>
      </c>
      <c r="V2406">
        <v>4.0999999999999996</v>
      </c>
      <c r="W2406">
        <f>Table2[[#This Row],[Quantity]]*Table2[[#This Row],[Item_Price]]</f>
        <v>1260</v>
      </c>
    </row>
    <row r="2407" spans="1:23" x14ac:dyDescent="0.25">
      <c r="A2407" t="s">
        <v>2506</v>
      </c>
      <c r="B2407" s="1">
        <v>45830</v>
      </c>
      <c r="C2407" t="s">
        <v>2191</v>
      </c>
      <c r="D2407">
        <v>6</v>
      </c>
      <c r="E2407">
        <v>22</v>
      </c>
      <c r="F2407" t="s">
        <v>149</v>
      </c>
      <c r="G2407" t="s">
        <v>115</v>
      </c>
      <c r="H2407" t="s">
        <v>48</v>
      </c>
      <c r="I2407" t="s">
        <v>43</v>
      </c>
      <c r="J2407" t="s">
        <v>94</v>
      </c>
      <c r="K2407" t="s">
        <v>38</v>
      </c>
      <c r="L2407">
        <v>2</v>
      </c>
      <c r="M2407">
        <v>343</v>
      </c>
      <c r="N2407">
        <v>85.75</v>
      </c>
      <c r="O2407">
        <v>30</v>
      </c>
      <c r="P2407">
        <v>686</v>
      </c>
      <c r="Q2407">
        <v>630.25</v>
      </c>
      <c r="R2407" t="s">
        <v>112</v>
      </c>
      <c r="S2407" t="s">
        <v>110</v>
      </c>
      <c r="T2407" t="s">
        <v>40</v>
      </c>
      <c r="U2407">
        <v>26</v>
      </c>
      <c r="W2407">
        <f>Table2[[#This Row],[Quantity]]*Table2[[#This Row],[Item_Price]]</f>
        <v>686</v>
      </c>
    </row>
    <row r="2408" spans="1:23" x14ac:dyDescent="0.25">
      <c r="A2408" t="s">
        <v>2507</v>
      </c>
      <c r="B2408" s="1">
        <v>45830</v>
      </c>
      <c r="C2408" t="s">
        <v>2191</v>
      </c>
      <c r="D2408">
        <v>6</v>
      </c>
      <c r="E2408">
        <v>22</v>
      </c>
      <c r="F2408" t="s">
        <v>149</v>
      </c>
      <c r="G2408" t="s">
        <v>73</v>
      </c>
      <c r="H2408" t="s">
        <v>26</v>
      </c>
      <c r="I2408" t="s">
        <v>69</v>
      </c>
      <c r="J2408" t="s">
        <v>44</v>
      </c>
      <c r="K2408" t="s">
        <v>38</v>
      </c>
      <c r="L2408">
        <v>1</v>
      </c>
      <c r="M2408">
        <v>786</v>
      </c>
      <c r="N2408">
        <v>196.5</v>
      </c>
      <c r="O2408">
        <v>0</v>
      </c>
      <c r="P2408">
        <v>786</v>
      </c>
      <c r="Q2408">
        <v>589.5</v>
      </c>
      <c r="R2408" t="s">
        <v>39</v>
      </c>
      <c r="S2408" t="s">
        <v>110</v>
      </c>
      <c r="T2408" t="s">
        <v>40</v>
      </c>
      <c r="U2408">
        <v>19</v>
      </c>
      <c r="W2408">
        <f>Table2[[#This Row],[Quantity]]*Table2[[#This Row],[Item_Price]]</f>
        <v>786</v>
      </c>
    </row>
    <row r="2409" spans="1:23" x14ac:dyDescent="0.25">
      <c r="A2409" t="s">
        <v>2508</v>
      </c>
      <c r="B2409" s="1">
        <v>45830</v>
      </c>
      <c r="C2409" t="s">
        <v>2191</v>
      </c>
      <c r="D2409">
        <v>6</v>
      </c>
      <c r="E2409">
        <v>22</v>
      </c>
      <c r="F2409" t="s">
        <v>149</v>
      </c>
      <c r="G2409" t="s">
        <v>73</v>
      </c>
      <c r="H2409" t="s">
        <v>81</v>
      </c>
      <c r="I2409" t="s">
        <v>61</v>
      </c>
      <c r="J2409" t="s">
        <v>66</v>
      </c>
      <c r="K2409" t="s">
        <v>45</v>
      </c>
      <c r="L2409">
        <v>2</v>
      </c>
      <c r="M2409">
        <v>608</v>
      </c>
      <c r="N2409">
        <v>0</v>
      </c>
      <c r="O2409">
        <v>30</v>
      </c>
      <c r="P2409">
        <v>1216</v>
      </c>
      <c r="Q2409">
        <v>1246</v>
      </c>
      <c r="R2409" t="s">
        <v>75</v>
      </c>
      <c r="S2409" t="s">
        <v>31</v>
      </c>
      <c r="T2409" t="s">
        <v>40</v>
      </c>
      <c r="U2409">
        <v>22</v>
      </c>
      <c r="V2409">
        <v>4.5999999999999996</v>
      </c>
      <c r="W2409">
        <f>Table2[[#This Row],[Quantity]]*Table2[[#This Row],[Item_Price]]</f>
        <v>1216</v>
      </c>
    </row>
    <row r="2410" spans="1:23" x14ac:dyDescent="0.25">
      <c r="A2410" t="s">
        <v>2509</v>
      </c>
      <c r="B2410" s="1">
        <v>45830</v>
      </c>
      <c r="C2410" t="s">
        <v>2191</v>
      </c>
      <c r="D2410">
        <v>6</v>
      </c>
      <c r="E2410">
        <v>22</v>
      </c>
      <c r="F2410" t="s">
        <v>149</v>
      </c>
      <c r="G2410" t="s">
        <v>115</v>
      </c>
      <c r="H2410" t="s">
        <v>77</v>
      </c>
      <c r="I2410" t="s">
        <v>97</v>
      </c>
      <c r="J2410" t="s">
        <v>94</v>
      </c>
      <c r="K2410" t="s">
        <v>38</v>
      </c>
      <c r="L2410">
        <v>1</v>
      </c>
      <c r="M2410">
        <v>547</v>
      </c>
      <c r="N2410">
        <v>0</v>
      </c>
      <c r="O2410">
        <v>40</v>
      </c>
      <c r="P2410">
        <v>547</v>
      </c>
      <c r="Q2410">
        <v>587</v>
      </c>
      <c r="R2410" t="s">
        <v>112</v>
      </c>
      <c r="S2410" t="s">
        <v>91</v>
      </c>
      <c r="T2410" t="s">
        <v>40</v>
      </c>
      <c r="U2410">
        <v>61</v>
      </c>
      <c r="W2410">
        <f>Table2[[#This Row],[Quantity]]*Table2[[#This Row],[Item_Price]]</f>
        <v>547</v>
      </c>
    </row>
    <row r="2411" spans="1:23" x14ac:dyDescent="0.25">
      <c r="A2411" t="s">
        <v>2510</v>
      </c>
      <c r="B2411" s="1">
        <v>45830</v>
      </c>
      <c r="C2411" t="s">
        <v>2191</v>
      </c>
      <c r="D2411">
        <v>6</v>
      </c>
      <c r="E2411">
        <v>22</v>
      </c>
      <c r="F2411" t="s">
        <v>149</v>
      </c>
      <c r="G2411" t="s">
        <v>64</v>
      </c>
      <c r="H2411" t="s">
        <v>108</v>
      </c>
      <c r="I2411" t="s">
        <v>49</v>
      </c>
      <c r="J2411" t="s">
        <v>94</v>
      </c>
      <c r="K2411" t="s">
        <v>58</v>
      </c>
      <c r="L2411">
        <v>1</v>
      </c>
      <c r="M2411">
        <v>456</v>
      </c>
      <c r="N2411">
        <v>45.6</v>
      </c>
      <c r="O2411">
        <v>60</v>
      </c>
      <c r="P2411">
        <v>456</v>
      </c>
      <c r="Q2411">
        <v>470.4</v>
      </c>
      <c r="R2411" t="s">
        <v>75</v>
      </c>
      <c r="S2411" t="s">
        <v>31</v>
      </c>
      <c r="T2411" t="s">
        <v>40</v>
      </c>
      <c r="U2411">
        <v>30</v>
      </c>
      <c r="V2411">
        <v>5</v>
      </c>
      <c r="W2411">
        <f>Table2[[#This Row],[Quantity]]*Table2[[#This Row],[Item_Price]]</f>
        <v>456</v>
      </c>
    </row>
    <row r="2412" spans="1:23" x14ac:dyDescent="0.25">
      <c r="A2412" t="s">
        <v>2511</v>
      </c>
      <c r="B2412" s="1">
        <v>45830</v>
      </c>
      <c r="C2412" t="s">
        <v>2191</v>
      </c>
      <c r="D2412">
        <v>6</v>
      </c>
      <c r="E2412">
        <v>22</v>
      </c>
      <c r="F2412" t="s">
        <v>149</v>
      </c>
      <c r="G2412" t="s">
        <v>80</v>
      </c>
      <c r="H2412" t="s">
        <v>135</v>
      </c>
      <c r="I2412" t="s">
        <v>85</v>
      </c>
      <c r="J2412" t="s">
        <v>28</v>
      </c>
      <c r="K2412" t="s">
        <v>38</v>
      </c>
      <c r="L2412">
        <v>2</v>
      </c>
      <c r="M2412">
        <v>402</v>
      </c>
      <c r="N2412">
        <v>60.3</v>
      </c>
      <c r="O2412">
        <v>50</v>
      </c>
      <c r="P2412">
        <v>804</v>
      </c>
      <c r="Q2412">
        <v>793.7</v>
      </c>
      <c r="R2412" t="s">
        <v>75</v>
      </c>
      <c r="S2412" t="s">
        <v>46</v>
      </c>
      <c r="T2412" t="s">
        <v>32</v>
      </c>
      <c r="U2412">
        <v>24</v>
      </c>
      <c r="W2412">
        <f>Table2[[#This Row],[Quantity]]*Table2[[#This Row],[Item_Price]]</f>
        <v>804</v>
      </c>
    </row>
    <row r="2413" spans="1:23" x14ac:dyDescent="0.25">
      <c r="A2413" t="s">
        <v>2512</v>
      </c>
      <c r="B2413" s="1">
        <v>45830</v>
      </c>
      <c r="C2413" t="s">
        <v>2191</v>
      </c>
      <c r="D2413">
        <v>6</v>
      </c>
      <c r="E2413">
        <v>22</v>
      </c>
      <c r="F2413" t="s">
        <v>149</v>
      </c>
      <c r="G2413" t="s">
        <v>64</v>
      </c>
      <c r="H2413" t="s">
        <v>68</v>
      </c>
      <c r="I2413" t="s">
        <v>61</v>
      </c>
      <c r="J2413" t="s">
        <v>70</v>
      </c>
      <c r="K2413" t="s">
        <v>38</v>
      </c>
      <c r="L2413">
        <v>2</v>
      </c>
      <c r="M2413">
        <v>651</v>
      </c>
      <c r="N2413">
        <v>32.549999999999997</v>
      </c>
      <c r="O2413">
        <v>0</v>
      </c>
      <c r="P2413">
        <v>1302</v>
      </c>
      <c r="Q2413">
        <v>1269.45</v>
      </c>
      <c r="R2413" t="s">
        <v>39</v>
      </c>
      <c r="S2413" t="s">
        <v>31</v>
      </c>
      <c r="T2413" t="s">
        <v>40</v>
      </c>
      <c r="U2413">
        <v>54</v>
      </c>
      <c r="V2413">
        <v>4.8</v>
      </c>
      <c r="W2413">
        <f>Table2[[#This Row],[Quantity]]*Table2[[#This Row],[Item_Price]]</f>
        <v>1302</v>
      </c>
    </row>
    <row r="2414" spans="1:23" x14ac:dyDescent="0.25">
      <c r="A2414" t="s">
        <v>2513</v>
      </c>
      <c r="B2414" s="1">
        <v>45830</v>
      </c>
      <c r="C2414" t="s">
        <v>2191</v>
      </c>
      <c r="D2414">
        <v>6</v>
      </c>
      <c r="E2414">
        <v>22</v>
      </c>
      <c r="F2414" t="s">
        <v>149</v>
      </c>
      <c r="G2414" t="s">
        <v>80</v>
      </c>
      <c r="H2414" t="s">
        <v>108</v>
      </c>
      <c r="I2414" t="s">
        <v>69</v>
      </c>
      <c r="J2414" t="s">
        <v>94</v>
      </c>
      <c r="K2414" t="s">
        <v>45</v>
      </c>
      <c r="L2414">
        <v>1</v>
      </c>
      <c r="M2414">
        <v>238</v>
      </c>
      <c r="N2414">
        <v>11.9</v>
      </c>
      <c r="O2414">
        <v>30</v>
      </c>
      <c r="P2414">
        <v>238</v>
      </c>
      <c r="Q2414">
        <v>256.10000000000002</v>
      </c>
      <c r="R2414" t="s">
        <v>30</v>
      </c>
      <c r="S2414" t="s">
        <v>46</v>
      </c>
      <c r="T2414" t="s">
        <v>32</v>
      </c>
      <c r="U2414">
        <v>51</v>
      </c>
      <c r="W2414">
        <f>Table2[[#This Row],[Quantity]]*Table2[[#This Row],[Item_Price]]</f>
        <v>238</v>
      </c>
    </row>
    <row r="2415" spans="1:23" x14ac:dyDescent="0.25">
      <c r="A2415" t="s">
        <v>2514</v>
      </c>
      <c r="B2415" s="1">
        <v>45830</v>
      </c>
      <c r="C2415" t="s">
        <v>2191</v>
      </c>
      <c r="D2415">
        <v>6</v>
      </c>
      <c r="E2415">
        <v>22</v>
      </c>
      <c r="F2415" t="s">
        <v>149</v>
      </c>
      <c r="G2415" t="s">
        <v>73</v>
      </c>
      <c r="H2415" t="s">
        <v>135</v>
      </c>
      <c r="I2415" t="s">
        <v>43</v>
      </c>
      <c r="J2415" t="s">
        <v>66</v>
      </c>
      <c r="K2415" t="s">
        <v>38</v>
      </c>
      <c r="L2415">
        <v>3</v>
      </c>
      <c r="M2415">
        <v>493</v>
      </c>
      <c r="N2415">
        <v>24.65</v>
      </c>
      <c r="O2415">
        <v>40</v>
      </c>
      <c r="P2415">
        <v>1479</v>
      </c>
      <c r="Q2415">
        <v>1494.35</v>
      </c>
      <c r="R2415" t="s">
        <v>30</v>
      </c>
      <c r="S2415" t="s">
        <v>31</v>
      </c>
      <c r="T2415" t="s">
        <v>32</v>
      </c>
      <c r="U2415">
        <v>30</v>
      </c>
      <c r="V2415">
        <v>3.1</v>
      </c>
      <c r="W2415">
        <f>Table2[[#This Row],[Quantity]]*Table2[[#This Row],[Item_Price]]</f>
        <v>1479</v>
      </c>
    </row>
    <row r="2416" spans="1:23" x14ac:dyDescent="0.25">
      <c r="A2416" t="s">
        <v>2515</v>
      </c>
      <c r="B2416" s="1">
        <v>45830</v>
      </c>
      <c r="C2416" t="s">
        <v>2191</v>
      </c>
      <c r="D2416">
        <v>6</v>
      </c>
      <c r="E2416">
        <v>22</v>
      </c>
      <c r="F2416" t="s">
        <v>149</v>
      </c>
      <c r="G2416" t="s">
        <v>55</v>
      </c>
      <c r="H2416" t="s">
        <v>135</v>
      </c>
      <c r="I2416" t="s">
        <v>85</v>
      </c>
      <c r="J2416" t="s">
        <v>37</v>
      </c>
      <c r="K2416" t="s">
        <v>58</v>
      </c>
      <c r="L2416">
        <v>2</v>
      </c>
      <c r="M2416">
        <v>785</v>
      </c>
      <c r="N2416">
        <v>78.5</v>
      </c>
      <c r="O2416">
        <v>30</v>
      </c>
      <c r="P2416">
        <v>1570</v>
      </c>
      <c r="Q2416">
        <v>1521.5</v>
      </c>
      <c r="R2416" t="s">
        <v>39</v>
      </c>
      <c r="S2416" t="s">
        <v>31</v>
      </c>
      <c r="T2416" t="s">
        <v>40</v>
      </c>
      <c r="U2416">
        <v>50</v>
      </c>
      <c r="V2416">
        <v>2.9</v>
      </c>
      <c r="W2416">
        <f>Table2[[#This Row],[Quantity]]*Table2[[#This Row],[Item_Price]]</f>
        <v>1570</v>
      </c>
    </row>
    <row r="2417" spans="1:23" x14ac:dyDescent="0.25">
      <c r="A2417" t="s">
        <v>2516</v>
      </c>
      <c r="B2417" s="1">
        <v>45830</v>
      </c>
      <c r="C2417" t="s">
        <v>2191</v>
      </c>
      <c r="D2417">
        <v>6</v>
      </c>
      <c r="E2417">
        <v>22</v>
      </c>
      <c r="F2417" t="s">
        <v>149</v>
      </c>
      <c r="G2417" t="s">
        <v>80</v>
      </c>
      <c r="H2417" t="s">
        <v>48</v>
      </c>
      <c r="I2417" t="s">
        <v>27</v>
      </c>
      <c r="J2417" t="s">
        <v>66</v>
      </c>
      <c r="K2417" t="s">
        <v>38</v>
      </c>
      <c r="L2417">
        <v>2</v>
      </c>
      <c r="M2417">
        <v>470</v>
      </c>
      <c r="N2417">
        <v>23.5</v>
      </c>
      <c r="O2417">
        <v>30</v>
      </c>
      <c r="P2417">
        <v>940</v>
      </c>
      <c r="Q2417">
        <v>946.5</v>
      </c>
      <c r="R2417" t="s">
        <v>30</v>
      </c>
      <c r="S2417" t="s">
        <v>31</v>
      </c>
      <c r="T2417" t="s">
        <v>40</v>
      </c>
      <c r="U2417">
        <v>56</v>
      </c>
      <c r="V2417">
        <v>5</v>
      </c>
      <c r="W2417">
        <f>Table2[[#This Row],[Quantity]]*Table2[[#This Row],[Item_Price]]</f>
        <v>940</v>
      </c>
    </row>
    <row r="2418" spans="1:23" x14ac:dyDescent="0.25">
      <c r="A2418" t="s">
        <v>2517</v>
      </c>
      <c r="B2418" s="1">
        <v>45830</v>
      </c>
      <c r="C2418" t="s">
        <v>2191</v>
      </c>
      <c r="D2418">
        <v>6</v>
      </c>
      <c r="E2418">
        <v>22</v>
      </c>
      <c r="F2418" t="s">
        <v>149</v>
      </c>
      <c r="G2418" t="s">
        <v>64</v>
      </c>
      <c r="H2418" t="s">
        <v>105</v>
      </c>
      <c r="I2418" t="s">
        <v>97</v>
      </c>
      <c r="J2418" t="s">
        <v>82</v>
      </c>
      <c r="K2418" t="s">
        <v>38</v>
      </c>
      <c r="L2418">
        <v>2</v>
      </c>
      <c r="M2418">
        <v>255</v>
      </c>
      <c r="N2418">
        <v>63.75</v>
      </c>
      <c r="O2418">
        <v>40</v>
      </c>
      <c r="P2418">
        <v>510</v>
      </c>
      <c r="Q2418">
        <v>486.25</v>
      </c>
      <c r="R2418" t="s">
        <v>30</v>
      </c>
      <c r="S2418" t="s">
        <v>31</v>
      </c>
      <c r="T2418" t="s">
        <v>40</v>
      </c>
      <c r="U2418">
        <v>29</v>
      </c>
      <c r="V2418">
        <v>3.9</v>
      </c>
      <c r="W2418">
        <f>Table2[[#This Row],[Quantity]]*Table2[[#This Row],[Item_Price]]</f>
        <v>510</v>
      </c>
    </row>
    <row r="2419" spans="1:23" x14ac:dyDescent="0.25">
      <c r="A2419" t="s">
        <v>2518</v>
      </c>
      <c r="B2419" s="1">
        <v>45830</v>
      </c>
      <c r="C2419" t="s">
        <v>2191</v>
      </c>
      <c r="D2419">
        <v>6</v>
      </c>
      <c r="E2419">
        <v>22</v>
      </c>
      <c r="F2419" t="s">
        <v>149</v>
      </c>
      <c r="G2419" t="s">
        <v>90</v>
      </c>
      <c r="H2419" t="s">
        <v>68</v>
      </c>
      <c r="I2419" t="s">
        <v>61</v>
      </c>
      <c r="J2419" t="s">
        <v>101</v>
      </c>
      <c r="K2419" t="s">
        <v>38</v>
      </c>
      <c r="L2419">
        <v>1</v>
      </c>
      <c r="M2419">
        <v>487</v>
      </c>
      <c r="N2419">
        <v>97.4</v>
      </c>
      <c r="O2419">
        <v>40</v>
      </c>
      <c r="P2419">
        <v>487</v>
      </c>
      <c r="Q2419">
        <v>429.6</v>
      </c>
      <c r="R2419" t="s">
        <v>112</v>
      </c>
      <c r="S2419" t="s">
        <v>31</v>
      </c>
      <c r="T2419" t="s">
        <v>40</v>
      </c>
      <c r="U2419">
        <v>53</v>
      </c>
      <c r="V2419">
        <v>3.3</v>
      </c>
      <c r="W2419">
        <f>Table2[[#This Row],[Quantity]]*Table2[[#This Row],[Item_Price]]</f>
        <v>487</v>
      </c>
    </row>
    <row r="2420" spans="1:23" x14ac:dyDescent="0.25">
      <c r="A2420" t="s">
        <v>2519</v>
      </c>
      <c r="B2420" s="1">
        <v>45830</v>
      </c>
      <c r="C2420" t="s">
        <v>2191</v>
      </c>
      <c r="D2420">
        <v>6</v>
      </c>
      <c r="E2420">
        <v>22</v>
      </c>
      <c r="F2420" t="s">
        <v>149</v>
      </c>
      <c r="G2420" t="s">
        <v>64</v>
      </c>
      <c r="H2420" t="s">
        <v>81</v>
      </c>
      <c r="I2420" t="s">
        <v>57</v>
      </c>
      <c r="J2420" t="s">
        <v>94</v>
      </c>
      <c r="K2420" t="s">
        <v>45</v>
      </c>
      <c r="L2420">
        <v>1</v>
      </c>
      <c r="M2420">
        <v>884</v>
      </c>
      <c r="N2420">
        <v>221</v>
      </c>
      <c r="O2420">
        <v>70</v>
      </c>
      <c r="P2420">
        <v>884</v>
      </c>
      <c r="Q2420">
        <v>733</v>
      </c>
      <c r="R2420" t="s">
        <v>98</v>
      </c>
      <c r="S2420" t="s">
        <v>31</v>
      </c>
      <c r="T2420" t="s">
        <v>40</v>
      </c>
      <c r="U2420">
        <v>39</v>
      </c>
      <c r="V2420">
        <v>4.7</v>
      </c>
      <c r="W2420">
        <f>Table2[[#This Row],[Quantity]]*Table2[[#This Row],[Item_Price]]</f>
        <v>884</v>
      </c>
    </row>
    <row r="2421" spans="1:23" x14ac:dyDescent="0.25">
      <c r="A2421" t="s">
        <v>2520</v>
      </c>
      <c r="B2421" s="1">
        <v>45830</v>
      </c>
      <c r="C2421" t="s">
        <v>2191</v>
      </c>
      <c r="D2421">
        <v>6</v>
      </c>
      <c r="E2421">
        <v>22</v>
      </c>
      <c r="F2421" t="s">
        <v>149</v>
      </c>
      <c r="G2421" t="s">
        <v>96</v>
      </c>
      <c r="H2421" t="s">
        <v>42</v>
      </c>
      <c r="I2421" t="s">
        <v>43</v>
      </c>
      <c r="J2421" t="s">
        <v>101</v>
      </c>
      <c r="K2421" t="s">
        <v>38</v>
      </c>
      <c r="L2421">
        <v>2</v>
      </c>
      <c r="M2421">
        <v>321</v>
      </c>
      <c r="N2421">
        <v>0</v>
      </c>
      <c r="O2421">
        <v>20</v>
      </c>
      <c r="P2421">
        <v>642</v>
      </c>
      <c r="Q2421">
        <v>662</v>
      </c>
      <c r="R2421" t="s">
        <v>75</v>
      </c>
      <c r="S2421" t="s">
        <v>31</v>
      </c>
      <c r="T2421" t="s">
        <v>40</v>
      </c>
      <c r="U2421">
        <v>52</v>
      </c>
      <c r="V2421">
        <v>3.8</v>
      </c>
      <c r="W2421">
        <f>Table2[[#This Row],[Quantity]]*Table2[[#This Row],[Item_Price]]</f>
        <v>642</v>
      </c>
    </row>
    <row r="2422" spans="1:23" x14ac:dyDescent="0.25">
      <c r="A2422" t="s">
        <v>2521</v>
      </c>
      <c r="B2422" s="1">
        <v>45830</v>
      </c>
      <c r="C2422" t="s">
        <v>2191</v>
      </c>
      <c r="D2422">
        <v>6</v>
      </c>
      <c r="E2422">
        <v>22</v>
      </c>
      <c r="F2422" t="s">
        <v>149</v>
      </c>
      <c r="G2422" t="s">
        <v>25</v>
      </c>
      <c r="H2422" t="s">
        <v>105</v>
      </c>
      <c r="I2422" t="s">
        <v>69</v>
      </c>
      <c r="J2422" t="s">
        <v>78</v>
      </c>
      <c r="K2422" t="s">
        <v>38</v>
      </c>
      <c r="L2422">
        <v>2</v>
      </c>
      <c r="M2422">
        <v>122</v>
      </c>
      <c r="N2422">
        <v>18.3</v>
      </c>
      <c r="O2422">
        <v>50</v>
      </c>
      <c r="P2422">
        <v>244</v>
      </c>
      <c r="Q2422">
        <v>275.7</v>
      </c>
      <c r="R2422" t="s">
        <v>75</v>
      </c>
      <c r="S2422" t="s">
        <v>31</v>
      </c>
      <c r="T2422" t="s">
        <v>40</v>
      </c>
      <c r="U2422">
        <v>31</v>
      </c>
      <c r="V2422">
        <v>2.8</v>
      </c>
      <c r="W2422">
        <f>Table2[[#This Row],[Quantity]]*Table2[[#This Row],[Item_Price]]</f>
        <v>244</v>
      </c>
    </row>
    <row r="2423" spans="1:23" x14ac:dyDescent="0.25">
      <c r="A2423" t="s">
        <v>2522</v>
      </c>
      <c r="B2423" s="1">
        <v>45830</v>
      </c>
      <c r="C2423" t="s">
        <v>2191</v>
      </c>
      <c r="D2423">
        <v>6</v>
      </c>
      <c r="E2423">
        <v>22</v>
      </c>
      <c r="F2423" t="s">
        <v>149</v>
      </c>
      <c r="G2423" t="s">
        <v>73</v>
      </c>
      <c r="H2423" t="s">
        <v>135</v>
      </c>
      <c r="I2423" t="s">
        <v>57</v>
      </c>
      <c r="J2423" t="s">
        <v>44</v>
      </c>
      <c r="K2423" t="s">
        <v>38</v>
      </c>
      <c r="L2423">
        <v>1</v>
      </c>
      <c r="M2423">
        <v>417</v>
      </c>
      <c r="N2423">
        <v>41.7</v>
      </c>
      <c r="O2423">
        <v>40</v>
      </c>
      <c r="P2423">
        <v>417</v>
      </c>
      <c r="Q2423">
        <v>415.3</v>
      </c>
      <c r="R2423" t="s">
        <v>39</v>
      </c>
      <c r="S2423" t="s">
        <v>31</v>
      </c>
      <c r="T2423" t="s">
        <v>40</v>
      </c>
      <c r="U2423">
        <v>48</v>
      </c>
      <c r="V2423">
        <v>3.8</v>
      </c>
      <c r="W2423">
        <f>Table2[[#This Row],[Quantity]]*Table2[[#This Row],[Item_Price]]</f>
        <v>417</v>
      </c>
    </row>
    <row r="2424" spans="1:23" x14ac:dyDescent="0.25">
      <c r="A2424" t="s">
        <v>2523</v>
      </c>
      <c r="B2424" s="1">
        <v>45830</v>
      </c>
      <c r="C2424" t="s">
        <v>2191</v>
      </c>
      <c r="D2424">
        <v>6</v>
      </c>
      <c r="E2424">
        <v>22</v>
      </c>
      <c r="F2424" t="s">
        <v>149</v>
      </c>
      <c r="G2424" t="s">
        <v>80</v>
      </c>
      <c r="H2424" t="s">
        <v>135</v>
      </c>
      <c r="I2424" t="s">
        <v>43</v>
      </c>
      <c r="J2424" t="s">
        <v>119</v>
      </c>
      <c r="K2424" t="s">
        <v>45</v>
      </c>
      <c r="L2424">
        <v>1</v>
      </c>
      <c r="M2424">
        <v>312</v>
      </c>
      <c r="N2424">
        <v>62.4</v>
      </c>
      <c r="O2424">
        <v>20</v>
      </c>
      <c r="P2424">
        <v>312</v>
      </c>
      <c r="Q2424">
        <v>269.60000000000002</v>
      </c>
      <c r="R2424" t="s">
        <v>98</v>
      </c>
      <c r="S2424" t="s">
        <v>31</v>
      </c>
      <c r="T2424" t="s">
        <v>40</v>
      </c>
      <c r="U2424">
        <v>19</v>
      </c>
      <c r="V2424">
        <v>3.5</v>
      </c>
      <c r="W2424">
        <f>Table2[[#This Row],[Quantity]]*Table2[[#This Row],[Item_Price]]</f>
        <v>312</v>
      </c>
    </row>
    <row r="2425" spans="1:23" x14ac:dyDescent="0.25">
      <c r="A2425" t="s">
        <v>2524</v>
      </c>
      <c r="B2425" s="1">
        <v>45830</v>
      </c>
      <c r="C2425" t="s">
        <v>2191</v>
      </c>
      <c r="D2425">
        <v>6</v>
      </c>
      <c r="E2425">
        <v>22</v>
      </c>
      <c r="F2425" t="s">
        <v>149</v>
      </c>
      <c r="G2425" t="s">
        <v>80</v>
      </c>
      <c r="H2425" t="s">
        <v>56</v>
      </c>
      <c r="I2425" t="s">
        <v>97</v>
      </c>
      <c r="J2425" t="s">
        <v>53</v>
      </c>
      <c r="K2425" t="s">
        <v>38</v>
      </c>
      <c r="L2425">
        <v>1</v>
      </c>
      <c r="M2425">
        <v>779</v>
      </c>
      <c r="N2425">
        <v>38.950000000000003</v>
      </c>
      <c r="O2425">
        <v>60</v>
      </c>
      <c r="P2425">
        <v>779</v>
      </c>
      <c r="Q2425">
        <v>800.05</v>
      </c>
      <c r="R2425" t="s">
        <v>75</v>
      </c>
      <c r="S2425" t="s">
        <v>31</v>
      </c>
      <c r="T2425" t="s">
        <v>40</v>
      </c>
      <c r="U2425">
        <v>70</v>
      </c>
      <c r="V2425">
        <v>4.3</v>
      </c>
      <c r="W2425">
        <f>Table2[[#This Row],[Quantity]]*Table2[[#This Row],[Item_Price]]</f>
        <v>779</v>
      </c>
    </row>
    <row r="2426" spans="1:23" x14ac:dyDescent="0.25">
      <c r="A2426" t="s">
        <v>2525</v>
      </c>
      <c r="B2426" s="1">
        <v>45831</v>
      </c>
      <c r="C2426" t="s">
        <v>2191</v>
      </c>
      <c r="D2426">
        <v>6</v>
      </c>
      <c r="E2426">
        <v>23</v>
      </c>
      <c r="F2426" t="s">
        <v>168</v>
      </c>
      <c r="G2426" t="s">
        <v>55</v>
      </c>
      <c r="H2426" t="s">
        <v>26</v>
      </c>
      <c r="I2426" t="s">
        <v>57</v>
      </c>
      <c r="J2426" t="s">
        <v>53</v>
      </c>
      <c r="K2426" t="s">
        <v>38</v>
      </c>
      <c r="L2426">
        <v>1</v>
      </c>
      <c r="M2426">
        <v>692</v>
      </c>
      <c r="N2426">
        <v>138.4</v>
      </c>
      <c r="O2426">
        <v>30</v>
      </c>
      <c r="P2426">
        <v>692</v>
      </c>
      <c r="Q2426">
        <v>583.6</v>
      </c>
      <c r="R2426" t="s">
        <v>39</v>
      </c>
      <c r="S2426" t="s">
        <v>31</v>
      </c>
      <c r="T2426" t="s">
        <v>40</v>
      </c>
      <c r="U2426">
        <v>38</v>
      </c>
      <c r="V2426">
        <v>4.5</v>
      </c>
      <c r="W2426">
        <f>Table2[[#This Row],[Quantity]]*Table2[[#This Row],[Item_Price]]</f>
        <v>692</v>
      </c>
    </row>
    <row r="2427" spans="1:23" x14ac:dyDescent="0.25">
      <c r="A2427" t="s">
        <v>2526</v>
      </c>
      <c r="B2427" s="1">
        <v>45831</v>
      </c>
      <c r="C2427" t="s">
        <v>2191</v>
      </c>
      <c r="D2427">
        <v>6</v>
      </c>
      <c r="E2427">
        <v>23</v>
      </c>
      <c r="F2427" t="s">
        <v>168</v>
      </c>
      <c r="G2427" t="s">
        <v>80</v>
      </c>
      <c r="H2427" t="s">
        <v>35</v>
      </c>
      <c r="I2427" t="s">
        <v>69</v>
      </c>
      <c r="J2427" t="s">
        <v>78</v>
      </c>
      <c r="K2427" t="s">
        <v>29</v>
      </c>
      <c r="L2427">
        <v>3</v>
      </c>
      <c r="M2427">
        <v>652</v>
      </c>
      <c r="N2427">
        <v>65.2</v>
      </c>
      <c r="O2427">
        <v>30</v>
      </c>
      <c r="P2427">
        <v>1956</v>
      </c>
      <c r="Q2427">
        <v>1920.8</v>
      </c>
      <c r="R2427" t="s">
        <v>39</v>
      </c>
      <c r="S2427" t="s">
        <v>31</v>
      </c>
      <c r="T2427" t="s">
        <v>40</v>
      </c>
      <c r="U2427">
        <v>68</v>
      </c>
      <c r="V2427">
        <v>4.2</v>
      </c>
      <c r="W2427">
        <f>Table2[[#This Row],[Quantity]]*Table2[[#This Row],[Item_Price]]</f>
        <v>1956</v>
      </c>
    </row>
    <row r="2428" spans="1:23" x14ac:dyDescent="0.25">
      <c r="A2428" t="s">
        <v>2527</v>
      </c>
      <c r="B2428" s="1">
        <v>45831</v>
      </c>
      <c r="C2428" t="s">
        <v>2191</v>
      </c>
      <c r="D2428">
        <v>6</v>
      </c>
      <c r="E2428">
        <v>23</v>
      </c>
      <c r="F2428" t="s">
        <v>168</v>
      </c>
      <c r="G2428" t="s">
        <v>73</v>
      </c>
      <c r="H2428" t="s">
        <v>77</v>
      </c>
      <c r="I2428" t="s">
        <v>103</v>
      </c>
      <c r="J2428" t="s">
        <v>28</v>
      </c>
      <c r="K2428" t="s">
        <v>38</v>
      </c>
      <c r="L2428">
        <v>3</v>
      </c>
      <c r="M2428">
        <v>244</v>
      </c>
      <c r="N2428">
        <v>24.4</v>
      </c>
      <c r="O2428">
        <v>0</v>
      </c>
      <c r="P2428">
        <v>732</v>
      </c>
      <c r="Q2428">
        <v>707.6</v>
      </c>
      <c r="R2428" t="s">
        <v>30</v>
      </c>
      <c r="S2428" t="s">
        <v>31</v>
      </c>
      <c r="T2428" t="s">
        <v>40</v>
      </c>
      <c r="U2428">
        <v>56</v>
      </c>
      <c r="V2428">
        <v>4.4000000000000004</v>
      </c>
      <c r="W2428">
        <f>Table2[[#This Row],[Quantity]]*Table2[[#This Row],[Item_Price]]</f>
        <v>732</v>
      </c>
    </row>
    <row r="2429" spans="1:23" x14ac:dyDescent="0.25">
      <c r="A2429" t="s">
        <v>2528</v>
      </c>
      <c r="B2429" s="1">
        <v>45831</v>
      </c>
      <c r="C2429" t="s">
        <v>2191</v>
      </c>
      <c r="D2429">
        <v>6</v>
      </c>
      <c r="E2429">
        <v>23</v>
      </c>
      <c r="F2429" t="s">
        <v>168</v>
      </c>
      <c r="G2429" t="s">
        <v>64</v>
      </c>
      <c r="H2429" t="s">
        <v>60</v>
      </c>
      <c r="I2429" t="s">
        <v>57</v>
      </c>
      <c r="J2429" t="s">
        <v>62</v>
      </c>
      <c r="K2429" t="s">
        <v>38</v>
      </c>
      <c r="L2429">
        <v>3</v>
      </c>
      <c r="M2429">
        <v>337</v>
      </c>
      <c r="N2429">
        <v>16.850000000000001</v>
      </c>
      <c r="O2429">
        <v>60</v>
      </c>
      <c r="P2429">
        <v>1011</v>
      </c>
      <c r="Q2429">
        <v>1054.1500000000001</v>
      </c>
      <c r="R2429" t="s">
        <v>39</v>
      </c>
      <c r="S2429" t="s">
        <v>31</v>
      </c>
      <c r="T2429" t="s">
        <v>40</v>
      </c>
      <c r="U2429">
        <v>64</v>
      </c>
      <c r="V2429">
        <v>4.8</v>
      </c>
      <c r="W2429">
        <f>Table2[[#This Row],[Quantity]]*Table2[[#This Row],[Item_Price]]</f>
        <v>1011</v>
      </c>
    </row>
    <row r="2430" spans="1:23" x14ac:dyDescent="0.25">
      <c r="A2430" t="s">
        <v>2529</v>
      </c>
      <c r="B2430" s="1">
        <v>45831</v>
      </c>
      <c r="C2430" t="s">
        <v>2191</v>
      </c>
      <c r="D2430">
        <v>6</v>
      </c>
      <c r="E2430">
        <v>23</v>
      </c>
      <c r="F2430" t="s">
        <v>168</v>
      </c>
      <c r="G2430" t="s">
        <v>34</v>
      </c>
      <c r="H2430" t="s">
        <v>105</v>
      </c>
      <c r="I2430" t="s">
        <v>97</v>
      </c>
      <c r="J2430" t="s">
        <v>101</v>
      </c>
      <c r="K2430" t="s">
        <v>45</v>
      </c>
      <c r="L2430">
        <v>2</v>
      </c>
      <c r="M2430">
        <v>198</v>
      </c>
      <c r="N2430">
        <v>39.6</v>
      </c>
      <c r="O2430">
        <v>0</v>
      </c>
      <c r="P2430">
        <v>396</v>
      </c>
      <c r="Q2430">
        <v>356.4</v>
      </c>
      <c r="R2430" t="s">
        <v>98</v>
      </c>
      <c r="S2430" t="s">
        <v>31</v>
      </c>
      <c r="T2430" t="s">
        <v>32</v>
      </c>
      <c r="U2430">
        <v>46</v>
      </c>
      <c r="V2430">
        <v>3.1</v>
      </c>
      <c r="W2430">
        <f>Table2[[#This Row],[Quantity]]*Table2[[#This Row],[Item_Price]]</f>
        <v>396</v>
      </c>
    </row>
    <row r="2431" spans="1:23" x14ac:dyDescent="0.25">
      <c r="A2431" t="s">
        <v>2530</v>
      </c>
      <c r="B2431" s="1">
        <v>45831</v>
      </c>
      <c r="C2431" t="s">
        <v>2191</v>
      </c>
      <c r="D2431">
        <v>6</v>
      </c>
      <c r="E2431">
        <v>23</v>
      </c>
      <c r="F2431" t="s">
        <v>168</v>
      </c>
      <c r="G2431" t="s">
        <v>34</v>
      </c>
      <c r="H2431" t="s">
        <v>60</v>
      </c>
      <c r="I2431" t="s">
        <v>61</v>
      </c>
      <c r="J2431" t="s">
        <v>37</v>
      </c>
      <c r="K2431" t="s">
        <v>45</v>
      </c>
      <c r="L2431">
        <v>2</v>
      </c>
      <c r="M2431">
        <v>440</v>
      </c>
      <c r="N2431">
        <v>0</v>
      </c>
      <c r="O2431">
        <v>40</v>
      </c>
      <c r="P2431">
        <v>880</v>
      </c>
      <c r="Q2431">
        <v>920</v>
      </c>
      <c r="R2431" t="s">
        <v>39</v>
      </c>
      <c r="S2431" t="s">
        <v>31</v>
      </c>
      <c r="T2431" t="s">
        <v>40</v>
      </c>
      <c r="U2431">
        <v>20</v>
      </c>
      <c r="V2431">
        <v>4</v>
      </c>
      <c r="W2431">
        <f>Table2[[#This Row],[Quantity]]*Table2[[#This Row],[Item_Price]]</f>
        <v>880</v>
      </c>
    </row>
    <row r="2432" spans="1:23" x14ac:dyDescent="0.25">
      <c r="A2432" t="s">
        <v>2531</v>
      </c>
      <c r="B2432" s="1">
        <v>45831</v>
      </c>
      <c r="C2432" t="s">
        <v>2191</v>
      </c>
      <c r="D2432">
        <v>6</v>
      </c>
      <c r="E2432">
        <v>23</v>
      </c>
      <c r="F2432" t="s">
        <v>168</v>
      </c>
      <c r="G2432" t="s">
        <v>115</v>
      </c>
      <c r="H2432" t="s">
        <v>42</v>
      </c>
      <c r="I2432" t="s">
        <v>27</v>
      </c>
      <c r="J2432" t="s">
        <v>119</v>
      </c>
      <c r="K2432" t="s">
        <v>38</v>
      </c>
      <c r="L2432">
        <v>2</v>
      </c>
      <c r="M2432">
        <v>898</v>
      </c>
      <c r="N2432">
        <v>89.8</v>
      </c>
      <c r="O2432">
        <v>40</v>
      </c>
      <c r="P2432">
        <v>1796</v>
      </c>
      <c r="Q2432">
        <v>1746.2</v>
      </c>
      <c r="R2432" t="s">
        <v>30</v>
      </c>
      <c r="S2432" t="s">
        <v>31</v>
      </c>
      <c r="T2432" t="s">
        <v>40</v>
      </c>
      <c r="U2432">
        <v>25</v>
      </c>
      <c r="V2432">
        <v>4.5</v>
      </c>
      <c r="W2432">
        <f>Table2[[#This Row],[Quantity]]*Table2[[#This Row],[Item_Price]]</f>
        <v>1796</v>
      </c>
    </row>
    <row r="2433" spans="1:23" x14ac:dyDescent="0.25">
      <c r="A2433" t="s">
        <v>2532</v>
      </c>
      <c r="B2433" s="1">
        <v>45831</v>
      </c>
      <c r="C2433" t="s">
        <v>2191</v>
      </c>
      <c r="D2433">
        <v>6</v>
      </c>
      <c r="E2433">
        <v>23</v>
      </c>
      <c r="F2433" t="s">
        <v>168</v>
      </c>
      <c r="G2433" t="s">
        <v>25</v>
      </c>
      <c r="H2433" t="s">
        <v>56</v>
      </c>
      <c r="I2433" t="s">
        <v>69</v>
      </c>
      <c r="J2433" t="s">
        <v>123</v>
      </c>
      <c r="K2433" t="s">
        <v>45</v>
      </c>
      <c r="L2433">
        <v>2</v>
      </c>
      <c r="M2433">
        <v>587</v>
      </c>
      <c r="N2433">
        <v>146.75</v>
      </c>
      <c r="O2433">
        <v>20</v>
      </c>
      <c r="P2433">
        <v>1174</v>
      </c>
      <c r="Q2433">
        <v>1047.25</v>
      </c>
      <c r="R2433" t="s">
        <v>75</v>
      </c>
      <c r="S2433" t="s">
        <v>31</v>
      </c>
      <c r="T2433" t="s">
        <v>32</v>
      </c>
      <c r="U2433">
        <v>26</v>
      </c>
      <c r="V2433">
        <v>3.5</v>
      </c>
      <c r="W2433">
        <f>Table2[[#This Row],[Quantity]]*Table2[[#This Row],[Item_Price]]</f>
        <v>1174</v>
      </c>
    </row>
    <row r="2434" spans="1:23" x14ac:dyDescent="0.25">
      <c r="A2434" t="s">
        <v>2533</v>
      </c>
      <c r="B2434" s="1">
        <v>45831</v>
      </c>
      <c r="C2434" t="s">
        <v>2191</v>
      </c>
      <c r="D2434">
        <v>6</v>
      </c>
      <c r="E2434">
        <v>23</v>
      </c>
      <c r="F2434" t="s">
        <v>168</v>
      </c>
      <c r="G2434" t="s">
        <v>64</v>
      </c>
      <c r="H2434" t="s">
        <v>56</v>
      </c>
      <c r="I2434" t="s">
        <v>85</v>
      </c>
      <c r="J2434" t="s">
        <v>119</v>
      </c>
      <c r="K2434" t="s">
        <v>38</v>
      </c>
      <c r="L2434">
        <v>3</v>
      </c>
      <c r="M2434">
        <v>459</v>
      </c>
      <c r="N2434">
        <v>68.849999999999994</v>
      </c>
      <c r="O2434">
        <v>30</v>
      </c>
      <c r="P2434">
        <v>1377</v>
      </c>
      <c r="Q2434">
        <v>1338.15</v>
      </c>
      <c r="R2434" t="s">
        <v>75</v>
      </c>
      <c r="S2434" t="s">
        <v>31</v>
      </c>
      <c r="T2434" t="s">
        <v>40</v>
      </c>
      <c r="U2434">
        <v>38</v>
      </c>
      <c r="V2434">
        <v>4</v>
      </c>
      <c r="W2434">
        <f>Table2[[#This Row],[Quantity]]*Table2[[#This Row],[Item_Price]]</f>
        <v>1377</v>
      </c>
    </row>
    <row r="2435" spans="1:23" x14ac:dyDescent="0.25">
      <c r="A2435" t="s">
        <v>2534</v>
      </c>
      <c r="B2435" s="1">
        <v>45831</v>
      </c>
      <c r="C2435" t="s">
        <v>2191</v>
      </c>
      <c r="D2435">
        <v>6</v>
      </c>
      <c r="E2435">
        <v>23</v>
      </c>
      <c r="F2435" t="s">
        <v>168</v>
      </c>
      <c r="G2435" t="s">
        <v>25</v>
      </c>
      <c r="H2435" t="s">
        <v>135</v>
      </c>
      <c r="I2435" t="s">
        <v>61</v>
      </c>
      <c r="J2435" t="s">
        <v>37</v>
      </c>
      <c r="K2435" t="s">
        <v>45</v>
      </c>
      <c r="L2435">
        <v>1</v>
      </c>
      <c r="M2435">
        <v>294</v>
      </c>
      <c r="N2435">
        <v>14.7</v>
      </c>
      <c r="O2435">
        <v>30</v>
      </c>
      <c r="P2435">
        <v>294</v>
      </c>
      <c r="Q2435">
        <v>309.3</v>
      </c>
      <c r="R2435" t="s">
        <v>112</v>
      </c>
      <c r="S2435" t="s">
        <v>110</v>
      </c>
      <c r="T2435" t="s">
        <v>32</v>
      </c>
      <c r="U2435">
        <v>40</v>
      </c>
      <c r="W2435">
        <f>Table2[[#This Row],[Quantity]]*Table2[[#This Row],[Item_Price]]</f>
        <v>294</v>
      </c>
    </row>
    <row r="2436" spans="1:23" x14ac:dyDescent="0.25">
      <c r="A2436" t="s">
        <v>2535</v>
      </c>
      <c r="B2436" s="1">
        <v>45832</v>
      </c>
      <c r="C2436" t="s">
        <v>2191</v>
      </c>
      <c r="D2436">
        <v>6</v>
      </c>
      <c r="E2436">
        <v>24</v>
      </c>
      <c r="F2436" t="s">
        <v>178</v>
      </c>
      <c r="G2436" t="s">
        <v>25</v>
      </c>
      <c r="H2436" t="s">
        <v>26</v>
      </c>
      <c r="I2436" t="s">
        <v>36</v>
      </c>
      <c r="J2436" t="s">
        <v>78</v>
      </c>
      <c r="K2436" t="s">
        <v>38</v>
      </c>
      <c r="L2436">
        <v>2</v>
      </c>
      <c r="M2436">
        <v>244</v>
      </c>
      <c r="N2436">
        <v>0</v>
      </c>
      <c r="O2436">
        <v>30</v>
      </c>
      <c r="P2436">
        <v>488</v>
      </c>
      <c r="Q2436">
        <v>518</v>
      </c>
      <c r="R2436" t="s">
        <v>39</v>
      </c>
      <c r="S2436" t="s">
        <v>91</v>
      </c>
      <c r="T2436" t="s">
        <v>32</v>
      </c>
      <c r="U2436">
        <v>28</v>
      </c>
      <c r="W2436">
        <f>Table2[[#This Row],[Quantity]]*Table2[[#This Row],[Item_Price]]</f>
        <v>488</v>
      </c>
    </row>
    <row r="2437" spans="1:23" x14ac:dyDescent="0.25">
      <c r="A2437" t="s">
        <v>2536</v>
      </c>
      <c r="B2437" s="1">
        <v>45832</v>
      </c>
      <c r="C2437" t="s">
        <v>2191</v>
      </c>
      <c r="D2437">
        <v>6</v>
      </c>
      <c r="E2437">
        <v>24</v>
      </c>
      <c r="F2437" t="s">
        <v>178</v>
      </c>
      <c r="G2437" t="s">
        <v>84</v>
      </c>
      <c r="H2437" t="s">
        <v>77</v>
      </c>
      <c r="I2437" t="s">
        <v>69</v>
      </c>
      <c r="J2437" t="s">
        <v>101</v>
      </c>
      <c r="K2437" t="s">
        <v>38</v>
      </c>
      <c r="L2437">
        <v>2</v>
      </c>
      <c r="M2437">
        <v>211</v>
      </c>
      <c r="N2437">
        <v>42.2</v>
      </c>
      <c r="O2437">
        <v>40</v>
      </c>
      <c r="P2437">
        <v>422</v>
      </c>
      <c r="Q2437">
        <v>419.8</v>
      </c>
      <c r="R2437" t="s">
        <v>75</v>
      </c>
      <c r="S2437" t="s">
        <v>91</v>
      </c>
      <c r="T2437" t="s">
        <v>32</v>
      </c>
      <c r="U2437">
        <v>49</v>
      </c>
      <c r="W2437">
        <f>Table2[[#This Row],[Quantity]]*Table2[[#This Row],[Item_Price]]</f>
        <v>422</v>
      </c>
    </row>
    <row r="2438" spans="1:23" x14ac:dyDescent="0.25">
      <c r="A2438" t="s">
        <v>2537</v>
      </c>
      <c r="B2438" s="1">
        <v>45832</v>
      </c>
      <c r="C2438" t="s">
        <v>2191</v>
      </c>
      <c r="D2438">
        <v>6</v>
      </c>
      <c r="E2438">
        <v>24</v>
      </c>
      <c r="F2438" t="s">
        <v>178</v>
      </c>
      <c r="G2438" t="s">
        <v>84</v>
      </c>
      <c r="H2438" t="s">
        <v>108</v>
      </c>
      <c r="I2438" t="s">
        <v>43</v>
      </c>
      <c r="J2438" t="s">
        <v>44</v>
      </c>
      <c r="K2438" t="s">
        <v>38</v>
      </c>
      <c r="L2438">
        <v>2</v>
      </c>
      <c r="M2438">
        <v>436</v>
      </c>
      <c r="N2438">
        <v>65.400000000000006</v>
      </c>
      <c r="O2438">
        <v>70</v>
      </c>
      <c r="P2438">
        <v>872</v>
      </c>
      <c r="Q2438">
        <v>876.6</v>
      </c>
      <c r="R2438" t="s">
        <v>30</v>
      </c>
      <c r="S2438" t="s">
        <v>31</v>
      </c>
      <c r="T2438" t="s">
        <v>40</v>
      </c>
      <c r="U2438">
        <v>38</v>
      </c>
      <c r="V2438">
        <v>4.0999999999999996</v>
      </c>
      <c r="W2438">
        <f>Table2[[#This Row],[Quantity]]*Table2[[#This Row],[Item_Price]]</f>
        <v>872</v>
      </c>
    </row>
    <row r="2439" spans="1:23" x14ac:dyDescent="0.25">
      <c r="A2439" t="s">
        <v>2538</v>
      </c>
      <c r="B2439" s="1">
        <v>45832</v>
      </c>
      <c r="C2439" t="s">
        <v>2191</v>
      </c>
      <c r="D2439">
        <v>6</v>
      </c>
      <c r="E2439">
        <v>24</v>
      </c>
      <c r="F2439" t="s">
        <v>178</v>
      </c>
      <c r="G2439" t="s">
        <v>80</v>
      </c>
      <c r="H2439" t="s">
        <v>60</v>
      </c>
      <c r="I2439" t="s">
        <v>61</v>
      </c>
      <c r="J2439" t="s">
        <v>62</v>
      </c>
      <c r="K2439" t="s">
        <v>38</v>
      </c>
      <c r="L2439">
        <v>1</v>
      </c>
      <c r="M2439">
        <v>668</v>
      </c>
      <c r="N2439">
        <v>100.2</v>
      </c>
      <c r="O2439">
        <v>0</v>
      </c>
      <c r="P2439">
        <v>668</v>
      </c>
      <c r="Q2439">
        <v>567.79999999999995</v>
      </c>
      <c r="R2439" t="s">
        <v>30</v>
      </c>
      <c r="S2439" t="s">
        <v>31</v>
      </c>
      <c r="T2439" t="s">
        <v>40</v>
      </c>
      <c r="U2439">
        <v>52</v>
      </c>
      <c r="V2439">
        <v>3.5</v>
      </c>
      <c r="W2439">
        <f>Table2[[#This Row],[Quantity]]*Table2[[#This Row],[Item_Price]]</f>
        <v>668</v>
      </c>
    </row>
    <row r="2440" spans="1:23" x14ac:dyDescent="0.25">
      <c r="A2440" t="s">
        <v>2539</v>
      </c>
      <c r="B2440" s="1">
        <v>45832</v>
      </c>
      <c r="C2440" t="s">
        <v>2191</v>
      </c>
      <c r="D2440">
        <v>6</v>
      </c>
      <c r="E2440">
        <v>24</v>
      </c>
      <c r="F2440" t="s">
        <v>178</v>
      </c>
      <c r="G2440" t="s">
        <v>73</v>
      </c>
      <c r="H2440" t="s">
        <v>68</v>
      </c>
      <c r="I2440" t="s">
        <v>36</v>
      </c>
      <c r="J2440" t="s">
        <v>101</v>
      </c>
      <c r="K2440" t="s">
        <v>38</v>
      </c>
      <c r="L2440">
        <v>1</v>
      </c>
      <c r="M2440">
        <v>391</v>
      </c>
      <c r="N2440">
        <v>0</v>
      </c>
      <c r="O2440">
        <v>40</v>
      </c>
      <c r="P2440">
        <v>391</v>
      </c>
      <c r="Q2440">
        <v>431</v>
      </c>
      <c r="R2440" t="s">
        <v>30</v>
      </c>
      <c r="S2440" t="s">
        <v>31</v>
      </c>
      <c r="T2440" t="s">
        <v>32</v>
      </c>
      <c r="U2440">
        <v>39</v>
      </c>
      <c r="V2440">
        <v>4</v>
      </c>
      <c r="W2440">
        <f>Table2[[#This Row],[Quantity]]*Table2[[#This Row],[Item_Price]]</f>
        <v>391</v>
      </c>
    </row>
    <row r="2441" spans="1:23" x14ac:dyDescent="0.25">
      <c r="A2441" t="s">
        <v>2540</v>
      </c>
      <c r="B2441" s="1">
        <v>45832</v>
      </c>
      <c r="C2441" t="s">
        <v>2191</v>
      </c>
      <c r="D2441">
        <v>6</v>
      </c>
      <c r="E2441">
        <v>24</v>
      </c>
      <c r="F2441" t="s">
        <v>178</v>
      </c>
      <c r="G2441" t="s">
        <v>55</v>
      </c>
      <c r="H2441" t="s">
        <v>52</v>
      </c>
      <c r="I2441" t="s">
        <v>27</v>
      </c>
      <c r="J2441" t="s">
        <v>119</v>
      </c>
      <c r="K2441" t="s">
        <v>38</v>
      </c>
      <c r="L2441">
        <v>1</v>
      </c>
      <c r="M2441">
        <v>637</v>
      </c>
      <c r="N2441">
        <v>95.55</v>
      </c>
      <c r="O2441">
        <v>0</v>
      </c>
      <c r="P2441">
        <v>637</v>
      </c>
      <c r="Q2441">
        <v>541.45000000000005</v>
      </c>
      <c r="R2441" t="s">
        <v>30</v>
      </c>
      <c r="S2441" t="s">
        <v>31</v>
      </c>
      <c r="T2441" t="s">
        <v>32</v>
      </c>
      <c r="U2441">
        <v>58</v>
      </c>
      <c r="V2441">
        <v>3.1</v>
      </c>
      <c r="W2441">
        <f>Table2[[#This Row],[Quantity]]*Table2[[#This Row],[Item_Price]]</f>
        <v>637</v>
      </c>
    </row>
    <row r="2442" spans="1:23" x14ac:dyDescent="0.25">
      <c r="A2442" t="s">
        <v>2541</v>
      </c>
      <c r="B2442" s="1">
        <v>45832</v>
      </c>
      <c r="C2442" t="s">
        <v>2191</v>
      </c>
      <c r="D2442">
        <v>6</v>
      </c>
      <c r="E2442">
        <v>24</v>
      </c>
      <c r="F2442" t="s">
        <v>178</v>
      </c>
      <c r="G2442" t="s">
        <v>64</v>
      </c>
      <c r="H2442" t="s">
        <v>135</v>
      </c>
      <c r="I2442" t="s">
        <v>43</v>
      </c>
      <c r="J2442" t="s">
        <v>66</v>
      </c>
      <c r="K2442" t="s">
        <v>38</v>
      </c>
      <c r="L2442">
        <v>1</v>
      </c>
      <c r="M2442">
        <v>212</v>
      </c>
      <c r="N2442">
        <v>31.8</v>
      </c>
      <c r="O2442">
        <v>30</v>
      </c>
      <c r="P2442">
        <v>212</v>
      </c>
      <c r="Q2442">
        <v>210.2</v>
      </c>
      <c r="R2442" t="s">
        <v>30</v>
      </c>
      <c r="S2442" t="s">
        <v>31</v>
      </c>
      <c r="T2442" t="s">
        <v>32</v>
      </c>
      <c r="U2442">
        <v>43</v>
      </c>
      <c r="V2442">
        <v>3.7</v>
      </c>
      <c r="W2442">
        <f>Table2[[#This Row],[Quantity]]*Table2[[#This Row],[Item_Price]]</f>
        <v>212</v>
      </c>
    </row>
    <row r="2443" spans="1:23" x14ac:dyDescent="0.25">
      <c r="A2443" t="s">
        <v>2542</v>
      </c>
      <c r="B2443" s="1">
        <v>45832</v>
      </c>
      <c r="C2443" t="s">
        <v>2191</v>
      </c>
      <c r="D2443">
        <v>6</v>
      </c>
      <c r="E2443">
        <v>24</v>
      </c>
      <c r="F2443" t="s">
        <v>178</v>
      </c>
      <c r="G2443" t="s">
        <v>90</v>
      </c>
      <c r="H2443" t="s">
        <v>52</v>
      </c>
      <c r="I2443" t="s">
        <v>27</v>
      </c>
      <c r="J2443" t="s">
        <v>82</v>
      </c>
      <c r="K2443" t="s">
        <v>58</v>
      </c>
      <c r="L2443">
        <v>1</v>
      </c>
      <c r="M2443">
        <v>531</v>
      </c>
      <c r="N2443">
        <v>0</v>
      </c>
      <c r="O2443">
        <v>30</v>
      </c>
      <c r="P2443">
        <v>531</v>
      </c>
      <c r="Q2443">
        <v>561</v>
      </c>
      <c r="R2443" t="s">
        <v>75</v>
      </c>
      <c r="S2443" t="s">
        <v>31</v>
      </c>
      <c r="T2443" t="s">
        <v>40</v>
      </c>
      <c r="U2443">
        <v>22</v>
      </c>
      <c r="V2443">
        <v>3.7</v>
      </c>
      <c r="W2443">
        <f>Table2[[#This Row],[Quantity]]*Table2[[#This Row],[Item_Price]]</f>
        <v>531</v>
      </c>
    </row>
    <row r="2444" spans="1:23" x14ac:dyDescent="0.25">
      <c r="A2444" t="s">
        <v>2543</v>
      </c>
      <c r="B2444" s="1">
        <v>45832</v>
      </c>
      <c r="C2444" t="s">
        <v>2191</v>
      </c>
      <c r="D2444">
        <v>6</v>
      </c>
      <c r="E2444">
        <v>24</v>
      </c>
      <c r="F2444" t="s">
        <v>178</v>
      </c>
      <c r="G2444" t="s">
        <v>64</v>
      </c>
      <c r="H2444" t="s">
        <v>52</v>
      </c>
      <c r="I2444" t="s">
        <v>69</v>
      </c>
      <c r="J2444" t="s">
        <v>66</v>
      </c>
      <c r="K2444" t="s">
        <v>38</v>
      </c>
      <c r="L2444">
        <v>1</v>
      </c>
      <c r="M2444">
        <v>599</v>
      </c>
      <c r="N2444">
        <v>149.75</v>
      </c>
      <c r="O2444">
        <v>30</v>
      </c>
      <c r="P2444">
        <v>599</v>
      </c>
      <c r="Q2444">
        <v>479.25</v>
      </c>
      <c r="R2444" t="s">
        <v>75</v>
      </c>
      <c r="S2444" t="s">
        <v>31</v>
      </c>
      <c r="T2444" t="s">
        <v>40</v>
      </c>
      <c r="U2444">
        <v>70</v>
      </c>
      <c r="V2444">
        <v>3.9</v>
      </c>
      <c r="W2444">
        <f>Table2[[#This Row],[Quantity]]*Table2[[#This Row],[Item_Price]]</f>
        <v>599</v>
      </c>
    </row>
    <row r="2445" spans="1:23" x14ac:dyDescent="0.25">
      <c r="A2445" t="s">
        <v>2544</v>
      </c>
      <c r="B2445" s="1">
        <v>45832</v>
      </c>
      <c r="C2445" t="s">
        <v>2191</v>
      </c>
      <c r="D2445">
        <v>6</v>
      </c>
      <c r="E2445">
        <v>24</v>
      </c>
      <c r="F2445" t="s">
        <v>178</v>
      </c>
      <c r="G2445" t="s">
        <v>90</v>
      </c>
      <c r="H2445" t="s">
        <v>77</v>
      </c>
      <c r="I2445" t="s">
        <v>36</v>
      </c>
      <c r="J2445" t="s">
        <v>70</v>
      </c>
      <c r="K2445" t="s">
        <v>38</v>
      </c>
      <c r="L2445">
        <v>2</v>
      </c>
      <c r="M2445">
        <v>291</v>
      </c>
      <c r="N2445">
        <v>14.55</v>
      </c>
      <c r="O2445">
        <v>0</v>
      </c>
      <c r="P2445">
        <v>582</v>
      </c>
      <c r="Q2445">
        <v>567.45000000000005</v>
      </c>
      <c r="R2445" t="s">
        <v>30</v>
      </c>
      <c r="S2445" t="s">
        <v>31</v>
      </c>
      <c r="T2445" t="s">
        <v>40</v>
      </c>
      <c r="U2445">
        <v>32</v>
      </c>
      <c r="V2445">
        <v>4.3</v>
      </c>
      <c r="W2445">
        <f>Table2[[#This Row],[Quantity]]*Table2[[#This Row],[Item_Price]]</f>
        <v>582</v>
      </c>
    </row>
    <row r="2446" spans="1:23" x14ac:dyDescent="0.25">
      <c r="A2446" t="s">
        <v>2545</v>
      </c>
      <c r="B2446" s="1">
        <v>45832</v>
      </c>
      <c r="C2446" t="s">
        <v>2191</v>
      </c>
      <c r="D2446">
        <v>6</v>
      </c>
      <c r="E2446">
        <v>24</v>
      </c>
      <c r="F2446" t="s">
        <v>178</v>
      </c>
      <c r="G2446" t="s">
        <v>84</v>
      </c>
      <c r="H2446" t="s">
        <v>35</v>
      </c>
      <c r="I2446" t="s">
        <v>49</v>
      </c>
      <c r="J2446" t="s">
        <v>123</v>
      </c>
      <c r="K2446" t="s">
        <v>58</v>
      </c>
      <c r="L2446">
        <v>2</v>
      </c>
      <c r="M2446">
        <v>166</v>
      </c>
      <c r="N2446">
        <v>33.200000000000003</v>
      </c>
      <c r="O2446">
        <v>40</v>
      </c>
      <c r="P2446">
        <v>332</v>
      </c>
      <c r="Q2446">
        <v>338.8</v>
      </c>
      <c r="R2446" t="s">
        <v>98</v>
      </c>
      <c r="S2446" t="s">
        <v>31</v>
      </c>
      <c r="T2446" t="s">
        <v>40</v>
      </c>
      <c r="U2446">
        <v>48</v>
      </c>
      <c r="V2446">
        <v>3.5</v>
      </c>
      <c r="W2446">
        <f>Table2[[#This Row],[Quantity]]*Table2[[#This Row],[Item_Price]]</f>
        <v>332</v>
      </c>
    </row>
    <row r="2447" spans="1:23" x14ac:dyDescent="0.25">
      <c r="A2447" t="s">
        <v>2546</v>
      </c>
      <c r="B2447" s="1">
        <v>45832</v>
      </c>
      <c r="C2447" t="s">
        <v>2191</v>
      </c>
      <c r="D2447">
        <v>6</v>
      </c>
      <c r="E2447">
        <v>24</v>
      </c>
      <c r="F2447" t="s">
        <v>178</v>
      </c>
      <c r="G2447" t="s">
        <v>55</v>
      </c>
      <c r="H2447" t="s">
        <v>48</v>
      </c>
      <c r="I2447" t="s">
        <v>61</v>
      </c>
      <c r="J2447" t="s">
        <v>172</v>
      </c>
      <c r="K2447" t="s">
        <v>45</v>
      </c>
      <c r="L2447">
        <v>3</v>
      </c>
      <c r="M2447">
        <v>890</v>
      </c>
      <c r="N2447">
        <v>133.5</v>
      </c>
      <c r="O2447">
        <v>20</v>
      </c>
      <c r="P2447">
        <v>2670</v>
      </c>
      <c r="Q2447">
        <v>2556.5</v>
      </c>
      <c r="R2447" t="s">
        <v>39</v>
      </c>
      <c r="S2447" t="s">
        <v>31</v>
      </c>
      <c r="T2447" t="s">
        <v>40</v>
      </c>
      <c r="U2447">
        <v>52</v>
      </c>
      <c r="V2447">
        <v>4.4000000000000004</v>
      </c>
      <c r="W2447">
        <f>Table2[[#This Row],[Quantity]]*Table2[[#This Row],[Item_Price]]</f>
        <v>2670</v>
      </c>
    </row>
    <row r="2448" spans="1:23" x14ac:dyDescent="0.25">
      <c r="A2448" t="s">
        <v>2547</v>
      </c>
      <c r="B2448" s="1">
        <v>45832</v>
      </c>
      <c r="C2448" t="s">
        <v>2191</v>
      </c>
      <c r="D2448">
        <v>6</v>
      </c>
      <c r="E2448">
        <v>24</v>
      </c>
      <c r="F2448" t="s">
        <v>178</v>
      </c>
      <c r="G2448" t="s">
        <v>34</v>
      </c>
      <c r="H2448" t="s">
        <v>135</v>
      </c>
      <c r="I2448" t="s">
        <v>36</v>
      </c>
      <c r="J2448" t="s">
        <v>74</v>
      </c>
      <c r="K2448" t="s">
        <v>38</v>
      </c>
      <c r="L2448">
        <v>2</v>
      </c>
      <c r="M2448">
        <v>309</v>
      </c>
      <c r="N2448">
        <v>30.9</v>
      </c>
      <c r="O2448">
        <v>30</v>
      </c>
      <c r="P2448">
        <v>618</v>
      </c>
      <c r="Q2448">
        <v>617.1</v>
      </c>
      <c r="R2448" t="s">
        <v>30</v>
      </c>
      <c r="S2448" t="s">
        <v>31</v>
      </c>
      <c r="T2448" t="s">
        <v>40</v>
      </c>
      <c r="U2448">
        <v>23</v>
      </c>
      <c r="V2448">
        <v>3.9</v>
      </c>
      <c r="W2448">
        <f>Table2[[#This Row],[Quantity]]*Table2[[#This Row],[Item_Price]]</f>
        <v>618</v>
      </c>
    </row>
    <row r="2449" spans="1:23" x14ac:dyDescent="0.25">
      <c r="A2449" t="s">
        <v>2548</v>
      </c>
      <c r="B2449" s="1">
        <v>45832</v>
      </c>
      <c r="C2449" t="s">
        <v>2191</v>
      </c>
      <c r="D2449">
        <v>6</v>
      </c>
      <c r="E2449">
        <v>24</v>
      </c>
      <c r="F2449" t="s">
        <v>178</v>
      </c>
      <c r="G2449" t="s">
        <v>55</v>
      </c>
      <c r="H2449" t="s">
        <v>105</v>
      </c>
      <c r="I2449" t="s">
        <v>97</v>
      </c>
      <c r="J2449" t="s">
        <v>78</v>
      </c>
      <c r="K2449" t="s">
        <v>45</v>
      </c>
      <c r="L2449">
        <v>3</v>
      </c>
      <c r="M2449">
        <v>342</v>
      </c>
      <c r="N2449">
        <v>0</v>
      </c>
      <c r="O2449">
        <v>30</v>
      </c>
      <c r="P2449">
        <v>1026</v>
      </c>
      <c r="Q2449">
        <v>1056</v>
      </c>
      <c r="R2449" t="s">
        <v>30</v>
      </c>
      <c r="S2449" t="s">
        <v>31</v>
      </c>
      <c r="T2449" t="s">
        <v>40</v>
      </c>
      <c r="U2449">
        <v>32</v>
      </c>
      <c r="V2449">
        <v>4.2</v>
      </c>
      <c r="W2449">
        <f>Table2[[#This Row],[Quantity]]*Table2[[#This Row],[Item_Price]]</f>
        <v>1026</v>
      </c>
    </row>
    <row r="2450" spans="1:23" x14ac:dyDescent="0.25">
      <c r="A2450" t="s">
        <v>2549</v>
      </c>
      <c r="B2450" s="1">
        <v>45832</v>
      </c>
      <c r="C2450" t="s">
        <v>2191</v>
      </c>
      <c r="D2450">
        <v>6</v>
      </c>
      <c r="E2450">
        <v>24</v>
      </c>
      <c r="F2450" t="s">
        <v>178</v>
      </c>
      <c r="G2450" t="s">
        <v>80</v>
      </c>
      <c r="H2450" t="s">
        <v>56</v>
      </c>
      <c r="I2450" t="s">
        <v>43</v>
      </c>
      <c r="J2450" t="s">
        <v>44</v>
      </c>
      <c r="K2450" t="s">
        <v>45</v>
      </c>
      <c r="L2450">
        <v>3</v>
      </c>
      <c r="M2450">
        <v>689</v>
      </c>
      <c r="N2450">
        <v>137.80000000000001</v>
      </c>
      <c r="O2450">
        <v>20</v>
      </c>
      <c r="P2450">
        <v>2067</v>
      </c>
      <c r="Q2450">
        <v>1949.2</v>
      </c>
      <c r="R2450" t="s">
        <v>30</v>
      </c>
      <c r="S2450" t="s">
        <v>110</v>
      </c>
      <c r="T2450" t="s">
        <v>40</v>
      </c>
      <c r="U2450">
        <v>35</v>
      </c>
      <c r="W2450">
        <f>Table2[[#This Row],[Quantity]]*Table2[[#This Row],[Item_Price]]</f>
        <v>2067</v>
      </c>
    </row>
    <row r="2451" spans="1:23" x14ac:dyDescent="0.25">
      <c r="A2451" t="s">
        <v>2550</v>
      </c>
      <c r="B2451" s="1">
        <v>45832</v>
      </c>
      <c r="C2451" t="s">
        <v>2191</v>
      </c>
      <c r="D2451">
        <v>6</v>
      </c>
      <c r="E2451">
        <v>24</v>
      </c>
      <c r="F2451" t="s">
        <v>178</v>
      </c>
      <c r="G2451" t="s">
        <v>64</v>
      </c>
      <c r="H2451" t="s">
        <v>60</v>
      </c>
      <c r="I2451" t="s">
        <v>27</v>
      </c>
      <c r="J2451" t="s">
        <v>172</v>
      </c>
      <c r="K2451" t="s">
        <v>38</v>
      </c>
      <c r="L2451">
        <v>1</v>
      </c>
      <c r="M2451">
        <v>141</v>
      </c>
      <c r="N2451">
        <v>14.1</v>
      </c>
      <c r="O2451">
        <v>20</v>
      </c>
      <c r="P2451">
        <v>141</v>
      </c>
      <c r="Q2451">
        <v>146.9</v>
      </c>
      <c r="R2451" t="s">
        <v>30</v>
      </c>
      <c r="S2451" t="s">
        <v>31</v>
      </c>
      <c r="T2451" t="s">
        <v>40</v>
      </c>
      <c r="U2451">
        <v>34</v>
      </c>
      <c r="V2451">
        <v>3</v>
      </c>
      <c r="W2451">
        <f>Table2[[#This Row],[Quantity]]*Table2[[#This Row],[Item_Price]]</f>
        <v>141</v>
      </c>
    </row>
    <row r="2452" spans="1:23" x14ac:dyDescent="0.25">
      <c r="A2452" t="s">
        <v>2551</v>
      </c>
      <c r="B2452" s="1">
        <v>45833</v>
      </c>
      <c r="C2452" t="s">
        <v>2191</v>
      </c>
      <c r="D2452">
        <v>6</v>
      </c>
      <c r="E2452">
        <v>25</v>
      </c>
      <c r="F2452" t="s">
        <v>24</v>
      </c>
      <c r="G2452" t="s">
        <v>84</v>
      </c>
      <c r="H2452" t="s">
        <v>81</v>
      </c>
      <c r="I2452" t="s">
        <v>69</v>
      </c>
      <c r="J2452" t="s">
        <v>50</v>
      </c>
      <c r="K2452" t="s">
        <v>38</v>
      </c>
      <c r="L2452">
        <v>1</v>
      </c>
      <c r="M2452">
        <v>280</v>
      </c>
      <c r="N2452">
        <v>0</v>
      </c>
      <c r="O2452">
        <v>30</v>
      </c>
      <c r="P2452">
        <v>280</v>
      </c>
      <c r="Q2452">
        <v>310</v>
      </c>
      <c r="R2452" t="s">
        <v>30</v>
      </c>
      <c r="S2452" t="s">
        <v>31</v>
      </c>
      <c r="T2452" t="s">
        <v>32</v>
      </c>
      <c r="U2452">
        <v>61</v>
      </c>
      <c r="V2452">
        <v>4.7</v>
      </c>
      <c r="W2452">
        <f>Table2[[#This Row],[Quantity]]*Table2[[#This Row],[Item_Price]]</f>
        <v>280</v>
      </c>
    </row>
    <row r="2453" spans="1:23" x14ac:dyDescent="0.25">
      <c r="A2453" t="s">
        <v>2552</v>
      </c>
      <c r="B2453" s="1">
        <v>45833</v>
      </c>
      <c r="C2453" t="s">
        <v>2191</v>
      </c>
      <c r="D2453">
        <v>6</v>
      </c>
      <c r="E2453">
        <v>25</v>
      </c>
      <c r="F2453" t="s">
        <v>24</v>
      </c>
      <c r="G2453" t="s">
        <v>55</v>
      </c>
      <c r="H2453" t="s">
        <v>135</v>
      </c>
      <c r="I2453" t="s">
        <v>69</v>
      </c>
      <c r="J2453" t="s">
        <v>123</v>
      </c>
      <c r="K2453" t="s">
        <v>38</v>
      </c>
      <c r="L2453">
        <v>2</v>
      </c>
      <c r="M2453">
        <v>438</v>
      </c>
      <c r="N2453">
        <v>43.8</v>
      </c>
      <c r="O2453">
        <v>20</v>
      </c>
      <c r="P2453">
        <v>876</v>
      </c>
      <c r="Q2453">
        <v>852.2</v>
      </c>
      <c r="R2453" t="s">
        <v>39</v>
      </c>
      <c r="S2453" t="s">
        <v>31</v>
      </c>
      <c r="T2453" t="s">
        <v>32</v>
      </c>
      <c r="U2453">
        <v>63</v>
      </c>
      <c r="V2453">
        <v>5</v>
      </c>
      <c r="W2453">
        <f>Table2[[#This Row],[Quantity]]*Table2[[#This Row],[Item_Price]]</f>
        <v>876</v>
      </c>
    </row>
    <row r="2454" spans="1:23" x14ac:dyDescent="0.25">
      <c r="A2454" t="s">
        <v>2553</v>
      </c>
      <c r="B2454" s="1">
        <v>45833</v>
      </c>
      <c r="C2454" t="s">
        <v>2191</v>
      </c>
      <c r="D2454">
        <v>6</v>
      </c>
      <c r="E2454">
        <v>25</v>
      </c>
      <c r="F2454" t="s">
        <v>24</v>
      </c>
      <c r="G2454" t="s">
        <v>25</v>
      </c>
      <c r="H2454" t="s">
        <v>81</v>
      </c>
      <c r="I2454" t="s">
        <v>49</v>
      </c>
      <c r="J2454" t="s">
        <v>50</v>
      </c>
      <c r="K2454" t="s">
        <v>38</v>
      </c>
      <c r="L2454">
        <v>2</v>
      </c>
      <c r="M2454">
        <v>635</v>
      </c>
      <c r="N2454">
        <v>95.25</v>
      </c>
      <c r="O2454">
        <v>20</v>
      </c>
      <c r="P2454">
        <v>1270</v>
      </c>
      <c r="Q2454">
        <v>1194.75</v>
      </c>
      <c r="R2454" t="s">
        <v>39</v>
      </c>
      <c r="S2454" t="s">
        <v>46</v>
      </c>
      <c r="T2454" t="s">
        <v>40</v>
      </c>
      <c r="U2454">
        <v>43</v>
      </c>
      <c r="W2454">
        <f>Table2[[#This Row],[Quantity]]*Table2[[#This Row],[Item_Price]]</f>
        <v>1270</v>
      </c>
    </row>
    <row r="2455" spans="1:23" x14ac:dyDescent="0.25">
      <c r="A2455" t="s">
        <v>2554</v>
      </c>
      <c r="B2455" s="1">
        <v>45833</v>
      </c>
      <c r="C2455" t="s">
        <v>2191</v>
      </c>
      <c r="D2455">
        <v>6</v>
      </c>
      <c r="E2455">
        <v>25</v>
      </c>
      <c r="F2455" t="s">
        <v>24</v>
      </c>
      <c r="G2455" t="s">
        <v>34</v>
      </c>
      <c r="H2455" t="s">
        <v>56</v>
      </c>
      <c r="I2455" t="s">
        <v>43</v>
      </c>
      <c r="J2455" t="s">
        <v>66</v>
      </c>
      <c r="K2455" t="s">
        <v>45</v>
      </c>
      <c r="L2455">
        <v>3</v>
      </c>
      <c r="M2455">
        <v>538</v>
      </c>
      <c r="N2455">
        <v>80.7</v>
      </c>
      <c r="O2455">
        <v>60</v>
      </c>
      <c r="P2455">
        <v>1614</v>
      </c>
      <c r="Q2455">
        <v>1593.3</v>
      </c>
      <c r="R2455" t="s">
        <v>112</v>
      </c>
      <c r="S2455" t="s">
        <v>31</v>
      </c>
      <c r="T2455" t="s">
        <v>32</v>
      </c>
      <c r="U2455">
        <v>40</v>
      </c>
      <c r="V2455">
        <v>3</v>
      </c>
      <c r="W2455">
        <f>Table2[[#This Row],[Quantity]]*Table2[[#This Row],[Item_Price]]</f>
        <v>1614</v>
      </c>
    </row>
    <row r="2456" spans="1:23" x14ac:dyDescent="0.25">
      <c r="A2456" t="s">
        <v>2555</v>
      </c>
      <c r="B2456" s="1">
        <v>45833</v>
      </c>
      <c r="C2456" t="s">
        <v>2191</v>
      </c>
      <c r="D2456">
        <v>6</v>
      </c>
      <c r="E2456">
        <v>25</v>
      </c>
      <c r="F2456" t="s">
        <v>24</v>
      </c>
      <c r="G2456" t="s">
        <v>80</v>
      </c>
      <c r="H2456" t="s">
        <v>139</v>
      </c>
      <c r="I2456" t="s">
        <v>97</v>
      </c>
      <c r="J2456" t="s">
        <v>50</v>
      </c>
      <c r="K2456" t="s">
        <v>38</v>
      </c>
      <c r="L2456">
        <v>2</v>
      </c>
      <c r="M2456">
        <v>796</v>
      </c>
      <c r="N2456">
        <v>79.599999999999994</v>
      </c>
      <c r="O2456">
        <v>50</v>
      </c>
      <c r="P2456">
        <v>1592</v>
      </c>
      <c r="Q2456">
        <v>1562.4</v>
      </c>
      <c r="R2456" t="s">
        <v>75</v>
      </c>
      <c r="S2456" t="s">
        <v>31</v>
      </c>
      <c r="T2456" t="s">
        <v>40</v>
      </c>
      <c r="U2456">
        <v>46</v>
      </c>
      <c r="V2456">
        <v>4.5</v>
      </c>
      <c r="W2456">
        <f>Table2[[#This Row],[Quantity]]*Table2[[#This Row],[Item_Price]]</f>
        <v>1592</v>
      </c>
    </row>
    <row r="2457" spans="1:23" x14ac:dyDescent="0.25">
      <c r="A2457" t="s">
        <v>2556</v>
      </c>
      <c r="B2457" s="1">
        <v>45833</v>
      </c>
      <c r="C2457" t="s">
        <v>2191</v>
      </c>
      <c r="D2457">
        <v>6</v>
      </c>
      <c r="E2457">
        <v>25</v>
      </c>
      <c r="F2457" t="s">
        <v>24</v>
      </c>
      <c r="G2457" t="s">
        <v>73</v>
      </c>
      <c r="H2457" t="s">
        <v>108</v>
      </c>
      <c r="I2457" t="s">
        <v>103</v>
      </c>
      <c r="J2457" t="s">
        <v>123</v>
      </c>
      <c r="K2457" t="s">
        <v>38</v>
      </c>
      <c r="L2457">
        <v>3</v>
      </c>
      <c r="M2457">
        <v>439</v>
      </c>
      <c r="N2457">
        <v>43.9</v>
      </c>
      <c r="O2457">
        <v>20</v>
      </c>
      <c r="P2457">
        <v>1317</v>
      </c>
      <c r="Q2457">
        <v>1293.0999999999999</v>
      </c>
      <c r="R2457" t="s">
        <v>39</v>
      </c>
      <c r="S2457" t="s">
        <v>31</v>
      </c>
      <c r="T2457" t="s">
        <v>40</v>
      </c>
      <c r="U2457">
        <v>34</v>
      </c>
      <c r="V2457">
        <v>4.0999999999999996</v>
      </c>
      <c r="W2457">
        <f>Table2[[#This Row],[Quantity]]*Table2[[#This Row],[Item_Price]]</f>
        <v>1317</v>
      </c>
    </row>
    <row r="2458" spans="1:23" x14ac:dyDescent="0.25">
      <c r="A2458" t="s">
        <v>2557</v>
      </c>
      <c r="B2458" s="1">
        <v>45833</v>
      </c>
      <c r="C2458" t="s">
        <v>2191</v>
      </c>
      <c r="D2458">
        <v>6</v>
      </c>
      <c r="E2458">
        <v>25</v>
      </c>
      <c r="F2458" t="s">
        <v>24</v>
      </c>
      <c r="G2458" t="s">
        <v>96</v>
      </c>
      <c r="H2458" t="s">
        <v>81</v>
      </c>
      <c r="I2458" t="s">
        <v>27</v>
      </c>
      <c r="J2458" t="s">
        <v>70</v>
      </c>
      <c r="K2458" t="s">
        <v>38</v>
      </c>
      <c r="L2458">
        <v>1</v>
      </c>
      <c r="M2458">
        <v>592</v>
      </c>
      <c r="N2458">
        <v>118.4</v>
      </c>
      <c r="O2458">
        <v>70</v>
      </c>
      <c r="P2458">
        <v>592</v>
      </c>
      <c r="Q2458">
        <v>543.6</v>
      </c>
      <c r="R2458" t="s">
        <v>39</v>
      </c>
      <c r="S2458" t="s">
        <v>31</v>
      </c>
      <c r="T2458" t="s">
        <v>40</v>
      </c>
      <c r="U2458">
        <v>41</v>
      </c>
      <c r="V2458">
        <v>5</v>
      </c>
      <c r="W2458">
        <f>Table2[[#This Row],[Quantity]]*Table2[[#This Row],[Item_Price]]</f>
        <v>592</v>
      </c>
    </row>
    <row r="2459" spans="1:23" x14ac:dyDescent="0.25">
      <c r="A2459" t="s">
        <v>2558</v>
      </c>
      <c r="B2459" s="1">
        <v>45833</v>
      </c>
      <c r="C2459" t="s">
        <v>2191</v>
      </c>
      <c r="D2459">
        <v>6</v>
      </c>
      <c r="E2459">
        <v>25</v>
      </c>
      <c r="F2459" t="s">
        <v>24</v>
      </c>
      <c r="G2459" t="s">
        <v>55</v>
      </c>
      <c r="H2459" t="s">
        <v>60</v>
      </c>
      <c r="I2459" t="s">
        <v>43</v>
      </c>
      <c r="J2459" t="s">
        <v>66</v>
      </c>
      <c r="K2459" t="s">
        <v>45</v>
      </c>
      <c r="L2459">
        <v>3</v>
      </c>
      <c r="M2459">
        <v>303</v>
      </c>
      <c r="N2459">
        <v>15.15</v>
      </c>
      <c r="O2459">
        <v>20</v>
      </c>
      <c r="P2459">
        <v>909</v>
      </c>
      <c r="Q2459">
        <v>913.85</v>
      </c>
      <c r="R2459" t="s">
        <v>112</v>
      </c>
      <c r="S2459" t="s">
        <v>91</v>
      </c>
      <c r="T2459" t="s">
        <v>40</v>
      </c>
      <c r="U2459">
        <v>62</v>
      </c>
      <c r="W2459">
        <f>Table2[[#This Row],[Quantity]]*Table2[[#This Row],[Item_Price]]</f>
        <v>909</v>
      </c>
    </row>
    <row r="2460" spans="1:23" x14ac:dyDescent="0.25">
      <c r="A2460" t="s">
        <v>2559</v>
      </c>
      <c r="B2460" s="1">
        <v>45833</v>
      </c>
      <c r="C2460" t="s">
        <v>2191</v>
      </c>
      <c r="D2460">
        <v>6</v>
      </c>
      <c r="E2460">
        <v>25</v>
      </c>
      <c r="F2460" t="s">
        <v>24</v>
      </c>
      <c r="G2460" t="s">
        <v>34</v>
      </c>
      <c r="H2460" t="s">
        <v>135</v>
      </c>
      <c r="I2460" t="s">
        <v>36</v>
      </c>
      <c r="J2460" t="s">
        <v>82</v>
      </c>
      <c r="K2460" t="s">
        <v>38</v>
      </c>
      <c r="L2460">
        <v>1</v>
      </c>
      <c r="M2460">
        <v>504</v>
      </c>
      <c r="N2460">
        <v>0</v>
      </c>
      <c r="O2460">
        <v>40</v>
      </c>
      <c r="P2460">
        <v>504</v>
      </c>
      <c r="Q2460">
        <v>544</v>
      </c>
      <c r="R2460" t="s">
        <v>30</v>
      </c>
      <c r="S2460" t="s">
        <v>31</v>
      </c>
      <c r="T2460" t="s">
        <v>40</v>
      </c>
      <c r="U2460">
        <v>36</v>
      </c>
      <c r="V2460">
        <v>4.3</v>
      </c>
      <c r="W2460">
        <f>Table2[[#This Row],[Quantity]]*Table2[[#This Row],[Item_Price]]</f>
        <v>504</v>
      </c>
    </row>
    <row r="2461" spans="1:23" x14ac:dyDescent="0.25">
      <c r="A2461" t="s">
        <v>2560</v>
      </c>
      <c r="B2461" s="1">
        <v>45833</v>
      </c>
      <c r="C2461" t="s">
        <v>2191</v>
      </c>
      <c r="D2461">
        <v>6</v>
      </c>
      <c r="E2461">
        <v>25</v>
      </c>
      <c r="F2461" t="s">
        <v>24</v>
      </c>
      <c r="G2461" t="s">
        <v>73</v>
      </c>
      <c r="H2461" t="s">
        <v>135</v>
      </c>
      <c r="I2461" t="s">
        <v>27</v>
      </c>
      <c r="J2461" t="s">
        <v>66</v>
      </c>
      <c r="K2461" t="s">
        <v>38</v>
      </c>
      <c r="L2461">
        <v>2</v>
      </c>
      <c r="M2461">
        <v>179</v>
      </c>
      <c r="N2461">
        <v>35.799999999999997</v>
      </c>
      <c r="O2461">
        <v>20</v>
      </c>
      <c r="P2461">
        <v>358</v>
      </c>
      <c r="Q2461">
        <v>342.2</v>
      </c>
      <c r="R2461" t="s">
        <v>98</v>
      </c>
      <c r="S2461" t="s">
        <v>31</v>
      </c>
      <c r="T2461" t="s">
        <v>40</v>
      </c>
      <c r="U2461">
        <v>46</v>
      </c>
      <c r="V2461">
        <v>4.3</v>
      </c>
      <c r="W2461">
        <f>Table2[[#This Row],[Quantity]]*Table2[[#This Row],[Item_Price]]</f>
        <v>358</v>
      </c>
    </row>
    <row r="2462" spans="1:23" x14ac:dyDescent="0.25">
      <c r="A2462" t="s">
        <v>2561</v>
      </c>
      <c r="B2462" s="1">
        <v>45833</v>
      </c>
      <c r="C2462" t="s">
        <v>2191</v>
      </c>
      <c r="D2462">
        <v>6</v>
      </c>
      <c r="E2462">
        <v>25</v>
      </c>
      <c r="F2462" t="s">
        <v>24</v>
      </c>
      <c r="G2462" t="s">
        <v>90</v>
      </c>
      <c r="H2462" t="s">
        <v>105</v>
      </c>
      <c r="I2462" t="s">
        <v>27</v>
      </c>
      <c r="J2462" t="s">
        <v>94</v>
      </c>
      <c r="K2462" t="s">
        <v>38</v>
      </c>
      <c r="L2462">
        <v>1</v>
      </c>
      <c r="M2462">
        <v>482</v>
      </c>
      <c r="N2462">
        <v>24.1</v>
      </c>
      <c r="O2462">
        <v>40</v>
      </c>
      <c r="P2462">
        <v>482</v>
      </c>
      <c r="Q2462">
        <v>497.9</v>
      </c>
      <c r="R2462" t="s">
        <v>30</v>
      </c>
      <c r="S2462" t="s">
        <v>31</v>
      </c>
      <c r="T2462" t="s">
        <v>40</v>
      </c>
      <c r="U2462">
        <v>36</v>
      </c>
      <c r="V2462">
        <v>2.9</v>
      </c>
      <c r="W2462">
        <f>Table2[[#This Row],[Quantity]]*Table2[[#This Row],[Item_Price]]</f>
        <v>482</v>
      </c>
    </row>
    <row r="2463" spans="1:23" x14ac:dyDescent="0.25">
      <c r="A2463" t="s">
        <v>2562</v>
      </c>
      <c r="B2463" s="1">
        <v>45833</v>
      </c>
      <c r="C2463" t="s">
        <v>2191</v>
      </c>
      <c r="D2463">
        <v>6</v>
      </c>
      <c r="E2463">
        <v>25</v>
      </c>
      <c r="F2463" t="s">
        <v>24</v>
      </c>
      <c r="G2463" t="s">
        <v>73</v>
      </c>
      <c r="H2463" t="s">
        <v>65</v>
      </c>
      <c r="I2463" t="s">
        <v>61</v>
      </c>
      <c r="J2463" t="s">
        <v>28</v>
      </c>
      <c r="K2463" t="s">
        <v>38</v>
      </c>
      <c r="L2463">
        <v>1</v>
      </c>
      <c r="M2463">
        <v>641</v>
      </c>
      <c r="N2463">
        <v>64.099999999999994</v>
      </c>
      <c r="O2463">
        <v>30</v>
      </c>
      <c r="P2463">
        <v>641</v>
      </c>
      <c r="Q2463">
        <v>606.9</v>
      </c>
      <c r="R2463" t="s">
        <v>30</v>
      </c>
      <c r="S2463" t="s">
        <v>31</v>
      </c>
      <c r="T2463" t="s">
        <v>32</v>
      </c>
      <c r="U2463">
        <v>38</v>
      </c>
      <c r="V2463">
        <v>4.0999999999999996</v>
      </c>
      <c r="W2463">
        <f>Table2[[#This Row],[Quantity]]*Table2[[#This Row],[Item_Price]]</f>
        <v>641</v>
      </c>
    </row>
    <row r="2464" spans="1:23" x14ac:dyDescent="0.25">
      <c r="A2464" t="s">
        <v>2563</v>
      </c>
      <c r="B2464" s="1">
        <v>45834</v>
      </c>
      <c r="C2464" t="s">
        <v>2191</v>
      </c>
      <c r="D2464">
        <v>6</v>
      </c>
      <c r="E2464">
        <v>26</v>
      </c>
      <c r="F2464" t="s">
        <v>88</v>
      </c>
      <c r="G2464" t="s">
        <v>80</v>
      </c>
      <c r="H2464" t="s">
        <v>81</v>
      </c>
      <c r="I2464" t="s">
        <v>27</v>
      </c>
      <c r="J2464" t="s">
        <v>44</v>
      </c>
      <c r="K2464" t="s">
        <v>38</v>
      </c>
      <c r="L2464">
        <v>2</v>
      </c>
      <c r="M2464">
        <v>887</v>
      </c>
      <c r="N2464">
        <v>88.7</v>
      </c>
      <c r="O2464">
        <v>50</v>
      </c>
      <c r="P2464">
        <v>1774</v>
      </c>
      <c r="Q2464">
        <v>1735.3</v>
      </c>
      <c r="R2464" t="s">
        <v>112</v>
      </c>
      <c r="S2464" t="s">
        <v>31</v>
      </c>
      <c r="T2464" t="s">
        <v>40</v>
      </c>
      <c r="U2464">
        <v>33</v>
      </c>
      <c r="V2464">
        <v>4.8</v>
      </c>
      <c r="W2464">
        <f>Table2[[#This Row],[Quantity]]*Table2[[#This Row],[Item_Price]]</f>
        <v>1774</v>
      </c>
    </row>
    <row r="2465" spans="1:23" x14ac:dyDescent="0.25">
      <c r="A2465" t="s">
        <v>2564</v>
      </c>
      <c r="B2465" s="1">
        <v>45834</v>
      </c>
      <c r="C2465" t="s">
        <v>2191</v>
      </c>
      <c r="D2465">
        <v>6</v>
      </c>
      <c r="E2465">
        <v>26</v>
      </c>
      <c r="F2465" t="s">
        <v>88</v>
      </c>
      <c r="G2465" t="s">
        <v>55</v>
      </c>
      <c r="H2465" t="s">
        <v>35</v>
      </c>
      <c r="I2465" t="s">
        <v>57</v>
      </c>
      <c r="J2465" t="s">
        <v>53</v>
      </c>
      <c r="K2465" t="s">
        <v>38</v>
      </c>
      <c r="L2465">
        <v>1</v>
      </c>
      <c r="M2465">
        <v>203</v>
      </c>
      <c r="N2465">
        <v>40.6</v>
      </c>
      <c r="O2465">
        <v>40</v>
      </c>
      <c r="P2465">
        <v>203</v>
      </c>
      <c r="Q2465">
        <v>202.4</v>
      </c>
      <c r="R2465" t="s">
        <v>30</v>
      </c>
      <c r="S2465" t="s">
        <v>31</v>
      </c>
      <c r="T2465" t="s">
        <v>40</v>
      </c>
      <c r="U2465">
        <v>53</v>
      </c>
      <c r="V2465">
        <v>4.4000000000000004</v>
      </c>
      <c r="W2465">
        <f>Table2[[#This Row],[Quantity]]*Table2[[#This Row],[Item_Price]]</f>
        <v>203</v>
      </c>
    </row>
    <row r="2466" spans="1:23" x14ac:dyDescent="0.25">
      <c r="A2466" t="s">
        <v>2565</v>
      </c>
      <c r="B2466" s="1">
        <v>45834</v>
      </c>
      <c r="C2466" t="s">
        <v>2191</v>
      </c>
      <c r="D2466">
        <v>6</v>
      </c>
      <c r="E2466">
        <v>26</v>
      </c>
      <c r="F2466" t="s">
        <v>88</v>
      </c>
      <c r="G2466" t="s">
        <v>25</v>
      </c>
      <c r="H2466" t="s">
        <v>65</v>
      </c>
      <c r="I2466" t="s">
        <v>27</v>
      </c>
      <c r="J2466" t="s">
        <v>123</v>
      </c>
      <c r="K2466" t="s">
        <v>38</v>
      </c>
      <c r="L2466">
        <v>1</v>
      </c>
      <c r="M2466">
        <v>542</v>
      </c>
      <c r="N2466">
        <v>54.2</v>
      </c>
      <c r="O2466">
        <v>30</v>
      </c>
      <c r="P2466">
        <v>542</v>
      </c>
      <c r="Q2466">
        <v>517.79999999999995</v>
      </c>
      <c r="R2466" t="s">
        <v>75</v>
      </c>
      <c r="S2466" t="s">
        <v>31</v>
      </c>
      <c r="T2466" t="s">
        <v>32</v>
      </c>
      <c r="U2466">
        <v>51</v>
      </c>
      <c r="V2466">
        <v>4.7</v>
      </c>
      <c r="W2466">
        <f>Table2[[#This Row],[Quantity]]*Table2[[#This Row],[Item_Price]]</f>
        <v>542</v>
      </c>
    </row>
    <row r="2467" spans="1:23" x14ac:dyDescent="0.25">
      <c r="A2467" t="s">
        <v>2566</v>
      </c>
      <c r="B2467" s="1">
        <v>45834</v>
      </c>
      <c r="C2467" t="s">
        <v>2191</v>
      </c>
      <c r="D2467">
        <v>6</v>
      </c>
      <c r="E2467">
        <v>26</v>
      </c>
      <c r="F2467" t="s">
        <v>88</v>
      </c>
      <c r="G2467" t="s">
        <v>34</v>
      </c>
      <c r="H2467" t="s">
        <v>65</v>
      </c>
      <c r="I2467" t="s">
        <v>61</v>
      </c>
      <c r="J2467" t="s">
        <v>53</v>
      </c>
      <c r="K2467" t="s">
        <v>38</v>
      </c>
      <c r="L2467">
        <v>1</v>
      </c>
      <c r="M2467">
        <v>538</v>
      </c>
      <c r="N2467">
        <v>53.8</v>
      </c>
      <c r="O2467">
        <v>30</v>
      </c>
      <c r="P2467">
        <v>538</v>
      </c>
      <c r="Q2467">
        <v>514.20000000000005</v>
      </c>
      <c r="R2467" t="s">
        <v>98</v>
      </c>
      <c r="S2467" t="s">
        <v>31</v>
      </c>
      <c r="T2467" t="s">
        <v>32</v>
      </c>
      <c r="U2467">
        <v>39</v>
      </c>
      <c r="V2467">
        <v>3.9</v>
      </c>
      <c r="W2467">
        <f>Table2[[#This Row],[Quantity]]*Table2[[#This Row],[Item_Price]]</f>
        <v>538</v>
      </c>
    </row>
    <row r="2468" spans="1:23" x14ac:dyDescent="0.25">
      <c r="A2468" t="s">
        <v>2567</v>
      </c>
      <c r="B2468" s="1">
        <v>45834</v>
      </c>
      <c r="C2468" t="s">
        <v>2191</v>
      </c>
      <c r="D2468">
        <v>6</v>
      </c>
      <c r="E2468">
        <v>26</v>
      </c>
      <c r="F2468" t="s">
        <v>88</v>
      </c>
      <c r="G2468" t="s">
        <v>64</v>
      </c>
      <c r="H2468" t="s">
        <v>139</v>
      </c>
      <c r="I2468" t="s">
        <v>69</v>
      </c>
      <c r="J2468" t="s">
        <v>37</v>
      </c>
      <c r="K2468" t="s">
        <v>58</v>
      </c>
      <c r="L2468">
        <v>2</v>
      </c>
      <c r="M2468">
        <v>148</v>
      </c>
      <c r="N2468">
        <v>7.4</v>
      </c>
      <c r="O2468">
        <v>0</v>
      </c>
      <c r="P2468">
        <v>296</v>
      </c>
      <c r="Q2468">
        <v>288.60000000000002</v>
      </c>
      <c r="R2468" t="s">
        <v>30</v>
      </c>
      <c r="S2468" t="s">
        <v>31</v>
      </c>
      <c r="T2468" t="s">
        <v>32</v>
      </c>
      <c r="U2468">
        <v>66</v>
      </c>
      <c r="V2468">
        <v>3.4</v>
      </c>
      <c r="W2468">
        <f>Table2[[#This Row],[Quantity]]*Table2[[#This Row],[Item_Price]]</f>
        <v>296</v>
      </c>
    </row>
    <row r="2469" spans="1:23" x14ac:dyDescent="0.25">
      <c r="A2469" t="s">
        <v>2568</v>
      </c>
      <c r="B2469" s="1">
        <v>45834</v>
      </c>
      <c r="C2469" t="s">
        <v>2191</v>
      </c>
      <c r="D2469">
        <v>6</v>
      </c>
      <c r="E2469">
        <v>26</v>
      </c>
      <c r="F2469" t="s">
        <v>88</v>
      </c>
      <c r="G2469" t="s">
        <v>34</v>
      </c>
      <c r="H2469" t="s">
        <v>105</v>
      </c>
      <c r="I2469" t="s">
        <v>103</v>
      </c>
      <c r="J2469" t="s">
        <v>50</v>
      </c>
      <c r="K2469" t="s">
        <v>45</v>
      </c>
      <c r="L2469">
        <v>2</v>
      </c>
      <c r="M2469">
        <v>340</v>
      </c>
      <c r="N2469">
        <v>85</v>
      </c>
      <c r="O2469">
        <v>40</v>
      </c>
      <c r="P2469">
        <v>680</v>
      </c>
      <c r="Q2469">
        <v>635</v>
      </c>
      <c r="R2469" t="s">
        <v>39</v>
      </c>
      <c r="S2469" t="s">
        <v>31</v>
      </c>
      <c r="T2469" t="s">
        <v>40</v>
      </c>
      <c r="U2469">
        <v>43</v>
      </c>
      <c r="V2469">
        <v>4.2</v>
      </c>
      <c r="W2469">
        <f>Table2[[#This Row],[Quantity]]*Table2[[#This Row],[Item_Price]]</f>
        <v>680</v>
      </c>
    </row>
    <row r="2470" spans="1:23" x14ac:dyDescent="0.25">
      <c r="A2470" t="s">
        <v>2569</v>
      </c>
      <c r="B2470" s="1">
        <v>45834</v>
      </c>
      <c r="C2470" t="s">
        <v>2191</v>
      </c>
      <c r="D2470">
        <v>6</v>
      </c>
      <c r="E2470">
        <v>26</v>
      </c>
      <c r="F2470" t="s">
        <v>88</v>
      </c>
      <c r="G2470" t="s">
        <v>25</v>
      </c>
      <c r="H2470" t="s">
        <v>42</v>
      </c>
      <c r="I2470" t="s">
        <v>97</v>
      </c>
      <c r="J2470" t="s">
        <v>53</v>
      </c>
      <c r="K2470" t="s">
        <v>38</v>
      </c>
      <c r="L2470">
        <v>3</v>
      </c>
      <c r="M2470">
        <v>415</v>
      </c>
      <c r="N2470">
        <v>103.75</v>
      </c>
      <c r="O2470">
        <v>30</v>
      </c>
      <c r="P2470">
        <v>1245</v>
      </c>
      <c r="Q2470">
        <v>1171.25</v>
      </c>
      <c r="R2470" t="s">
        <v>39</v>
      </c>
      <c r="S2470" t="s">
        <v>31</v>
      </c>
      <c r="T2470" t="s">
        <v>40</v>
      </c>
      <c r="U2470">
        <v>54</v>
      </c>
      <c r="V2470">
        <v>5</v>
      </c>
      <c r="W2470">
        <f>Table2[[#This Row],[Quantity]]*Table2[[#This Row],[Item_Price]]</f>
        <v>1245</v>
      </c>
    </row>
    <row r="2471" spans="1:23" x14ac:dyDescent="0.25">
      <c r="A2471" t="s">
        <v>2570</v>
      </c>
      <c r="B2471" s="1">
        <v>45834</v>
      </c>
      <c r="C2471" t="s">
        <v>2191</v>
      </c>
      <c r="D2471">
        <v>6</v>
      </c>
      <c r="E2471">
        <v>26</v>
      </c>
      <c r="F2471" t="s">
        <v>88</v>
      </c>
      <c r="G2471" t="s">
        <v>55</v>
      </c>
      <c r="H2471" t="s">
        <v>68</v>
      </c>
      <c r="I2471" t="s">
        <v>43</v>
      </c>
      <c r="J2471" t="s">
        <v>74</v>
      </c>
      <c r="K2471" t="s">
        <v>38</v>
      </c>
      <c r="L2471">
        <v>1</v>
      </c>
      <c r="M2471">
        <v>176</v>
      </c>
      <c r="N2471">
        <v>44</v>
      </c>
      <c r="O2471">
        <v>70</v>
      </c>
      <c r="P2471">
        <v>176</v>
      </c>
      <c r="Q2471">
        <v>202</v>
      </c>
      <c r="R2471" t="s">
        <v>98</v>
      </c>
      <c r="S2471" t="s">
        <v>31</v>
      </c>
      <c r="T2471" t="s">
        <v>40</v>
      </c>
      <c r="U2471">
        <v>36</v>
      </c>
      <c r="V2471">
        <v>3.2</v>
      </c>
      <c r="W2471">
        <f>Table2[[#This Row],[Quantity]]*Table2[[#This Row],[Item_Price]]</f>
        <v>176</v>
      </c>
    </row>
    <row r="2472" spans="1:23" x14ac:dyDescent="0.25">
      <c r="A2472" t="s">
        <v>2571</v>
      </c>
      <c r="B2472" s="1">
        <v>45834</v>
      </c>
      <c r="C2472" t="s">
        <v>2191</v>
      </c>
      <c r="D2472">
        <v>6</v>
      </c>
      <c r="E2472">
        <v>26</v>
      </c>
      <c r="F2472" t="s">
        <v>88</v>
      </c>
      <c r="G2472" t="s">
        <v>64</v>
      </c>
      <c r="H2472" t="s">
        <v>108</v>
      </c>
      <c r="I2472" t="s">
        <v>97</v>
      </c>
      <c r="J2472" t="s">
        <v>94</v>
      </c>
      <c r="K2472" t="s">
        <v>58</v>
      </c>
      <c r="L2472">
        <v>1</v>
      </c>
      <c r="M2472">
        <v>602</v>
      </c>
      <c r="N2472">
        <v>0</v>
      </c>
      <c r="O2472">
        <v>30</v>
      </c>
      <c r="P2472">
        <v>602</v>
      </c>
      <c r="Q2472">
        <v>632</v>
      </c>
      <c r="R2472" t="s">
        <v>30</v>
      </c>
      <c r="S2472" t="s">
        <v>31</v>
      </c>
      <c r="T2472" t="s">
        <v>40</v>
      </c>
      <c r="U2472">
        <v>37</v>
      </c>
      <c r="V2472">
        <v>4.2</v>
      </c>
      <c r="W2472">
        <f>Table2[[#This Row],[Quantity]]*Table2[[#This Row],[Item_Price]]</f>
        <v>602</v>
      </c>
    </row>
    <row r="2473" spans="1:23" x14ac:dyDescent="0.25">
      <c r="A2473" t="s">
        <v>2572</v>
      </c>
      <c r="B2473" s="1">
        <v>45834</v>
      </c>
      <c r="C2473" t="s">
        <v>2191</v>
      </c>
      <c r="D2473">
        <v>6</v>
      </c>
      <c r="E2473">
        <v>26</v>
      </c>
      <c r="F2473" t="s">
        <v>88</v>
      </c>
      <c r="G2473" t="s">
        <v>34</v>
      </c>
      <c r="H2473" t="s">
        <v>139</v>
      </c>
      <c r="I2473" t="s">
        <v>69</v>
      </c>
      <c r="J2473" t="s">
        <v>123</v>
      </c>
      <c r="K2473" t="s">
        <v>38</v>
      </c>
      <c r="L2473">
        <v>1</v>
      </c>
      <c r="M2473">
        <v>683</v>
      </c>
      <c r="N2473">
        <v>136.6</v>
      </c>
      <c r="O2473">
        <v>20</v>
      </c>
      <c r="P2473">
        <v>683</v>
      </c>
      <c r="Q2473">
        <v>566.4</v>
      </c>
      <c r="R2473" t="s">
        <v>112</v>
      </c>
      <c r="S2473" t="s">
        <v>31</v>
      </c>
      <c r="T2473" t="s">
        <v>40</v>
      </c>
      <c r="U2473">
        <v>32</v>
      </c>
      <c r="V2473">
        <v>4.0999999999999996</v>
      </c>
      <c r="W2473">
        <f>Table2[[#This Row],[Quantity]]*Table2[[#This Row],[Item_Price]]</f>
        <v>683</v>
      </c>
    </row>
    <row r="2474" spans="1:23" x14ac:dyDescent="0.25">
      <c r="A2474" t="s">
        <v>2573</v>
      </c>
      <c r="B2474" s="1">
        <v>45834</v>
      </c>
      <c r="C2474" t="s">
        <v>2191</v>
      </c>
      <c r="D2474">
        <v>6</v>
      </c>
      <c r="E2474">
        <v>26</v>
      </c>
      <c r="F2474" t="s">
        <v>88</v>
      </c>
      <c r="G2474" t="s">
        <v>73</v>
      </c>
      <c r="H2474" t="s">
        <v>108</v>
      </c>
      <c r="I2474" t="s">
        <v>103</v>
      </c>
      <c r="J2474" t="s">
        <v>123</v>
      </c>
      <c r="K2474" t="s">
        <v>38</v>
      </c>
      <c r="L2474">
        <v>1</v>
      </c>
      <c r="M2474">
        <v>856</v>
      </c>
      <c r="N2474">
        <v>85.6</v>
      </c>
      <c r="O2474">
        <v>30</v>
      </c>
      <c r="P2474">
        <v>856</v>
      </c>
      <c r="Q2474">
        <v>800.4</v>
      </c>
      <c r="R2474" t="s">
        <v>39</v>
      </c>
      <c r="S2474" t="s">
        <v>31</v>
      </c>
      <c r="T2474" t="s">
        <v>32</v>
      </c>
      <c r="U2474">
        <v>60</v>
      </c>
      <c r="V2474">
        <v>4.5999999999999996</v>
      </c>
      <c r="W2474">
        <f>Table2[[#This Row],[Quantity]]*Table2[[#This Row],[Item_Price]]</f>
        <v>856</v>
      </c>
    </row>
    <row r="2475" spans="1:23" x14ac:dyDescent="0.25">
      <c r="A2475" t="s">
        <v>2574</v>
      </c>
      <c r="B2475" s="1">
        <v>45834</v>
      </c>
      <c r="C2475" t="s">
        <v>2191</v>
      </c>
      <c r="D2475">
        <v>6</v>
      </c>
      <c r="E2475">
        <v>26</v>
      </c>
      <c r="F2475" t="s">
        <v>88</v>
      </c>
      <c r="G2475" t="s">
        <v>80</v>
      </c>
      <c r="H2475" t="s">
        <v>42</v>
      </c>
      <c r="I2475" t="s">
        <v>43</v>
      </c>
      <c r="J2475" t="s">
        <v>123</v>
      </c>
      <c r="K2475" t="s">
        <v>38</v>
      </c>
      <c r="L2475">
        <v>2</v>
      </c>
      <c r="M2475">
        <v>505</v>
      </c>
      <c r="N2475">
        <v>101</v>
      </c>
      <c r="O2475">
        <v>60</v>
      </c>
      <c r="P2475">
        <v>1010</v>
      </c>
      <c r="Q2475">
        <v>969</v>
      </c>
      <c r="R2475" t="s">
        <v>30</v>
      </c>
      <c r="S2475" t="s">
        <v>31</v>
      </c>
      <c r="T2475" t="s">
        <v>32</v>
      </c>
      <c r="U2475">
        <v>51</v>
      </c>
      <c r="V2475">
        <v>3.8</v>
      </c>
      <c r="W2475">
        <f>Table2[[#This Row],[Quantity]]*Table2[[#This Row],[Item_Price]]</f>
        <v>1010</v>
      </c>
    </row>
    <row r="2476" spans="1:23" x14ac:dyDescent="0.25">
      <c r="A2476" t="s">
        <v>2575</v>
      </c>
      <c r="B2476" s="1">
        <v>45834</v>
      </c>
      <c r="C2476" t="s">
        <v>2191</v>
      </c>
      <c r="D2476">
        <v>6</v>
      </c>
      <c r="E2476">
        <v>26</v>
      </c>
      <c r="F2476" t="s">
        <v>88</v>
      </c>
      <c r="G2476" t="s">
        <v>90</v>
      </c>
      <c r="H2476" t="s">
        <v>81</v>
      </c>
      <c r="I2476" t="s">
        <v>27</v>
      </c>
      <c r="J2476" t="s">
        <v>123</v>
      </c>
      <c r="K2476" t="s">
        <v>38</v>
      </c>
      <c r="L2476">
        <v>1</v>
      </c>
      <c r="M2476">
        <v>533</v>
      </c>
      <c r="N2476">
        <v>53.3</v>
      </c>
      <c r="O2476">
        <v>0</v>
      </c>
      <c r="P2476">
        <v>533</v>
      </c>
      <c r="Q2476">
        <v>479.7</v>
      </c>
      <c r="R2476" t="s">
        <v>75</v>
      </c>
      <c r="S2476" t="s">
        <v>46</v>
      </c>
      <c r="T2476" t="s">
        <v>32</v>
      </c>
      <c r="U2476">
        <v>45</v>
      </c>
      <c r="W2476">
        <f>Table2[[#This Row],[Quantity]]*Table2[[#This Row],[Item_Price]]</f>
        <v>533</v>
      </c>
    </row>
    <row r="2477" spans="1:23" x14ac:dyDescent="0.25">
      <c r="A2477" t="s">
        <v>2576</v>
      </c>
      <c r="B2477" s="1">
        <v>45834</v>
      </c>
      <c r="C2477" t="s">
        <v>2191</v>
      </c>
      <c r="D2477">
        <v>6</v>
      </c>
      <c r="E2477">
        <v>26</v>
      </c>
      <c r="F2477" t="s">
        <v>88</v>
      </c>
      <c r="G2477" t="s">
        <v>73</v>
      </c>
      <c r="H2477" t="s">
        <v>68</v>
      </c>
      <c r="I2477" t="s">
        <v>36</v>
      </c>
      <c r="J2477" t="s">
        <v>70</v>
      </c>
      <c r="K2477" t="s">
        <v>38</v>
      </c>
      <c r="L2477">
        <v>2</v>
      </c>
      <c r="M2477">
        <v>461</v>
      </c>
      <c r="N2477">
        <v>69.150000000000006</v>
      </c>
      <c r="O2477">
        <v>60</v>
      </c>
      <c r="P2477">
        <v>922</v>
      </c>
      <c r="Q2477">
        <v>912.85</v>
      </c>
      <c r="R2477" t="s">
        <v>98</v>
      </c>
      <c r="S2477" t="s">
        <v>91</v>
      </c>
      <c r="T2477" t="s">
        <v>40</v>
      </c>
      <c r="U2477">
        <v>20</v>
      </c>
      <c r="W2477">
        <f>Table2[[#This Row],[Quantity]]*Table2[[#This Row],[Item_Price]]</f>
        <v>922</v>
      </c>
    </row>
    <row r="2478" spans="1:23" x14ac:dyDescent="0.25">
      <c r="A2478" t="s">
        <v>2577</v>
      </c>
      <c r="B2478" s="1">
        <v>45834</v>
      </c>
      <c r="C2478" t="s">
        <v>2191</v>
      </c>
      <c r="D2478">
        <v>6</v>
      </c>
      <c r="E2478">
        <v>26</v>
      </c>
      <c r="F2478" t="s">
        <v>88</v>
      </c>
      <c r="G2478" t="s">
        <v>90</v>
      </c>
      <c r="H2478" t="s">
        <v>60</v>
      </c>
      <c r="I2478" t="s">
        <v>27</v>
      </c>
      <c r="J2478" t="s">
        <v>28</v>
      </c>
      <c r="K2478" t="s">
        <v>58</v>
      </c>
      <c r="L2478">
        <v>2</v>
      </c>
      <c r="M2478">
        <v>700</v>
      </c>
      <c r="N2478">
        <v>70</v>
      </c>
      <c r="O2478">
        <v>20</v>
      </c>
      <c r="P2478">
        <v>1400</v>
      </c>
      <c r="Q2478">
        <v>1350</v>
      </c>
      <c r="R2478" t="s">
        <v>39</v>
      </c>
      <c r="S2478" t="s">
        <v>31</v>
      </c>
      <c r="T2478" t="s">
        <v>40</v>
      </c>
      <c r="U2478">
        <v>53</v>
      </c>
      <c r="V2478">
        <v>4.3</v>
      </c>
      <c r="W2478">
        <f>Table2[[#This Row],[Quantity]]*Table2[[#This Row],[Item_Price]]</f>
        <v>1400</v>
      </c>
    </row>
    <row r="2479" spans="1:23" x14ac:dyDescent="0.25">
      <c r="A2479" t="s">
        <v>2578</v>
      </c>
      <c r="B2479" s="1">
        <v>45835</v>
      </c>
      <c r="C2479" t="s">
        <v>2191</v>
      </c>
      <c r="D2479">
        <v>6</v>
      </c>
      <c r="E2479">
        <v>27</v>
      </c>
      <c r="F2479" t="s">
        <v>114</v>
      </c>
      <c r="G2479" t="s">
        <v>34</v>
      </c>
      <c r="H2479" t="s">
        <v>56</v>
      </c>
      <c r="I2479" t="s">
        <v>69</v>
      </c>
      <c r="J2479" t="s">
        <v>28</v>
      </c>
      <c r="K2479" t="s">
        <v>45</v>
      </c>
      <c r="L2479">
        <v>2</v>
      </c>
      <c r="M2479">
        <v>867</v>
      </c>
      <c r="N2479">
        <v>130.05000000000001</v>
      </c>
      <c r="O2479">
        <v>20</v>
      </c>
      <c r="P2479">
        <v>1734</v>
      </c>
      <c r="Q2479">
        <v>1623.95</v>
      </c>
      <c r="R2479" t="s">
        <v>39</v>
      </c>
      <c r="S2479" t="s">
        <v>31</v>
      </c>
      <c r="T2479" t="s">
        <v>32</v>
      </c>
      <c r="U2479">
        <v>65</v>
      </c>
      <c r="V2479">
        <v>3.5</v>
      </c>
      <c r="W2479">
        <f>Table2[[#This Row],[Quantity]]*Table2[[#This Row],[Item_Price]]</f>
        <v>1734</v>
      </c>
    </row>
    <row r="2480" spans="1:23" x14ac:dyDescent="0.25">
      <c r="A2480" t="s">
        <v>2579</v>
      </c>
      <c r="B2480" s="1">
        <v>45835</v>
      </c>
      <c r="C2480" t="s">
        <v>2191</v>
      </c>
      <c r="D2480">
        <v>6</v>
      </c>
      <c r="E2480">
        <v>27</v>
      </c>
      <c r="F2480" t="s">
        <v>114</v>
      </c>
      <c r="G2480" t="s">
        <v>64</v>
      </c>
      <c r="H2480" t="s">
        <v>139</v>
      </c>
      <c r="I2480" t="s">
        <v>97</v>
      </c>
      <c r="J2480" t="s">
        <v>123</v>
      </c>
      <c r="K2480" t="s">
        <v>29</v>
      </c>
      <c r="L2480">
        <v>1</v>
      </c>
      <c r="M2480">
        <v>641</v>
      </c>
      <c r="N2480">
        <v>0</v>
      </c>
      <c r="O2480">
        <v>30</v>
      </c>
      <c r="P2480">
        <v>641</v>
      </c>
      <c r="Q2480">
        <v>671</v>
      </c>
      <c r="R2480" t="s">
        <v>30</v>
      </c>
      <c r="S2480" t="s">
        <v>31</v>
      </c>
      <c r="T2480" t="s">
        <v>40</v>
      </c>
      <c r="U2480">
        <v>62</v>
      </c>
      <c r="V2480">
        <v>3.8</v>
      </c>
      <c r="W2480">
        <f>Table2[[#This Row],[Quantity]]*Table2[[#This Row],[Item_Price]]</f>
        <v>641</v>
      </c>
    </row>
    <row r="2481" spans="1:23" x14ac:dyDescent="0.25">
      <c r="A2481" t="s">
        <v>2580</v>
      </c>
      <c r="B2481" s="1">
        <v>45835</v>
      </c>
      <c r="C2481" t="s">
        <v>2191</v>
      </c>
      <c r="D2481">
        <v>6</v>
      </c>
      <c r="E2481">
        <v>27</v>
      </c>
      <c r="F2481" t="s">
        <v>114</v>
      </c>
      <c r="G2481" t="s">
        <v>55</v>
      </c>
      <c r="H2481" t="s">
        <v>26</v>
      </c>
      <c r="I2481" t="s">
        <v>61</v>
      </c>
      <c r="J2481" t="s">
        <v>44</v>
      </c>
      <c r="K2481" t="s">
        <v>38</v>
      </c>
      <c r="L2481">
        <v>2</v>
      </c>
      <c r="M2481">
        <v>670</v>
      </c>
      <c r="N2481">
        <v>33.5</v>
      </c>
      <c r="O2481">
        <v>60</v>
      </c>
      <c r="P2481">
        <v>1340</v>
      </c>
      <c r="Q2481">
        <v>1366.5</v>
      </c>
      <c r="R2481" t="s">
        <v>30</v>
      </c>
      <c r="S2481" t="s">
        <v>91</v>
      </c>
      <c r="T2481" t="s">
        <v>40</v>
      </c>
      <c r="U2481">
        <v>21</v>
      </c>
      <c r="W2481">
        <f>Table2[[#This Row],[Quantity]]*Table2[[#This Row],[Item_Price]]</f>
        <v>1340</v>
      </c>
    </row>
    <row r="2482" spans="1:23" x14ac:dyDescent="0.25">
      <c r="A2482" t="s">
        <v>2581</v>
      </c>
      <c r="B2482" s="1">
        <v>45835</v>
      </c>
      <c r="C2482" t="s">
        <v>2191</v>
      </c>
      <c r="D2482">
        <v>6</v>
      </c>
      <c r="E2482">
        <v>27</v>
      </c>
      <c r="F2482" t="s">
        <v>114</v>
      </c>
      <c r="G2482" t="s">
        <v>84</v>
      </c>
      <c r="H2482" t="s">
        <v>77</v>
      </c>
      <c r="I2482" t="s">
        <v>85</v>
      </c>
      <c r="J2482" t="s">
        <v>70</v>
      </c>
      <c r="K2482" t="s">
        <v>45</v>
      </c>
      <c r="L2482">
        <v>2</v>
      </c>
      <c r="M2482">
        <v>496</v>
      </c>
      <c r="N2482">
        <v>49.6</v>
      </c>
      <c r="O2482">
        <v>20</v>
      </c>
      <c r="P2482">
        <v>992</v>
      </c>
      <c r="Q2482">
        <v>962.4</v>
      </c>
      <c r="R2482" t="s">
        <v>30</v>
      </c>
      <c r="S2482" t="s">
        <v>31</v>
      </c>
      <c r="T2482" t="s">
        <v>40</v>
      </c>
      <c r="U2482">
        <v>40</v>
      </c>
      <c r="V2482">
        <v>3.9</v>
      </c>
      <c r="W2482">
        <f>Table2[[#This Row],[Quantity]]*Table2[[#This Row],[Item_Price]]</f>
        <v>992</v>
      </c>
    </row>
    <row r="2483" spans="1:23" x14ac:dyDescent="0.25">
      <c r="A2483" t="s">
        <v>2582</v>
      </c>
      <c r="B2483" s="1">
        <v>45835</v>
      </c>
      <c r="C2483" t="s">
        <v>2191</v>
      </c>
      <c r="D2483">
        <v>6</v>
      </c>
      <c r="E2483">
        <v>27</v>
      </c>
      <c r="F2483" t="s">
        <v>114</v>
      </c>
      <c r="G2483" t="s">
        <v>80</v>
      </c>
      <c r="H2483" t="s">
        <v>139</v>
      </c>
      <c r="I2483" t="s">
        <v>85</v>
      </c>
      <c r="J2483" t="s">
        <v>66</v>
      </c>
      <c r="K2483" t="s">
        <v>45</v>
      </c>
      <c r="L2483">
        <v>2</v>
      </c>
      <c r="M2483">
        <v>197</v>
      </c>
      <c r="N2483">
        <v>19.7</v>
      </c>
      <c r="O2483">
        <v>40</v>
      </c>
      <c r="P2483">
        <v>394</v>
      </c>
      <c r="Q2483">
        <v>414.3</v>
      </c>
      <c r="R2483" t="s">
        <v>75</v>
      </c>
      <c r="S2483" t="s">
        <v>31</v>
      </c>
      <c r="T2483" t="s">
        <v>40</v>
      </c>
      <c r="U2483">
        <v>28</v>
      </c>
      <c r="V2483">
        <v>5</v>
      </c>
      <c r="W2483">
        <f>Table2[[#This Row],[Quantity]]*Table2[[#This Row],[Item_Price]]</f>
        <v>394</v>
      </c>
    </row>
    <row r="2484" spans="1:23" x14ac:dyDescent="0.25">
      <c r="A2484" t="s">
        <v>2583</v>
      </c>
      <c r="B2484" s="1">
        <v>45835</v>
      </c>
      <c r="C2484" t="s">
        <v>2191</v>
      </c>
      <c r="D2484">
        <v>6</v>
      </c>
      <c r="E2484">
        <v>27</v>
      </c>
      <c r="F2484" t="s">
        <v>114</v>
      </c>
      <c r="G2484" t="s">
        <v>55</v>
      </c>
      <c r="H2484" t="s">
        <v>105</v>
      </c>
      <c r="I2484" t="s">
        <v>103</v>
      </c>
      <c r="J2484" t="s">
        <v>82</v>
      </c>
      <c r="K2484" t="s">
        <v>29</v>
      </c>
      <c r="L2484">
        <v>2</v>
      </c>
      <c r="M2484">
        <v>652</v>
      </c>
      <c r="N2484">
        <v>130.4</v>
      </c>
      <c r="O2484">
        <v>40</v>
      </c>
      <c r="P2484">
        <v>1304</v>
      </c>
      <c r="Q2484">
        <v>1213.5999999999999</v>
      </c>
      <c r="R2484" t="s">
        <v>30</v>
      </c>
      <c r="S2484" t="s">
        <v>110</v>
      </c>
      <c r="T2484" t="s">
        <v>40</v>
      </c>
      <c r="U2484">
        <v>32</v>
      </c>
      <c r="W2484">
        <f>Table2[[#This Row],[Quantity]]*Table2[[#This Row],[Item_Price]]</f>
        <v>1304</v>
      </c>
    </row>
    <row r="2485" spans="1:23" x14ac:dyDescent="0.25">
      <c r="A2485" t="s">
        <v>2584</v>
      </c>
      <c r="B2485" s="1">
        <v>45835</v>
      </c>
      <c r="C2485" t="s">
        <v>2191</v>
      </c>
      <c r="D2485">
        <v>6</v>
      </c>
      <c r="E2485">
        <v>27</v>
      </c>
      <c r="F2485" t="s">
        <v>114</v>
      </c>
      <c r="G2485" t="s">
        <v>96</v>
      </c>
      <c r="H2485" t="s">
        <v>77</v>
      </c>
      <c r="I2485" t="s">
        <v>97</v>
      </c>
      <c r="J2485" t="s">
        <v>70</v>
      </c>
      <c r="K2485" t="s">
        <v>38</v>
      </c>
      <c r="L2485">
        <v>1</v>
      </c>
      <c r="M2485">
        <v>238</v>
      </c>
      <c r="N2485">
        <v>23.8</v>
      </c>
      <c r="O2485">
        <v>60</v>
      </c>
      <c r="P2485">
        <v>238</v>
      </c>
      <c r="Q2485">
        <v>274.2</v>
      </c>
      <c r="R2485" t="s">
        <v>112</v>
      </c>
      <c r="S2485" t="s">
        <v>31</v>
      </c>
      <c r="T2485" t="s">
        <v>40</v>
      </c>
      <c r="U2485">
        <v>32</v>
      </c>
      <c r="V2485">
        <v>4.4000000000000004</v>
      </c>
      <c r="W2485">
        <f>Table2[[#This Row],[Quantity]]*Table2[[#This Row],[Item_Price]]</f>
        <v>238</v>
      </c>
    </row>
    <row r="2486" spans="1:23" x14ac:dyDescent="0.25">
      <c r="A2486" t="s">
        <v>2585</v>
      </c>
      <c r="B2486" s="1">
        <v>45835</v>
      </c>
      <c r="C2486" t="s">
        <v>2191</v>
      </c>
      <c r="D2486">
        <v>6</v>
      </c>
      <c r="E2486">
        <v>27</v>
      </c>
      <c r="F2486" t="s">
        <v>114</v>
      </c>
      <c r="G2486" t="s">
        <v>115</v>
      </c>
      <c r="H2486" t="s">
        <v>77</v>
      </c>
      <c r="I2486" t="s">
        <v>85</v>
      </c>
      <c r="J2486" t="s">
        <v>78</v>
      </c>
      <c r="K2486" t="s">
        <v>38</v>
      </c>
      <c r="L2486">
        <v>2</v>
      </c>
      <c r="M2486">
        <v>801</v>
      </c>
      <c r="N2486">
        <v>200.25</v>
      </c>
      <c r="O2486">
        <v>0</v>
      </c>
      <c r="P2486">
        <v>1602</v>
      </c>
      <c r="Q2486">
        <v>1401.75</v>
      </c>
      <c r="R2486" t="s">
        <v>75</v>
      </c>
      <c r="S2486" t="s">
        <v>91</v>
      </c>
      <c r="T2486" t="s">
        <v>40</v>
      </c>
      <c r="U2486">
        <v>20</v>
      </c>
      <c r="W2486">
        <f>Table2[[#This Row],[Quantity]]*Table2[[#This Row],[Item_Price]]</f>
        <v>1602</v>
      </c>
    </row>
    <row r="2487" spans="1:23" x14ac:dyDescent="0.25">
      <c r="A2487" t="s">
        <v>2586</v>
      </c>
      <c r="B2487" s="1">
        <v>45835</v>
      </c>
      <c r="C2487" t="s">
        <v>2191</v>
      </c>
      <c r="D2487">
        <v>6</v>
      </c>
      <c r="E2487">
        <v>27</v>
      </c>
      <c r="F2487" t="s">
        <v>114</v>
      </c>
      <c r="G2487" t="s">
        <v>34</v>
      </c>
      <c r="H2487" t="s">
        <v>81</v>
      </c>
      <c r="I2487" t="s">
        <v>49</v>
      </c>
      <c r="J2487" t="s">
        <v>50</v>
      </c>
      <c r="K2487" t="s">
        <v>38</v>
      </c>
      <c r="L2487">
        <v>3</v>
      </c>
      <c r="M2487">
        <v>268</v>
      </c>
      <c r="N2487">
        <v>67</v>
      </c>
      <c r="O2487">
        <v>20</v>
      </c>
      <c r="P2487">
        <v>804</v>
      </c>
      <c r="Q2487">
        <v>757</v>
      </c>
      <c r="R2487" t="s">
        <v>39</v>
      </c>
      <c r="S2487" t="s">
        <v>31</v>
      </c>
      <c r="T2487" t="s">
        <v>32</v>
      </c>
      <c r="U2487">
        <v>23</v>
      </c>
      <c r="V2487">
        <v>3.8</v>
      </c>
      <c r="W2487">
        <f>Table2[[#This Row],[Quantity]]*Table2[[#This Row],[Item_Price]]</f>
        <v>804</v>
      </c>
    </row>
    <row r="2488" spans="1:23" x14ac:dyDescent="0.25">
      <c r="A2488" t="s">
        <v>2587</v>
      </c>
      <c r="B2488" s="1">
        <v>45835</v>
      </c>
      <c r="C2488" t="s">
        <v>2191</v>
      </c>
      <c r="D2488">
        <v>6</v>
      </c>
      <c r="E2488">
        <v>27</v>
      </c>
      <c r="F2488" t="s">
        <v>114</v>
      </c>
      <c r="G2488" t="s">
        <v>80</v>
      </c>
      <c r="H2488" t="s">
        <v>81</v>
      </c>
      <c r="I2488" t="s">
        <v>97</v>
      </c>
      <c r="J2488" t="s">
        <v>53</v>
      </c>
      <c r="K2488" t="s">
        <v>38</v>
      </c>
      <c r="L2488">
        <v>2</v>
      </c>
      <c r="M2488">
        <v>891</v>
      </c>
      <c r="N2488">
        <v>133.65</v>
      </c>
      <c r="O2488">
        <v>30</v>
      </c>
      <c r="P2488">
        <v>1782</v>
      </c>
      <c r="Q2488">
        <v>1678.35</v>
      </c>
      <c r="R2488" t="s">
        <v>30</v>
      </c>
      <c r="S2488" t="s">
        <v>31</v>
      </c>
      <c r="T2488" t="s">
        <v>40</v>
      </c>
      <c r="U2488">
        <v>43</v>
      </c>
      <c r="V2488">
        <v>4.4000000000000004</v>
      </c>
      <c r="W2488">
        <f>Table2[[#This Row],[Quantity]]*Table2[[#This Row],[Item_Price]]</f>
        <v>1782</v>
      </c>
    </row>
    <row r="2489" spans="1:23" x14ac:dyDescent="0.25">
      <c r="A2489" t="s">
        <v>2588</v>
      </c>
      <c r="B2489" s="1">
        <v>45835</v>
      </c>
      <c r="C2489" t="s">
        <v>2191</v>
      </c>
      <c r="D2489">
        <v>6</v>
      </c>
      <c r="E2489">
        <v>27</v>
      </c>
      <c r="F2489" t="s">
        <v>114</v>
      </c>
      <c r="G2489" t="s">
        <v>96</v>
      </c>
      <c r="H2489" t="s">
        <v>35</v>
      </c>
      <c r="I2489" t="s">
        <v>97</v>
      </c>
      <c r="J2489" t="s">
        <v>74</v>
      </c>
      <c r="K2489" t="s">
        <v>45</v>
      </c>
      <c r="L2489">
        <v>1</v>
      </c>
      <c r="M2489">
        <v>806</v>
      </c>
      <c r="N2489">
        <v>201.5</v>
      </c>
      <c r="O2489">
        <v>0</v>
      </c>
      <c r="P2489">
        <v>806</v>
      </c>
      <c r="Q2489">
        <v>604.5</v>
      </c>
      <c r="R2489" t="s">
        <v>98</v>
      </c>
      <c r="S2489" t="s">
        <v>31</v>
      </c>
      <c r="T2489" t="s">
        <v>32</v>
      </c>
      <c r="U2489">
        <v>39</v>
      </c>
      <c r="V2489">
        <v>3.6</v>
      </c>
      <c r="W2489">
        <f>Table2[[#This Row],[Quantity]]*Table2[[#This Row],[Item_Price]]</f>
        <v>806</v>
      </c>
    </row>
    <row r="2490" spans="1:23" x14ac:dyDescent="0.25">
      <c r="A2490" t="s">
        <v>2589</v>
      </c>
      <c r="B2490" s="1">
        <v>45835</v>
      </c>
      <c r="C2490" t="s">
        <v>2191</v>
      </c>
      <c r="D2490">
        <v>6</v>
      </c>
      <c r="E2490">
        <v>27</v>
      </c>
      <c r="F2490" t="s">
        <v>114</v>
      </c>
      <c r="G2490" t="s">
        <v>96</v>
      </c>
      <c r="H2490" t="s">
        <v>42</v>
      </c>
      <c r="I2490" t="s">
        <v>69</v>
      </c>
      <c r="J2490" t="s">
        <v>66</v>
      </c>
      <c r="K2490" t="s">
        <v>38</v>
      </c>
      <c r="L2490">
        <v>3</v>
      </c>
      <c r="M2490">
        <v>484</v>
      </c>
      <c r="N2490">
        <v>72.599999999999994</v>
      </c>
      <c r="O2490">
        <v>20</v>
      </c>
      <c r="P2490">
        <v>1452</v>
      </c>
      <c r="Q2490">
        <v>1399.4</v>
      </c>
      <c r="R2490" t="s">
        <v>30</v>
      </c>
      <c r="S2490" t="s">
        <v>31</v>
      </c>
      <c r="T2490" t="s">
        <v>40</v>
      </c>
      <c r="U2490">
        <v>40</v>
      </c>
      <c r="V2490">
        <v>3.3</v>
      </c>
      <c r="W2490">
        <f>Table2[[#This Row],[Quantity]]*Table2[[#This Row],[Item_Price]]</f>
        <v>1452</v>
      </c>
    </row>
    <row r="2491" spans="1:23" x14ac:dyDescent="0.25">
      <c r="A2491" t="s">
        <v>2590</v>
      </c>
      <c r="B2491" s="1">
        <v>45835</v>
      </c>
      <c r="C2491" t="s">
        <v>2191</v>
      </c>
      <c r="D2491">
        <v>6</v>
      </c>
      <c r="E2491">
        <v>27</v>
      </c>
      <c r="F2491" t="s">
        <v>114</v>
      </c>
      <c r="G2491" t="s">
        <v>55</v>
      </c>
      <c r="H2491" t="s">
        <v>77</v>
      </c>
      <c r="I2491" t="s">
        <v>97</v>
      </c>
      <c r="J2491" t="s">
        <v>74</v>
      </c>
      <c r="K2491" t="s">
        <v>45</v>
      </c>
      <c r="L2491">
        <v>1</v>
      </c>
      <c r="M2491">
        <v>213</v>
      </c>
      <c r="N2491">
        <v>21.3</v>
      </c>
      <c r="O2491">
        <v>60</v>
      </c>
      <c r="P2491">
        <v>213</v>
      </c>
      <c r="Q2491">
        <v>251.7</v>
      </c>
      <c r="R2491" t="s">
        <v>39</v>
      </c>
      <c r="S2491" t="s">
        <v>31</v>
      </c>
      <c r="T2491" t="s">
        <v>40</v>
      </c>
      <c r="U2491">
        <v>26</v>
      </c>
      <c r="V2491">
        <v>3.4</v>
      </c>
      <c r="W2491">
        <f>Table2[[#This Row],[Quantity]]*Table2[[#This Row],[Item_Price]]</f>
        <v>213</v>
      </c>
    </row>
    <row r="2492" spans="1:23" x14ac:dyDescent="0.25">
      <c r="A2492" t="s">
        <v>2591</v>
      </c>
      <c r="B2492" s="1">
        <v>45835</v>
      </c>
      <c r="C2492" t="s">
        <v>2191</v>
      </c>
      <c r="D2492">
        <v>6</v>
      </c>
      <c r="E2492">
        <v>27</v>
      </c>
      <c r="F2492" t="s">
        <v>114</v>
      </c>
      <c r="G2492" t="s">
        <v>90</v>
      </c>
      <c r="H2492" t="s">
        <v>68</v>
      </c>
      <c r="I2492" t="s">
        <v>85</v>
      </c>
      <c r="J2492" t="s">
        <v>37</v>
      </c>
      <c r="K2492" t="s">
        <v>58</v>
      </c>
      <c r="L2492">
        <v>1</v>
      </c>
      <c r="M2492">
        <v>372</v>
      </c>
      <c r="N2492">
        <v>18.600000000000001</v>
      </c>
      <c r="O2492">
        <v>0</v>
      </c>
      <c r="P2492">
        <v>372</v>
      </c>
      <c r="Q2492">
        <v>353.4</v>
      </c>
      <c r="R2492" t="s">
        <v>98</v>
      </c>
      <c r="S2492" t="s">
        <v>110</v>
      </c>
      <c r="T2492" t="s">
        <v>32</v>
      </c>
      <c r="U2492">
        <v>57</v>
      </c>
      <c r="W2492">
        <f>Table2[[#This Row],[Quantity]]*Table2[[#This Row],[Item_Price]]</f>
        <v>372</v>
      </c>
    </row>
    <row r="2493" spans="1:23" x14ac:dyDescent="0.25">
      <c r="A2493" t="s">
        <v>2592</v>
      </c>
      <c r="B2493" s="1">
        <v>45835</v>
      </c>
      <c r="C2493" t="s">
        <v>2191</v>
      </c>
      <c r="D2493">
        <v>6</v>
      </c>
      <c r="E2493">
        <v>27</v>
      </c>
      <c r="F2493" t="s">
        <v>114</v>
      </c>
      <c r="G2493" t="s">
        <v>64</v>
      </c>
      <c r="H2493" t="s">
        <v>105</v>
      </c>
      <c r="I2493" t="s">
        <v>61</v>
      </c>
      <c r="J2493" t="s">
        <v>123</v>
      </c>
      <c r="K2493" t="s">
        <v>45</v>
      </c>
      <c r="L2493">
        <v>1</v>
      </c>
      <c r="M2493">
        <v>214</v>
      </c>
      <c r="N2493">
        <v>10.7</v>
      </c>
      <c r="O2493">
        <v>40</v>
      </c>
      <c r="P2493">
        <v>214</v>
      </c>
      <c r="Q2493">
        <v>243.3</v>
      </c>
      <c r="R2493" t="s">
        <v>39</v>
      </c>
      <c r="S2493" t="s">
        <v>31</v>
      </c>
      <c r="T2493" t="s">
        <v>40</v>
      </c>
      <c r="U2493">
        <v>44</v>
      </c>
      <c r="V2493">
        <v>4.4000000000000004</v>
      </c>
      <c r="W2493">
        <f>Table2[[#This Row],[Quantity]]*Table2[[#This Row],[Item_Price]]</f>
        <v>214</v>
      </c>
    </row>
    <row r="2494" spans="1:23" x14ac:dyDescent="0.25">
      <c r="A2494" t="s">
        <v>2593</v>
      </c>
      <c r="B2494" s="1">
        <v>45835</v>
      </c>
      <c r="C2494" t="s">
        <v>2191</v>
      </c>
      <c r="D2494">
        <v>6</v>
      </c>
      <c r="E2494">
        <v>27</v>
      </c>
      <c r="F2494" t="s">
        <v>114</v>
      </c>
      <c r="G2494" t="s">
        <v>55</v>
      </c>
      <c r="H2494" t="s">
        <v>42</v>
      </c>
      <c r="I2494" t="s">
        <v>43</v>
      </c>
      <c r="J2494" t="s">
        <v>28</v>
      </c>
      <c r="K2494" t="s">
        <v>58</v>
      </c>
      <c r="L2494">
        <v>3</v>
      </c>
      <c r="M2494">
        <v>605</v>
      </c>
      <c r="N2494">
        <v>0</v>
      </c>
      <c r="O2494">
        <v>50</v>
      </c>
      <c r="P2494">
        <v>1815</v>
      </c>
      <c r="Q2494">
        <v>1865</v>
      </c>
      <c r="R2494" t="s">
        <v>39</v>
      </c>
      <c r="S2494" t="s">
        <v>31</v>
      </c>
      <c r="T2494" t="s">
        <v>40</v>
      </c>
      <c r="U2494">
        <v>49</v>
      </c>
      <c r="V2494">
        <v>4.5</v>
      </c>
      <c r="W2494">
        <f>Table2[[#This Row],[Quantity]]*Table2[[#This Row],[Item_Price]]</f>
        <v>1815</v>
      </c>
    </row>
    <row r="2495" spans="1:23" x14ac:dyDescent="0.25">
      <c r="A2495" t="s">
        <v>2594</v>
      </c>
      <c r="B2495" s="1">
        <v>45836</v>
      </c>
      <c r="C2495" t="s">
        <v>2191</v>
      </c>
      <c r="D2495">
        <v>6</v>
      </c>
      <c r="E2495">
        <v>28</v>
      </c>
      <c r="F2495" t="s">
        <v>134</v>
      </c>
      <c r="G2495" t="s">
        <v>73</v>
      </c>
      <c r="H2495" t="s">
        <v>81</v>
      </c>
      <c r="I2495" t="s">
        <v>61</v>
      </c>
      <c r="J2495" t="s">
        <v>82</v>
      </c>
      <c r="K2495" t="s">
        <v>45</v>
      </c>
      <c r="L2495">
        <v>2</v>
      </c>
      <c r="M2495">
        <v>448</v>
      </c>
      <c r="N2495">
        <v>89.6</v>
      </c>
      <c r="O2495">
        <v>30</v>
      </c>
      <c r="P2495">
        <v>896</v>
      </c>
      <c r="Q2495">
        <v>836.4</v>
      </c>
      <c r="R2495" t="s">
        <v>112</v>
      </c>
      <c r="S2495" t="s">
        <v>31</v>
      </c>
      <c r="T2495" t="s">
        <v>40</v>
      </c>
      <c r="U2495">
        <v>37</v>
      </c>
      <c r="V2495">
        <v>4.0999999999999996</v>
      </c>
      <c r="W2495">
        <f>Table2[[#This Row],[Quantity]]*Table2[[#This Row],[Item_Price]]</f>
        <v>896</v>
      </c>
    </row>
    <row r="2496" spans="1:23" x14ac:dyDescent="0.25">
      <c r="A2496" t="s">
        <v>2595</v>
      </c>
      <c r="B2496" s="1">
        <v>45836</v>
      </c>
      <c r="C2496" t="s">
        <v>2191</v>
      </c>
      <c r="D2496">
        <v>6</v>
      </c>
      <c r="E2496">
        <v>28</v>
      </c>
      <c r="F2496" t="s">
        <v>134</v>
      </c>
      <c r="G2496" t="s">
        <v>55</v>
      </c>
      <c r="H2496" t="s">
        <v>35</v>
      </c>
      <c r="I2496" t="s">
        <v>57</v>
      </c>
      <c r="J2496" t="s">
        <v>37</v>
      </c>
      <c r="K2496" t="s">
        <v>38</v>
      </c>
      <c r="L2496">
        <v>1</v>
      </c>
      <c r="M2496">
        <v>754</v>
      </c>
      <c r="N2496">
        <v>113.1</v>
      </c>
      <c r="O2496">
        <v>30</v>
      </c>
      <c r="P2496">
        <v>754</v>
      </c>
      <c r="Q2496">
        <v>670.9</v>
      </c>
      <c r="R2496" t="s">
        <v>39</v>
      </c>
      <c r="S2496" t="s">
        <v>110</v>
      </c>
      <c r="T2496" t="s">
        <v>40</v>
      </c>
      <c r="U2496">
        <v>63</v>
      </c>
      <c r="W2496">
        <f>Table2[[#This Row],[Quantity]]*Table2[[#This Row],[Item_Price]]</f>
        <v>754</v>
      </c>
    </row>
    <row r="2497" spans="1:23" x14ac:dyDescent="0.25">
      <c r="A2497" t="s">
        <v>2596</v>
      </c>
      <c r="B2497" s="1">
        <v>45836</v>
      </c>
      <c r="C2497" t="s">
        <v>2191</v>
      </c>
      <c r="D2497">
        <v>6</v>
      </c>
      <c r="E2497">
        <v>28</v>
      </c>
      <c r="F2497" t="s">
        <v>134</v>
      </c>
      <c r="G2497" t="s">
        <v>80</v>
      </c>
      <c r="H2497" t="s">
        <v>52</v>
      </c>
      <c r="I2497" t="s">
        <v>61</v>
      </c>
      <c r="J2497" t="s">
        <v>53</v>
      </c>
      <c r="K2497" t="s">
        <v>45</v>
      </c>
      <c r="L2497">
        <v>3</v>
      </c>
      <c r="M2497">
        <v>290</v>
      </c>
      <c r="N2497">
        <v>0</v>
      </c>
      <c r="O2497">
        <v>40</v>
      </c>
      <c r="P2497">
        <v>870</v>
      </c>
      <c r="Q2497">
        <v>910</v>
      </c>
      <c r="R2497" t="s">
        <v>30</v>
      </c>
      <c r="S2497" t="s">
        <v>91</v>
      </c>
      <c r="T2497" t="s">
        <v>32</v>
      </c>
      <c r="U2497">
        <v>61</v>
      </c>
      <c r="W2497">
        <f>Table2[[#This Row],[Quantity]]*Table2[[#This Row],[Item_Price]]</f>
        <v>870</v>
      </c>
    </row>
    <row r="2498" spans="1:23" x14ac:dyDescent="0.25">
      <c r="A2498" t="s">
        <v>2597</v>
      </c>
      <c r="B2498" s="1">
        <v>45836</v>
      </c>
      <c r="C2498" t="s">
        <v>2191</v>
      </c>
      <c r="D2498">
        <v>6</v>
      </c>
      <c r="E2498">
        <v>28</v>
      </c>
      <c r="F2498" t="s">
        <v>134</v>
      </c>
      <c r="G2498" t="s">
        <v>80</v>
      </c>
      <c r="H2498" t="s">
        <v>68</v>
      </c>
      <c r="I2498" t="s">
        <v>43</v>
      </c>
      <c r="J2498" t="s">
        <v>37</v>
      </c>
      <c r="K2498" t="s">
        <v>38</v>
      </c>
      <c r="L2498">
        <v>1</v>
      </c>
      <c r="M2498">
        <v>741</v>
      </c>
      <c r="N2498">
        <v>37.049999999999997</v>
      </c>
      <c r="O2498">
        <v>50</v>
      </c>
      <c r="P2498">
        <v>741</v>
      </c>
      <c r="Q2498">
        <v>753.95</v>
      </c>
      <c r="R2498" t="s">
        <v>39</v>
      </c>
      <c r="S2498" t="s">
        <v>31</v>
      </c>
      <c r="T2498" t="s">
        <v>40</v>
      </c>
      <c r="U2498">
        <v>33</v>
      </c>
      <c r="V2498">
        <v>3.1</v>
      </c>
      <c r="W2498">
        <f>Table2[[#This Row],[Quantity]]*Table2[[#This Row],[Item_Price]]</f>
        <v>741</v>
      </c>
    </row>
    <row r="2499" spans="1:23" x14ac:dyDescent="0.25">
      <c r="A2499" t="s">
        <v>2598</v>
      </c>
      <c r="B2499" s="1">
        <v>45836</v>
      </c>
      <c r="C2499" t="s">
        <v>2191</v>
      </c>
      <c r="D2499">
        <v>6</v>
      </c>
      <c r="E2499">
        <v>28</v>
      </c>
      <c r="F2499" t="s">
        <v>134</v>
      </c>
      <c r="G2499" t="s">
        <v>73</v>
      </c>
      <c r="H2499" t="s">
        <v>60</v>
      </c>
      <c r="I2499" t="s">
        <v>69</v>
      </c>
      <c r="J2499" t="s">
        <v>119</v>
      </c>
      <c r="K2499" t="s">
        <v>38</v>
      </c>
      <c r="L2499">
        <v>3</v>
      </c>
      <c r="M2499">
        <v>452</v>
      </c>
      <c r="N2499">
        <v>67.8</v>
      </c>
      <c r="O2499">
        <v>30</v>
      </c>
      <c r="P2499">
        <v>1356</v>
      </c>
      <c r="Q2499">
        <v>1318.2</v>
      </c>
      <c r="R2499" t="s">
        <v>75</v>
      </c>
      <c r="S2499" t="s">
        <v>31</v>
      </c>
      <c r="T2499" t="s">
        <v>40</v>
      </c>
      <c r="U2499">
        <v>31</v>
      </c>
      <c r="V2499">
        <v>5</v>
      </c>
      <c r="W2499">
        <f>Table2[[#This Row],[Quantity]]*Table2[[#This Row],[Item_Price]]</f>
        <v>1356</v>
      </c>
    </row>
    <row r="2500" spans="1:23" x14ac:dyDescent="0.25">
      <c r="A2500" t="s">
        <v>2599</v>
      </c>
      <c r="B2500" s="1">
        <v>45836</v>
      </c>
      <c r="C2500" t="s">
        <v>2191</v>
      </c>
      <c r="D2500">
        <v>6</v>
      </c>
      <c r="E2500">
        <v>28</v>
      </c>
      <c r="F2500" t="s">
        <v>134</v>
      </c>
      <c r="G2500" t="s">
        <v>73</v>
      </c>
      <c r="H2500" t="s">
        <v>60</v>
      </c>
      <c r="I2500" t="s">
        <v>57</v>
      </c>
      <c r="J2500" t="s">
        <v>66</v>
      </c>
      <c r="K2500" t="s">
        <v>38</v>
      </c>
      <c r="L2500">
        <v>2</v>
      </c>
      <c r="M2500">
        <v>658</v>
      </c>
      <c r="N2500">
        <v>131.6</v>
      </c>
      <c r="O2500">
        <v>30</v>
      </c>
      <c r="P2500">
        <v>1316</v>
      </c>
      <c r="Q2500">
        <v>1214.4000000000001</v>
      </c>
      <c r="R2500" t="s">
        <v>39</v>
      </c>
      <c r="S2500" t="s">
        <v>31</v>
      </c>
      <c r="T2500" t="s">
        <v>40</v>
      </c>
      <c r="U2500">
        <v>26</v>
      </c>
      <c r="V2500">
        <v>3.9</v>
      </c>
      <c r="W2500">
        <f>Table2[[#This Row],[Quantity]]*Table2[[#This Row],[Item_Price]]</f>
        <v>1316</v>
      </c>
    </row>
    <row r="2501" spans="1:23" x14ac:dyDescent="0.25">
      <c r="A2501" t="s">
        <v>2600</v>
      </c>
      <c r="B2501" s="1">
        <v>45836</v>
      </c>
      <c r="C2501" t="s">
        <v>2191</v>
      </c>
      <c r="D2501">
        <v>6</v>
      </c>
      <c r="E2501">
        <v>28</v>
      </c>
      <c r="F2501" t="s">
        <v>134</v>
      </c>
      <c r="G2501" t="s">
        <v>90</v>
      </c>
      <c r="H2501" t="s">
        <v>48</v>
      </c>
      <c r="I2501" t="s">
        <v>61</v>
      </c>
      <c r="J2501" t="s">
        <v>82</v>
      </c>
      <c r="K2501" t="s">
        <v>38</v>
      </c>
      <c r="L2501">
        <v>2</v>
      </c>
      <c r="M2501">
        <v>448</v>
      </c>
      <c r="N2501">
        <v>0</v>
      </c>
      <c r="O2501">
        <v>0</v>
      </c>
      <c r="P2501">
        <v>896</v>
      </c>
      <c r="Q2501">
        <v>896</v>
      </c>
      <c r="R2501" t="s">
        <v>30</v>
      </c>
      <c r="S2501" t="s">
        <v>110</v>
      </c>
      <c r="T2501" t="s">
        <v>32</v>
      </c>
      <c r="U2501">
        <v>50</v>
      </c>
      <c r="W2501">
        <f>Table2[[#This Row],[Quantity]]*Table2[[#This Row],[Item_Price]]</f>
        <v>896</v>
      </c>
    </row>
    <row r="2502" spans="1:23" x14ac:dyDescent="0.25">
      <c r="A2502" t="s">
        <v>2601</v>
      </c>
      <c r="B2502" s="1">
        <v>45836</v>
      </c>
      <c r="C2502" t="s">
        <v>2191</v>
      </c>
      <c r="D2502">
        <v>6</v>
      </c>
      <c r="E2502">
        <v>28</v>
      </c>
      <c r="F2502" t="s">
        <v>134</v>
      </c>
      <c r="G2502" t="s">
        <v>64</v>
      </c>
      <c r="H2502" t="s">
        <v>135</v>
      </c>
      <c r="I2502" t="s">
        <v>61</v>
      </c>
      <c r="J2502" t="s">
        <v>66</v>
      </c>
      <c r="K2502" t="s">
        <v>45</v>
      </c>
      <c r="L2502">
        <v>1</v>
      </c>
      <c r="M2502">
        <v>272</v>
      </c>
      <c r="N2502">
        <v>27.2</v>
      </c>
      <c r="O2502">
        <v>30</v>
      </c>
      <c r="P2502">
        <v>272</v>
      </c>
      <c r="Q2502">
        <v>274.8</v>
      </c>
      <c r="R2502" t="s">
        <v>75</v>
      </c>
      <c r="S2502" t="s">
        <v>110</v>
      </c>
      <c r="T2502" t="s">
        <v>40</v>
      </c>
      <c r="U2502">
        <v>29</v>
      </c>
      <c r="W2502">
        <f>Table2[[#This Row],[Quantity]]*Table2[[#This Row],[Item_Price]]</f>
        <v>272</v>
      </c>
    </row>
    <row r="2503" spans="1:23" x14ac:dyDescent="0.25">
      <c r="A2503" t="s">
        <v>2602</v>
      </c>
      <c r="B2503" s="1">
        <v>45836</v>
      </c>
      <c r="C2503" t="s">
        <v>2191</v>
      </c>
      <c r="D2503">
        <v>6</v>
      </c>
      <c r="E2503">
        <v>28</v>
      </c>
      <c r="F2503" t="s">
        <v>134</v>
      </c>
      <c r="G2503" t="s">
        <v>55</v>
      </c>
      <c r="H2503" t="s">
        <v>81</v>
      </c>
      <c r="I2503" t="s">
        <v>57</v>
      </c>
      <c r="J2503" t="s">
        <v>119</v>
      </c>
      <c r="K2503" t="s">
        <v>45</v>
      </c>
      <c r="L2503">
        <v>3</v>
      </c>
      <c r="M2503">
        <v>351</v>
      </c>
      <c r="N2503">
        <v>17.55</v>
      </c>
      <c r="O2503">
        <v>30</v>
      </c>
      <c r="P2503">
        <v>1053</v>
      </c>
      <c r="Q2503">
        <v>1065.45</v>
      </c>
      <c r="R2503" t="s">
        <v>39</v>
      </c>
      <c r="S2503" t="s">
        <v>31</v>
      </c>
      <c r="T2503" t="s">
        <v>40</v>
      </c>
      <c r="U2503">
        <v>24</v>
      </c>
      <c r="V2503">
        <v>3.6</v>
      </c>
      <c r="W2503">
        <f>Table2[[#This Row],[Quantity]]*Table2[[#This Row],[Item_Price]]</f>
        <v>1053</v>
      </c>
    </row>
    <row r="2504" spans="1:23" x14ac:dyDescent="0.25">
      <c r="A2504" t="s">
        <v>2603</v>
      </c>
      <c r="B2504" s="1">
        <v>45836</v>
      </c>
      <c r="C2504" t="s">
        <v>2191</v>
      </c>
      <c r="D2504">
        <v>6</v>
      </c>
      <c r="E2504">
        <v>28</v>
      </c>
      <c r="F2504" t="s">
        <v>134</v>
      </c>
      <c r="G2504" t="s">
        <v>73</v>
      </c>
      <c r="H2504" t="s">
        <v>135</v>
      </c>
      <c r="I2504" t="s">
        <v>97</v>
      </c>
      <c r="J2504" t="s">
        <v>70</v>
      </c>
      <c r="K2504" t="s">
        <v>38</v>
      </c>
      <c r="L2504">
        <v>2</v>
      </c>
      <c r="M2504">
        <v>543</v>
      </c>
      <c r="N2504">
        <v>108.6</v>
      </c>
      <c r="O2504">
        <v>20</v>
      </c>
      <c r="P2504">
        <v>1086</v>
      </c>
      <c r="Q2504">
        <v>997.4</v>
      </c>
      <c r="R2504" t="s">
        <v>112</v>
      </c>
      <c r="S2504" t="s">
        <v>31</v>
      </c>
      <c r="T2504" t="s">
        <v>40</v>
      </c>
      <c r="U2504">
        <v>23</v>
      </c>
      <c r="V2504">
        <v>4.4000000000000004</v>
      </c>
      <c r="W2504">
        <f>Table2[[#This Row],[Quantity]]*Table2[[#This Row],[Item_Price]]</f>
        <v>1086</v>
      </c>
    </row>
    <row r="2505" spans="1:23" x14ac:dyDescent="0.25">
      <c r="A2505" t="s">
        <v>2604</v>
      </c>
      <c r="B2505" s="1">
        <v>45836</v>
      </c>
      <c r="C2505" t="s">
        <v>2191</v>
      </c>
      <c r="D2505">
        <v>6</v>
      </c>
      <c r="E2505">
        <v>28</v>
      </c>
      <c r="F2505" t="s">
        <v>134</v>
      </c>
      <c r="G2505" t="s">
        <v>34</v>
      </c>
      <c r="H2505" t="s">
        <v>81</v>
      </c>
      <c r="I2505" t="s">
        <v>85</v>
      </c>
      <c r="J2505" t="s">
        <v>94</v>
      </c>
      <c r="K2505" t="s">
        <v>38</v>
      </c>
      <c r="L2505">
        <v>1</v>
      </c>
      <c r="M2505">
        <v>369</v>
      </c>
      <c r="N2505">
        <v>55.35</v>
      </c>
      <c r="O2505">
        <v>50</v>
      </c>
      <c r="P2505">
        <v>369</v>
      </c>
      <c r="Q2505">
        <v>363.65</v>
      </c>
      <c r="R2505" t="s">
        <v>39</v>
      </c>
      <c r="S2505" t="s">
        <v>31</v>
      </c>
      <c r="T2505" t="s">
        <v>32</v>
      </c>
      <c r="U2505">
        <v>51</v>
      </c>
      <c r="V2505">
        <v>3.2</v>
      </c>
      <c r="W2505">
        <f>Table2[[#This Row],[Quantity]]*Table2[[#This Row],[Item_Price]]</f>
        <v>369</v>
      </c>
    </row>
    <row r="2506" spans="1:23" x14ac:dyDescent="0.25">
      <c r="A2506" t="s">
        <v>2605</v>
      </c>
      <c r="B2506" s="1">
        <v>45836</v>
      </c>
      <c r="C2506" t="s">
        <v>2191</v>
      </c>
      <c r="D2506">
        <v>6</v>
      </c>
      <c r="E2506">
        <v>28</v>
      </c>
      <c r="F2506" t="s">
        <v>134</v>
      </c>
      <c r="G2506" t="s">
        <v>55</v>
      </c>
      <c r="H2506" t="s">
        <v>52</v>
      </c>
      <c r="I2506" t="s">
        <v>49</v>
      </c>
      <c r="J2506" t="s">
        <v>172</v>
      </c>
      <c r="K2506" t="s">
        <v>38</v>
      </c>
      <c r="L2506">
        <v>2</v>
      </c>
      <c r="M2506">
        <v>417</v>
      </c>
      <c r="N2506">
        <v>104.25</v>
      </c>
      <c r="O2506">
        <v>30</v>
      </c>
      <c r="P2506">
        <v>834</v>
      </c>
      <c r="Q2506">
        <v>759.75</v>
      </c>
      <c r="R2506" t="s">
        <v>98</v>
      </c>
      <c r="S2506" t="s">
        <v>31</v>
      </c>
      <c r="T2506" t="s">
        <v>40</v>
      </c>
      <c r="U2506">
        <v>59</v>
      </c>
      <c r="V2506">
        <v>3.9</v>
      </c>
      <c r="W2506">
        <f>Table2[[#This Row],[Quantity]]*Table2[[#This Row],[Item_Price]]</f>
        <v>834</v>
      </c>
    </row>
    <row r="2507" spans="1:23" x14ac:dyDescent="0.25">
      <c r="A2507" t="s">
        <v>2606</v>
      </c>
      <c r="B2507" s="1">
        <v>45836</v>
      </c>
      <c r="C2507" t="s">
        <v>2191</v>
      </c>
      <c r="D2507">
        <v>6</v>
      </c>
      <c r="E2507">
        <v>28</v>
      </c>
      <c r="F2507" t="s">
        <v>134</v>
      </c>
      <c r="G2507" t="s">
        <v>64</v>
      </c>
      <c r="H2507" t="s">
        <v>52</v>
      </c>
      <c r="I2507" t="s">
        <v>103</v>
      </c>
      <c r="J2507" t="s">
        <v>70</v>
      </c>
      <c r="K2507" t="s">
        <v>38</v>
      </c>
      <c r="L2507">
        <v>2</v>
      </c>
      <c r="M2507">
        <v>325</v>
      </c>
      <c r="N2507">
        <v>0</v>
      </c>
      <c r="O2507">
        <v>0</v>
      </c>
      <c r="P2507">
        <v>650</v>
      </c>
      <c r="Q2507">
        <v>650</v>
      </c>
      <c r="R2507" t="s">
        <v>30</v>
      </c>
      <c r="S2507" t="s">
        <v>91</v>
      </c>
      <c r="T2507" t="s">
        <v>40</v>
      </c>
      <c r="U2507">
        <v>31</v>
      </c>
      <c r="W2507">
        <f>Table2[[#This Row],[Quantity]]*Table2[[#This Row],[Item_Price]]</f>
        <v>650</v>
      </c>
    </row>
    <row r="2508" spans="1:23" x14ac:dyDescent="0.25">
      <c r="A2508" t="s">
        <v>2607</v>
      </c>
      <c r="B2508" s="1">
        <v>45836</v>
      </c>
      <c r="C2508" t="s">
        <v>2191</v>
      </c>
      <c r="D2508">
        <v>6</v>
      </c>
      <c r="E2508">
        <v>28</v>
      </c>
      <c r="F2508" t="s">
        <v>134</v>
      </c>
      <c r="G2508" t="s">
        <v>64</v>
      </c>
      <c r="H2508" t="s">
        <v>108</v>
      </c>
      <c r="I2508" t="s">
        <v>43</v>
      </c>
      <c r="J2508" t="s">
        <v>101</v>
      </c>
      <c r="K2508" t="s">
        <v>58</v>
      </c>
      <c r="L2508">
        <v>2</v>
      </c>
      <c r="M2508">
        <v>874</v>
      </c>
      <c r="N2508">
        <v>218.5</v>
      </c>
      <c r="O2508">
        <v>0</v>
      </c>
      <c r="P2508">
        <v>1748</v>
      </c>
      <c r="Q2508">
        <v>1529.5</v>
      </c>
      <c r="R2508" t="s">
        <v>39</v>
      </c>
      <c r="S2508" t="s">
        <v>31</v>
      </c>
      <c r="T2508" t="s">
        <v>32</v>
      </c>
      <c r="U2508">
        <v>40</v>
      </c>
      <c r="V2508">
        <v>4.4000000000000004</v>
      </c>
      <c r="W2508">
        <f>Table2[[#This Row],[Quantity]]*Table2[[#This Row],[Item_Price]]</f>
        <v>1748</v>
      </c>
    </row>
    <row r="2509" spans="1:23" x14ac:dyDescent="0.25">
      <c r="A2509" t="s">
        <v>2608</v>
      </c>
      <c r="B2509" s="1">
        <v>45837</v>
      </c>
      <c r="C2509" t="s">
        <v>2191</v>
      </c>
      <c r="D2509">
        <v>6</v>
      </c>
      <c r="E2509">
        <v>29</v>
      </c>
      <c r="F2509" t="s">
        <v>149</v>
      </c>
      <c r="G2509" t="s">
        <v>64</v>
      </c>
      <c r="H2509" t="s">
        <v>139</v>
      </c>
      <c r="I2509" t="s">
        <v>61</v>
      </c>
      <c r="J2509" t="s">
        <v>119</v>
      </c>
      <c r="K2509" t="s">
        <v>38</v>
      </c>
      <c r="L2509">
        <v>1</v>
      </c>
      <c r="M2509">
        <v>200</v>
      </c>
      <c r="N2509">
        <v>40</v>
      </c>
      <c r="O2509">
        <v>40</v>
      </c>
      <c r="P2509">
        <v>200</v>
      </c>
      <c r="Q2509">
        <v>200</v>
      </c>
      <c r="R2509" t="s">
        <v>39</v>
      </c>
      <c r="S2509" t="s">
        <v>31</v>
      </c>
      <c r="T2509" t="s">
        <v>40</v>
      </c>
      <c r="U2509">
        <v>65</v>
      </c>
      <c r="V2509">
        <v>4.0999999999999996</v>
      </c>
      <c r="W2509">
        <f>Table2[[#This Row],[Quantity]]*Table2[[#This Row],[Item_Price]]</f>
        <v>200</v>
      </c>
    </row>
    <row r="2510" spans="1:23" x14ac:dyDescent="0.25">
      <c r="A2510" t="s">
        <v>2609</v>
      </c>
      <c r="B2510" s="1">
        <v>45837</v>
      </c>
      <c r="C2510" t="s">
        <v>2191</v>
      </c>
      <c r="D2510">
        <v>6</v>
      </c>
      <c r="E2510">
        <v>29</v>
      </c>
      <c r="F2510" t="s">
        <v>149</v>
      </c>
      <c r="G2510" t="s">
        <v>80</v>
      </c>
      <c r="H2510" t="s">
        <v>60</v>
      </c>
      <c r="I2510" t="s">
        <v>57</v>
      </c>
      <c r="J2510" t="s">
        <v>78</v>
      </c>
      <c r="K2510" t="s">
        <v>38</v>
      </c>
      <c r="L2510">
        <v>2</v>
      </c>
      <c r="M2510">
        <v>657</v>
      </c>
      <c r="N2510">
        <v>131.4</v>
      </c>
      <c r="O2510">
        <v>50</v>
      </c>
      <c r="P2510">
        <v>1314</v>
      </c>
      <c r="Q2510">
        <v>1232.5999999999999</v>
      </c>
      <c r="R2510" t="s">
        <v>75</v>
      </c>
      <c r="S2510" t="s">
        <v>31</v>
      </c>
      <c r="T2510" t="s">
        <v>40</v>
      </c>
      <c r="U2510">
        <v>59</v>
      </c>
      <c r="V2510">
        <v>3.7</v>
      </c>
      <c r="W2510">
        <f>Table2[[#This Row],[Quantity]]*Table2[[#This Row],[Item_Price]]</f>
        <v>1314</v>
      </c>
    </row>
    <row r="2511" spans="1:23" x14ac:dyDescent="0.25">
      <c r="A2511" t="s">
        <v>2610</v>
      </c>
      <c r="B2511" s="1">
        <v>45837</v>
      </c>
      <c r="C2511" t="s">
        <v>2191</v>
      </c>
      <c r="D2511">
        <v>6</v>
      </c>
      <c r="E2511">
        <v>29</v>
      </c>
      <c r="F2511" t="s">
        <v>149</v>
      </c>
      <c r="G2511" t="s">
        <v>25</v>
      </c>
      <c r="H2511" t="s">
        <v>77</v>
      </c>
      <c r="I2511" t="s">
        <v>36</v>
      </c>
      <c r="J2511" t="s">
        <v>94</v>
      </c>
      <c r="K2511" t="s">
        <v>29</v>
      </c>
      <c r="L2511">
        <v>1</v>
      </c>
      <c r="M2511">
        <v>653</v>
      </c>
      <c r="N2511">
        <v>163.25</v>
      </c>
      <c r="O2511">
        <v>40</v>
      </c>
      <c r="P2511">
        <v>653</v>
      </c>
      <c r="Q2511">
        <v>529.75</v>
      </c>
      <c r="R2511" t="s">
        <v>98</v>
      </c>
      <c r="S2511" t="s">
        <v>31</v>
      </c>
      <c r="T2511" t="s">
        <v>32</v>
      </c>
      <c r="U2511">
        <v>31</v>
      </c>
      <c r="V2511">
        <v>4.4000000000000004</v>
      </c>
      <c r="W2511">
        <f>Table2[[#This Row],[Quantity]]*Table2[[#This Row],[Item_Price]]</f>
        <v>653</v>
      </c>
    </row>
    <row r="2512" spans="1:23" x14ac:dyDescent="0.25">
      <c r="A2512" t="s">
        <v>2611</v>
      </c>
      <c r="B2512" s="1">
        <v>45837</v>
      </c>
      <c r="C2512" t="s">
        <v>2191</v>
      </c>
      <c r="D2512">
        <v>6</v>
      </c>
      <c r="E2512">
        <v>29</v>
      </c>
      <c r="F2512" t="s">
        <v>149</v>
      </c>
      <c r="G2512" t="s">
        <v>34</v>
      </c>
      <c r="H2512" t="s">
        <v>68</v>
      </c>
      <c r="I2512" t="s">
        <v>27</v>
      </c>
      <c r="J2512" t="s">
        <v>123</v>
      </c>
      <c r="K2512" t="s">
        <v>38</v>
      </c>
      <c r="L2512">
        <v>2</v>
      </c>
      <c r="M2512">
        <v>281</v>
      </c>
      <c r="N2512">
        <v>0</v>
      </c>
      <c r="O2512">
        <v>30</v>
      </c>
      <c r="P2512">
        <v>562</v>
      </c>
      <c r="Q2512">
        <v>592</v>
      </c>
      <c r="R2512" t="s">
        <v>75</v>
      </c>
      <c r="S2512" t="s">
        <v>31</v>
      </c>
      <c r="T2512" t="s">
        <v>40</v>
      </c>
      <c r="U2512">
        <v>21</v>
      </c>
      <c r="V2512">
        <v>3.3</v>
      </c>
      <c r="W2512">
        <f>Table2[[#This Row],[Quantity]]*Table2[[#This Row],[Item_Price]]</f>
        <v>562</v>
      </c>
    </row>
    <row r="2513" spans="1:23" x14ac:dyDescent="0.25">
      <c r="A2513" t="s">
        <v>2612</v>
      </c>
      <c r="B2513" s="1">
        <v>45837</v>
      </c>
      <c r="C2513" t="s">
        <v>2191</v>
      </c>
      <c r="D2513">
        <v>6</v>
      </c>
      <c r="E2513">
        <v>29</v>
      </c>
      <c r="F2513" t="s">
        <v>149</v>
      </c>
      <c r="G2513" t="s">
        <v>25</v>
      </c>
      <c r="H2513" t="s">
        <v>65</v>
      </c>
      <c r="I2513" t="s">
        <v>57</v>
      </c>
      <c r="J2513" t="s">
        <v>44</v>
      </c>
      <c r="K2513" t="s">
        <v>38</v>
      </c>
      <c r="L2513">
        <v>1</v>
      </c>
      <c r="M2513">
        <v>270</v>
      </c>
      <c r="N2513">
        <v>40.5</v>
      </c>
      <c r="O2513">
        <v>40</v>
      </c>
      <c r="P2513">
        <v>270</v>
      </c>
      <c r="Q2513">
        <v>269.5</v>
      </c>
      <c r="R2513" t="s">
        <v>39</v>
      </c>
      <c r="S2513" t="s">
        <v>31</v>
      </c>
      <c r="T2513" t="s">
        <v>32</v>
      </c>
      <c r="U2513">
        <v>57</v>
      </c>
      <c r="V2513">
        <v>3.7</v>
      </c>
      <c r="W2513">
        <f>Table2[[#This Row],[Quantity]]*Table2[[#This Row],[Item_Price]]</f>
        <v>270</v>
      </c>
    </row>
    <row r="2514" spans="1:23" x14ac:dyDescent="0.25">
      <c r="A2514" t="s">
        <v>2613</v>
      </c>
      <c r="B2514" s="1">
        <v>45837</v>
      </c>
      <c r="C2514" t="s">
        <v>2191</v>
      </c>
      <c r="D2514">
        <v>6</v>
      </c>
      <c r="E2514">
        <v>29</v>
      </c>
      <c r="F2514" t="s">
        <v>149</v>
      </c>
      <c r="G2514" t="s">
        <v>73</v>
      </c>
      <c r="H2514" t="s">
        <v>60</v>
      </c>
      <c r="I2514" t="s">
        <v>27</v>
      </c>
      <c r="J2514" t="s">
        <v>82</v>
      </c>
      <c r="K2514" t="s">
        <v>38</v>
      </c>
      <c r="L2514">
        <v>1</v>
      </c>
      <c r="M2514">
        <v>761</v>
      </c>
      <c r="N2514">
        <v>114.15</v>
      </c>
      <c r="O2514">
        <v>50</v>
      </c>
      <c r="P2514">
        <v>761</v>
      </c>
      <c r="Q2514">
        <v>696.85</v>
      </c>
      <c r="R2514" t="s">
        <v>75</v>
      </c>
      <c r="S2514" t="s">
        <v>91</v>
      </c>
      <c r="T2514" t="s">
        <v>40</v>
      </c>
      <c r="U2514">
        <v>39</v>
      </c>
      <c r="W2514">
        <f>Table2[[#This Row],[Quantity]]*Table2[[#This Row],[Item_Price]]</f>
        <v>761</v>
      </c>
    </row>
    <row r="2515" spans="1:23" x14ac:dyDescent="0.25">
      <c r="A2515" t="s">
        <v>2614</v>
      </c>
      <c r="B2515" s="1">
        <v>45837</v>
      </c>
      <c r="C2515" t="s">
        <v>2191</v>
      </c>
      <c r="D2515">
        <v>6</v>
      </c>
      <c r="E2515">
        <v>29</v>
      </c>
      <c r="F2515" t="s">
        <v>149</v>
      </c>
      <c r="G2515" t="s">
        <v>34</v>
      </c>
      <c r="H2515" t="s">
        <v>60</v>
      </c>
      <c r="I2515" t="s">
        <v>97</v>
      </c>
      <c r="J2515" t="s">
        <v>28</v>
      </c>
      <c r="K2515" t="s">
        <v>38</v>
      </c>
      <c r="L2515">
        <v>2</v>
      </c>
      <c r="M2515">
        <v>467</v>
      </c>
      <c r="N2515">
        <v>70.05</v>
      </c>
      <c r="O2515">
        <v>60</v>
      </c>
      <c r="P2515">
        <v>934</v>
      </c>
      <c r="Q2515">
        <v>923.95</v>
      </c>
      <c r="R2515" t="s">
        <v>75</v>
      </c>
      <c r="S2515" t="s">
        <v>31</v>
      </c>
      <c r="T2515" t="s">
        <v>32</v>
      </c>
      <c r="U2515">
        <v>57</v>
      </c>
      <c r="V2515">
        <v>4.2</v>
      </c>
      <c r="W2515">
        <f>Table2[[#This Row],[Quantity]]*Table2[[#This Row],[Item_Price]]</f>
        <v>934</v>
      </c>
    </row>
    <row r="2516" spans="1:23" x14ac:dyDescent="0.25">
      <c r="A2516" t="s">
        <v>2615</v>
      </c>
      <c r="B2516" s="1">
        <v>45837</v>
      </c>
      <c r="C2516" t="s">
        <v>2191</v>
      </c>
      <c r="D2516">
        <v>6</v>
      </c>
      <c r="E2516">
        <v>29</v>
      </c>
      <c r="F2516" t="s">
        <v>149</v>
      </c>
      <c r="G2516" t="s">
        <v>80</v>
      </c>
      <c r="H2516" t="s">
        <v>52</v>
      </c>
      <c r="I2516" t="s">
        <v>49</v>
      </c>
      <c r="J2516" t="s">
        <v>50</v>
      </c>
      <c r="K2516" t="s">
        <v>38</v>
      </c>
      <c r="L2516">
        <v>1</v>
      </c>
      <c r="M2516">
        <v>624</v>
      </c>
      <c r="N2516">
        <v>156</v>
      </c>
      <c r="O2516">
        <v>20</v>
      </c>
      <c r="P2516">
        <v>624</v>
      </c>
      <c r="Q2516">
        <v>488</v>
      </c>
      <c r="R2516" t="s">
        <v>30</v>
      </c>
      <c r="S2516" t="s">
        <v>31</v>
      </c>
      <c r="T2516" t="s">
        <v>32</v>
      </c>
      <c r="U2516">
        <v>24</v>
      </c>
      <c r="V2516">
        <v>3.7</v>
      </c>
      <c r="W2516">
        <f>Table2[[#This Row],[Quantity]]*Table2[[#This Row],[Item_Price]]</f>
        <v>624</v>
      </c>
    </row>
    <row r="2517" spans="1:23" x14ac:dyDescent="0.25">
      <c r="A2517" t="s">
        <v>2616</v>
      </c>
      <c r="B2517" s="1">
        <v>45838</v>
      </c>
      <c r="C2517" t="s">
        <v>2191</v>
      </c>
      <c r="D2517">
        <v>6</v>
      </c>
      <c r="E2517">
        <v>30</v>
      </c>
      <c r="F2517" t="s">
        <v>168</v>
      </c>
      <c r="G2517" t="s">
        <v>80</v>
      </c>
      <c r="H2517" t="s">
        <v>52</v>
      </c>
      <c r="I2517" t="s">
        <v>36</v>
      </c>
      <c r="J2517" t="s">
        <v>44</v>
      </c>
      <c r="K2517" t="s">
        <v>29</v>
      </c>
      <c r="L2517">
        <v>2</v>
      </c>
      <c r="M2517">
        <v>695</v>
      </c>
      <c r="N2517">
        <v>139</v>
      </c>
      <c r="O2517">
        <v>40</v>
      </c>
      <c r="P2517">
        <v>1390</v>
      </c>
      <c r="Q2517">
        <v>1291</v>
      </c>
      <c r="R2517" t="s">
        <v>75</v>
      </c>
      <c r="S2517" t="s">
        <v>31</v>
      </c>
      <c r="T2517" t="s">
        <v>40</v>
      </c>
      <c r="U2517">
        <v>44</v>
      </c>
      <c r="V2517">
        <v>3.6</v>
      </c>
      <c r="W2517">
        <f>Table2[[#This Row],[Quantity]]*Table2[[#This Row],[Item_Price]]</f>
        <v>1390</v>
      </c>
    </row>
    <row r="2518" spans="1:23" x14ac:dyDescent="0.25">
      <c r="A2518" t="s">
        <v>2617</v>
      </c>
      <c r="B2518" s="1">
        <v>45838</v>
      </c>
      <c r="C2518" t="s">
        <v>2191</v>
      </c>
      <c r="D2518">
        <v>6</v>
      </c>
      <c r="E2518">
        <v>30</v>
      </c>
      <c r="F2518" t="s">
        <v>168</v>
      </c>
      <c r="G2518" t="s">
        <v>84</v>
      </c>
      <c r="H2518" t="s">
        <v>60</v>
      </c>
      <c r="I2518" t="s">
        <v>57</v>
      </c>
      <c r="J2518" t="s">
        <v>50</v>
      </c>
      <c r="K2518" t="s">
        <v>38</v>
      </c>
      <c r="L2518">
        <v>2</v>
      </c>
      <c r="M2518">
        <v>607</v>
      </c>
      <c r="N2518">
        <v>30.35</v>
      </c>
      <c r="O2518">
        <v>40</v>
      </c>
      <c r="P2518">
        <v>1214</v>
      </c>
      <c r="Q2518">
        <v>1223.6500000000001</v>
      </c>
      <c r="R2518" t="s">
        <v>75</v>
      </c>
      <c r="S2518" t="s">
        <v>31</v>
      </c>
      <c r="T2518" t="s">
        <v>40</v>
      </c>
      <c r="U2518">
        <v>48</v>
      </c>
      <c r="V2518">
        <v>4.7</v>
      </c>
      <c r="W2518">
        <f>Table2[[#This Row],[Quantity]]*Table2[[#This Row],[Item_Price]]</f>
        <v>1214</v>
      </c>
    </row>
    <row r="2519" spans="1:23" x14ac:dyDescent="0.25">
      <c r="A2519" t="s">
        <v>2618</v>
      </c>
      <c r="B2519" s="1">
        <v>45838</v>
      </c>
      <c r="C2519" t="s">
        <v>2191</v>
      </c>
      <c r="D2519">
        <v>6</v>
      </c>
      <c r="E2519">
        <v>30</v>
      </c>
      <c r="F2519" t="s">
        <v>168</v>
      </c>
      <c r="G2519" t="s">
        <v>96</v>
      </c>
      <c r="H2519" t="s">
        <v>68</v>
      </c>
      <c r="I2519" t="s">
        <v>27</v>
      </c>
      <c r="J2519" t="s">
        <v>66</v>
      </c>
      <c r="K2519" t="s">
        <v>38</v>
      </c>
      <c r="L2519">
        <v>1</v>
      </c>
      <c r="M2519">
        <v>182</v>
      </c>
      <c r="N2519">
        <v>9.1</v>
      </c>
      <c r="O2519">
        <v>40</v>
      </c>
      <c r="P2519">
        <v>182</v>
      </c>
      <c r="Q2519">
        <v>212.9</v>
      </c>
      <c r="R2519" t="s">
        <v>39</v>
      </c>
      <c r="S2519" t="s">
        <v>31</v>
      </c>
      <c r="T2519" t="s">
        <v>40</v>
      </c>
      <c r="U2519">
        <v>38</v>
      </c>
      <c r="V2519">
        <v>3.6</v>
      </c>
      <c r="W2519">
        <f>Table2[[#This Row],[Quantity]]*Table2[[#This Row],[Item_Price]]</f>
        <v>182</v>
      </c>
    </row>
    <row r="2520" spans="1:23" x14ac:dyDescent="0.25">
      <c r="A2520" t="s">
        <v>2619</v>
      </c>
      <c r="B2520" s="1">
        <v>45838</v>
      </c>
      <c r="C2520" t="s">
        <v>2191</v>
      </c>
      <c r="D2520">
        <v>6</v>
      </c>
      <c r="E2520">
        <v>30</v>
      </c>
      <c r="F2520" t="s">
        <v>168</v>
      </c>
      <c r="G2520" t="s">
        <v>84</v>
      </c>
      <c r="H2520" t="s">
        <v>105</v>
      </c>
      <c r="I2520" t="s">
        <v>69</v>
      </c>
      <c r="J2520" t="s">
        <v>172</v>
      </c>
      <c r="K2520" t="s">
        <v>38</v>
      </c>
      <c r="L2520">
        <v>2</v>
      </c>
      <c r="M2520">
        <v>859</v>
      </c>
      <c r="N2520">
        <v>171.8</v>
      </c>
      <c r="O2520">
        <v>40</v>
      </c>
      <c r="P2520">
        <v>1718</v>
      </c>
      <c r="Q2520">
        <v>1586.2</v>
      </c>
      <c r="R2520" t="s">
        <v>39</v>
      </c>
      <c r="S2520" t="s">
        <v>31</v>
      </c>
      <c r="T2520" t="s">
        <v>40</v>
      </c>
      <c r="U2520">
        <v>43</v>
      </c>
      <c r="V2520">
        <v>4</v>
      </c>
      <c r="W2520">
        <f>Table2[[#This Row],[Quantity]]*Table2[[#This Row],[Item_Price]]</f>
        <v>1718</v>
      </c>
    </row>
    <row r="2521" spans="1:23" x14ac:dyDescent="0.25">
      <c r="A2521" t="s">
        <v>2620</v>
      </c>
      <c r="B2521" s="1">
        <v>45838</v>
      </c>
      <c r="C2521" t="s">
        <v>2191</v>
      </c>
      <c r="D2521">
        <v>6</v>
      </c>
      <c r="E2521">
        <v>30</v>
      </c>
      <c r="F2521" t="s">
        <v>168</v>
      </c>
      <c r="G2521" t="s">
        <v>84</v>
      </c>
      <c r="H2521" t="s">
        <v>42</v>
      </c>
      <c r="I2521" t="s">
        <v>85</v>
      </c>
      <c r="J2521" t="s">
        <v>28</v>
      </c>
      <c r="K2521" t="s">
        <v>38</v>
      </c>
      <c r="L2521">
        <v>3</v>
      </c>
      <c r="M2521">
        <v>200</v>
      </c>
      <c r="N2521">
        <v>0</v>
      </c>
      <c r="O2521">
        <v>30</v>
      </c>
      <c r="P2521">
        <v>600</v>
      </c>
      <c r="Q2521">
        <v>630</v>
      </c>
      <c r="R2521" t="s">
        <v>39</v>
      </c>
      <c r="S2521" t="s">
        <v>31</v>
      </c>
      <c r="T2521" t="s">
        <v>32</v>
      </c>
      <c r="U2521">
        <v>41</v>
      </c>
      <c r="V2521">
        <v>4.8</v>
      </c>
      <c r="W2521">
        <f>Table2[[#This Row],[Quantity]]*Table2[[#This Row],[Item_Price]]</f>
        <v>600</v>
      </c>
    </row>
    <row r="2522" spans="1:23" x14ac:dyDescent="0.25">
      <c r="A2522" t="s">
        <v>2621</v>
      </c>
      <c r="B2522" s="1">
        <v>45838</v>
      </c>
      <c r="C2522" t="s">
        <v>2191</v>
      </c>
      <c r="D2522">
        <v>6</v>
      </c>
      <c r="E2522">
        <v>30</v>
      </c>
      <c r="F2522" t="s">
        <v>168</v>
      </c>
      <c r="G2522" t="s">
        <v>73</v>
      </c>
      <c r="H2522" t="s">
        <v>35</v>
      </c>
      <c r="I2522" t="s">
        <v>85</v>
      </c>
      <c r="J2522" t="s">
        <v>28</v>
      </c>
      <c r="K2522" t="s">
        <v>45</v>
      </c>
      <c r="L2522">
        <v>1</v>
      </c>
      <c r="M2522">
        <v>694</v>
      </c>
      <c r="N2522">
        <v>138.80000000000001</v>
      </c>
      <c r="O2522">
        <v>20</v>
      </c>
      <c r="P2522">
        <v>694</v>
      </c>
      <c r="Q2522">
        <v>575.20000000000005</v>
      </c>
      <c r="R2522" t="s">
        <v>30</v>
      </c>
      <c r="S2522" t="s">
        <v>31</v>
      </c>
      <c r="T2522" t="s">
        <v>40</v>
      </c>
      <c r="U2522">
        <v>63</v>
      </c>
      <c r="V2522">
        <v>3.9</v>
      </c>
      <c r="W2522">
        <f>Table2[[#This Row],[Quantity]]*Table2[[#This Row],[Item_Price]]</f>
        <v>694</v>
      </c>
    </row>
    <row r="2523" spans="1:23" x14ac:dyDescent="0.25">
      <c r="A2523" t="s">
        <v>2622</v>
      </c>
      <c r="B2523" s="1">
        <v>45838</v>
      </c>
      <c r="C2523" t="s">
        <v>2191</v>
      </c>
      <c r="D2523">
        <v>6</v>
      </c>
      <c r="E2523">
        <v>30</v>
      </c>
      <c r="F2523" t="s">
        <v>168</v>
      </c>
      <c r="G2523" t="s">
        <v>25</v>
      </c>
      <c r="H2523" t="s">
        <v>48</v>
      </c>
      <c r="I2523" t="s">
        <v>103</v>
      </c>
      <c r="J2523" t="s">
        <v>101</v>
      </c>
      <c r="K2523" t="s">
        <v>38</v>
      </c>
      <c r="L2523">
        <v>2</v>
      </c>
      <c r="M2523">
        <v>144</v>
      </c>
      <c r="N2523">
        <v>28.8</v>
      </c>
      <c r="O2523">
        <v>30</v>
      </c>
      <c r="P2523">
        <v>288</v>
      </c>
      <c r="Q2523">
        <v>289.2</v>
      </c>
      <c r="R2523" t="s">
        <v>75</v>
      </c>
      <c r="S2523" t="s">
        <v>46</v>
      </c>
      <c r="T2523" t="s">
        <v>40</v>
      </c>
      <c r="U2523">
        <v>60</v>
      </c>
      <c r="W2523">
        <f>Table2[[#This Row],[Quantity]]*Table2[[#This Row],[Item_Price]]</f>
        <v>288</v>
      </c>
    </row>
    <row r="2524" spans="1:23" x14ac:dyDescent="0.25">
      <c r="A2524" t="s">
        <v>2623</v>
      </c>
      <c r="B2524" s="1">
        <v>45838</v>
      </c>
      <c r="C2524" t="s">
        <v>2191</v>
      </c>
      <c r="D2524">
        <v>6</v>
      </c>
      <c r="E2524">
        <v>30</v>
      </c>
      <c r="F2524" t="s">
        <v>168</v>
      </c>
      <c r="G2524" t="s">
        <v>64</v>
      </c>
      <c r="H2524" t="s">
        <v>77</v>
      </c>
      <c r="I2524" t="s">
        <v>85</v>
      </c>
      <c r="J2524" t="s">
        <v>62</v>
      </c>
      <c r="K2524" t="s">
        <v>38</v>
      </c>
      <c r="L2524">
        <v>2</v>
      </c>
      <c r="M2524">
        <v>420</v>
      </c>
      <c r="N2524">
        <v>63</v>
      </c>
      <c r="O2524">
        <v>50</v>
      </c>
      <c r="P2524">
        <v>840</v>
      </c>
      <c r="Q2524">
        <v>827</v>
      </c>
      <c r="R2524" t="s">
        <v>30</v>
      </c>
      <c r="S2524" t="s">
        <v>31</v>
      </c>
      <c r="T2524" t="s">
        <v>32</v>
      </c>
      <c r="U2524">
        <v>27</v>
      </c>
      <c r="V2524">
        <v>4.5999999999999996</v>
      </c>
      <c r="W2524">
        <f>Table2[[#This Row],[Quantity]]*Table2[[#This Row],[Item_Price]]</f>
        <v>840</v>
      </c>
    </row>
    <row r="2525" spans="1:23" x14ac:dyDescent="0.25">
      <c r="A2525" t="s">
        <v>2624</v>
      </c>
      <c r="B2525" s="1">
        <v>45838</v>
      </c>
      <c r="C2525" t="s">
        <v>2191</v>
      </c>
      <c r="D2525">
        <v>6</v>
      </c>
      <c r="E2525">
        <v>30</v>
      </c>
      <c r="F2525" t="s">
        <v>168</v>
      </c>
      <c r="G2525" t="s">
        <v>64</v>
      </c>
      <c r="H2525" t="s">
        <v>26</v>
      </c>
      <c r="I2525" t="s">
        <v>69</v>
      </c>
      <c r="J2525" t="s">
        <v>94</v>
      </c>
      <c r="K2525" t="s">
        <v>38</v>
      </c>
      <c r="L2525">
        <v>1</v>
      </c>
      <c r="M2525">
        <v>740</v>
      </c>
      <c r="N2525">
        <v>37</v>
      </c>
      <c r="O2525">
        <v>20</v>
      </c>
      <c r="P2525">
        <v>740</v>
      </c>
      <c r="Q2525">
        <v>723</v>
      </c>
      <c r="R2525" t="s">
        <v>98</v>
      </c>
      <c r="S2525" t="s">
        <v>31</v>
      </c>
      <c r="T2525" t="s">
        <v>40</v>
      </c>
      <c r="U2525">
        <v>32</v>
      </c>
      <c r="V2525">
        <v>3.7</v>
      </c>
      <c r="W2525">
        <f>Table2[[#This Row],[Quantity]]*Table2[[#This Row],[Item_Price]]</f>
        <v>740</v>
      </c>
    </row>
    <row r="2526" spans="1:23" x14ac:dyDescent="0.25">
      <c r="A2526" t="s">
        <v>2625</v>
      </c>
      <c r="B2526" s="1">
        <v>45838</v>
      </c>
      <c r="C2526" t="s">
        <v>2191</v>
      </c>
      <c r="D2526">
        <v>6</v>
      </c>
      <c r="E2526">
        <v>30</v>
      </c>
      <c r="F2526" t="s">
        <v>168</v>
      </c>
      <c r="G2526" t="s">
        <v>80</v>
      </c>
      <c r="H2526" t="s">
        <v>60</v>
      </c>
      <c r="I2526" t="s">
        <v>43</v>
      </c>
      <c r="J2526" t="s">
        <v>37</v>
      </c>
      <c r="K2526" t="s">
        <v>38</v>
      </c>
      <c r="L2526">
        <v>3</v>
      </c>
      <c r="M2526">
        <v>391</v>
      </c>
      <c r="N2526">
        <v>78.2</v>
      </c>
      <c r="O2526">
        <v>0</v>
      </c>
      <c r="P2526">
        <v>1173</v>
      </c>
      <c r="Q2526">
        <v>1094.8</v>
      </c>
      <c r="R2526" t="s">
        <v>30</v>
      </c>
      <c r="S2526" t="s">
        <v>46</v>
      </c>
      <c r="T2526" t="s">
        <v>32</v>
      </c>
      <c r="U2526">
        <v>67</v>
      </c>
      <c r="W2526">
        <f>Table2[[#This Row],[Quantity]]*Table2[[#This Row],[Item_Price]]</f>
        <v>1173</v>
      </c>
    </row>
    <row r="2527" spans="1:23" x14ac:dyDescent="0.25">
      <c r="A2527" t="s">
        <v>2626</v>
      </c>
      <c r="B2527" s="1">
        <v>45838</v>
      </c>
      <c r="C2527" t="s">
        <v>2191</v>
      </c>
      <c r="D2527">
        <v>6</v>
      </c>
      <c r="E2527">
        <v>30</v>
      </c>
      <c r="F2527" t="s">
        <v>168</v>
      </c>
      <c r="G2527" t="s">
        <v>115</v>
      </c>
      <c r="H2527" t="s">
        <v>135</v>
      </c>
      <c r="I2527" t="s">
        <v>103</v>
      </c>
      <c r="J2527" t="s">
        <v>94</v>
      </c>
      <c r="K2527" t="s">
        <v>38</v>
      </c>
      <c r="L2527">
        <v>2</v>
      </c>
      <c r="M2527">
        <v>535</v>
      </c>
      <c r="N2527">
        <v>80.25</v>
      </c>
      <c r="O2527">
        <v>30</v>
      </c>
      <c r="P2527">
        <v>1070</v>
      </c>
      <c r="Q2527">
        <v>1019.75</v>
      </c>
      <c r="R2527" t="s">
        <v>30</v>
      </c>
      <c r="S2527" t="s">
        <v>91</v>
      </c>
      <c r="T2527" t="s">
        <v>40</v>
      </c>
      <c r="U2527">
        <v>47</v>
      </c>
      <c r="W2527">
        <f>Table2[[#This Row],[Quantity]]*Table2[[#This Row],[Item_Price]]</f>
        <v>1070</v>
      </c>
    </row>
    <row r="2528" spans="1:23" x14ac:dyDescent="0.25">
      <c r="A2528" t="s">
        <v>2627</v>
      </c>
      <c r="B2528" s="1">
        <v>45838</v>
      </c>
      <c r="C2528" t="s">
        <v>2191</v>
      </c>
      <c r="D2528">
        <v>6</v>
      </c>
      <c r="E2528">
        <v>30</v>
      </c>
      <c r="F2528" t="s">
        <v>168</v>
      </c>
      <c r="G2528" t="s">
        <v>80</v>
      </c>
      <c r="H2528" t="s">
        <v>135</v>
      </c>
      <c r="I2528" t="s">
        <v>27</v>
      </c>
      <c r="J2528" t="s">
        <v>44</v>
      </c>
      <c r="K2528" t="s">
        <v>38</v>
      </c>
      <c r="L2528">
        <v>2</v>
      </c>
      <c r="M2528">
        <v>532</v>
      </c>
      <c r="N2528">
        <v>79.8</v>
      </c>
      <c r="O2528">
        <v>20</v>
      </c>
      <c r="P2528">
        <v>1064</v>
      </c>
      <c r="Q2528">
        <v>1004.2</v>
      </c>
      <c r="R2528" t="s">
        <v>30</v>
      </c>
      <c r="S2528" t="s">
        <v>31</v>
      </c>
      <c r="T2528" t="s">
        <v>40</v>
      </c>
      <c r="U2528">
        <v>40</v>
      </c>
      <c r="V2528">
        <v>3</v>
      </c>
      <c r="W2528">
        <f>Table2[[#This Row],[Quantity]]*Table2[[#This Row],[Item_Price]]</f>
        <v>1064</v>
      </c>
    </row>
    <row r="2529" spans="1:23" x14ac:dyDescent="0.25">
      <c r="A2529" t="s">
        <v>2628</v>
      </c>
      <c r="B2529" s="1">
        <v>45838</v>
      </c>
      <c r="C2529" t="s">
        <v>2191</v>
      </c>
      <c r="D2529">
        <v>6</v>
      </c>
      <c r="E2529">
        <v>30</v>
      </c>
      <c r="F2529" t="s">
        <v>168</v>
      </c>
      <c r="G2529" t="s">
        <v>34</v>
      </c>
      <c r="H2529" t="s">
        <v>48</v>
      </c>
      <c r="I2529" t="s">
        <v>36</v>
      </c>
      <c r="J2529" t="s">
        <v>66</v>
      </c>
      <c r="K2529" t="s">
        <v>29</v>
      </c>
      <c r="L2529">
        <v>2</v>
      </c>
      <c r="M2529">
        <v>562</v>
      </c>
      <c r="N2529">
        <v>28.1</v>
      </c>
      <c r="O2529">
        <v>40</v>
      </c>
      <c r="P2529">
        <v>1124</v>
      </c>
      <c r="Q2529">
        <v>1135.9000000000001</v>
      </c>
      <c r="R2529" t="s">
        <v>112</v>
      </c>
      <c r="S2529" t="s">
        <v>31</v>
      </c>
      <c r="T2529" t="s">
        <v>40</v>
      </c>
      <c r="U2529">
        <v>28</v>
      </c>
      <c r="V2529">
        <v>3.7</v>
      </c>
      <c r="W2529">
        <f>Table2[[#This Row],[Quantity]]*Table2[[#This Row],[Item_Price]]</f>
        <v>1124</v>
      </c>
    </row>
    <row r="2530" spans="1:23" x14ac:dyDescent="0.25">
      <c r="A2530" t="s">
        <v>2629</v>
      </c>
      <c r="B2530" s="1">
        <v>45838</v>
      </c>
      <c r="C2530" t="s">
        <v>2191</v>
      </c>
      <c r="D2530">
        <v>6</v>
      </c>
      <c r="E2530">
        <v>30</v>
      </c>
      <c r="F2530" t="s">
        <v>168</v>
      </c>
      <c r="G2530" t="s">
        <v>90</v>
      </c>
      <c r="H2530" t="s">
        <v>26</v>
      </c>
      <c r="I2530" t="s">
        <v>36</v>
      </c>
      <c r="J2530" t="s">
        <v>172</v>
      </c>
      <c r="K2530" t="s">
        <v>38</v>
      </c>
      <c r="L2530">
        <v>1</v>
      </c>
      <c r="M2530">
        <v>278</v>
      </c>
      <c r="N2530">
        <v>0</v>
      </c>
      <c r="O2530">
        <v>30</v>
      </c>
      <c r="P2530">
        <v>278</v>
      </c>
      <c r="Q2530">
        <v>308</v>
      </c>
      <c r="R2530" t="s">
        <v>39</v>
      </c>
      <c r="S2530" t="s">
        <v>31</v>
      </c>
      <c r="T2530" t="s">
        <v>40</v>
      </c>
      <c r="U2530">
        <v>42</v>
      </c>
      <c r="V2530">
        <v>4.4000000000000004</v>
      </c>
      <c r="W2530">
        <f>Table2[[#This Row],[Quantity]]*Table2[[#This Row],[Item_Price]]</f>
        <v>278</v>
      </c>
    </row>
    <row r="2531" spans="1:23" x14ac:dyDescent="0.25">
      <c r="A2531" t="s">
        <v>2630</v>
      </c>
      <c r="B2531" s="1">
        <v>45838</v>
      </c>
      <c r="C2531" t="s">
        <v>2191</v>
      </c>
      <c r="D2531">
        <v>6</v>
      </c>
      <c r="E2531">
        <v>30</v>
      </c>
      <c r="F2531" t="s">
        <v>168</v>
      </c>
      <c r="G2531" t="s">
        <v>90</v>
      </c>
      <c r="H2531" t="s">
        <v>108</v>
      </c>
      <c r="I2531" t="s">
        <v>43</v>
      </c>
      <c r="J2531" t="s">
        <v>53</v>
      </c>
      <c r="K2531" t="s">
        <v>38</v>
      </c>
      <c r="L2531">
        <v>3</v>
      </c>
      <c r="M2531">
        <v>179</v>
      </c>
      <c r="N2531">
        <v>0</v>
      </c>
      <c r="O2531">
        <v>30</v>
      </c>
      <c r="P2531">
        <v>537</v>
      </c>
      <c r="Q2531">
        <v>567</v>
      </c>
      <c r="R2531" t="s">
        <v>39</v>
      </c>
      <c r="S2531" t="s">
        <v>31</v>
      </c>
      <c r="T2531" t="s">
        <v>40</v>
      </c>
      <c r="U2531">
        <v>34</v>
      </c>
      <c r="V2531">
        <v>4</v>
      </c>
      <c r="W2531">
        <f>Table2[[#This Row],[Quantity]]*Table2[[#This Row],[Item_Price]]</f>
        <v>537</v>
      </c>
    </row>
    <row r="2532" spans="1:23" x14ac:dyDescent="0.25">
      <c r="A2532" t="s">
        <v>2631</v>
      </c>
      <c r="B2532" s="1">
        <v>45839</v>
      </c>
      <c r="C2532" t="s">
        <v>2632</v>
      </c>
      <c r="D2532">
        <v>7</v>
      </c>
      <c r="E2532">
        <v>1</v>
      </c>
      <c r="F2532" t="s">
        <v>178</v>
      </c>
      <c r="G2532" t="s">
        <v>80</v>
      </c>
      <c r="H2532" t="s">
        <v>105</v>
      </c>
      <c r="I2532" t="s">
        <v>27</v>
      </c>
      <c r="J2532" t="s">
        <v>53</v>
      </c>
      <c r="K2532" t="s">
        <v>38</v>
      </c>
      <c r="L2532">
        <v>2</v>
      </c>
      <c r="M2532">
        <v>205</v>
      </c>
      <c r="N2532">
        <v>20.5</v>
      </c>
      <c r="O2532">
        <v>60</v>
      </c>
      <c r="P2532">
        <v>410</v>
      </c>
      <c r="Q2532">
        <v>449.5</v>
      </c>
      <c r="R2532" t="s">
        <v>39</v>
      </c>
      <c r="S2532" t="s">
        <v>91</v>
      </c>
      <c r="T2532" t="s">
        <v>40</v>
      </c>
      <c r="U2532">
        <v>66</v>
      </c>
      <c r="W2532">
        <f>Table2[[#This Row],[Quantity]]*Table2[[#This Row],[Item_Price]]</f>
        <v>410</v>
      </c>
    </row>
    <row r="2533" spans="1:23" x14ac:dyDescent="0.25">
      <c r="A2533" t="s">
        <v>2633</v>
      </c>
      <c r="B2533" s="1">
        <v>45839</v>
      </c>
      <c r="C2533" t="s">
        <v>2632</v>
      </c>
      <c r="D2533">
        <v>7</v>
      </c>
      <c r="E2533">
        <v>1</v>
      </c>
      <c r="F2533" t="s">
        <v>178</v>
      </c>
      <c r="G2533" t="s">
        <v>84</v>
      </c>
      <c r="H2533" t="s">
        <v>42</v>
      </c>
      <c r="I2533" t="s">
        <v>27</v>
      </c>
      <c r="J2533" t="s">
        <v>94</v>
      </c>
      <c r="K2533" t="s">
        <v>38</v>
      </c>
      <c r="L2533">
        <v>3</v>
      </c>
      <c r="M2533">
        <v>726</v>
      </c>
      <c r="N2533">
        <v>145.19999999999999</v>
      </c>
      <c r="O2533">
        <v>0</v>
      </c>
      <c r="P2533">
        <v>2178</v>
      </c>
      <c r="Q2533">
        <v>2032.8</v>
      </c>
      <c r="R2533" t="s">
        <v>75</v>
      </c>
      <c r="S2533" t="s">
        <v>91</v>
      </c>
      <c r="T2533" t="s">
        <v>40</v>
      </c>
      <c r="U2533">
        <v>68</v>
      </c>
      <c r="W2533">
        <f>Table2[[#This Row],[Quantity]]*Table2[[#This Row],[Item_Price]]</f>
        <v>2178</v>
      </c>
    </row>
    <row r="2534" spans="1:23" x14ac:dyDescent="0.25">
      <c r="A2534" t="s">
        <v>2634</v>
      </c>
      <c r="B2534" s="1">
        <v>45839</v>
      </c>
      <c r="C2534" t="s">
        <v>2632</v>
      </c>
      <c r="D2534">
        <v>7</v>
      </c>
      <c r="E2534">
        <v>1</v>
      </c>
      <c r="F2534" t="s">
        <v>178</v>
      </c>
      <c r="G2534" t="s">
        <v>64</v>
      </c>
      <c r="H2534" t="s">
        <v>77</v>
      </c>
      <c r="I2534" t="s">
        <v>97</v>
      </c>
      <c r="J2534" t="s">
        <v>66</v>
      </c>
      <c r="K2534" t="s">
        <v>38</v>
      </c>
      <c r="L2534">
        <v>1</v>
      </c>
      <c r="M2534">
        <v>863</v>
      </c>
      <c r="N2534">
        <v>172.6</v>
      </c>
      <c r="O2534">
        <v>40</v>
      </c>
      <c r="P2534">
        <v>863</v>
      </c>
      <c r="Q2534">
        <v>730.4</v>
      </c>
      <c r="R2534" t="s">
        <v>98</v>
      </c>
      <c r="S2534" t="s">
        <v>31</v>
      </c>
      <c r="T2534" t="s">
        <v>40</v>
      </c>
      <c r="U2534">
        <v>67</v>
      </c>
      <c r="V2534">
        <v>4.9000000000000004</v>
      </c>
      <c r="W2534">
        <f>Table2[[#This Row],[Quantity]]*Table2[[#This Row],[Item_Price]]</f>
        <v>863</v>
      </c>
    </row>
    <row r="2535" spans="1:23" x14ac:dyDescent="0.25">
      <c r="A2535" t="s">
        <v>2635</v>
      </c>
      <c r="B2535" s="1">
        <v>45839</v>
      </c>
      <c r="C2535" t="s">
        <v>2632</v>
      </c>
      <c r="D2535">
        <v>7</v>
      </c>
      <c r="E2535">
        <v>1</v>
      </c>
      <c r="F2535" t="s">
        <v>178</v>
      </c>
      <c r="G2535" t="s">
        <v>64</v>
      </c>
      <c r="H2535" t="s">
        <v>52</v>
      </c>
      <c r="I2535" t="s">
        <v>103</v>
      </c>
      <c r="J2535" t="s">
        <v>101</v>
      </c>
      <c r="K2535" t="s">
        <v>38</v>
      </c>
      <c r="L2535">
        <v>1</v>
      </c>
      <c r="M2535">
        <v>752</v>
      </c>
      <c r="N2535">
        <v>75.2</v>
      </c>
      <c r="O2535">
        <v>30</v>
      </c>
      <c r="P2535">
        <v>752</v>
      </c>
      <c r="Q2535">
        <v>706.8</v>
      </c>
      <c r="R2535" t="s">
        <v>75</v>
      </c>
      <c r="S2535" t="s">
        <v>31</v>
      </c>
      <c r="T2535" t="s">
        <v>40</v>
      </c>
      <c r="U2535">
        <v>56</v>
      </c>
      <c r="V2535">
        <v>4.3</v>
      </c>
      <c r="W2535">
        <f>Table2[[#This Row],[Quantity]]*Table2[[#This Row],[Item_Price]]</f>
        <v>752</v>
      </c>
    </row>
    <row r="2536" spans="1:23" x14ac:dyDescent="0.25">
      <c r="A2536" t="s">
        <v>2636</v>
      </c>
      <c r="B2536" s="1">
        <v>45839</v>
      </c>
      <c r="C2536" t="s">
        <v>2632</v>
      </c>
      <c r="D2536">
        <v>7</v>
      </c>
      <c r="E2536">
        <v>1</v>
      </c>
      <c r="F2536" t="s">
        <v>178</v>
      </c>
      <c r="G2536" t="s">
        <v>90</v>
      </c>
      <c r="H2536" t="s">
        <v>56</v>
      </c>
      <c r="I2536" t="s">
        <v>57</v>
      </c>
      <c r="J2536" t="s">
        <v>123</v>
      </c>
      <c r="K2536" t="s">
        <v>38</v>
      </c>
      <c r="L2536">
        <v>1</v>
      </c>
      <c r="M2536">
        <v>715</v>
      </c>
      <c r="N2536">
        <v>107.25</v>
      </c>
      <c r="O2536">
        <v>20</v>
      </c>
      <c r="P2536">
        <v>715</v>
      </c>
      <c r="Q2536">
        <v>627.75</v>
      </c>
      <c r="R2536" t="s">
        <v>39</v>
      </c>
      <c r="S2536" t="s">
        <v>31</v>
      </c>
      <c r="T2536" t="s">
        <v>40</v>
      </c>
      <c r="U2536">
        <v>69</v>
      </c>
      <c r="V2536">
        <v>4.7</v>
      </c>
      <c r="W2536">
        <f>Table2[[#This Row],[Quantity]]*Table2[[#This Row],[Item_Price]]</f>
        <v>715</v>
      </c>
    </row>
    <row r="2537" spans="1:23" x14ac:dyDescent="0.25">
      <c r="A2537" t="s">
        <v>2637</v>
      </c>
      <c r="B2537" s="1">
        <v>45839</v>
      </c>
      <c r="C2537" t="s">
        <v>2632</v>
      </c>
      <c r="D2537">
        <v>7</v>
      </c>
      <c r="E2537">
        <v>1</v>
      </c>
      <c r="F2537" t="s">
        <v>178</v>
      </c>
      <c r="G2537" t="s">
        <v>96</v>
      </c>
      <c r="H2537" t="s">
        <v>48</v>
      </c>
      <c r="I2537" t="s">
        <v>69</v>
      </c>
      <c r="J2537" t="s">
        <v>70</v>
      </c>
      <c r="K2537" t="s">
        <v>45</v>
      </c>
      <c r="L2537">
        <v>1</v>
      </c>
      <c r="M2537">
        <v>829</v>
      </c>
      <c r="N2537">
        <v>207.25</v>
      </c>
      <c r="O2537">
        <v>40</v>
      </c>
      <c r="P2537">
        <v>829</v>
      </c>
      <c r="Q2537">
        <v>661.75</v>
      </c>
      <c r="R2537" t="s">
        <v>75</v>
      </c>
      <c r="S2537" t="s">
        <v>31</v>
      </c>
      <c r="T2537" t="s">
        <v>32</v>
      </c>
      <c r="U2537">
        <v>28</v>
      </c>
      <c r="V2537">
        <v>4.5</v>
      </c>
      <c r="W2537">
        <f>Table2[[#This Row],[Quantity]]*Table2[[#This Row],[Item_Price]]</f>
        <v>829</v>
      </c>
    </row>
    <row r="2538" spans="1:23" x14ac:dyDescent="0.25">
      <c r="A2538" t="s">
        <v>2638</v>
      </c>
      <c r="B2538" s="1">
        <v>45839</v>
      </c>
      <c r="C2538" t="s">
        <v>2632</v>
      </c>
      <c r="D2538">
        <v>7</v>
      </c>
      <c r="E2538">
        <v>1</v>
      </c>
      <c r="F2538" t="s">
        <v>178</v>
      </c>
      <c r="G2538" t="s">
        <v>90</v>
      </c>
      <c r="H2538" t="s">
        <v>108</v>
      </c>
      <c r="I2538" t="s">
        <v>57</v>
      </c>
      <c r="J2538" t="s">
        <v>78</v>
      </c>
      <c r="K2538" t="s">
        <v>38</v>
      </c>
      <c r="L2538">
        <v>2</v>
      </c>
      <c r="M2538">
        <v>173</v>
      </c>
      <c r="N2538">
        <v>17.3</v>
      </c>
      <c r="O2538">
        <v>20</v>
      </c>
      <c r="P2538">
        <v>346</v>
      </c>
      <c r="Q2538">
        <v>348.7</v>
      </c>
      <c r="R2538" t="s">
        <v>39</v>
      </c>
      <c r="S2538" t="s">
        <v>31</v>
      </c>
      <c r="T2538" t="s">
        <v>40</v>
      </c>
      <c r="U2538">
        <v>37</v>
      </c>
      <c r="V2538">
        <v>4</v>
      </c>
      <c r="W2538">
        <f>Table2[[#This Row],[Quantity]]*Table2[[#This Row],[Item_Price]]</f>
        <v>346</v>
      </c>
    </row>
    <row r="2539" spans="1:23" x14ac:dyDescent="0.25">
      <c r="A2539" t="s">
        <v>2639</v>
      </c>
      <c r="B2539" s="1">
        <v>45839</v>
      </c>
      <c r="C2539" t="s">
        <v>2632</v>
      </c>
      <c r="D2539">
        <v>7</v>
      </c>
      <c r="E2539">
        <v>1</v>
      </c>
      <c r="F2539" t="s">
        <v>178</v>
      </c>
      <c r="G2539" t="s">
        <v>80</v>
      </c>
      <c r="H2539" t="s">
        <v>42</v>
      </c>
      <c r="I2539" t="s">
        <v>57</v>
      </c>
      <c r="J2539" t="s">
        <v>82</v>
      </c>
      <c r="K2539" t="s">
        <v>38</v>
      </c>
      <c r="L2539">
        <v>1</v>
      </c>
      <c r="M2539">
        <v>382</v>
      </c>
      <c r="N2539">
        <v>0</v>
      </c>
      <c r="O2539">
        <v>20</v>
      </c>
      <c r="P2539">
        <v>382</v>
      </c>
      <c r="Q2539">
        <v>402</v>
      </c>
      <c r="R2539" t="s">
        <v>39</v>
      </c>
      <c r="S2539" t="s">
        <v>31</v>
      </c>
      <c r="T2539" t="s">
        <v>40</v>
      </c>
      <c r="U2539">
        <v>34</v>
      </c>
      <c r="V2539">
        <v>3.2</v>
      </c>
      <c r="W2539">
        <f>Table2[[#This Row],[Quantity]]*Table2[[#This Row],[Item_Price]]</f>
        <v>382</v>
      </c>
    </row>
    <row r="2540" spans="1:23" x14ac:dyDescent="0.25">
      <c r="A2540" t="s">
        <v>2640</v>
      </c>
      <c r="B2540" s="1">
        <v>45839</v>
      </c>
      <c r="C2540" t="s">
        <v>2632</v>
      </c>
      <c r="D2540">
        <v>7</v>
      </c>
      <c r="E2540">
        <v>1</v>
      </c>
      <c r="F2540" t="s">
        <v>178</v>
      </c>
      <c r="G2540" t="s">
        <v>64</v>
      </c>
      <c r="H2540" t="s">
        <v>135</v>
      </c>
      <c r="I2540" t="s">
        <v>49</v>
      </c>
      <c r="J2540" t="s">
        <v>94</v>
      </c>
      <c r="K2540" t="s">
        <v>38</v>
      </c>
      <c r="L2540">
        <v>3</v>
      </c>
      <c r="M2540">
        <v>500</v>
      </c>
      <c r="N2540">
        <v>50</v>
      </c>
      <c r="O2540">
        <v>60</v>
      </c>
      <c r="P2540">
        <v>1500</v>
      </c>
      <c r="Q2540">
        <v>1510</v>
      </c>
      <c r="R2540" t="s">
        <v>98</v>
      </c>
      <c r="S2540" t="s">
        <v>31</v>
      </c>
      <c r="T2540" t="s">
        <v>40</v>
      </c>
      <c r="U2540">
        <v>56</v>
      </c>
      <c r="V2540">
        <v>4.5</v>
      </c>
      <c r="W2540">
        <f>Table2[[#This Row],[Quantity]]*Table2[[#This Row],[Item_Price]]</f>
        <v>1500</v>
      </c>
    </row>
    <row r="2541" spans="1:23" x14ac:dyDescent="0.25">
      <c r="A2541" t="s">
        <v>2641</v>
      </c>
      <c r="B2541" s="1">
        <v>45839</v>
      </c>
      <c r="C2541" t="s">
        <v>2632</v>
      </c>
      <c r="D2541">
        <v>7</v>
      </c>
      <c r="E2541">
        <v>1</v>
      </c>
      <c r="F2541" t="s">
        <v>178</v>
      </c>
      <c r="G2541" t="s">
        <v>73</v>
      </c>
      <c r="H2541" t="s">
        <v>135</v>
      </c>
      <c r="I2541" t="s">
        <v>36</v>
      </c>
      <c r="J2541" t="s">
        <v>101</v>
      </c>
      <c r="K2541" t="s">
        <v>38</v>
      </c>
      <c r="L2541">
        <v>2</v>
      </c>
      <c r="M2541">
        <v>185</v>
      </c>
      <c r="N2541">
        <v>0</v>
      </c>
      <c r="O2541">
        <v>50</v>
      </c>
      <c r="P2541">
        <v>370</v>
      </c>
      <c r="Q2541">
        <v>420</v>
      </c>
      <c r="R2541" t="s">
        <v>75</v>
      </c>
      <c r="S2541" t="s">
        <v>31</v>
      </c>
      <c r="T2541" t="s">
        <v>40</v>
      </c>
      <c r="U2541">
        <v>24</v>
      </c>
      <c r="V2541">
        <v>3.5</v>
      </c>
      <c r="W2541">
        <f>Table2[[#This Row],[Quantity]]*Table2[[#This Row],[Item_Price]]</f>
        <v>370</v>
      </c>
    </row>
    <row r="2542" spans="1:23" x14ac:dyDescent="0.25">
      <c r="A2542" t="s">
        <v>2642</v>
      </c>
      <c r="B2542" s="1">
        <v>45839</v>
      </c>
      <c r="C2542" t="s">
        <v>2632</v>
      </c>
      <c r="D2542">
        <v>7</v>
      </c>
      <c r="E2542">
        <v>1</v>
      </c>
      <c r="F2542" t="s">
        <v>178</v>
      </c>
      <c r="G2542" t="s">
        <v>55</v>
      </c>
      <c r="H2542" t="s">
        <v>52</v>
      </c>
      <c r="I2542" t="s">
        <v>103</v>
      </c>
      <c r="J2542" t="s">
        <v>78</v>
      </c>
      <c r="K2542" t="s">
        <v>38</v>
      </c>
      <c r="L2542">
        <v>1</v>
      </c>
      <c r="M2542">
        <v>429</v>
      </c>
      <c r="N2542">
        <v>42.9</v>
      </c>
      <c r="O2542">
        <v>60</v>
      </c>
      <c r="P2542">
        <v>429</v>
      </c>
      <c r="Q2542">
        <v>446.1</v>
      </c>
      <c r="R2542" t="s">
        <v>75</v>
      </c>
      <c r="S2542" t="s">
        <v>31</v>
      </c>
      <c r="T2542" t="s">
        <v>40</v>
      </c>
      <c r="U2542">
        <v>54</v>
      </c>
      <c r="V2542">
        <v>4.9000000000000004</v>
      </c>
      <c r="W2542">
        <f>Table2[[#This Row],[Quantity]]*Table2[[#This Row],[Item_Price]]</f>
        <v>429</v>
      </c>
    </row>
    <row r="2543" spans="1:23" x14ac:dyDescent="0.25">
      <c r="A2543" t="s">
        <v>2643</v>
      </c>
      <c r="B2543" s="1">
        <v>45839</v>
      </c>
      <c r="C2543" t="s">
        <v>2632</v>
      </c>
      <c r="D2543">
        <v>7</v>
      </c>
      <c r="E2543">
        <v>1</v>
      </c>
      <c r="F2543" t="s">
        <v>178</v>
      </c>
      <c r="G2543" t="s">
        <v>34</v>
      </c>
      <c r="H2543" t="s">
        <v>135</v>
      </c>
      <c r="I2543" t="s">
        <v>61</v>
      </c>
      <c r="J2543" t="s">
        <v>172</v>
      </c>
      <c r="K2543" t="s">
        <v>38</v>
      </c>
      <c r="L2543">
        <v>3</v>
      </c>
      <c r="M2543">
        <v>699</v>
      </c>
      <c r="N2543">
        <v>0</v>
      </c>
      <c r="O2543">
        <v>40</v>
      </c>
      <c r="P2543">
        <v>2097</v>
      </c>
      <c r="Q2543">
        <v>2137</v>
      </c>
      <c r="R2543" t="s">
        <v>39</v>
      </c>
      <c r="S2543" t="s">
        <v>31</v>
      </c>
      <c r="T2543" t="s">
        <v>32</v>
      </c>
      <c r="U2543">
        <v>53</v>
      </c>
      <c r="V2543">
        <v>4.4000000000000004</v>
      </c>
      <c r="W2543">
        <f>Table2[[#This Row],[Quantity]]*Table2[[#This Row],[Item_Price]]</f>
        <v>2097</v>
      </c>
    </row>
    <row r="2544" spans="1:23" x14ac:dyDescent="0.25">
      <c r="A2544" t="s">
        <v>2644</v>
      </c>
      <c r="B2544" s="1">
        <v>45839</v>
      </c>
      <c r="C2544" t="s">
        <v>2632</v>
      </c>
      <c r="D2544">
        <v>7</v>
      </c>
      <c r="E2544">
        <v>1</v>
      </c>
      <c r="F2544" t="s">
        <v>178</v>
      </c>
      <c r="G2544" t="s">
        <v>80</v>
      </c>
      <c r="H2544" t="s">
        <v>105</v>
      </c>
      <c r="I2544" t="s">
        <v>43</v>
      </c>
      <c r="J2544" t="s">
        <v>172</v>
      </c>
      <c r="K2544" t="s">
        <v>38</v>
      </c>
      <c r="L2544">
        <v>1</v>
      </c>
      <c r="M2544">
        <v>748</v>
      </c>
      <c r="N2544">
        <v>112.2</v>
      </c>
      <c r="O2544">
        <v>0</v>
      </c>
      <c r="P2544">
        <v>748</v>
      </c>
      <c r="Q2544">
        <v>635.79999999999995</v>
      </c>
      <c r="R2544" t="s">
        <v>39</v>
      </c>
      <c r="S2544" t="s">
        <v>31</v>
      </c>
      <c r="T2544" t="s">
        <v>40</v>
      </c>
      <c r="U2544">
        <v>62</v>
      </c>
      <c r="V2544">
        <v>4.5</v>
      </c>
      <c r="W2544">
        <f>Table2[[#This Row],[Quantity]]*Table2[[#This Row],[Item_Price]]</f>
        <v>748</v>
      </c>
    </row>
    <row r="2545" spans="1:23" x14ac:dyDescent="0.25">
      <c r="A2545" t="s">
        <v>2645</v>
      </c>
      <c r="B2545" s="1">
        <v>45840</v>
      </c>
      <c r="C2545" t="s">
        <v>2632</v>
      </c>
      <c r="D2545">
        <v>7</v>
      </c>
      <c r="E2545">
        <v>2</v>
      </c>
      <c r="F2545" t="s">
        <v>24</v>
      </c>
      <c r="G2545" t="s">
        <v>34</v>
      </c>
      <c r="H2545" t="s">
        <v>52</v>
      </c>
      <c r="I2545" t="s">
        <v>36</v>
      </c>
      <c r="J2545" t="s">
        <v>74</v>
      </c>
      <c r="K2545" t="s">
        <v>38</v>
      </c>
      <c r="L2545">
        <v>1</v>
      </c>
      <c r="M2545">
        <v>456</v>
      </c>
      <c r="N2545">
        <v>114</v>
      </c>
      <c r="O2545">
        <v>30</v>
      </c>
      <c r="P2545">
        <v>456</v>
      </c>
      <c r="Q2545">
        <v>372</v>
      </c>
      <c r="R2545" t="s">
        <v>30</v>
      </c>
      <c r="S2545" t="s">
        <v>31</v>
      </c>
      <c r="T2545" t="s">
        <v>32</v>
      </c>
      <c r="U2545">
        <v>58</v>
      </c>
      <c r="V2545">
        <v>3.8</v>
      </c>
      <c r="W2545">
        <f>Table2[[#This Row],[Quantity]]*Table2[[#This Row],[Item_Price]]</f>
        <v>456</v>
      </c>
    </row>
    <row r="2546" spans="1:23" x14ac:dyDescent="0.25">
      <c r="A2546" t="s">
        <v>2646</v>
      </c>
      <c r="B2546" s="1">
        <v>45840</v>
      </c>
      <c r="C2546" t="s">
        <v>2632</v>
      </c>
      <c r="D2546">
        <v>7</v>
      </c>
      <c r="E2546">
        <v>2</v>
      </c>
      <c r="F2546" t="s">
        <v>24</v>
      </c>
      <c r="G2546" t="s">
        <v>64</v>
      </c>
      <c r="H2546" t="s">
        <v>77</v>
      </c>
      <c r="I2546" t="s">
        <v>43</v>
      </c>
      <c r="J2546" t="s">
        <v>53</v>
      </c>
      <c r="K2546" t="s">
        <v>38</v>
      </c>
      <c r="L2546">
        <v>2</v>
      </c>
      <c r="M2546">
        <v>502</v>
      </c>
      <c r="N2546">
        <v>75.3</v>
      </c>
      <c r="O2546">
        <v>40</v>
      </c>
      <c r="P2546">
        <v>1004</v>
      </c>
      <c r="Q2546">
        <v>968.7</v>
      </c>
      <c r="R2546" t="s">
        <v>30</v>
      </c>
      <c r="S2546" t="s">
        <v>91</v>
      </c>
      <c r="T2546" t="s">
        <v>40</v>
      </c>
      <c r="U2546">
        <v>69</v>
      </c>
      <c r="W2546">
        <f>Table2[[#This Row],[Quantity]]*Table2[[#This Row],[Item_Price]]</f>
        <v>1004</v>
      </c>
    </row>
    <row r="2547" spans="1:23" x14ac:dyDescent="0.25">
      <c r="A2547" t="s">
        <v>2647</v>
      </c>
      <c r="B2547" s="1">
        <v>45840</v>
      </c>
      <c r="C2547" t="s">
        <v>2632</v>
      </c>
      <c r="D2547">
        <v>7</v>
      </c>
      <c r="E2547">
        <v>2</v>
      </c>
      <c r="F2547" t="s">
        <v>24</v>
      </c>
      <c r="G2547" t="s">
        <v>73</v>
      </c>
      <c r="H2547" t="s">
        <v>26</v>
      </c>
      <c r="I2547" t="s">
        <v>61</v>
      </c>
      <c r="J2547" t="s">
        <v>101</v>
      </c>
      <c r="K2547" t="s">
        <v>38</v>
      </c>
      <c r="L2547">
        <v>1</v>
      </c>
      <c r="M2547">
        <v>727</v>
      </c>
      <c r="N2547">
        <v>72.7</v>
      </c>
      <c r="O2547">
        <v>60</v>
      </c>
      <c r="P2547">
        <v>727</v>
      </c>
      <c r="Q2547">
        <v>714.3</v>
      </c>
      <c r="R2547" t="s">
        <v>39</v>
      </c>
      <c r="S2547" t="s">
        <v>31</v>
      </c>
      <c r="T2547" t="s">
        <v>40</v>
      </c>
      <c r="U2547">
        <v>36</v>
      </c>
      <c r="V2547">
        <v>3.1</v>
      </c>
      <c r="W2547">
        <f>Table2[[#This Row],[Quantity]]*Table2[[#This Row],[Item_Price]]</f>
        <v>727</v>
      </c>
    </row>
    <row r="2548" spans="1:23" x14ac:dyDescent="0.25">
      <c r="A2548" t="s">
        <v>2648</v>
      </c>
      <c r="B2548" s="1">
        <v>45840</v>
      </c>
      <c r="C2548" t="s">
        <v>2632</v>
      </c>
      <c r="D2548">
        <v>7</v>
      </c>
      <c r="E2548">
        <v>2</v>
      </c>
      <c r="F2548" t="s">
        <v>24</v>
      </c>
      <c r="G2548" t="s">
        <v>80</v>
      </c>
      <c r="H2548" t="s">
        <v>26</v>
      </c>
      <c r="I2548" t="s">
        <v>57</v>
      </c>
      <c r="J2548" t="s">
        <v>62</v>
      </c>
      <c r="K2548" t="s">
        <v>38</v>
      </c>
      <c r="L2548">
        <v>3</v>
      </c>
      <c r="M2548">
        <v>810</v>
      </c>
      <c r="N2548">
        <v>0</v>
      </c>
      <c r="O2548">
        <v>40</v>
      </c>
      <c r="P2548">
        <v>2430</v>
      </c>
      <c r="Q2548">
        <v>2470</v>
      </c>
      <c r="R2548" t="s">
        <v>98</v>
      </c>
      <c r="S2548" t="s">
        <v>31</v>
      </c>
      <c r="T2548" t="s">
        <v>32</v>
      </c>
      <c r="U2548">
        <v>19</v>
      </c>
      <c r="V2548">
        <v>4.2</v>
      </c>
      <c r="W2548">
        <f>Table2[[#This Row],[Quantity]]*Table2[[#This Row],[Item_Price]]</f>
        <v>2430</v>
      </c>
    </row>
    <row r="2549" spans="1:23" x14ac:dyDescent="0.25">
      <c r="A2549" t="s">
        <v>2649</v>
      </c>
      <c r="B2549" s="1">
        <v>45840</v>
      </c>
      <c r="C2549" t="s">
        <v>2632</v>
      </c>
      <c r="D2549">
        <v>7</v>
      </c>
      <c r="E2549">
        <v>2</v>
      </c>
      <c r="F2549" t="s">
        <v>24</v>
      </c>
      <c r="G2549" t="s">
        <v>34</v>
      </c>
      <c r="H2549" t="s">
        <v>65</v>
      </c>
      <c r="I2549" t="s">
        <v>27</v>
      </c>
      <c r="J2549" t="s">
        <v>78</v>
      </c>
      <c r="K2549" t="s">
        <v>29</v>
      </c>
      <c r="L2549">
        <v>3</v>
      </c>
      <c r="M2549">
        <v>135</v>
      </c>
      <c r="N2549">
        <v>6.75</v>
      </c>
      <c r="O2549">
        <v>50</v>
      </c>
      <c r="P2549">
        <v>405</v>
      </c>
      <c r="Q2549">
        <v>448.25</v>
      </c>
      <c r="R2549" t="s">
        <v>112</v>
      </c>
      <c r="S2549" t="s">
        <v>31</v>
      </c>
      <c r="T2549" t="s">
        <v>40</v>
      </c>
      <c r="U2549">
        <v>69</v>
      </c>
      <c r="V2549">
        <v>3.9</v>
      </c>
      <c r="W2549">
        <f>Table2[[#This Row],[Quantity]]*Table2[[#This Row],[Item_Price]]</f>
        <v>405</v>
      </c>
    </row>
    <row r="2550" spans="1:23" x14ac:dyDescent="0.25">
      <c r="A2550" t="s">
        <v>2650</v>
      </c>
      <c r="B2550" s="1">
        <v>45840</v>
      </c>
      <c r="C2550" t="s">
        <v>2632</v>
      </c>
      <c r="D2550">
        <v>7</v>
      </c>
      <c r="E2550">
        <v>2</v>
      </c>
      <c r="F2550" t="s">
        <v>24</v>
      </c>
      <c r="G2550" t="s">
        <v>80</v>
      </c>
      <c r="H2550" t="s">
        <v>68</v>
      </c>
      <c r="I2550" t="s">
        <v>61</v>
      </c>
      <c r="J2550" t="s">
        <v>62</v>
      </c>
      <c r="K2550" t="s">
        <v>45</v>
      </c>
      <c r="L2550">
        <v>1</v>
      </c>
      <c r="M2550">
        <v>158</v>
      </c>
      <c r="N2550">
        <v>31.6</v>
      </c>
      <c r="O2550">
        <v>20</v>
      </c>
      <c r="P2550">
        <v>158</v>
      </c>
      <c r="Q2550">
        <v>146.4</v>
      </c>
      <c r="R2550" t="s">
        <v>39</v>
      </c>
      <c r="S2550" t="s">
        <v>31</v>
      </c>
      <c r="T2550" t="s">
        <v>32</v>
      </c>
      <c r="U2550">
        <v>28</v>
      </c>
      <c r="V2550">
        <v>4.0999999999999996</v>
      </c>
      <c r="W2550">
        <f>Table2[[#This Row],[Quantity]]*Table2[[#This Row],[Item_Price]]</f>
        <v>158</v>
      </c>
    </row>
    <row r="2551" spans="1:23" x14ac:dyDescent="0.25">
      <c r="A2551" t="s">
        <v>2651</v>
      </c>
      <c r="B2551" s="1">
        <v>45840</v>
      </c>
      <c r="C2551" t="s">
        <v>2632</v>
      </c>
      <c r="D2551">
        <v>7</v>
      </c>
      <c r="E2551">
        <v>2</v>
      </c>
      <c r="F2551" t="s">
        <v>24</v>
      </c>
      <c r="G2551" t="s">
        <v>34</v>
      </c>
      <c r="H2551" t="s">
        <v>42</v>
      </c>
      <c r="I2551" t="s">
        <v>61</v>
      </c>
      <c r="J2551" t="s">
        <v>62</v>
      </c>
      <c r="K2551" t="s">
        <v>38</v>
      </c>
      <c r="L2551">
        <v>1</v>
      </c>
      <c r="M2551">
        <v>675</v>
      </c>
      <c r="N2551">
        <v>101.25</v>
      </c>
      <c r="O2551">
        <v>20</v>
      </c>
      <c r="P2551">
        <v>675</v>
      </c>
      <c r="Q2551">
        <v>593.75</v>
      </c>
      <c r="R2551" t="s">
        <v>39</v>
      </c>
      <c r="S2551" t="s">
        <v>31</v>
      </c>
      <c r="T2551" t="s">
        <v>40</v>
      </c>
      <c r="U2551">
        <v>36</v>
      </c>
      <c r="V2551">
        <v>4.5</v>
      </c>
      <c r="W2551">
        <f>Table2[[#This Row],[Quantity]]*Table2[[#This Row],[Item_Price]]</f>
        <v>675</v>
      </c>
    </row>
    <row r="2552" spans="1:23" x14ac:dyDescent="0.25">
      <c r="A2552" t="s">
        <v>2652</v>
      </c>
      <c r="B2552" s="1">
        <v>45840</v>
      </c>
      <c r="C2552" t="s">
        <v>2632</v>
      </c>
      <c r="D2552">
        <v>7</v>
      </c>
      <c r="E2552">
        <v>2</v>
      </c>
      <c r="F2552" t="s">
        <v>24</v>
      </c>
      <c r="G2552" t="s">
        <v>25</v>
      </c>
      <c r="H2552" t="s">
        <v>60</v>
      </c>
      <c r="I2552" t="s">
        <v>97</v>
      </c>
      <c r="J2552" t="s">
        <v>37</v>
      </c>
      <c r="K2552" t="s">
        <v>38</v>
      </c>
      <c r="L2552">
        <v>1</v>
      </c>
      <c r="M2552">
        <v>565</v>
      </c>
      <c r="N2552">
        <v>28.25</v>
      </c>
      <c r="O2552">
        <v>0</v>
      </c>
      <c r="P2552">
        <v>565</v>
      </c>
      <c r="Q2552">
        <v>536.75</v>
      </c>
      <c r="R2552" t="s">
        <v>75</v>
      </c>
      <c r="S2552" t="s">
        <v>31</v>
      </c>
      <c r="T2552" t="s">
        <v>40</v>
      </c>
      <c r="U2552">
        <v>70</v>
      </c>
      <c r="V2552">
        <v>4.5</v>
      </c>
      <c r="W2552">
        <f>Table2[[#This Row],[Quantity]]*Table2[[#This Row],[Item_Price]]</f>
        <v>565</v>
      </c>
    </row>
    <row r="2553" spans="1:23" x14ac:dyDescent="0.25">
      <c r="A2553" t="s">
        <v>2653</v>
      </c>
      <c r="B2553" s="1">
        <v>45840</v>
      </c>
      <c r="C2553" t="s">
        <v>2632</v>
      </c>
      <c r="D2553">
        <v>7</v>
      </c>
      <c r="E2553">
        <v>2</v>
      </c>
      <c r="F2553" t="s">
        <v>24</v>
      </c>
      <c r="G2553" t="s">
        <v>80</v>
      </c>
      <c r="H2553" t="s">
        <v>35</v>
      </c>
      <c r="I2553" t="s">
        <v>69</v>
      </c>
      <c r="J2553" t="s">
        <v>101</v>
      </c>
      <c r="K2553" t="s">
        <v>38</v>
      </c>
      <c r="L2553">
        <v>1</v>
      </c>
      <c r="M2553">
        <v>749</v>
      </c>
      <c r="N2553">
        <v>37.450000000000003</v>
      </c>
      <c r="O2553">
        <v>40</v>
      </c>
      <c r="P2553">
        <v>749</v>
      </c>
      <c r="Q2553">
        <v>751.55</v>
      </c>
      <c r="R2553" t="s">
        <v>98</v>
      </c>
      <c r="S2553" t="s">
        <v>31</v>
      </c>
      <c r="T2553" t="s">
        <v>40</v>
      </c>
      <c r="U2553">
        <v>18</v>
      </c>
      <c r="V2553">
        <v>3.4</v>
      </c>
      <c r="W2553">
        <f>Table2[[#This Row],[Quantity]]*Table2[[#This Row],[Item_Price]]</f>
        <v>749</v>
      </c>
    </row>
    <row r="2554" spans="1:23" x14ac:dyDescent="0.25">
      <c r="A2554" t="s">
        <v>2654</v>
      </c>
      <c r="B2554" s="1">
        <v>45840</v>
      </c>
      <c r="C2554" t="s">
        <v>2632</v>
      </c>
      <c r="D2554">
        <v>7</v>
      </c>
      <c r="E2554">
        <v>2</v>
      </c>
      <c r="F2554" t="s">
        <v>24</v>
      </c>
      <c r="G2554" t="s">
        <v>34</v>
      </c>
      <c r="H2554" t="s">
        <v>139</v>
      </c>
      <c r="I2554" t="s">
        <v>97</v>
      </c>
      <c r="J2554" t="s">
        <v>37</v>
      </c>
      <c r="K2554" t="s">
        <v>38</v>
      </c>
      <c r="L2554">
        <v>1</v>
      </c>
      <c r="M2554">
        <v>636</v>
      </c>
      <c r="N2554">
        <v>63.6</v>
      </c>
      <c r="O2554">
        <v>30</v>
      </c>
      <c r="P2554">
        <v>636</v>
      </c>
      <c r="Q2554">
        <v>602.4</v>
      </c>
      <c r="R2554" t="s">
        <v>39</v>
      </c>
      <c r="S2554" t="s">
        <v>31</v>
      </c>
      <c r="T2554" t="s">
        <v>40</v>
      </c>
      <c r="U2554">
        <v>53</v>
      </c>
      <c r="V2554">
        <v>5</v>
      </c>
      <c r="W2554">
        <f>Table2[[#This Row],[Quantity]]*Table2[[#This Row],[Item_Price]]</f>
        <v>636</v>
      </c>
    </row>
    <row r="2555" spans="1:23" x14ac:dyDescent="0.25">
      <c r="A2555" t="s">
        <v>2655</v>
      </c>
      <c r="B2555" s="1">
        <v>45840</v>
      </c>
      <c r="C2555" t="s">
        <v>2632</v>
      </c>
      <c r="D2555">
        <v>7</v>
      </c>
      <c r="E2555">
        <v>2</v>
      </c>
      <c r="F2555" t="s">
        <v>24</v>
      </c>
      <c r="G2555" t="s">
        <v>84</v>
      </c>
      <c r="H2555" t="s">
        <v>60</v>
      </c>
      <c r="I2555" t="s">
        <v>27</v>
      </c>
      <c r="J2555" t="s">
        <v>94</v>
      </c>
      <c r="K2555" t="s">
        <v>45</v>
      </c>
      <c r="L2555">
        <v>1</v>
      </c>
      <c r="M2555">
        <v>661</v>
      </c>
      <c r="N2555">
        <v>33.049999999999997</v>
      </c>
      <c r="O2555">
        <v>30</v>
      </c>
      <c r="P2555">
        <v>661</v>
      </c>
      <c r="Q2555">
        <v>657.95</v>
      </c>
      <c r="R2555" t="s">
        <v>39</v>
      </c>
      <c r="S2555" t="s">
        <v>91</v>
      </c>
      <c r="T2555" t="s">
        <v>32</v>
      </c>
      <c r="U2555">
        <v>60</v>
      </c>
      <c r="W2555">
        <f>Table2[[#This Row],[Quantity]]*Table2[[#This Row],[Item_Price]]</f>
        <v>661</v>
      </c>
    </row>
    <row r="2556" spans="1:23" x14ac:dyDescent="0.25">
      <c r="A2556" t="s">
        <v>2656</v>
      </c>
      <c r="B2556" s="1">
        <v>45840</v>
      </c>
      <c r="C2556" t="s">
        <v>2632</v>
      </c>
      <c r="D2556">
        <v>7</v>
      </c>
      <c r="E2556">
        <v>2</v>
      </c>
      <c r="F2556" t="s">
        <v>24</v>
      </c>
      <c r="G2556" t="s">
        <v>64</v>
      </c>
      <c r="H2556" t="s">
        <v>77</v>
      </c>
      <c r="I2556" t="s">
        <v>43</v>
      </c>
      <c r="J2556" t="s">
        <v>82</v>
      </c>
      <c r="K2556" t="s">
        <v>38</v>
      </c>
      <c r="L2556">
        <v>1</v>
      </c>
      <c r="M2556">
        <v>465</v>
      </c>
      <c r="N2556">
        <v>116.25</v>
      </c>
      <c r="O2556">
        <v>40</v>
      </c>
      <c r="P2556">
        <v>465</v>
      </c>
      <c r="Q2556">
        <v>388.75</v>
      </c>
      <c r="R2556" t="s">
        <v>98</v>
      </c>
      <c r="S2556" t="s">
        <v>46</v>
      </c>
      <c r="T2556" t="s">
        <v>32</v>
      </c>
      <c r="U2556">
        <v>34</v>
      </c>
      <c r="W2556">
        <f>Table2[[#This Row],[Quantity]]*Table2[[#This Row],[Item_Price]]</f>
        <v>465</v>
      </c>
    </row>
    <row r="2557" spans="1:23" x14ac:dyDescent="0.25">
      <c r="A2557" t="s">
        <v>2657</v>
      </c>
      <c r="B2557" s="1">
        <v>45840</v>
      </c>
      <c r="C2557" t="s">
        <v>2632</v>
      </c>
      <c r="D2557">
        <v>7</v>
      </c>
      <c r="E2557">
        <v>2</v>
      </c>
      <c r="F2557" t="s">
        <v>24</v>
      </c>
      <c r="G2557" t="s">
        <v>80</v>
      </c>
      <c r="H2557" t="s">
        <v>108</v>
      </c>
      <c r="I2557" t="s">
        <v>49</v>
      </c>
      <c r="J2557" t="s">
        <v>94</v>
      </c>
      <c r="K2557" t="s">
        <v>45</v>
      </c>
      <c r="L2557">
        <v>2</v>
      </c>
      <c r="M2557">
        <v>875</v>
      </c>
      <c r="N2557">
        <v>43.75</v>
      </c>
      <c r="O2557">
        <v>30</v>
      </c>
      <c r="P2557">
        <v>1750</v>
      </c>
      <c r="Q2557">
        <v>1736.25</v>
      </c>
      <c r="R2557" t="s">
        <v>30</v>
      </c>
      <c r="S2557" t="s">
        <v>31</v>
      </c>
      <c r="T2557" t="s">
        <v>40</v>
      </c>
      <c r="U2557">
        <v>21</v>
      </c>
      <c r="V2557">
        <v>5</v>
      </c>
      <c r="W2557">
        <f>Table2[[#This Row],[Quantity]]*Table2[[#This Row],[Item_Price]]</f>
        <v>1750</v>
      </c>
    </row>
    <row r="2558" spans="1:23" x14ac:dyDescent="0.25">
      <c r="A2558" t="s">
        <v>2658</v>
      </c>
      <c r="B2558" s="1">
        <v>45840</v>
      </c>
      <c r="C2558" t="s">
        <v>2632</v>
      </c>
      <c r="D2558">
        <v>7</v>
      </c>
      <c r="E2558">
        <v>2</v>
      </c>
      <c r="F2558" t="s">
        <v>24</v>
      </c>
      <c r="G2558" t="s">
        <v>64</v>
      </c>
      <c r="H2558" t="s">
        <v>65</v>
      </c>
      <c r="I2558" t="s">
        <v>69</v>
      </c>
      <c r="J2558" t="s">
        <v>123</v>
      </c>
      <c r="K2558" t="s">
        <v>38</v>
      </c>
      <c r="L2558">
        <v>2</v>
      </c>
      <c r="M2558">
        <v>481</v>
      </c>
      <c r="N2558">
        <v>0</v>
      </c>
      <c r="O2558">
        <v>50</v>
      </c>
      <c r="P2558">
        <v>962</v>
      </c>
      <c r="Q2558">
        <v>1012</v>
      </c>
      <c r="R2558" t="s">
        <v>75</v>
      </c>
      <c r="S2558" t="s">
        <v>31</v>
      </c>
      <c r="T2558" t="s">
        <v>40</v>
      </c>
      <c r="U2558">
        <v>70</v>
      </c>
      <c r="V2558">
        <v>3</v>
      </c>
      <c r="W2558">
        <f>Table2[[#This Row],[Quantity]]*Table2[[#This Row],[Item_Price]]</f>
        <v>962</v>
      </c>
    </row>
    <row r="2559" spans="1:23" x14ac:dyDescent="0.25">
      <c r="A2559" t="s">
        <v>2659</v>
      </c>
      <c r="B2559" s="1">
        <v>45840</v>
      </c>
      <c r="C2559" t="s">
        <v>2632</v>
      </c>
      <c r="D2559">
        <v>7</v>
      </c>
      <c r="E2559">
        <v>2</v>
      </c>
      <c r="F2559" t="s">
        <v>24</v>
      </c>
      <c r="G2559" t="s">
        <v>34</v>
      </c>
      <c r="H2559" t="s">
        <v>26</v>
      </c>
      <c r="I2559" t="s">
        <v>43</v>
      </c>
      <c r="J2559" t="s">
        <v>78</v>
      </c>
      <c r="K2559" t="s">
        <v>38</v>
      </c>
      <c r="L2559">
        <v>2</v>
      </c>
      <c r="M2559">
        <v>485</v>
      </c>
      <c r="N2559">
        <v>24.25</v>
      </c>
      <c r="O2559">
        <v>40</v>
      </c>
      <c r="P2559">
        <v>970</v>
      </c>
      <c r="Q2559">
        <v>985.75</v>
      </c>
      <c r="R2559" t="s">
        <v>39</v>
      </c>
      <c r="S2559" t="s">
        <v>31</v>
      </c>
      <c r="T2559" t="s">
        <v>32</v>
      </c>
      <c r="U2559">
        <v>55</v>
      </c>
      <c r="V2559">
        <v>4.3</v>
      </c>
      <c r="W2559">
        <f>Table2[[#This Row],[Quantity]]*Table2[[#This Row],[Item_Price]]</f>
        <v>970</v>
      </c>
    </row>
    <row r="2560" spans="1:23" x14ac:dyDescent="0.25">
      <c r="A2560" t="s">
        <v>2660</v>
      </c>
      <c r="B2560" s="1">
        <v>45840</v>
      </c>
      <c r="C2560" t="s">
        <v>2632</v>
      </c>
      <c r="D2560">
        <v>7</v>
      </c>
      <c r="E2560">
        <v>2</v>
      </c>
      <c r="F2560" t="s">
        <v>24</v>
      </c>
      <c r="G2560" t="s">
        <v>90</v>
      </c>
      <c r="H2560" t="s">
        <v>56</v>
      </c>
      <c r="I2560" t="s">
        <v>49</v>
      </c>
      <c r="J2560" t="s">
        <v>101</v>
      </c>
      <c r="K2560" t="s">
        <v>45</v>
      </c>
      <c r="L2560">
        <v>1</v>
      </c>
      <c r="M2560">
        <v>293</v>
      </c>
      <c r="N2560">
        <v>0</v>
      </c>
      <c r="O2560">
        <v>40</v>
      </c>
      <c r="P2560">
        <v>293</v>
      </c>
      <c r="Q2560">
        <v>333</v>
      </c>
      <c r="R2560" t="s">
        <v>98</v>
      </c>
      <c r="S2560" t="s">
        <v>31</v>
      </c>
      <c r="T2560" t="s">
        <v>40</v>
      </c>
      <c r="U2560">
        <v>63</v>
      </c>
      <c r="V2560">
        <v>4.8</v>
      </c>
      <c r="W2560">
        <f>Table2[[#This Row],[Quantity]]*Table2[[#This Row],[Item_Price]]</f>
        <v>293</v>
      </c>
    </row>
    <row r="2561" spans="1:23" x14ac:dyDescent="0.25">
      <c r="A2561" t="s">
        <v>2661</v>
      </c>
      <c r="B2561" s="1">
        <v>45841</v>
      </c>
      <c r="C2561" t="s">
        <v>2632</v>
      </c>
      <c r="D2561">
        <v>7</v>
      </c>
      <c r="E2561">
        <v>3</v>
      </c>
      <c r="F2561" t="s">
        <v>88</v>
      </c>
      <c r="G2561" t="s">
        <v>80</v>
      </c>
      <c r="H2561" t="s">
        <v>52</v>
      </c>
      <c r="I2561" t="s">
        <v>85</v>
      </c>
      <c r="J2561" t="s">
        <v>44</v>
      </c>
      <c r="K2561" t="s">
        <v>38</v>
      </c>
      <c r="L2561">
        <v>3</v>
      </c>
      <c r="M2561">
        <v>681</v>
      </c>
      <c r="N2561">
        <v>68.099999999999994</v>
      </c>
      <c r="O2561">
        <v>0</v>
      </c>
      <c r="P2561">
        <v>2043</v>
      </c>
      <c r="Q2561">
        <v>1974.9</v>
      </c>
      <c r="R2561" t="s">
        <v>30</v>
      </c>
      <c r="S2561" t="s">
        <v>31</v>
      </c>
      <c r="T2561" t="s">
        <v>40</v>
      </c>
      <c r="U2561">
        <v>56</v>
      </c>
      <c r="V2561">
        <v>4.0999999999999996</v>
      </c>
      <c r="W2561">
        <f>Table2[[#This Row],[Quantity]]*Table2[[#This Row],[Item_Price]]</f>
        <v>2043</v>
      </c>
    </row>
    <row r="2562" spans="1:23" x14ac:dyDescent="0.25">
      <c r="A2562" t="s">
        <v>2662</v>
      </c>
      <c r="B2562" s="1">
        <v>45841</v>
      </c>
      <c r="C2562" t="s">
        <v>2632</v>
      </c>
      <c r="D2562">
        <v>7</v>
      </c>
      <c r="E2562">
        <v>3</v>
      </c>
      <c r="F2562" t="s">
        <v>88</v>
      </c>
      <c r="G2562" t="s">
        <v>25</v>
      </c>
      <c r="H2562" t="s">
        <v>26</v>
      </c>
      <c r="I2562" t="s">
        <v>69</v>
      </c>
      <c r="J2562" t="s">
        <v>172</v>
      </c>
      <c r="K2562" t="s">
        <v>45</v>
      </c>
      <c r="L2562">
        <v>3</v>
      </c>
      <c r="M2562">
        <v>501</v>
      </c>
      <c r="N2562">
        <v>25.05</v>
      </c>
      <c r="O2562">
        <v>60</v>
      </c>
      <c r="P2562">
        <v>1503</v>
      </c>
      <c r="Q2562">
        <v>1537.95</v>
      </c>
      <c r="R2562" t="s">
        <v>75</v>
      </c>
      <c r="S2562" t="s">
        <v>31</v>
      </c>
      <c r="T2562" t="s">
        <v>40</v>
      </c>
      <c r="U2562">
        <v>65</v>
      </c>
      <c r="V2562">
        <v>4.0999999999999996</v>
      </c>
      <c r="W2562">
        <f>Table2[[#This Row],[Quantity]]*Table2[[#This Row],[Item_Price]]</f>
        <v>1503</v>
      </c>
    </row>
    <row r="2563" spans="1:23" x14ac:dyDescent="0.25">
      <c r="A2563" t="s">
        <v>2663</v>
      </c>
      <c r="B2563" s="1">
        <v>45841</v>
      </c>
      <c r="C2563" t="s">
        <v>2632</v>
      </c>
      <c r="D2563">
        <v>7</v>
      </c>
      <c r="E2563">
        <v>3</v>
      </c>
      <c r="F2563" t="s">
        <v>88</v>
      </c>
      <c r="G2563" t="s">
        <v>64</v>
      </c>
      <c r="H2563" t="s">
        <v>135</v>
      </c>
      <c r="I2563" t="s">
        <v>49</v>
      </c>
      <c r="J2563" t="s">
        <v>66</v>
      </c>
      <c r="K2563" t="s">
        <v>45</v>
      </c>
      <c r="L2563">
        <v>1</v>
      </c>
      <c r="M2563">
        <v>759</v>
      </c>
      <c r="N2563">
        <v>75.900000000000006</v>
      </c>
      <c r="O2563">
        <v>0</v>
      </c>
      <c r="P2563">
        <v>759</v>
      </c>
      <c r="Q2563">
        <v>683.1</v>
      </c>
      <c r="R2563" t="s">
        <v>112</v>
      </c>
      <c r="S2563" t="s">
        <v>46</v>
      </c>
      <c r="T2563" t="s">
        <v>40</v>
      </c>
      <c r="U2563">
        <v>34</v>
      </c>
      <c r="W2563">
        <f>Table2[[#This Row],[Quantity]]*Table2[[#This Row],[Item_Price]]</f>
        <v>759</v>
      </c>
    </row>
    <row r="2564" spans="1:23" x14ac:dyDescent="0.25">
      <c r="A2564" t="s">
        <v>2664</v>
      </c>
      <c r="B2564" s="1">
        <v>45841</v>
      </c>
      <c r="C2564" t="s">
        <v>2632</v>
      </c>
      <c r="D2564">
        <v>7</v>
      </c>
      <c r="E2564">
        <v>3</v>
      </c>
      <c r="F2564" t="s">
        <v>88</v>
      </c>
      <c r="G2564" t="s">
        <v>80</v>
      </c>
      <c r="H2564" t="s">
        <v>139</v>
      </c>
      <c r="I2564" t="s">
        <v>49</v>
      </c>
      <c r="J2564" t="s">
        <v>53</v>
      </c>
      <c r="K2564" t="s">
        <v>38</v>
      </c>
      <c r="L2564">
        <v>1</v>
      </c>
      <c r="M2564">
        <v>810</v>
      </c>
      <c r="N2564">
        <v>202.5</v>
      </c>
      <c r="O2564">
        <v>30</v>
      </c>
      <c r="P2564">
        <v>810</v>
      </c>
      <c r="Q2564">
        <v>637.5</v>
      </c>
      <c r="R2564" t="s">
        <v>75</v>
      </c>
      <c r="S2564" t="s">
        <v>31</v>
      </c>
      <c r="T2564" t="s">
        <v>32</v>
      </c>
      <c r="U2564">
        <v>66</v>
      </c>
      <c r="V2564">
        <v>3.6</v>
      </c>
      <c r="W2564">
        <f>Table2[[#This Row],[Quantity]]*Table2[[#This Row],[Item_Price]]</f>
        <v>810</v>
      </c>
    </row>
    <row r="2565" spans="1:23" x14ac:dyDescent="0.25">
      <c r="A2565" t="s">
        <v>2665</v>
      </c>
      <c r="B2565" s="1">
        <v>45841</v>
      </c>
      <c r="C2565" t="s">
        <v>2632</v>
      </c>
      <c r="D2565">
        <v>7</v>
      </c>
      <c r="E2565">
        <v>3</v>
      </c>
      <c r="F2565" t="s">
        <v>88</v>
      </c>
      <c r="G2565" t="s">
        <v>25</v>
      </c>
      <c r="H2565" t="s">
        <v>139</v>
      </c>
      <c r="I2565" t="s">
        <v>85</v>
      </c>
      <c r="J2565" t="s">
        <v>37</v>
      </c>
      <c r="K2565" t="s">
        <v>38</v>
      </c>
      <c r="L2565">
        <v>1</v>
      </c>
      <c r="M2565">
        <v>627</v>
      </c>
      <c r="N2565">
        <v>125.4</v>
      </c>
      <c r="O2565">
        <v>0</v>
      </c>
      <c r="P2565">
        <v>627</v>
      </c>
      <c r="Q2565">
        <v>501.6</v>
      </c>
      <c r="R2565" t="s">
        <v>39</v>
      </c>
      <c r="S2565" t="s">
        <v>31</v>
      </c>
      <c r="T2565" t="s">
        <v>40</v>
      </c>
      <c r="U2565">
        <v>55</v>
      </c>
      <c r="V2565">
        <v>3.6</v>
      </c>
      <c r="W2565">
        <f>Table2[[#This Row],[Quantity]]*Table2[[#This Row],[Item_Price]]</f>
        <v>627</v>
      </c>
    </row>
    <row r="2566" spans="1:23" x14ac:dyDescent="0.25">
      <c r="A2566" t="s">
        <v>2666</v>
      </c>
      <c r="B2566" s="1">
        <v>45841</v>
      </c>
      <c r="C2566" t="s">
        <v>2632</v>
      </c>
      <c r="D2566">
        <v>7</v>
      </c>
      <c r="E2566">
        <v>3</v>
      </c>
      <c r="F2566" t="s">
        <v>88</v>
      </c>
      <c r="G2566" t="s">
        <v>34</v>
      </c>
      <c r="H2566" t="s">
        <v>108</v>
      </c>
      <c r="I2566" t="s">
        <v>36</v>
      </c>
      <c r="J2566" t="s">
        <v>123</v>
      </c>
      <c r="K2566" t="s">
        <v>38</v>
      </c>
      <c r="L2566">
        <v>2</v>
      </c>
      <c r="M2566">
        <v>268</v>
      </c>
      <c r="N2566">
        <v>53.6</v>
      </c>
      <c r="O2566">
        <v>30</v>
      </c>
      <c r="P2566">
        <v>536</v>
      </c>
      <c r="Q2566">
        <v>512.4</v>
      </c>
      <c r="R2566" t="s">
        <v>39</v>
      </c>
      <c r="S2566" t="s">
        <v>46</v>
      </c>
      <c r="T2566" t="s">
        <v>40</v>
      </c>
      <c r="U2566">
        <v>49</v>
      </c>
      <c r="W2566">
        <f>Table2[[#This Row],[Quantity]]*Table2[[#This Row],[Item_Price]]</f>
        <v>536</v>
      </c>
    </row>
    <row r="2567" spans="1:23" x14ac:dyDescent="0.25">
      <c r="A2567" t="s">
        <v>2667</v>
      </c>
      <c r="B2567" s="1">
        <v>45841</v>
      </c>
      <c r="C2567" t="s">
        <v>2632</v>
      </c>
      <c r="D2567">
        <v>7</v>
      </c>
      <c r="E2567">
        <v>3</v>
      </c>
      <c r="F2567" t="s">
        <v>88</v>
      </c>
      <c r="G2567" t="s">
        <v>115</v>
      </c>
      <c r="H2567" t="s">
        <v>68</v>
      </c>
      <c r="I2567" t="s">
        <v>61</v>
      </c>
      <c r="J2567" t="s">
        <v>50</v>
      </c>
      <c r="K2567" t="s">
        <v>38</v>
      </c>
      <c r="L2567">
        <v>3</v>
      </c>
      <c r="M2567">
        <v>415</v>
      </c>
      <c r="N2567">
        <v>20.75</v>
      </c>
      <c r="O2567">
        <v>50</v>
      </c>
      <c r="P2567">
        <v>1245</v>
      </c>
      <c r="Q2567">
        <v>1274.25</v>
      </c>
      <c r="R2567" t="s">
        <v>39</v>
      </c>
      <c r="S2567" t="s">
        <v>31</v>
      </c>
      <c r="T2567" t="s">
        <v>32</v>
      </c>
      <c r="U2567">
        <v>57</v>
      </c>
      <c r="V2567">
        <v>3.5</v>
      </c>
      <c r="W2567">
        <f>Table2[[#This Row],[Quantity]]*Table2[[#This Row],[Item_Price]]</f>
        <v>1245</v>
      </c>
    </row>
    <row r="2568" spans="1:23" x14ac:dyDescent="0.25">
      <c r="A2568" t="s">
        <v>2668</v>
      </c>
      <c r="B2568" s="1">
        <v>45841</v>
      </c>
      <c r="C2568" t="s">
        <v>2632</v>
      </c>
      <c r="D2568">
        <v>7</v>
      </c>
      <c r="E2568">
        <v>3</v>
      </c>
      <c r="F2568" t="s">
        <v>88</v>
      </c>
      <c r="G2568" t="s">
        <v>64</v>
      </c>
      <c r="H2568" t="s">
        <v>139</v>
      </c>
      <c r="I2568" t="s">
        <v>49</v>
      </c>
      <c r="J2568" t="s">
        <v>123</v>
      </c>
      <c r="K2568" t="s">
        <v>38</v>
      </c>
      <c r="L2568">
        <v>1</v>
      </c>
      <c r="M2568">
        <v>836</v>
      </c>
      <c r="N2568">
        <v>83.6</v>
      </c>
      <c r="O2568">
        <v>40</v>
      </c>
      <c r="P2568">
        <v>836</v>
      </c>
      <c r="Q2568">
        <v>792.4</v>
      </c>
      <c r="R2568" t="s">
        <v>39</v>
      </c>
      <c r="S2568" t="s">
        <v>31</v>
      </c>
      <c r="T2568" t="s">
        <v>32</v>
      </c>
      <c r="U2568">
        <v>43</v>
      </c>
      <c r="V2568">
        <v>3.2</v>
      </c>
      <c r="W2568">
        <f>Table2[[#This Row],[Quantity]]*Table2[[#This Row],[Item_Price]]</f>
        <v>836</v>
      </c>
    </row>
    <row r="2569" spans="1:23" x14ac:dyDescent="0.25">
      <c r="A2569" t="s">
        <v>2669</v>
      </c>
      <c r="B2569" s="1">
        <v>45841</v>
      </c>
      <c r="C2569" t="s">
        <v>2632</v>
      </c>
      <c r="D2569">
        <v>7</v>
      </c>
      <c r="E2569">
        <v>3</v>
      </c>
      <c r="F2569" t="s">
        <v>88</v>
      </c>
      <c r="G2569" t="s">
        <v>25</v>
      </c>
      <c r="H2569" t="s">
        <v>81</v>
      </c>
      <c r="I2569" t="s">
        <v>49</v>
      </c>
      <c r="J2569" t="s">
        <v>82</v>
      </c>
      <c r="K2569" t="s">
        <v>38</v>
      </c>
      <c r="L2569">
        <v>2</v>
      </c>
      <c r="M2569">
        <v>372</v>
      </c>
      <c r="N2569">
        <v>74.400000000000006</v>
      </c>
      <c r="O2569">
        <v>0</v>
      </c>
      <c r="P2569">
        <v>744</v>
      </c>
      <c r="Q2569">
        <v>669.6</v>
      </c>
      <c r="R2569" t="s">
        <v>75</v>
      </c>
      <c r="S2569" t="s">
        <v>31</v>
      </c>
      <c r="T2569" t="s">
        <v>40</v>
      </c>
      <c r="U2569">
        <v>47</v>
      </c>
      <c r="V2569">
        <v>4.3</v>
      </c>
      <c r="W2569">
        <f>Table2[[#This Row],[Quantity]]*Table2[[#This Row],[Item_Price]]</f>
        <v>744</v>
      </c>
    </row>
    <row r="2570" spans="1:23" x14ac:dyDescent="0.25">
      <c r="A2570" t="s">
        <v>2670</v>
      </c>
      <c r="B2570" s="1">
        <v>45841</v>
      </c>
      <c r="C2570" t="s">
        <v>2632</v>
      </c>
      <c r="D2570">
        <v>7</v>
      </c>
      <c r="E2570">
        <v>3</v>
      </c>
      <c r="F2570" t="s">
        <v>88</v>
      </c>
      <c r="G2570" t="s">
        <v>84</v>
      </c>
      <c r="H2570" t="s">
        <v>52</v>
      </c>
      <c r="I2570" t="s">
        <v>36</v>
      </c>
      <c r="J2570" t="s">
        <v>28</v>
      </c>
      <c r="K2570" t="s">
        <v>45</v>
      </c>
      <c r="L2570">
        <v>1</v>
      </c>
      <c r="M2570">
        <v>330</v>
      </c>
      <c r="N2570">
        <v>33</v>
      </c>
      <c r="O2570">
        <v>30</v>
      </c>
      <c r="P2570">
        <v>330</v>
      </c>
      <c r="Q2570">
        <v>327</v>
      </c>
      <c r="R2570" t="s">
        <v>39</v>
      </c>
      <c r="S2570" t="s">
        <v>31</v>
      </c>
      <c r="T2570" t="s">
        <v>40</v>
      </c>
      <c r="U2570">
        <v>49</v>
      </c>
      <c r="V2570">
        <v>3.1</v>
      </c>
      <c r="W2570">
        <f>Table2[[#This Row],[Quantity]]*Table2[[#This Row],[Item_Price]]</f>
        <v>330</v>
      </c>
    </row>
    <row r="2571" spans="1:23" x14ac:dyDescent="0.25">
      <c r="A2571" t="s">
        <v>2671</v>
      </c>
      <c r="B2571" s="1">
        <v>45841</v>
      </c>
      <c r="C2571" t="s">
        <v>2632</v>
      </c>
      <c r="D2571">
        <v>7</v>
      </c>
      <c r="E2571">
        <v>3</v>
      </c>
      <c r="F2571" t="s">
        <v>88</v>
      </c>
      <c r="G2571" t="s">
        <v>55</v>
      </c>
      <c r="H2571" t="s">
        <v>60</v>
      </c>
      <c r="I2571" t="s">
        <v>49</v>
      </c>
      <c r="J2571" t="s">
        <v>37</v>
      </c>
      <c r="K2571" t="s">
        <v>38</v>
      </c>
      <c r="L2571">
        <v>2</v>
      </c>
      <c r="M2571">
        <v>484</v>
      </c>
      <c r="N2571">
        <v>96.8</v>
      </c>
      <c r="O2571">
        <v>20</v>
      </c>
      <c r="P2571">
        <v>968</v>
      </c>
      <c r="Q2571">
        <v>891.2</v>
      </c>
      <c r="R2571" t="s">
        <v>39</v>
      </c>
      <c r="S2571" t="s">
        <v>31</v>
      </c>
      <c r="T2571" t="s">
        <v>40</v>
      </c>
      <c r="U2571">
        <v>27</v>
      </c>
      <c r="V2571">
        <v>4.7</v>
      </c>
      <c r="W2571">
        <f>Table2[[#This Row],[Quantity]]*Table2[[#This Row],[Item_Price]]</f>
        <v>968</v>
      </c>
    </row>
    <row r="2572" spans="1:23" x14ac:dyDescent="0.25">
      <c r="A2572" t="s">
        <v>2672</v>
      </c>
      <c r="B2572" s="1">
        <v>45841</v>
      </c>
      <c r="C2572" t="s">
        <v>2632</v>
      </c>
      <c r="D2572">
        <v>7</v>
      </c>
      <c r="E2572">
        <v>3</v>
      </c>
      <c r="F2572" t="s">
        <v>88</v>
      </c>
      <c r="G2572" t="s">
        <v>90</v>
      </c>
      <c r="H2572" t="s">
        <v>56</v>
      </c>
      <c r="I2572" t="s">
        <v>69</v>
      </c>
      <c r="J2572" t="s">
        <v>53</v>
      </c>
      <c r="K2572" t="s">
        <v>45</v>
      </c>
      <c r="L2572">
        <v>2</v>
      </c>
      <c r="M2572">
        <v>870</v>
      </c>
      <c r="N2572">
        <v>87</v>
      </c>
      <c r="O2572">
        <v>60</v>
      </c>
      <c r="P2572">
        <v>1740</v>
      </c>
      <c r="Q2572">
        <v>1713</v>
      </c>
      <c r="R2572" t="s">
        <v>39</v>
      </c>
      <c r="S2572" t="s">
        <v>31</v>
      </c>
      <c r="T2572" t="s">
        <v>40</v>
      </c>
      <c r="U2572">
        <v>65</v>
      </c>
      <c r="V2572">
        <v>4.0999999999999996</v>
      </c>
      <c r="W2572">
        <f>Table2[[#This Row],[Quantity]]*Table2[[#This Row],[Item_Price]]</f>
        <v>1740</v>
      </c>
    </row>
    <row r="2573" spans="1:23" x14ac:dyDescent="0.25">
      <c r="A2573" t="s">
        <v>2673</v>
      </c>
      <c r="B2573" s="1">
        <v>45842</v>
      </c>
      <c r="C2573" t="s">
        <v>2632</v>
      </c>
      <c r="D2573">
        <v>7</v>
      </c>
      <c r="E2573">
        <v>4</v>
      </c>
      <c r="F2573" t="s">
        <v>114</v>
      </c>
      <c r="G2573" t="s">
        <v>34</v>
      </c>
      <c r="H2573" t="s">
        <v>108</v>
      </c>
      <c r="I2573" t="s">
        <v>97</v>
      </c>
      <c r="J2573" t="s">
        <v>44</v>
      </c>
      <c r="K2573" t="s">
        <v>38</v>
      </c>
      <c r="L2573">
        <v>2</v>
      </c>
      <c r="M2573">
        <v>227</v>
      </c>
      <c r="N2573">
        <v>22.7</v>
      </c>
      <c r="O2573">
        <v>40</v>
      </c>
      <c r="P2573">
        <v>454</v>
      </c>
      <c r="Q2573">
        <v>471.3</v>
      </c>
      <c r="R2573" t="s">
        <v>98</v>
      </c>
      <c r="S2573" t="s">
        <v>31</v>
      </c>
      <c r="T2573" t="s">
        <v>40</v>
      </c>
      <c r="U2573">
        <v>48</v>
      </c>
      <c r="V2573">
        <v>3.1</v>
      </c>
      <c r="W2573">
        <f>Table2[[#This Row],[Quantity]]*Table2[[#This Row],[Item_Price]]</f>
        <v>454</v>
      </c>
    </row>
    <row r="2574" spans="1:23" x14ac:dyDescent="0.25">
      <c r="A2574" t="s">
        <v>2674</v>
      </c>
      <c r="B2574" s="1">
        <v>45842</v>
      </c>
      <c r="C2574" t="s">
        <v>2632</v>
      </c>
      <c r="D2574">
        <v>7</v>
      </c>
      <c r="E2574">
        <v>4</v>
      </c>
      <c r="F2574" t="s">
        <v>114</v>
      </c>
      <c r="G2574" t="s">
        <v>34</v>
      </c>
      <c r="H2574" t="s">
        <v>26</v>
      </c>
      <c r="I2574" t="s">
        <v>43</v>
      </c>
      <c r="J2574" t="s">
        <v>66</v>
      </c>
      <c r="K2574" t="s">
        <v>38</v>
      </c>
      <c r="L2574">
        <v>2</v>
      </c>
      <c r="M2574">
        <v>436</v>
      </c>
      <c r="N2574">
        <v>0</v>
      </c>
      <c r="O2574">
        <v>0</v>
      </c>
      <c r="P2574">
        <v>872</v>
      </c>
      <c r="Q2574">
        <v>872</v>
      </c>
      <c r="R2574" t="s">
        <v>30</v>
      </c>
      <c r="S2574" t="s">
        <v>31</v>
      </c>
      <c r="T2574" t="s">
        <v>40</v>
      </c>
      <c r="U2574">
        <v>58</v>
      </c>
      <c r="V2574">
        <v>3.9</v>
      </c>
      <c r="W2574">
        <f>Table2[[#This Row],[Quantity]]*Table2[[#This Row],[Item_Price]]</f>
        <v>872</v>
      </c>
    </row>
    <row r="2575" spans="1:23" x14ac:dyDescent="0.25">
      <c r="A2575" t="s">
        <v>2675</v>
      </c>
      <c r="B2575" s="1">
        <v>45842</v>
      </c>
      <c r="C2575" t="s">
        <v>2632</v>
      </c>
      <c r="D2575">
        <v>7</v>
      </c>
      <c r="E2575">
        <v>4</v>
      </c>
      <c r="F2575" t="s">
        <v>114</v>
      </c>
      <c r="G2575" t="s">
        <v>73</v>
      </c>
      <c r="H2575" t="s">
        <v>35</v>
      </c>
      <c r="I2575" t="s">
        <v>103</v>
      </c>
      <c r="J2575" t="s">
        <v>53</v>
      </c>
      <c r="K2575" t="s">
        <v>38</v>
      </c>
      <c r="L2575">
        <v>1</v>
      </c>
      <c r="M2575">
        <v>882</v>
      </c>
      <c r="N2575">
        <v>132.30000000000001</v>
      </c>
      <c r="O2575">
        <v>20</v>
      </c>
      <c r="P2575">
        <v>882</v>
      </c>
      <c r="Q2575">
        <v>769.7</v>
      </c>
      <c r="R2575" t="s">
        <v>75</v>
      </c>
      <c r="S2575" t="s">
        <v>31</v>
      </c>
      <c r="T2575" t="s">
        <v>40</v>
      </c>
      <c r="U2575">
        <v>60</v>
      </c>
      <c r="V2575">
        <v>4.5999999999999996</v>
      </c>
      <c r="W2575">
        <f>Table2[[#This Row],[Quantity]]*Table2[[#This Row],[Item_Price]]</f>
        <v>882</v>
      </c>
    </row>
    <row r="2576" spans="1:23" x14ac:dyDescent="0.25">
      <c r="A2576" t="s">
        <v>2676</v>
      </c>
      <c r="B2576" s="1">
        <v>45842</v>
      </c>
      <c r="C2576" t="s">
        <v>2632</v>
      </c>
      <c r="D2576">
        <v>7</v>
      </c>
      <c r="E2576">
        <v>4</v>
      </c>
      <c r="F2576" t="s">
        <v>114</v>
      </c>
      <c r="G2576" t="s">
        <v>34</v>
      </c>
      <c r="H2576" t="s">
        <v>108</v>
      </c>
      <c r="I2576" t="s">
        <v>57</v>
      </c>
      <c r="J2576" t="s">
        <v>70</v>
      </c>
      <c r="K2576" t="s">
        <v>38</v>
      </c>
      <c r="L2576">
        <v>2</v>
      </c>
      <c r="M2576">
        <v>630</v>
      </c>
      <c r="N2576">
        <v>0</v>
      </c>
      <c r="O2576">
        <v>60</v>
      </c>
      <c r="P2576">
        <v>1260</v>
      </c>
      <c r="Q2576">
        <v>1320</v>
      </c>
      <c r="R2576" t="s">
        <v>39</v>
      </c>
      <c r="S2576" t="s">
        <v>31</v>
      </c>
      <c r="T2576" t="s">
        <v>40</v>
      </c>
      <c r="U2576">
        <v>49</v>
      </c>
      <c r="V2576">
        <v>4.0999999999999996</v>
      </c>
      <c r="W2576">
        <f>Table2[[#This Row],[Quantity]]*Table2[[#This Row],[Item_Price]]</f>
        <v>1260</v>
      </c>
    </row>
    <row r="2577" spans="1:23" x14ac:dyDescent="0.25">
      <c r="A2577" t="s">
        <v>2677</v>
      </c>
      <c r="B2577" s="1">
        <v>45842</v>
      </c>
      <c r="C2577" t="s">
        <v>2632</v>
      </c>
      <c r="D2577">
        <v>7</v>
      </c>
      <c r="E2577">
        <v>4</v>
      </c>
      <c r="F2577" t="s">
        <v>114</v>
      </c>
      <c r="G2577" t="s">
        <v>73</v>
      </c>
      <c r="H2577" t="s">
        <v>48</v>
      </c>
      <c r="I2577" t="s">
        <v>85</v>
      </c>
      <c r="J2577" t="s">
        <v>172</v>
      </c>
      <c r="K2577" t="s">
        <v>38</v>
      </c>
      <c r="L2577">
        <v>2</v>
      </c>
      <c r="M2577">
        <v>620</v>
      </c>
      <c r="N2577">
        <v>31</v>
      </c>
      <c r="O2577">
        <v>50</v>
      </c>
      <c r="P2577">
        <v>1240</v>
      </c>
      <c r="Q2577">
        <v>1259</v>
      </c>
      <c r="R2577" t="s">
        <v>39</v>
      </c>
      <c r="S2577" t="s">
        <v>31</v>
      </c>
      <c r="T2577" t="s">
        <v>40</v>
      </c>
      <c r="U2577">
        <v>58</v>
      </c>
      <c r="V2577">
        <v>4.5999999999999996</v>
      </c>
      <c r="W2577">
        <f>Table2[[#This Row],[Quantity]]*Table2[[#This Row],[Item_Price]]</f>
        <v>1240</v>
      </c>
    </row>
    <row r="2578" spans="1:23" x14ac:dyDescent="0.25">
      <c r="A2578" t="s">
        <v>2678</v>
      </c>
      <c r="B2578" s="1">
        <v>45842</v>
      </c>
      <c r="C2578" t="s">
        <v>2632</v>
      </c>
      <c r="D2578">
        <v>7</v>
      </c>
      <c r="E2578">
        <v>4</v>
      </c>
      <c r="F2578" t="s">
        <v>114</v>
      </c>
      <c r="G2578" t="s">
        <v>64</v>
      </c>
      <c r="H2578" t="s">
        <v>81</v>
      </c>
      <c r="I2578" t="s">
        <v>36</v>
      </c>
      <c r="J2578" t="s">
        <v>82</v>
      </c>
      <c r="K2578" t="s">
        <v>45</v>
      </c>
      <c r="L2578">
        <v>1</v>
      </c>
      <c r="M2578">
        <v>414</v>
      </c>
      <c r="N2578">
        <v>41.4</v>
      </c>
      <c r="O2578">
        <v>0</v>
      </c>
      <c r="P2578">
        <v>414</v>
      </c>
      <c r="Q2578">
        <v>372.6</v>
      </c>
      <c r="R2578" t="s">
        <v>39</v>
      </c>
      <c r="S2578" t="s">
        <v>31</v>
      </c>
      <c r="T2578" t="s">
        <v>40</v>
      </c>
      <c r="U2578">
        <v>32</v>
      </c>
      <c r="V2578">
        <v>4.4000000000000004</v>
      </c>
      <c r="W2578">
        <f>Table2[[#This Row],[Quantity]]*Table2[[#This Row],[Item_Price]]</f>
        <v>414</v>
      </c>
    </row>
    <row r="2579" spans="1:23" x14ac:dyDescent="0.25">
      <c r="A2579" t="s">
        <v>2679</v>
      </c>
      <c r="B2579" s="1">
        <v>45843</v>
      </c>
      <c r="C2579" t="s">
        <v>2632</v>
      </c>
      <c r="D2579">
        <v>7</v>
      </c>
      <c r="E2579">
        <v>5</v>
      </c>
      <c r="F2579" t="s">
        <v>134</v>
      </c>
      <c r="G2579" t="s">
        <v>90</v>
      </c>
      <c r="H2579" t="s">
        <v>42</v>
      </c>
      <c r="I2579" t="s">
        <v>27</v>
      </c>
      <c r="J2579" t="s">
        <v>44</v>
      </c>
      <c r="K2579" t="s">
        <v>38</v>
      </c>
      <c r="L2579">
        <v>1</v>
      </c>
      <c r="M2579">
        <v>826</v>
      </c>
      <c r="N2579">
        <v>41.3</v>
      </c>
      <c r="O2579">
        <v>70</v>
      </c>
      <c r="P2579">
        <v>826</v>
      </c>
      <c r="Q2579">
        <v>854.7</v>
      </c>
      <c r="R2579" t="s">
        <v>39</v>
      </c>
      <c r="S2579" t="s">
        <v>31</v>
      </c>
      <c r="T2579" t="s">
        <v>40</v>
      </c>
      <c r="U2579">
        <v>51</v>
      </c>
      <c r="V2579">
        <v>3.7</v>
      </c>
      <c r="W2579">
        <f>Table2[[#This Row],[Quantity]]*Table2[[#This Row],[Item_Price]]</f>
        <v>826</v>
      </c>
    </row>
    <row r="2580" spans="1:23" x14ac:dyDescent="0.25">
      <c r="A2580" t="s">
        <v>2680</v>
      </c>
      <c r="B2580" s="1">
        <v>45843</v>
      </c>
      <c r="C2580" t="s">
        <v>2632</v>
      </c>
      <c r="D2580">
        <v>7</v>
      </c>
      <c r="E2580">
        <v>5</v>
      </c>
      <c r="F2580" t="s">
        <v>134</v>
      </c>
      <c r="G2580" t="s">
        <v>90</v>
      </c>
      <c r="H2580" t="s">
        <v>60</v>
      </c>
      <c r="I2580" t="s">
        <v>69</v>
      </c>
      <c r="J2580" t="s">
        <v>53</v>
      </c>
      <c r="K2580" t="s">
        <v>58</v>
      </c>
      <c r="L2580">
        <v>1</v>
      </c>
      <c r="M2580">
        <v>862</v>
      </c>
      <c r="N2580">
        <v>86.2</v>
      </c>
      <c r="O2580">
        <v>0</v>
      </c>
      <c r="P2580">
        <v>862</v>
      </c>
      <c r="Q2580">
        <v>775.8</v>
      </c>
      <c r="R2580" t="s">
        <v>39</v>
      </c>
      <c r="S2580" t="s">
        <v>31</v>
      </c>
      <c r="T2580" t="s">
        <v>40</v>
      </c>
      <c r="U2580">
        <v>32</v>
      </c>
      <c r="V2580">
        <v>2.8</v>
      </c>
      <c r="W2580">
        <f>Table2[[#This Row],[Quantity]]*Table2[[#This Row],[Item_Price]]</f>
        <v>862</v>
      </c>
    </row>
    <row r="2581" spans="1:23" x14ac:dyDescent="0.25">
      <c r="A2581" t="s">
        <v>2681</v>
      </c>
      <c r="B2581" s="1">
        <v>45843</v>
      </c>
      <c r="C2581" t="s">
        <v>2632</v>
      </c>
      <c r="D2581">
        <v>7</v>
      </c>
      <c r="E2581">
        <v>5</v>
      </c>
      <c r="F2581" t="s">
        <v>134</v>
      </c>
      <c r="G2581" t="s">
        <v>34</v>
      </c>
      <c r="H2581" t="s">
        <v>68</v>
      </c>
      <c r="I2581" t="s">
        <v>61</v>
      </c>
      <c r="J2581" t="s">
        <v>172</v>
      </c>
      <c r="K2581" t="s">
        <v>45</v>
      </c>
      <c r="L2581">
        <v>1</v>
      </c>
      <c r="M2581">
        <v>806</v>
      </c>
      <c r="N2581">
        <v>80.599999999999994</v>
      </c>
      <c r="O2581">
        <v>0</v>
      </c>
      <c r="P2581">
        <v>806</v>
      </c>
      <c r="Q2581">
        <v>725.4</v>
      </c>
      <c r="R2581" t="s">
        <v>98</v>
      </c>
      <c r="S2581" t="s">
        <v>31</v>
      </c>
      <c r="T2581" t="s">
        <v>32</v>
      </c>
      <c r="U2581">
        <v>23</v>
      </c>
      <c r="V2581">
        <v>3.8</v>
      </c>
      <c r="W2581">
        <f>Table2[[#This Row],[Quantity]]*Table2[[#This Row],[Item_Price]]</f>
        <v>806</v>
      </c>
    </row>
    <row r="2582" spans="1:23" x14ac:dyDescent="0.25">
      <c r="A2582" t="s">
        <v>2682</v>
      </c>
      <c r="B2582" s="1">
        <v>45843</v>
      </c>
      <c r="C2582" t="s">
        <v>2632</v>
      </c>
      <c r="D2582">
        <v>7</v>
      </c>
      <c r="E2582">
        <v>5</v>
      </c>
      <c r="F2582" t="s">
        <v>134</v>
      </c>
      <c r="G2582" t="s">
        <v>34</v>
      </c>
      <c r="H2582" t="s">
        <v>35</v>
      </c>
      <c r="I2582" t="s">
        <v>97</v>
      </c>
      <c r="J2582" t="s">
        <v>82</v>
      </c>
      <c r="K2582" t="s">
        <v>38</v>
      </c>
      <c r="L2582">
        <v>1</v>
      </c>
      <c r="M2582">
        <v>694</v>
      </c>
      <c r="N2582">
        <v>0</v>
      </c>
      <c r="O2582">
        <v>70</v>
      </c>
      <c r="P2582">
        <v>694</v>
      </c>
      <c r="Q2582">
        <v>764</v>
      </c>
      <c r="R2582" t="s">
        <v>75</v>
      </c>
      <c r="S2582" t="s">
        <v>110</v>
      </c>
      <c r="T2582" t="s">
        <v>40</v>
      </c>
      <c r="U2582">
        <v>60</v>
      </c>
      <c r="W2582">
        <f>Table2[[#This Row],[Quantity]]*Table2[[#This Row],[Item_Price]]</f>
        <v>694</v>
      </c>
    </row>
    <row r="2583" spans="1:23" x14ac:dyDescent="0.25">
      <c r="A2583" t="s">
        <v>2683</v>
      </c>
      <c r="B2583" s="1">
        <v>45843</v>
      </c>
      <c r="C2583" t="s">
        <v>2632</v>
      </c>
      <c r="D2583">
        <v>7</v>
      </c>
      <c r="E2583">
        <v>5</v>
      </c>
      <c r="F2583" t="s">
        <v>134</v>
      </c>
      <c r="G2583" t="s">
        <v>80</v>
      </c>
      <c r="H2583" t="s">
        <v>26</v>
      </c>
      <c r="I2583" t="s">
        <v>85</v>
      </c>
      <c r="J2583" t="s">
        <v>172</v>
      </c>
      <c r="K2583" t="s">
        <v>29</v>
      </c>
      <c r="L2583">
        <v>1</v>
      </c>
      <c r="M2583">
        <v>519</v>
      </c>
      <c r="N2583">
        <v>129.75</v>
      </c>
      <c r="O2583">
        <v>70</v>
      </c>
      <c r="P2583">
        <v>519</v>
      </c>
      <c r="Q2583">
        <v>459.25</v>
      </c>
      <c r="R2583" t="s">
        <v>112</v>
      </c>
      <c r="S2583" t="s">
        <v>31</v>
      </c>
      <c r="T2583" t="s">
        <v>32</v>
      </c>
      <c r="U2583">
        <v>23</v>
      </c>
      <c r="V2583">
        <v>4.2</v>
      </c>
      <c r="W2583">
        <f>Table2[[#This Row],[Quantity]]*Table2[[#This Row],[Item_Price]]</f>
        <v>519</v>
      </c>
    </row>
    <row r="2584" spans="1:23" x14ac:dyDescent="0.25">
      <c r="A2584" t="s">
        <v>2684</v>
      </c>
      <c r="B2584" s="1">
        <v>45843</v>
      </c>
      <c r="C2584" t="s">
        <v>2632</v>
      </c>
      <c r="D2584">
        <v>7</v>
      </c>
      <c r="E2584">
        <v>5</v>
      </c>
      <c r="F2584" t="s">
        <v>134</v>
      </c>
      <c r="G2584" t="s">
        <v>90</v>
      </c>
      <c r="H2584" t="s">
        <v>139</v>
      </c>
      <c r="I2584" t="s">
        <v>57</v>
      </c>
      <c r="J2584" t="s">
        <v>101</v>
      </c>
      <c r="K2584" t="s">
        <v>45</v>
      </c>
      <c r="L2584">
        <v>1</v>
      </c>
      <c r="M2584">
        <v>815</v>
      </c>
      <c r="N2584">
        <v>122.25</v>
      </c>
      <c r="O2584">
        <v>20</v>
      </c>
      <c r="P2584">
        <v>815</v>
      </c>
      <c r="Q2584">
        <v>712.75</v>
      </c>
      <c r="R2584" t="s">
        <v>98</v>
      </c>
      <c r="S2584" t="s">
        <v>31</v>
      </c>
      <c r="T2584" t="s">
        <v>40</v>
      </c>
      <c r="U2584">
        <v>38</v>
      </c>
      <c r="V2584">
        <v>3.4</v>
      </c>
      <c r="W2584">
        <f>Table2[[#This Row],[Quantity]]*Table2[[#This Row],[Item_Price]]</f>
        <v>815</v>
      </c>
    </row>
    <row r="2585" spans="1:23" x14ac:dyDescent="0.25">
      <c r="A2585" t="s">
        <v>2685</v>
      </c>
      <c r="B2585" s="1">
        <v>45843</v>
      </c>
      <c r="C2585" t="s">
        <v>2632</v>
      </c>
      <c r="D2585">
        <v>7</v>
      </c>
      <c r="E2585">
        <v>5</v>
      </c>
      <c r="F2585" t="s">
        <v>134</v>
      </c>
      <c r="G2585" t="s">
        <v>73</v>
      </c>
      <c r="H2585" t="s">
        <v>65</v>
      </c>
      <c r="I2585" t="s">
        <v>61</v>
      </c>
      <c r="J2585" t="s">
        <v>53</v>
      </c>
      <c r="K2585" t="s">
        <v>38</v>
      </c>
      <c r="L2585">
        <v>2</v>
      </c>
      <c r="M2585">
        <v>607</v>
      </c>
      <c r="N2585">
        <v>0</v>
      </c>
      <c r="O2585">
        <v>30</v>
      </c>
      <c r="P2585">
        <v>1214</v>
      </c>
      <c r="Q2585">
        <v>1244</v>
      </c>
      <c r="R2585" t="s">
        <v>30</v>
      </c>
      <c r="S2585" t="s">
        <v>31</v>
      </c>
      <c r="T2585" t="s">
        <v>32</v>
      </c>
      <c r="U2585">
        <v>37</v>
      </c>
      <c r="V2585">
        <v>3.9</v>
      </c>
      <c r="W2585">
        <f>Table2[[#This Row],[Quantity]]*Table2[[#This Row],[Item_Price]]</f>
        <v>1214</v>
      </c>
    </row>
    <row r="2586" spans="1:23" x14ac:dyDescent="0.25">
      <c r="A2586" t="s">
        <v>2686</v>
      </c>
      <c r="B2586" s="1">
        <v>45843</v>
      </c>
      <c r="C2586" t="s">
        <v>2632</v>
      </c>
      <c r="D2586">
        <v>7</v>
      </c>
      <c r="E2586">
        <v>5</v>
      </c>
      <c r="F2586" t="s">
        <v>134</v>
      </c>
      <c r="G2586" t="s">
        <v>34</v>
      </c>
      <c r="H2586" t="s">
        <v>42</v>
      </c>
      <c r="I2586" t="s">
        <v>27</v>
      </c>
      <c r="J2586" t="s">
        <v>37</v>
      </c>
      <c r="K2586" t="s">
        <v>29</v>
      </c>
      <c r="L2586">
        <v>1</v>
      </c>
      <c r="M2586">
        <v>302</v>
      </c>
      <c r="N2586">
        <v>0</v>
      </c>
      <c r="O2586">
        <v>60</v>
      </c>
      <c r="P2586">
        <v>302</v>
      </c>
      <c r="Q2586">
        <v>362</v>
      </c>
      <c r="R2586" t="s">
        <v>39</v>
      </c>
      <c r="S2586" t="s">
        <v>31</v>
      </c>
      <c r="T2586" t="s">
        <v>32</v>
      </c>
      <c r="U2586">
        <v>53</v>
      </c>
      <c r="V2586">
        <v>3.6</v>
      </c>
      <c r="W2586">
        <f>Table2[[#This Row],[Quantity]]*Table2[[#This Row],[Item_Price]]</f>
        <v>302</v>
      </c>
    </row>
    <row r="2587" spans="1:23" x14ac:dyDescent="0.25">
      <c r="A2587" t="s">
        <v>2687</v>
      </c>
      <c r="B2587" s="1">
        <v>45843</v>
      </c>
      <c r="C2587" t="s">
        <v>2632</v>
      </c>
      <c r="D2587">
        <v>7</v>
      </c>
      <c r="E2587">
        <v>5</v>
      </c>
      <c r="F2587" t="s">
        <v>134</v>
      </c>
      <c r="G2587" t="s">
        <v>34</v>
      </c>
      <c r="H2587" t="s">
        <v>48</v>
      </c>
      <c r="I2587" t="s">
        <v>27</v>
      </c>
      <c r="J2587" t="s">
        <v>172</v>
      </c>
      <c r="K2587" t="s">
        <v>38</v>
      </c>
      <c r="L2587">
        <v>2</v>
      </c>
      <c r="M2587">
        <v>247</v>
      </c>
      <c r="N2587">
        <v>12.35</v>
      </c>
      <c r="O2587">
        <v>20</v>
      </c>
      <c r="P2587">
        <v>494</v>
      </c>
      <c r="Q2587">
        <v>501.65</v>
      </c>
      <c r="R2587" t="s">
        <v>39</v>
      </c>
      <c r="S2587" t="s">
        <v>31</v>
      </c>
      <c r="T2587" t="s">
        <v>32</v>
      </c>
      <c r="U2587">
        <v>58</v>
      </c>
      <c r="V2587">
        <v>2.9</v>
      </c>
      <c r="W2587">
        <f>Table2[[#This Row],[Quantity]]*Table2[[#This Row],[Item_Price]]</f>
        <v>494</v>
      </c>
    </row>
    <row r="2588" spans="1:23" x14ac:dyDescent="0.25">
      <c r="A2588" t="s">
        <v>2688</v>
      </c>
      <c r="B2588" s="1">
        <v>45843</v>
      </c>
      <c r="C2588" t="s">
        <v>2632</v>
      </c>
      <c r="D2588">
        <v>7</v>
      </c>
      <c r="E2588">
        <v>5</v>
      </c>
      <c r="F2588" t="s">
        <v>134</v>
      </c>
      <c r="G2588" t="s">
        <v>96</v>
      </c>
      <c r="H2588" t="s">
        <v>77</v>
      </c>
      <c r="I2588" t="s">
        <v>61</v>
      </c>
      <c r="J2588" t="s">
        <v>70</v>
      </c>
      <c r="K2588" t="s">
        <v>45</v>
      </c>
      <c r="L2588">
        <v>3</v>
      </c>
      <c r="M2588">
        <v>245</v>
      </c>
      <c r="N2588">
        <v>12.25</v>
      </c>
      <c r="O2588">
        <v>50</v>
      </c>
      <c r="P2588">
        <v>735</v>
      </c>
      <c r="Q2588">
        <v>772.75</v>
      </c>
      <c r="R2588" t="s">
        <v>39</v>
      </c>
      <c r="S2588" t="s">
        <v>31</v>
      </c>
      <c r="T2588" t="s">
        <v>40</v>
      </c>
      <c r="U2588">
        <v>55</v>
      </c>
      <c r="V2588">
        <v>3.5</v>
      </c>
      <c r="W2588">
        <f>Table2[[#This Row],[Quantity]]*Table2[[#This Row],[Item_Price]]</f>
        <v>735</v>
      </c>
    </row>
    <row r="2589" spans="1:23" x14ac:dyDescent="0.25">
      <c r="A2589" t="s">
        <v>2689</v>
      </c>
      <c r="B2589" s="1">
        <v>45843</v>
      </c>
      <c r="C2589" t="s">
        <v>2632</v>
      </c>
      <c r="D2589">
        <v>7</v>
      </c>
      <c r="E2589">
        <v>5</v>
      </c>
      <c r="F2589" t="s">
        <v>134</v>
      </c>
      <c r="G2589" t="s">
        <v>34</v>
      </c>
      <c r="H2589" t="s">
        <v>48</v>
      </c>
      <c r="I2589" t="s">
        <v>85</v>
      </c>
      <c r="J2589" t="s">
        <v>28</v>
      </c>
      <c r="K2589" t="s">
        <v>38</v>
      </c>
      <c r="L2589">
        <v>2</v>
      </c>
      <c r="M2589">
        <v>225</v>
      </c>
      <c r="N2589">
        <v>22.5</v>
      </c>
      <c r="O2589">
        <v>20</v>
      </c>
      <c r="P2589">
        <v>450</v>
      </c>
      <c r="Q2589">
        <v>447.5</v>
      </c>
      <c r="R2589" t="s">
        <v>30</v>
      </c>
      <c r="S2589" t="s">
        <v>31</v>
      </c>
      <c r="T2589" t="s">
        <v>32</v>
      </c>
      <c r="U2589">
        <v>70</v>
      </c>
      <c r="V2589">
        <v>4.3</v>
      </c>
      <c r="W2589">
        <f>Table2[[#This Row],[Quantity]]*Table2[[#This Row],[Item_Price]]</f>
        <v>450</v>
      </c>
    </row>
    <row r="2590" spans="1:23" x14ac:dyDescent="0.25">
      <c r="A2590" t="s">
        <v>2690</v>
      </c>
      <c r="B2590" s="1">
        <v>45844</v>
      </c>
      <c r="C2590" t="s">
        <v>2632</v>
      </c>
      <c r="D2590">
        <v>7</v>
      </c>
      <c r="E2590">
        <v>6</v>
      </c>
      <c r="F2590" t="s">
        <v>149</v>
      </c>
      <c r="G2590" t="s">
        <v>73</v>
      </c>
      <c r="H2590" t="s">
        <v>35</v>
      </c>
      <c r="I2590" t="s">
        <v>49</v>
      </c>
      <c r="J2590" t="s">
        <v>37</v>
      </c>
      <c r="K2590" t="s">
        <v>38</v>
      </c>
      <c r="L2590">
        <v>2</v>
      </c>
      <c r="M2590">
        <v>452</v>
      </c>
      <c r="N2590">
        <v>90.4</v>
      </c>
      <c r="O2590">
        <v>20</v>
      </c>
      <c r="P2590">
        <v>904</v>
      </c>
      <c r="Q2590">
        <v>833.6</v>
      </c>
      <c r="R2590" t="s">
        <v>112</v>
      </c>
      <c r="S2590" t="s">
        <v>31</v>
      </c>
      <c r="T2590" t="s">
        <v>40</v>
      </c>
      <c r="U2590">
        <v>36</v>
      </c>
      <c r="V2590">
        <v>3</v>
      </c>
      <c r="W2590">
        <f>Table2[[#This Row],[Quantity]]*Table2[[#This Row],[Item_Price]]</f>
        <v>904</v>
      </c>
    </row>
    <row r="2591" spans="1:23" x14ac:dyDescent="0.25">
      <c r="A2591" t="s">
        <v>2691</v>
      </c>
      <c r="B2591" s="1">
        <v>45844</v>
      </c>
      <c r="C2591" t="s">
        <v>2632</v>
      </c>
      <c r="D2591">
        <v>7</v>
      </c>
      <c r="E2591">
        <v>6</v>
      </c>
      <c r="F2591" t="s">
        <v>149</v>
      </c>
      <c r="G2591" t="s">
        <v>115</v>
      </c>
      <c r="H2591" t="s">
        <v>48</v>
      </c>
      <c r="I2591" t="s">
        <v>27</v>
      </c>
      <c r="J2591" t="s">
        <v>101</v>
      </c>
      <c r="K2591" t="s">
        <v>45</v>
      </c>
      <c r="L2591">
        <v>1</v>
      </c>
      <c r="M2591">
        <v>627</v>
      </c>
      <c r="N2591">
        <v>0</v>
      </c>
      <c r="O2591">
        <v>40</v>
      </c>
      <c r="P2591">
        <v>627</v>
      </c>
      <c r="Q2591">
        <v>667</v>
      </c>
      <c r="R2591" t="s">
        <v>39</v>
      </c>
      <c r="S2591" t="s">
        <v>31</v>
      </c>
      <c r="T2591" t="s">
        <v>40</v>
      </c>
      <c r="U2591">
        <v>19</v>
      </c>
      <c r="V2591">
        <v>3.9</v>
      </c>
      <c r="W2591">
        <f>Table2[[#This Row],[Quantity]]*Table2[[#This Row],[Item_Price]]</f>
        <v>627</v>
      </c>
    </row>
    <row r="2592" spans="1:23" x14ac:dyDescent="0.25">
      <c r="A2592" t="s">
        <v>2692</v>
      </c>
      <c r="B2592" s="1">
        <v>45844</v>
      </c>
      <c r="C2592" t="s">
        <v>2632</v>
      </c>
      <c r="D2592">
        <v>7</v>
      </c>
      <c r="E2592">
        <v>6</v>
      </c>
      <c r="F2592" t="s">
        <v>149</v>
      </c>
      <c r="G2592" t="s">
        <v>84</v>
      </c>
      <c r="H2592" t="s">
        <v>108</v>
      </c>
      <c r="I2592" t="s">
        <v>57</v>
      </c>
      <c r="J2592" t="s">
        <v>28</v>
      </c>
      <c r="K2592" t="s">
        <v>38</v>
      </c>
      <c r="L2592">
        <v>2</v>
      </c>
      <c r="M2592">
        <v>182</v>
      </c>
      <c r="N2592">
        <v>0</v>
      </c>
      <c r="O2592">
        <v>70</v>
      </c>
      <c r="P2592">
        <v>364</v>
      </c>
      <c r="Q2592">
        <v>434</v>
      </c>
      <c r="R2592" t="s">
        <v>98</v>
      </c>
      <c r="S2592" t="s">
        <v>31</v>
      </c>
      <c r="T2592" t="s">
        <v>40</v>
      </c>
      <c r="U2592">
        <v>34</v>
      </c>
      <c r="V2592">
        <v>5</v>
      </c>
      <c r="W2592">
        <f>Table2[[#This Row],[Quantity]]*Table2[[#This Row],[Item_Price]]</f>
        <v>364</v>
      </c>
    </row>
    <row r="2593" spans="1:23" x14ac:dyDescent="0.25">
      <c r="A2593" t="s">
        <v>2693</v>
      </c>
      <c r="B2593" s="1">
        <v>45844</v>
      </c>
      <c r="C2593" t="s">
        <v>2632</v>
      </c>
      <c r="D2593">
        <v>7</v>
      </c>
      <c r="E2593">
        <v>6</v>
      </c>
      <c r="F2593" t="s">
        <v>149</v>
      </c>
      <c r="G2593" t="s">
        <v>73</v>
      </c>
      <c r="H2593" t="s">
        <v>60</v>
      </c>
      <c r="I2593" t="s">
        <v>57</v>
      </c>
      <c r="J2593" t="s">
        <v>37</v>
      </c>
      <c r="K2593" t="s">
        <v>38</v>
      </c>
      <c r="L2593">
        <v>3</v>
      </c>
      <c r="M2593">
        <v>386</v>
      </c>
      <c r="N2593">
        <v>19.3</v>
      </c>
      <c r="O2593">
        <v>40</v>
      </c>
      <c r="P2593">
        <v>1158</v>
      </c>
      <c r="Q2593">
        <v>1178.7</v>
      </c>
      <c r="R2593" t="s">
        <v>30</v>
      </c>
      <c r="S2593" t="s">
        <v>31</v>
      </c>
      <c r="T2593" t="s">
        <v>40</v>
      </c>
      <c r="U2593">
        <v>26</v>
      </c>
      <c r="V2593">
        <v>4</v>
      </c>
      <c r="W2593">
        <f>Table2[[#This Row],[Quantity]]*Table2[[#This Row],[Item_Price]]</f>
        <v>1158</v>
      </c>
    </row>
    <row r="2594" spans="1:23" x14ac:dyDescent="0.25">
      <c r="A2594" t="s">
        <v>2694</v>
      </c>
      <c r="B2594" s="1">
        <v>45844</v>
      </c>
      <c r="C2594" t="s">
        <v>2632</v>
      </c>
      <c r="D2594">
        <v>7</v>
      </c>
      <c r="E2594">
        <v>6</v>
      </c>
      <c r="F2594" t="s">
        <v>149</v>
      </c>
      <c r="G2594" t="s">
        <v>64</v>
      </c>
      <c r="H2594" t="s">
        <v>35</v>
      </c>
      <c r="I2594" t="s">
        <v>36</v>
      </c>
      <c r="J2594" t="s">
        <v>94</v>
      </c>
      <c r="K2594" t="s">
        <v>38</v>
      </c>
      <c r="L2594">
        <v>1</v>
      </c>
      <c r="M2594">
        <v>138</v>
      </c>
      <c r="N2594">
        <v>6.9</v>
      </c>
      <c r="O2594">
        <v>0</v>
      </c>
      <c r="P2594">
        <v>138</v>
      </c>
      <c r="Q2594">
        <v>131.1</v>
      </c>
      <c r="R2594" t="s">
        <v>30</v>
      </c>
      <c r="S2594" t="s">
        <v>91</v>
      </c>
      <c r="T2594" t="s">
        <v>40</v>
      </c>
      <c r="U2594">
        <v>34</v>
      </c>
      <c r="W2594">
        <f>Table2[[#This Row],[Quantity]]*Table2[[#This Row],[Item_Price]]</f>
        <v>138</v>
      </c>
    </row>
    <row r="2595" spans="1:23" x14ac:dyDescent="0.25">
      <c r="A2595" t="s">
        <v>2695</v>
      </c>
      <c r="B2595" s="1">
        <v>45844</v>
      </c>
      <c r="C2595" t="s">
        <v>2632</v>
      </c>
      <c r="D2595">
        <v>7</v>
      </c>
      <c r="E2595">
        <v>6</v>
      </c>
      <c r="F2595" t="s">
        <v>149</v>
      </c>
      <c r="G2595" t="s">
        <v>80</v>
      </c>
      <c r="H2595" t="s">
        <v>65</v>
      </c>
      <c r="I2595" t="s">
        <v>36</v>
      </c>
      <c r="J2595" t="s">
        <v>44</v>
      </c>
      <c r="K2595" t="s">
        <v>38</v>
      </c>
      <c r="L2595">
        <v>1</v>
      </c>
      <c r="M2595">
        <v>784</v>
      </c>
      <c r="N2595">
        <v>156.80000000000001</v>
      </c>
      <c r="O2595">
        <v>70</v>
      </c>
      <c r="P2595">
        <v>784</v>
      </c>
      <c r="Q2595">
        <v>697.2</v>
      </c>
      <c r="R2595" t="s">
        <v>39</v>
      </c>
      <c r="S2595" t="s">
        <v>31</v>
      </c>
      <c r="T2595" t="s">
        <v>40</v>
      </c>
      <c r="U2595">
        <v>29</v>
      </c>
      <c r="V2595">
        <v>4.0999999999999996</v>
      </c>
      <c r="W2595">
        <f>Table2[[#This Row],[Quantity]]*Table2[[#This Row],[Item_Price]]</f>
        <v>784</v>
      </c>
    </row>
    <row r="2596" spans="1:23" x14ac:dyDescent="0.25">
      <c r="A2596" t="s">
        <v>2696</v>
      </c>
      <c r="B2596" s="1">
        <v>45844</v>
      </c>
      <c r="C2596" t="s">
        <v>2632</v>
      </c>
      <c r="D2596">
        <v>7</v>
      </c>
      <c r="E2596">
        <v>6</v>
      </c>
      <c r="F2596" t="s">
        <v>149</v>
      </c>
      <c r="G2596" t="s">
        <v>115</v>
      </c>
      <c r="H2596" t="s">
        <v>108</v>
      </c>
      <c r="I2596" t="s">
        <v>43</v>
      </c>
      <c r="J2596" t="s">
        <v>78</v>
      </c>
      <c r="K2596" t="s">
        <v>38</v>
      </c>
      <c r="L2596">
        <v>1</v>
      </c>
      <c r="M2596">
        <v>296</v>
      </c>
      <c r="N2596">
        <v>44.4</v>
      </c>
      <c r="O2596">
        <v>0</v>
      </c>
      <c r="P2596">
        <v>296</v>
      </c>
      <c r="Q2596">
        <v>251.6</v>
      </c>
      <c r="R2596" t="s">
        <v>30</v>
      </c>
      <c r="S2596" t="s">
        <v>31</v>
      </c>
      <c r="T2596" t="s">
        <v>40</v>
      </c>
      <c r="U2596">
        <v>48</v>
      </c>
      <c r="V2596">
        <v>4.9000000000000004</v>
      </c>
      <c r="W2596">
        <f>Table2[[#This Row],[Quantity]]*Table2[[#This Row],[Item_Price]]</f>
        <v>296</v>
      </c>
    </row>
    <row r="2597" spans="1:23" x14ac:dyDescent="0.25">
      <c r="A2597" t="s">
        <v>2697</v>
      </c>
      <c r="B2597" s="1">
        <v>45844</v>
      </c>
      <c r="C2597" t="s">
        <v>2632</v>
      </c>
      <c r="D2597">
        <v>7</v>
      </c>
      <c r="E2597">
        <v>6</v>
      </c>
      <c r="F2597" t="s">
        <v>149</v>
      </c>
      <c r="G2597" t="s">
        <v>115</v>
      </c>
      <c r="H2597" t="s">
        <v>56</v>
      </c>
      <c r="I2597" t="s">
        <v>27</v>
      </c>
      <c r="J2597" t="s">
        <v>44</v>
      </c>
      <c r="K2597" t="s">
        <v>58</v>
      </c>
      <c r="L2597">
        <v>1</v>
      </c>
      <c r="M2597">
        <v>489</v>
      </c>
      <c r="N2597">
        <v>0</v>
      </c>
      <c r="O2597">
        <v>30</v>
      </c>
      <c r="P2597">
        <v>489</v>
      </c>
      <c r="Q2597">
        <v>519</v>
      </c>
      <c r="R2597" t="s">
        <v>39</v>
      </c>
      <c r="S2597" t="s">
        <v>31</v>
      </c>
      <c r="T2597" t="s">
        <v>32</v>
      </c>
      <c r="U2597">
        <v>36</v>
      </c>
      <c r="V2597">
        <v>4.8</v>
      </c>
      <c r="W2597">
        <f>Table2[[#This Row],[Quantity]]*Table2[[#This Row],[Item_Price]]</f>
        <v>489</v>
      </c>
    </row>
    <row r="2598" spans="1:23" x14ac:dyDescent="0.25">
      <c r="A2598" t="s">
        <v>2698</v>
      </c>
      <c r="B2598" s="1">
        <v>45844</v>
      </c>
      <c r="C2598" t="s">
        <v>2632</v>
      </c>
      <c r="D2598">
        <v>7</v>
      </c>
      <c r="E2598">
        <v>6</v>
      </c>
      <c r="F2598" t="s">
        <v>149</v>
      </c>
      <c r="G2598" t="s">
        <v>34</v>
      </c>
      <c r="H2598" t="s">
        <v>68</v>
      </c>
      <c r="I2598" t="s">
        <v>27</v>
      </c>
      <c r="J2598" t="s">
        <v>66</v>
      </c>
      <c r="K2598" t="s">
        <v>38</v>
      </c>
      <c r="L2598">
        <v>3</v>
      </c>
      <c r="M2598">
        <v>752</v>
      </c>
      <c r="N2598">
        <v>150.4</v>
      </c>
      <c r="O2598">
        <v>50</v>
      </c>
      <c r="P2598">
        <v>2256</v>
      </c>
      <c r="Q2598">
        <v>2155.6</v>
      </c>
      <c r="R2598" t="s">
        <v>75</v>
      </c>
      <c r="S2598" t="s">
        <v>31</v>
      </c>
      <c r="T2598" t="s">
        <v>40</v>
      </c>
      <c r="U2598">
        <v>66</v>
      </c>
      <c r="V2598">
        <v>4.5</v>
      </c>
      <c r="W2598">
        <f>Table2[[#This Row],[Quantity]]*Table2[[#This Row],[Item_Price]]</f>
        <v>2256</v>
      </c>
    </row>
    <row r="2599" spans="1:23" x14ac:dyDescent="0.25">
      <c r="A2599" t="s">
        <v>2699</v>
      </c>
      <c r="B2599" s="1">
        <v>45844</v>
      </c>
      <c r="C2599" t="s">
        <v>2632</v>
      </c>
      <c r="D2599">
        <v>7</v>
      </c>
      <c r="E2599">
        <v>6</v>
      </c>
      <c r="F2599" t="s">
        <v>149</v>
      </c>
      <c r="G2599" t="s">
        <v>80</v>
      </c>
      <c r="H2599" t="s">
        <v>48</v>
      </c>
      <c r="I2599" t="s">
        <v>69</v>
      </c>
      <c r="J2599" t="s">
        <v>50</v>
      </c>
      <c r="K2599" t="s">
        <v>38</v>
      </c>
      <c r="L2599">
        <v>2</v>
      </c>
      <c r="M2599">
        <v>159</v>
      </c>
      <c r="N2599">
        <v>7.95</v>
      </c>
      <c r="O2599">
        <v>50</v>
      </c>
      <c r="P2599">
        <v>318</v>
      </c>
      <c r="Q2599">
        <v>360.05</v>
      </c>
      <c r="R2599" t="s">
        <v>39</v>
      </c>
      <c r="S2599" t="s">
        <v>31</v>
      </c>
      <c r="T2599" t="s">
        <v>32</v>
      </c>
      <c r="U2599">
        <v>60</v>
      </c>
      <c r="V2599">
        <v>4.2</v>
      </c>
      <c r="W2599">
        <f>Table2[[#This Row],[Quantity]]*Table2[[#This Row],[Item_Price]]</f>
        <v>318</v>
      </c>
    </row>
    <row r="2600" spans="1:23" x14ac:dyDescent="0.25">
      <c r="A2600" t="s">
        <v>2700</v>
      </c>
      <c r="B2600" s="1">
        <v>45844</v>
      </c>
      <c r="C2600" t="s">
        <v>2632</v>
      </c>
      <c r="D2600">
        <v>7</v>
      </c>
      <c r="E2600">
        <v>6</v>
      </c>
      <c r="F2600" t="s">
        <v>149</v>
      </c>
      <c r="G2600" t="s">
        <v>115</v>
      </c>
      <c r="H2600" t="s">
        <v>35</v>
      </c>
      <c r="I2600" t="s">
        <v>61</v>
      </c>
      <c r="J2600" t="s">
        <v>123</v>
      </c>
      <c r="K2600" t="s">
        <v>45</v>
      </c>
      <c r="L2600">
        <v>2</v>
      </c>
      <c r="M2600">
        <v>558</v>
      </c>
      <c r="N2600">
        <v>55.8</v>
      </c>
      <c r="O2600">
        <v>30</v>
      </c>
      <c r="P2600">
        <v>1116</v>
      </c>
      <c r="Q2600">
        <v>1090.2</v>
      </c>
      <c r="R2600" t="s">
        <v>75</v>
      </c>
      <c r="S2600" t="s">
        <v>31</v>
      </c>
      <c r="T2600" t="s">
        <v>40</v>
      </c>
      <c r="U2600">
        <v>39</v>
      </c>
      <c r="V2600">
        <v>4.4000000000000004</v>
      </c>
      <c r="W2600">
        <f>Table2[[#This Row],[Quantity]]*Table2[[#This Row],[Item_Price]]</f>
        <v>1116</v>
      </c>
    </row>
    <row r="2601" spans="1:23" x14ac:dyDescent="0.25">
      <c r="A2601" t="s">
        <v>2701</v>
      </c>
      <c r="B2601" s="1">
        <v>45844</v>
      </c>
      <c r="C2601" t="s">
        <v>2632</v>
      </c>
      <c r="D2601">
        <v>7</v>
      </c>
      <c r="E2601">
        <v>6</v>
      </c>
      <c r="F2601" t="s">
        <v>149</v>
      </c>
      <c r="G2601" t="s">
        <v>115</v>
      </c>
      <c r="H2601" t="s">
        <v>52</v>
      </c>
      <c r="I2601" t="s">
        <v>61</v>
      </c>
      <c r="J2601" t="s">
        <v>74</v>
      </c>
      <c r="K2601" t="s">
        <v>38</v>
      </c>
      <c r="L2601">
        <v>1</v>
      </c>
      <c r="M2601">
        <v>820</v>
      </c>
      <c r="N2601">
        <v>123</v>
      </c>
      <c r="O2601">
        <v>50</v>
      </c>
      <c r="P2601">
        <v>820</v>
      </c>
      <c r="Q2601">
        <v>747</v>
      </c>
      <c r="R2601" t="s">
        <v>30</v>
      </c>
      <c r="S2601" t="s">
        <v>31</v>
      </c>
      <c r="T2601" t="s">
        <v>32</v>
      </c>
      <c r="U2601">
        <v>39</v>
      </c>
      <c r="V2601">
        <v>3.4</v>
      </c>
      <c r="W2601">
        <f>Table2[[#This Row],[Quantity]]*Table2[[#This Row],[Item_Price]]</f>
        <v>820</v>
      </c>
    </row>
    <row r="2602" spans="1:23" x14ac:dyDescent="0.25">
      <c r="A2602" t="s">
        <v>2702</v>
      </c>
      <c r="B2602" s="1">
        <v>45844</v>
      </c>
      <c r="C2602" t="s">
        <v>2632</v>
      </c>
      <c r="D2602">
        <v>7</v>
      </c>
      <c r="E2602">
        <v>6</v>
      </c>
      <c r="F2602" t="s">
        <v>149</v>
      </c>
      <c r="G2602" t="s">
        <v>115</v>
      </c>
      <c r="H2602" t="s">
        <v>52</v>
      </c>
      <c r="I2602" t="s">
        <v>69</v>
      </c>
      <c r="J2602" t="s">
        <v>119</v>
      </c>
      <c r="K2602" t="s">
        <v>45</v>
      </c>
      <c r="L2602">
        <v>1</v>
      </c>
      <c r="M2602">
        <v>797</v>
      </c>
      <c r="N2602">
        <v>79.7</v>
      </c>
      <c r="O2602">
        <v>50</v>
      </c>
      <c r="P2602">
        <v>797</v>
      </c>
      <c r="Q2602">
        <v>767.3</v>
      </c>
      <c r="R2602" t="s">
        <v>98</v>
      </c>
      <c r="S2602" t="s">
        <v>31</v>
      </c>
      <c r="T2602" t="s">
        <v>40</v>
      </c>
      <c r="U2602">
        <v>62</v>
      </c>
      <c r="V2602">
        <v>3.6</v>
      </c>
      <c r="W2602">
        <f>Table2[[#This Row],[Quantity]]*Table2[[#This Row],[Item_Price]]</f>
        <v>797</v>
      </c>
    </row>
    <row r="2603" spans="1:23" x14ac:dyDescent="0.25">
      <c r="A2603" t="s">
        <v>2703</v>
      </c>
      <c r="B2603" s="1">
        <v>45845</v>
      </c>
      <c r="C2603" t="s">
        <v>2632</v>
      </c>
      <c r="D2603">
        <v>7</v>
      </c>
      <c r="E2603">
        <v>7</v>
      </c>
      <c r="F2603" t="s">
        <v>168</v>
      </c>
      <c r="G2603" t="s">
        <v>34</v>
      </c>
      <c r="H2603" t="s">
        <v>105</v>
      </c>
      <c r="I2603" t="s">
        <v>57</v>
      </c>
      <c r="J2603" t="s">
        <v>94</v>
      </c>
      <c r="K2603" t="s">
        <v>58</v>
      </c>
      <c r="L2603">
        <v>2</v>
      </c>
      <c r="M2603">
        <v>609</v>
      </c>
      <c r="N2603">
        <v>152.25</v>
      </c>
      <c r="O2603">
        <v>50</v>
      </c>
      <c r="P2603">
        <v>1218</v>
      </c>
      <c r="Q2603">
        <v>1115.75</v>
      </c>
      <c r="R2603" t="s">
        <v>75</v>
      </c>
      <c r="S2603" t="s">
        <v>31</v>
      </c>
      <c r="T2603" t="s">
        <v>40</v>
      </c>
      <c r="U2603">
        <v>41</v>
      </c>
      <c r="V2603">
        <v>3.9</v>
      </c>
      <c r="W2603">
        <f>Table2[[#This Row],[Quantity]]*Table2[[#This Row],[Item_Price]]</f>
        <v>1218</v>
      </c>
    </row>
    <row r="2604" spans="1:23" x14ac:dyDescent="0.25">
      <c r="A2604" t="s">
        <v>2704</v>
      </c>
      <c r="B2604" s="1">
        <v>45845</v>
      </c>
      <c r="C2604" t="s">
        <v>2632</v>
      </c>
      <c r="D2604">
        <v>7</v>
      </c>
      <c r="E2604">
        <v>7</v>
      </c>
      <c r="F2604" t="s">
        <v>168</v>
      </c>
      <c r="G2604" t="s">
        <v>25</v>
      </c>
      <c r="H2604" t="s">
        <v>68</v>
      </c>
      <c r="I2604" t="s">
        <v>85</v>
      </c>
      <c r="J2604" t="s">
        <v>78</v>
      </c>
      <c r="K2604" t="s">
        <v>38</v>
      </c>
      <c r="L2604">
        <v>2</v>
      </c>
      <c r="M2604">
        <v>392</v>
      </c>
      <c r="N2604">
        <v>78.400000000000006</v>
      </c>
      <c r="O2604">
        <v>0</v>
      </c>
      <c r="P2604">
        <v>784</v>
      </c>
      <c r="Q2604">
        <v>705.6</v>
      </c>
      <c r="R2604" t="s">
        <v>39</v>
      </c>
      <c r="S2604" t="s">
        <v>31</v>
      </c>
      <c r="T2604" t="s">
        <v>40</v>
      </c>
      <c r="U2604">
        <v>61</v>
      </c>
      <c r="V2604">
        <v>4</v>
      </c>
      <c r="W2604">
        <f>Table2[[#This Row],[Quantity]]*Table2[[#This Row],[Item_Price]]</f>
        <v>784</v>
      </c>
    </row>
    <row r="2605" spans="1:23" x14ac:dyDescent="0.25">
      <c r="A2605" t="s">
        <v>2705</v>
      </c>
      <c r="B2605" s="1">
        <v>45845</v>
      </c>
      <c r="C2605" t="s">
        <v>2632</v>
      </c>
      <c r="D2605">
        <v>7</v>
      </c>
      <c r="E2605">
        <v>7</v>
      </c>
      <c r="F2605" t="s">
        <v>168</v>
      </c>
      <c r="G2605" t="s">
        <v>84</v>
      </c>
      <c r="H2605" t="s">
        <v>48</v>
      </c>
      <c r="I2605" t="s">
        <v>61</v>
      </c>
      <c r="J2605" t="s">
        <v>101</v>
      </c>
      <c r="K2605" t="s">
        <v>38</v>
      </c>
      <c r="L2605">
        <v>3</v>
      </c>
      <c r="M2605">
        <v>318</v>
      </c>
      <c r="N2605">
        <v>0</v>
      </c>
      <c r="O2605">
        <v>40</v>
      </c>
      <c r="P2605">
        <v>954</v>
      </c>
      <c r="Q2605">
        <v>994</v>
      </c>
      <c r="R2605" t="s">
        <v>75</v>
      </c>
      <c r="S2605" t="s">
        <v>31</v>
      </c>
      <c r="T2605" t="s">
        <v>32</v>
      </c>
      <c r="U2605">
        <v>20</v>
      </c>
      <c r="V2605">
        <v>4.0999999999999996</v>
      </c>
      <c r="W2605">
        <f>Table2[[#This Row],[Quantity]]*Table2[[#This Row],[Item_Price]]</f>
        <v>954</v>
      </c>
    </row>
    <row r="2606" spans="1:23" x14ac:dyDescent="0.25">
      <c r="A2606" t="s">
        <v>2706</v>
      </c>
      <c r="B2606" s="1">
        <v>45845</v>
      </c>
      <c r="C2606" t="s">
        <v>2632</v>
      </c>
      <c r="D2606">
        <v>7</v>
      </c>
      <c r="E2606">
        <v>7</v>
      </c>
      <c r="F2606" t="s">
        <v>168</v>
      </c>
      <c r="G2606" t="s">
        <v>80</v>
      </c>
      <c r="H2606" t="s">
        <v>48</v>
      </c>
      <c r="I2606" t="s">
        <v>57</v>
      </c>
      <c r="J2606" t="s">
        <v>37</v>
      </c>
      <c r="K2606" t="s">
        <v>38</v>
      </c>
      <c r="L2606">
        <v>2</v>
      </c>
      <c r="M2606">
        <v>444</v>
      </c>
      <c r="N2606">
        <v>111</v>
      </c>
      <c r="O2606">
        <v>30</v>
      </c>
      <c r="P2606">
        <v>888</v>
      </c>
      <c r="Q2606">
        <v>807</v>
      </c>
      <c r="R2606" t="s">
        <v>39</v>
      </c>
      <c r="S2606" t="s">
        <v>91</v>
      </c>
      <c r="T2606" t="s">
        <v>32</v>
      </c>
      <c r="U2606">
        <v>52</v>
      </c>
      <c r="W2606">
        <f>Table2[[#This Row],[Quantity]]*Table2[[#This Row],[Item_Price]]</f>
        <v>888</v>
      </c>
    </row>
    <row r="2607" spans="1:23" x14ac:dyDescent="0.25">
      <c r="A2607" t="s">
        <v>2707</v>
      </c>
      <c r="B2607" s="1">
        <v>45845</v>
      </c>
      <c r="C2607" t="s">
        <v>2632</v>
      </c>
      <c r="D2607">
        <v>7</v>
      </c>
      <c r="E2607">
        <v>7</v>
      </c>
      <c r="F2607" t="s">
        <v>168</v>
      </c>
      <c r="G2607" t="s">
        <v>64</v>
      </c>
      <c r="H2607" t="s">
        <v>35</v>
      </c>
      <c r="I2607" t="s">
        <v>36</v>
      </c>
      <c r="J2607" t="s">
        <v>119</v>
      </c>
      <c r="K2607" t="s">
        <v>38</v>
      </c>
      <c r="L2607">
        <v>1</v>
      </c>
      <c r="M2607">
        <v>863</v>
      </c>
      <c r="N2607">
        <v>86.3</v>
      </c>
      <c r="O2607">
        <v>20</v>
      </c>
      <c r="P2607">
        <v>863</v>
      </c>
      <c r="Q2607">
        <v>796.7</v>
      </c>
      <c r="R2607" t="s">
        <v>75</v>
      </c>
      <c r="S2607" t="s">
        <v>46</v>
      </c>
      <c r="T2607" t="s">
        <v>40</v>
      </c>
      <c r="U2607">
        <v>69</v>
      </c>
      <c r="W2607">
        <f>Table2[[#This Row],[Quantity]]*Table2[[#This Row],[Item_Price]]</f>
        <v>863</v>
      </c>
    </row>
    <row r="2608" spans="1:23" x14ac:dyDescent="0.25">
      <c r="A2608" t="s">
        <v>2708</v>
      </c>
      <c r="B2608" s="1">
        <v>45845</v>
      </c>
      <c r="C2608" t="s">
        <v>2632</v>
      </c>
      <c r="D2608">
        <v>7</v>
      </c>
      <c r="E2608">
        <v>7</v>
      </c>
      <c r="F2608" t="s">
        <v>168</v>
      </c>
      <c r="G2608" t="s">
        <v>90</v>
      </c>
      <c r="H2608" t="s">
        <v>68</v>
      </c>
      <c r="I2608" t="s">
        <v>61</v>
      </c>
      <c r="J2608" t="s">
        <v>66</v>
      </c>
      <c r="K2608" t="s">
        <v>38</v>
      </c>
      <c r="L2608">
        <v>1</v>
      </c>
      <c r="M2608">
        <v>381</v>
      </c>
      <c r="N2608">
        <v>0</v>
      </c>
      <c r="O2608">
        <v>60</v>
      </c>
      <c r="P2608">
        <v>381</v>
      </c>
      <c r="Q2608">
        <v>441</v>
      </c>
      <c r="R2608" t="s">
        <v>98</v>
      </c>
      <c r="S2608" t="s">
        <v>31</v>
      </c>
      <c r="T2608" t="s">
        <v>40</v>
      </c>
      <c r="U2608">
        <v>40</v>
      </c>
      <c r="V2608">
        <v>3.9</v>
      </c>
      <c r="W2608">
        <f>Table2[[#This Row],[Quantity]]*Table2[[#This Row],[Item_Price]]</f>
        <v>381</v>
      </c>
    </row>
    <row r="2609" spans="1:23" x14ac:dyDescent="0.25">
      <c r="A2609" t="s">
        <v>2709</v>
      </c>
      <c r="B2609" s="1">
        <v>45845</v>
      </c>
      <c r="C2609" t="s">
        <v>2632</v>
      </c>
      <c r="D2609">
        <v>7</v>
      </c>
      <c r="E2609">
        <v>7</v>
      </c>
      <c r="F2609" t="s">
        <v>168</v>
      </c>
      <c r="G2609" t="s">
        <v>115</v>
      </c>
      <c r="H2609" t="s">
        <v>81</v>
      </c>
      <c r="I2609" t="s">
        <v>49</v>
      </c>
      <c r="J2609" t="s">
        <v>119</v>
      </c>
      <c r="K2609" t="s">
        <v>38</v>
      </c>
      <c r="L2609">
        <v>3</v>
      </c>
      <c r="M2609">
        <v>396</v>
      </c>
      <c r="N2609">
        <v>0</v>
      </c>
      <c r="O2609">
        <v>60</v>
      </c>
      <c r="P2609">
        <v>1188</v>
      </c>
      <c r="Q2609">
        <v>1248</v>
      </c>
      <c r="R2609" t="s">
        <v>75</v>
      </c>
      <c r="S2609" t="s">
        <v>31</v>
      </c>
      <c r="T2609" t="s">
        <v>32</v>
      </c>
      <c r="U2609">
        <v>20</v>
      </c>
      <c r="V2609">
        <v>3.9</v>
      </c>
      <c r="W2609">
        <f>Table2[[#This Row],[Quantity]]*Table2[[#This Row],[Item_Price]]</f>
        <v>1188</v>
      </c>
    </row>
    <row r="2610" spans="1:23" x14ac:dyDescent="0.25">
      <c r="A2610" t="s">
        <v>2710</v>
      </c>
      <c r="B2610" s="1">
        <v>45845</v>
      </c>
      <c r="C2610" t="s">
        <v>2632</v>
      </c>
      <c r="D2610">
        <v>7</v>
      </c>
      <c r="E2610">
        <v>7</v>
      </c>
      <c r="F2610" t="s">
        <v>168</v>
      </c>
      <c r="G2610" t="s">
        <v>96</v>
      </c>
      <c r="H2610" t="s">
        <v>56</v>
      </c>
      <c r="I2610" t="s">
        <v>43</v>
      </c>
      <c r="J2610" t="s">
        <v>44</v>
      </c>
      <c r="K2610" t="s">
        <v>58</v>
      </c>
      <c r="L2610">
        <v>2</v>
      </c>
      <c r="M2610">
        <v>319</v>
      </c>
      <c r="N2610">
        <v>63.8</v>
      </c>
      <c r="O2610">
        <v>30</v>
      </c>
      <c r="P2610">
        <v>638</v>
      </c>
      <c r="Q2610">
        <v>604.20000000000005</v>
      </c>
      <c r="R2610" t="s">
        <v>39</v>
      </c>
      <c r="S2610" t="s">
        <v>91</v>
      </c>
      <c r="T2610" t="s">
        <v>32</v>
      </c>
      <c r="U2610">
        <v>55</v>
      </c>
      <c r="W2610">
        <f>Table2[[#This Row],[Quantity]]*Table2[[#This Row],[Item_Price]]</f>
        <v>638</v>
      </c>
    </row>
    <row r="2611" spans="1:23" x14ac:dyDescent="0.25">
      <c r="A2611" t="s">
        <v>2711</v>
      </c>
      <c r="B2611" s="1">
        <v>45845</v>
      </c>
      <c r="C2611" t="s">
        <v>2632</v>
      </c>
      <c r="D2611">
        <v>7</v>
      </c>
      <c r="E2611">
        <v>7</v>
      </c>
      <c r="F2611" t="s">
        <v>168</v>
      </c>
      <c r="G2611" t="s">
        <v>34</v>
      </c>
      <c r="H2611" t="s">
        <v>42</v>
      </c>
      <c r="I2611" t="s">
        <v>61</v>
      </c>
      <c r="J2611" t="s">
        <v>44</v>
      </c>
      <c r="K2611" t="s">
        <v>38</v>
      </c>
      <c r="L2611">
        <v>2</v>
      </c>
      <c r="M2611">
        <v>755</v>
      </c>
      <c r="N2611">
        <v>75.5</v>
      </c>
      <c r="O2611">
        <v>40</v>
      </c>
      <c r="P2611">
        <v>1510</v>
      </c>
      <c r="Q2611">
        <v>1474.5</v>
      </c>
      <c r="R2611" t="s">
        <v>75</v>
      </c>
      <c r="S2611" t="s">
        <v>31</v>
      </c>
      <c r="T2611" t="s">
        <v>40</v>
      </c>
      <c r="U2611">
        <v>34</v>
      </c>
      <c r="V2611">
        <v>3.2</v>
      </c>
      <c r="W2611">
        <f>Table2[[#This Row],[Quantity]]*Table2[[#This Row],[Item_Price]]</f>
        <v>1510</v>
      </c>
    </row>
    <row r="2612" spans="1:23" x14ac:dyDescent="0.25">
      <c r="A2612" t="s">
        <v>2712</v>
      </c>
      <c r="B2612" s="1">
        <v>45845</v>
      </c>
      <c r="C2612" t="s">
        <v>2632</v>
      </c>
      <c r="D2612">
        <v>7</v>
      </c>
      <c r="E2612">
        <v>7</v>
      </c>
      <c r="F2612" t="s">
        <v>168</v>
      </c>
      <c r="G2612" t="s">
        <v>64</v>
      </c>
      <c r="H2612" t="s">
        <v>65</v>
      </c>
      <c r="I2612" t="s">
        <v>36</v>
      </c>
      <c r="J2612" t="s">
        <v>28</v>
      </c>
      <c r="K2612" t="s">
        <v>38</v>
      </c>
      <c r="L2612">
        <v>2</v>
      </c>
      <c r="M2612">
        <v>333</v>
      </c>
      <c r="N2612">
        <v>0</v>
      </c>
      <c r="O2612">
        <v>70</v>
      </c>
      <c r="P2612">
        <v>666</v>
      </c>
      <c r="Q2612">
        <v>736</v>
      </c>
      <c r="R2612" t="s">
        <v>75</v>
      </c>
      <c r="S2612" t="s">
        <v>31</v>
      </c>
      <c r="T2612" t="s">
        <v>40</v>
      </c>
      <c r="U2612">
        <v>65</v>
      </c>
      <c r="V2612">
        <v>4.3</v>
      </c>
      <c r="W2612">
        <f>Table2[[#This Row],[Quantity]]*Table2[[#This Row],[Item_Price]]</f>
        <v>666</v>
      </c>
    </row>
    <row r="2613" spans="1:23" x14ac:dyDescent="0.25">
      <c r="A2613" t="s">
        <v>2713</v>
      </c>
      <c r="B2613" s="1">
        <v>45845</v>
      </c>
      <c r="C2613" t="s">
        <v>2632</v>
      </c>
      <c r="D2613">
        <v>7</v>
      </c>
      <c r="E2613">
        <v>7</v>
      </c>
      <c r="F2613" t="s">
        <v>168</v>
      </c>
      <c r="G2613" t="s">
        <v>34</v>
      </c>
      <c r="H2613" t="s">
        <v>65</v>
      </c>
      <c r="I2613" t="s">
        <v>85</v>
      </c>
      <c r="J2613" t="s">
        <v>62</v>
      </c>
      <c r="K2613" t="s">
        <v>45</v>
      </c>
      <c r="L2613">
        <v>2</v>
      </c>
      <c r="M2613">
        <v>725</v>
      </c>
      <c r="N2613">
        <v>0</v>
      </c>
      <c r="O2613">
        <v>20</v>
      </c>
      <c r="P2613">
        <v>1450</v>
      </c>
      <c r="Q2613">
        <v>1470</v>
      </c>
      <c r="R2613" t="s">
        <v>39</v>
      </c>
      <c r="S2613" t="s">
        <v>46</v>
      </c>
      <c r="T2613" t="s">
        <v>40</v>
      </c>
      <c r="U2613">
        <v>65</v>
      </c>
      <c r="W2613">
        <f>Table2[[#This Row],[Quantity]]*Table2[[#This Row],[Item_Price]]</f>
        <v>1450</v>
      </c>
    </row>
    <row r="2614" spans="1:23" x14ac:dyDescent="0.25">
      <c r="A2614" t="s">
        <v>2714</v>
      </c>
      <c r="B2614" s="1">
        <v>45845</v>
      </c>
      <c r="C2614" t="s">
        <v>2632</v>
      </c>
      <c r="D2614">
        <v>7</v>
      </c>
      <c r="E2614">
        <v>7</v>
      </c>
      <c r="F2614" t="s">
        <v>168</v>
      </c>
      <c r="G2614" t="s">
        <v>80</v>
      </c>
      <c r="H2614" t="s">
        <v>65</v>
      </c>
      <c r="I2614" t="s">
        <v>57</v>
      </c>
      <c r="J2614" t="s">
        <v>62</v>
      </c>
      <c r="K2614" t="s">
        <v>38</v>
      </c>
      <c r="L2614">
        <v>3</v>
      </c>
      <c r="M2614">
        <v>723</v>
      </c>
      <c r="N2614">
        <v>36.15</v>
      </c>
      <c r="O2614">
        <v>40</v>
      </c>
      <c r="P2614">
        <v>2169</v>
      </c>
      <c r="Q2614">
        <v>2172.85</v>
      </c>
      <c r="R2614" t="s">
        <v>30</v>
      </c>
      <c r="S2614" t="s">
        <v>31</v>
      </c>
      <c r="T2614" t="s">
        <v>32</v>
      </c>
      <c r="U2614">
        <v>35</v>
      </c>
      <c r="V2614">
        <v>4</v>
      </c>
      <c r="W2614">
        <f>Table2[[#This Row],[Quantity]]*Table2[[#This Row],[Item_Price]]</f>
        <v>2169</v>
      </c>
    </row>
    <row r="2615" spans="1:23" x14ac:dyDescent="0.25">
      <c r="A2615" t="s">
        <v>2715</v>
      </c>
      <c r="B2615" s="1">
        <v>45845</v>
      </c>
      <c r="C2615" t="s">
        <v>2632</v>
      </c>
      <c r="D2615">
        <v>7</v>
      </c>
      <c r="E2615">
        <v>7</v>
      </c>
      <c r="F2615" t="s">
        <v>168</v>
      </c>
      <c r="G2615" t="s">
        <v>64</v>
      </c>
      <c r="H2615" t="s">
        <v>77</v>
      </c>
      <c r="I2615" t="s">
        <v>36</v>
      </c>
      <c r="J2615" t="s">
        <v>62</v>
      </c>
      <c r="K2615" t="s">
        <v>45</v>
      </c>
      <c r="L2615">
        <v>2</v>
      </c>
      <c r="M2615">
        <v>816</v>
      </c>
      <c r="N2615">
        <v>204</v>
      </c>
      <c r="O2615">
        <v>0</v>
      </c>
      <c r="P2615">
        <v>1632</v>
      </c>
      <c r="Q2615">
        <v>1428</v>
      </c>
      <c r="R2615" t="s">
        <v>112</v>
      </c>
      <c r="S2615" t="s">
        <v>31</v>
      </c>
      <c r="T2615" t="s">
        <v>32</v>
      </c>
      <c r="U2615">
        <v>36</v>
      </c>
      <c r="V2615">
        <v>2.5</v>
      </c>
      <c r="W2615">
        <f>Table2[[#This Row],[Quantity]]*Table2[[#This Row],[Item_Price]]</f>
        <v>1632</v>
      </c>
    </row>
    <row r="2616" spans="1:23" x14ac:dyDescent="0.25">
      <c r="A2616" t="s">
        <v>2716</v>
      </c>
      <c r="B2616" s="1">
        <v>45845</v>
      </c>
      <c r="C2616" t="s">
        <v>2632</v>
      </c>
      <c r="D2616">
        <v>7</v>
      </c>
      <c r="E2616">
        <v>7</v>
      </c>
      <c r="F2616" t="s">
        <v>168</v>
      </c>
      <c r="G2616" t="s">
        <v>90</v>
      </c>
      <c r="H2616" t="s">
        <v>135</v>
      </c>
      <c r="I2616" t="s">
        <v>103</v>
      </c>
      <c r="J2616" t="s">
        <v>50</v>
      </c>
      <c r="K2616" t="s">
        <v>38</v>
      </c>
      <c r="L2616">
        <v>1</v>
      </c>
      <c r="M2616">
        <v>376</v>
      </c>
      <c r="N2616">
        <v>75.2</v>
      </c>
      <c r="O2616">
        <v>40</v>
      </c>
      <c r="P2616">
        <v>376</v>
      </c>
      <c r="Q2616">
        <v>340.8</v>
      </c>
      <c r="R2616" t="s">
        <v>30</v>
      </c>
      <c r="S2616" t="s">
        <v>31</v>
      </c>
      <c r="T2616" t="s">
        <v>32</v>
      </c>
      <c r="U2616">
        <v>64</v>
      </c>
      <c r="V2616">
        <v>4.4000000000000004</v>
      </c>
      <c r="W2616">
        <f>Table2[[#This Row],[Quantity]]*Table2[[#This Row],[Item_Price]]</f>
        <v>376</v>
      </c>
    </row>
    <row r="2617" spans="1:23" x14ac:dyDescent="0.25">
      <c r="A2617" t="s">
        <v>2717</v>
      </c>
      <c r="B2617" s="1">
        <v>45845</v>
      </c>
      <c r="C2617" t="s">
        <v>2632</v>
      </c>
      <c r="D2617">
        <v>7</v>
      </c>
      <c r="E2617">
        <v>7</v>
      </c>
      <c r="F2617" t="s">
        <v>168</v>
      </c>
      <c r="G2617" t="s">
        <v>34</v>
      </c>
      <c r="H2617" t="s">
        <v>35</v>
      </c>
      <c r="I2617" t="s">
        <v>97</v>
      </c>
      <c r="J2617" t="s">
        <v>44</v>
      </c>
      <c r="K2617" t="s">
        <v>45</v>
      </c>
      <c r="L2617">
        <v>1</v>
      </c>
      <c r="M2617">
        <v>396</v>
      </c>
      <c r="N2617">
        <v>79.2</v>
      </c>
      <c r="O2617">
        <v>70</v>
      </c>
      <c r="P2617">
        <v>396</v>
      </c>
      <c r="Q2617">
        <v>386.8</v>
      </c>
      <c r="R2617" t="s">
        <v>112</v>
      </c>
      <c r="S2617" t="s">
        <v>31</v>
      </c>
      <c r="T2617" t="s">
        <v>32</v>
      </c>
      <c r="U2617">
        <v>18</v>
      </c>
      <c r="V2617">
        <v>3.7</v>
      </c>
      <c r="W2617">
        <f>Table2[[#This Row],[Quantity]]*Table2[[#This Row],[Item_Price]]</f>
        <v>396</v>
      </c>
    </row>
    <row r="2618" spans="1:23" x14ac:dyDescent="0.25">
      <c r="A2618" t="s">
        <v>2718</v>
      </c>
      <c r="B2618" s="1">
        <v>45845</v>
      </c>
      <c r="C2618" t="s">
        <v>2632</v>
      </c>
      <c r="D2618">
        <v>7</v>
      </c>
      <c r="E2618">
        <v>7</v>
      </c>
      <c r="F2618" t="s">
        <v>168</v>
      </c>
      <c r="G2618" t="s">
        <v>34</v>
      </c>
      <c r="H2618" t="s">
        <v>48</v>
      </c>
      <c r="I2618" t="s">
        <v>49</v>
      </c>
      <c r="J2618" t="s">
        <v>70</v>
      </c>
      <c r="K2618" t="s">
        <v>38</v>
      </c>
      <c r="L2618">
        <v>1</v>
      </c>
      <c r="M2618">
        <v>167</v>
      </c>
      <c r="N2618">
        <v>0</v>
      </c>
      <c r="O2618">
        <v>50</v>
      </c>
      <c r="P2618">
        <v>167</v>
      </c>
      <c r="Q2618">
        <v>217</v>
      </c>
      <c r="R2618" t="s">
        <v>30</v>
      </c>
      <c r="S2618" t="s">
        <v>31</v>
      </c>
      <c r="T2618" t="s">
        <v>40</v>
      </c>
      <c r="U2618">
        <v>18</v>
      </c>
      <c r="V2618">
        <v>4</v>
      </c>
      <c r="W2618">
        <f>Table2[[#This Row],[Quantity]]*Table2[[#This Row],[Item_Price]]</f>
        <v>167</v>
      </c>
    </row>
    <row r="2619" spans="1:23" x14ac:dyDescent="0.25">
      <c r="A2619" t="s">
        <v>2719</v>
      </c>
      <c r="B2619" s="1">
        <v>45845</v>
      </c>
      <c r="C2619" t="s">
        <v>2632</v>
      </c>
      <c r="D2619">
        <v>7</v>
      </c>
      <c r="E2619">
        <v>7</v>
      </c>
      <c r="F2619" t="s">
        <v>168</v>
      </c>
      <c r="G2619" t="s">
        <v>25</v>
      </c>
      <c r="H2619" t="s">
        <v>35</v>
      </c>
      <c r="I2619" t="s">
        <v>49</v>
      </c>
      <c r="J2619" t="s">
        <v>94</v>
      </c>
      <c r="K2619" t="s">
        <v>38</v>
      </c>
      <c r="L2619">
        <v>1</v>
      </c>
      <c r="M2619">
        <v>835</v>
      </c>
      <c r="N2619">
        <v>167</v>
      </c>
      <c r="O2619">
        <v>50</v>
      </c>
      <c r="P2619">
        <v>835</v>
      </c>
      <c r="Q2619">
        <v>718</v>
      </c>
      <c r="R2619" t="s">
        <v>75</v>
      </c>
      <c r="S2619" t="s">
        <v>110</v>
      </c>
      <c r="T2619" t="s">
        <v>32</v>
      </c>
      <c r="U2619">
        <v>60</v>
      </c>
      <c r="W2619">
        <f>Table2[[#This Row],[Quantity]]*Table2[[#This Row],[Item_Price]]</f>
        <v>835</v>
      </c>
    </row>
    <row r="2620" spans="1:23" x14ac:dyDescent="0.25">
      <c r="A2620" t="s">
        <v>2720</v>
      </c>
      <c r="B2620" s="1">
        <v>45845</v>
      </c>
      <c r="C2620" t="s">
        <v>2632</v>
      </c>
      <c r="D2620">
        <v>7</v>
      </c>
      <c r="E2620">
        <v>7</v>
      </c>
      <c r="F2620" t="s">
        <v>168</v>
      </c>
      <c r="G2620" t="s">
        <v>80</v>
      </c>
      <c r="H2620" t="s">
        <v>48</v>
      </c>
      <c r="I2620" t="s">
        <v>61</v>
      </c>
      <c r="J2620" t="s">
        <v>62</v>
      </c>
      <c r="K2620" t="s">
        <v>58</v>
      </c>
      <c r="L2620">
        <v>3</v>
      </c>
      <c r="M2620">
        <v>403</v>
      </c>
      <c r="N2620">
        <v>40.299999999999997</v>
      </c>
      <c r="O2620">
        <v>50</v>
      </c>
      <c r="P2620">
        <v>1209</v>
      </c>
      <c r="Q2620">
        <v>1218.7</v>
      </c>
      <c r="R2620" t="s">
        <v>39</v>
      </c>
      <c r="S2620" t="s">
        <v>110</v>
      </c>
      <c r="T2620" t="s">
        <v>32</v>
      </c>
      <c r="U2620">
        <v>53</v>
      </c>
      <c r="W2620">
        <f>Table2[[#This Row],[Quantity]]*Table2[[#This Row],[Item_Price]]</f>
        <v>1209</v>
      </c>
    </row>
    <row r="2621" spans="1:23" x14ac:dyDescent="0.25">
      <c r="A2621" t="s">
        <v>2721</v>
      </c>
      <c r="B2621" s="1">
        <v>45845</v>
      </c>
      <c r="C2621" t="s">
        <v>2632</v>
      </c>
      <c r="D2621">
        <v>7</v>
      </c>
      <c r="E2621">
        <v>7</v>
      </c>
      <c r="F2621" t="s">
        <v>168</v>
      </c>
      <c r="G2621" t="s">
        <v>64</v>
      </c>
      <c r="H2621" t="s">
        <v>65</v>
      </c>
      <c r="I2621" t="s">
        <v>103</v>
      </c>
      <c r="J2621" t="s">
        <v>70</v>
      </c>
      <c r="K2621" t="s">
        <v>38</v>
      </c>
      <c r="L2621">
        <v>1</v>
      </c>
      <c r="M2621">
        <v>829</v>
      </c>
      <c r="N2621">
        <v>41.45</v>
      </c>
      <c r="O2621">
        <v>50</v>
      </c>
      <c r="P2621">
        <v>829</v>
      </c>
      <c r="Q2621">
        <v>837.55</v>
      </c>
      <c r="R2621" t="s">
        <v>39</v>
      </c>
      <c r="S2621" t="s">
        <v>31</v>
      </c>
      <c r="T2621" t="s">
        <v>32</v>
      </c>
      <c r="U2621">
        <v>58</v>
      </c>
      <c r="V2621">
        <v>4.5999999999999996</v>
      </c>
      <c r="W2621">
        <f>Table2[[#This Row],[Quantity]]*Table2[[#This Row],[Item_Price]]</f>
        <v>829</v>
      </c>
    </row>
    <row r="2622" spans="1:23" x14ac:dyDescent="0.25">
      <c r="A2622" t="s">
        <v>2722</v>
      </c>
      <c r="B2622" s="1">
        <v>45845</v>
      </c>
      <c r="C2622" t="s">
        <v>2632</v>
      </c>
      <c r="D2622">
        <v>7</v>
      </c>
      <c r="E2622">
        <v>7</v>
      </c>
      <c r="F2622" t="s">
        <v>168</v>
      </c>
      <c r="G2622" t="s">
        <v>80</v>
      </c>
      <c r="H2622" t="s">
        <v>48</v>
      </c>
      <c r="I2622" t="s">
        <v>61</v>
      </c>
      <c r="J2622" t="s">
        <v>119</v>
      </c>
      <c r="K2622" t="s">
        <v>38</v>
      </c>
      <c r="L2622">
        <v>1</v>
      </c>
      <c r="M2622">
        <v>867</v>
      </c>
      <c r="N2622">
        <v>0</v>
      </c>
      <c r="O2622">
        <v>30</v>
      </c>
      <c r="P2622">
        <v>867</v>
      </c>
      <c r="Q2622">
        <v>897</v>
      </c>
      <c r="R2622" t="s">
        <v>30</v>
      </c>
      <c r="S2622" t="s">
        <v>31</v>
      </c>
      <c r="T2622" t="s">
        <v>40</v>
      </c>
      <c r="U2622">
        <v>29</v>
      </c>
      <c r="V2622">
        <v>3.4</v>
      </c>
      <c r="W2622">
        <f>Table2[[#This Row],[Quantity]]*Table2[[#This Row],[Item_Price]]</f>
        <v>867</v>
      </c>
    </row>
    <row r="2623" spans="1:23" x14ac:dyDescent="0.25">
      <c r="A2623" t="s">
        <v>2723</v>
      </c>
      <c r="B2623" s="1">
        <v>45845</v>
      </c>
      <c r="C2623" t="s">
        <v>2632</v>
      </c>
      <c r="D2623">
        <v>7</v>
      </c>
      <c r="E2623">
        <v>7</v>
      </c>
      <c r="F2623" t="s">
        <v>168</v>
      </c>
      <c r="G2623" t="s">
        <v>115</v>
      </c>
      <c r="H2623" t="s">
        <v>60</v>
      </c>
      <c r="I2623" t="s">
        <v>69</v>
      </c>
      <c r="J2623" t="s">
        <v>101</v>
      </c>
      <c r="K2623" t="s">
        <v>38</v>
      </c>
      <c r="L2623">
        <v>1</v>
      </c>
      <c r="M2623">
        <v>574</v>
      </c>
      <c r="N2623">
        <v>28.7</v>
      </c>
      <c r="O2623">
        <v>20</v>
      </c>
      <c r="P2623">
        <v>574</v>
      </c>
      <c r="Q2623">
        <v>565.29999999999995</v>
      </c>
      <c r="R2623" t="s">
        <v>39</v>
      </c>
      <c r="S2623" t="s">
        <v>46</v>
      </c>
      <c r="T2623" t="s">
        <v>40</v>
      </c>
      <c r="U2623">
        <v>49</v>
      </c>
      <c r="W2623">
        <f>Table2[[#This Row],[Quantity]]*Table2[[#This Row],[Item_Price]]</f>
        <v>574</v>
      </c>
    </row>
    <row r="2624" spans="1:23" x14ac:dyDescent="0.25">
      <c r="A2624" t="s">
        <v>2724</v>
      </c>
      <c r="B2624" s="1">
        <v>45845</v>
      </c>
      <c r="C2624" t="s">
        <v>2632</v>
      </c>
      <c r="D2624">
        <v>7</v>
      </c>
      <c r="E2624">
        <v>7</v>
      </c>
      <c r="F2624" t="s">
        <v>168</v>
      </c>
      <c r="G2624" t="s">
        <v>73</v>
      </c>
      <c r="H2624" t="s">
        <v>26</v>
      </c>
      <c r="I2624" t="s">
        <v>27</v>
      </c>
      <c r="J2624" t="s">
        <v>74</v>
      </c>
      <c r="K2624" t="s">
        <v>38</v>
      </c>
      <c r="L2624">
        <v>1</v>
      </c>
      <c r="M2624">
        <v>502</v>
      </c>
      <c r="N2624">
        <v>50.2</v>
      </c>
      <c r="O2624">
        <v>40</v>
      </c>
      <c r="P2624">
        <v>502</v>
      </c>
      <c r="Q2624">
        <v>491.8</v>
      </c>
      <c r="R2624" t="s">
        <v>30</v>
      </c>
      <c r="S2624" t="s">
        <v>31</v>
      </c>
      <c r="T2624" t="s">
        <v>40</v>
      </c>
      <c r="U2624">
        <v>55</v>
      </c>
      <c r="V2624">
        <v>3.9</v>
      </c>
      <c r="W2624">
        <f>Table2[[#This Row],[Quantity]]*Table2[[#This Row],[Item_Price]]</f>
        <v>502</v>
      </c>
    </row>
    <row r="2625" spans="1:23" x14ac:dyDescent="0.25">
      <c r="A2625" t="s">
        <v>2725</v>
      </c>
      <c r="B2625" s="1">
        <v>45846</v>
      </c>
      <c r="C2625" t="s">
        <v>2632</v>
      </c>
      <c r="D2625">
        <v>7</v>
      </c>
      <c r="E2625">
        <v>8</v>
      </c>
      <c r="F2625" t="s">
        <v>178</v>
      </c>
      <c r="G2625" t="s">
        <v>73</v>
      </c>
      <c r="H2625" t="s">
        <v>35</v>
      </c>
      <c r="I2625" t="s">
        <v>61</v>
      </c>
      <c r="J2625" t="s">
        <v>94</v>
      </c>
      <c r="K2625" t="s">
        <v>38</v>
      </c>
      <c r="L2625">
        <v>1</v>
      </c>
      <c r="M2625">
        <v>223</v>
      </c>
      <c r="N2625">
        <v>0</v>
      </c>
      <c r="O2625">
        <v>50</v>
      </c>
      <c r="P2625">
        <v>223</v>
      </c>
      <c r="Q2625">
        <v>273</v>
      </c>
      <c r="R2625" t="s">
        <v>30</v>
      </c>
      <c r="S2625" t="s">
        <v>31</v>
      </c>
      <c r="T2625" t="s">
        <v>40</v>
      </c>
      <c r="U2625">
        <v>31</v>
      </c>
      <c r="V2625">
        <v>4.9000000000000004</v>
      </c>
      <c r="W2625">
        <f>Table2[[#This Row],[Quantity]]*Table2[[#This Row],[Item_Price]]</f>
        <v>223</v>
      </c>
    </row>
    <row r="2626" spans="1:23" x14ac:dyDescent="0.25">
      <c r="A2626" t="s">
        <v>2726</v>
      </c>
      <c r="B2626" s="1">
        <v>45846</v>
      </c>
      <c r="C2626" t="s">
        <v>2632</v>
      </c>
      <c r="D2626">
        <v>7</v>
      </c>
      <c r="E2626">
        <v>8</v>
      </c>
      <c r="F2626" t="s">
        <v>178</v>
      </c>
      <c r="G2626" t="s">
        <v>73</v>
      </c>
      <c r="H2626" t="s">
        <v>81</v>
      </c>
      <c r="I2626" t="s">
        <v>97</v>
      </c>
      <c r="J2626" t="s">
        <v>66</v>
      </c>
      <c r="K2626" t="s">
        <v>38</v>
      </c>
      <c r="L2626">
        <v>1</v>
      </c>
      <c r="M2626">
        <v>138</v>
      </c>
      <c r="N2626">
        <v>27.6</v>
      </c>
      <c r="O2626">
        <v>40</v>
      </c>
      <c r="P2626">
        <v>138</v>
      </c>
      <c r="Q2626">
        <v>150.4</v>
      </c>
      <c r="R2626" t="s">
        <v>112</v>
      </c>
      <c r="S2626" t="s">
        <v>46</v>
      </c>
      <c r="T2626" t="s">
        <v>40</v>
      </c>
      <c r="U2626">
        <v>33</v>
      </c>
      <c r="W2626">
        <f>Table2[[#This Row],[Quantity]]*Table2[[#This Row],[Item_Price]]</f>
        <v>138</v>
      </c>
    </row>
    <row r="2627" spans="1:23" x14ac:dyDescent="0.25">
      <c r="A2627" t="s">
        <v>2727</v>
      </c>
      <c r="B2627" s="1">
        <v>45846</v>
      </c>
      <c r="C2627" t="s">
        <v>2632</v>
      </c>
      <c r="D2627">
        <v>7</v>
      </c>
      <c r="E2627">
        <v>8</v>
      </c>
      <c r="F2627" t="s">
        <v>178</v>
      </c>
      <c r="G2627" t="s">
        <v>64</v>
      </c>
      <c r="H2627" t="s">
        <v>65</v>
      </c>
      <c r="I2627" t="s">
        <v>27</v>
      </c>
      <c r="J2627" t="s">
        <v>119</v>
      </c>
      <c r="K2627" t="s">
        <v>38</v>
      </c>
      <c r="L2627">
        <v>1</v>
      </c>
      <c r="M2627">
        <v>736</v>
      </c>
      <c r="N2627">
        <v>110.4</v>
      </c>
      <c r="O2627">
        <v>40</v>
      </c>
      <c r="P2627">
        <v>736</v>
      </c>
      <c r="Q2627">
        <v>665.6</v>
      </c>
      <c r="R2627" t="s">
        <v>75</v>
      </c>
      <c r="S2627" t="s">
        <v>31</v>
      </c>
      <c r="T2627" t="s">
        <v>40</v>
      </c>
      <c r="U2627">
        <v>61</v>
      </c>
      <c r="V2627">
        <v>4.0999999999999996</v>
      </c>
      <c r="W2627">
        <f>Table2[[#This Row],[Quantity]]*Table2[[#This Row],[Item_Price]]</f>
        <v>736</v>
      </c>
    </row>
    <row r="2628" spans="1:23" x14ac:dyDescent="0.25">
      <c r="A2628" t="s">
        <v>2728</v>
      </c>
      <c r="B2628" s="1">
        <v>45846</v>
      </c>
      <c r="C2628" t="s">
        <v>2632</v>
      </c>
      <c r="D2628">
        <v>7</v>
      </c>
      <c r="E2628">
        <v>8</v>
      </c>
      <c r="F2628" t="s">
        <v>178</v>
      </c>
      <c r="G2628" t="s">
        <v>64</v>
      </c>
      <c r="H2628" t="s">
        <v>139</v>
      </c>
      <c r="I2628" t="s">
        <v>97</v>
      </c>
      <c r="J2628" t="s">
        <v>94</v>
      </c>
      <c r="K2628" t="s">
        <v>38</v>
      </c>
      <c r="L2628">
        <v>2</v>
      </c>
      <c r="M2628">
        <v>373</v>
      </c>
      <c r="N2628">
        <v>55.95</v>
      </c>
      <c r="O2628">
        <v>60</v>
      </c>
      <c r="P2628">
        <v>746</v>
      </c>
      <c r="Q2628">
        <v>750.05</v>
      </c>
      <c r="R2628" t="s">
        <v>75</v>
      </c>
      <c r="S2628" t="s">
        <v>31</v>
      </c>
      <c r="T2628" t="s">
        <v>40</v>
      </c>
      <c r="U2628">
        <v>54</v>
      </c>
      <c r="V2628">
        <v>4.4000000000000004</v>
      </c>
      <c r="W2628">
        <f>Table2[[#This Row],[Quantity]]*Table2[[#This Row],[Item_Price]]</f>
        <v>746</v>
      </c>
    </row>
    <row r="2629" spans="1:23" x14ac:dyDescent="0.25">
      <c r="A2629" t="s">
        <v>2729</v>
      </c>
      <c r="B2629" s="1">
        <v>45846</v>
      </c>
      <c r="C2629" t="s">
        <v>2632</v>
      </c>
      <c r="D2629">
        <v>7</v>
      </c>
      <c r="E2629">
        <v>8</v>
      </c>
      <c r="F2629" t="s">
        <v>178</v>
      </c>
      <c r="G2629" t="s">
        <v>90</v>
      </c>
      <c r="H2629" t="s">
        <v>77</v>
      </c>
      <c r="I2629" t="s">
        <v>103</v>
      </c>
      <c r="J2629" t="s">
        <v>44</v>
      </c>
      <c r="K2629" t="s">
        <v>38</v>
      </c>
      <c r="L2629">
        <v>1</v>
      </c>
      <c r="M2629">
        <v>291</v>
      </c>
      <c r="N2629">
        <v>29.1</v>
      </c>
      <c r="O2629">
        <v>40</v>
      </c>
      <c r="P2629">
        <v>291</v>
      </c>
      <c r="Q2629">
        <v>301.89999999999998</v>
      </c>
      <c r="R2629" t="s">
        <v>30</v>
      </c>
      <c r="S2629" t="s">
        <v>31</v>
      </c>
      <c r="T2629" t="s">
        <v>40</v>
      </c>
      <c r="U2629">
        <v>48</v>
      </c>
      <c r="V2629">
        <v>3.7</v>
      </c>
      <c r="W2629">
        <f>Table2[[#This Row],[Quantity]]*Table2[[#This Row],[Item_Price]]</f>
        <v>291</v>
      </c>
    </row>
    <row r="2630" spans="1:23" x14ac:dyDescent="0.25">
      <c r="A2630" t="s">
        <v>2730</v>
      </c>
      <c r="B2630" s="1">
        <v>45846</v>
      </c>
      <c r="C2630" t="s">
        <v>2632</v>
      </c>
      <c r="D2630">
        <v>7</v>
      </c>
      <c r="E2630">
        <v>8</v>
      </c>
      <c r="F2630" t="s">
        <v>178</v>
      </c>
      <c r="G2630" t="s">
        <v>34</v>
      </c>
      <c r="H2630" t="s">
        <v>60</v>
      </c>
      <c r="I2630" t="s">
        <v>97</v>
      </c>
      <c r="J2630" t="s">
        <v>53</v>
      </c>
      <c r="K2630" t="s">
        <v>45</v>
      </c>
      <c r="L2630">
        <v>2</v>
      </c>
      <c r="M2630">
        <v>527</v>
      </c>
      <c r="N2630">
        <v>105.4</v>
      </c>
      <c r="O2630">
        <v>40</v>
      </c>
      <c r="P2630">
        <v>1054</v>
      </c>
      <c r="Q2630">
        <v>988.6</v>
      </c>
      <c r="R2630" t="s">
        <v>75</v>
      </c>
      <c r="S2630" t="s">
        <v>31</v>
      </c>
      <c r="T2630" t="s">
        <v>40</v>
      </c>
      <c r="U2630">
        <v>55</v>
      </c>
      <c r="V2630">
        <v>4.5</v>
      </c>
      <c r="W2630">
        <f>Table2[[#This Row],[Quantity]]*Table2[[#This Row],[Item_Price]]</f>
        <v>1054</v>
      </c>
    </row>
    <row r="2631" spans="1:23" x14ac:dyDescent="0.25">
      <c r="A2631" t="s">
        <v>2731</v>
      </c>
      <c r="B2631" s="1">
        <v>45846</v>
      </c>
      <c r="C2631" t="s">
        <v>2632</v>
      </c>
      <c r="D2631">
        <v>7</v>
      </c>
      <c r="E2631">
        <v>8</v>
      </c>
      <c r="F2631" t="s">
        <v>178</v>
      </c>
      <c r="G2631" t="s">
        <v>34</v>
      </c>
      <c r="H2631" t="s">
        <v>65</v>
      </c>
      <c r="I2631" t="s">
        <v>61</v>
      </c>
      <c r="J2631" t="s">
        <v>74</v>
      </c>
      <c r="K2631" t="s">
        <v>45</v>
      </c>
      <c r="L2631">
        <v>2</v>
      </c>
      <c r="M2631">
        <v>710</v>
      </c>
      <c r="N2631">
        <v>106.5</v>
      </c>
      <c r="O2631">
        <v>20</v>
      </c>
      <c r="P2631">
        <v>1420</v>
      </c>
      <c r="Q2631">
        <v>1333.5</v>
      </c>
      <c r="R2631" t="s">
        <v>112</v>
      </c>
      <c r="S2631" t="s">
        <v>31</v>
      </c>
      <c r="T2631" t="s">
        <v>40</v>
      </c>
      <c r="U2631">
        <v>18</v>
      </c>
      <c r="V2631">
        <v>3.4</v>
      </c>
      <c r="W2631">
        <f>Table2[[#This Row],[Quantity]]*Table2[[#This Row],[Item_Price]]</f>
        <v>1420</v>
      </c>
    </row>
    <row r="2632" spans="1:23" x14ac:dyDescent="0.25">
      <c r="A2632" t="s">
        <v>2732</v>
      </c>
      <c r="B2632" s="1">
        <v>45846</v>
      </c>
      <c r="C2632" t="s">
        <v>2632</v>
      </c>
      <c r="D2632">
        <v>7</v>
      </c>
      <c r="E2632">
        <v>8</v>
      </c>
      <c r="F2632" t="s">
        <v>178</v>
      </c>
      <c r="G2632" t="s">
        <v>34</v>
      </c>
      <c r="H2632" t="s">
        <v>42</v>
      </c>
      <c r="I2632" t="s">
        <v>69</v>
      </c>
      <c r="J2632" t="s">
        <v>172</v>
      </c>
      <c r="K2632" t="s">
        <v>38</v>
      </c>
      <c r="L2632">
        <v>2</v>
      </c>
      <c r="M2632">
        <v>682</v>
      </c>
      <c r="N2632">
        <v>0</v>
      </c>
      <c r="O2632">
        <v>60</v>
      </c>
      <c r="P2632">
        <v>1364</v>
      </c>
      <c r="Q2632">
        <v>1424</v>
      </c>
      <c r="R2632" t="s">
        <v>112</v>
      </c>
      <c r="S2632" t="s">
        <v>31</v>
      </c>
      <c r="T2632" t="s">
        <v>40</v>
      </c>
      <c r="U2632">
        <v>44</v>
      </c>
      <c r="V2632">
        <v>3.9</v>
      </c>
      <c r="W2632">
        <f>Table2[[#This Row],[Quantity]]*Table2[[#This Row],[Item_Price]]</f>
        <v>1364</v>
      </c>
    </row>
    <row r="2633" spans="1:23" x14ac:dyDescent="0.25">
      <c r="A2633" t="s">
        <v>2733</v>
      </c>
      <c r="B2633" s="1">
        <v>45846</v>
      </c>
      <c r="C2633" t="s">
        <v>2632</v>
      </c>
      <c r="D2633">
        <v>7</v>
      </c>
      <c r="E2633">
        <v>8</v>
      </c>
      <c r="F2633" t="s">
        <v>178</v>
      </c>
      <c r="G2633" t="s">
        <v>80</v>
      </c>
      <c r="H2633" t="s">
        <v>26</v>
      </c>
      <c r="I2633" t="s">
        <v>85</v>
      </c>
      <c r="J2633" t="s">
        <v>74</v>
      </c>
      <c r="K2633" t="s">
        <v>38</v>
      </c>
      <c r="L2633">
        <v>2</v>
      </c>
      <c r="M2633">
        <v>255</v>
      </c>
      <c r="N2633">
        <v>63.75</v>
      </c>
      <c r="O2633">
        <v>40</v>
      </c>
      <c r="P2633">
        <v>510</v>
      </c>
      <c r="Q2633">
        <v>486.25</v>
      </c>
      <c r="R2633" t="s">
        <v>75</v>
      </c>
      <c r="S2633" t="s">
        <v>31</v>
      </c>
      <c r="T2633" t="s">
        <v>40</v>
      </c>
      <c r="U2633">
        <v>43</v>
      </c>
      <c r="V2633">
        <v>3.4</v>
      </c>
      <c r="W2633">
        <f>Table2[[#This Row],[Quantity]]*Table2[[#This Row],[Item_Price]]</f>
        <v>510</v>
      </c>
    </row>
    <row r="2634" spans="1:23" x14ac:dyDescent="0.25">
      <c r="A2634" t="s">
        <v>2734</v>
      </c>
      <c r="B2634" s="1">
        <v>45846</v>
      </c>
      <c r="C2634" t="s">
        <v>2632</v>
      </c>
      <c r="D2634">
        <v>7</v>
      </c>
      <c r="E2634">
        <v>8</v>
      </c>
      <c r="F2634" t="s">
        <v>178</v>
      </c>
      <c r="G2634" t="s">
        <v>34</v>
      </c>
      <c r="H2634" t="s">
        <v>60</v>
      </c>
      <c r="I2634" t="s">
        <v>103</v>
      </c>
      <c r="J2634" t="s">
        <v>28</v>
      </c>
      <c r="K2634" t="s">
        <v>38</v>
      </c>
      <c r="L2634">
        <v>3</v>
      </c>
      <c r="M2634">
        <v>179</v>
      </c>
      <c r="N2634">
        <v>26.85</v>
      </c>
      <c r="O2634">
        <v>20</v>
      </c>
      <c r="P2634">
        <v>537</v>
      </c>
      <c r="Q2634">
        <v>530.15</v>
      </c>
      <c r="R2634" t="s">
        <v>112</v>
      </c>
      <c r="S2634" t="s">
        <v>31</v>
      </c>
      <c r="T2634" t="s">
        <v>40</v>
      </c>
      <c r="U2634">
        <v>63</v>
      </c>
      <c r="V2634">
        <v>3.4</v>
      </c>
      <c r="W2634">
        <f>Table2[[#This Row],[Quantity]]*Table2[[#This Row],[Item_Price]]</f>
        <v>537</v>
      </c>
    </row>
    <row r="2635" spans="1:23" x14ac:dyDescent="0.25">
      <c r="A2635" t="s">
        <v>2735</v>
      </c>
      <c r="B2635" s="1">
        <v>45847</v>
      </c>
      <c r="C2635" t="s">
        <v>2632</v>
      </c>
      <c r="D2635">
        <v>7</v>
      </c>
      <c r="E2635">
        <v>9</v>
      </c>
      <c r="F2635" t="s">
        <v>24</v>
      </c>
      <c r="G2635" t="s">
        <v>115</v>
      </c>
      <c r="H2635" t="s">
        <v>35</v>
      </c>
      <c r="I2635" t="s">
        <v>103</v>
      </c>
      <c r="J2635" t="s">
        <v>119</v>
      </c>
      <c r="K2635" t="s">
        <v>38</v>
      </c>
      <c r="L2635">
        <v>2</v>
      </c>
      <c r="M2635">
        <v>200</v>
      </c>
      <c r="N2635">
        <v>40</v>
      </c>
      <c r="O2635">
        <v>40</v>
      </c>
      <c r="P2635">
        <v>400</v>
      </c>
      <c r="Q2635">
        <v>400</v>
      </c>
      <c r="R2635" t="s">
        <v>39</v>
      </c>
      <c r="S2635" t="s">
        <v>31</v>
      </c>
      <c r="T2635" t="s">
        <v>40</v>
      </c>
      <c r="U2635">
        <v>70</v>
      </c>
      <c r="V2635">
        <v>4.3</v>
      </c>
      <c r="W2635">
        <f>Table2[[#This Row],[Quantity]]*Table2[[#This Row],[Item_Price]]</f>
        <v>400</v>
      </c>
    </row>
    <row r="2636" spans="1:23" x14ac:dyDescent="0.25">
      <c r="A2636" t="s">
        <v>2736</v>
      </c>
      <c r="B2636" s="1">
        <v>45847</v>
      </c>
      <c r="C2636" t="s">
        <v>2632</v>
      </c>
      <c r="D2636">
        <v>7</v>
      </c>
      <c r="E2636">
        <v>9</v>
      </c>
      <c r="F2636" t="s">
        <v>24</v>
      </c>
      <c r="G2636" t="s">
        <v>115</v>
      </c>
      <c r="H2636" t="s">
        <v>81</v>
      </c>
      <c r="I2636" t="s">
        <v>49</v>
      </c>
      <c r="J2636" t="s">
        <v>28</v>
      </c>
      <c r="K2636" t="s">
        <v>38</v>
      </c>
      <c r="L2636">
        <v>3</v>
      </c>
      <c r="M2636">
        <v>629</v>
      </c>
      <c r="N2636">
        <v>62.9</v>
      </c>
      <c r="O2636">
        <v>40</v>
      </c>
      <c r="P2636">
        <v>1887</v>
      </c>
      <c r="Q2636">
        <v>1864.1</v>
      </c>
      <c r="R2636" t="s">
        <v>39</v>
      </c>
      <c r="S2636" t="s">
        <v>31</v>
      </c>
      <c r="T2636" t="s">
        <v>40</v>
      </c>
      <c r="U2636">
        <v>53</v>
      </c>
      <c r="V2636">
        <v>4.5</v>
      </c>
      <c r="W2636">
        <f>Table2[[#This Row],[Quantity]]*Table2[[#This Row],[Item_Price]]</f>
        <v>1887</v>
      </c>
    </row>
    <row r="2637" spans="1:23" x14ac:dyDescent="0.25">
      <c r="A2637" t="s">
        <v>2737</v>
      </c>
      <c r="B2637" s="1">
        <v>45847</v>
      </c>
      <c r="C2637" t="s">
        <v>2632</v>
      </c>
      <c r="D2637">
        <v>7</v>
      </c>
      <c r="E2637">
        <v>9</v>
      </c>
      <c r="F2637" t="s">
        <v>24</v>
      </c>
      <c r="G2637" t="s">
        <v>80</v>
      </c>
      <c r="H2637" t="s">
        <v>68</v>
      </c>
      <c r="I2637" t="s">
        <v>27</v>
      </c>
      <c r="J2637" t="s">
        <v>37</v>
      </c>
      <c r="K2637" t="s">
        <v>38</v>
      </c>
      <c r="L2637">
        <v>1</v>
      </c>
      <c r="M2637">
        <v>751</v>
      </c>
      <c r="N2637">
        <v>75.099999999999994</v>
      </c>
      <c r="O2637">
        <v>40</v>
      </c>
      <c r="P2637">
        <v>751</v>
      </c>
      <c r="Q2637">
        <v>715.9</v>
      </c>
      <c r="R2637" t="s">
        <v>75</v>
      </c>
      <c r="S2637" t="s">
        <v>31</v>
      </c>
      <c r="T2637" t="s">
        <v>40</v>
      </c>
      <c r="U2637">
        <v>19</v>
      </c>
      <c r="V2637">
        <v>4.5999999999999996</v>
      </c>
      <c r="W2637">
        <f>Table2[[#This Row],[Quantity]]*Table2[[#This Row],[Item_Price]]</f>
        <v>751</v>
      </c>
    </row>
    <row r="2638" spans="1:23" x14ac:dyDescent="0.25">
      <c r="A2638" t="s">
        <v>2738</v>
      </c>
      <c r="B2638" s="1">
        <v>45847</v>
      </c>
      <c r="C2638" t="s">
        <v>2632</v>
      </c>
      <c r="D2638">
        <v>7</v>
      </c>
      <c r="E2638">
        <v>9</v>
      </c>
      <c r="F2638" t="s">
        <v>24</v>
      </c>
      <c r="G2638" t="s">
        <v>34</v>
      </c>
      <c r="H2638" t="s">
        <v>105</v>
      </c>
      <c r="I2638" t="s">
        <v>97</v>
      </c>
      <c r="J2638" t="s">
        <v>94</v>
      </c>
      <c r="K2638" t="s">
        <v>58</v>
      </c>
      <c r="L2638">
        <v>2</v>
      </c>
      <c r="M2638">
        <v>687</v>
      </c>
      <c r="N2638">
        <v>68.7</v>
      </c>
      <c r="O2638">
        <v>0</v>
      </c>
      <c r="P2638">
        <v>1374</v>
      </c>
      <c r="Q2638">
        <v>1305.3</v>
      </c>
      <c r="R2638" t="s">
        <v>39</v>
      </c>
      <c r="S2638" t="s">
        <v>31</v>
      </c>
      <c r="T2638" t="s">
        <v>40</v>
      </c>
      <c r="U2638">
        <v>23</v>
      </c>
      <c r="V2638">
        <v>5</v>
      </c>
      <c r="W2638">
        <f>Table2[[#This Row],[Quantity]]*Table2[[#This Row],[Item_Price]]</f>
        <v>1374</v>
      </c>
    </row>
    <row r="2639" spans="1:23" x14ac:dyDescent="0.25">
      <c r="A2639" t="s">
        <v>2739</v>
      </c>
      <c r="B2639" s="1">
        <v>45847</v>
      </c>
      <c r="C2639" t="s">
        <v>2632</v>
      </c>
      <c r="D2639">
        <v>7</v>
      </c>
      <c r="E2639">
        <v>9</v>
      </c>
      <c r="F2639" t="s">
        <v>24</v>
      </c>
      <c r="G2639" t="s">
        <v>115</v>
      </c>
      <c r="H2639" t="s">
        <v>81</v>
      </c>
      <c r="I2639" t="s">
        <v>43</v>
      </c>
      <c r="J2639" t="s">
        <v>94</v>
      </c>
      <c r="K2639" t="s">
        <v>45</v>
      </c>
      <c r="L2639">
        <v>1</v>
      </c>
      <c r="M2639">
        <v>864</v>
      </c>
      <c r="N2639">
        <v>0</v>
      </c>
      <c r="O2639">
        <v>30</v>
      </c>
      <c r="P2639">
        <v>864</v>
      </c>
      <c r="Q2639">
        <v>894</v>
      </c>
      <c r="R2639" t="s">
        <v>112</v>
      </c>
      <c r="S2639" t="s">
        <v>31</v>
      </c>
      <c r="T2639" t="s">
        <v>40</v>
      </c>
      <c r="U2639">
        <v>20</v>
      </c>
      <c r="V2639">
        <v>3.9</v>
      </c>
      <c r="W2639">
        <f>Table2[[#This Row],[Quantity]]*Table2[[#This Row],[Item_Price]]</f>
        <v>864</v>
      </c>
    </row>
    <row r="2640" spans="1:23" x14ac:dyDescent="0.25">
      <c r="A2640" t="s">
        <v>2740</v>
      </c>
      <c r="B2640" s="1">
        <v>45847</v>
      </c>
      <c r="C2640" t="s">
        <v>2632</v>
      </c>
      <c r="D2640">
        <v>7</v>
      </c>
      <c r="E2640">
        <v>9</v>
      </c>
      <c r="F2640" t="s">
        <v>24</v>
      </c>
      <c r="G2640" t="s">
        <v>64</v>
      </c>
      <c r="H2640" t="s">
        <v>105</v>
      </c>
      <c r="I2640" t="s">
        <v>97</v>
      </c>
      <c r="J2640" t="s">
        <v>53</v>
      </c>
      <c r="K2640" t="s">
        <v>38</v>
      </c>
      <c r="L2640">
        <v>1</v>
      </c>
      <c r="M2640">
        <v>250</v>
      </c>
      <c r="N2640">
        <v>50</v>
      </c>
      <c r="O2640">
        <v>30</v>
      </c>
      <c r="P2640">
        <v>250</v>
      </c>
      <c r="Q2640">
        <v>230</v>
      </c>
      <c r="R2640" t="s">
        <v>98</v>
      </c>
      <c r="S2640" t="s">
        <v>31</v>
      </c>
      <c r="T2640" t="s">
        <v>32</v>
      </c>
      <c r="U2640">
        <v>50</v>
      </c>
      <c r="V2640">
        <v>4.5999999999999996</v>
      </c>
      <c r="W2640">
        <f>Table2[[#This Row],[Quantity]]*Table2[[#This Row],[Item_Price]]</f>
        <v>250</v>
      </c>
    </row>
    <row r="2641" spans="1:23" x14ac:dyDescent="0.25">
      <c r="A2641" t="s">
        <v>2741</v>
      </c>
      <c r="B2641" s="1">
        <v>45847</v>
      </c>
      <c r="C2641" t="s">
        <v>2632</v>
      </c>
      <c r="D2641">
        <v>7</v>
      </c>
      <c r="E2641">
        <v>9</v>
      </c>
      <c r="F2641" t="s">
        <v>24</v>
      </c>
      <c r="G2641" t="s">
        <v>80</v>
      </c>
      <c r="H2641" t="s">
        <v>42</v>
      </c>
      <c r="I2641" t="s">
        <v>27</v>
      </c>
      <c r="J2641" t="s">
        <v>28</v>
      </c>
      <c r="K2641" t="s">
        <v>38</v>
      </c>
      <c r="L2641">
        <v>2</v>
      </c>
      <c r="M2641">
        <v>804</v>
      </c>
      <c r="N2641">
        <v>80.400000000000006</v>
      </c>
      <c r="O2641">
        <v>30</v>
      </c>
      <c r="P2641">
        <v>1608</v>
      </c>
      <c r="Q2641">
        <v>1557.6</v>
      </c>
      <c r="R2641" t="s">
        <v>30</v>
      </c>
      <c r="S2641" t="s">
        <v>31</v>
      </c>
      <c r="T2641" t="s">
        <v>40</v>
      </c>
      <c r="U2641">
        <v>24</v>
      </c>
      <c r="V2641">
        <v>2.5</v>
      </c>
      <c r="W2641">
        <f>Table2[[#This Row],[Quantity]]*Table2[[#This Row],[Item_Price]]</f>
        <v>1608</v>
      </c>
    </row>
    <row r="2642" spans="1:23" x14ac:dyDescent="0.25">
      <c r="A2642" t="s">
        <v>2742</v>
      </c>
      <c r="B2642" s="1">
        <v>45847</v>
      </c>
      <c r="C2642" t="s">
        <v>2632</v>
      </c>
      <c r="D2642">
        <v>7</v>
      </c>
      <c r="E2642">
        <v>9</v>
      </c>
      <c r="F2642" t="s">
        <v>24</v>
      </c>
      <c r="G2642" t="s">
        <v>55</v>
      </c>
      <c r="H2642" t="s">
        <v>42</v>
      </c>
      <c r="I2642" t="s">
        <v>49</v>
      </c>
      <c r="J2642" t="s">
        <v>101</v>
      </c>
      <c r="K2642" t="s">
        <v>45</v>
      </c>
      <c r="L2642">
        <v>1</v>
      </c>
      <c r="M2642">
        <v>190</v>
      </c>
      <c r="N2642">
        <v>0</v>
      </c>
      <c r="O2642">
        <v>30</v>
      </c>
      <c r="P2642">
        <v>190</v>
      </c>
      <c r="Q2642">
        <v>220</v>
      </c>
      <c r="R2642" t="s">
        <v>39</v>
      </c>
      <c r="S2642" t="s">
        <v>31</v>
      </c>
      <c r="T2642" t="s">
        <v>40</v>
      </c>
      <c r="U2642">
        <v>69</v>
      </c>
      <c r="V2642">
        <v>4.4000000000000004</v>
      </c>
      <c r="W2642">
        <f>Table2[[#This Row],[Quantity]]*Table2[[#This Row],[Item_Price]]</f>
        <v>190</v>
      </c>
    </row>
    <row r="2643" spans="1:23" x14ac:dyDescent="0.25">
      <c r="A2643" t="s">
        <v>2743</v>
      </c>
      <c r="B2643" s="1">
        <v>45847</v>
      </c>
      <c r="C2643" t="s">
        <v>2632</v>
      </c>
      <c r="D2643">
        <v>7</v>
      </c>
      <c r="E2643">
        <v>9</v>
      </c>
      <c r="F2643" t="s">
        <v>24</v>
      </c>
      <c r="G2643" t="s">
        <v>84</v>
      </c>
      <c r="H2643" t="s">
        <v>26</v>
      </c>
      <c r="I2643" t="s">
        <v>57</v>
      </c>
      <c r="J2643" t="s">
        <v>94</v>
      </c>
      <c r="K2643" t="s">
        <v>38</v>
      </c>
      <c r="L2643">
        <v>1</v>
      </c>
      <c r="M2643">
        <v>377</v>
      </c>
      <c r="N2643">
        <v>37.700000000000003</v>
      </c>
      <c r="O2643">
        <v>20</v>
      </c>
      <c r="P2643">
        <v>377</v>
      </c>
      <c r="Q2643">
        <v>359.3</v>
      </c>
      <c r="R2643" t="s">
        <v>30</v>
      </c>
      <c r="S2643" t="s">
        <v>31</v>
      </c>
      <c r="T2643" t="s">
        <v>40</v>
      </c>
      <c r="U2643">
        <v>27</v>
      </c>
      <c r="V2643">
        <v>4.0999999999999996</v>
      </c>
      <c r="W2643">
        <f>Table2[[#This Row],[Quantity]]*Table2[[#This Row],[Item_Price]]</f>
        <v>377</v>
      </c>
    </row>
    <row r="2644" spans="1:23" x14ac:dyDescent="0.25">
      <c r="A2644" t="s">
        <v>2744</v>
      </c>
      <c r="B2644" s="1">
        <v>45847</v>
      </c>
      <c r="C2644" t="s">
        <v>2632</v>
      </c>
      <c r="D2644">
        <v>7</v>
      </c>
      <c r="E2644">
        <v>9</v>
      </c>
      <c r="F2644" t="s">
        <v>24</v>
      </c>
      <c r="G2644" t="s">
        <v>34</v>
      </c>
      <c r="H2644" t="s">
        <v>108</v>
      </c>
      <c r="I2644" t="s">
        <v>97</v>
      </c>
      <c r="J2644" t="s">
        <v>123</v>
      </c>
      <c r="K2644" t="s">
        <v>45</v>
      </c>
      <c r="L2644">
        <v>1</v>
      </c>
      <c r="M2644">
        <v>498</v>
      </c>
      <c r="N2644">
        <v>74.7</v>
      </c>
      <c r="O2644">
        <v>40</v>
      </c>
      <c r="P2644">
        <v>498</v>
      </c>
      <c r="Q2644">
        <v>463.3</v>
      </c>
      <c r="R2644" t="s">
        <v>75</v>
      </c>
      <c r="S2644" t="s">
        <v>31</v>
      </c>
      <c r="T2644" t="s">
        <v>40</v>
      </c>
      <c r="U2644">
        <v>69</v>
      </c>
      <c r="V2644">
        <v>3.8</v>
      </c>
      <c r="W2644">
        <f>Table2[[#This Row],[Quantity]]*Table2[[#This Row],[Item_Price]]</f>
        <v>498</v>
      </c>
    </row>
    <row r="2645" spans="1:23" x14ac:dyDescent="0.25">
      <c r="A2645" t="s">
        <v>2745</v>
      </c>
      <c r="B2645" s="1">
        <v>45847</v>
      </c>
      <c r="C2645" t="s">
        <v>2632</v>
      </c>
      <c r="D2645">
        <v>7</v>
      </c>
      <c r="E2645">
        <v>9</v>
      </c>
      <c r="F2645" t="s">
        <v>24</v>
      </c>
      <c r="G2645" t="s">
        <v>90</v>
      </c>
      <c r="H2645" t="s">
        <v>65</v>
      </c>
      <c r="I2645" t="s">
        <v>36</v>
      </c>
      <c r="J2645" t="s">
        <v>94</v>
      </c>
      <c r="K2645" t="s">
        <v>38</v>
      </c>
      <c r="L2645">
        <v>1</v>
      </c>
      <c r="M2645">
        <v>670</v>
      </c>
      <c r="N2645">
        <v>0</v>
      </c>
      <c r="O2645">
        <v>30</v>
      </c>
      <c r="P2645">
        <v>670</v>
      </c>
      <c r="Q2645">
        <v>700</v>
      </c>
      <c r="R2645" t="s">
        <v>30</v>
      </c>
      <c r="S2645" t="s">
        <v>31</v>
      </c>
      <c r="T2645" t="s">
        <v>40</v>
      </c>
      <c r="U2645">
        <v>41</v>
      </c>
      <c r="V2645">
        <v>4.4000000000000004</v>
      </c>
      <c r="W2645">
        <f>Table2[[#This Row],[Quantity]]*Table2[[#This Row],[Item_Price]]</f>
        <v>670</v>
      </c>
    </row>
    <row r="2646" spans="1:23" x14ac:dyDescent="0.25">
      <c r="A2646" t="s">
        <v>2746</v>
      </c>
      <c r="B2646" s="1">
        <v>45847</v>
      </c>
      <c r="C2646" t="s">
        <v>2632</v>
      </c>
      <c r="D2646">
        <v>7</v>
      </c>
      <c r="E2646">
        <v>9</v>
      </c>
      <c r="F2646" t="s">
        <v>24</v>
      </c>
      <c r="G2646" t="s">
        <v>115</v>
      </c>
      <c r="H2646" t="s">
        <v>77</v>
      </c>
      <c r="I2646" t="s">
        <v>36</v>
      </c>
      <c r="J2646" t="s">
        <v>37</v>
      </c>
      <c r="K2646" t="s">
        <v>45</v>
      </c>
      <c r="L2646">
        <v>2</v>
      </c>
      <c r="M2646">
        <v>164</v>
      </c>
      <c r="N2646">
        <v>0</v>
      </c>
      <c r="O2646">
        <v>60</v>
      </c>
      <c r="P2646">
        <v>328</v>
      </c>
      <c r="Q2646">
        <v>388</v>
      </c>
      <c r="R2646" t="s">
        <v>112</v>
      </c>
      <c r="S2646" t="s">
        <v>31</v>
      </c>
      <c r="T2646" t="s">
        <v>40</v>
      </c>
      <c r="U2646">
        <v>28</v>
      </c>
      <c r="V2646">
        <v>3.5</v>
      </c>
      <c r="W2646">
        <f>Table2[[#This Row],[Quantity]]*Table2[[#This Row],[Item_Price]]</f>
        <v>328</v>
      </c>
    </row>
    <row r="2647" spans="1:23" x14ac:dyDescent="0.25">
      <c r="A2647" t="s">
        <v>2747</v>
      </c>
      <c r="B2647" s="1">
        <v>45847</v>
      </c>
      <c r="C2647" t="s">
        <v>2632</v>
      </c>
      <c r="D2647">
        <v>7</v>
      </c>
      <c r="E2647">
        <v>9</v>
      </c>
      <c r="F2647" t="s">
        <v>24</v>
      </c>
      <c r="G2647" t="s">
        <v>80</v>
      </c>
      <c r="H2647" t="s">
        <v>65</v>
      </c>
      <c r="I2647" t="s">
        <v>43</v>
      </c>
      <c r="J2647" t="s">
        <v>119</v>
      </c>
      <c r="K2647" t="s">
        <v>38</v>
      </c>
      <c r="L2647">
        <v>2</v>
      </c>
      <c r="M2647">
        <v>785</v>
      </c>
      <c r="N2647">
        <v>196.25</v>
      </c>
      <c r="O2647">
        <v>0</v>
      </c>
      <c r="P2647">
        <v>1570</v>
      </c>
      <c r="Q2647">
        <v>1373.75</v>
      </c>
      <c r="R2647" t="s">
        <v>30</v>
      </c>
      <c r="S2647" t="s">
        <v>31</v>
      </c>
      <c r="T2647" t="s">
        <v>40</v>
      </c>
      <c r="U2647">
        <v>42</v>
      </c>
      <c r="V2647">
        <v>4.7</v>
      </c>
      <c r="W2647">
        <f>Table2[[#This Row],[Quantity]]*Table2[[#This Row],[Item_Price]]</f>
        <v>1570</v>
      </c>
    </row>
    <row r="2648" spans="1:23" x14ac:dyDescent="0.25">
      <c r="A2648" t="s">
        <v>2748</v>
      </c>
      <c r="B2648" s="1">
        <v>45847</v>
      </c>
      <c r="C2648" t="s">
        <v>2632</v>
      </c>
      <c r="D2648">
        <v>7</v>
      </c>
      <c r="E2648">
        <v>9</v>
      </c>
      <c r="F2648" t="s">
        <v>24</v>
      </c>
      <c r="G2648" t="s">
        <v>96</v>
      </c>
      <c r="H2648" t="s">
        <v>77</v>
      </c>
      <c r="I2648" t="s">
        <v>97</v>
      </c>
      <c r="J2648" t="s">
        <v>119</v>
      </c>
      <c r="K2648" t="s">
        <v>38</v>
      </c>
      <c r="L2648">
        <v>2</v>
      </c>
      <c r="M2648">
        <v>878</v>
      </c>
      <c r="N2648">
        <v>131.69999999999999</v>
      </c>
      <c r="O2648">
        <v>20</v>
      </c>
      <c r="P2648">
        <v>1756</v>
      </c>
      <c r="Q2648">
        <v>1644.3</v>
      </c>
      <c r="R2648" t="s">
        <v>39</v>
      </c>
      <c r="S2648" t="s">
        <v>31</v>
      </c>
      <c r="T2648" t="s">
        <v>40</v>
      </c>
      <c r="U2648">
        <v>33</v>
      </c>
      <c r="V2648">
        <v>3.7</v>
      </c>
      <c r="W2648">
        <f>Table2[[#This Row],[Quantity]]*Table2[[#This Row],[Item_Price]]</f>
        <v>1756</v>
      </c>
    </row>
    <row r="2649" spans="1:23" x14ac:dyDescent="0.25">
      <c r="A2649" t="s">
        <v>2749</v>
      </c>
      <c r="B2649" s="1">
        <v>45848</v>
      </c>
      <c r="C2649" t="s">
        <v>2632</v>
      </c>
      <c r="D2649">
        <v>7</v>
      </c>
      <c r="E2649">
        <v>10</v>
      </c>
      <c r="F2649" t="s">
        <v>88</v>
      </c>
      <c r="G2649" t="s">
        <v>64</v>
      </c>
      <c r="H2649" t="s">
        <v>135</v>
      </c>
      <c r="I2649" t="s">
        <v>61</v>
      </c>
      <c r="J2649" t="s">
        <v>66</v>
      </c>
      <c r="K2649" t="s">
        <v>45</v>
      </c>
      <c r="L2649">
        <v>1</v>
      </c>
      <c r="M2649">
        <v>619</v>
      </c>
      <c r="N2649">
        <v>61.9</v>
      </c>
      <c r="O2649">
        <v>0</v>
      </c>
      <c r="P2649">
        <v>619</v>
      </c>
      <c r="Q2649">
        <v>557.1</v>
      </c>
      <c r="R2649" t="s">
        <v>98</v>
      </c>
      <c r="S2649" t="s">
        <v>31</v>
      </c>
      <c r="T2649" t="s">
        <v>40</v>
      </c>
      <c r="U2649">
        <v>68</v>
      </c>
      <c r="V2649">
        <v>4.5999999999999996</v>
      </c>
      <c r="W2649">
        <f>Table2[[#This Row],[Quantity]]*Table2[[#This Row],[Item_Price]]</f>
        <v>619</v>
      </c>
    </row>
    <row r="2650" spans="1:23" x14ac:dyDescent="0.25">
      <c r="A2650" t="s">
        <v>2750</v>
      </c>
      <c r="B2650" s="1">
        <v>45848</v>
      </c>
      <c r="C2650" t="s">
        <v>2632</v>
      </c>
      <c r="D2650">
        <v>7</v>
      </c>
      <c r="E2650">
        <v>10</v>
      </c>
      <c r="F2650" t="s">
        <v>88</v>
      </c>
      <c r="G2650" t="s">
        <v>84</v>
      </c>
      <c r="H2650" t="s">
        <v>26</v>
      </c>
      <c r="I2650" t="s">
        <v>97</v>
      </c>
      <c r="J2650" t="s">
        <v>50</v>
      </c>
      <c r="K2650" t="s">
        <v>38</v>
      </c>
      <c r="L2650">
        <v>1</v>
      </c>
      <c r="M2650">
        <v>126</v>
      </c>
      <c r="N2650">
        <v>31.5</v>
      </c>
      <c r="O2650">
        <v>50</v>
      </c>
      <c r="P2650">
        <v>126</v>
      </c>
      <c r="Q2650">
        <v>144.5</v>
      </c>
      <c r="R2650" t="s">
        <v>30</v>
      </c>
      <c r="S2650" t="s">
        <v>91</v>
      </c>
      <c r="T2650" t="s">
        <v>32</v>
      </c>
      <c r="U2650">
        <v>38</v>
      </c>
      <c r="W2650">
        <f>Table2[[#This Row],[Quantity]]*Table2[[#This Row],[Item_Price]]</f>
        <v>126</v>
      </c>
    </row>
    <row r="2651" spans="1:23" x14ac:dyDescent="0.25">
      <c r="A2651" t="s">
        <v>2751</v>
      </c>
      <c r="B2651" s="1">
        <v>45848</v>
      </c>
      <c r="C2651" t="s">
        <v>2632</v>
      </c>
      <c r="D2651">
        <v>7</v>
      </c>
      <c r="E2651">
        <v>10</v>
      </c>
      <c r="F2651" t="s">
        <v>88</v>
      </c>
      <c r="G2651" t="s">
        <v>34</v>
      </c>
      <c r="H2651" t="s">
        <v>108</v>
      </c>
      <c r="I2651" t="s">
        <v>36</v>
      </c>
      <c r="J2651" t="s">
        <v>123</v>
      </c>
      <c r="K2651" t="s">
        <v>38</v>
      </c>
      <c r="L2651">
        <v>2</v>
      </c>
      <c r="M2651">
        <v>290</v>
      </c>
      <c r="N2651">
        <v>58</v>
      </c>
      <c r="O2651">
        <v>40</v>
      </c>
      <c r="P2651">
        <v>580</v>
      </c>
      <c r="Q2651">
        <v>562</v>
      </c>
      <c r="R2651" t="s">
        <v>39</v>
      </c>
      <c r="S2651" t="s">
        <v>31</v>
      </c>
      <c r="T2651" t="s">
        <v>32</v>
      </c>
      <c r="U2651">
        <v>67</v>
      </c>
      <c r="V2651">
        <v>4.5</v>
      </c>
      <c r="W2651">
        <f>Table2[[#This Row],[Quantity]]*Table2[[#This Row],[Item_Price]]</f>
        <v>580</v>
      </c>
    </row>
    <row r="2652" spans="1:23" x14ac:dyDescent="0.25">
      <c r="A2652" t="s">
        <v>2752</v>
      </c>
      <c r="B2652" s="1">
        <v>45848</v>
      </c>
      <c r="C2652" t="s">
        <v>2632</v>
      </c>
      <c r="D2652">
        <v>7</v>
      </c>
      <c r="E2652">
        <v>10</v>
      </c>
      <c r="F2652" t="s">
        <v>88</v>
      </c>
      <c r="G2652" t="s">
        <v>25</v>
      </c>
      <c r="H2652" t="s">
        <v>48</v>
      </c>
      <c r="I2652" t="s">
        <v>27</v>
      </c>
      <c r="J2652" t="s">
        <v>82</v>
      </c>
      <c r="K2652" t="s">
        <v>38</v>
      </c>
      <c r="L2652">
        <v>3</v>
      </c>
      <c r="M2652">
        <v>284</v>
      </c>
      <c r="N2652">
        <v>28.4</v>
      </c>
      <c r="O2652">
        <v>20</v>
      </c>
      <c r="P2652">
        <v>852</v>
      </c>
      <c r="Q2652">
        <v>843.6</v>
      </c>
      <c r="R2652" t="s">
        <v>39</v>
      </c>
      <c r="S2652" t="s">
        <v>91</v>
      </c>
      <c r="T2652" t="s">
        <v>40</v>
      </c>
      <c r="U2652">
        <v>60</v>
      </c>
      <c r="W2652">
        <f>Table2[[#This Row],[Quantity]]*Table2[[#This Row],[Item_Price]]</f>
        <v>852</v>
      </c>
    </row>
    <row r="2653" spans="1:23" x14ac:dyDescent="0.25">
      <c r="A2653" t="s">
        <v>2753</v>
      </c>
      <c r="B2653" s="1">
        <v>45848</v>
      </c>
      <c r="C2653" t="s">
        <v>2632</v>
      </c>
      <c r="D2653">
        <v>7</v>
      </c>
      <c r="E2653">
        <v>10</v>
      </c>
      <c r="F2653" t="s">
        <v>88</v>
      </c>
      <c r="G2653" t="s">
        <v>55</v>
      </c>
      <c r="H2653" t="s">
        <v>68</v>
      </c>
      <c r="I2653" t="s">
        <v>85</v>
      </c>
      <c r="J2653" t="s">
        <v>78</v>
      </c>
      <c r="K2653" t="s">
        <v>38</v>
      </c>
      <c r="L2653">
        <v>3</v>
      </c>
      <c r="M2653">
        <v>316</v>
      </c>
      <c r="N2653">
        <v>31.6</v>
      </c>
      <c r="O2653">
        <v>0</v>
      </c>
      <c r="P2653">
        <v>948</v>
      </c>
      <c r="Q2653">
        <v>916.4</v>
      </c>
      <c r="R2653" t="s">
        <v>112</v>
      </c>
      <c r="S2653" t="s">
        <v>110</v>
      </c>
      <c r="T2653" t="s">
        <v>32</v>
      </c>
      <c r="U2653">
        <v>38</v>
      </c>
      <c r="W2653">
        <f>Table2[[#This Row],[Quantity]]*Table2[[#This Row],[Item_Price]]</f>
        <v>948</v>
      </c>
    </row>
    <row r="2654" spans="1:23" x14ac:dyDescent="0.25">
      <c r="A2654" t="s">
        <v>2754</v>
      </c>
      <c r="B2654" s="1">
        <v>45848</v>
      </c>
      <c r="C2654" t="s">
        <v>2632</v>
      </c>
      <c r="D2654">
        <v>7</v>
      </c>
      <c r="E2654">
        <v>10</v>
      </c>
      <c r="F2654" t="s">
        <v>88</v>
      </c>
      <c r="G2654" t="s">
        <v>115</v>
      </c>
      <c r="H2654" t="s">
        <v>52</v>
      </c>
      <c r="I2654" t="s">
        <v>103</v>
      </c>
      <c r="J2654" t="s">
        <v>28</v>
      </c>
      <c r="K2654" t="s">
        <v>38</v>
      </c>
      <c r="L2654">
        <v>1</v>
      </c>
      <c r="M2654">
        <v>330</v>
      </c>
      <c r="N2654">
        <v>0</v>
      </c>
      <c r="O2654">
        <v>0</v>
      </c>
      <c r="P2654">
        <v>330</v>
      </c>
      <c r="Q2654">
        <v>330</v>
      </c>
      <c r="R2654" t="s">
        <v>30</v>
      </c>
      <c r="S2654" t="s">
        <v>31</v>
      </c>
      <c r="T2654" t="s">
        <v>32</v>
      </c>
      <c r="U2654">
        <v>30</v>
      </c>
      <c r="V2654">
        <v>3.9</v>
      </c>
      <c r="W2654">
        <f>Table2[[#This Row],[Quantity]]*Table2[[#This Row],[Item_Price]]</f>
        <v>330</v>
      </c>
    </row>
    <row r="2655" spans="1:23" x14ac:dyDescent="0.25">
      <c r="A2655" t="s">
        <v>2755</v>
      </c>
      <c r="B2655" s="1">
        <v>45848</v>
      </c>
      <c r="C2655" t="s">
        <v>2632</v>
      </c>
      <c r="D2655">
        <v>7</v>
      </c>
      <c r="E2655">
        <v>10</v>
      </c>
      <c r="F2655" t="s">
        <v>88</v>
      </c>
      <c r="G2655" t="s">
        <v>115</v>
      </c>
      <c r="H2655" t="s">
        <v>48</v>
      </c>
      <c r="I2655" t="s">
        <v>36</v>
      </c>
      <c r="J2655" t="s">
        <v>37</v>
      </c>
      <c r="K2655" t="s">
        <v>29</v>
      </c>
      <c r="L2655">
        <v>3</v>
      </c>
      <c r="M2655">
        <v>421</v>
      </c>
      <c r="N2655">
        <v>63.15</v>
      </c>
      <c r="O2655">
        <v>0</v>
      </c>
      <c r="P2655">
        <v>1263</v>
      </c>
      <c r="Q2655">
        <v>1199.8499999999999</v>
      </c>
      <c r="R2655" t="s">
        <v>98</v>
      </c>
      <c r="S2655" t="s">
        <v>110</v>
      </c>
      <c r="T2655" t="s">
        <v>32</v>
      </c>
      <c r="U2655">
        <v>31</v>
      </c>
      <c r="W2655">
        <f>Table2[[#This Row],[Quantity]]*Table2[[#This Row],[Item_Price]]</f>
        <v>1263</v>
      </c>
    </row>
    <row r="2656" spans="1:23" x14ac:dyDescent="0.25">
      <c r="A2656" t="s">
        <v>2756</v>
      </c>
      <c r="B2656" s="1">
        <v>45848</v>
      </c>
      <c r="C2656" t="s">
        <v>2632</v>
      </c>
      <c r="D2656">
        <v>7</v>
      </c>
      <c r="E2656">
        <v>10</v>
      </c>
      <c r="F2656" t="s">
        <v>88</v>
      </c>
      <c r="G2656" t="s">
        <v>80</v>
      </c>
      <c r="H2656" t="s">
        <v>77</v>
      </c>
      <c r="I2656" t="s">
        <v>36</v>
      </c>
      <c r="J2656" t="s">
        <v>37</v>
      </c>
      <c r="K2656" t="s">
        <v>38</v>
      </c>
      <c r="L2656">
        <v>1</v>
      </c>
      <c r="M2656">
        <v>650</v>
      </c>
      <c r="N2656">
        <v>32.5</v>
      </c>
      <c r="O2656">
        <v>30</v>
      </c>
      <c r="P2656">
        <v>650</v>
      </c>
      <c r="Q2656">
        <v>647.5</v>
      </c>
      <c r="R2656" t="s">
        <v>30</v>
      </c>
      <c r="S2656" t="s">
        <v>110</v>
      </c>
      <c r="T2656" t="s">
        <v>40</v>
      </c>
      <c r="U2656">
        <v>41</v>
      </c>
      <c r="W2656">
        <f>Table2[[#This Row],[Quantity]]*Table2[[#This Row],[Item_Price]]</f>
        <v>650</v>
      </c>
    </row>
    <row r="2657" spans="1:23" x14ac:dyDescent="0.25">
      <c r="A2657" t="s">
        <v>2757</v>
      </c>
      <c r="B2657" s="1">
        <v>45848</v>
      </c>
      <c r="C2657" t="s">
        <v>2632</v>
      </c>
      <c r="D2657">
        <v>7</v>
      </c>
      <c r="E2657">
        <v>10</v>
      </c>
      <c r="F2657" t="s">
        <v>88</v>
      </c>
      <c r="G2657" t="s">
        <v>115</v>
      </c>
      <c r="H2657" t="s">
        <v>60</v>
      </c>
      <c r="I2657" t="s">
        <v>97</v>
      </c>
      <c r="J2657" t="s">
        <v>78</v>
      </c>
      <c r="K2657" t="s">
        <v>58</v>
      </c>
      <c r="L2657">
        <v>2</v>
      </c>
      <c r="M2657">
        <v>293</v>
      </c>
      <c r="N2657">
        <v>58.6</v>
      </c>
      <c r="O2657">
        <v>50</v>
      </c>
      <c r="P2657">
        <v>586</v>
      </c>
      <c r="Q2657">
        <v>577.4</v>
      </c>
      <c r="R2657" t="s">
        <v>39</v>
      </c>
      <c r="S2657" t="s">
        <v>31</v>
      </c>
      <c r="T2657" t="s">
        <v>40</v>
      </c>
      <c r="U2657">
        <v>69</v>
      </c>
      <c r="V2657">
        <v>4.9000000000000004</v>
      </c>
      <c r="W2657">
        <f>Table2[[#This Row],[Quantity]]*Table2[[#This Row],[Item_Price]]</f>
        <v>586</v>
      </c>
    </row>
    <row r="2658" spans="1:23" x14ac:dyDescent="0.25">
      <c r="A2658" t="s">
        <v>2758</v>
      </c>
      <c r="B2658" s="1">
        <v>45848</v>
      </c>
      <c r="C2658" t="s">
        <v>2632</v>
      </c>
      <c r="D2658">
        <v>7</v>
      </c>
      <c r="E2658">
        <v>10</v>
      </c>
      <c r="F2658" t="s">
        <v>88</v>
      </c>
      <c r="G2658" t="s">
        <v>80</v>
      </c>
      <c r="H2658" t="s">
        <v>65</v>
      </c>
      <c r="I2658" t="s">
        <v>69</v>
      </c>
      <c r="J2658" t="s">
        <v>44</v>
      </c>
      <c r="K2658" t="s">
        <v>29</v>
      </c>
      <c r="L2658">
        <v>1</v>
      </c>
      <c r="M2658">
        <v>596</v>
      </c>
      <c r="N2658">
        <v>119.2</v>
      </c>
      <c r="O2658">
        <v>70</v>
      </c>
      <c r="P2658">
        <v>596</v>
      </c>
      <c r="Q2658">
        <v>546.79999999999995</v>
      </c>
      <c r="R2658" t="s">
        <v>39</v>
      </c>
      <c r="S2658" t="s">
        <v>46</v>
      </c>
      <c r="T2658" t="s">
        <v>32</v>
      </c>
      <c r="U2658">
        <v>44</v>
      </c>
      <c r="W2658">
        <f>Table2[[#This Row],[Quantity]]*Table2[[#This Row],[Item_Price]]</f>
        <v>596</v>
      </c>
    </row>
    <row r="2659" spans="1:23" x14ac:dyDescent="0.25">
      <c r="A2659" t="s">
        <v>2759</v>
      </c>
      <c r="B2659" s="1">
        <v>45848</v>
      </c>
      <c r="C2659" t="s">
        <v>2632</v>
      </c>
      <c r="D2659">
        <v>7</v>
      </c>
      <c r="E2659">
        <v>10</v>
      </c>
      <c r="F2659" t="s">
        <v>88</v>
      </c>
      <c r="G2659" t="s">
        <v>64</v>
      </c>
      <c r="H2659" t="s">
        <v>35</v>
      </c>
      <c r="I2659" t="s">
        <v>69</v>
      </c>
      <c r="J2659" t="s">
        <v>101</v>
      </c>
      <c r="K2659" t="s">
        <v>45</v>
      </c>
      <c r="L2659">
        <v>1</v>
      </c>
      <c r="M2659">
        <v>373</v>
      </c>
      <c r="N2659">
        <v>55.95</v>
      </c>
      <c r="O2659">
        <v>50</v>
      </c>
      <c r="P2659">
        <v>373</v>
      </c>
      <c r="Q2659">
        <v>367.05</v>
      </c>
      <c r="R2659" t="s">
        <v>75</v>
      </c>
      <c r="S2659" t="s">
        <v>31</v>
      </c>
      <c r="T2659" t="s">
        <v>40</v>
      </c>
      <c r="U2659">
        <v>68</v>
      </c>
      <c r="V2659">
        <v>3.9</v>
      </c>
      <c r="W2659">
        <f>Table2[[#This Row],[Quantity]]*Table2[[#This Row],[Item_Price]]</f>
        <v>373</v>
      </c>
    </row>
    <row r="2660" spans="1:23" x14ac:dyDescent="0.25">
      <c r="A2660" t="s">
        <v>2760</v>
      </c>
      <c r="B2660" s="1">
        <v>45848</v>
      </c>
      <c r="C2660" t="s">
        <v>2632</v>
      </c>
      <c r="D2660">
        <v>7</v>
      </c>
      <c r="E2660">
        <v>10</v>
      </c>
      <c r="F2660" t="s">
        <v>88</v>
      </c>
      <c r="G2660" t="s">
        <v>73</v>
      </c>
      <c r="H2660" t="s">
        <v>135</v>
      </c>
      <c r="I2660" t="s">
        <v>61</v>
      </c>
      <c r="J2660" t="s">
        <v>172</v>
      </c>
      <c r="K2660" t="s">
        <v>38</v>
      </c>
      <c r="L2660">
        <v>1</v>
      </c>
      <c r="M2660">
        <v>837</v>
      </c>
      <c r="N2660">
        <v>167.4</v>
      </c>
      <c r="O2660">
        <v>50</v>
      </c>
      <c r="P2660">
        <v>837</v>
      </c>
      <c r="Q2660">
        <v>719.6</v>
      </c>
      <c r="R2660" t="s">
        <v>30</v>
      </c>
      <c r="S2660" t="s">
        <v>31</v>
      </c>
      <c r="T2660" t="s">
        <v>40</v>
      </c>
      <c r="U2660">
        <v>45</v>
      </c>
      <c r="V2660">
        <v>5</v>
      </c>
      <c r="W2660">
        <f>Table2[[#This Row],[Quantity]]*Table2[[#This Row],[Item_Price]]</f>
        <v>837</v>
      </c>
    </row>
    <row r="2661" spans="1:23" x14ac:dyDescent="0.25">
      <c r="A2661" t="s">
        <v>2761</v>
      </c>
      <c r="B2661" s="1">
        <v>45848</v>
      </c>
      <c r="C2661" t="s">
        <v>2632</v>
      </c>
      <c r="D2661">
        <v>7</v>
      </c>
      <c r="E2661">
        <v>10</v>
      </c>
      <c r="F2661" t="s">
        <v>88</v>
      </c>
      <c r="G2661" t="s">
        <v>55</v>
      </c>
      <c r="H2661" t="s">
        <v>35</v>
      </c>
      <c r="I2661" t="s">
        <v>97</v>
      </c>
      <c r="J2661" t="s">
        <v>78</v>
      </c>
      <c r="K2661" t="s">
        <v>38</v>
      </c>
      <c r="L2661">
        <v>1</v>
      </c>
      <c r="M2661">
        <v>620</v>
      </c>
      <c r="N2661">
        <v>62</v>
      </c>
      <c r="O2661">
        <v>40</v>
      </c>
      <c r="P2661">
        <v>620</v>
      </c>
      <c r="Q2661">
        <v>598</v>
      </c>
      <c r="R2661" t="s">
        <v>30</v>
      </c>
      <c r="S2661" t="s">
        <v>91</v>
      </c>
      <c r="T2661" t="s">
        <v>40</v>
      </c>
      <c r="U2661">
        <v>45</v>
      </c>
      <c r="W2661">
        <f>Table2[[#This Row],[Quantity]]*Table2[[#This Row],[Item_Price]]</f>
        <v>620</v>
      </c>
    </row>
    <row r="2662" spans="1:23" x14ac:dyDescent="0.25">
      <c r="A2662" t="s">
        <v>2762</v>
      </c>
      <c r="B2662" s="1">
        <v>45849</v>
      </c>
      <c r="C2662" t="s">
        <v>2632</v>
      </c>
      <c r="D2662">
        <v>7</v>
      </c>
      <c r="E2662">
        <v>11</v>
      </c>
      <c r="F2662" t="s">
        <v>114</v>
      </c>
      <c r="G2662" t="s">
        <v>34</v>
      </c>
      <c r="H2662" t="s">
        <v>77</v>
      </c>
      <c r="I2662" t="s">
        <v>43</v>
      </c>
      <c r="J2662" t="s">
        <v>53</v>
      </c>
      <c r="K2662" t="s">
        <v>38</v>
      </c>
      <c r="L2662">
        <v>1</v>
      </c>
      <c r="M2662">
        <v>621</v>
      </c>
      <c r="N2662">
        <v>62.1</v>
      </c>
      <c r="O2662">
        <v>30</v>
      </c>
      <c r="P2662">
        <v>621</v>
      </c>
      <c r="Q2662">
        <v>588.9</v>
      </c>
      <c r="R2662" t="s">
        <v>39</v>
      </c>
      <c r="S2662" t="s">
        <v>31</v>
      </c>
      <c r="T2662" t="s">
        <v>32</v>
      </c>
      <c r="U2662">
        <v>19</v>
      </c>
      <c r="V2662">
        <v>3.3</v>
      </c>
      <c r="W2662">
        <f>Table2[[#This Row],[Quantity]]*Table2[[#This Row],[Item_Price]]</f>
        <v>621</v>
      </c>
    </row>
    <row r="2663" spans="1:23" x14ac:dyDescent="0.25">
      <c r="A2663" t="s">
        <v>2763</v>
      </c>
      <c r="B2663" s="1">
        <v>45849</v>
      </c>
      <c r="C2663" t="s">
        <v>2632</v>
      </c>
      <c r="D2663">
        <v>7</v>
      </c>
      <c r="E2663">
        <v>11</v>
      </c>
      <c r="F2663" t="s">
        <v>114</v>
      </c>
      <c r="G2663" t="s">
        <v>34</v>
      </c>
      <c r="H2663" t="s">
        <v>105</v>
      </c>
      <c r="I2663" t="s">
        <v>49</v>
      </c>
      <c r="J2663" t="s">
        <v>172</v>
      </c>
      <c r="K2663" t="s">
        <v>38</v>
      </c>
      <c r="L2663">
        <v>2</v>
      </c>
      <c r="M2663">
        <v>310</v>
      </c>
      <c r="N2663">
        <v>46.5</v>
      </c>
      <c r="O2663">
        <v>60</v>
      </c>
      <c r="P2663">
        <v>620</v>
      </c>
      <c r="Q2663">
        <v>633.5</v>
      </c>
      <c r="R2663" t="s">
        <v>30</v>
      </c>
      <c r="S2663" t="s">
        <v>31</v>
      </c>
      <c r="T2663" t="s">
        <v>40</v>
      </c>
      <c r="U2663">
        <v>69</v>
      </c>
      <c r="V2663">
        <v>4.0999999999999996</v>
      </c>
      <c r="W2663">
        <f>Table2[[#This Row],[Quantity]]*Table2[[#This Row],[Item_Price]]</f>
        <v>620</v>
      </c>
    </row>
    <row r="2664" spans="1:23" x14ac:dyDescent="0.25">
      <c r="A2664" t="s">
        <v>2764</v>
      </c>
      <c r="B2664" s="1">
        <v>45849</v>
      </c>
      <c r="C2664" t="s">
        <v>2632</v>
      </c>
      <c r="D2664">
        <v>7</v>
      </c>
      <c r="E2664">
        <v>11</v>
      </c>
      <c r="F2664" t="s">
        <v>114</v>
      </c>
      <c r="G2664" t="s">
        <v>64</v>
      </c>
      <c r="H2664" t="s">
        <v>60</v>
      </c>
      <c r="I2664" t="s">
        <v>49</v>
      </c>
      <c r="J2664" t="s">
        <v>94</v>
      </c>
      <c r="K2664" t="s">
        <v>38</v>
      </c>
      <c r="L2664">
        <v>2</v>
      </c>
      <c r="M2664">
        <v>366</v>
      </c>
      <c r="N2664">
        <v>73.2</v>
      </c>
      <c r="O2664">
        <v>30</v>
      </c>
      <c r="P2664">
        <v>732</v>
      </c>
      <c r="Q2664">
        <v>688.8</v>
      </c>
      <c r="R2664" t="s">
        <v>75</v>
      </c>
      <c r="S2664" t="s">
        <v>31</v>
      </c>
      <c r="T2664" t="s">
        <v>40</v>
      </c>
      <c r="U2664">
        <v>37</v>
      </c>
      <c r="V2664">
        <v>4</v>
      </c>
      <c r="W2664">
        <f>Table2[[#This Row],[Quantity]]*Table2[[#This Row],[Item_Price]]</f>
        <v>732</v>
      </c>
    </row>
    <row r="2665" spans="1:23" x14ac:dyDescent="0.25">
      <c r="A2665" t="s">
        <v>2765</v>
      </c>
      <c r="B2665" s="1">
        <v>45849</v>
      </c>
      <c r="C2665" t="s">
        <v>2632</v>
      </c>
      <c r="D2665">
        <v>7</v>
      </c>
      <c r="E2665">
        <v>11</v>
      </c>
      <c r="F2665" t="s">
        <v>114</v>
      </c>
      <c r="G2665" t="s">
        <v>34</v>
      </c>
      <c r="H2665" t="s">
        <v>48</v>
      </c>
      <c r="I2665" t="s">
        <v>97</v>
      </c>
      <c r="J2665" t="s">
        <v>66</v>
      </c>
      <c r="K2665" t="s">
        <v>38</v>
      </c>
      <c r="L2665">
        <v>2</v>
      </c>
      <c r="M2665">
        <v>500</v>
      </c>
      <c r="N2665">
        <v>125</v>
      </c>
      <c r="O2665">
        <v>20</v>
      </c>
      <c r="P2665">
        <v>1000</v>
      </c>
      <c r="Q2665">
        <v>895</v>
      </c>
      <c r="R2665" t="s">
        <v>39</v>
      </c>
      <c r="S2665" t="s">
        <v>31</v>
      </c>
      <c r="T2665" t="s">
        <v>40</v>
      </c>
      <c r="U2665">
        <v>41</v>
      </c>
      <c r="V2665">
        <v>4.3</v>
      </c>
      <c r="W2665">
        <f>Table2[[#This Row],[Quantity]]*Table2[[#This Row],[Item_Price]]</f>
        <v>1000</v>
      </c>
    </row>
    <row r="2666" spans="1:23" x14ac:dyDescent="0.25">
      <c r="A2666" t="s">
        <v>2766</v>
      </c>
      <c r="B2666" s="1">
        <v>45849</v>
      </c>
      <c r="C2666" t="s">
        <v>2632</v>
      </c>
      <c r="D2666">
        <v>7</v>
      </c>
      <c r="E2666">
        <v>11</v>
      </c>
      <c r="F2666" t="s">
        <v>114</v>
      </c>
      <c r="G2666" t="s">
        <v>80</v>
      </c>
      <c r="H2666" t="s">
        <v>65</v>
      </c>
      <c r="I2666" t="s">
        <v>85</v>
      </c>
      <c r="J2666" t="s">
        <v>53</v>
      </c>
      <c r="K2666" t="s">
        <v>38</v>
      </c>
      <c r="L2666">
        <v>1</v>
      </c>
      <c r="M2666">
        <v>445</v>
      </c>
      <c r="N2666">
        <v>66.75</v>
      </c>
      <c r="O2666">
        <v>20</v>
      </c>
      <c r="P2666">
        <v>445</v>
      </c>
      <c r="Q2666">
        <v>398.25</v>
      </c>
      <c r="R2666" t="s">
        <v>39</v>
      </c>
      <c r="S2666" t="s">
        <v>31</v>
      </c>
      <c r="T2666" t="s">
        <v>40</v>
      </c>
      <c r="U2666">
        <v>51</v>
      </c>
      <c r="V2666">
        <v>4.0999999999999996</v>
      </c>
      <c r="W2666">
        <f>Table2[[#This Row],[Quantity]]*Table2[[#This Row],[Item_Price]]</f>
        <v>445</v>
      </c>
    </row>
    <row r="2667" spans="1:23" x14ac:dyDescent="0.25">
      <c r="A2667" t="s">
        <v>2767</v>
      </c>
      <c r="B2667" s="1">
        <v>45849</v>
      </c>
      <c r="C2667" t="s">
        <v>2632</v>
      </c>
      <c r="D2667">
        <v>7</v>
      </c>
      <c r="E2667">
        <v>11</v>
      </c>
      <c r="F2667" t="s">
        <v>114</v>
      </c>
      <c r="G2667" t="s">
        <v>90</v>
      </c>
      <c r="H2667" t="s">
        <v>60</v>
      </c>
      <c r="I2667" t="s">
        <v>61</v>
      </c>
      <c r="J2667" t="s">
        <v>66</v>
      </c>
      <c r="K2667" t="s">
        <v>29</v>
      </c>
      <c r="L2667">
        <v>3</v>
      </c>
      <c r="M2667">
        <v>523</v>
      </c>
      <c r="N2667">
        <v>52.3</v>
      </c>
      <c r="O2667">
        <v>20</v>
      </c>
      <c r="P2667">
        <v>1569</v>
      </c>
      <c r="Q2667">
        <v>1536.7</v>
      </c>
      <c r="R2667" t="s">
        <v>39</v>
      </c>
      <c r="S2667" t="s">
        <v>31</v>
      </c>
      <c r="T2667" t="s">
        <v>40</v>
      </c>
      <c r="U2667">
        <v>26</v>
      </c>
      <c r="V2667">
        <v>5</v>
      </c>
      <c r="W2667">
        <f>Table2[[#This Row],[Quantity]]*Table2[[#This Row],[Item_Price]]</f>
        <v>1569</v>
      </c>
    </row>
    <row r="2668" spans="1:23" x14ac:dyDescent="0.25">
      <c r="A2668" t="s">
        <v>2768</v>
      </c>
      <c r="B2668" s="1">
        <v>45849</v>
      </c>
      <c r="C2668" t="s">
        <v>2632</v>
      </c>
      <c r="D2668">
        <v>7</v>
      </c>
      <c r="E2668">
        <v>11</v>
      </c>
      <c r="F2668" t="s">
        <v>114</v>
      </c>
      <c r="G2668" t="s">
        <v>96</v>
      </c>
      <c r="H2668" t="s">
        <v>26</v>
      </c>
      <c r="I2668" t="s">
        <v>57</v>
      </c>
      <c r="J2668" t="s">
        <v>74</v>
      </c>
      <c r="K2668" t="s">
        <v>45</v>
      </c>
      <c r="L2668">
        <v>1</v>
      </c>
      <c r="M2668">
        <v>581</v>
      </c>
      <c r="N2668">
        <v>29.05</v>
      </c>
      <c r="O2668">
        <v>0</v>
      </c>
      <c r="P2668">
        <v>581</v>
      </c>
      <c r="Q2668">
        <v>551.95000000000005</v>
      </c>
      <c r="R2668" t="s">
        <v>39</v>
      </c>
      <c r="S2668" t="s">
        <v>31</v>
      </c>
      <c r="T2668" t="s">
        <v>40</v>
      </c>
      <c r="U2668">
        <v>30</v>
      </c>
      <c r="V2668">
        <v>3.5</v>
      </c>
      <c r="W2668">
        <f>Table2[[#This Row],[Quantity]]*Table2[[#This Row],[Item_Price]]</f>
        <v>581</v>
      </c>
    </row>
    <row r="2669" spans="1:23" x14ac:dyDescent="0.25">
      <c r="A2669" t="s">
        <v>2769</v>
      </c>
      <c r="B2669" s="1">
        <v>45849</v>
      </c>
      <c r="C2669" t="s">
        <v>2632</v>
      </c>
      <c r="D2669">
        <v>7</v>
      </c>
      <c r="E2669">
        <v>11</v>
      </c>
      <c r="F2669" t="s">
        <v>114</v>
      </c>
      <c r="G2669" t="s">
        <v>115</v>
      </c>
      <c r="H2669" t="s">
        <v>77</v>
      </c>
      <c r="I2669" t="s">
        <v>27</v>
      </c>
      <c r="J2669" t="s">
        <v>66</v>
      </c>
      <c r="K2669" t="s">
        <v>45</v>
      </c>
      <c r="L2669">
        <v>2</v>
      </c>
      <c r="M2669">
        <v>816</v>
      </c>
      <c r="N2669">
        <v>0</v>
      </c>
      <c r="O2669">
        <v>60</v>
      </c>
      <c r="P2669">
        <v>1632</v>
      </c>
      <c r="Q2669">
        <v>1692</v>
      </c>
      <c r="R2669" t="s">
        <v>39</v>
      </c>
      <c r="S2669" t="s">
        <v>31</v>
      </c>
      <c r="T2669" t="s">
        <v>32</v>
      </c>
      <c r="U2669">
        <v>20</v>
      </c>
      <c r="V2669">
        <v>3.2</v>
      </c>
      <c r="W2669">
        <f>Table2[[#This Row],[Quantity]]*Table2[[#This Row],[Item_Price]]</f>
        <v>1632</v>
      </c>
    </row>
    <row r="2670" spans="1:23" x14ac:dyDescent="0.25">
      <c r="A2670" t="s">
        <v>2770</v>
      </c>
      <c r="B2670" s="1">
        <v>45849</v>
      </c>
      <c r="C2670" t="s">
        <v>2632</v>
      </c>
      <c r="D2670">
        <v>7</v>
      </c>
      <c r="E2670">
        <v>11</v>
      </c>
      <c r="F2670" t="s">
        <v>114</v>
      </c>
      <c r="G2670" t="s">
        <v>55</v>
      </c>
      <c r="H2670" t="s">
        <v>135</v>
      </c>
      <c r="I2670" t="s">
        <v>36</v>
      </c>
      <c r="J2670" t="s">
        <v>94</v>
      </c>
      <c r="K2670" t="s">
        <v>58</v>
      </c>
      <c r="L2670">
        <v>1</v>
      </c>
      <c r="M2670">
        <v>172</v>
      </c>
      <c r="N2670">
        <v>8.6</v>
      </c>
      <c r="O2670">
        <v>20</v>
      </c>
      <c r="P2670">
        <v>172</v>
      </c>
      <c r="Q2670">
        <v>183.4</v>
      </c>
      <c r="R2670" t="s">
        <v>30</v>
      </c>
      <c r="S2670" t="s">
        <v>31</v>
      </c>
      <c r="T2670" t="s">
        <v>40</v>
      </c>
      <c r="U2670">
        <v>50</v>
      </c>
      <c r="V2670">
        <v>3.4</v>
      </c>
      <c r="W2670">
        <f>Table2[[#This Row],[Quantity]]*Table2[[#This Row],[Item_Price]]</f>
        <v>172</v>
      </c>
    </row>
    <row r="2671" spans="1:23" x14ac:dyDescent="0.25">
      <c r="A2671" t="s">
        <v>2771</v>
      </c>
      <c r="B2671" s="1">
        <v>45849</v>
      </c>
      <c r="C2671" t="s">
        <v>2632</v>
      </c>
      <c r="D2671">
        <v>7</v>
      </c>
      <c r="E2671">
        <v>11</v>
      </c>
      <c r="F2671" t="s">
        <v>114</v>
      </c>
      <c r="G2671" t="s">
        <v>55</v>
      </c>
      <c r="H2671" t="s">
        <v>135</v>
      </c>
      <c r="I2671" t="s">
        <v>97</v>
      </c>
      <c r="J2671" t="s">
        <v>123</v>
      </c>
      <c r="K2671" t="s">
        <v>38</v>
      </c>
      <c r="L2671">
        <v>1</v>
      </c>
      <c r="M2671">
        <v>318</v>
      </c>
      <c r="N2671">
        <v>15.9</v>
      </c>
      <c r="O2671">
        <v>30</v>
      </c>
      <c r="P2671">
        <v>318</v>
      </c>
      <c r="Q2671">
        <v>332.1</v>
      </c>
      <c r="R2671" t="s">
        <v>30</v>
      </c>
      <c r="S2671" t="s">
        <v>91</v>
      </c>
      <c r="T2671" t="s">
        <v>40</v>
      </c>
      <c r="U2671">
        <v>24</v>
      </c>
      <c r="W2671">
        <f>Table2[[#This Row],[Quantity]]*Table2[[#This Row],[Item_Price]]</f>
        <v>318</v>
      </c>
    </row>
    <row r="2672" spans="1:23" x14ac:dyDescent="0.25">
      <c r="A2672" t="s">
        <v>2772</v>
      </c>
      <c r="B2672" s="1">
        <v>45849</v>
      </c>
      <c r="C2672" t="s">
        <v>2632</v>
      </c>
      <c r="D2672">
        <v>7</v>
      </c>
      <c r="E2672">
        <v>11</v>
      </c>
      <c r="F2672" t="s">
        <v>114</v>
      </c>
      <c r="G2672" t="s">
        <v>90</v>
      </c>
      <c r="H2672" t="s">
        <v>60</v>
      </c>
      <c r="I2672" t="s">
        <v>43</v>
      </c>
      <c r="J2672" t="s">
        <v>94</v>
      </c>
      <c r="K2672" t="s">
        <v>58</v>
      </c>
      <c r="L2672">
        <v>2</v>
      </c>
      <c r="M2672">
        <v>199</v>
      </c>
      <c r="N2672">
        <v>39.799999999999997</v>
      </c>
      <c r="O2672">
        <v>50</v>
      </c>
      <c r="P2672">
        <v>398</v>
      </c>
      <c r="Q2672">
        <v>408.2</v>
      </c>
      <c r="R2672" t="s">
        <v>98</v>
      </c>
      <c r="S2672" t="s">
        <v>31</v>
      </c>
      <c r="T2672" t="s">
        <v>40</v>
      </c>
      <c r="U2672">
        <v>24</v>
      </c>
      <c r="V2672">
        <v>4.5</v>
      </c>
      <c r="W2672">
        <f>Table2[[#This Row],[Quantity]]*Table2[[#This Row],[Item_Price]]</f>
        <v>398</v>
      </c>
    </row>
    <row r="2673" spans="1:23" x14ac:dyDescent="0.25">
      <c r="A2673" t="s">
        <v>2773</v>
      </c>
      <c r="B2673" s="1">
        <v>45849</v>
      </c>
      <c r="C2673" t="s">
        <v>2632</v>
      </c>
      <c r="D2673">
        <v>7</v>
      </c>
      <c r="E2673">
        <v>11</v>
      </c>
      <c r="F2673" t="s">
        <v>114</v>
      </c>
      <c r="G2673" t="s">
        <v>55</v>
      </c>
      <c r="H2673" t="s">
        <v>48</v>
      </c>
      <c r="I2673" t="s">
        <v>43</v>
      </c>
      <c r="J2673" t="s">
        <v>74</v>
      </c>
      <c r="K2673" t="s">
        <v>45</v>
      </c>
      <c r="L2673">
        <v>2</v>
      </c>
      <c r="M2673">
        <v>488</v>
      </c>
      <c r="N2673">
        <v>48.8</v>
      </c>
      <c r="O2673">
        <v>30</v>
      </c>
      <c r="P2673">
        <v>976</v>
      </c>
      <c r="Q2673">
        <v>957.2</v>
      </c>
      <c r="R2673" t="s">
        <v>112</v>
      </c>
      <c r="S2673" t="s">
        <v>31</v>
      </c>
      <c r="T2673" t="s">
        <v>40</v>
      </c>
      <c r="U2673">
        <v>65</v>
      </c>
      <c r="V2673">
        <v>4.5</v>
      </c>
      <c r="W2673">
        <f>Table2[[#This Row],[Quantity]]*Table2[[#This Row],[Item_Price]]</f>
        <v>976</v>
      </c>
    </row>
    <row r="2674" spans="1:23" x14ac:dyDescent="0.25">
      <c r="A2674" t="s">
        <v>2774</v>
      </c>
      <c r="B2674" s="1">
        <v>45849</v>
      </c>
      <c r="C2674" t="s">
        <v>2632</v>
      </c>
      <c r="D2674">
        <v>7</v>
      </c>
      <c r="E2674">
        <v>11</v>
      </c>
      <c r="F2674" t="s">
        <v>114</v>
      </c>
      <c r="G2674" t="s">
        <v>25</v>
      </c>
      <c r="H2674" t="s">
        <v>139</v>
      </c>
      <c r="I2674" t="s">
        <v>97</v>
      </c>
      <c r="J2674" t="s">
        <v>66</v>
      </c>
      <c r="K2674" t="s">
        <v>38</v>
      </c>
      <c r="L2674">
        <v>1</v>
      </c>
      <c r="M2674">
        <v>673</v>
      </c>
      <c r="N2674">
        <v>67.3</v>
      </c>
      <c r="O2674">
        <v>30</v>
      </c>
      <c r="P2674">
        <v>673</v>
      </c>
      <c r="Q2674">
        <v>635.70000000000005</v>
      </c>
      <c r="R2674" t="s">
        <v>39</v>
      </c>
      <c r="S2674" t="s">
        <v>31</v>
      </c>
      <c r="T2674" t="s">
        <v>40</v>
      </c>
      <c r="U2674">
        <v>40</v>
      </c>
      <c r="V2674">
        <v>4.2</v>
      </c>
      <c r="W2674">
        <f>Table2[[#This Row],[Quantity]]*Table2[[#This Row],[Item_Price]]</f>
        <v>673</v>
      </c>
    </row>
    <row r="2675" spans="1:23" x14ac:dyDescent="0.25">
      <c r="A2675" t="s">
        <v>2775</v>
      </c>
      <c r="B2675" s="1">
        <v>45849</v>
      </c>
      <c r="C2675" t="s">
        <v>2632</v>
      </c>
      <c r="D2675">
        <v>7</v>
      </c>
      <c r="E2675">
        <v>11</v>
      </c>
      <c r="F2675" t="s">
        <v>114</v>
      </c>
      <c r="G2675" t="s">
        <v>34</v>
      </c>
      <c r="H2675" t="s">
        <v>56</v>
      </c>
      <c r="I2675" t="s">
        <v>27</v>
      </c>
      <c r="J2675" t="s">
        <v>50</v>
      </c>
      <c r="K2675" t="s">
        <v>38</v>
      </c>
      <c r="L2675">
        <v>1</v>
      </c>
      <c r="M2675">
        <v>366</v>
      </c>
      <c r="N2675">
        <v>18.3</v>
      </c>
      <c r="O2675">
        <v>30</v>
      </c>
      <c r="P2675">
        <v>366</v>
      </c>
      <c r="Q2675">
        <v>377.7</v>
      </c>
      <c r="R2675" t="s">
        <v>30</v>
      </c>
      <c r="S2675" t="s">
        <v>91</v>
      </c>
      <c r="T2675" t="s">
        <v>32</v>
      </c>
      <c r="U2675">
        <v>46</v>
      </c>
      <c r="W2675">
        <f>Table2[[#This Row],[Quantity]]*Table2[[#This Row],[Item_Price]]</f>
        <v>366</v>
      </c>
    </row>
    <row r="2676" spans="1:23" x14ac:dyDescent="0.25">
      <c r="A2676" t="s">
        <v>2776</v>
      </c>
      <c r="B2676" s="1">
        <v>45849</v>
      </c>
      <c r="C2676" t="s">
        <v>2632</v>
      </c>
      <c r="D2676">
        <v>7</v>
      </c>
      <c r="E2676">
        <v>11</v>
      </c>
      <c r="F2676" t="s">
        <v>114</v>
      </c>
      <c r="G2676" t="s">
        <v>80</v>
      </c>
      <c r="H2676" t="s">
        <v>60</v>
      </c>
      <c r="I2676" t="s">
        <v>57</v>
      </c>
      <c r="J2676" t="s">
        <v>74</v>
      </c>
      <c r="K2676" t="s">
        <v>38</v>
      </c>
      <c r="L2676">
        <v>1</v>
      </c>
      <c r="M2676">
        <v>428</v>
      </c>
      <c r="N2676">
        <v>64.2</v>
      </c>
      <c r="O2676">
        <v>30</v>
      </c>
      <c r="P2676">
        <v>428</v>
      </c>
      <c r="Q2676">
        <v>393.8</v>
      </c>
      <c r="R2676" t="s">
        <v>75</v>
      </c>
      <c r="S2676" t="s">
        <v>31</v>
      </c>
      <c r="T2676" t="s">
        <v>40</v>
      </c>
      <c r="U2676">
        <v>37</v>
      </c>
      <c r="V2676">
        <v>3.5</v>
      </c>
      <c r="W2676">
        <f>Table2[[#This Row],[Quantity]]*Table2[[#This Row],[Item_Price]]</f>
        <v>428</v>
      </c>
    </row>
    <row r="2677" spans="1:23" x14ac:dyDescent="0.25">
      <c r="A2677" t="s">
        <v>2777</v>
      </c>
      <c r="B2677" s="1">
        <v>45849</v>
      </c>
      <c r="C2677" t="s">
        <v>2632</v>
      </c>
      <c r="D2677">
        <v>7</v>
      </c>
      <c r="E2677">
        <v>11</v>
      </c>
      <c r="F2677" t="s">
        <v>114</v>
      </c>
      <c r="G2677" t="s">
        <v>64</v>
      </c>
      <c r="H2677" t="s">
        <v>77</v>
      </c>
      <c r="I2677" t="s">
        <v>27</v>
      </c>
      <c r="J2677" t="s">
        <v>28</v>
      </c>
      <c r="K2677" t="s">
        <v>38</v>
      </c>
      <c r="L2677">
        <v>2</v>
      </c>
      <c r="M2677">
        <v>645</v>
      </c>
      <c r="N2677">
        <v>64.5</v>
      </c>
      <c r="O2677">
        <v>60</v>
      </c>
      <c r="P2677">
        <v>1290</v>
      </c>
      <c r="Q2677">
        <v>1285.5</v>
      </c>
      <c r="R2677" t="s">
        <v>112</v>
      </c>
      <c r="S2677" t="s">
        <v>31</v>
      </c>
      <c r="T2677" t="s">
        <v>40</v>
      </c>
      <c r="U2677">
        <v>26</v>
      </c>
      <c r="V2677">
        <v>4.4000000000000004</v>
      </c>
      <c r="W2677">
        <f>Table2[[#This Row],[Quantity]]*Table2[[#This Row],[Item_Price]]</f>
        <v>1290</v>
      </c>
    </row>
    <row r="2678" spans="1:23" x14ac:dyDescent="0.25">
      <c r="A2678" t="s">
        <v>2778</v>
      </c>
      <c r="B2678" s="1">
        <v>45849</v>
      </c>
      <c r="C2678" t="s">
        <v>2632</v>
      </c>
      <c r="D2678">
        <v>7</v>
      </c>
      <c r="E2678">
        <v>11</v>
      </c>
      <c r="F2678" t="s">
        <v>114</v>
      </c>
      <c r="G2678" t="s">
        <v>25</v>
      </c>
      <c r="H2678" t="s">
        <v>42</v>
      </c>
      <c r="I2678" t="s">
        <v>27</v>
      </c>
      <c r="J2678" t="s">
        <v>123</v>
      </c>
      <c r="K2678" t="s">
        <v>38</v>
      </c>
      <c r="L2678">
        <v>2</v>
      </c>
      <c r="M2678">
        <v>590</v>
      </c>
      <c r="N2678">
        <v>59</v>
      </c>
      <c r="O2678">
        <v>30</v>
      </c>
      <c r="P2678">
        <v>1180</v>
      </c>
      <c r="Q2678">
        <v>1151</v>
      </c>
      <c r="R2678" t="s">
        <v>112</v>
      </c>
      <c r="S2678" t="s">
        <v>31</v>
      </c>
      <c r="T2678" t="s">
        <v>32</v>
      </c>
      <c r="U2678">
        <v>37</v>
      </c>
      <c r="V2678">
        <v>4.5</v>
      </c>
      <c r="W2678">
        <f>Table2[[#This Row],[Quantity]]*Table2[[#This Row],[Item_Price]]</f>
        <v>1180</v>
      </c>
    </row>
    <row r="2679" spans="1:23" x14ac:dyDescent="0.25">
      <c r="A2679" t="s">
        <v>2779</v>
      </c>
      <c r="B2679" s="1">
        <v>45849</v>
      </c>
      <c r="C2679" t="s">
        <v>2632</v>
      </c>
      <c r="D2679">
        <v>7</v>
      </c>
      <c r="E2679">
        <v>11</v>
      </c>
      <c r="F2679" t="s">
        <v>114</v>
      </c>
      <c r="G2679" t="s">
        <v>115</v>
      </c>
      <c r="H2679" t="s">
        <v>105</v>
      </c>
      <c r="I2679" t="s">
        <v>103</v>
      </c>
      <c r="J2679" t="s">
        <v>82</v>
      </c>
      <c r="K2679" t="s">
        <v>38</v>
      </c>
      <c r="L2679">
        <v>3</v>
      </c>
      <c r="M2679">
        <v>465</v>
      </c>
      <c r="N2679">
        <v>69.75</v>
      </c>
      <c r="O2679">
        <v>30</v>
      </c>
      <c r="P2679">
        <v>1395</v>
      </c>
      <c r="Q2679">
        <v>1355.25</v>
      </c>
      <c r="R2679" t="s">
        <v>30</v>
      </c>
      <c r="S2679" t="s">
        <v>31</v>
      </c>
      <c r="T2679" t="s">
        <v>40</v>
      </c>
      <c r="U2679">
        <v>52</v>
      </c>
      <c r="V2679">
        <v>3</v>
      </c>
      <c r="W2679">
        <f>Table2[[#This Row],[Quantity]]*Table2[[#This Row],[Item_Price]]</f>
        <v>1395</v>
      </c>
    </row>
    <row r="2680" spans="1:23" x14ac:dyDescent="0.25">
      <c r="A2680" t="s">
        <v>2780</v>
      </c>
      <c r="B2680" s="1">
        <v>45849</v>
      </c>
      <c r="C2680" t="s">
        <v>2632</v>
      </c>
      <c r="D2680">
        <v>7</v>
      </c>
      <c r="E2680">
        <v>11</v>
      </c>
      <c r="F2680" t="s">
        <v>114</v>
      </c>
      <c r="G2680" t="s">
        <v>64</v>
      </c>
      <c r="H2680" t="s">
        <v>42</v>
      </c>
      <c r="I2680" t="s">
        <v>43</v>
      </c>
      <c r="J2680" t="s">
        <v>101</v>
      </c>
      <c r="K2680" t="s">
        <v>38</v>
      </c>
      <c r="L2680">
        <v>1</v>
      </c>
      <c r="M2680">
        <v>230</v>
      </c>
      <c r="N2680">
        <v>34.5</v>
      </c>
      <c r="O2680">
        <v>20</v>
      </c>
      <c r="P2680">
        <v>230</v>
      </c>
      <c r="Q2680">
        <v>215.5</v>
      </c>
      <c r="R2680" t="s">
        <v>75</v>
      </c>
      <c r="S2680" t="s">
        <v>31</v>
      </c>
      <c r="T2680" t="s">
        <v>32</v>
      </c>
      <c r="U2680">
        <v>40</v>
      </c>
      <c r="V2680">
        <v>3.5</v>
      </c>
      <c r="W2680">
        <f>Table2[[#This Row],[Quantity]]*Table2[[#This Row],[Item_Price]]</f>
        <v>230</v>
      </c>
    </row>
    <row r="2681" spans="1:23" x14ac:dyDescent="0.25">
      <c r="A2681" t="s">
        <v>2781</v>
      </c>
      <c r="B2681" s="1">
        <v>45849</v>
      </c>
      <c r="C2681" t="s">
        <v>2632</v>
      </c>
      <c r="D2681">
        <v>7</v>
      </c>
      <c r="E2681">
        <v>11</v>
      </c>
      <c r="F2681" t="s">
        <v>114</v>
      </c>
      <c r="G2681" t="s">
        <v>84</v>
      </c>
      <c r="H2681" t="s">
        <v>60</v>
      </c>
      <c r="I2681" t="s">
        <v>57</v>
      </c>
      <c r="J2681" t="s">
        <v>74</v>
      </c>
      <c r="K2681" t="s">
        <v>38</v>
      </c>
      <c r="L2681">
        <v>1</v>
      </c>
      <c r="M2681">
        <v>846</v>
      </c>
      <c r="N2681">
        <v>42.3</v>
      </c>
      <c r="O2681">
        <v>20</v>
      </c>
      <c r="P2681">
        <v>846</v>
      </c>
      <c r="Q2681">
        <v>823.7</v>
      </c>
      <c r="R2681" t="s">
        <v>75</v>
      </c>
      <c r="S2681" t="s">
        <v>46</v>
      </c>
      <c r="T2681" t="s">
        <v>32</v>
      </c>
      <c r="U2681">
        <v>48</v>
      </c>
      <c r="W2681">
        <f>Table2[[#This Row],[Quantity]]*Table2[[#This Row],[Item_Price]]</f>
        <v>846</v>
      </c>
    </row>
    <row r="2682" spans="1:23" x14ac:dyDescent="0.25">
      <c r="A2682" t="s">
        <v>2782</v>
      </c>
      <c r="B2682" s="1">
        <v>45850</v>
      </c>
      <c r="C2682" t="s">
        <v>2632</v>
      </c>
      <c r="D2682">
        <v>7</v>
      </c>
      <c r="E2682">
        <v>12</v>
      </c>
      <c r="F2682" t="s">
        <v>134</v>
      </c>
      <c r="G2682" t="s">
        <v>90</v>
      </c>
      <c r="H2682" t="s">
        <v>108</v>
      </c>
      <c r="I2682" t="s">
        <v>27</v>
      </c>
      <c r="J2682" t="s">
        <v>50</v>
      </c>
      <c r="K2682" t="s">
        <v>38</v>
      </c>
      <c r="L2682">
        <v>2</v>
      </c>
      <c r="M2682">
        <v>213</v>
      </c>
      <c r="N2682">
        <v>21.3</v>
      </c>
      <c r="O2682">
        <v>70</v>
      </c>
      <c r="P2682">
        <v>426</v>
      </c>
      <c r="Q2682">
        <v>474.7</v>
      </c>
      <c r="R2682" t="s">
        <v>39</v>
      </c>
      <c r="S2682" t="s">
        <v>46</v>
      </c>
      <c r="T2682" t="s">
        <v>40</v>
      </c>
      <c r="U2682">
        <v>41</v>
      </c>
      <c r="W2682">
        <f>Table2[[#This Row],[Quantity]]*Table2[[#This Row],[Item_Price]]</f>
        <v>426</v>
      </c>
    </row>
    <row r="2683" spans="1:23" x14ac:dyDescent="0.25">
      <c r="A2683" t="s">
        <v>2783</v>
      </c>
      <c r="B2683" s="1">
        <v>45850</v>
      </c>
      <c r="C2683" t="s">
        <v>2632</v>
      </c>
      <c r="D2683">
        <v>7</v>
      </c>
      <c r="E2683">
        <v>12</v>
      </c>
      <c r="F2683" t="s">
        <v>134</v>
      </c>
      <c r="G2683" t="s">
        <v>80</v>
      </c>
      <c r="H2683" t="s">
        <v>135</v>
      </c>
      <c r="I2683" t="s">
        <v>36</v>
      </c>
      <c r="J2683" t="s">
        <v>44</v>
      </c>
      <c r="K2683" t="s">
        <v>45</v>
      </c>
      <c r="L2683">
        <v>3</v>
      </c>
      <c r="M2683">
        <v>663</v>
      </c>
      <c r="N2683">
        <v>33.15</v>
      </c>
      <c r="O2683">
        <v>0</v>
      </c>
      <c r="P2683">
        <v>1989</v>
      </c>
      <c r="Q2683">
        <v>1955.85</v>
      </c>
      <c r="R2683" t="s">
        <v>75</v>
      </c>
      <c r="S2683" t="s">
        <v>110</v>
      </c>
      <c r="T2683" t="s">
        <v>32</v>
      </c>
      <c r="U2683">
        <v>34</v>
      </c>
      <c r="W2683">
        <f>Table2[[#This Row],[Quantity]]*Table2[[#This Row],[Item_Price]]</f>
        <v>1989</v>
      </c>
    </row>
    <row r="2684" spans="1:23" x14ac:dyDescent="0.25">
      <c r="A2684" t="s">
        <v>2784</v>
      </c>
      <c r="B2684" s="1">
        <v>45850</v>
      </c>
      <c r="C2684" t="s">
        <v>2632</v>
      </c>
      <c r="D2684">
        <v>7</v>
      </c>
      <c r="E2684">
        <v>12</v>
      </c>
      <c r="F2684" t="s">
        <v>134</v>
      </c>
      <c r="G2684" t="s">
        <v>73</v>
      </c>
      <c r="H2684" t="s">
        <v>81</v>
      </c>
      <c r="I2684" t="s">
        <v>36</v>
      </c>
      <c r="J2684" t="s">
        <v>37</v>
      </c>
      <c r="K2684" t="s">
        <v>38</v>
      </c>
      <c r="L2684">
        <v>1</v>
      </c>
      <c r="M2684">
        <v>436</v>
      </c>
      <c r="N2684">
        <v>87.2</v>
      </c>
      <c r="O2684">
        <v>70</v>
      </c>
      <c r="P2684">
        <v>436</v>
      </c>
      <c r="Q2684">
        <v>418.8</v>
      </c>
      <c r="R2684" t="s">
        <v>30</v>
      </c>
      <c r="S2684" t="s">
        <v>31</v>
      </c>
      <c r="T2684" t="s">
        <v>40</v>
      </c>
      <c r="U2684">
        <v>65</v>
      </c>
      <c r="V2684">
        <v>4.5999999999999996</v>
      </c>
      <c r="W2684">
        <f>Table2[[#This Row],[Quantity]]*Table2[[#This Row],[Item_Price]]</f>
        <v>436</v>
      </c>
    </row>
    <row r="2685" spans="1:23" x14ac:dyDescent="0.25">
      <c r="A2685" t="s">
        <v>2785</v>
      </c>
      <c r="B2685" s="1">
        <v>45850</v>
      </c>
      <c r="C2685" t="s">
        <v>2632</v>
      </c>
      <c r="D2685">
        <v>7</v>
      </c>
      <c r="E2685">
        <v>12</v>
      </c>
      <c r="F2685" t="s">
        <v>134</v>
      </c>
      <c r="G2685" t="s">
        <v>34</v>
      </c>
      <c r="H2685" t="s">
        <v>68</v>
      </c>
      <c r="I2685" t="s">
        <v>97</v>
      </c>
      <c r="J2685" t="s">
        <v>70</v>
      </c>
      <c r="K2685" t="s">
        <v>38</v>
      </c>
      <c r="L2685">
        <v>3</v>
      </c>
      <c r="M2685">
        <v>443</v>
      </c>
      <c r="N2685">
        <v>44.3</v>
      </c>
      <c r="O2685">
        <v>50</v>
      </c>
      <c r="P2685">
        <v>1329</v>
      </c>
      <c r="Q2685">
        <v>1334.7</v>
      </c>
      <c r="R2685" t="s">
        <v>98</v>
      </c>
      <c r="S2685" t="s">
        <v>31</v>
      </c>
      <c r="T2685" t="s">
        <v>40</v>
      </c>
      <c r="U2685">
        <v>65</v>
      </c>
      <c r="V2685">
        <v>4.5</v>
      </c>
      <c r="W2685">
        <f>Table2[[#This Row],[Quantity]]*Table2[[#This Row],[Item_Price]]</f>
        <v>1329</v>
      </c>
    </row>
    <row r="2686" spans="1:23" x14ac:dyDescent="0.25">
      <c r="A2686" t="s">
        <v>2786</v>
      </c>
      <c r="B2686" s="1">
        <v>45850</v>
      </c>
      <c r="C2686" t="s">
        <v>2632</v>
      </c>
      <c r="D2686">
        <v>7</v>
      </c>
      <c r="E2686">
        <v>12</v>
      </c>
      <c r="F2686" t="s">
        <v>134</v>
      </c>
      <c r="G2686" t="s">
        <v>90</v>
      </c>
      <c r="H2686" t="s">
        <v>35</v>
      </c>
      <c r="I2686" t="s">
        <v>61</v>
      </c>
      <c r="J2686" t="s">
        <v>172</v>
      </c>
      <c r="K2686" t="s">
        <v>38</v>
      </c>
      <c r="L2686">
        <v>1</v>
      </c>
      <c r="M2686">
        <v>811</v>
      </c>
      <c r="N2686">
        <v>81.099999999999994</v>
      </c>
      <c r="O2686">
        <v>60</v>
      </c>
      <c r="P2686">
        <v>811</v>
      </c>
      <c r="Q2686">
        <v>789.9</v>
      </c>
      <c r="R2686" t="s">
        <v>112</v>
      </c>
      <c r="S2686" t="s">
        <v>110</v>
      </c>
      <c r="T2686" t="s">
        <v>32</v>
      </c>
      <c r="U2686">
        <v>42</v>
      </c>
      <c r="W2686">
        <f>Table2[[#This Row],[Quantity]]*Table2[[#This Row],[Item_Price]]</f>
        <v>811</v>
      </c>
    </row>
    <row r="2687" spans="1:23" x14ac:dyDescent="0.25">
      <c r="A2687" t="s">
        <v>2787</v>
      </c>
      <c r="B2687" s="1">
        <v>45850</v>
      </c>
      <c r="C2687" t="s">
        <v>2632</v>
      </c>
      <c r="D2687">
        <v>7</v>
      </c>
      <c r="E2687">
        <v>12</v>
      </c>
      <c r="F2687" t="s">
        <v>134</v>
      </c>
      <c r="G2687" t="s">
        <v>25</v>
      </c>
      <c r="H2687" t="s">
        <v>35</v>
      </c>
      <c r="I2687" t="s">
        <v>69</v>
      </c>
      <c r="J2687" t="s">
        <v>50</v>
      </c>
      <c r="K2687" t="s">
        <v>38</v>
      </c>
      <c r="L2687">
        <v>1</v>
      </c>
      <c r="M2687">
        <v>183</v>
      </c>
      <c r="N2687">
        <v>9.15</v>
      </c>
      <c r="O2687">
        <v>50</v>
      </c>
      <c r="P2687">
        <v>183</v>
      </c>
      <c r="Q2687">
        <v>223.85</v>
      </c>
      <c r="R2687" t="s">
        <v>39</v>
      </c>
      <c r="S2687" t="s">
        <v>31</v>
      </c>
      <c r="T2687" t="s">
        <v>40</v>
      </c>
      <c r="U2687">
        <v>29</v>
      </c>
      <c r="V2687">
        <v>4.5999999999999996</v>
      </c>
      <c r="W2687">
        <f>Table2[[#This Row],[Quantity]]*Table2[[#This Row],[Item_Price]]</f>
        <v>183</v>
      </c>
    </row>
    <row r="2688" spans="1:23" x14ac:dyDescent="0.25">
      <c r="A2688" t="s">
        <v>2788</v>
      </c>
      <c r="B2688" s="1">
        <v>45850</v>
      </c>
      <c r="C2688" t="s">
        <v>2632</v>
      </c>
      <c r="D2688">
        <v>7</v>
      </c>
      <c r="E2688">
        <v>12</v>
      </c>
      <c r="F2688" t="s">
        <v>134</v>
      </c>
      <c r="G2688" t="s">
        <v>115</v>
      </c>
      <c r="H2688" t="s">
        <v>42</v>
      </c>
      <c r="I2688" t="s">
        <v>85</v>
      </c>
      <c r="J2688" t="s">
        <v>66</v>
      </c>
      <c r="K2688" t="s">
        <v>58</v>
      </c>
      <c r="L2688">
        <v>1</v>
      </c>
      <c r="M2688">
        <v>632</v>
      </c>
      <c r="N2688">
        <v>63.2</v>
      </c>
      <c r="O2688">
        <v>40</v>
      </c>
      <c r="P2688">
        <v>632</v>
      </c>
      <c r="Q2688">
        <v>608.79999999999995</v>
      </c>
      <c r="R2688" t="s">
        <v>30</v>
      </c>
      <c r="S2688" t="s">
        <v>31</v>
      </c>
      <c r="T2688" t="s">
        <v>40</v>
      </c>
      <c r="U2688">
        <v>20</v>
      </c>
      <c r="V2688">
        <v>3.8</v>
      </c>
      <c r="W2688">
        <f>Table2[[#This Row],[Quantity]]*Table2[[#This Row],[Item_Price]]</f>
        <v>632</v>
      </c>
    </row>
    <row r="2689" spans="1:23" x14ac:dyDescent="0.25">
      <c r="A2689" t="s">
        <v>2789</v>
      </c>
      <c r="B2689" s="1">
        <v>45850</v>
      </c>
      <c r="C2689" t="s">
        <v>2632</v>
      </c>
      <c r="D2689">
        <v>7</v>
      </c>
      <c r="E2689">
        <v>12</v>
      </c>
      <c r="F2689" t="s">
        <v>134</v>
      </c>
      <c r="G2689" t="s">
        <v>64</v>
      </c>
      <c r="H2689" t="s">
        <v>108</v>
      </c>
      <c r="I2689" t="s">
        <v>49</v>
      </c>
      <c r="J2689" t="s">
        <v>62</v>
      </c>
      <c r="K2689" t="s">
        <v>38</v>
      </c>
      <c r="L2689">
        <v>3</v>
      </c>
      <c r="M2689">
        <v>810</v>
      </c>
      <c r="N2689">
        <v>81</v>
      </c>
      <c r="O2689">
        <v>20</v>
      </c>
      <c r="P2689">
        <v>2430</v>
      </c>
      <c r="Q2689">
        <v>2369</v>
      </c>
      <c r="R2689" t="s">
        <v>112</v>
      </c>
      <c r="S2689" t="s">
        <v>31</v>
      </c>
      <c r="T2689" t="s">
        <v>32</v>
      </c>
      <c r="U2689">
        <v>62</v>
      </c>
      <c r="V2689">
        <v>4.2</v>
      </c>
      <c r="W2689">
        <f>Table2[[#This Row],[Quantity]]*Table2[[#This Row],[Item_Price]]</f>
        <v>2430</v>
      </c>
    </row>
    <row r="2690" spans="1:23" x14ac:dyDescent="0.25">
      <c r="A2690" t="s">
        <v>2790</v>
      </c>
      <c r="B2690" s="1">
        <v>45850</v>
      </c>
      <c r="C2690" t="s">
        <v>2632</v>
      </c>
      <c r="D2690">
        <v>7</v>
      </c>
      <c r="E2690">
        <v>12</v>
      </c>
      <c r="F2690" t="s">
        <v>134</v>
      </c>
      <c r="G2690" t="s">
        <v>96</v>
      </c>
      <c r="H2690" t="s">
        <v>56</v>
      </c>
      <c r="I2690" t="s">
        <v>61</v>
      </c>
      <c r="J2690" t="s">
        <v>119</v>
      </c>
      <c r="K2690" t="s">
        <v>38</v>
      </c>
      <c r="L2690">
        <v>1</v>
      </c>
      <c r="M2690">
        <v>365</v>
      </c>
      <c r="N2690">
        <v>18.25</v>
      </c>
      <c r="O2690">
        <v>30</v>
      </c>
      <c r="P2690">
        <v>365</v>
      </c>
      <c r="Q2690">
        <v>376.75</v>
      </c>
      <c r="R2690" t="s">
        <v>30</v>
      </c>
      <c r="S2690" t="s">
        <v>31</v>
      </c>
      <c r="T2690" t="s">
        <v>40</v>
      </c>
      <c r="U2690">
        <v>64</v>
      </c>
      <c r="V2690">
        <v>4.0999999999999996</v>
      </c>
      <c r="W2690">
        <f>Table2[[#This Row],[Quantity]]*Table2[[#This Row],[Item_Price]]</f>
        <v>365</v>
      </c>
    </row>
    <row r="2691" spans="1:23" x14ac:dyDescent="0.25">
      <c r="A2691" t="s">
        <v>2791</v>
      </c>
      <c r="B2691" s="1">
        <v>45851</v>
      </c>
      <c r="C2691" t="s">
        <v>2632</v>
      </c>
      <c r="D2691">
        <v>7</v>
      </c>
      <c r="E2691">
        <v>13</v>
      </c>
      <c r="F2691" t="s">
        <v>149</v>
      </c>
      <c r="G2691" t="s">
        <v>55</v>
      </c>
      <c r="H2691" t="s">
        <v>56</v>
      </c>
      <c r="I2691" t="s">
        <v>61</v>
      </c>
      <c r="J2691" t="s">
        <v>50</v>
      </c>
      <c r="K2691" t="s">
        <v>38</v>
      </c>
      <c r="L2691">
        <v>2</v>
      </c>
      <c r="M2691">
        <v>407</v>
      </c>
      <c r="N2691">
        <v>20.350000000000001</v>
      </c>
      <c r="O2691">
        <v>30</v>
      </c>
      <c r="P2691">
        <v>814</v>
      </c>
      <c r="Q2691">
        <v>823.65</v>
      </c>
      <c r="R2691" t="s">
        <v>112</v>
      </c>
      <c r="S2691" t="s">
        <v>31</v>
      </c>
      <c r="T2691" t="s">
        <v>40</v>
      </c>
      <c r="U2691">
        <v>34</v>
      </c>
      <c r="V2691">
        <v>3.5</v>
      </c>
      <c r="W2691">
        <f>Table2[[#This Row],[Quantity]]*Table2[[#This Row],[Item_Price]]</f>
        <v>814</v>
      </c>
    </row>
    <row r="2692" spans="1:23" x14ac:dyDescent="0.25">
      <c r="A2692" t="s">
        <v>2792</v>
      </c>
      <c r="B2692" s="1">
        <v>45851</v>
      </c>
      <c r="C2692" t="s">
        <v>2632</v>
      </c>
      <c r="D2692">
        <v>7</v>
      </c>
      <c r="E2692">
        <v>13</v>
      </c>
      <c r="F2692" t="s">
        <v>149</v>
      </c>
      <c r="G2692" t="s">
        <v>73</v>
      </c>
      <c r="H2692" t="s">
        <v>108</v>
      </c>
      <c r="I2692" t="s">
        <v>97</v>
      </c>
      <c r="J2692" t="s">
        <v>74</v>
      </c>
      <c r="K2692" t="s">
        <v>58</v>
      </c>
      <c r="L2692">
        <v>3</v>
      </c>
      <c r="M2692">
        <v>232</v>
      </c>
      <c r="N2692">
        <v>0</v>
      </c>
      <c r="O2692">
        <v>40</v>
      </c>
      <c r="P2692">
        <v>696</v>
      </c>
      <c r="Q2692">
        <v>736</v>
      </c>
      <c r="R2692" t="s">
        <v>39</v>
      </c>
      <c r="S2692" t="s">
        <v>31</v>
      </c>
      <c r="T2692" t="s">
        <v>40</v>
      </c>
      <c r="U2692">
        <v>37</v>
      </c>
      <c r="V2692">
        <v>3.8</v>
      </c>
      <c r="W2692">
        <f>Table2[[#This Row],[Quantity]]*Table2[[#This Row],[Item_Price]]</f>
        <v>696</v>
      </c>
    </row>
    <row r="2693" spans="1:23" x14ac:dyDescent="0.25">
      <c r="A2693" t="s">
        <v>2793</v>
      </c>
      <c r="B2693" s="1">
        <v>45851</v>
      </c>
      <c r="C2693" t="s">
        <v>2632</v>
      </c>
      <c r="D2693">
        <v>7</v>
      </c>
      <c r="E2693">
        <v>13</v>
      </c>
      <c r="F2693" t="s">
        <v>149</v>
      </c>
      <c r="G2693" t="s">
        <v>34</v>
      </c>
      <c r="H2693" t="s">
        <v>42</v>
      </c>
      <c r="I2693" t="s">
        <v>61</v>
      </c>
      <c r="J2693" t="s">
        <v>37</v>
      </c>
      <c r="K2693" t="s">
        <v>58</v>
      </c>
      <c r="L2693">
        <v>2</v>
      </c>
      <c r="M2693">
        <v>449</v>
      </c>
      <c r="N2693">
        <v>22.45</v>
      </c>
      <c r="O2693">
        <v>30</v>
      </c>
      <c r="P2693">
        <v>898</v>
      </c>
      <c r="Q2693">
        <v>905.55</v>
      </c>
      <c r="R2693" t="s">
        <v>75</v>
      </c>
      <c r="S2693" t="s">
        <v>31</v>
      </c>
      <c r="T2693" t="s">
        <v>40</v>
      </c>
      <c r="U2693">
        <v>18</v>
      </c>
      <c r="V2693">
        <v>3.9</v>
      </c>
      <c r="W2693">
        <f>Table2[[#This Row],[Quantity]]*Table2[[#This Row],[Item_Price]]</f>
        <v>898</v>
      </c>
    </row>
    <row r="2694" spans="1:23" x14ac:dyDescent="0.25">
      <c r="A2694" t="s">
        <v>2794</v>
      </c>
      <c r="B2694" s="1">
        <v>45851</v>
      </c>
      <c r="C2694" t="s">
        <v>2632</v>
      </c>
      <c r="D2694">
        <v>7</v>
      </c>
      <c r="E2694">
        <v>13</v>
      </c>
      <c r="F2694" t="s">
        <v>149</v>
      </c>
      <c r="G2694" t="s">
        <v>96</v>
      </c>
      <c r="H2694" t="s">
        <v>108</v>
      </c>
      <c r="I2694" t="s">
        <v>49</v>
      </c>
      <c r="J2694" t="s">
        <v>44</v>
      </c>
      <c r="K2694" t="s">
        <v>38</v>
      </c>
      <c r="L2694">
        <v>3</v>
      </c>
      <c r="M2694">
        <v>496</v>
      </c>
      <c r="N2694">
        <v>99.2</v>
      </c>
      <c r="O2694">
        <v>30</v>
      </c>
      <c r="P2694">
        <v>1488</v>
      </c>
      <c r="Q2694">
        <v>1418.8</v>
      </c>
      <c r="R2694" t="s">
        <v>98</v>
      </c>
      <c r="S2694" t="s">
        <v>91</v>
      </c>
      <c r="T2694" t="s">
        <v>40</v>
      </c>
      <c r="U2694">
        <v>44</v>
      </c>
      <c r="W2694">
        <f>Table2[[#This Row],[Quantity]]*Table2[[#This Row],[Item_Price]]</f>
        <v>1488</v>
      </c>
    </row>
    <row r="2695" spans="1:23" x14ac:dyDescent="0.25">
      <c r="A2695" t="s">
        <v>2795</v>
      </c>
      <c r="B2695" s="1">
        <v>45851</v>
      </c>
      <c r="C2695" t="s">
        <v>2632</v>
      </c>
      <c r="D2695">
        <v>7</v>
      </c>
      <c r="E2695">
        <v>13</v>
      </c>
      <c r="F2695" t="s">
        <v>149</v>
      </c>
      <c r="G2695" t="s">
        <v>96</v>
      </c>
      <c r="H2695" t="s">
        <v>42</v>
      </c>
      <c r="I2695" t="s">
        <v>49</v>
      </c>
      <c r="J2695" t="s">
        <v>66</v>
      </c>
      <c r="K2695" t="s">
        <v>38</v>
      </c>
      <c r="L2695">
        <v>2</v>
      </c>
      <c r="M2695">
        <v>504</v>
      </c>
      <c r="N2695">
        <v>0</v>
      </c>
      <c r="O2695">
        <v>30</v>
      </c>
      <c r="P2695">
        <v>1008</v>
      </c>
      <c r="Q2695">
        <v>1038</v>
      </c>
      <c r="R2695" t="s">
        <v>39</v>
      </c>
      <c r="S2695" t="s">
        <v>31</v>
      </c>
      <c r="T2695" t="s">
        <v>32</v>
      </c>
      <c r="U2695">
        <v>64</v>
      </c>
      <c r="V2695">
        <v>5</v>
      </c>
      <c r="W2695">
        <f>Table2[[#This Row],[Quantity]]*Table2[[#This Row],[Item_Price]]</f>
        <v>1008</v>
      </c>
    </row>
    <row r="2696" spans="1:23" x14ac:dyDescent="0.25">
      <c r="A2696" t="s">
        <v>2796</v>
      </c>
      <c r="B2696" s="1">
        <v>45851</v>
      </c>
      <c r="C2696" t="s">
        <v>2632</v>
      </c>
      <c r="D2696">
        <v>7</v>
      </c>
      <c r="E2696">
        <v>13</v>
      </c>
      <c r="F2696" t="s">
        <v>149</v>
      </c>
      <c r="G2696" t="s">
        <v>25</v>
      </c>
      <c r="H2696" t="s">
        <v>81</v>
      </c>
      <c r="I2696" t="s">
        <v>57</v>
      </c>
      <c r="J2696" t="s">
        <v>44</v>
      </c>
      <c r="K2696" t="s">
        <v>38</v>
      </c>
      <c r="L2696">
        <v>2</v>
      </c>
      <c r="M2696">
        <v>501</v>
      </c>
      <c r="N2696">
        <v>25.05</v>
      </c>
      <c r="O2696">
        <v>0</v>
      </c>
      <c r="P2696">
        <v>1002</v>
      </c>
      <c r="Q2696">
        <v>976.95</v>
      </c>
      <c r="R2696" t="s">
        <v>39</v>
      </c>
      <c r="S2696" t="s">
        <v>31</v>
      </c>
      <c r="T2696" t="s">
        <v>40</v>
      </c>
      <c r="U2696">
        <v>23</v>
      </c>
      <c r="V2696">
        <v>4.3</v>
      </c>
      <c r="W2696">
        <f>Table2[[#This Row],[Quantity]]*Table2[[#This Row],[Item_Price]]</f>
        <v>1002</v>
      </c>
    </row>
    <row r="2697" spans="1:23" x14ac:dyDescent="0.25">
      <c r="A2697" t="s">
        <v>2797</v>
      </c>
      <c r="B2697" s="1">
        <v>45851</v>
      </c>
      <c r="C2697" t="s">
        <v>2632</v>
      </c>
      <c r="D2697">
        <v>7</v>
      </c>
      <c r="E2697">
        <v>13</v>
      </c>
      <c r="F2697" t="s">
        <v>149</v>
      </c>
      <c r="G2697" t="s">
        <v>34</v>
      </c>
      <c r="H2697" t="s">
        <v>105</v>
      </c>
      <c r="I2697" t="s">
        <v>57</v>
      </c>
      <c r="J2697" t="s">
        <v>123</v>
      </c>
      <c r="K2697" t="s">
        <v>38</v>
      </c>
      <c r="L2697">
        <v>2</v>
      </c>
      <c r="M2697">
        <v>540</v>
      </c>
      <c r="N2697">
        <v>0</v>
      </c>
      <c r="O2697">
        <v>70</v>
      </c>
      <c r="P2697">
        <v>1080</v>
      </c>
      <c r="Q2697">
        <v>1150</v>
      </c>
      <c r="R2697" t="s">
        <v>98</v>
      </c>
      <c r="S2697" t="s">
        <v>31</v>
      </c>
      <c r="T2697" t="s">
        <v>40</v>
      </c>
      <c r="U2697">
        <v>47</v>
      </c>
      <c r="V2697">
        <v>4.9000000000000004</v>
      </c>
      <c r="W2697">
        <f>Table2[[#This Row],[Quantity]]*Table2[[#This Row],[Item_Price]]</f>
        <v>1080</v>
      </c>
    </row>
    <row r="2698" spans="1:23" x14ac:dyDescent="0.25">
      <c r="A2698" t="s">
        <v>2798</v>
      </c>
      <c r="B2698" s="1">
        <v>45851</v>
      </c>
      <c r="C2698" t="s">
        <v>2632</v>
      </c>
      <c r="D2698">
        <v>7</v>
      </c>
      <c r="E2698">
        <v>13</v>
      </c>
      <c r="F2698" t="s">
        <v>149</v>
      </c>
      <c r="G2698" t="s">
        <v>73</v>
      </c>
      <c r="H2698" t="s">
        <v>81</v>
      </c>
      <c r="I2698" t="s">
        <v>57</v>
      </c>
      <c r="J2698" t="s">
        <v>94</v>
      </c>
      <c r="K2698" t="s">
        <v>38</v>
      </c>
      <c r="L2698">
        <v>2</v>
      </c>
      <c r="M2698">
        <v>682</v>
      </c>
      <c r="N2698">
        <v>0</v>
      </c>
      <c r="O2698">
        <v>40</v>
      </c>
      <c r="P2698">
        <v>1364</v>
      </c>
      <c r="Q2698">
        <v>1404</v>
      </c>
      <c r="R2698" t="s">
        <v>39</v>
      </c>
      <c r="S2698" t="s">
        <v>31</v>
      </c>
      <c r="T2698" t="s">
        <v>40</v>
      </c>
      <c r="U2698">
        <v>36</v>
      </c>
      <c r="V2698">
        <v>3.8</v>
      </c>
      <c r="W2698">
        <f>Table2[[#This Row],[Quantity]]*Table2[[#This Row],[Item_Price]]</f>
        <v>1364</v>
      </c>
    </row>
    <row r="2699" spans="1:23" x14ac:dyDescent="0.25">
      <c r="A2699" t="s">
        <v>2799</v>
      </c>
      <c r="B2699" s="1">
        <v>45851</v>
      </c>
      <c r="C2699" t="s">
        <v>2632</v>
      </c>
      <c r="D2699">
        <v>7</v>
      </c>
      <c r="E2699">
        <v>13</v>
      </c>
      <c r="F2699" t="s">
        <v>149</v>
      </c>
      <c r="G2699" t="s">
        <v>84</v>
      </c>
      <c r="H2699" t="s">
        <v>105</v>
      </c>
      <c r="I2699" t="s">
        <v>43</v>
      </c>
      <c r="J2699" t="s">
        <v>62</v>
      </c>
      <c r="K2699" t="s">
        <v>45</v>
      </c>
      <c r="L2699">
        <v>2</v>
      </c>
      <c r="M2699">
        <v>558</v>
      </c>
      <c r="N2699">
        <v>55.8</v>
      </c>
      <c r="O2699">
        <v>50</v>
      </c>
      <c r="P2699">
        <v>1116</v>
      </c>
      <c r="Q2699">
        <v>1110.2</v>
      </c>
      <c r="R2699" t="s">
        <v>75</v>
      </c>
      <c r="S2699" t="s">
        <v>31</v>
      </c>
      <c r="T2699" t="s">
        <v>40</v>
      </c>
      <c r="U2699">
        <v>36</v>
      </c>
      <c r="V2699">
        <v>3.9</v>
      </c>
      <c r="W2699">
        <f>Table2[[#This Row],[Quantity]]*Table2[[#This Row],[Item_Price]]</f>
        <v>1116</v>
      </c>
    </row>
    <row r="2700" spans="1:23" x14ac:dyDescent="0.25">
      <c r="A2700" t="s">
        <v>2800</v>
      </c>
      <c r="B2700" s="1">
        <v>45851</v>
      </c>
      <c r="C2700" t="s">
        <v>2632</v>
      </c>
      <c r="D2700">
        <v>7</v>
      </c>
      <c r="E2700">
        <v>13</v>
      </c>
      <c r="F2700" t="s">
        <v>149</v>
      </c>
      <c r="G2700" t="s">
        <v>64</v>
      </c>
      <c r="H2700" t="s">
        <v>26</v>
      </c>
      <c r="I2700" t="s">
        <v>97</v>
      </c>
      <c r="J2700" t="s">
        <v>28</v>
      </c>
      <c r="K2700" t="s">
        <v>38</v>
      </c>
      <c r="L2700">
        <v>1</v>
      </c>
      <c r="M2700">
        <v>190</v>
      </c>
      <c r="N2700">
        <v>28.5</v>
      </c>
      <c r="O2700">
        <v>0</v>
      </c>
      <c r="P2700">
        <v>190</v>
      </c>
      <c r="Q2700">
        <v>161.5</v>
      </c>
      <c r="R2700" t="s">
        <v>30</v>
      </c>
      <c r="S2700" t="s">
        <v>31</v>
      </c>
      <c r="T2700" t="s">
        <v>40</v>
      </c>
      <c r="U2700">
        <v>38</v>
      </c>
      <c r="V2700">
        <v>5</v>
      </c>
      <c r="W2700">
        <f>Table2[[#This Row],[Quantity]]*Table2[[#This Row],[Item_Price]]</f>
        <v>190</v>
      </c>
    </row>
    <row r="2701" spans="1:23" x14ac:dyDescent="0.25">
      <c r="A2701" t="s">
        <v>2801</v>
      </c>
      <c r="B2701" s="1">
        <v>45852</v>
      </c>
      <c r="C2701" t="s">
        <v>2632</v>
      </c>
      <c r="D2701">
        <v>7</v>
      </c>
      <c r="E2701">
        <v>14</v>
      </c>
      <c r="F2701" t="s">
        <v>168</v>
      </c>
      <c r="G2701" t="s">
        <v>73</v>
      </c>
      <c r="H2701" t="s">
        <v>139</v>
      </c>
      <c r="I2701" t="s">
        <v>97</v>
      </c>
      <c r="J2701" t="s">
        <v>62</v>
      </c>
      <c r="K2701" t="s">
        <v>38</v>
      </c>
      <c r="L2701">
        <v>2</v>
      </c>
      <c r="M2701">
        <v>239</v>
      </c>
      <c r="N2701">
        <v>23.9</v>
      </c>
      <c r="O2701">
        <v>30</v>
      </c>
      <c r="P2701">
        <v>478</v>
      </c>
      <c r="Q2701">
        <v>484.1</v>
      </c>
      <c r="R2701" t="s">
        <v>39</v>
      </c>
      <c r="S2701" t="s">
        <v>31</v>
      </c>
      <c r="T2701" t="s">
        <v>40</v>
      </c>
      <c r="U2701">
        <v>46</v>
      </c>
      <c r="V2701">
        <v>5</v>
      </c>
      <c r="W2701">
        <f>Table2[[#This Row],[Quantity]]*Table2[[#This Row],[Item_Price]]</f>
        <v>478</v>
      </c>
    </row>
    <row r="2702" spans="1:23" x14ac:dyDescent="0.25">
      <c r="A2702" t="s">
        <v>2802</v>
      </c>
      <c r="B2702" s="1">
        <v>45852</v>
      </c>
      <c r="C2702" t="s">
        <v>2632</v>
      </c>
      <c r="D2702">
        <v>7</v>
      </c>
      <c r="E2702">
        <v>14</v>
      </c>
      <c r="F2702" t="s">
        <v>168</v>
      </c>
      <c r="G2702" t="s">
        <v>73</v>
      </c>
      <c r="H2702" t="s">
        <v>105</v>
      </c>
      <c r="I2702" t="s">
        <v>57</v>
      </c>
      <c r="J2702" t="s">
        <v>53</v>
      </c>
      <c r="K2702" t="s">
        <v>38</v>
      </c>
      <c r="L2702">
        <v>2</v>
      </c>
      <c r="M2702">
        <v>686</v>
      </c>
      <c r="N2702">
        <v>68.599999999999994</v>
      </c>
      <c r="O2702">
        <v>50</v>
      </c>
      <c r="P2702">
        <v>1372</v>
      </c>
      <c r="Q2702">
        <v>1353.4</v>
      </c>
      <c r="R2702" t="s">
        <v>112</v>
      </c>
      <c r="S2702" t="s">
        <v>31</v>
      </c>
      <c r="T2702" t="s">
        <v>40</v>
      </c>
      <c r="U2702">
        <v>67</v>
      </c>
      <c r="V2702">
        <v>3.8</v>
      </c>
      <c r="W2702">
        <f>Table2[[#This Row],[Quantity]]*Table2[[#This Row],[Item_Price]]</f>
        <v>1372</v>
      </c>
    </row>
    <row r="2703" spans="1:23" x14ac:dyDescent="0.25">
      <c r="A2703" t="s">
        <v>2803</v>
      </c>
      <c r="B2703" s="1">
        <v>45852</v>
      </c>
      <c r="C2703" t="s">
        <v>2632</v>
      </c>
      <c r="D2703">
        <v>7</v>
      </c>
      <c r="E2703">
        <v>14</v>
      </c>
      <c r="F2703" t="s">
        <v>168</v>
      </c>
      <c r="G2703" t="s">
        <v>64</v>
      </c>
      <c r="H2703" t="s">
        <v>48</v>
      </c>
      <c r="I2703" t="s">
        <v>43</v>
      </c>
      <c r="J2703" t="s">
        <v>74</v>
      </c>
      <c r="K2703" t="s">
        <v>38</v>
      </c>
      <c r="L2703">
        <v>1</v>
      </c>
      <c r="M2703">
        <v>865</v>
      </c>
      <c r="N2703">
        <v>216.25</v>
      </c>
      <c r="O2703">
        <v>20</v>
      </c>
      <c r="P2703">
        <v>865</v>
      </c>
      <c r="Q2703">
        <v>668.75</v>
      </c>
      <c r="R2703" t="s">
        <v>75</v>
      </c>
      <c r="S2703" t="s">
        <v>31</v>
      </c>
      <c r="T2703" t="s">
        <v>32</v>
      </c>
      <c r="U2703">
        <v>22</v>
      </c>
      <c r="V2703">
        <v>2.7</v>
      </c>
      <c r="W2703">
        <f>Table2[[#This Row],[Quantity]]*Table2[[#This Row],[Item_Price]]</f>
        <v>865</v>
      </c>
    </row>
    <row r="2704" spans="1:23" x14ac:dyDescent="0.25">
      <c r="A2704" t="s">
        <v>2804</v>
      </c>
      <c r="B2704" s="1">
        <v>45852</v>
      </c>
      <c r="C2704" t="s">
        <v>2632</v>
      </c>
      <c r="D2704">
        <v>7</v>
      </c>
      <c r="E2704">
        <v>14</v>
      </c>
      <c r="F2704" t="s">
        <v>168</v>
      </c>
      <c r="G2704" t="s">
        <v>80</v>
      </c>
      <c r="H2704" t="s">
        <v>139</v>
      </c>
      <c r="I2704" t="s">
        <v>49</v>
      </c>
      <c r="J2704" t="s">
        <v>123</v>
      </c>
      <c r="K2704" t="s">
        <v>38</v>
      </c>
      <c r="L2704">
        <v>2</v>
      </c>
      <c r="M2704">
        <v>137</v>
      </c>
      <c r="N2704">
        <v>0</v>
      </c>
      <c r="O2704">
        <v>0</v>
      </c>
      <c r="P2704">
        <v>274</v>
      </c>
      <c r="Q2704">
        <v>274</v>
      </c>
      <c r="R2704" t="s">
        <v>30</v>
      </c>
      <c r="S2704" t="s">
        <v>31</v>
      </c>
      <c r="T2704" t="s">
        <v>32</v>
      </c>
      <c r="U2704">
        <v>61</v>
      </c>
      <c r="V2704">
        <v>3.1</v>
      </c>
      <c r="W2704">
        <f>Table2[[#This Row],[Quantity]]*Table2[[#This Row],[Item_Price]]</f>
        <v>274</v>
      </c>
    </row>
    <row r="2705" spans="1:23" x14ac:dyDescent="0.25">
      <c r="A2705" t="s">
        <v>2805</v>
      </c>
      <c r="B2705" s="1">
        <v>45852</v>
      </c>
      <c r="C2705" t="s">
        <v>2632</v>
      </c>
      <c r="D2705">
        <v>7</v>
      </c>
      <c r="E2705">
        <v>14</v>
      </c>
      <c r="F2705" t="s">
        <v>168</v>
      </c>
      <c r="G2705" t="s">
        <v>64</v>
      </c>
      <c r="H2705" t="s">
        <v>56</v>
      </c>
      <c r="I2705" t="s">
        <v>103</v>
      </c>
      <c r="J2705" t="s">
        <v>44</v>
      </c>
      <c r="K2705" t="s">
        <v>45</v>
      </c>
      <c r="L2705">
        <v>2</v>
      </c>
      <c r="M2705">
        <v>444</v>
      </c>
      <c r="N2705">
        <v>22.2</v>
      </c>
      <c r="O2705">
        <v>50</v>
      </c>
      <c r="P2705">
        <v>888</v>
      </c>
      <c r="Q2705">
        <v>915.8</v>
      </c>
      <c r="R2705" t="s">
        <v>98</v>
      </c>
      <c r="S2705" t="s">
        <v>91</v>
      </c>
      <c r="T2705" t="s">
        <v>32</v>
      </c>
      <c r="U2705">
        <v>47</v>
      </c>
      <c r="W2705">
        <f>Table2[[#This Row],[Quantity]]*Table2[[#This Row],[Item_Price]]</f>
        <v>888</v>
      </c>
    </row>
    <row r="2706" spans="1:23" x14ac:dyDescent="0.25">
      <c r="A2706" t="s">
        <v>2806</v>
      </c>
      <c r="B2706" s="1">
        <v>45852</v>
      </c>
      <c r="C2706" t="s">
        <v>2632</v>
      </c>
      <c r="D2706">
        <v>7</v>
      </c>
      <c r="E2706">
        <v>14</v>
      </c>
      <c r="F2706" t="s">
        <v>168</v>
      </c>
      <c r="G2706" t="s">
        <v>64</v>
      </c>
      <c r="H2706" t="s">
        <v>81</v>
      </c>
      <c r="I2706" t="s">
        <v>85</v>
      </c>
      <c r="J2706" t="s">
        <v>44</v>
      </c>
      <c r="K2706" t="s">
        <v>38</v>
      </c>
      <c r="L2706">
        <v>1</v>
      </c>
      <c r="M2706">
        <v>680</v>
      </c>
      <c r="N2706">
        <v>34</v>
      </c>
      <c r="O2706">
        <v>50</v>
      </c>
      <c r="P2706">
        <v>680</v>
      </c>
      <c r="Q2706">
        <v>696</v>
      </c>
      <c r="R2706" t="s">
        <v>39</v>
      </c>
      <c r="S2706" t="s">
        <v>31</v>
      </c>
      <c r="T2706" t="s">
        <v>40</v>
      </c>
      <c r="U2706">
        <v>54</v>
      </c>
      <c r="V2706">
        <v>3.9</v>
      </c>
      <c r="W2706">
        <f>Table2[[#This Row],[Quantity]]*Table2[[#This Row],[Item_Price]]</f>
        <v>680</v>
      </c>
    </row>
    <row r="2707" spans="1:23" x14ac:dyDescent="0.25">
      <c r="A2707" t="s">
        <v>2807</v>
      </c>
      <c r="B2707" s="1">
        <v>45852</v>
      </c>
      <c r="C2707" t="s">
        <v>2632</v>
      </c>
      <c r="D2707">
        <v>7</v>
      </c>
      <c r="E2707">
        <v>14</v>
      </c>
      <c r="F2707" t="s">
        <v>168</v>
      </c>
      <c r="G2707" t="s">
        <v>80</v>
      </c>
      <c r="H2707" t="s">
        <v>108</v>
      </c>
      <c r="I2707" t="s">
        <v>69</v>
      </c>
      <c r="J2707" t="s">
        <v>123</v>
      </c>
      <c r="K2707" t="s">
        <v>38</v>
      </c>
      <c r="L2707">
        <v>1</v>
      </c>
      <c r="M2707">
        <v>779</v>
      </c>
      <c r="N2707">
        <v>116.85</v>
      </c>
      <c r="O2707">
        <v>50</v>
      </c>
      <c r="P2707">
        <v>779</v>
      </c>
      <c r="Q2707">
        <v>712.15</v>
      </c>
      <c r="R2707" t="s">
        <v>30</v>
      </c>
      <c r="S2707" t="s">
        <v>31</v>
      </c>
      <c r="T2707" t="s">
        <v>40</v>
      </c>
      <c r="U2707">
        <v>53</v>
      </c>
      <c r="V2707">
        <v>4</v>
      </c>
      <c r="W2707">
        <f>Table2[[#This Row],[Quantity]]*Table2[[#This Row],[Item_Price]]</f>
        <v>779</v>
      </c>
    </row>
    <row r="2708" spans="1:23" x14ac:dyDescent="0.25">
      <c r="A2708" t="s">
        <v>2808</v>
      </c>
      <c r="B2708" s="1">
        <v>45852</v>
      </c>
      <c r="C2708" t="s">
        <v>2632</v>
      </c>
      <c r="D2708">
        <v>7</v>
      </c>
      <c r="E2708">
        <v>14</v>
      </c>
      <c r="F2708" t="s">
        <v>168</v>
      </c>
      <c r="G2708" t="s">
        <v>25</v>
      </c>
      <c r="H2708" t="s">
        <v>35</v>
      </c>
      <c r="I2708" t="s">
        <v>27</v>
      </c>
      <c r="J2708" t="s">
        <v>53</v>
      </c>
      <c r="K2708" t="s">
        <v>38</v>
      </c>
      <c r="L2708">
        <v>2</v>
      </c>
      <c r="M2708">
        <v>338</v>
      </c>
      <c r="N2708">
        <v>50.7</v>
      </c>
      <c r="O2708">
        <v>0</v>
      </c>
      <c r="P2708">
        <v>676</v>
      </c>
      <c r="Q2708">
        <v>625.29999999999995</v>
      </c>
      <c r="R2708" t="s">
        <v>39</v>
      </c>
      <c r="S2708" t="s">
        <v>31</v>
      </c>
      <c r="T2708" t="s">
        <v>40</v>
      </c>
      <c r="U2708">
        <v>32</v>
      </c>
      <c r="V2708">
        <v>4</v>
      </c>
      <c r="W2708">
        <f>Table2[[#This Row],[Quantity]]*Table2[[#This Row],[Item_Price]]</f>
        <v>676</v>
      </c>
    </row>
    <row r="2709" spans="1:23" x14ac:dyDescent="0.25">
      <c r="A2709" t="s">
        <v>2809</v>
      </c>
      <c r="B2709" s="1">
        <v>45852</v>
      </c>
      <c r="C2709" t="s">
        <v>2632</v>
      </c>
      <c r="D2709">
        <v>7</v>
      </c>
      <c r="E2709">
        <v>14</v>
      </c>
      <c r="F2709" t="s">
        <v>168</v>
      </c>
      <c r="G2709" t="s">
        <v>25</v>
      </c>
      <c r="H2709" t="s">
        <v>77</v>
      </c>
      <c r="I2709" t="s">
        <v>69</v>
      </c>
      <c r="J2709" t="s">
        <v>74</v>
      </c>
      <c r="K2709" t="s">
        <v>45</v>
      </c>
      <c r="L2709">
        <v>2</v>
      </c>
      <c r="M2709">
        <v>156</v>
      </c>
      <c r="N2709">
        <v>15.6</v>
      </c>
      <c r="O2709">
        <v>70</v>
      </c>
      <c r="P2709">
        <v>312</v>
      </c>
      <c r="Q2709">
        <v>366.4</v>
      </c>
      <c r="R2709" t="s">
        <v>112</v>
      </c>
      <c r="S2709" t="s">
        <v>31</v>
      </c>
      <c r="T2709" t="s">
        <v>32</v>
      </c>
      <c r="U2709">
        <v>38</v>
      </c>
      <c r="V2709">
        <v>3.4</v>
      </c>
      <c r="W2709">
        <f>Table2[[#This Row],[Quantity]]*Table2[[#This Row],[Item_Price]]</f>
        <v>312</v>
      </c>
    </row>
    <row r="2710" spans="1:23" x14ac:dyDescent="0.25">
      <c r="A2710" t="s">
        <v>2810</v>
      </c>
      <c r="B2710" s="1">
        <v>45852</v>
      </c>
      <c r="C2710" t="s">
        <v>2632</v>
      </c>
      <c r="D2710">
        <v>7</v>
      </c>
      <c r="E2710">
        <v>14</v>
      </c>
      <c r="F2710" t="s">
        <v>168</v>
      </c>
      <c r="G2710" t="s">
        <v>55</v>
      </c>
      <c r="H2710" t="s">
        <v>135</v>
      </c>
      <c r="I2710" t="s">
        <v>69</v>
      </c>
      <c r="J2710" t="s">
        <v>66</v>
      </c>
      <c r="K2710" t="s">
        <v>58</v>
      </c>
      <c r="L2710">
        <v>2</v>
      </c>
      <c r="M2710">
        <v>819</v>
      </c>
      <c r="N2710">
        <v>163.80000000000001</v>
      </c>
      <c r="O2710">
        <v>0</v>
      </c>
      <c r="P2710">
        <v>1638</v>
      </c>
      <c r="Q2710">
        <v>1474.2</v>
      </c>
      <c r="R2710" t="s">
        <v>112</v>
      </c>
      <c r="S2710" t="s">
        <v>31</v>
      </c>
      <c r="T2710" t="s">
        <v>32</v>
      </c>
      <c r="U2710">
        <v>53</v>
      </c>
      <c r="V2710">
        <v>3</v>
      </c>
      <c r="W2710">
        <f>Table2[[#This Row],[Quantity]]*Table2[[#This Row],[Item_Price]]</f>
        <v>1638</v>
      </c>
    </row>
    <row r="2711" spans="1:23" x14ac:dyDescent="0.25">
      <c r="A2711" t="s">
        <v>2811</v>
      </c>
      <c r="B2711" s="1">
        <v>45852</v>
      </c>
      <c r="C2711" t="s">
        <v>2632</v>
      </c>
      <c r="D2711">
        <v>7</v>
      </c>
      <c r="E2711">
        <v>14</v>
      </c>
      <c r="F2711" t="s">
        <v>168</v>
      </c>
      <c r="G2711" t="s">
        <v>90</v>
      </c>
      <c r="H2711" t="s">
        <v>52</v>
      </c>
      <c r="I2711" t="s">
        <v>49</v>
      </c>
      <c r="J2711" t="s">
        <v>66</v>
      </c>
      <c r="K2711" t="s">
        <v>38</v>
      </c>
      <c r="L2711">
        <v>2</v>
      </c>
      <c r="M2711">
        <v>163</v>
      </c>
      <c r="N2711">
        <v>0</v>
      </c>
      <c r="O2711">
        <v>60</v>
      </c>
      <c r="P2711">
        <v>326</v>
      </c>
      <c r="Q2711">
        <v>386</v>
      </c>
      <c r="R2711" t="s">
        <v>30</v>
      </c>
      <c r="S2711" t="s">
        <v>31</v>
      </c>
      <c r="T2711" t="s">
        <v>32</v>
      </c>
      <c r="U2711">
        <v>41</v>
      </c>
      <c r="V2711">
        <v>3.8</v>
      </c>
      <c r="W2711">
        <f>Table2[[#This Row],[Quantity]]*Table2[[#This Row],[Item_Price]]</f>
        <v>326</v>
      </c>
    </row>
    <row r="2712" spans="1:23" x14ac:dyDescent="0.25">
      <c r="A2712" t="s">
        <v>2812</v>
      </c>
      <c r="B2712" s="1">
        <v>45852</v>
      </c>
      <c r="C2712" t="s">
        <v>2632</v>
      </c>
      <c r="D2712">
        <v>7</v>
      </c>
      <c r="E2712">
        <v>14</v>
      </c>
      <c r="F2712" t="s">
        <v>168</v>
      </c>
      <c r="G2712" t="s">
        <v>115</v>
      </c>
      <c r="H2712" t="s">
        <v>135</v>
      </c>
      <c r="I2712" t="s">
        <v>43</v>
      </c>
      <c r="J2712" t="s">
        <v>82</v>
      </c>
      <c r="K2712" t="s">
        <v>38</v>
      </c>
      <c r="L2712">
        <v>2</v>
      </c>
      <c r="M2712">
        <v>696</v>
      </c>
      <c r="N2712">
        <v>104.4</v>
      </c>
      <c r="O2712">
        <v>0</v>
      </c>
      <c r="P2712">
        <v>1392</v>
      </c>
      <c r="Q2712">
        <v>1287.5999999999999</v>
      </c>
      <c r="R2712" t="s">
        <v>112</v>
      </c>
      <c r="S2712" t="s">
        <v>110</v>
      </c>
      <c r="T2712" t="s">
        <v>32</v>
      </c>
      <c r="U2712">
        <v>63</v>
      </c>
      <c r="W2712">
        <f>Table2[[#This Row],[Quantity]]*Table2[[#This Row],[Item_Price]]</f>
        <v>1392</v>
      </c>
    </row>
    <row r="2713" spans="1:23" x14ac:dyDescent="0.25">
      <c r="A2713" t="s">
        <v>2813</v>
      </c>
      <c r="B2713" s="1">
        <v>45853</v>
      </c>
      <c r="C2713" t="s">
        <v>2632</v>
      </c>
      <c r="D2713">
        <v>7</v>
      </c>
      <c r="E2713">
        <v>15</v>
      </c>
      <c r="F2713" t="s">
        <v>178</v>
      </c>
      <c r="G2713" t="s">
        <v>25</v>
      </c>
      <c r="H2713" t="s">
        <v>139</v>
      </c>
      <c r="I2713" t="s">
        <v>103</v>
      </c>
      <c r="J2713" t="s">
        <v>66</v>
      </c>
      <c r="K2713" t="s">
        <v>38</v>
      </c>
      <c r="L2713">
        <v>2</v>
      </c>
      <c r="M2713">
        <v>263</v>
      </c>
      <c r="N2713">
        <v>65.75</v>
      </c>
      <c r="O2713">
        <v>50</v>
      </c>
      <c r="P2713">
        <v>526</v>
      </c>
      <c r="Q2713">
        <v>510.25</v>
      </c>
      <c r="R2713" t="s">
        <v>39</v>
      </c>
      <c r="S2713" t="s">
        <v>31</v>
      </c>
      <c r="T2713" t="s">
        <v>40</v>
      </c>
      <c r="U2713">
        <v>24</v>
      </c>
      <c r="V2713">
        <v>4.2</v>
      </c>
      <c r="W2713">
        <f>Table2[[#This Row],[Quantity]]*Table2[[#This Row],[Item_Price]]</f>
        <v>526</v>
      </c>
    </row>
    <row r="2714" spans="1:23" x14ac:dyDescent="0.25">
      <c r="A2714" t="s">
        <v>2814</v>
      </c>
      <c r="B2714" s="1">
        <v>45853</v>
      </c>
      <c r="C2714" t="s">
        <v>2632</v>
      </c>
      <c r="D2714">
        <v>7</v>
      </c>
      <c r="E2714">
        <v>15</v>
      </c>
      <c r="F2714" t="s">
        <v>178</v>
      </c>
      <c r="G2714" t="s">
        <v>64</v>
      </c>
      <c r="H2714" t="s">
        <v>77</v>
      </c>
      <c r="I2714" t="s">
        <v>85</v>
      </c>
      <c r="J2714" t="s">
        <v>62</v>
      </c>
      <c r="K2714" t="s">
        <v>38</v>
      </c>
      <c r="L2714">
        <v>1</v>
      </c>
      <c r="M2714">
        <v>726</v>
      </c>
      <c r="N2714">
        <v>108.9</v>
      </c>
      <c r="O2714">
        <v>0</v>
      </c>
      <c r="P2714">
        <v>726</v>
      </c>
      <c r="Q2714">
        <v>617.1</v>
      </c>
      <c r="R2714" t="s">
        <v>30</v>
      </c>
      <c r="S2714" t="s">
        <v>31</v>
      </c>
      <c r="T2714" t="s">
        <v>40</v>
      </c>
      <c r="U2714">
        <v>62</v>
      </c>
      <c r="V2714">
        <v>4.3</v>
      </c>
      <c r="W2714">
        <f>Table2[[#This Row],[Quantity]]*Table2[[#This Row],[Item_Price]]</f>
        <v>726</v>
      </c>
    </row>
    <row r="2715" spans="1:23" x14ac:dyDescent="0.25">
      <c r="A2715" t="s">
        <v>2815</v>
      </c>
      <c r="B2715" s="1">
        <v>45853</v>
      </c>
      <c r="C2715" t="s">
        <v>2632</v>
      </c>
      <c r="D2715">
        <v>7</v>
      </c>
      <c r="E2715">
        <v>15</v>
      </c>
      <c r="F2715" t="s">
        <v>178</v>
      </c>
      <c r="G2715" t="s">
        <v>115</v>
      </c>
      <c r="H2715" t="s">
        <v>139</v>
      </c>
      <c r="I2715" t="s">
        <v>57</v>
      </c>
      <c r="J2715" t="s">
        <v>78</v>
      </c>
      <c r="K2715" t="s">
        <v>45</v>
      </c>
      <c r="L2715">
        <v>1</v>
      </c>
      <c r="M2715">
        <v>689</v>
      </c>
      <c r="N2715">
        <v>0</v>
      </c>
      <c r="O2715">
        <v>30</v>
      </c>
      <c r="P2715">
        <v>689</v>
      </c>
      <c r="Q2715">
        <v>719</v>
      </c>
      <c r="R2715" t="s">
        <v>39</v>
      </c>
      <c r="S2715" t="s">
        <v>31</v>
      </c>
      <c r="T2715" t="s">
        <v>40</v>
      </c>
      <c r="U2715">
        <v>46</v>
      </c>
      <c r="V2715">
        <v>3.5</v>
      </c>
      <c r="W2715">
        <f>Table2[[#This Row],[Quantity]]*Table2[[#This Row],[Item_Price]]</f>
        <v>689</v>
      </c>
    </row>
    <row r="2716" spans="1:23" x14ac:dyDescent="0.25">
      <c r="A2716" t="s">
        <v>2816</v>
      </c>
      <c r="B2716" s="1">
        <v>45853</v>
      </c>
      <c r="C2716" t="s">
        <v>2632</v>
      </c>
      <c r="D2716">
        <v>7</v>
      </c>
      <c r="E2716">
        <v>15</v>
      </c>
      <c r="F2716" t="s">
        <v>178</v>
      </c>
      <c r="G2716" t="s">
        <v>25</v>
      </c>
      <c r="H2716" t="s">
        <v>68</v>
      </c>
      <c r="I2716" t="s">
        <v>85</v>
      </c>
      <c r="J2716" t="s">
        <v>82</v>
      </c>
      <c r="K2716" t="s">
        <v>38</v>
      </c>
      <c r="L2716">
        <v>2</v>
      </c>
      <c r="M2716">
        <v>124</v>
      </c>
      <c r="N2716">
        <v>18.600000000000001</v>
      </c>
      <c r="O2716">
        <v>40</v>
      </c>
      <c r="P2716">
        <v>248</v>
      </c>
      <c r="Q2716">
        <v>269.39999999999998</v>
      </c>
      <c r="R2716" t="s">
        <v>98</v>
      </c>
      <c r="S2716" t="s">
        <v>31</v>
      </c>
      <c r="T2716" t="s">
        <v>40</v>
      </c>
      <c r="U2716">
        <v>50</v>
      </c>
      <c r="V2716">
        <v>4</v>
      </c>
      <c r="W2716">
        <f>Table2[[#This Row],[Quantity]]*Table2[[#This Row],[Item_Price]]</f>
        <v>248</v>
      </c>
    </row>
    <row r="2717" spans="1:23" x14ac:dyDescent="0.25">
      <c r="A2717" t="s">
        <v>2817</v>
      </c>
      <c r="B2717" s="1">
        <v>45853</v>
      </c>
      <c r="C2717" t="s">
        <v>2632</v>
      </c>
      <c r="D2717">
        <v>7</v>
      </c>
      <c r="E2717">
        <v>15</v>
      </c>
      <c r="F2717" t="s">
        <v>178</v>
      </c>
      <c r="G2717" t="s">
        <v>64</v>
      </c>
      <c r="H2717" t="s">
        <v>81</v>
      </c>
      <c r="I2717" t="s">
        <v>27</v>
      </c>
      <c r="J2717" t="s">
        <v>101</v>
      </c>
      <c r="K2717" t="s">
        <v>38</v>
      </c>
      <c r="L2717">
        <v>1</v>
      </c>
      <c r="M2717">
        <v>350</v>
      </c>
      <c r="N2717">
        <v>35</v>
      </c>
      <c r="O2717">
        <v>50</v>
      </c>
      <c r="P2717">
        <v>350</v>
      </c>
      <c r="Q2717">
        <v>365</v>
      </c>
      <c r="R2717" t="s">
        <v>39</v>
      </c>
      <c r="S2717" t="s">
        <v>31</v>
      </c>
      <c r="T2717" t="s">
        <v>40</v>
      </c>
      <c r="U2717">
        <v>21</v>
      </c>
      <c r="V2717">
        <v>4.5999999999999996</v>
      </c>
      <c r="W2717">
        <f>Table2[[#This Row],[Quantity]]*Table2[[#This Row],[Item_Price]]</f>
        <v>350</v>
      </c>
    </row>
    <row r="2718" spans="1:23" x14ac:dyDescent="0.25">
      <c r="A2718" t="s">
        <v>2818</v>
      </c>
      <c r="B2718" s="1">
        <v>45853</v>
      </c>
      <c r="C2718" t="s">
        <v>2632</v>
      </c>
      <c r="D2718">
        <v>7</v>
      </c>
      <c r="E2718">
        <v>15</v>
      </c>
      <c r="F2718" t="s">
        <v>178</v>
      </c>
      <c r="G2718" t="s">
        <v>55</v>
      </c>
      <c r="H2718" t="s">
        <v>77</v>
      </c>
      <c r="I2718" t="s">
        <v>97</v>
      </c>
      <c r="J2718" t="s">
        <v>82</v>
      </c>
      <c r="K2718" t="s">
        <v>38</v>
      </c>
      <c r="L2718">
        <v>3</v>
      </c>
      <c r="M2718">
        <v>850</v>
      </c>
      <c r="N2718">
        <v>85</v>
      </c>
      <c r="O2718">
        <v>30</v>
      </c>
      <c r="P2718">
        <v>2550</v>
      </c>
      <c r="Q2718">
        <v>2495</v>
      </c>
      <c r="R2718" t="s">
        <v>112</v>
      </c>
      <c r="S2718" t="s">
        <v>31</v>
      </c>
      <c r="T2718" t="s">
        <v>40</v>
      </c>
      <c r="U2718">
        <v>61</v>
      </c>
      <c r="V2718">
        <v>3.7</v>
      </c>
      <c r="W2718">
        <f>Table2[[#This Row],[Quantity]]*Table2[[#This Row],[Item_Price]]</f>
        <v>2550</v>
      </c>
    </row>
    <row r="2719" spans="1:23" x14ac:dyDescent="0.25">
      <c r="A2719" t="s">
        <v>2819</v>
      </c>
      <c r="B2719" s="1">
        <v>45853</v>
      </c>
      <c r="C2719" t="s">
        <v>2632</v>
      </c>
      <c r="D2719">
        <v>7</v>
      </c>
      <c r="E2719">
        <v>15</v>
      </c>
      <c r="F2719" t="s">
        <v>178</v>
      </c>
      <c r="G2719" t="s">
        <v>34</v>
      </c>
      <c r="H2719" t="s">
        <v>56</v>
      </c>
      <c r="I2719" t="s">
        <v>103</v>
      </c>
      <c r="J2719" t="s">
        <v>82</v>
      </c>
      <c r="K2719" t="s">
        <v>38</v>
      </c>
      <c r="L2719">
        <v>1</v>
      </c>
      <c r="M2719">
        <v>214</v>
      </c>
      <c r="N2719">
        <v>0</v>
      </c>
      <c r="O2719">
        <v>0</v>
      </c>
      <c r="P2719">
        <v>214</v>
      </c>
      <c r="Q2719">
        <v>214</v>
      </c>
      <c r="R2719" t="s">
        <v>75</v>
      </c>
      <c r="S2719" t="s">
        <v>31</v>
      </c>
      <c r="T2719" t="s">
        <v>32</v>
      </c>
      <c r="U2719">
        <v>59</v>
      </c>
      <c r="V2719">
        <v>4.9000000000000004</v>
      </c>
      <c r="W2719">
        <f>Table2[[#This Row],[Quantity]]*Table2[[#This Row],[Item_Price]]</f>
        <v>214</v>
      </c>
    </row>
    <row r="2720" spans="1:23" x14ac:dyDescent="0.25">
      <c r="A2720" t="s">
        <v>2820</v>
      </c>
      <c r="B2720" s="1">
        <v>45853</v>
      </c>
      <c r="C2720" t="s">
        <v>2632</v>
      </c>
      <c r="D2720">
        <v>7</v>
      </c>
      <c r="E2720">
        <v>15</v>
      </c>
      <c r="F2720" t="s">
        <v>178</v>
      </c>
      <c r="G2720" t="s">
        <v>96</v>
      </c>
      <c r="H2720" t="s">
        <v>108</v>
      </c>
      <c r="I2720" t="s">
        <v>57</v>
      </c>
      <c r="J2720" t="s">
        <v>53</v>
      </c>
      <c r="K2720" t="s">
        <v>38</v>
      </c>
      <c r="L2720">
        <v>1</v>
      </c>
      <c r="M2720">
        <v>785</v>
      </c>
      <c r="N2720">
        <v>157</v>
      </c>
      <c r="O2720">
        <v>30</v>
      </c>
      <c r="P2720">
        <v>785</v>
      </c>
      <c r="Q2720">
        <v>658</v>
      </c>
      <c r="R2720" t="s">
        <v>39</v>
      </c>
      <c r="S2720" t="s">
        <v>31</v>
      </c>
      <c r="T2720" t="s">
        <v>32</v>
      </c>
      <c r="U2720">
        <v>43</v>
      </c>
      <c r="V2720">
        <v>3.7</v>
      </c>
      <c r="W2720">
        <f>Table2[[#This Row],[Quantity]]*Table2[[#This Row],[Item_Price]]</f>
        <v>785</v>
      </c>
    </row>
    <row r="2721" spans="1:23" x14ac:dyDescent="0.25">
      <c r="A2721" t="s">
        <v>2821</v>
      </c>
      <c r="B2721" s="1">
        <v>45853</v>
      </c>
      <c r="C2721" t="s">
        <v>2632</v>
      </c>
      <c r="D2721">
        <v>7</v>
      </c>
      <c r="E2721">
        <v>15</v>
      </c>
      <c r="F2721" t="s">
        <v>178</v>
      </c>
      <c r="G2721" t="s">
        <v>73</v>
      </c>
      <c r="H2721" t="s">
        <v>35</v>
      </c>
      <c r="I2721" t="s">
        <v>36</v>
      </c>
      <c r="J2721" t="s">
        <v>37</v>
      </c>
      <c r="K2721" t="s">
        <v>29</v>
      </c>
      <c r="L2721">
        <v>3</v>
      </c>
      <c r="M2721">
        <v>578</v>
      </c>
      <c r="N2721">
        <v>0</v>
      </c>
      <c r="O2721">
        <v>60</v>
      </c>
      <c r="P2721">
        <v>1734</v>
      </c>
      <c r="Q2721">
        <v>1794</v>
      </c>
      <c r="R2721" t="s">
        <v>39</v>
      </c>
      <c r="S2721" t="s">
        <v>31</v>
      </c>
      <c r="T2721" t="s">
        <v>40</v>
      </c>
      <c r="U2721">
        <v>20</v>
      </c>
      <c r="V2721">
        <v>4.7</v>
      </c>
      <c r="W2721">
        <f>Table2[[#This Row],[Quantity]]*Table2[[#This Row],[Item_Price]]</f>
        <v>1734</v>
      </c>
    </row>
    <row r="2722" spans="1:23" x14ac:dyDescent="0.25">
      <c r="A2722" t="s">
        <v>2822</v>
      </c>
      <c r="B2722" s="1">
        <v>45853</v>
      </c>
      <c r="C2722" t="s">
        <v>2632</v>
      </c>
      <c r="D2722">
        <v>7</v>
      </c>
      <c r="E2722">
        <v>15</v>
      </c>
      <c r="F2722" t="s">
        <v>178</v>
      </c>
      <c r="G2722" t="s">
        <v>115</v>
      </c>
      <c r="H2722" t="s">
        <v>52</v>
      </c>
      <c r="I2722" t="s">
        <v>103</v>
      </c>
      <c r="J2722" t="s">
        <v>28</v>
      </c>
      <c r="K2722" t="s">
        <v>45</v>
      </c>
      <c r="L2722">
        <v>1</v>
      </c>
      <c r="M2722">
        <v>482</v>
      </c>
      <c r="N2722">
        <v>48.2</v>
      </c>
      <c r="O2722">
        <v>20</v>
      </c>
      <c r="P2722">
        <v>482</v>
      </c>
      <c r="Q2722">
        <v>453.8</v>
      </c>
      <c r="R2722" t="s">
        <v>75</v>
      </c>
      <c r="S2722" t="s">
        <v>31</v>
      </c>
      <c r="T2722" t="s">
        <v>40</v>
      </c>
      <c r="U2722">
        <v>36</v>
      </c>
      <c r="V2722">
        <v>3.4</v>
      </c>
      <c r="W2722">
        <f>Table2[[#This Row],[Quantity]]*Table2[[#This Row],[Item_Price]]</f>
        <v>482</v>
      </c>
    </row>
    <row r="2723" spans="1:23" x14ac:dyDescent="0.25">
      <c r="A2723" t="s">
        <v>2823</v>
      </c>
      <c r="B2723" s="1">
        <v>45853</v>
      </c>
      <c r="C2723" t="s">
        <v>2632</v>
      </c>
      <c r="D2723">
        <v>7</v>
      </c>
      <c r="E2723">
        <v>15</v>
      </c>
      <c r="F2723" t="s">
        <v>178</v>
      </c>
      <c r="G2723" t="s">
        <v>80</v>
      </c>
      <c r="H2723" t="s">
        <v>26</v>
      </c>
      <c r="I2723" t="s">
        <v>69</v>
      </c>
      <c r="J2723" t="s">
        <v>44</v>
      </c>
      <c r="K2723" t="s">
        <v>45</v>
      </c>
      <c r="L2723">
        <v>1</v>
      </c>
      <c r="M2723">
        <v>692</v>
      </c>
      <c r="N2723">
        <v>69.2</v>
      </c>
      <c r="O2723">
        <v>0</v>
      </c>
      <c r="P2723">
        <v>692</v>
      </c>
      <c r="Q2723">
        <v>622.79999999999995</v>
      </c>
      <c r="R2723" t="s">
        <v>39</v>
      </c>
      <c r="S2723" t="s">
        <v>31</v>
      </c>
      <c r="T2723" t="s">
        <v>40</v>
      </c>
      <c r="U2723">
        <v>56</v>
      </c>
      <c r="V2723">
        <v>3.4</v>
      </c>
      <c r="W2723">
        <f>Table2[[#This Row],[Quantity]]*Table2[[#This Row],[Item_Price]]</f>
        <v>692</v>
      </c>
    </row>
    <row r="2724" spans="1:23" x14ac:dyDescent="0.25">
      <c r="A2724" t="s">
        <v>2824</v>
      </c>
      <c r="B2724" s="1">
        <v>45853</v>
      </c>
      <c r="C2724" t="s">
        <v>2632</v>
      </c>
      <c r="D2724">
        <v>7</v>
      </c>
      <c r="E2724">
        <v>15</v>
      </c>
      <c r="F2724" t="s">
        <v>178</v>
      </c>
      <c r="G2724" t="s">
        <v>80</v>
      </c>
      <c r="H2724" t="s">
        <v>35</v>
      </c>
      <c r="I2724" t="s">
        <v>61</v>
      </c>
      <c r="J2724" t="s">
        <v>123</v>
      </c>
      <c r="K2724" t="s">
        <v>38</v>
      </c>
      <c r="L2724">
        <v>1</v>
      </c>
      <c r="M2724">
        <v>804</v>
      </c>
      <c r="N2724">
        <v>0</v>
      </c>
      <c r="O2724">
        <v>50</v>
      </c>
      <c r="P2724">
        <v>804</v>
      </c>
      <c r="Q2724">
        <v>854</v>
      </c>
      <c r="R2724" t="s">
        <v>39</v>
      </c>
      <c r="S2724" t="s">
        <v>31</v>
      </c>
      <c r="T2724" t="s">
        <v>40</v>
      </c>
      <c r="U2724">
        <v>47</v>
      </c>
      <c r="V2724">
        <v>3.3</v>
      </c>
      <c r="W2724">
        <f>Table2[[#This Row],[Quantity]]*Table2[[#This Row],[Item_Price]]</f>
        <v>804</v>
      </c>
    </row>
    <row r="2725" spans="1:23" x14ac:dyDescent="0.25">
      <c r="A2725" t="s">
        <v>2825</v>
      </c>
      <c r="B2725" s="1">
        <v>45853</v>
      </c>
      <c r="C2725" t="s">
        <v>2632</v>
      </c>
      <c r="D2725">
        <v>7</v>
      </c>
      <c r="E2725">
        <v>15</v>
      </c>
      <c r="F2725" t="s">
        <v>178</v>
      </c>
      <c r="G2725" t="s">
        <v>80</v>
      </c>
      <c r="H2725" t="s">
        <v>26</v>
      </c>
      <c r="I2725" t="s">
        <v>43</v>
      </c>
      <c r="J2725" t="s">
        <v>66</v>
      </c>
      <c r="K2725" t="s">
        <v>38</v>
      </c>
      <c r="L2725">
        <v>2</v>
      </c>
      <c r="M2725">
        <v>877</v>
      </c>
      <c r="N2725">
        <v>175.4</v>
      </c>
      <c r="O2725">
        <v>30</v>
      </c>
      <c r="P2725">
        <v>1754</v>
      </c>
      <c r="Q2725">
        <v>1608.6</v>
      </c>
      <c r="R2725" t="s">
        <v>75</v>
      </c>
      <c r="S2725" t="s">
        <v>31</v>
      </c>
      <c r="T2725" t="s">
        <v>32</v>
      </c>
      <c r="U2725">
        <v>70</v>
      </c>
      <c r="V2725">
        <v>4.2</v>
      </c>
      <c r="W2725">
        <f>Table2[[#This Row],[Quantity]]*Table2[[#This Row],[Item_Price]]</f>
        <v>1754</v>
      </c>
    </row>
    <row r="2726" spans="1:23" x14ac:dyDescent="0.25">
      <c r="A2726" t="s">
        <v>2826</v>
      </c>
      <c r="B2726" s="1">
        <v>45853</v>
      </c>
      <c r="C2726" t="s">
        <v>2632</v>
      </c>
      <c r="D2726">
        <v>7</v>
      </c>
      <c r="E2726">
        <v>15</v>
      </c>
      <c r="F2726" t="s">
        <v>178</v>
      </c>
      <c r="G2726" t="s">
        <v>80</v>
      </c>
      <c r="H2726" t="s">
        <v>35</v>
      </c>
      <c r="I2726" t="s">
        <v>85</v>
      </c>
      <c r="J2726" t="s">
        <v>119</v>
      </c>
      <c r="K2726" t="s">
        <v>45</v>
      </c>
      <c r="L2726">
        <v>1</v>
      </c>
      <c r="M2726">
        <v>697</v>
      </c>
      <c r="N2726">
        <v>69.7</v>
      </c>
      <c r="O2726">
        <v>20</v>
      </c>
      <c r="P2726">
        <v>697</v>
      </c>
      <c r="Q2726">
        <v>647.29999999999995</v>
      </c>
      <c r="R2726" t="s">
        <v>75</v>
      </c>
      <c r="S2726" t="s">
        <v>31</v>
      </c>
      <c r="T2726" t="s">
        <v>40</v>
      </c>
      <c r="U2726">
        <v>42</v>
      </c>
      <c r="V2726">
        <v>4.5</v>
      </c>
      <c r="W2726">
        <f>Table2[[#This Row],[Quantity]]*Table2[[#This Row],[Item_Price]]</f>
        <v>697</v>
      </c>
    </row>
    <row r="2727" spans="1:23" x14ac:dyDescent="0.25">
      <c r="A2727" t="s">
        <v>2827</v>
      </c>
      <c r="B2727" s="1">
        <v>45854</v>
      </c>
      <c r="C2727" t="s">
        <v>2632</v>
      </c>
      <c r="D2727">
        <v>7</v>
      </c>
      <c r="E2727">
        <v>16</v>
      </c>
      <c r="F2727" t="s">
        <v>24</v>
      </c>
      <c r="G2727" t="s">
        <v>64</v>
      </c>
      <c r="H2727" t="s">
        <v>48</v>
      </c>
      <c r="I2727" t="s">
        <v>57</v>
      </c>
      <c r="J2727" t="s">
        <v>119</v>
      </c>
      <c r="K2727" t="s">
        <v>38</v>
      </c>
      <c r="L2727">
        <v>1</v>
      </c>
      <c r="M2727">
        <v>633</v>
      </c>
      <c r="N2727">
        <v>126.6</v>
      </c>
      <c r="O2727">
        <v>70</v>
      </c>
      <c r="P2727">
        <v>633</v>
      </c>
      <c r="Q2727">
        <v>576.4</v>
      </c>
      <c r="R2727" t="s">
        <v>75</v>
      </c>
      <c r="S2727" t="s">
        <v>31</v>
      </c>
      <c r="T2727" t="s">
        <v>32</v>
      </c>
      <c r="U2727">
        <v>67</v>
      </c>
      <c r="V2727">
        <v>2.9</v>
      </c>
      <c r="W2727">
        <f>Table2[[#This Row],[Quantity]]*Table2[[#This Row],[Item_Price]]</f>
        <v>633</v>
      </c>
    </row>
    <row r="2728" spans="1:23" x14ac:dyDescent="0.25">
      <c r="A2728" t="s">
        <v>2828</v>
      </c>
      <c r="B2728" s="1">
        <v>45854</v>
      </c>
      <c r="C2728" t="s">
        <v>2632</v>
      </c>
      <c r="D2728">
        <v>7</v>
      </c>
      <c r="E2728">
        <v>16</v>
      </c>
      <c r="F2728" t="s">
        <v>24</v>
      </c>
      <c r="G2728" t="s">
        <v>80</v>
      </c>
      <c r="H2728" t="s">
        <v>105</v>
      </c>
      <c r="I2728" t="s">
        <v>69</v>
      </c>
      <c r="J2728" t="s">
        <v>50</v>
      </c>
      <c r="K2728" t="s">
        <v>38</v>
      </c>
      <c r="L2728">
        <v>2</v>
      </c>
      <c r="M2728">
        <v>861</v>
      </c>
      <c r="N2728">
        <v>172.2</v>
      </c>
      <c r="O2728">
        <v>40</v>
      </c>
      <c r="P2728">
        <v>1722</v>
      </c>
      <c r="Q2728">
        <v>1589.8</v>
      </c>
      <c r="R2728" t="s">
        <v>75</v>
      </c>
      <c r="S2728" t="s">
        <v>31</v>
      </c>
      <c r="T2728" t="s">
        <v>40</v>
      </c>
      <c r="U2728">
        <v>62</v>
      </c>
      <c r="V2728">
        <v>4.3</v>
      </c>
      <c r="W2728">
        <f>Table2[[#This Row],[Quantity]]*Table2[[#This Row],[Item_Price]]</f>
        <v>1722</v>
      </c>
    </row>
    <row r="2729" spans="1:23" x14ac:dyDescent="0.25">
      <c r="A2729" t="s">
        <v>2829</v>
      </c>
      <c r="B2729" s="1">
        <v>45854</v>
      </c>
      <c r="C2729" t="s">
        <v>2632</v>
      </c>
      <c r="D2729">
        <v>7</v>
      </c>
      <c r="E2729">
        <v>16</v>
      </c>
      <c r="F2729" t="s">
        <v>24</v>
      </c>
      <c r="G2729" t="s">
        <v>64</v>
      </c>
      <c r="H2729" t="s">
        <v>52</v>
      </c>
      <c r="I2729" t="s">
        <v>36</v>
      </c>
      <c r="J2729" t="s">
        <v>101</v>
      </c>
      <c r="K2729" t="s">
        <v>38</v>
      </c>
      <c r="L2729">
        <v>2</v>
      </c>
      <c r="M2729">
        <v>824</v>
      </c>
      <c r="N2729">
        <v>41.2</v>
      </c>
      <c r="O2729">
        <v>0</v>
      </c>
      <c r="P2729">
        <v>1648</v>
      </c>
      <c r="Q2729">
        <v>1606.8</v>
      </c>
      <c r="R2729" t="s">
        <v>75</v>
      </c>
      <c r="S2729" t="s">
        <v>110</v>
      </c>
      <c r="T2729" t="s">
        <v>32</v>
      </c>
      <c r="U2729">
        <v>24</v>
      </c>
      <c r="W2729">
        <f>Table2[[#This Row],[Quantity]]*Table2[[#This Row],[Item_Price]]</f>
        <v>1648</v>
      </c>
    </row>
    <row r="2730" spans="1:23" x14ac:dyDescent="0.25">
      <c r="A2730" t="s">
        <v>2830</v>
      </c>
      <c r="B2730" s="1">
        <v>45854</v>
      </c>
      <c r="C2730" t="s">
        <v>2632</v>
      </c>
      <c r="D2730">
        <v>7</v>
      </c>
      <c r="E2730">
        <v>16</v>
      </c>
      <c r="F2730" t="s">
        <v>24</v>
      </c>
      <c r="G2730" t="s">
        <v>64</v>
      </c>
      <c r="H2730" t="s">
        <v>105</v>
      </c>
      <c r="I2730" t="s">
        <v>43</v>
      </c>
      <c r="J2730" t="s">
        <v>74</v>
      </c>
      <c r="K2730" t="s">
        <v>45</v>
      </c>
      <c r="L2730">
        <v>2</v>
      </c>
      <c r="M2730">
        <v>589</v>
      </c>
      <c r="N2730">
        <v>0</v>
      </c>
      <c r="O2730">
        <v>0</v>
      </c>
      <c r="P2730">
        <v>1178</v>
      </c>
      <c r="Q2730">
        <v>1178</v>
      </c>
      <c r="R2730" t="s">
        <v>39</v>
      </c>
      <c r="S2730" t="s">
        <v>31</v>
      </c>
      <c r="T2730" t="s">
        <v>32</v>
      </c>
      <c r="U2730">
        <v>64</v>
      </c>
      <c r="V2730">
        <v>4.3</v>
      </c>
      <c r="W2730">
        <f>Table2[[#This Row],[Quantity]]*Table2[[#This Row],[Item_Price]]</f>
        <v>1178</v>
      </c>
    </row>
    <row r="2731" spans="1:23" x14ac:dyDescent="0.25">
      <c r="A2731" t="s">
        <v>2831</v>
      </c>
      <c r="B2731" s="1">
        <v>45854</v>
      </c>
      <c r="C2731" t="s">
        <v>2632</v>
      </c>
      <c r="D2731">
        <v>7</v>
      </c>
      <c r="E2731">
        <v>16</v>
      </c>
      <c r="F2731" t="s">
        <v>24</v>
      </c>
      <c r="G2731" t="s">
        <v>80</v>
      </c>
      <c r="H2731" t="s">
        <v>42</v>
      </c>
      <c r="I2731" t="s">
        <v>97</v>
      </c>
      <c r="J2731" t="s">
        <v>82</v>
      </c>
      <c r="K2731" t="s">
        <v>38</v>
      </c>
      <c r="L2731">
        <v>2</v>
      </c>
      <c r="M2731">
        <v>841</v>
      </c>
      <c r="N2731">
        <v>0</v>
      </c>
      <c r="O2731">
        <v>30</v>
      </c>
      <c r="P2731">
        <v>1682</v>
      </c>
      <c r="Q2731">
        <v>1712</v>
      </c>
      <c r="R2731" t="s">
        <v>75</v>
      </c>
      <c r="S2731" t="s">
        <v>110</v>
      </c>
      <c r="T2731" t="s">
        <v>32</v>
      </c>
      <c r="U2731">
        <v>40</v>
      </c>
      <c r="W2731">
        <f>Table2[[#This Row],[Quantity]]*Table2[[#This Row],[Item_Price]]</f>
        <v>1682</v>
      </c>
    </row>
    <row r="2732" spans="1:23" x14ac:dyDescent="0.25">
      <c r="A2732" t="s">
        <v>2832</v>
      </c>
      <c r="B2732" s="1">
        <v>45854</v>
      </c>
      <c r="C2732" t="s">
        <v>2632</v>
      </c>
      <c r="D2732">
        <v>7</v>
      </c>
      <c r="E2732">
        <v>16</v>
      </c>
      <c r="F2732" t="s">
        <v>24</v>
      </c>
      <c r="G2732" t="s">
        <v>84</v>
      </c>
      <c r="H2732" t="s">
        <v>81</v>
      </c>
      <c r="I2732" t="s">
        <v>85</v>
      </c>
      <c r="J2732" t="s">
        <v>82</v>
      </c>
      <c r="K2732" t="s">
        <v>45</v>
      </c>
      <c r="L2732">
        <v>2</v>
      </c>
      <c r="M2732">
        <v>241</v>
      </c>
      <c r="N2732">
        <v>48.2</v>
      </c>
      <c r="O2732">
        <v>50</v>
      </c>
      <c r="P2732">
        <v>482</v>
      </c>
      <c r="Q2732">
        <v>483.8</v>
      </c>
      <c r="R2732" t="s">
        <v>75</v>
      </c>
      <c r="S2732" t="s">
        <v>31</v>
      </c>
      <c r="T2732" t="s">
        <v>40</v>
      </c>
      <c r="U2732">
        <v>36</v>
      </c>
      <c r="V2732">
        <v>4.5</v>
      </c>
      <c r="W2732">
        <f>Table2[[#This Row],[Quantity]]*Table2[[#This Row],[Item_Price]]</f>
        <v>482</v>
      </c>
    </row>
    <row r="2733" spans="1:23" x14ac:dyDescent="0.25">
      <c r="A2733" t="s">
        <v>2833</v>
      </c>
      <c r="B2733" s="1">
        <v>45854</v>
      </c>
      <c r="C2733" t="s">
        <v>2632</v>
      </c>
      <c r="D2733">
        <v>7</v>
      </c>
      <c r="E2733">
        <v>16</v>
      </c>
      <c r="F2733" t="s">
        <v>24</v>
      </c>
      <c r="G2733" t="s">
        <v>64</v>
      </c>
      <c r="H2733" t="s">
        <v>68</v>
      </c>
      <c r="I2733" t="s">
        <v>49</v>
      </c>
      <c r="J2733" t="s">
        <v>70</v>
      </c>
      <c r="K2733" t="s">
        <v>45</v>
      </c>
      <c r="L2733">
        <v>1</v>
      </c>
      <c r="M2733">
        <v>280</v>
      </c>
      <c r="N2733">
        <v>0</v>
      </c>
      <c r="O2733">
        <v>40</v>
      </c>
      <c r="P2733">
        <v>280</v>
      </c>
      <c r="Q2733">
        <v>320</v>
      </c>
      <c r="R2733" t="s">
        <v>39</v>
      </c>
      <c r="S2733" t="s">
        <v>110</v>
      </c>
      <c r="T2733" t="s">
        <v>40</v>
      </c>
      <c r="U2733">
        <v>40</v>
      </c>
      <c r="W2733">
        <f>Table2[[#This Row],[Quantity]]*Table2[[#This Row],[Item_Price]]</f>
        <v>280</v>
      </c>
    </row>
    <row r="2734" spans="1:23" x14ac:dyDescent="0.25">
      <c r="A2734" t="s">
        <v>2834</v>
      </c>
      <c r="B2734" s="1">
        <v>45854</v>
      </c>
      <c r="C2734" t="s">
        <v>2632</v>
      </c>
      <c r="D2734">
        <v>7</v>
      </c>
      <c r="E2734">
        <v>16</v>
      </c>
      <c r="F2734" t="s">
        <v>24</v>
      </c>
      <c r="G2734" t="s">
        <v>84</v>
      </c>
      <c r="H2734" t="s">
        <v>26</v>
      </c>
      <c r="I2734" t="s">
        <v>61</v>
      </c>
      <c r="J2734" t="s">
        <v>82</v>
      </c>
      <c r="K2734" t="s">
        <v>45</v>
      </c>
      <c r="L2734">
        <v>1</v>
      </c>
      <c r="M2734">
        <v>527</v>
      </c>
      <c r="N2734">
        <v>0</v>
      </c>
      <c r="O2734">
        <v>40</v>
      </c>
      <c r="P2734">
        <v>527</v>
      </c>
      <c r="Q2734">
        <v>567</v>
      </c>
      <c r="R2734" t="s">
        <v>98</v>
      </c>
      <c r="S2734" t="s">
        <v>31</v>
      </c>
      <c r="T2734" t="s">
        <v>40</v>
      </c>
      <c r="U2734">
        <v>66</v>
      </c>
      <c r="V2734">
        <v>4.7</v>
      </c>
      <c r="W2734">
        <f>Table2[[#This Row],[Quantity]]*Table2[[#This Row],[Item_Price]]</f>
        <v>527</v>
      </c>
    </row>
    <row r="2735" spans="1:23" x14ac:dyDescent="0.25">
      <c r="A2735" t="s">
        <v>2835</v>
      </c>
      <c r="B2735" s="1">
        <v>45855</v>
      </c>
      <c r="C2735" t="s">
        <v>2632</v>
      </c>
      <c r="D2735">
        <v>7</v>
      </c>
      <c r="E2735">
        <v>17</v>
      </c>
      <c r="F2735" t="s">
        <v>88</v>
      </c>
      <c r="G2735" t="s">
        <v>80</v>
      </c>
      <c r="H2735" t="s">
        <v>56</v>
      </c>
      <c r="I2735" t="s">
        <v>43</v>
      </c>
      <c r="J2735" t="s">
        <v>119</v>
      </c>
      <c r="K2735" t="s">
        <v>38</v>
      </c>
      <c r="L2735">
        <v>2</v>
      </c>
      <c r="M2735">
        <v>370</v>
      </c>
      <c r="N2735">
        <v>37</v>
      </c>
      <c r="O2735">
        <v>20</v>
      </c>
      <c r="P2735">
        <v>740</v>
      </c>
      <c r="Q2735">
        <v>723</v>
      </c>
      <c r="R2735" t="s">
        <v>39</v>
      </c>
      <c r="S2735" t="s">
        <v>31</v>
      </c>
      <c r="T2735" t="s">
        <v>40</v>
      </c>
      <c r="U2735">
        <v>45</v>
      </c>
      <c r="V2735">
        <v>4.2</v>
      </c>
      <c r="W2735">
        <f>Table2[[#This Row],[Quantity]]*Table2[[#This Row],[Item_Price]]</f>
        <v>740</v>
      </c>
    </row>
    <row r="2736" spans="1:23" x14ac:dyDescent="0.25">
      <c r="A2736" t="s">
        <v>2836</v>
      </c>
      <c r="B2736" s="1">
        <v>45855</v>
      </c>
      <c r="C2736" t="s">
        <v>2632</v>
      </c>
      <c r="D2736">
        <v>7</v>
      </c>
      <c r="E2736">
        <v>17</v>
      </c>
      <c r="F2736" t="s">
        <v>88</v>
      </c>
      <c r="G2736" t="s">
        <v>34</v>
      </c>
      <c r="H2736" t="s">
        <v>135</v>
      </c>
      <c r="I2736" t="s">
        <v>27</v>
      </c>
      <c r="J2736" t="s">
        <v>101</v>
      </c>
      <c r="K2736" t="s">
        <v>38</v>
      </c>
      <c r="L2736">
        <v>3</v>
      </c>
      <c r="M2736">
        <v>605</v>
      </c>
      <c r="N2736">
        <v>90.75</v>
      </c>
      <c r="O2736">
        <v>50</v>
      </c>
      <c r="P2736">
        <v>1815</v>
      </c>
      <c r="Q2736">
        <v>1774.25</v>
      </c>
      <c r="R2736" t="s">
        <v>75</v>
      </c>
      <c r="S2736" t="s">
        <v>91</v>
      </c>
      <c r="T2736" t="s">
        <v>32</v>
      </c>
      <c r="U2736">
        <v>56</v>
      </c>
      <c r="W2736">
        <f>Table2[[#This Row],[Quantity]]*Table2[[#This Row],[Item_Price]]</f>
        <v>1815</v>
      </c>
    </row>
    <row r="2737" spans="1:23" x14ac:dyDescent="0.25">
      <c r="A2737" t="s">
        <v>2837</v>
      </c>
      <c r="B2737" s="1">
        <v>45855</v>
      </c>
      <c r="C2737" t="s">
        <v>2632</v>
      </c>
      <c r="D2737">
        <v>7</v>
      </c>
      <c r="E2737">
        <v>17</v>
      </c>
      <c r="F2737" t="s">
        <v>88</v>
      </c>
      <c r="G2737" t="s">
        <v>55</v>
      </c>
      <c r="H2737" t="s">
        <v>65</v>
      </c>
      <c r="I2737" t="s">
        <v>103</v>
      </c>
      <c r="J2737" t="s">
        <v>119</v>
      </c>
      <c r="K2737" t="s">
        <v>38</v>
      </c>
      <c r="L2737">
        <v>2</v>
      </c>
      <c r="M2737">
        <v>200</v>
      </c>
      <c r="N2737">
        <v>50</v>
      </c>
      <c r="O2737">
        <v>30</v>
      </c>
      <c r="P2737">
        <v>400</v>
      </c>
      <c r="Q2737">
        <v>380</v>
      </c>
      <c r="R2737" t="s">
        <v>112</v>
      </c>
      <c r="S2737" t="s">
        <v>31</v>
      </c>
      <c r="T2737" t="s">
        <v>32</v>
      </c>
      <c r="U2737">
        <v>23</v>
      </c>
      <c r="V2737">
        <v>5</v>
      </c>
      <c r="W2737">
        <f>Table2[[#This Row],[Quantity]]*Table2[[#This Row],[Item_Price]]</f>
        <v>400</v>
      </c>
    </row>
    <row r="2738" spans="1:23" x14ac:dyDescent="0.25">
      <c r="A2738" t="s">
        <v>2838</v>
      </c>
      <c r="B2738" s="1">
        <v>45855</v>
      </c>
      <c r="C2738" t="s">
        <v>2632</v>
      </c>
      <c r="D2738">
        <v>7</v>
      </c>
      <c r="E2738">
        <v>17</v>
      </c>
      <c r="F2738" t="s">
        <v>88</v>
      </c>
      <c r="G2738" t="s">
        <v>34</v>
      </c>
      <c r="H2738" t="s">
        <v>135</v>
      </c>
      <c r="I2738" t="s">
        <v>57</v>
      </c>
      <c r="J2738" t="s">
        <v>28</v>
      </c>
      <c r="K2738" t="s">
        <v>38</v>
      </c>
      <c r="L2738">
        <v>1</v>
      </c>
      <c r="M2738">
        <v>198</v>
      </c>
      <c r="N2738">
        <v>19.8</v>
      </c>
      <c r="O2738">
        <v>50</v>
      </c>
      <c r="P2738">
        <v>198</v>
      </c>
      <c r="Q2738">
        <v>228.2</v>
      </c>
      <c r="R2738" t="s">
        <v>112</v>
      </c>
      <c r="S2738" t="s">
        <v>31</v>
      </c>
      <c r="T2738" t="s">
        <v>40</v>
      </c>
      <c r="U2738">
        <v>40</v>
      </c>
      <c r="V2738">
        <v>3.9</v>
      </c>
      <c r="W2738">
        <f>Table2[[#This Row],[Quantity]]*Table2[[#This Row],[Item_Price]]</f>
        <v>198</v>
      </c>
    </row>
    <row r="2739" spans="1:23" x14ac:dyDescent="0.25">
      <c r="A2739" t="s">
        <v>2839</v>
      </c>
      <c r="B2739" s="1">
        <v>45855</v>
      </c>
      <c r="C2739" t="s">
        <v>2632</v>
      </c>
      <c r="D2739">
        <v>7</v>
      </c>
      <c r="E2739">
        <v>17</v>
      </c>
      <c r="F2739" t="s">
        <v>88</v>
      </c>
      <c r="G2739" t="s">
        <v>25</v>
      </c>
      <c r="H2739" t="s">
        <v>105</v>
      </c>
      <c r="I2739" t="s">
        <v>27</v>
      </c>
      <c r="J2739" t="s">
        <v>172</v>
      </c>
      <c r="K2739" t="s">
        <v>38</v>
      </c>
      <c r="L2739">
        <v>1</v>
      </c>
      <c r="M2739">
        <v>862</v>
      </c>
      <c r="N2739">
        <v>215.5</v>
      </c>
      <c r="O2739">
        <v>0</v>
      </c>
      <c r="P2739">
        <v>862</v>
      </c>
      <c r="Q2739">
        <v>646.5</v>
      </c>
      <c r="R2739" t="s">
        <v>75</v>
      </c>
      <c r="S2739" t="s">
        <v>31</v>
      </c>
      <c r="T2739" t="s">
        <v>40</v>
      </c>
      <c r="U2739">
        <v>67</v>
      </c>
      <c r="V2739">
        <v>4.4000000000000004</v>
      </c>
      <c r="W2739">
        <f>Table2[[#This Row],[Quantity]]*Table2[[#This Row],[Item_Price]]</f>
        <v>862</v>
      </c>
    </row>
    <row r="2740" spans="1:23" x14ac:dyDescent="0.25">
      <c r="A2740" t="s">
        <v>2840</v>
      </c>
      <c r="B2740" s="1">
        <v>45855</v>
      </c>
      <c r="C2740" t="s">
        <v>2632</v>
      </c>
      <c r="D2740">
        <v>7</v>
      </c>
      <c r="E2740">
        <v>17</v>
      </c>
      <c r="F2740" t="s">
        <v>88</v>
      </c>
      <c r="G2740" t="s">
        <v>90</v>
      </c>
      <c r="H2740" t="s">
        <v>48</v>
      </c>
      <c r="I2740" t="s">
        <v>103</v>
      </c>
      <c r="J2740" t="s">
        <v>53</v>
      </c>
      <c r="K2740" t="s">
        <v>38</v>
      </c>
      <c r="L2740">
        <v>2</v>
      </c>
      <c r="M2740">
        <v>404</v>
      </c>
      <c r="N2740">
        <v>0</v>
      </c>
      <c r="O2740">
        <v>50</v>
      </c>
      <c r="P2740">
        <v>808</v>
      </c>
      <c r="Q2740">
        <v>858</v>
      </c>
      <c r="R2740" t="s">
        <v>75</v>
      </c>
      <c r="S2740" t="s">
        <v>31</v>
      </c>
      <c r="T2740" t="s">
        <v>40</v>
      </c>
      <c r="U2740">
        <v>69</v>
      </c>
      <c r="V2740">
        <v>4.4000000000000004</v>
      </c>
      <c r="W2740">
        <f>Table2[[#This Row],[Quantity]]*Table2[[#This Row],[Item_Price]]</f>
        <v>808</v>
      </c>
    </row>
    <row r="2741" spans="1:23" x14ac:dyDescent="0.25">
      <c r="A2741" t="s">
        <v>2841</v>
      </c>
      <c r="B2741" s="1">
        <v>45855</v>
      </c>
      <c r="C2741" t="s">
        <v>2632</v>
      </c>
      <c r="D2741">
        <v>7</v>
      </c>
      <c r="E2741">
        <v>17</v>
      </c>
      <c r="F2741" t="s">
        <v>88</v>
      </c>
      <c r="G2741" t="s">
        <v>64</v>
      </c>
      <c r="H2741" t="s">
        <v>139</v>
      </c>
      <c r="I2741" t="s">
        <v>36</v>
      </c>
      <c r="J2741" t="s">
        <v>66</v>
      </c>
      <c r="K2741" t="s">
        <v>38</v>
      </c>
      <c r="L2741">
        <v>2</v>
      </c>
      <c r="M2741">
        <v>336</v>
      </c>
      <c r="N2741">
        <v>16.8</v>
      </c>
      <c r="O2741">
        <v>40</v>
      </c>
      <c r="P2741">
        <v>672</v>
      </c>
      <c r="Q2741">
        <v>695.2</v>
      </c>
      <c r="R2741" t="s">
        <v>30</v>
      </c>
      <c r="S2741" t="s">
        <v>31</v>
      </c>
      <c r="T2741" t="s">
        <v>40</v>
      </c>
      <c r="U2741">
        <v>63</v>
      </c>
      <c r="V2741">
        <v>3.4</v>
      </c>
      <c r="W2741">
        <f>Table2[[#This Row],[Quantity]]*Table2[[#This Row],[Item_Price]]</f>
        <v>672</v>
      </c>
    </row>
    <row r="2742" spans="1:23" x14ac:dyDescent="0.25">
      <c r="A2742" t="s">
        <v>2842</v>
      </c>
      <c r="B2742" s="1">
        <v>45855</v>
      </c>
      <c r="C2742" t="s">
        <v>2632</v>
      </c>
      <c r="D2742">
        <v>7</v>
      </c>
      <c r="E2742">
        <v>17</v>
      </c>
      <c r="F2742" t="s">
        <v>88</v>
      </c>
      <c r="G2742" t="s">
        <v>80</v>
      </c>
      <c r="H2742" t="s">
        <v>139</v>
      </c>
      <c r="I2742" t="s">
        <v>43</v>
      </c>
      <c r="J2742" t="s">
        <v>28</v>
      </c>
      <c r="K2742" t="s">
        <v>45</v>
      </c>
      <c r="L2742">
        <v>2</v>
      </c>
      <c r="M2742">
        <v>600</v>
      </c>
      <c r="N2742">
        <v>90</v>
      </c>
      <c r="O2742">
        <v>30</v>
      </c>
      <c r="P2742">
        <v>1200</v>
      </c>
      <c r="Q2742">
        <v>1140</v>
      </c>
      <c r="R2742" t="s">
        <v>75</v>
      </c>
      <c r="S2742" t="s">
        <v>46</v>
      </c>
      <c r="T2742" t="s">
        <v>32</v>
      </c>
      <c r="U2742">
        <v>37</v>
      </c>
      <c r="W2742">
        <f>Table2[[#This Row],[Quantity]]*Table2[[#This Row],[Item_Price]]</f>
        <v>1200</v>
      </c>
    </row>
    <row r="2743" spans="1:23" x14ac:dyDescent="0.25">
      <c r="A2743" t="s">
        <v>2843</v>
      </c>
      <c r="B2743" s="1">
        <v>45855</v>
      </c>
      <c r="C2743" t="s">
        <v>2632</v>
      </c>
      <c r="D2743">
        <v>7</v>
      </c>
      <c r="E2743">
        <v>17</v>
      </c>
      <c r="F2743" t="s">
        <v>88</v>
      </c>
      <c r="G2743" t="s">
        <v>73</v>
      </c>
      <c r="H2743" t="s">
        <v>35</v>
      </c>
      <c r="I2743" t="s">
        <v>61</v>
      </c>
      <c r="J2743" t="s">
        <v>82</v>
      </c>
      <c r="K2743" t="s">
        <v>38</v>
      </c>
      <c r="L2743">
        <v>2</v>
      </c>
      <c r="M2743">
        <v>618</v>
      </c>
      <c r="N2743">
        <v>61.8</v>
      </c>
      <c r="O2743">
        <v>70</v>
      </c>
      <c r="P2743">
        <v>1236</v>
      </c>
      <c r="Q2743">
        <v>1244.2</v>
      </c>
      <c r="R2743" t="s">
        <v>39</v>
      </c>
      <c r="S2743" t="s">
        <v>31</v>
      </c>
      <c r="T2743" t="s">
        <v>32</v>
      </c>
      <c r="U2743">
        <v>20</v>
      </c>
      <c r="V2743">
        <v>5</v>
      </c>
      <c r="W2743">
        <f>Table2[[#This Row],[Quantity]]*Table2[[#This Row],[Item_Price]]</f>
        <v>1236</v>
      </c>
    </row>
    <row r="2744" spans="1:23" x14ac:dyDescent="0.25">
      <c r="A2744" t="s">
        <v>2844</v>
      </c>
      <c r="B2744" s="1">
        <v>45855</v>
      </c>
      <c r="C2744" t="s">
        <v>2632</v>
      </c>
      <c r="D2744">
        <v>7</v>
      </c>
      <c r="E2744">
        <v>17</v>
      </c>
      <c r="F2744" t="s">
        <v>88</v>
      </c>
      <c r="G2744" t="s">
        <v>84</v>
      </c>
      <c r="H2744" t="s">
        <v>42</v>
      </c>
      <c r="I2744" t="s">
        <v>49</v>
      </c>
      <c r="J2744" t="s">
        <v>101</v>
      </c>
      <c r="K2744" t="s">
        <v>38</v>
      </c>
      <c r="L2744">
        <v>1</v>
      </c>
      <c r="M2744">
        <v>348</v>
      </c>
      <c r="N2744">
        <v>0</v>
      </c>
      <c r="O2744">
        <v>60</v>
      </c>
      <c r="P2744">
        <v>348</v>
      </c>
      <c r="Q2744">
        <v>408</v>
      </c>
      <c r="R2744" t="s">
        <v>75</v>
      </c>
      <c r="S2744" t="s">
        <v>31</v>
      </c>
      <c r="T2744" t="s">
        <v>40</v>
      </c>
      <c r="U2744">
        <v>46</v>
      </c>
      <c r="V2744">
        <v>4.8</v>
      </c>
      <c r="W2744">
        <f>Table2[[#This Row],[Quantity]]*Table2[[#This Row],[Item_Price]]</f>
        <v>348</v>
      </c>
    </row>
    <row r="2745" spans="1:23" x14ac:dyDescent="0.25">
      <c r="A2745" t="s">
        <v>2845</v>
      </c>
      <c r="B2745" s="1">
        <v>45855</v>
      </c>
      <c r="C2745" t="s">
        <v>2632</v>
      </c>
      <c r="D2745">
        <v>7</v>
      </c>
      <c r="E2745">
        <v>17</v>
      </c>
      <c r="F2745" t="s">
        <v>88</v>
      </c>
      <c r="G2745" t="s">
        <v>80</v>
      </c>
      <c r="H2745" t="s">
        <v>139</v>
      </c>
      <c r="I2745" t="s">
        <v>57</v>
      </c>
      <c r="J2745" t="s">
        <v>37</v>
      </c>
      <c r="K2745" t="s">
        <v>38</v>
      </c>
      <c r="L2745">
        <v>1</v>
      </c>
      <c r="M2745">
        <v>167</v>
      </c>
      <c r="N2745">
        <v>41.75</v>
      </c>
      <c r="O2745">
        <v>60</v>
      </c>
      <c r="P2745">
        <v>167</v>
      </c>
      <c r="Q2745">
        <v>185.25</v>
      </c>
      <c r="R2745" t="s">
        <v>39</v>
      </c>
      <c r="S2745" t="s">
        <v>31</v>
      </c>
      <c r="T2745" t="s">
        <v>40</v>
      </c>
      <c r="U2745">
        <v>50</v>
      </c>
      <c r="V2745">
        <v>3.6</v>
      </c>
      <c r="W2745">
        <f>Table2[[#This Row],[Quantity]]*Table2[[#This Row],[Item_Price]]</f>
        <v>167</v>
      </c>
    </row>
    <row r="2746" spans="1:23" x14ac:dyDescent="0.25">
      <c r="A2746" t="s">
        <v>2846</v>
      </c>
      <c r="B2746" s="1">
        <v>45855</v>
      </c>
      <c r="C2746" t="s">
        <v>2632</v>
      </c>
      <c r="D2746">
        <v>7</v>
      </c>
      <c r="E2746">
        <v>17</v>
      </c>
      <c r="F2746" t="s">
        <v>88</v>
      </c>
      <c r="G2746" t="s">
        <v>115</v>
      </c>
      <c r="H2746" t="s">
        <v>105</v>
      </c>
      <c r="I2746" t="s">
        <v>36</v>
      </c>
      <c r="J2746" t="s">
        <v>70</v>
      </c>
      <c r="K2746" t="s">
        <v>38</v>
      </c>
      <c r="L2746">
        <v>2</v>
      </c>
      <c r="M2746">
        <v>792</v>
      </c>
      <c r="N2746">
        <v>79.2</v>
      </c>
      <c r="O2746">
        <v>70</v>
      </c>
      <c r="P2746">
        <v>1584</v>
      </c>
      <c r="Q2746">
        <v>1574.8</v>
      </c>
      <c r="R2746" t="s">
        <v>39</v>
      </c>
      <c r="S2746" t="s">
        <v>46</v>
      </c>
      <c r="T2746" t="s">
        <v>32</v>
      </c>
      <c r="U2746">
        <v>21</v>
      </c>
      <c r="W2746">
        <f>Table2[[#This Row],[Quantity]]*Table2[[#This Row],[Item_Price]]</f>
        <v>1584</v>
      </c>
    </row>
    <row r="2747" spans="1:23" x14ac:dyDescent="0.25">
      <c r="A2747" t="s">
        <v>2847</v>
      </c>
      <c r="B2747" s="1">
        <v>45855</v>
      </c>
      <c r="C2747" t="s">
        <v>2632</v>
      </c>
      <c r="D2747">
        <v>7</v>
      </c>
      <c r="E2747">
        <v>17</v>
      </c>
      <c r="F2747" t="s">
        <v>88</v>
      </c>
      <c r="G2747" t="s">
        <v>64</v>
      </c>
      <c r="H2747" t="s">
        <v>26</v>
      </c>
      <c r="I2747" t="s">
        <v>49</v>
      </c>
      <c r="J2747" t="s">
        <v>70</v>
      </c>
      <c r="K2747" t="s">
        <v>45</v>
      </c>
      <c r="L2747">
        <v>2</v>
      </c>
      <c r="M2747">
        <v>356</v>
      </c>
      <c r="N2747">
        <v>53.4</v>
      </c>
      <c r="O2747">
        <v>20</v>
      </c>
      <c r="P2747">
        <v>712</v>
      </c>
      <c r="Q2747">
        <v>678.6</v>
      </c>
      <c r="R2747" t="s">
        <v>75</v>
      </c>
      <c r="S2747" t="s">
        <v>31</v>
      </c>
      <c r="T2747" t="s">
        <v>32</v>
      </c>
      <c r="U2747">
        <v>51</v>
      </c>
      <c r="V2747">
        <v>4.5</v>
      </c>
      <c r="W2747">
        <f>Table2[[#This Row],[Quantity]]*Table2[[#This Row],[Item_Price]]</f>
        <v>712</v>
      </c>
    </row>
    <row r="2748" spans="1:23" x14ac:dyDescent="0.25">
      <c r="A2748" t="s">
        <v>2848</v>
      </c>
      <c r="B2748" s="1">
        <v>45855</v>
      </c>
      <c r="C2748" t="s">
        <v>2632</v>
      </c>
      <c r="D2748">
        <v>7</v>
      </c>
      <c r="E2748">
        <v>17</v>
      </c>
      <c r="F2748" t="s">
        <v>88</v>
      </c>
      <c r="G2748" t="s">
        <v>73</v>
      </c>
      <c r="H2748" t="s">
        <v>135</v>
      </c>
      <c r="I2748" t="s">
        <v>57</v>
      </c>
      <c r="J2748" t="s">
        <v>44</v>
      </c>
      <c r="K2748" t="s">
        <v>45</v>
      </c>
      <c r="L2748">
        <v>2</v>
      </c>
      <c r="M2748">
        <v>235</v>
      </c>
      <c r="N2748">
        <v>58.75</v>
      </c>
      <c r="O2748">
        <v>30</v>
      </c>
      <c r="P2748">
        <v>470</v>
      </c>
      <c r="Q2748">
        <v>441.25</v>
      </c>
      <c r="R2748" t="s">
        <v>39</v>
      </c>
      <c r="S2748" t="s">
        <v>31</v>
      </c>
      <c r="T2748" t="s">
        <v>40</v>
      </c>
      <c r="U2748">
        <v>54</v>
      </c>
      <c r="V2748">
        <v>4.0999999999999996</v>
      </c>
      <c r="W2748">
        <f>Table2[[#This Row],[Quantity]]*Table2[[#This Row],[Item_Price]]</f>
        <v>470</v>
      </c>
    </row>
    <row r="2749" spans="1:23" x14ac:dyDescent="0.25">
      <c r="A2749" t="s">
        <v>2849</v>
      </c>
      <c r="B2749" s="1">
        <v>45855</v>
      </c>
      <c r="C2749" t="s">
        <v>2632</v>
      </c>
      <c r="D2749">
        <v>7</v>
      </c>
      <c r="E2749">
        <v>17</v>
      </c>
      <c r="F2749" t="s">
        <v>88</v>
      </c>
      <c r="G2749" t="s">
        <v>90</v>
      </c>
      <c r="H2749" t="s">
        <v>108</v>
      </c>
      <c r="I2749" t="s">
        <v>57</v>
      </c>
      <c r="J2749" t="s">
        <v>172</v>
      </c>
      <c r="K2749" t="s">
        <v>38</v>
      </c>
      <c r="L2749">
        <v>1</v>
      </c>
      <c r="M2749">
        <v>460</v>
      </c>
      <c r="N2749">
        <v>69</v>
      </c>
      <c r="O2749">
        <v>40</v>
      </c>
      <c r="P2749">
        <v>460</v>
      </c>
      <c r="Q2749">
        <v>431</v>
      </c>
      <c r="R2749" t="s">
        <v>39</v>
      </c>
      <c r="S2749" t="s">
        <v>31</v>
      </c>
      <c r="T2749" t="s">
        <v>32</v>
      </c>
      <c r="U2749">
        <v>69</v>
      </c>
      <c r="V2749">
        <v>4.0999999999999996</v>
      </c>
      <c r="W2749">
        <f>Table2[[#This Row],[Quantity]]*Table2[[#This Row],[Item_Price]]</f>
        <v>460</v>
      </c>
    </row>
    <row r="2750" spans="1:23" x14ac:dyDescent="0.25">
      <c r="A2750" t="s">
        <v>2850</v>
      </c>
      <c r="B2750" s="1">
        <v>45856</v>
      </c>
      <c r="C2750" t="s">
        <v>2632</v>
      </c>
      <c r="D2750">
        <v>7</v>
      </c>
      <c r="E2750">
        <v>18</v>
      </c>
      <c r="F2750" t="s">
        <v>114</v>
      </c>
      <c r="G2750" t="s">
        <v>80</v>
      </c>
      <c r="H2750" t="s">
        <v>52</v>
      </c>
      <c r="I2750" t="s">
        <v>43</v>
      </c>
      <c r="J2750" t="s">
        <v>37</v>
      </c>
      <c r="K2750" t="s">
        <v>38</v>
      </c>
      <c r="L2750">
        <v>1</v>
      </c>
      <c r="M2750">
        <v>141</v>
      </c>
      <c r="N2750">
        <v>0</v>
      </c>
      <c r="O2750">
        <v>70</v>
      </c>
      <c r="P2750">
        <v>141</v>
      </c>
      <c r="Q2750">
        <v>211</v>
      </c>
      <c r="R2750" t="s">
        <v>75</v>
      </c>
      <c r="S2750" t="s">
        <v>31</v>
      </c>
      <c r="T2750" t="s">
        <v>32</v>
      </c>
      <c r="U2750">
        <v>40</v>
      </c>
      <c r="V2750">
        <v>4.0999999999999996</v>
      </c>
      <c r="W2750">
        <f>Table2[[#This Row],[Quantity]]*Table2[[#This Row],[Item_Price]]</f>
        <v>141</v>
      </c>
    </row>
    <row r="2751" spans="1:23" x14ac:dyDescent="0.25">
      <c r="A2751" t="s">
        <v>2851</v>
      </c>
      <c r="B2751" s="1">
        <v>45856</v>
      </c>
      <c r="C2751" t="s">
        <v>2632</v>
      </c>
      <c r="D2751">
        <v>7</v>
      </c>
      <c r="E2751">
        <v>18</v>
      </c>
      <c r="F2751" t="s">
        <v>114</v>
      </c>
      <c r="G2751" t="s">
        <v>115</v>
      </c>
      <c r="H2751" t="s">
        <v>42</v>
      </c>
      <c r="I2751" t="s">
        <v>97</v>
      </c>
      <c r="J2751" t="s">
        <v>74</v>
      </c>
      <c r="K2751" t="s">
        <v>38</v>
      </c>
      <c r="L2751">
        <v>2</v>
      </c>
      <c r="M2751">
        <v>596</v>
      </c>
      <c r="N2751">
        <v>59.6</v>
      </c>
      <c r="O2751">
        <v>20</v>
      </c>
      <c r="P2751">
        <v>1192</v>
      </c>
      <c r="Q2751">
        <v>1152.4000000000001</v>
      </c>
      <c r="R2751" t="s">
        <v>39</v>
      </c>
      <c r="S2751" t="s">
        <v>46</v>
      </c>
      <c r="T2751" t="s">
        <v>40</v>
      </c>
      <c r="U2751">
        <v>36</v>
      </c>
      <c r="W2751">
        <f>Table2[[#This Row],[Quantity]]*Table2[[#This Row],[Item_Price]]</f>
        <v>1192</v>
      </c>
    </row>
    <row r="2752" spans="1:23" x14ac:dyDescent="0.25">
      <c r="A2752" t="s">
        <v>2852</v>
      </c>
      <c r="B2752" s="1">
        <v>45856</v>
      </c>
      <c r="C2752" t="s">
        <v>2632</v>
      </c>
      <c r="D2752">
        <v>7</v>
      </c>
      <c r="E2752">
        <v>18</v>
      </c>
      <c r="F2752" t="s">
        <v>114</v>
      </c>
      <c r="G2752" t="s">
        <v>64</v>
      </c>
      <c r="H2752" t="s">
        <v>52</v>
      </c>
      <c r="I2752" t="s">
        <v>36</v>
      </c>
      <c r="J2752" t="s">
        <v>123</v>
      </c>
      <c r="K2752" t="s">
        <v>38</v>
      </c>
      <c r="L2752">
        <v>1</v>
      </c>
      <c r="M2752">
        <v>609</v>
      </c>
      <c r="N2752">
        <v>152.25</v>
      </c>
      <c r="O2752">
        <v>0</v>
      </c>
      <c r="P2752">
        <v>609</v>
      </c>
      <c r="Q2752">
        <v>456.75</v>
      </c>
      <c r="R2752" t="s">
        <v>112</v>
      </c>
      <c r="S2752" t="s">
        <v>31</v>
      </c>
      <c r="T2752" t="s">
        <v>32</v>
      </c>
      <c r="U2752">
        <v>55</v>
      </c>
      <c r="V2752">
        <v>3.8</v>
      </c>
      <c r="W2752">
        <f>Table2[[#This Row],[Quantity]]*Table2[[#This Row],[Item_Price]]</f>
        <v>609</v>
      </c>
    </row>
    <row r="2753" spans="1:23" x14ac:dyDescent="0.25">
      <c r="A2753" t="s">
        <v>2853</v>
      </c>
      <c r="B2753" s="1">
        <v>45856</v>
      </c>
      <c r="C2753" t="s">
        <v>2632</v>
      </c>
      <c r="D2753">
        <v>7</v>
      </c>
      <c r="E2753">
        <v>18</v>
      </c>
      <c r="F2753" t="s">
        <v>114</v>
      </c>
      <c r="G2753" t="s">
        <v>25</v>
      </c>
      <c r="H2753" t="s">
        <v>48</v>
      </c>
      <c r="I2753" t="s">
        <v>61</v>
      </c>
      <c r="J2753" t="s">
        <v>53</v>
      </c>
      <c r="K2753" t="s">
        <v>38</v>
      </c>
      <c r="L2753">
        <v>1</v>
      </c>
      <c r="M2753">
        <v>861</v>
      </c>
      <c r="N2753">
        <v>215.25</v>
      </c>
      <c r="O2753">
        <v>50</v>
      </c>
      <c r="P2753">
        <v>861</v>
      </c>
      <c r="Q2753">
        <v>695.75</v>
      </c>
      <c r="R2753" t="s">
        <v>30</v>
      </c>
      <c r="S2753" t="s">
        <v>31</v>
      </c>
      <c r="T2753" t="s">
        <v>40</v>
      </c>
      <c r="U2753">
        <v>63</v>
      </c>
      <c r="V2753">
        <v>3.9</v>
      </c>
      <c r="W2753">
        <f>Table2[[#This Row],[Quantity]]*Table2[[#This Row],[Item_Price]]</f>
        <v>861</v>
      </c>
    </row>
    <row r="2754" spans="1:23" x14ac:dyDescent="0.25">
      <c r="A2754" t="s">
        <v>2854</v>
      </c>
      <c r="B2754" s="1">
        <v>45856</v>
      </c>
      <c r="C2754" t="s">
        <v>2632</v>
      </c>
      <c r="D2754">
        <v>7</v>
      </c>
      <c r="E2754">
        <v>18</v>
      </c>
      <c r="F2754" t="s">
        <v>114</v>
      </c>
      <c r="G2754" t="s">
        <v>80</v>
      </c>
      <c r="H2754" t="s">
        <v>26</v>
      </c>
      <c r="I2754" t="s">
        <v>49</v>
      </c>
      <c r="J2754" t="s">
        <v>74</v>
      </c>
      <c r="K2754" t="s">
        <v>38</v>
      </c>
      <c r="L2754">
        <v>2</v>
      </c>
      <c r="M2754">
        <v>125</v>
      </c>
      <c r="N2754">
        <v>6.25</v>
      </c>
      <c r="O2754">
        <v>60</v>
      </c>
      <c r="P2754">
        <v>250</v>
      </c>
      <c r="Q2754">
        <v>303.75</v>
      </c>
      <c r="R2754" t="s">
        <v>39</v>
      </c>
      <c r="S2754" t="s">
        <v>31</v>
      </c>
      <c r="T2754" t="s">
        <v>40</v>
      </c>
      <c r="U2754">
        <v>24</v>
      </c>
      <c r="V2754">
        <v>5</v>
      </c>
      <c r="W2754">
        <f>Table2[[#This Row],[Quantity]]*Table2[[#This Row],[Item_Price]]</f>
        <v>250</v>
      </c>
    </row>
    <row r="2755" spans="1:23" x14ac:dyDescent="0.25">
      <c r="A2755" t="s">
        <v>2855</v>
      </c>
      <c r="B2755" s="1">
        <v>45856</v>
      </c>
      <c r="C2755" t="s">
        <v>2632</v>
      </c>
      <c r="D2755">
        <v>7</v>
      </c>
      <c r="E2755">
        <v>18</v>
      </c>
      <c r="F2755" t="s">
        <v>114</v>
      </c>
      <c r="G2755" t="s">
        <v>73</v>
      </c>
      <c r="H2755" t="s">
        <v>68</v>
      </c>
      <c r="I2755" t="s">
        <v>97</v>
      </c>
      <c r="J2755" t="s">
        <v>44</v>
      </c>
      <c r="K2755" t="s">
        <v>38</v>
      </c>
      <c r="L2755">
        <v>3</v>
      </c>
      <c r="M2755">
        <v>364</v>
      </c>
      <c r="N2755">
        <v>0</v>
      </c>
      <c r="O2755">
        <v>40</v>
      </c>
      <c r="P2755">
        <v>1092</v>
      </c>
      <c r="Q2755">
        <v>1132</v>
      </c>
      <c r="R2755" t="s">
        <v>30</v>
      </c>
      <c r="S2755" t="s">
        <v>31</v>
      </c>
      <c r="T2755" t="s">
        <v>40</v>
      </c>
      <c r="U2755">
        <v>29</v>
      </c>
      <c r="V2755">
        <v>4.3</v>
      </c>
      <c r="W2755">
        <f>Table2[[#This Row],[Quantity]]*Table2[[#This Row],[Item_Price]]</f>
        <v>1092</v>
      </c>
    </row>
    <row r="2756" spans="1:23" x14ac:dyDescent="0.25">
      <c r="A2756" t="s">
        <v>2856</v>
      </c>
      <c r="B2756" s="1">
        <v>45856</v>
      </c>
      <c r="C2756" t="s">
        <v>2632</v>
      </c>
      <c r="D2756">
        <v>7</v>
      </c>
      <c r="E2756">
        <v>18</v>
      </c>
      <c r="F2756" t="s">
        <v>114</v>
      </c>
      <c r="G2756" t="s">
        <v>80</v>
      </c>
      <c r="H2756" t="s">
        <v>105</v>
      </c>
      <c r="I2756" t="s">
        <v>103</v>
      </c>
      <c r="J2756" t="s">
        <v>74</v>
      </c>
      <c r="K2756" t="s">
        <v>38</v>
      </c>
      <c r="L2756">
        <v>3</v>
      </c>
      <c r="M2756">
        <v>172</v>
      </c>
      <c r="N2756">
        <v>43</v>
      </c>
      <c r="O2756">
        <v>40</v>
      </c>
      <c r="P2756">
        <v>516</v>
      </c>
      <c r="Q2756">
        <v>513</v>
      </c>
      <c r="R2756" t="s">
        <v>30</v>
      </c>
      <c r="S2756" t="s">
        <v>31</v>
      </c>
      <c r="T2756" t="s">
        <v>32</v>
      </c>
      <c r="U2756">
        <v>26</v>
      </c>
      <c r="V2756">
        <v>4</v>
      </c>
      <c r="W2756">
        <f>Table2[[#This Row],[Quantity]]*Table2[[#This Row],[Item_Price]]</f>
        <v>516</v>
      </c>
    </row>
    <row r="2757" spans="1:23" x14ac:dyDescent="0.25">
      <c r="A2757" t="s">
        <v>2857</v>
      </c>
      <c r="B2757" s="1">
        <v>45856</v>
      </c>
      <c r="C2757" t="s">
        <v>2632</v>
      </c>
      <c r="D2757">
        <v>7</v>
      </c>
      <c r="E2757">
        <v>18</v>
      </c>
      <c r="F2757" t="s">
        <v>114</v>
      </c>
      <c r="G2757" t="s">
        <v>64</v>
      </c>
      <c r="H2757" t="s">
        <v>35</v>
      </c>
      <c r="I2757" t="s">
        <v>27</v>
      </c>
      <c r="J2757" t="s">
        <v>82</v>
      </c>
      <c r="K2757" t="s">
        <v>38</v>
      </c>
      <c r="L2757">
        <v>3</v>
      </c>
      <c r="M2757">
        <v>482</v>
      </c>
      <c r="N2757">
        <v>0</v>
      </c>
      <c r="O2757">
        <v>60</v>
      </c>
      <c r="P2757">
        <v>1446</v>
      </c>
      <c r="Q2757">
        <v>1506</v>
      </c>
      <c r="R2757" t="s">
        <v>75</v>
      </c>
      <c r="S2757" t="s">
        <v>31</v>
      </c>
      <c r="T2757" t="s">
        <v>32</v>
      </c>
      <c r="U2757">
        <v>67</v>
      </c>
      <c r="V2757">
        <v>3.6</v>
      </c>
      <c r="W2757">
        <f>Table2[[#This Row],[Quantity]]*Table2[[#This Row],[Item_Price]]</f>
        <v>1446</v>
      </c>
    </row>
    <row r="2758" spans="1:23" x14ac:dyDescent="0.25">
      <c r="A2758" t="s">
        <v>2858</v>
      </c>
      <c r="B2758" s="1">
        <v>45856</v>
      </c>
      <c r="C2758" t="s">
        <v>2632</v>
      </c>
      <c r="D2758">
        <v>7</v>
      </c>
      <c r="E2758">
        <v>18</v>
      </c>
      <c r="F2758" t="s">
        <v>114</v>
      </c>
      <c r="G2758" t="s">
        <v>64</v>
      </c>
      <c r="H2758" t="s">
        <v>60</v>
      </c>
      <c r="I2758" t="s">
        <v>85</v>
      </c>
      <c r="J2758" t="s">
        <v>44</v>
      </c>
      <c r="K2758" t="s">
        <v>38</v>
      </c>
      <c r="L2758">
        <v>2</v>
      </c>
      <c r="M2758">
        <v>334</v>
      </c>
      <c r="N2758">
        <v>33.4</v>
      </c>
      <c r="O2758">
        <v>40</v>
      </c>
      <c r="P2758">
        <v>668</v>
      </c>
      <c r="Q2758">
        <v>674.6</v>
      </c>
      <c r="R2758" t="s">
        <v>39</v>
      </c>
      <c r="S2758" t="s">
        <v>31</v>
      </c>
      <c r="T2758" t="s">
        <v>40</v>
      </c>
      <c r="U2758">
        <v>49</v>
      </c>
      <c r="V2758">
        <v>4.4000000000000004</v>
      </c>
      <c r="W2758">
        <f>Table2[[#This Row],[Quantity]]*Table2[[#This Row],[Item_Price]]</f>
        <v>668</v>
      </c>
    </row>
    <row r="2759" spans="1:23" x14ac:dyDescent="0.25">
      <c r="A2759" t="s">
        <v>2859</v>
      </c>
      <c r="B2759" s="1">
        <v>45857</v>
      </c>
      <c r="C2759" t="s">
        <v>2632</v>
      </c>
      <c r="D2759">
        <v>7</v>
      </c>
      <c r="E2759">
        <v>19</v>
      </c>
      <c r="F2759" t="s">
        <v>134</v>
      </c>
      <c r="G2759" t="s">
        <v>55</v>
      </c>
      <c r="H2759" t="s">
        <v>48</v>
      </c>
      <c r="I2759" t="s">
        <v>85</v>
      </c>
      <c r="J2759" t="s">
        <v>66</v>
      </c>
      <c r="K2759" t="s">
        <v>38</v>
      </c>
      <c r="L2759">
        <v>1</v>
      </c>
      <c r="M2759">
        <v>534</v>
      </c>
      <c r="N2759">
        <v>26.7</v>
      </c>
      <c r="O2759">
        <v>40</v>
      </c>
      <c r="P2759">
        <v>534</v>
      </c>
      <c r="Q2759">
        <v>547.29999999999995</v>
      </c>
      <c r="R2759" t="s">
        <v>39</v>
      </c>
      <c r="S2759" t="s">
        <v>31</v>
      </c>
      <c r="T2759" t="s">
        <v>40</v>
      </c>
      <c r="U2759">
        <v>48</v>
      </c>
      <c r="V2759">
        <v>5</v>
      </c>
      <c r="W2759">
        <f>Table2[[#This Row],[Quantity]]*Table2[[#This Row],[Item_Price]]</f>
        <v>534</v>
      </c>
    </row>
    <row r="2760" spans="1:23" x14ac:dyDescent="0.25">
      <c r="A2760" t="s">
        <v>2860</v>
      </c>
      <c r="B2760" s="1">
        <v>45857</v>
      </c>
      <c r="C2760" t="s">
        <v>2632</v>
      </c>
      <c r="D2760">
        <v>7</v>
      </c>
      <c r="E2760">
        <v>19</v>
      </c>
      <c r="F2760" t="s">
        <v>134</v>
      </c>
      <c r="G2760" t="s">
        <v>64</v>
      </c>
      <c r="H2760" t="s">
        <v>77</v>
      </c>
      <c r="I2760" t="s">
        <v>57</v>
      </c>
      <c r="J2760" t="s">
        <v>66</v>
      </c>
      <c r="K2760" t="s">
        <v>38</v>
      </c>
      <c r="L2760">
        <v>1</v>
      </c>
      <c r="M2760">
        <v>608</v>
      </c>
      <c r="N2760">
        <v>30.4</v>
      </c>
      <c r="O2760">
        <v>70</v>
      </c>
      <c r="P2760">
        <v>608</v>
      </c>
      <c r="Q2760">
        <v>647.6</v>
      </c>
      <c r="R2760" t="s">
        <v>39</v>
      </c>
      <c r="S2760" t="s">
        <v>31</v>
      </c>
      <c r="T2760" t="s">
        <v>40</v>
      </c>
      <c r="U2760">
        <v>25</v>
      </c>
      <c r="V2760">
        <v>2.6</v>
      </c>
      <c r="W2760">
        <f>Table2[[#This Row],[Quantity]]*Table2[[#This Row],[Item_Price]]</f>
        <v>608</v>
      </c>
    </row>
    <row r="2761" spans="1:23" x14ac:dyDescent="0.25">
      <c r="A2761" t="s">
        <v>2861</v>
      </c>
      <c r="B2761" s="1">
        <v>45857</v>
      </c>
      <c r="C2761" t="s">
        <v>2632</v>
      </c>
      <c r="D2761">
        <v>7</v>
      </c>
      <c r="E2761">
        <v>19</v>
      </c>
      <c r="F2761" t="s">
        <v>134</v>
      </c>
      <c r="G2761" t="s">
        <v>55</v>
      </c>
      <c r="H2761" t="s">
        <v>139</v>
      </c>
      <c r="I2761" t="s">
        <v>103</v>
      </c>
      <c r="J2761" t="s">
        <v>62</v>
      </c>
      <c r="K2761" t="s">
        <v>58</v>
      </c>
      <c r="L2761">
        <v>2</v>
      </c>
      <c r="M2761">
        <v>171</v>
      </c>
      <c r="N2761">
        <v>42.75</v>
      </c>
      <c r="O2761">
        <v>60</v>
      </c>
      <c r="P2761">
        <v>342</v>
      </c>
      <c r="Q2761">
        <v>359.25</v>
      </c>
      <c r="R2761" t="s">
        <v>39</v>
      </c>
      <c r="S2761" t="s">
        <v>31</v>
      </c>
      <c r="T2761" t="s">
        <v>40</v>
      </c>
      <c r="U2761">
        <v>20</v>
      </c>
      <c r="V2761">
        <v>4</v>
      </c>
      <c r="W2761">
        <f>Table2[[#This Row],[Quantity]]*Table2[[#This Row],[Item_Price]]</f>
        <v>342</v>
      </c>
    </row>
    <row r="2762" spans="1:23" x14ac:dyDescent="0.25">
      <c r="A2762" t="s">
        <v>2862</v>
      </c>
      <c r="B2762" s="1">
        <v>45857</v>
      </c>
      <c r="C2762" t="s">
        <v>2632</v>
      </c>
      <c r="D2762">
        <v>7</v>
      </c>
      <c r="E2762">
        <v>19</v>
      </c>
      <c r="F2762" t="s">
        <v>134</v>
      </c>
      <c r="G2762" t="s">
        <v>64</v>
      </c>
      <c r="H2762" t="s">
        <v>108</v>
      </c>
      <c r="I2762" t="s">
        <v>103</v>
      </c>
      <c r="J2762" t="s">
        <v>172</v>
      </c>
      <c r="K2762" t="s">
        <v>38</v>
      </c>
      <c r="L2762">
        <v>2</v>
      </c>
      <c r="M2762">
        <v>155</v>
      </c>
      <c r="N2762">
        <v>0</v>
      </c>
      <c r="O2762">
        <v>30</v>
      </c>
      <c r="P2762">
        <v>310</v>
      </c>
      <c r="Q2762">
        <v>340</v>
      </c>
      <c r="R2762" t="s">
        <v>98</v>
      </c>
      <c r="S2762" t="s">
        <v>31</v>
      </c>
      <c r="T2762" t="s">
        <v>32</v>
      </c>
      <c r="U2762">
        <v>35</v>
      </c>
      <c r="V2762">
        <v>3.8</v>
      </c>
      <c r="W2762">
        <f>Table2[[#This Row],[Quantity]]*Table2[[#This Row],[Item_Price]]</f>
        <v>310</v>
      </c>
    </row>
    <row r="2763" spans="1:23" x14ac:dyDescent="0.25">
      <c r="A2763" t="s">
        <v>2863</v>
      </c>
      <c r="B2763" s="1">
        <v>45857</v>
      </c>
      <c r="C2763" t="s">
        <v>2632</v>
      </c>
      <c r="D2763">
        <v>7</v>
      </c>
      <c r="E2763">
        <v>19</v>
      </c>
      <c r="F2763" t="s">
        <v>134</v>
      </c>
      <c r="G2763" t="s">
        <v>80</v>
      </c>
      <c r="H2763" t="s">
        <v>42</v>
      </c>
      <c r="I2763" t="s">
        <v>85</v>
      </c>
      <c r="J2763" t="s">
        <v>50</v>
      </c>
      <c r="K2763" t="s">
        <v>38</v>
      </c>
      <c r="L2763">
        <v>2</v>
      </c>
      <c r="M2763">
        <v>523</v>
      </c>
      <c r="N2763">
        <v>0</v>
      </c>
      <c r="O2763">
        <v>30</v>
      </c>
      <c r="P2763">
        <v>1046</v>
      </c>
      <c r="Q2763">
        <v>1076</v>
      </c>
      <c r="R2763" t="s">
        <v>98</v>
      </c>
      <c r="S2763" t="s">
        <v>31</v>
      </c>
      <c r="T2763" t="s">
        <v>40</v>
      </c>
      <c r="U2763">
        <v>53</v>
      </c>
      <c r="V2763">
        <v>4.4000000000000004</v>
      </c>
      <c r="W2763">
        <f>Table2[[#This Row],[Quantity]]*Table2[[#This Row],[Item_Price]]</f>
        <v>1046</v>
      </c>
    </row>
    <row r="2764" spans="1:23" x14ac:dyDescent="0.25">
      <c r="A2764" t="s">
        <v>2864</v>
      </c>
      <c r="B2764" s="1">
        <v>45858</v>
      </c>
      <c r="C2764" t="s">
        <v>2632</v>
      </c>
      <c r="D2764">
        <v>7</v>
      </c>
      <c r="E2764">
        <v>20</v>
      </c>
      <c r="F2764" t="s">
        <v>149</v>
      </c>
      <c r="G2764" t="s">
        <v>64</v>
      </c>
      <c r="H2764" t="s">
        <v>77</v>
      </c>
      <c r="I2764" t="s">
        <v>85</v>
      </c>
      <c r="J2764" t="s">
        <v>74</v>
      </c>
      <c r="K2764" t="s">
        <v>45</v>
      </c>
      <c r="L2764">
        <v>3</v>
      </c>
      <c r="M2764">
        <v>579</v>
      </c>
      <c r="N2764">
        <v>28.95</v>
      </c>
      <c r="O2764">
        <v>40</v>
      </c>
      <c r="P2764">
        <v>1737</v>
      </c>
      <c r="Q2764">
        <v>1748.05</v>
      </c>
      <c r="R2764" t="s">
        <v>39</v>
      </c>
      <c r="S2764" t="s">
        <v>91</v>
      </c>
      <c r="T2764" t="s">
        <v>40</v>
      </c>
      <c r="U2764">
        <v>64</v>
      </c>
      <c r="W2764">
        <f>Table2[[#This Row],[Quantity]]*Table2[[#This Row],[Item_Price]]</f>
        <v>1737</v>
      </c>
    </row>
    <row r="2765" spans="1:23" x14ac:dyDescent="0.25">
      <c r="A2765" t="s">
        <v>2865</v>
      </c>
      <c r="B2765" s="1">
        <v>45858</v>
      </c>
      <c r="C2765" t="s">
        <v>2632</v>
      </c>
      <c r="D2765">
        <v>7</v>
      </c>
      <c r="E2765">
        <v>20</v>
      </c>
      <c r="F2765" t="s">
        <v>149</v>
      </c>
      <c r="G2765" t="s">
        <v>64</v>
      </c>
      <c r="H2765" t="s">
        <v>56</v>
      </c>
      <c r="I2765" t="s">
        <v>36</v>
      </c>
      <c r="J2765" t="s">
        <v>172</v>
      </c>
      <c r="K2765" t="s">
        <v>38</v>
      </c>
      <c r="L2765">
        <v>3</v>
      </c>
      <c r="M2765">
        <v>338</v>
      </c>
      <c r="N2765">
        <v>84.5</v>
      </c>
      <c r="O2765">
        <v>50</v>
      </c>
      <c r="P2765">
        <v>1014</v>
      </c>
      <c r="Q2765">
        <v>979.5</v>
      </c>
      <c r="R2765" t="s">
        <v>75</v>
      </c>
      <c r="S2765" t="s">
        <v>31</v>
      </c>
      <c r="T2765" t="s">
        <v>40</v>
      </c>
      <c r="U2765">
        <v>42</v>
      </c>
      <c r="V2765">
        <v>4</v>
      </c>
      <c r="W2765">
        <f>Table2[[#This Row],[Quantity]]*Table2[[#This Row],[Item_Price]]</f>
        <v>1014</v>
      </c>
    </row>
    <row r="2766" spans="1:23" x14ac:dyDescent="0.25">
      <c r="A2766" t="s">
        <v>2866</v>
      </c>
      <c r="B2766" s="1">
        <v>45858</v>
      </c>
      <c r="C2766" t="s">
        <v>2632</v>
      </c>
      <c r="D2766">
        <v>7</v>
      </c>
      <c r="E2766">
        <v>20</v>
      </c>
      <c r="F2766" t="s">
        <v>149</v>
      </c>
      <c r="G2766" t="s">
        <v>115</v>
      </c>
      <c r="H2766" t="s">
        <v>108</v>
      </c>
      <c r="I2766" t="s">
        <v>36</v>
      </c>
      <c r="J2766" t="s">
        <v>70</v>
      </c>
      <c r="K2766" t="s">
        <v>58</v>
      </c>
      <c r="L2766">
        <v>3</v>
      </c>
      <c r="M2766">
        <v>277</v>
      </c>
      <c r="N2766">
        <v>13.85</v>
      </c>
      <c r="O2766">
        <v>40</v>
      </c>
      <c r="P2766">
        <v>831</v>
      </c>
      <c r="Q2766">
        <v>857.15</v>
      </c>
      <c r="R2766" t="s">
        <v>98</v>
      </c>
      <c r="S2766" t="s">
        <v>31</v>
      </c>
      <c r="T2766" t="s">
        <v>40</v>
      </c>
      <c r="U2766">
        <v>41</v>
      </c>
      <c r="V2766">
        <v>3.1</v>
      </c>
      <c r="W2766">
        <f>Table2[[#This Row],[Quantity]]*Table2[[#This Row],[Item_Price]]</f>
        <v>831</v>
      </c>
    </row>
    <row r="2767" spans="1:23" x14ac:dyDescent="0.25">
      <c r="A2767" t="s">
        <v>2867</v>
      </c>
      <c r="B2767" s="1">
        <v>45858</v>
      </c>
      <c r="C2767" t="s">
        <v>2632</v>
      </c>
      <c r="D2767">
        <v>7</v>
      </c>
      <c r="E2767">
        <v>20</v>
      </c>
      <c r="F2767" t="s">
        <v>149</v>
      </c>
      <c r="G2767" t="s">
        <v>90</v>
      </c>
      <c r="H2767" t="s">
        <v>135</v>
      </c>
      <c r="I2767" t="s">
        <v>69</v>
      </c>
      <c r="J2767" t="s">
        <v>78</v>
      </c>
      <c r="K2767" t="s">
        <v>45</v>
      </c>
      <c r="L2767">
        <v>2</v>
      </c>
      <c r="M2767">
        <v>581</v>
      </c>
      <c r="N2767">
        <v>29.05</v>
      </c>
      <c r="O2767">
        <v>20</v>
      </c>
      <c r="P2767">
        <v>1162</v>
      </c>
      <c r="Q2767">
        <v>1152.95</v>
      </c>
      <c r="R2767" t="s">
        <v>39</v>
      </c>
      <c r="S2767" t="s">
        <v>31</v>
      </c>
      <c r="T2767" t="s">
        <v>32</v>
      </c>
      <c r="U2767">
        <v>37</v>
      </c>
      <c r="V2767">
        <v>3.7</v>
      </c>
      <c r="W2767">
        <f>Table2[[#This Row],[Quantity]]*Table2[[#This Row],[Item_Price]]</f>
        <v>1162</v>
      </c>
    </row>
    <row r="2768" spans="1:23" x14ac:dyDescent="0.25">
      <c r="A2768" t="s">
        <v>2868</v>
      </c>
      <c r="B2768" s="1">
        <v>45858</v>
      </c>
      <c r="C2768" t="s">
        <v>2632</v>
      </c>
      <c r="D2768">
        <v>7</v>
      </c>
      <c r="E2768">
        <v>20</v>
      </c>
      <c r="F2768" t="s">
        <v>149</v>
      </c>
      <c r="G2768" t="s">
        <v>34</v>
      </c>
      <c r="H2768" t="s">
        <v>48</v>
      </c>
      <c r="I2768" t="s">
        <v>69</v>
      </c>
      <c r="J2768" t="s">
        <v>172</v>
      </c>
      <c r="K2768" t="s">
        <v>38</v>
      </c>
      <c r="L2768">
        <v>2</v>
      </c>
      <c r="M2768">
        <v>857</v>
      </c>
      <c r="N2768">
        <v>85.7</v>
      </c>
      <c r="O2768">
        <v>30</v>
      </c>
      <c r="P2768">
        <v>1714</v>
      </c>
      <c r="Q2768">
        <v>1658.3</v>
      </c>
      <c r="R2768" t="s">
        <v>39</v>
      </c>
      <c r="S2768" t="s">
        <v>31</v>
      </c>
      <c r="T2768" t="s">
        <v>40</v>
      </c>
      <c r="U2768">
        <v>39</v>
      </c>
      <c r="V2768">
        <v>3.9</v>
      </c>
      <c r="W2768">
        <f>Table2[[#This Row],[Quantity]]*Table2[[#This Row],[Item_Price]]</f>
        <v>1714</v>
      </c>
    </row>
    <row r="2769" spans="1:23" x14ac:dyDescent="0.25">
      <c r="A2769" t="s">
        <v>2869</v>
      </c>
      <c r="B2769" s="1">
        <v>45858</v>
      </c>
      <c r="C2769" t="s">
        <v>2632</v>
      </c>
      <c r="D2769">
        <v>7</v>
      </c>
      <c r="E2769">
        <v>20</v>
      </c>
      <c r="F2769" t="s">
        <v>149</v>
      </c>
      <c r="G2769" t="s">
        <v>80</v>
      </c>
      <c r="H2769" t="s">
        <v>77</v>
      </c>
      <c r="I2769" t="s">
        <v>85</v>
      </c>
      <c r="J2769" t="s">
        <v>70</v>
      </c>
      <c r="K2769" t="s">
        <v>38</v>
      </c>
      <c r="L2769">
        <v>1</v>
      </c>
      <c r="M2769">
        <v>531</v>
      </c>
      <c r="N2769">
        <v>106.2</v>
      </c>
      <c r="O2769">
        <v>20</v>
      </c>
      <c r="P2769">
        <v>531</v>
      </c>
      <c r="Q2769">
        <v>444.8</v>
      </c>
      <c r="R2769" t="s">
        <v>39</v>
      </c>
      <c r="S2769" t="s">
        <v>31</v>
      </c>
      <c r="T2769" t="s">
        <v>32</v>
      </c>
      <c r="U2769">
        <v>41</v>
      </c>
      <c r="V2769">
        <v>4</v>
      </c>
      <c r="W2769">
        <f>Table2[[#This Row],[Quantity]]*Table2[[#This Row],[Item_Price]]</f>
        <v>531</v>
      </c>
    </row>
    <row r="2770" spans="1:23" x14ac:dyDescent="0.25">
      <c r="A2770" t="s">
        <v>2870</v>
      </c>
      <c r="B2770" s="1">
        <v>45858</v>
      </c>
      <c r="C2770" t="s">
        <v>2632</v>
      </c>
      <c r="D2770">
        <v>7</v>
      </c>
      <c r="E2770">
        <v>20</v>
      </c>
      <c r="F2770" t="s">
        <v>149</v>
      </c>
      <c r="G2770" t="s">
        <v>80</v>
      </c>
      <c r="H2770" t="s">
        <v>81</v>
      </c>
      <c r="I2770" t="s">
        <v>103</v>
      </c>
      <c r="J2770" t="s">
        <v>53</v>
      </c>
      <c r="K2770" t="s">
        <v>29</v>
      </c>
      <c r="L2770">
        <v>1</v>
      </c>
      <c r="M2770">
        <v>698</v>
      </c>
      <c r="N2770">
        <v>104.7</v>
      </c>
      <c r="O2770">
        <v>60</v>
      </c>
      <c r="P2770">
        <v>698</v>
      </c>
      <c r="Q2770">
        <v>653.29999999999995</v>
      </c>
      <c r="R2770" t="s">
        <v>30</v>
      </c>
      <c r="S2770" t="s">
        <v>91</v>
      </c>
      <c r="T2770" t="s">
        <v>40</v>
      </c>
      <c r="U2770">
        <v>37</v>
      </c>
      <c r="W2770">
        <f>Table2[[#This Row],[Quantity]]*Table2[[#This Row],[Item_Price]]</f>
        <v>698</v>
      </c>
    </row>
    <row r="2771" spans="1:23" x14ac:dyDescent="0.25">
      <c r="A2771" t="s">
        <v>2871</v>
      </c>
      <c r="B2771" s="1">
        <v>45858</v>
      </c>
      <c r="C2771" t="s">
        <v>2632</v>
      </c>
      <c r="D2771">
        <v>7</v>
      </c>
      <c r="E2771">
        <v>20</v>
      </c>
      <c r="F2771" t="s">
        <v>149</v>
      </c>
      <c r="G2771" t="s">
        <v>64</v>
      </c>
      <c r="H2771" t="s">
        <v>68</v>
      </c>
      <c r="I2771" t="s">
        <v>61</v>
      </c>
      <c r="J2771" t="s">
        <v>44</v>
      </c>
      <c r="K2771" t="s">
        <v>45</v>
      </c>
      <c r="L2771">
        <v>1</v>
      </c>
      <c r="M2771">
        <v>226</v>
      </c>
      <c r="N2771">
        <v>22.6</v>
      </c>
      <c r="O2771">
        <v>60</v>
      </c>
      <c r="P2771">
        <v>226</v>
      </c>
      <c r="Q2771">
        <v>263.39999999999998</v>
      </c>
      <c r="R2771" t="s">
        <v>30</v>
      </c>
      <c r="S2771" t="s">
        <v>31</v>
      </c>
      <c r="T2771" t="s">
        <v>40</v>
      </c>
      <c r="U2771">
        <v>36</v>
      </c>
      <c r="V2771">
        <v>3.4</v>
      </c>
      <c r="W2771">
        <f>Table2[[#This Row],[Quantity]]*Table2[[#This Row],[Item_Price]]</f>
        <v>226</v>
      </c>
    </row>
    <row r="2772" spans="1:23" x14ac:dyDescent="0.25">
      <c r="A2772" t="s">
        <v>2872</v>
      </c>
      <c r="B2772" s="1">
        <v>45858</v>
      </c>
      <c r="C2772" t="s">
        <v>2632</v>
      </c>
      <c r="D2772">
        <v>7</v>
      </c>
      <c r="E2772">
        <v>20</v>
      </c>
      <c r="F2772" t="s">
        <v>149</v>
      </c>
      <c r="G2772" t="s">
        <v>73</v>
      </c>
      <c r="H2772" t="s">
        <v>135</v>
      </c>
      <c r="I2772" t="s">
        <v>103</v>
      </c>
      <c r="J2772" t="s">
        <v>44</v>
      </c>
      <c r="K2772" t="s">
        <v>38</v>
      </c>
      <c r="L2772">
        <v>2</v>
      </c>
      <c r="M2772">
        <v>715</v>
      </c>
      <c r="N2772">
        <v>71.5</v>
      </c>
      <c r="O2772">
        <v>60</v>
      </c>
      <c r="P2772">
        <v>1430</v>
      </c>
      <c r="Q2772">
        <v>1418.5</v>
      </c>
      <c r="R2772" t="s">
        <v>75</v>
      </c>
      <c r="S2772" t="s">
        <v>91</v>
      </c>
      <c r="T2772" t="s">
        <v>40</v>
      </c>
      <c r="U2772">
        <v>26</v>
      </c>
      <c r="W2772">
        <f>Table2[[#This Row],[Quantity]]*Table2[[#This Row],[Item_Price]]</f>
        <v>1430</v>
      </c>
    </row>
    <row r="2773" spans="1:23" x14ac:dyDescent="0.25">
      <c r="A2773" t="s">
        <v>2873</v>
      </c>
      <c r="B2773" s="1">
        <v>45858</v>
      </c>
      <c r="C2773" t="s">
        <v>2632</v>
      </c>
      <c r="D2773">
        <v>7</v>
      </c>
      <c r="E2773">
        <v>20</v>
      </c>
      <c r="F2773" t="s">
        <v>149</v>
      </c>
      <c r="G2773" t="s">
        <v>80</v>
      </c>
      <c r="H2773" t="s">
        <v>68</v>
      </c>
      <c r="I2773" t="s">
        <v>43</v>
      </c>
      <c r="J2773" t="s">
        <v>119</v>
      </c>
      <c r="K2773" t="s">
        <v>45</v>
      </c>
      <c r="L2773">
        <v>2</v>
      </c>
      <c r="M2773">
        <v>522</v>
      </c>
      <c r="N2773">
        <v>130.5</v>
      </c>
      <c r="O2773">
        <v>20</v>
      </c>
      <c r="P2773">
        <v>1044</v>
      </c>
      <c r="Q2773">
        <v>933.5</v>
      </c>
      <c r="R2773" t="s">
        <v>39</v>
      </c>
      <c r="S2773" t="s">
        <v>31</v>
      </c>
      <c r="T2773" t="s">
        <v>32</v>
      </c>
      <c r="U2773">
        <v>36</v>
      </c>
      <c r="V2773">
        <v>4.2</v>
      </c>
      <c r="W2773">
        <f>Table2[[#This Row],[Quantity]]*Table2[[#This Row],[Item_Price]]</f>
        <v>1044</v>
      </c>
    </row>
    <row r="2774" spans="1:23" x14ac:dyDescent="0.25">
      <c r="A2774" t="s">
        <v>2874</v>
      </c>
      <c r="B2774" s="1">
        <v>45858</v>
      </c>
      <c r="C2774" t="s">
        <v>2632</v>
      </c>
      <c r="D2774">
        <v>7</v>
      </c>
      <c r="E2774">
        <v>20</v>
      </c>
      <c r="F2774" t="s">
        <v>149</v>
      </c>
      <c r="G2774" t="s">
        <v>34</v>
      </c>
      <c r="H2774" t="s">
        <v>65</v>
      </c>
      <c r="I2774" t="s">
        <v>97</v>
      </c>
      <c r="J2774" t="s">
        <v>123</v>
      </c>
      <c r="K2774" t="s">
        <v>29</v>
      </c>
      <c r="L2774">
        <v>2</v>
      </c>
      <c r="M2774">
        <v>683</v>
      </c>
      <c r="N2774">
        <v>0</v>
      </c>
      <c r="O2774">
        <v>60</v>
      </c>
      <c r="P2774">
        <v>1366</v>
      </c>
      <c r="Q2774">
        <v>1426</v>
      </c>
      <c r="R2774" t="s">
        <v>30</v>
      </c>
      <c r="S2774" t="s">
        <v>31</v>
      </c>
      <c r="T2774" t="s">
        <v>32</v>
      </c>
      <c r="U2774">
        <v>37</v>
      </c>
      <c r="V2774">
        <v>4.3</v>
      </c>
      <c r="W2774">
        <f>Table2[[#This Row],[Quantity]]*Table2[[#This Row],[Item_Price]]</f>
        <v>1366</v>
      </c>
    </row>
    <row r="2775" spans="1:23" x14ac:dyDescent="0.25">
      <c r="A2775" t="s">
        <v>2875</v>
      </c>
      <c r="B2775" s="1">
        <v>45858</v>
      </c>
      <c r="C2775" t="s">
        <v>2632</v>
      </c>
      <c r="D2775">
        <v>7</v>
      </c>
      <c r="E2775">
        <v>20</v>
      </c>
      <c r="F2775" t="s">
        <v>149</v>
      </c>
      <c r="G2775" t="s">
        <v>64</v>
      </c>
      <c r="H2775" t="s">
        <v>68</v>
      </c>
      <c r="I2775" t="s">
        <v>49</v>
      </c>
      <c r="J2775" t="s">
        <v>119</v>
      </c>
      <c r="K2775" t="s">
        <v>45</v>
      </c>
      <c r="L2775">
        <v>2</v>
      </c>
      <c r="M2775">
        <v>402</v>
      </c>
      <c r="N2775">
        <v>40.200000000000003</v>
      </c>
      <c r="O2775">
        <v>30</v>
      </c>
      <c r="P2775">
        <v>804</v>
      </c>
      <c r="Q2775">
        <v>793.8</v>
      </c>
      <c r="R2775" t="s">
        <v>39</v>
      </c>
      <c r="S2775" t="s">
        <v>31</v>
      </c>
      <c r="T2775" t="s">
        <v>32</v>
      </c>
      <c r="U2775">
        <v>47</v>
      </c>
      <c r="V2775">
        <v>3.1</v>
      </c>
      <c r="W2775">
        <f>Table2[[#This Row],[Quantity]]*Table2[[#This Row],[Item_Price]]</f>
        <v>804</v>
      </c>
    </row>
    <row r="2776" spans="1:23" x14ac:dyDescent="0.25">
      <c r="A2776" t="s">
        <v>2876</v>
      </c>
      <c r="B2776" s="1">
        <v>45858</v>
      </c>
      <c r="C2776" t="s">
        <v>2632</v>
      </c>
      <c r="D2776">
        <v>7</v>
      </c>
      <c r="E2776">
        <v>20</v>
      </c>
      <c r="F2776" t="s">
        <v>149</v>
      </c>
      <c r="G2776" t="s">
        <v>73</v>
      </c>
      <c r="H2776" t="s">
        <v>60</v>
      </c>
      <c r="I2776" t="s">
        <v>85</v>
      </c>
      <c r="J2776" t="s">
        <v>62</v>
      </c>
      <c r="K2776" t="s">
        <v>58</v>
      </c>
      <c r="L2776">
        <v>1</v>
      </c>
      <c r="M2776">
        <v>493</v>
      </c>
      <c r="N2776">
        <v>73.95</v>
      </c>
      <c r="O2776">
        <v>40</v>
      </c>
      <c r="P2776">
        <v>493</v>
      </c>
      <c r="Q2776">
        <v>459.05</v>
      </c>
      <c r="R2776" t="s">
        <v>39</v>
      </c>
      <c r="S2776" t="s">
        <v>31</v>
      </c>
      <c r="T2776" t="s">
        <v>32</v>
      </c>
      <c r="U2776">
        <v>53</v>
      </c>
      <c r="V2776">
        <v>3.8</v>
      </c>
      <c r="W2776">
        <f>Table2[[#This Row],[Quantity]]*Table2[[#This Row],[Item_Price]]</f>
        <v>493</v>
      </c>
    </row>
    <row r="2777" spans="1:23" x14ac:dyDescent="0.25">
      <c r="A2777" t="s">
        <v>2877</v>
      </c>
      <c r="B2777" s="1">
        <v>45858</v>
      </c>
      <c r="C2777" t="s">
        <v>2632</v>
      </c>
      <c r="D2777">
        <v>7</v>
      </c>
      <c r="E2777">
        <v>20</v>
      </c>
      <c r="F2777" t="s">
        <v>149</v>
      </c>
      <c r="G2777" t="s">
        <v>115</v>
      </c>
      <c r="H2777" t="s">
        <v>42</v>
      </c>
      <c r="I2777" t="s">
        <v>36</v>
      </c>
      <c r="J2777" t="s">
        <v>74</v>
      </c>
      <c r="K2777" t="s">
        <v>58</v>
      </c>
      <c r="L2777">
        <v>1</v>
      </c>
      <c r="M2777">
        <v>146</v>
      </c>
      <c r="N2777">
        <v>29.2</v>
      </c>
      <c r="O2777">
        <v>0</v>
      </c>
      <c r="P2777">
        <v>146</v>
      </c>
      <c r="Q2777">
        <v>116.8</v>
      </c>
      <c r="R2777" t="s">
        <v>98</v>
      </c>
      <c r="S2777" t="s">
        <v>110</v>
      </c>
      <c r="T2777" t="s">
        <v>32</v>
      </c>
      <c r="U2777">
        <v>62</v>
      </c>
      <c r="W2777">
        <f>Table2[[#This Row],[Quantity]]*Table2[[#This Row],[Item_Price]]</f>
        <v>146</v>
      </c>
    </row>
    <row r="2778" spans="1:23" x14ac:dyDescent="0.25">
      <c r="A2778" t="s">
        <v>2878</v>
      </c>
      <c r="B2778" s="1">
        <v>45858</v>
      </c>
      <c r="C2778" t="s">
        <v>2632</v>
      </c>
      <c r="D2778">
        <v>7</v>
      </c>
      <c r="E2778">
        <v>20</v>
      </c>
      <c r="F2778" t="s">
        <v>149</v>
      </c>
      <c r="G2778" t="s">
        <v>64</v>
      </c>
      <c r="H2778" t="s">
        <v>26</v>
      </c>
      <c r="I2778" t="s">
        <v>97</v>
      </c>
      <c r="J2778" t="s">
        <v>82</v>
      </c>
      <c r="K2778" t="s">
        <v>45</v>
      </c>
      <c r="L2778">
        <v>1</v>
      </c>
      <c r="M2778">
        <v>893</v>
      </c>
      <c r="N2778">
        <v>44.65</v>
      </c>
      <c r="O2778">
        <v>40</v>
      </c>
      <c r="P2778">
        <v>893</v>
      </c>
      <c r="Q2778">
        <v>888.35</v>
      </c>
      <c r="R2778" t="s">
        <v>39</v>
      </c>
      <c r="S2778" t="s">
        <v>31</v>
      </c>
      <c r="T2778" t="s">
        <v>40</v>
      </c>
      <c r="U2778">
        <v>18</v>
      </c>
      <c r="V2778">
        <v>3.8</v>
      </c>
      <c r="W2778">
        <f>Table2[[#This Row],[Quantity]]*Table2[[#This Row],[Item_Price]]</f>
        <v>893</v>
      </c>
    </row>
    <row r="2779" spans="1:23" x14ac:dyDescent="0.25">
      <c r="A2779" t="s">
        <v>2879</v>
      </c>
      <c r="B2779" s="1">
        <v>45859</v>
      </c>
      <c r="C2779" t="s">
        <v>2632</v>
      </c>
      <c r="D2779">
        <v>7</v>
      </c>
      <c r="E2779">
        <v>21</v>
      </c>
      <c r="F2779" t="s">
        <v>168</v>
      </c>
      <c r="G2779" t="s">
        <v>25</v>
      </c>
      <c r="H2779" t="s">
        <v>77</v>
      </c>
      <c r="I2779" t="s">
        <v>61</v>
      </c>
      <c r="J2779" t="s">
        <v>66</v>
      </c>
      <c r="K2779" t="s">
        <v>38</v>
      </c>
      <c r="L2779">
        <v>1</v>
      </c>
      <c r="M2779">
        <v>505</v>
      </c>
      <c r="N2779">
        <v>75.75</v>
      </c>
      <c r="O2779">
        <v>40</v>
      </c>
      <c r="P2779">
        <v>505</v>
      </c>
      <c r="Q2779">
        <v>469.25</v>
      </c>
      <c r="R2779" t="s">
        <v>75</v>
      </c>
      <c r="S2779" t="s">
        <v>31</v>
      </c>
      <c r="T2779" t="s">
        <v>32</v>
      </c>
      <c r="U2779">
        <v>50</v>
      </c>
      <c r="V2779">
        <v>5</v>
      </c>
      <c r="W2779">
        <f>Table2[[#This Row],[Quantity]]*Table2[[#This Row],[Item_Price]]</f>
        <v>505</v>
      </c>
    </row>
    <row r="2780" spans="1:23" x14ac:dyDescent="0.25">
      <c r="A2780" t="s">
        <v>2880</v>
      </c>
      <c r="B2780" s="1">
        <v>45859</v>
      </c>
      <c r="C2780" t="s">
        <v>2632</v>
      </c>
      <c r="D2780">
        <v>7</v>
      </c>
      <c r="E2780">
        <v>21</v>
      </c>
      <c r="F2780" t="s">
        <v>168</v>
      </c>
      <c r="G2780" t="s">
        <v>80</v>
      </c>
      <c r="H2780" t="s">
        <v>68</v>
      </c>
      <c r="I2780" t="s">
        <v>49</v>
      </c>
      <c r="J2780" t="s">
        <v>82</v>
      </c>
      <c r="K2780" t="s">
        <v>45</v>
      </c>
      <c r="L2780">
        <v>2</v>
      </c>
      <c r="M2780">
        <v>223</v>
      </c>
      <c r="N2780">
        <v>22.3</v>
      </c>
      <c r="O2780">
        <v>0</v>
      </c>
      <c r="P2780">
        <v>446</v>
      </c>
      <c r="Q2780">
        <v>423.7</v>
      </c>
      <c r="R2780" t="s">
        <v>112</v>
      </c>
      <c r="S2780" t="s">
        <v>31</v>
      </c>
      <c r="T2780" t="s">
        <v>32</v>
      </c>
      <c r="U2780">
        <v>28</v>
      </c>
      <c r="V2780">
        <v>5</v>
      </c>
      <c r="W2780">
        <f>Table2[[#This Row],[Quantity]]*Table2[[#This Row],[Item_Price]]</f>
        <v>446</v>
      </c>
    </row>
    <row r="2781" spans="1:23" x14ac:dyDescent="0.25">
      <c r="A2781" t="s">
        <v>2881</v>
      </c>
      <c r="B2781" s="1">
        <v>45859</v>
      </c>
      <c r="C2781" t="s">
        <v>2632</v>
      </c>
      <c r="D2781">
        <v>7</v>
      </c>
      <c r="E2781">
        <v>21</v>
      </c>
      <c r="F2781" t="s">
        <v>168</v>
      </c>
      <c r="G2781" t="s">
        <v>84</v>
      </c>
      <c r="H2781" t="s">
        <v>35</v>
      </c>
      <c r="I2781" t="s">
        <v>36</v>
      </c>
      <c r="J2781" t="s">
        <v>66</v>
      </c>
      <c r="K2781" t="s">
        <v>38</v>
      </c>
      <c r="L2781">
        <v>3</v>
      </c>
      <c r="M2781">
        <v>853</v>
      </c>
      <c r="N2781">
        <v>127.95</v>
      </c>
      <c r="O2781">
        <v>30</v>
      </c>
      <c r="P2781">
        <v>2559</v>
      </c>
      <c r="Q2781">
        <v>2461.0500000000002</v>
      </c>
      <c r="R2781" t="s">
        <v>39</v>
      </c>
      <c r="S2781" t="s">
        <v>91</v>
      </c>
      <c r="T2781" t="s">
        <v>32</v>
      </c>
      <c r="U2781">
        <v>61</v>
      </c>
      <c r="W2781">
        <f>Table2[[#This Row],[Quantity]]*Table2[[#This Row],[Item_Price]]</f>
        <v>2559</v>
      </c>
    </row>
    <row r="2782" spans="1:23" x14ac:dyDescent="0.25">
      <c r="A2782" t="s">
        <v>2882</v>
      </c>
      <c r="B2782" s="1">
        <v>45859</v>
      </c>
      <c r="C2782" t="s">
        <v>2632</v>
      </c>
      <c r="D2782">
        <v>7</v>
      </c>
      <c r="E2782">
        <v>21</v>
      </c>
      <c r="F2782" t="s">
        <v>168</v>
      </c>
      <c r="G2782" t="s">
        <v>25</v>
      </c>
      <c r="H2782" t="s">
        <v>52</v>
      </c>
      <c r="I2782" t="s">
        <v>36</v>
      </c>
      <c r="J2782" t="s">
        <v>123</v>
      </c>
      <c r="K2782" t="s">
        <v>38</v>
      </c>
      <c r="L2782">
        <v>2</v>
      </c>
      <c r="M2782">
        <v>495</v>
      </c>
      <c r="N2782">
        <v>123.75</v>
      </c>
      <c r="O2782">
        <v>30</v>
      </c>
      <c r="P2782">
        <v>990</v>
      </c>
      <c r="Q2782">
        <v>896.25</v>
      </c>
      <c r="R2782" t="s">
        <v>39</v>
      </c>
      <c r="S2782" t="s">
        <v>31</v>
      </c>
      <c r="T2782" t="s">
        <v>40</v>
      </c>
      <c r="U2782">
        <v>26</v>
      </c>
      <c r="V2782">
        <v>4.9000000000000004</v>
      </c>
      <c r="W2782">
        <f>Table2[[#This Row],[Quantity]]*Table2[[#This Row],[Item_Price]]</f>
        <v>990</v>
      </c>
    </row>
    <row r="2783" spans="1:23" x14ac:dyDescent="0.25">
      <c r="A2783" t="s">
        <v>2883</v>
      </c>
      <c r="B2783" s="1">
        <v>45859</v>
      </c>
      <c r="C2783" t="s">
        <v>2632</v>
      </c>
      <c r="D2783">
        <v>7</v>
      </c>
      <c r="E2783">
        <v>21</v>
      </c>
      <c r="F2783" t="s">
        <v>168</v>
      </c>
      <c r="G2783" t="s">
        <v>80</v>
      </c>
      <c r="H2783" t="s">
        <v>81</v>
      </c>
      <c r="I2783" t="s">
        <v>57</v>
      </c>
      <c r="J2783" t="s">
        <v>70</v>
      </c>
      <c r="K2783" t="s">
        <v>38</v>
      </c>
      <c r="L2783">
        <v>2</v>
      </c>
      <c r="M2783">
        <v>435</v>
      </c>
      <c r="N2783">
        <v>21.75</v>
      </c>
      <c r="O2783">
        <v>20</v>
      </c>
      <c r="P2783">
        <v>870</v>
      </c>
      <c r="Q2783">
        <v>868.25</v>
      </c>
      <c r="R2783" t="s">
        <v>39</v>
      </c>
      <c r="S2783" t="s">
        <v>31</v>
      </c>
      <c r="T2783" t="s">
        <v>40</v>
      </c>
      <c r="U2783">
        <v>43</v>
      </c>
      <c r="V2783">
        <v>4.8</v>
      </c>
      <c r="W2783">
        <f>Table2[[#This Row],[Quantity]]*Table2[[#This Row],[Item_Price]]</f>
        <v>870</v>
      </c>
    </row>
    <row r="2784" spans="1:23" x14ac:dyDescent="0.25">
      <c r="A2784" t="s">
        <v>2884</v>
      </c>
      <c r="B2784" s="1">
        <v>45859</v>
      </c>
      <c r="C2784" t="s">
        <v>2632</v>
      </c>
      <c r="D2784">
        <v>7</v>
      </c>
      <c r="E2784">
        <v>21</v>
      </c>
      <c r="F2784" t="s">
        <v>168</v>
      </c>
      <c r="G2784" t="s">
        <v>80</v>
      </c>
      <c r="H2784" t="s">
        <v>48</v>
      </c>
      <c r="I2784" t="s">
        <v>43</v>
      </c>
      <c r="J2784" t="s">
        <v>78</v>
      </c>
      <c r="K2784" t="s">
        <v>38</v>
      </c>
      <c r="L2784">
        <v>1</v>
      </c>
      <c r="M2784">
        <v>637</v>
      </c>
      <c r="N2784">
        <v>31.85</v>
      </c>
      <c r="O2784">
        <v>20</v>
      </c>
      <c r="P2784">
        <v>637</v>
      </c>
      <c r="Q2784">
        <v>625.15</v>
      </c>
      <c r="R2784" t="s">
        <v>112</v>
      </c>
      <c r="S2784" t="s">
        <v>31</v>
      </c>
      <c r="T2784" t="s">
        <v>40</v>
      </c>
      <c r="U2784">
        <v>38</v>
      </c>
      <c r="V2784">
        <v>4.2</v>
      </c>
      <c r="W2784">
        <f>Table2[[#This Row],[Quantity]]*Table2[[#This Row],[Item_Price]]</f>
        <v>637</v>
      </c>
    </row>
    <row r="2785" spans="1:23" x14ac:dyDescent="0.25">
      <c r="A2785" t="s">
        <v>2885</v>
      </c>
      <c r="B2785" s="1">
        <v>45859</v>
      </c>
      <c r="C2785" t="s">
        <v>2632</v>
      </c>
      <c r="D2785">
        <v>7</v>
      </c>
      <c r="E2785">
        <v>21</v>
      </c>
      <c r="F2785" t="s">
        <v>168</v>
      </c>
      <c r="G2785" t="s">
        <v>84</v>
      </c>
      <c r="H2785" t="s">
        <v>77</v>
      </c>
      <c r="I2785" t="s">
        <v>36</v>
      </c>
      <c r="J2785" t="s">
        <v>172</v>
      </c>
      <c r="K2785" t="s">
        <v>38</v>
      </c>
      <c r="L2785">
        <v>1</v>
      </c>
      <c r="M2785">
        <v>355</v>
      </c>
      <c r="N2785">
        <v>71</v>
      </c>
      <c r="O2785">
        <v>30</v>
      </c>
      <c r="P2785">
        <v>355</v>
      </c>
      <c r="Q2785">
        <v>314</v>
      </c>
      <c r="R2785" t="s">
        <v>98</v>
      </c>
      <c r="S2785" t="s">
        <v>31</v>
      </c>
      <c r="T2785" t="s">
        <v>40</v>
      </c>
      <c r="U2785">
        <v>67</v>
      </c>
      <c r="V2785">
        <v>3.4</v>
      </c>
      <c r="W2785">
        <f>Table2[[#This Row],[Quantity]]*Table2[[#This Row],[Item_Price]]</f>
        <v>355</v>
      </c>
    </row>
    <row r="2786" spans="1:23" x14ac:dyDescent="0.25">
      <c r="A2786" t="s">
        <v>2886</v>
      </c>
      <c r="B2786" s="1">
        <v>45859</v>
      </c>
      <c r="C2786" t="s">
        <v>2632</v>
      </c>
      <c r="D2786">
        <v>7</v>
      </c>
      <c r="E2786">
        <v>21</v>
      </c>
      <c r="F2786" t="s">
        <v>168</v>
      </c>
      <c r="G2786" t="s">
        <v>34</v>
      </c>
      <c r="H2786" t="s">
        <v>35</v>
      </c>
      <c r="I2786" t="s">
        <v>27</v>
      </c>
      <c r="J2786" t="s">
        <v>70</v>
      </c>
      <c r="K2786" t="s">
        <v>38</v>
      </c>
      <c r="L2786">
        <v>2</v>
      </c>
      <c r="M2786">
        <v>416</v>
      </c>
      <c r="N2786">
        <v>41.6</v>
      </c>
      <c r="O2786">
        <v>70</v>
      </c>
      <c r="P2786">
        <v>832</v>
      </c>
      <c r="Q2786">
        <v>860.4</v>
      </c>
      <c r="R2786" t="s">
        <v>39</v>
      </c>
      <c r="S2786" t="s">
        <v>31</v>
      </c>
      <c r="T2786" t="s">
        <v>40</v>
      </c>
      <c r="U2786">
        <v>60</v>
      </c>
      <c r="V2786">
        <v>3.9</v>
      </c>
      <c r="W2786">
        <f>Table2[[#This Row],[Quantity]]*Table2[[#This Row],[Item_Price]]</f>
        <v>832</v>
      </c>
    </row>
    <row r="2787" spans="1:23" x14ac:dyDescent="0.25">
      <c r="A2787" t="s">
        <v>2887</v>
      </c>
      <c r="B2787" s="1">
        <v>45859</v>
      </c>
      <c r="C2787" t="s">
        <v>2632</v>
      </c>
      <c r="D2787">
        <v>7</v>
      </c>
      <c r="E2787">
        <v>21</v>
      </c>
      <c r="F2787" t="s">
        <v>168</v>
      </c>
      <c r="G2787" t="s">
        <v>55</v>
      </c>
      <c r="H2787" t="s">
        <v>135</v>
      </c>
      <c r="I2787" t="s">
        <v>43</v>
      </c>
      <c r="J2787" t="s">
        <v>70</v>
      </c>
      <c r="K2787" t="s">
        <v>38</v>
      </c>
      <c r="L2787">
        <v>2</v>
      </c>
      <c r="M2787">
        <v>848</v>
      </c>
      <c r="N2787">
        <v>84.8</v>
      </c>
      <c r="O2787">
        <v>0</v>
      </c>
      <c r="P2787">
        <v>1696</v>
      </c>
      <c r="Q2787">
        <v>1611.2</v>
      </c>
      <c r="R2787" t="s">
        <v>39</v>
      </c>
      <c r="S2787" t="s">
        <v>110</v>
      </c>
      <c r="T2787" t="s">
        <v>40</v>
      </c>
      <c r="U2787">
        <v>54</v>
      </c>
      <c r="W2787">
        <f>Table2[[#This Row],[Quantity]]*Table2[[#This Row],[Item_Price]]</f>
        <v>1696</v>
      </c>
    </row>
    <row r="2788" spans="1:23" x14ac:dyDescent="0.25">
      <c r="A2788" t="s">
        <v>2888</v>
      </c>
      <c r="B2788" s="1">
        <v>45859</v>
      </c>
      <c r="C2788" t="s">
        <v>2632</v>
      </c>
      <c r="D2788">
        <v>7</v>
      </c>
      <c r="E2788">
        <v>21</v>
      </c>
      <c r="F2788" t="s">
        <v>168</v>
      </c>
      <c r="G2788" t="s">
        <v>73</v>
      </c>
      <c r="H2788" t="s">
        <v>48</v>
      </c>
      <c r="I2788" t="s">
        <v>36</v>
      </c>
      <c r="J2788" t="s">
        <v>50</v>
      </c>
      <c r="K2788" t="s">
        <v>38</v>
      </c>
      <c r="L2788">
        <v>1</v>
      </c>
      <c r="M2788">
        <v>680</v>
      </c>
      <c r="N2788">
        <v>0</v>
      </c>
      <c r="O2788">
        <v>70</v>
      </c>
      <c r="P2788">
        <v>680</v>
      </c>
      <c r="Q2788">
        <v>750</v>
      </c>
      <c r="R2788" t="s">
        <v>39</v>
      </c>
      <c r="S2788" t="s">
        <v>31</v>
      </c>
      <c r="T2788" t="s">
        <v>32</v>
      </c>
      <c r="U2788">
        <v>37</v>
      </c>
      <c r="V2788">
        <v>4.3</v>
      </c>
      <c r="W2788">
        <f>Table2[[#This Row],[Quantity]]*Table2[[#This Row],[Item_Price]]</f>
        <v>680</v>
      </c>
    </row>
    <row r="2789" spans="1:23" x14ac:dyDescent="0.25">
      <c r="A2789" t="s">
        <v>2889</v>
      </c>
      <c r="B2789" s="1">
        <v>45859</v>
      </c>
      <c r="C2789" t="s">
        <v>2632</v>
      </c>
      <c r="D2789">
        <v>7</v>
      </c>
      <c r="E2789">
        <v>21</v>
      </c>
      <c r="F2789" t="s">
        <v>168</v>
      </c>
      <c r="G2789" t="s">
        <v>64</v>
      </c>
      <c r="H2789" t="s">
        <v>60</v>
      </c>
      <c r="I2789" t="s">
        <v>36</v>
      </c>
      <c r="J2789" t="s">
        <v>53</v>
      </c>
      <c r="K2789" t="s">
        <v>38</v>
      </c>
      <c r="L2789">
        <v>1</v>
      </c>
      <c r="M2789">
        <v>222</v>
      </c>
      <c r="N2789">
        <v>55.5</v>
      </c>
      <c r="O2789">
        <v>30</v>
      </c>
      <c r="P2789">
        <v>222</v>
      </c>
      <c r="Q2789">
        <v>196.5</v>
      </c>
      <c r="R2789" t="s">
        <v>39</v>
      </c>
      <c r="S2789" t="s">
        <v>31</v>
      </c>
      <c r="T2789" t="s">
        <v>40</v>
      </c>
      <c r="U2789">
        <v>33</v>
      </c>
      <c r="V2789">
        <v>4.4000000000000004</v>
      </c>
      <c r="W2789">
        <f>Table2[[#This Row],[Quantity]]*Table2[[#This Row],[Item_Price]]</f>
        <v>222</v>
      </c>
    </row>
    <row r="2790" spans="1:23" x14ac:dyDescent="0.25">
      <c r="A2790" t="s">
        <v>2890</v>
      </c>
      <c r="B2790" s="1">
        <v>45859</v>
      </c>
      <c r="C2790" t="s">
        <v>2632</v>
      </c>
      <c r="D2790">
        <v>7</v>
      </c>
      <c r="E2790">
        <v>21</v>
      </c>
      <c r="F2790" t="s">
        <v>168</v>
      </c>
      <c r="G2790" t="s">
        <v>64</v>
      </c>
      <c r="H2790" t="s">
        <v>56</v>
      </c>
      <c r="I2790" t="s">
        <v>103</v>
      </c>
      <c r="J2790" t="s">
        <v>28</v>
      </c>
      <c r="K2790" t="s">
        <v>38</v>
      </c>
      <c r="L2790">
        <v>2</v>
      </c>
      <c r="M2790">
        <v>688</v>
      </c>
      <c r="N2790">
        <v>68.8</v>
      </c>
      <c r="O2790">
        <v>30</v>
      </c>
      <c r="P2790">
        <v>1376</v>
      </c>
      <c r="Q2790">
        <v>1337.2</v>
      </c>
      <c r="R2790" t="s">
        <v>75</v>
      </c>
      <c r="S2790" t="s">
        <v>31</v>
      </c>
      <c r="T2790" t="s">
        <v>32</v>
      </c>
      <c r="U2790">
        <v>30</v>
      </c>
      <c r="V2790">
        <v>3.5</v>
      </c>
      <c r="W2790">
        <f>Table2[[#This Row],[Quantity]]*Table2[[#This Row],[Item_Price]]</f>
        <v>1376</v>
      </c>
    </row>
    <row r="2791" spans="1:23" x14ac:dyDescent="0.25">
      <c r="A2791" t="s">
        <v>2891</v>
      </c>
      <c r="B2791" s="1">
        <v>45859</v>
      </c>
      <c r="C2791" t="s">
        <v>2632</v>
      </c>
      <c r="D2791">
        <v>7</v>
      </c>
      <c r="E2791">
        <v>21</v>
      </c>
      <c r="F2791" t="s">
        <v>168</v>
      </c>
      <c r="G2791" t="s">
        <v>55</v>
      </c>
      <c r="H2791" t="s">
        <v>65</v>
      </c>
      <c r="I2791" t="s">
        <v>61</v>
      </c>
      <c r="J2791" t="s">
        <v>172</v>
      </c>
      <c r="K2791" t="s">
        <v>38</v>
      </c>
      <c r="L2791">
        <v>2</v>
      </c>
      <c r="M2791">
        <v>448</v>
      </c>
      <c r="N2791">
        <v>0</v>
      </c>
      <c r="O2791">
        <v>40</v>
      </c>
      <c r="P2791">
        <v>896</v>
      </c>
      <c r="Q2791">
        <v>936</v>
      </c>
      <c r="R2791" t="s">
        <v>98</v>
      </c>
      <c r="S2791" t="s">
        <v>31</v>
      </c>
      <c r="T2791" t="s">
        <v>32</v>
      </c>
      <c r="U2791">
        <v>42</v>
      </c>
      <c r="V2791">
        <v>4.9000000000000004</v>
      </c>
      <c r="W2791">
        <f>Table2[[#This Row],[Quantity]]*Table2[[#This Row],[Item_Price]]</f>
        <v>896</v>
      </c>
    </row>
    <row r="2792" spans="1:23" x14ac:dyDescent="0.25">
      <c r="A2792" t="s">
        <v>2892</v>
      </c>
      <c r="B2792" s="1">
        <v>45859</v>
      </c>
      <c r="C2792" t="s">
        <v>2632</v>
      </c>
      <c r="D2792">
        <v>7</v>
      </c>
      <c r="E2792">
        <v>21</v>
      </c>
      <c r="F2792" t="s">
        <v>168</v>
      </c>
      <c r="G2792" t="s">
        <v>34</v>
      </c>
      <c r="H2792" t="s">
        <v>48</v>
      </c>
      <c r="I2792" t="s">
        <v>97</v>
      </c>
      <c r="J2792" t="s">
        <v>37</v>
      </c>
      <c r="K2792" t="s">
        <v>38</v>
      </c>
      <c r="L2792">
        <v>2</v>
      </c>
      <c r="M2792">
        <v>739</v>
      </c>
      <c r="N2792">
        <v>147.80000000000001</v>
      </c>
      <c r="O2792">
        <v>50</v>
      </c>
      <c r="P2792">
        <v>1478</v>
      </c>
      <c r="Q2792">
        <v>1380.2</v>
      </c>
      <c r="R2792" t="s">
        <v>30</v>
      </c>
      <c r="S2792" t="s">
        <v>91</v>
      </c>
      <c r="T2792" t="s">
        <v>32</v>
      </c>
      <c r="U2792">
        <v>29</v>
      </c>
      <c r="W2792">
        <f>Table2[[#This Row],[Quantity]]*Table2[[#This Row],[Item_Price]]</f>
        <v>1478</v>
      </c>
    </row>
    <row r="2793" spans="1:23" x14ac:dyDescent="0.25">
      <c r="A2793" t="s">
        <v>2893</v>
      </c>
      <c r="B2793" s="1">
        <v>45859</v>
      </c>
      <c r="C2793" t="s">
        <v>2632</v>
      </c>
      <c r="D2793">
        <v>7</v>
      </c>
      <c r="E2793">
        <v>21</v>
      </c>
      <c r="F2793" t="s">
        <v>168</v>
      </c>
      <c r="G2793" t="s">
        <v>25</v>
      </c>
      <c r="H2793" t="s">
        <v>60</v>
      </c>
      <c r="I2793" t="s">
        <v>69</v>
      </c>
      <c r="J2793" t="s">
        <v>172</v>
      </c>
      <c r="K2793" t="s">
        <v>45</v>
      </c>
      <c r="L2793">
        <v>1</v>
      </c>
      <c r="M2793">
        <v>604</v>
      </c>
      <c r="N2793">
        <v>120.8</v>
      </c>
      <c r="O2793">
        <v>30</v>
      </c>
      <c r="P2793">
        <v>604</v>
      </c>
      <c r="Q2793">
        <v>513.20000000000005</v>
      </c>
      <c r="R2793" t="s">
        <v>112</v>
      </c>
      <c r="S2793" t="s">
        <v>31</v>
      </c>
      <c r="T2793" t="s">
        <v>40</v>
      </c>
      <c r="U2793">
        <v>66</v>
      </c>
      <c r="V2793">
        <v>2.4</v>
      </c>
      <c r="W2793">
        <f>Table2[[#This Row],[Quantity]]*Table2[[#This Row],[Item_Price]]</f>
        <v>604</v>
      </c>
    </row>
    <row r="2794" spans="1:23" x14ac:dyDescent="0.25">
      <c r="A2794" t="s">
        <v>2894</v>
      </c>
      <c r="B2794" s="1">
        <v>45859</v>
      </c>
      <c r="C2794" t="s">
        <v>2632</v>
      </c>
      <c r="D2794">
        <v>7</v>
      </c>
      <c r="E2794">
        <v>21</v>
      </c>
      <c r="F2794" t="s">
        <v>168</v>
      </c>
      <c r="G2794" t="s">
        <v>25</v>
      </c>
      <c r="H2794" t="s">
        <v>26</v>
      </c>
      <c r="I2794" t="s">
        <v>97</v>
      </c>
      <c r="J2794" t="s">
        <v>119</v>
      </c>
      <c r="K2794" t="s">
        <v>38</v>
      </c>
      <c r="L2794">
        <v>2</v>
      </c>
      <c r="M2794">
        <v>818</v>
      </c>
      <c r="N2794">
        <v>0</v>
      </c>
      <c r="O2794">
        <v>20</v>
      </c>
      <c r="P2794">
        <v>1636</v>
      </c>
      <c r="Q2794">
        <v>1656</v>
      </c>
      <c r="R2794" t="s">
        <v>39</v>
      </c>
      <c r="S2794" t="s">
        <v>91</v>
      </c>
      <c r="T2794" t="s">
        <v>32</v>
      </c>
      <c r="U2794">
        <v>24</v>
      </c>
      <c r="W2794">
        <f>Table2[[#This Row],[Quantity]]*Table2[[#This Row],[Item_Price]]</f>
        <v>1636</v>
      </c>
    </row>
    <row r="2795" spans="1:23" x14ac:dyDescent="0.25">
      <c r="A2795" t="s">
        <v>2895</v>
      </c>
      <c r="B2795" s="1">
        <v>45859</v>
      </c>
      <c r="C2795" t="s">
        <v>2632</v>
      </c>
      <c r="D2795">
        <v>7</v>
      </c>
      <c r="E2795">
        <v>21</v>
      </c>
      <c r="F2795" t="s">
        <v>168</v>
      </c>
      <c r="G2795" t="s">
        <v>80</v>
      </c>
      <c r="H2795" t="s">
        <v>52</v>
      </c>
      <c r="I2795" t="s">
        <v>36</v>
      </c>
      <c r="J2795" t="s">
        <v>66</v>
      </c>
      <c r="K2795" t="s">
        <v>29</v>
      </c>
      <c r="L2795">
        <v>2</v>
      </c>
      <c r="M2795">
        <v>810</v>
      </c>
      <c r="N2795">
        <v>202.5</v>
      </c>
      <c r="O2795">
        <v>20</v>
      </c>
      <c r="P2795">
        <v>1620</v>
      </c>
      <c r="Q2795">
        <v>1437.5</v>
      </c>
      <c r="R2795" t="s">
        <v>39</v>
      </c>
      <c r="S2795" t="s">
        <v>31</v>
      </c>
      <c r="T2795" t="s">
        <v>40</v>
      </c>
      <c r="U2795">
        <v>23</v>
      </c>
      <c r="V2795">
        <v>4.4000000000000004</v>
      </c>
      <c r="W2795">
        <f>Table2[[#This Row],[Quantity]]*Table2[[#This Row],[Item_Price]]</f>
        <v>1620</v>
      </c>
    </row>
    <row r="2796" spans="1:23" x14ac:dyDescent="0.25">
      <c r="A2796" t="s">
        <v>2896</v>
      </c>
      <c r="B2796" s="1">
        <v>45860</v>
      </c>
      <c r="C2796" t="s">
        <v>2632</v>
      </c>
      <c r="D2796">
        <v>7</v>
      </c>
      <c r="E2796">
        <v>22</v>
      </c>
      <c r="F2796" t="s">
        <v>178</v>
      </c>
      <c r="G2796" t="s">
        <v>64</v>
      </c>
      <c r="H2796" t="s">
        <v>135</v>
      </c>
      <c r="I2796" t="s">
        <v>49</v>
      </c>
      <c r="J2796" t="s">
        <v>70</v>
      </c>
      <c r="K2796" t="s">
        <v>38</v>
      </c>
      <c r="L2796">
        <v>2</v>
      </c>
      <c r="M2796">
        <v>454</v>
      </c>
      <c r="N2796">
        <v>113.5</v>
      </c>
      <c r="O2796">
        <v>60</v>
      </c>
      <c r="P2796">
        <v>908</v>
      </c>
      <c r="Q2796">
        <v>854.5</v>
      </c>
      <c r="R2796" t="s">
        <v>39</v>
      </c>
      <c r="S2796" t="s">
        <v>31</v>
      </c>
      <c r="T2796" t="s">
        <v>40</v>
      </c>
      <c r="U2796">
        <v>58</v>
      </c>
      <c r="V2796">
        <v>4.0999999999999996</v>
      </c>
      <c r="W2796">
        <f>Table2[[#This Row],[Quantity]]*Table2[[#This Row],[Item_Price]]</f>
        <v>908</v>
      </c>
    </row>
    <row r="2797" spans="1:23" x14ac:dyDescent="0.25">
      <c r="A2797" t="s">
        <v>2897</v>
      </c>
      <c r="B2797" s="1">
        <v>45860</v>
      </c>
      <c r="C2797" t="s">
        <v>2632</v>
      </c>
      <c r="D2797">
        <v>7</v>
      </c>
      <c r="E2797">
        <v>22</v>
      </c>
      <c r="F2797" t="s">
        <v>178</v>
      </c>
      <c r="G2797" t="s">
        <v>34</v>
      </c>
      <c r="H2797" t="s">
        <v>77</v>
      </c>
      <c r="I2797" t="s">
        <v>85</v>
      </c>
      <c r="J2797" t="s">
        <v>50</v>
      </c>
      <c r="K2797" t="s">
        <v>38</v>
      </c>
      <c r="L2797">
        <v>2</v>
      </c>
      <c r="M2797">
        <v>741</v>
      </c>
      <c r="N2797">
        <v>74.099999999999994</v>
      </c>
      <c r="O2797">
        <v>70</v>
      </c>
      <c r="P2797">
        <v>1482</v>
      </c>
      <c r="Q2797">
        <v>1477.9</v>
      </c>
      <c r="R2797" t="s">
        <v>75</v>
      </c>
      <c r="S2797" t="s">
        <v>31</v>
      </c>
      <c r="T2797" t="s">
        <v>32</v>
      </c>
      <c r="U2797">
        <v>20</v>
      </c>
      <c r="V2797">
        <v>3.3</v>
      </c>
      <c r="W2797">
        <f>Table2[[#This Row],[Quantity]]*Table2[[#This Row],[Item_Price]]</f>
        <v>1482</v>
      </c>
    </row>
    <row r="2798" spans="1:23" x14ac:dyDescent="0.25">
      <c r="A2798" t="s">
        <v>2898</v>
      </c>
      <c r="B2798" s="1">
        <v>45860</v>
      </c>
      <c r="C2798" t="s">
        <v>2632</v>
      </c>
      <c r="D2798">
        <v>7</v>
      </c>
      <c r="E2798">
        <v>22</v>
      </c>
      <c r="F2798" t="s">
        <v>178</v>
      </c>
      <c r="G2798" t="s">
        <v>64</v>
      </c>
      <c r="H2798" t="s">
        <v>60</v>
      </c>
      <c r="I2798" t="s">
        <v>43</v>
      </c>
      <c r="J2798" t="s">
        <v>74</v>
      </c>
      <c r="K2798" t="s">
        <v>58</v>
      </c>
      <c r="L2798">
        <v>1</v>
      </c>
      <c r="M2798">
        <v>272</v>
      </c>
      <c r="N2798">
        <v>13.6</v>
      </c>
      <c r="O2798">
        <v>20</v>
      </c>
      <c r="P2798">
        <v>272</v>
      </c>
      <c r="Q2798">
        <v>278.39999999999998</v>
      </c>
      <c r="R2798" t="s">
        <v>112</v>
      </c>
      <c r="S2798" t="s">
        <v>31</v>
      </c>
      <c r="T2798" t="s">
        <v>40</v>
      </c>
      <c r="U2798">
        <v>58</v>
      </c>
      <c r="V2798">
        <v>3.1</v>
      </c>
      <c r="W2798">
        <f>Table2[[#This Row],[Quantity]]*Table2[[#This Row],[Item_Price]]</f>
        <v>272</v>
      </c>
    </row>
    <row r="2799" spans="1:23" x14ac:dyDescent="0.25">
      <c r="A2799" t="s">
        <v>2899</v>
      </c>
      <c r="B2799" s="1">
        <v>45860</v>
      </c>
      <c r="C2799" t="s">
        <v>2632</v>
      </c>
      <c r="D2799">
        <v>7</v>
      </c>
      <c r="E2799">
        <v>22</v>
      </c>
      <c r="F2799" t="s">
        <v>178</v>
      </c>
      <c r="G2799" t="s">
        <v>90</v>
      </c>
      <c r="H2799" t="s">
        <v>108</v>
      </c>
      <c r="I2799" t="s">
        <v>27</v>
      </c>
      <c r="J2799" t="s">
        <v>53</v>
      </c>
      <c r="K2799" t="s">
        <v>38</v>
      </c>
      <c r="L2799">
        <v>2</v>
      </c>
      <c r="M2799">
        <v>874</v>
      </c>
      <c r="N2799">
        <v>87.4</v>
      </c>
      <c r="O2799">
        <v>20</v>
      </c>
      <c r="P2799">
        <v>1748</v>
      </c>
      <c r="Q2799">
        <v>1680.6</v>
      </c>
      <c r="R2799" t="s">
        <v>39</v>
      </c>
      <c r="S2799" t="s">
        <v>31</v>
      </c>
      <c r="T2799" t="s">
        <v>40</v>
      </c>
      <c r="U2799">
        <v>53</v>
      </c>
      <c r="V2799">
        <v>4.4000000000000004</v>
      </c>
      <c r="W2799">
        <f>Table2[[#This Row],[Quantity]]*Table2[[#This Row],[Item_Price]]</f>
        <v>1748</v>
      </c>
    </row>
    <row r="2800" spans="1:23" x14ac:dyDescent="0.25">
      <c r="A2800" t="s">
        <v>2900</v>
      </c>
      <c r="B2800" s="1">
        <v>45860</v>
      </c>
      <c r="C2800" t="s">
        <v>2632</v>
      </c>
      <c r="D2800">
        <v>7</v>
      </c>
      <c r="E2800">
        <v>22</v>
      </c>
      <c r="F2800" t="s">
        <v>178</v>
      </c>
      <c r="G2800" t="s">
        <v>64</v>
      </c>
      <c r="H2800" t="s">
        <v>139</v>
      </c>
      <c r="I2800" t="s">
        <v>97</v>
      </c>
      <c r="J2800" t="s">
        <v>101</v>
      </c>
      <c r="K2800" t="s">
        <v>38</v>
      </c>
      <c r="L2800">
        <v>2</v>
      </c>
      <c r="M2800">
        <v>474</v>
      </c>
      <c r="N2800">
        <v>47.4</v>
      </c>
      <c r="O2800">
        <v>20</v>
      </c>
      <c r="P2800">
        <v>948</v>
      </c>
      <c r="Q2800">
        <v>920.6</v>
      </c>
      <c r="R2800" t="s">
        <v>39</v>
      </c>
      <c r="S2800" t="s">
        <v>91</v>
      </c>
      <c r="T2800" t="s">
        <v>32</v>
      </c>
      <c r="U2800">
        <v>54</v>
      </c>
      <c r="W2800">
        <f>Table2[[#This Row],[Quantity]]*Table2[[#This Row],[Item_Price]]</f>
        <v>948</v>
      </c>
    </row>
    <row r="2801" spans="1:23" x14ac:dyDescent="0.25">
      <c r="A2801" t="s">
        <v>2901</v>
      </c>
      <c r="B2801" s="1">
        <v>45860</v>
      </c>
      <c r="C2801" t="s">
        <v>2632</v>
      </c>
      <c r="D2801">
        <v>7</v>
      </c>
      <c r="E2801">
        <v>22</v>
      </c>
      <c r="F2801" t="s">
        <v>178</v>
      </c>
      <c r="G2801" t="s">
        <v>73</v>
      </c>
      <c r="H2801" t="s">
        <v>52</v>
      </c>
      <c r="I2801" t="s">
        <v>27</v>
      </c>
      <c r="J2801" t="s">
        <v>82</v>
      </c>
      <c r="K2801" t="s">
        <v>38</v>
      </c>
      <c r="L2801">
        <v>1</v>
      </c>
      <c r="M2801">
        <v>209</v>
      </c>
      <c r="N2801">
        <v>41.8</v>
      </c>
      <c r="O2801">
        <v>40</v>
      </c>
      <c r="P2801">
        <v>209</v>
      </c>
      <c r="Q2801">
        <v>207.2</v>
      </c>
      <c r="R2801" t="s">
        <v>39</v>
      </c>
      <c r="S2801" t="s">
        <v>31</v>
      </c>
      <c r="T2801" t="s">
        <v>40</v>
      </c>
      <c r="U2801">
        <v>55</v>
      </c>
      <c r="V2801">
        <v>3.4</v>
      </c>
      <c r="W2801">
        <f>Table2[[#This Row],[Quantity]]*Table2[[#This Row],[Item_Price]]</f>
        <v>209</v>
      </c>
    </row>
    <row r="2802" spans="1:23" x14ac:dyDescent="0.25">
      <c r="A2802" t="s">
        <v>2902</v>
      </c>
      <c r="B2802" s="1">
        <v>45860</v>
      </c>
      <c r="C2802" t="s">
        <v>2632</v>
      </c>
      <c r="D2802">
        <v>7</v>
      </c>
      <c r="E2802">
        <v>22</v>
      </c>
      <c r="F2802" t="s">
        <v>178</v>
      </c>
      <c r="G2802" t="s">
        <v>25</v>
      </c>
      <c r="H2802" t="s">
        <v>56</v>
      </c>
      <c r="I2802" t="s">
        <v>36</v>
      </c>
      <c r="J2802" t="s">
        <v>50</v>
      </c>
      <c r="K2802" t="s">
        <v>38</v>
      </c>
      <c r="L2802">
        <v>2</v>
      </c>
      <c r="M2802">
        <v>625</v>
      </c>
      <c r="N2802">
        <v>62.5</v>
      </c>
      <c r="O2802">
        <v>20</v>
      </c>
      <c r="P2802">
        <v>1250</v>
      </c>
      <c r="Q2802">
        <v>1207.5</v>
      </c>
      <c r="R2802" t="s">
        <v>30</v>
      </c>
      <c r="S2802" t="s">
        <v>110</v>
      </c>
      <c r="T2802" t="s">
        <v>40</v>
      </c>
      <c r="U2802">
        <v>60</v>
      </c>
      <c r="W2802">
        <f>Table2[[#This Row],[Quantity]]*Table2[[#This Row],[Item_Price]]</f>
        <v>1250</v>
      </c>
    </row>
    <row r="2803" spans="1:23" x14ac:dyDescent="0.25">
      <c r="A2803" t="s">
        <v>2903</v>
      </c>
      <c r="B2803" s="1">
        <v>45860</v>
      </c>
      <c r="C2803" t="s">
        <v>2632</v>
      </c>
      <c r="D2803">
        <v>7</v>
      </c>
      <c r="E2803">
        <v>22</v>
      </c>
      <c r="F2803" t="s">
        <v>178</v>
      </c>
      <c r="G2803" t="s">
        <v>64</v>
      </c>
      <c r="H2803" t="s">
        <v>48</v>
      </c>
      <c r="I2803" t="s">
        <v>36</v>
      </c>
      <c r="J2803" t="s">
        <v>44</v>
      </c>
      <c r="K2803" t="s">
        <v>38</v>
      </c>
      <c r="L2803">
        <v>3</v>
      </c>
      <c r="M2803">
        <v>570</v>
      </c>
      <c r="N2803">
        <v>0</v>
      </c>
      <c r="O2803">
        <v>20</v>
      </c>
      <c r="P2803">
        <v>1710</v>
      </c>
      <c r="Q2803">
        <v>1730</v>
      </c>
      <c r="R2803" t="s">
        <v>39</v>
      </c>
      <c r="S2803" t="s">
        <v>46</v>
      </c>
      <c r="T2803" t="s">
        <v>40</v>
      </c>
      <c r="U2803">
        <v>26</v>
      </c>
      <c r="W2803">
        <f>Table2[[#This Row],[Quantity]]*Table2[[#This Row],[Item_Price]]</f>
        <v>1710</v>
      </c>
    </row>
    <row r="2804" spans="1:23" x14ac:dyDescent="0.25">
      <c r="A2804" t="s">
        <v>2904</v>
      </c>
      <c r="B2804" s="1">
        <v>45860</v>
      </c>
      <c r="C2804" t="s">
        <v>2632</v>
      </c>
      <c r="D2804">
        <v>7</v>
      </c>
      <c r="E2804">
        <v>22</v>
      </c>
      <c r="F2804" t="s">
        <v>178</v>
      </c>
      <c r="G2804" t="s">
        <v>55</v>
      </c>
      <c r="H2804" t="s">
        <v>56</v>
      </c>
      <c r="I2804" t="s">
        <v>36</v>
      </c>
      <c r="J2804" t="s">
        <v>62</v>
      </c>
      <c r="K2804" t="s">
        <v>38</v>
      </c>
      <c r="L2804">
        <v>1</v>
      </c>
      <c r="M2804">
        <v>170</v>
      </c>
      <c r="N2804">
        <v>17</v>
      </c>
      <c r="O2804">
        <v>20</v>
      </c>
      <c r="P2804">
        <v>170</v>
      </c>
      <c r="Q2804">
        <v>173</v>
      </c>
      <c r="R2804" t="s">
        <v>30</v>
      </c>
      <c r="S2804" t="s">
        <v>31</v>
      </c>
      <c r="T2804" t="s">
        <v>40</v>
      </c>
      <c r="U2804">
        <v>52</v>
      </c>
      <c r="V2804">
        <v>3.6</v>
      </c>
      <c r="W2804">
        <f>Table2[[#This Row],[Quantity]]*Table2[[#This Row],[Item_Price]]</f>
        <v>170</v>
      </c>
    </row>
    <row r="2805" spans="1:23" x14ac:dyDescent="0.25">
      <c r="A2805" t="s">
        <v>2905</v>
      </c>
      <c r="B2805" s="1">
        <v>45860</v>
      </c>
      <c r="C2805" t="s">
        <v>2632</v>
      </c>
      <c r="D2805">
        <v>7</v>
      </c>
      <c r="E2805">
        <v>22</v>
      </c>
      <c r="F2805" t="s">
        <v>178</v>
      </c>
      <c r="G2805" t="s">
        <v>64</v>
      </c>
      <c r="H2805" t="s">
        <v>60</v>
      </c>
      <c r="I2805" t="s">
        <v>85</v>
      </c>
      <c r="J2805" t="s">
        <v>62</v>
      </c>
      <c r="K2805" t="s">
        <v>38</v>
      </c>
      <c r="L2805">
        <v>1</v>
      </c>
      <c r="M2805">
        <v>621</v>
      </c>
      <c r="N2805">
        <v>62.1</v>
      </c>
      <c r="O2805">
        <v>70</v>
      </c>
      <c r="P2805">
        <v>621</v>
      </c>
      <c r="Q2805">
        <v>628.9</v>
      </c>
      <c r="R2805" t="s">
        <v>98</v>
      </c>
      <c r="S2805" t="s">
        <v>31</v>
      </c>
      <c r="T2805" t="s">
        <v>40</v>
      </c>
      <c r="U2805">
        <v>46</v>
      </c>
      <c r="V2805">
        <v>3.7</v>
      </c>
      <c r="W2805">
        <f>Table2[[#This Row],[Quantity]]*Table2[[#This Row],[Item_Price]]</f>
        <v>621</v>
      </c>
    </row>
    <row r="2806" spans="1:23" x14ac:dyDescent="0.25">
      <c r="A2806" t="s">
        <v>2906</v>
      </c>
      <c r="B2806" s="1">
        <v>45860</v>
      </c>
      <c r="C2806" t="s">
        <v>2632</v>
      </c>
      <c r="D2806">
        <v>7</v>
      </c>
      <c r="E2806">
        <v>22</v>
      </c>
      <c r="F2806" t="s">
        <v>178</v>
      </c>
      <c r="G2806" t="s">
        <v>73</v>
      </c>
      <c r="H2806" t="s">
        <v>77</v>
      </c>
      <c r="I2806" t="s">
        <v>85</v>
      </c>
      <c r="J2806" t="s">
        <v>62</v>
      </c>
      <c r="K2806" t="s">
        <v>38</v>
      </c>
      <c r="L2806">
        <v>3</v>
      </c>
      <c r="M2806">
        <v>218</v>
      </c>
      <c r="N2806">
        <v>10.9</v>
      </c>
      <c r="O2806">
        <v>40</v>
      </c>
      <c r="P2806">
        <v>654</v>
      </c>
      <c r="Q2806">
        <v>683.1</v>
      </c>
      <c r="R2806" t="s">
        <v>75</v>
      </c>
      <c r="S2806" t="s">
        <v>31</v>
      </c>
      <c r="T2806" t="s">
        <v>40</v>
      </c>
      <c r="U2806">
        <v>35</v>
      </c>
      <c r="V2806">
        <v>3.6</v>
      </c>
      <c r="W2806">
        <f>Table2[[#This Row],[Quantity]]*Table2[[#This Row],[Item_Price]]</f>
        <v>654</v>
      </c>
    </row>
    <row r="2807" spans="1:23" x14ac:dyDescent="0.25">
      <c r="A2807" t="s">
        <v>2907</v>
      </c>
      <c r="B2807" s="1">
        <v>45860</v>
      </c>
      <c r="C2807" t="s">
        <v>2632</v>
      </c>
      <c r="D2807">
        <v>7</v>
      </c>
      <c r="E2807">
        <v>22</v>
      </c>
      <c r="F2807" t="s">
        <v>178</v>
      </c>
      <c r="G2807" t="s">
        <v>73</v>
      </c>
      <c r="H2807" t="s">
        <v>56</v>
      </c>
      <c r="I2807" t="s">
        <v>36</v>
      </c>
      <c r="J2807" t="s">
        <v>123</v>
      </c>
      <c r="K2807" t="s">
        <v>38</v>
      </c>
      <c r="L2807">
        <v>1</v>
      </c>
      <c r="M2807">
        <v>515</v>
      </c>
      <c r="N2807">
        <v>77.25</v>
      </c>
      <c r="O2807">
        <v>40</v>
      </c>
      <c r="P2807">
        <v>515</v>
      </c>
      <c r="Q2807">
        <v>477.75</v>
      </c>
      <c r="R2807" t="s">
        <v>98</v>
      </c>
      <c r="S2807" t="s">
        <v>31</v>
      </c>
      <c r="T2807" t="s">
        <v>40</v>
      </c>
      <c r="U2807">
        <v>49</v>
      </c>
      <c r="V2807">
        <v>3.9</v>
      </c>
      <c r="W2807">
        <f>Table2[[#This Row],[Quantity]]*Table2[[#This Row],[Item_Price]]</f>
        <v>515</v>
      </c>
    </row>
    <row r="2808" spans="1:23" x14ac:dyDescent="0.25">
      <c r="A2808" t="s">
        <v>2908</v>
      </c>
      <c r="B2808" s="1">
        <v>45861</v>
      </c>
      <c r="C2808" t="s">
        <v>2632</v>
      </c>
      <c r="D2808">
        <v>7</v>
      </c>
      <c r="E2808">
        <v>23</v>
      </c>
      <c r="F2808" t="s">
        <v>24</v>
      </c>
      <c r="G2808" t="s">
        <v>80</v>
      </c>
      <c r="H2808" t="s">
        <v>105</v>
      </c>
      <c r="I2808" t="s">
        <v>85</v>
      </c>
      <c r="J2808" t="s">
        <v>66</v>
      </c>
      <c r="K2808" t="s">
        <v>38</v>
      </c>
      <c r="L2808">
        <v>1</v>
      </c>
      <c r="M2808">
        <v>226</v>
      </c>
      <c r="N2808">
        <v>22.6</v>
      </c>
      <c r="O2808">
        <v>40</v>
      </c>
      <c r="P2808">
        <v>226</v>
      </c>
      <c r="Q2808">
        <v>243.4</v>
      </c>
      <c r="R2808" t="s">
        <v>75</v>
      </c>
      <c r="S2808" t="s">
        <v>31</v>
      </c>
      <c r="T2808" t="s">
        <v>32</v>
      </c>
      <c r="U2808">
        <v>57</v>
      </c>
      <c r="V2808">
        <v>3.3</v>
      </c>
      <c r="W2808">
        <f>Table2[[#This Row],[Quantity]]*Table2[[#This Row],[Item_Price]]</f>
        <v>226</v>
      </c>
    </row>
    <row r="2809" spans="1:23" x14ac:dyDescent="0.25">
      <c r="A2809" t="s">
        <v>2909</v>
      </c>
      <c r="B2809" s="1">
        <v>45861</v>
      </c>
      <c r="C2809" t="s">
        <v>2632</v>
      </c>
      <c r="D2809">
        <v>7</v>
      </c>
      <c r="E2809">
        <v>23</v>
      </c>
      <c r="F2809" t="s">
        <v>24</v>
      </c>
      <c r="G2809" t="s">
        <v>115</v>
      </c>
      <c r="H2809" t="s">
        <v>42</v>
      </c>
      <c r="I2809" t="s">
        <v>61</v>
      </c>
      <c r="J2809" t="s">
        <v>28</v>
      </c>
      <c r="K2809" t="s">
        <v>38</v>
      </c>
      <c r="L2809">
        <v>2</v>
      </c>
      <c r="M2809">
        <v>363</v>
      </c>
      <c r="N2809">
        <v>90.75</v>
      </c>
      <c r="O2809">
        <v>30</v>
      </c>
      <c r="P2809">
        <v>726</v>
      </c>
      <c r="Q2809">
        <v>665.25</v>
      </c>
      <c r="R2809" t="s">
        <v>39</v>
      </c>
      <c r="S2809" t="s">
        <v>31</v>
      </c>
      <c r="T2809" t="s">
        <v>40</v>
      </c>
      <c r="U2809">
        <v>31</v>
      </c>
      <c r="V2809">
        <v>4</v>
      </c>
      <c r="W2809">
        <f>Table2[[#This Row],[Quantity]]*Table2[[#This Row],[Item_Price]]</f>
        <v>726</v>
      </c>
    </row>
    <row r="2810" spans="1:23" x14ac:dyDescent="0.25">
      <c r="A2810" t="s">
        <v>2910</v>
      </c>
      <c r="B2810" s="1">
        <v>45861</v>
      </c>
      <c r="C2810" t="s">
        <v>2632</v>
      </c>
      <c r="D2810">
        <v>7</v>
      </c>
      <c r="E2810">
        <v>23</v>
      </c>
      <c r="F2810" t="s">
        <v>24</v>
      </c>
      <c r="G2810" t="s">
        <v>73</v>
      </c>
      <c r="H2810" t="s">
        <v>35</v>
      </c>
      <c r="I2810" t="s">
        <v>43</v>
      </c>
      <c r="J2810" t="s">
        <v>123</v>
      </c>
      <c r="K2810" t="s">
        <v>58</v>
      </c>
      <c r="L2810">
        <v>1</v>
      </c>
      <c r="M2810">
        <v>277</v>
      </c>
      <c r="N2810">
        <v>41.55</v>
      </c>
      <c r="O2810">
        <v>30</v>
      </c>
      <c r="P2810">
        <v>277</v>
      </c>
      <c r="Q2810">
        <v>265.45</v>
      </c>
      <c r="R2810" t="s">
        <v>75</v>
      </c>
      <c r="S2810" t="s">
        <v>31</v>
      </c>
      <c r="T2810" t="s">
        <v>40</v>
      </c>
      <c r="U2810">
        <v>44</v>
      </c>
      <c r="V2810">
        <v>4.8</v>
      </c>
      <c r="W2810">
        <f>Table2[[#This Row],[Quantity]]*Table2[[#This Row],[Item_Price]]</f>
        <v>277</v>
      </c>
    </row>
    <row r="2811" spans="1:23" x14ac:dyDescent="0.25">
      <c r="A2811" t="s">
        <v>2911</v>
      </c>
      <c r="B2811" s="1">
        <v>45861</v>
      </c>
      <c r="C2811" t="s">
        <v>2632</v>
      </c>
      <c r="D2811">
        <v>7</v>
      </c>
      <c r="E2811">
        <v>23</v>
      </c>
      <c r="F2811" t="s">
        <v>24</v>
      </c>
      <c r="G2811" t="s">
        <v>55</v>
      </c>
      <c r="H2811" t="s">
        <v>77</v>
      </c>
      <c r="I2811" t="s">
        <v>49</v>
      </c>
      <c r="J2811" t="s">
        <v>37</v>
      </c>
      <c r="K2811" t="s">
        <v>58</v>
      </c>
      <c r="L2811">
        <v>3</v>
      </c>
      <c r="M2811">
        <v>459</v>
      </c>
      <c r="N2811">
        <v>0</v>
      </c>
      <c r="O2811">
        <v>70</v>
      </c>
      <c r="P2811">
        <v>1377</v>
      </c>
      <c r="Q2811">
        <v>1447</v>
      </c>
      <c r="R2811" t="s">
        <v>39</v>
      </c>
      <c r="S2811" t="s">
        <v>31</v>
      </c>
      <c r="T2811" t="s">
        <v>40</v>
      </c>
      <c r="U2811">
        <v>24</v>
      </c>
      <c r="V2811">
        <v>4.9000000000000004</v>
      </c>
      <c r="W2811">
        <f>Table2[[#This Row],[Quantity]]*Table2[[#This Row],[Item_Price]]</f>
        <v>1377</v>
      </c>
    </row>
    <row r="2812" spans="1:23" x14ac:dyDescent="0.25">
      <c r="A2812" t="s">
        <v>2912</v>
      </c>
      <c r="B2812" s="1">
        <v>45861</v>
      </c>
      <c r="C2812" t="s">
        <v>2632</v>
      </c>
      <c r="D2812">
        <v>7</v>
      </c>
      <c r="E2812">
        <v>23</v>
      </c>
      <c r="F2812" t="s">
        <v>24</v>
      </c>
      <c r="G2812" t="s">
        <v>80</v>
      </c>
      <c r="H2812" t="s">
        <v>52</v>
      </c>
      <c r="I2812" t="s">
        <v>49</v>
      </c>
      <c r="J2812" t="s">
        <v>119</v>
      </c>
      <c r="K2812" t="s">
        <v>38</v>
      </c>
      <c r="L2812">
        <v>1</v>
      </c>
      <c r="M2812">
        <v>772</v>
      </c>
      <c r="N2812">
        <v>115.8</v>
      </c>
      <c r="O2812">
        <v>40</v>
      </c>
      <c r="P2812">
        <v>772</v>
      </c>
      <c r="Q2812">
        <v>696.2</v>
      </c>
      <c r="R2812" t="s">
        <v>39</v>
      </c>
      <c r="S2812" t="s">
        <v>31</v>
      </c>
      <c r="T2812" t="s">
        <v>40</v>
      </c>
      <c r="U2812">
        <v>21</v>
      </c>
      <c r="V2812">
        <v>4.3</v>
      </c>
      <c r="W2812">
        <f>Table2[[#This Row],[Quantity]]*Table2[[#This Row],[Item_Price]]</f>
        <v>772</v>
      </c>
    </row>
    <row r="2813" spans="1:23" x14ac:dyDescent="0.25">
      <c r="A2813" t="s">
        <v>2913</v>
      </c>
      <c r="B2813" s="1">
        <v>45861</v>
      </c>
      <c r="C2813" t="s">
        <v>2632</v>
      </c>
      <c r="D2813">
        <v>7</v>
      </c>
      <c r="E2813">
        <v>23</v>
      </c>
      <c r="F2813" t="s">
        <v>24</v>
      </c>
      <c r="G2813" t="s">
        <v>90</v>
      </c>
      <c r="H2813" t="s">
        <v>56</v>
      </c>
      <c r="I2813" t="s">
        <v>27</v>
      </c>
      <c r="J2813" t="s">
        <v>37</v>
      </c>
      <c r="K2813" t="s">
        <v>38</v>
      </c>
      <c r="L2813">
        <v>1</v>
      </c>
      <c r="M2813">
        <v>162</v>
      </c>
      <c r="N2813">
        <v>8.1</v>
      </c>
      <c r="O2813">
        <v>60</v>
      </c>
      <c r="P2813">
        <v>162</v>
      </c>
      <c r="Q2813">
        <v>213.9</v>
      </c>
      <c r="R2813" t="s">
        <v>39</v>
      </c>
      <c r="S2813" t="s">
        <v>31</v>
      </c>
      <c r="T2813" t="s">
        <v>40</v>
      </c>
      <c r="U2813">
        <v>27</v>
      </c>
      <c r="V2813">
        <v>5</v>
      </c>
      <c r="W2813">
        <f>Table2[[#This Row],[Quantity]]*Table2[[#This Row],[Item_Price]]</f>
        <v>162</v>
      </c>
    </row>
    <row r="2814" spans="1:23" x14ac:dyDescent="0.25">
      <c r="A2814" t="s">
        <v>2914</v>
      </c>
      <c r="B2814" s="1">
        <v>45861</v>
      </c>
      <c r="C2814" t="s">
        <v>2632</v>
      </c>
      <c r="D2814">
        <v>7</v>
      </c>
      <c r="E2814">
        <v>23</v>
      </c>
      <c r="F2814" t="s">
        <v>24</v>
      </c>
      <c r="G2814" t="s">
        <v>55</v>
      </c>
      <c r="H2814" t="s">
        <v>81</v>
      </c>
      <c r="I2814" t="s">
        <v>85</v>
      </c>
      <c r="J2814" t="s">
        <v>78</v>
      </c>
      <c r="K2814" t="s">
        <v>58</v>
      </c>
      <c r="L2814">
        <v>3</v>
      </c>
      <c r="M2814">
        <v>329</v>
      </c>
      <c r="N2814">
        <v>32.9</v>
      </c>
      <c r="O2814">
        <v>40</v>
      </c>
      <c r="P2814">
        <v>987</v>
      </c>
      <c r="Q2814">
        <v>994.1</v>
      </c>
      <c r="R2814" t="s">
        <v>39</v>
      </c>
      <c r="S2814" t="s">
        <v>31</v>
      </c>
      <c r="T2814" t="s">
        <v>32</v>
      </c>
      <c r="U2814">
        <v>30</v>
      </c>
      <c r="V2814">
        <v>3.6</v>
      </c>
      <c r="W2814">
        <f>Table2[[#This Row],[Quantity]]*Table2[[#This Row],[Item_Price]]</f>
        <v>987</v>
      </c>
    </row>
    <row r="2815" spans="1:23" x14ac:dyDescent="0.25">
      <c r="A2815" t="s">
        <v>2915</v>
      </c>
      <c r="B2815" s="1">
        <v>45861</v>
      </c>
      <c r="C2815" t="s">
        <v>2632</v>
      </c>
      <c r="D2815">
        <v>7</v>
      </c>
      <c r="E2815">
        <v>23</v>
      </c>
      <c r="F2815" t="s">
        <v>24</v>
      </c>
      <c r="G2815" t="s">
        <v>80</v>
      </c>
      <c r="H2815" t="s">
        <v>135</v>
      </c>
      <c r="I2815" t="s">
        <v>36</v>
      </c>
      <c r="J2815" t="s">
        <v>44</v>
      </c>
      <c r="K2815" t="s">
        <v>58</v>
      </c>
      <c r="L2815">
        <v>2</v>
      </c>
      <c r="M2815">
        <v>236</v>
      </c>
      <c r="N2815">
        <v>11.8</v>
      </c>
      <c r="O2815">
        <v>20</v>
      </c>
      <c r="P2815">
        <v>472</v>
      </c>
      <c r="Q2815">
        <v>480.2</v>
      </c>
      <c r="R2815" t="s">
        <v>39</v>
      </c>
      <c r="S2815" t="s">
        <v>31</v>
      </c>
      <c r="T2815" t="s">
        <v>32</v>
      </c>
      <c r="U2815">
        <v>30</v>
      </c>
      <c r="V2815">
        <v>4.0999999999999996</v>
      </c>
      <c r="W2815">
        <f>Table2[[#This Row],[Quantity]]*Table2[[#This Row],[Item_Price]]</f>
        <v>472</v>
      </c>
    </row>
    <row r="2816" spans="1:23" x14ac:dyDescent="0.25">
      <c r="A2816" t="s">
        <v>2916</v>
      </c>
      <c r="B2816" s="1">
        <v>45861</v>
      </c>
      <c r="C2816" t="s">
        <v>2632</v>
      </c>
      <c r="D2816">
        <v>7</v>
      </c>
      <c r="E2816">
        <v>23</v>
      </c>
      <c r="F2816" t="s">
        <v>24</v>
      </c>
      <c r="G2816" t="s">
        <v>80</v>
      </c>
      <c r="H2816" t="s">
        <v>68</v>
      </c>
      <c r="I2816" t="s">
        <v>57</v>
      </c>
      <c r="J2816" t="s">
        <v>50</v>
      </c>
      <c r="K2816" t="s">
        <v>45</v>
      </c>
      <c r="L2816">
        <v>1</v>
      </c>
      <c r="M2816">
        <v>435</v>
      </c>
      <c r="N2816">
        <v>87</v>
      </c>
      <c r="O2816">
        <v>50</v>
      </c>
      <c r="P2816">
        <v>435</v>
      </c>
      <c r="Q2816">
        <v>398</v>
      </c>
      <c r="R2816" t="s">
        <v>30</v>
      </c>
      <c r="S2816" t="s">
        <v>46</v>
      </c>
      <c r="T2816" t="s">
        <v>40</v>
      </c>
      <c r="U2816">
        <v>61</v>
      </c>
      <c r="W2816">
        <f>Table2[[#This Row],[Quantity]]*Table2[[#This Row],[Item_Price]]</f>
        <v>435</v>
      </c>
    </row>
    <row r="2817" spans="1:23" x14ac:dyDescent="0.25">
      <c r="A2817" t="s">
        <v>2917</v>
      </c>
      <c r="B2817" s="1">
        <v>45861</v>
      </c>
      <c r="C2817" t="s">
        <v>2632</v>
      </c>
      <c r="D2817">
        <v>7</v>
      </c>
      <c r="E2817">
        <v>23</v>
      </c>
      <c r="F2817" t="s">
        <v>24</v>
      </c>
      <c r="G2817" t="s">
        <v>34</v>
      </c>
      <c r="H2817" t="s">
        <v>135</v>
      </c>
      <c r="I2817" t="s">
        <v>49</v>
      </c>
      <c r="J2817" t="s">
        <v>37</v>
      </c>
      <c r="K2817" t="s">
        <v>38</v>
      </c>
      <c r="L2817">
        <v>2</v>
      </c>
      <c r="M2817">
        <v>719</v>
      </c>
      <c r="N2817">
        <v>0</v>
      </c>
      <c r="O2817">
        <v>0</v>
      </c>
      <c r="P2817">
        <v>1438</v>
      </c>
      <c r="Q2817">
        <v>1438</v>
      </c>
      <c r="R2817" t="s">
        <v>112</v>
      </c>
      <c r="S2817" t="s">
        <v>31</v>
      </c>
      <c r="T2817" t="s">
        <v>40</v>
      </c>
      <c r="U2817">
        <v>21</v>
      </c>
      <c r="V2817">
        <v>3.9</v>
      </c>
      <c r="W2817">
        <f>Table2[[#This Row],[Quantity]]*Table2[[#This Row],[Item_Price]]</f>
        <v>1438</v>
      </c>
    </row>
    <row r="2818" spans="1:23" x14ac:dyDescent="0.25">
      <c r="A2818" t="s">
        <v>2918</v>
      </c>
      <c r="B2818" s="1">
        <v>45861</v>
      </c>
      <c r="C2818" t="s">
        <v>2632</v>
      </c>
      <c r="D2818">
        <v>7</v>
      </c>
      <c r="E2818">
        <v>23</v>
      </c>
      <c r="F2818" t="s">
        <v>24</v>
      </c>
      <c r="G2818" t="s">
        <v>25</v>
      </c>
      <c r="H2818" t="s">
        <v>42</v>
      </c>
      <c r="I2818" t="s">
        <v>57</v>
      </c>
      <c r="J2818" t="s">
        <v>94</v>
      </c>
      <c r="K2818" t="s">
        <v>38</v>
      </c>
      <c r="L2818">
        <v>1</v>
      </c>
      <c r="M2818">
        <v>485</v>
      </c>
      <c r="N2818">
        <v>97</v>
      </c>
      <c r="O2818">
        <v>30</v>
      </c>
      <c r="P2818">
        <v>485</v>
      </c>
      <c r="Q2818">
        <v>418</v>
      </c>
      <c r="R2818" t="s">
        <v>75</v>
      </c>
      <c r="S2818" t="s">
        <v>31</v>
      </c>
      <c r="T2818" t="s">
        <v>40</v>
      </c>
      <c r="U2818">
        <v>18</v>
      </c>
      <c r="V2818">
        <v>4.4000000000000004</v>
      </c>
      <c r="W2818">
        <f>Table2[[#This Row],[Quantity]]*Table2[[#This Row],[Item_Price]]</f>
        <v>485</v>
      </c>
    </row>
    <row r="2819" spans="1:23" x14ac:dyDescent="0.25">
      <c r="A2819" t="s">
        <v>2919</v>
      </c>
      <c r="B2819" s="1">
        <v>45861</v>
      </c>
      <c r="C2819" t="s">
        <v>2632</v>
      </c>
      <c r="D2819">
        <v>7</v>
      </c>
      <c r="E2819">
        <v>23</v>
      </c>
      <c r="F2819" t="s">
        <v>24</v>
      </c>
      <c r="G2819" t="s">
        <v>64</v>
      </c>
      <c r="H2819" t="s">
        <v>48</v>
      </c>
      <c r="I2819" t="s">
        <v>49</v>
      </c>
      <c r="J2819" t="s">
        <v>53</v>
      </c>
      <c r="K2819" t="s">
        <v>38</v>
      </c>
      <c r="L2819">
        <v>1</v>
      </c>
      <c r="M2819">
        <v>718</v>
      </c>
      <c r="N2819">
        <v>179.5</v>
      </c>
      <c r="O2819">
        <v>30</v>
      </c>
      <c r="P2819">
        <v>718</v>
      </c>
      <c r="Q2819">
        <v>568.5</v>
      </c>
      <c r="R2819" t="s">
        <v>30</v>
      </c>
      <c r="S2819" t="s">
        <v>110</v>
      </c>
      <c r="T2819" t="s">
        <v>32</v>
      </c>
      <c r="U2819">
        <v>42</v>
      </c>
      <c r="W2819">
        <f>Table2[[#This Row],[Quantity]]*Table2[[#This Row],[Item_Price]]</f>
        <v>718</v>
      </c>
    </row>
    <row r="2820" spans="1:23" x14ac:dyDescent="0.25">
      <c r="A2820" t="s">
        <v>2920</v>
      </c>
      <c r="B2820" s="1">
        <v>45862</v>
      </c>
      <c r="C2820" t="s">
        <v>2632</v>
      </c>
      <c r="D2820">
        <v>7</v>
      </c>
      <c r="E2820">
        <v>24</v>
      </c>
      <c r="F2820" t="s">
        <v>88</v>
      </c>
      <c r="G2820" t="s">
        <v>34</v>
      </c>
      <c r="H2820" t="s">
        <v>68</v>
      </c>
      <c r="I2820" t="s">
        <v>36</v>
      </c>
      <c r="J2820" t="s">
        <v>62</v>
      </c>
      <c r="K2820" t="s">
        <v>38</v>
      </c>
      <c r="L2820">
        <v>1</v>
      </c>
      <c r="M2820">
        <v>454</v>
      </c>
      <c r="N2820">
        <v>45.4</v>
      </c>
      <c r="O2820">
        <v>20</v>
      </c>
      <c r="P2820">
        <v>454</v>
      </c>
      <c r="Q2820">
        <v>428.6</v>
      </c>
      <c r="R2820" t="s">
        <v>75</v>
      </c>
      <c r="S2820" t="s">
        <v>31</v>
      </c>
      <c r="T2820" t="s">
        <v>32</v>
      </c>
      <c r="U2820">
        <v>28</v>
      </c>
      <c r="V2820">
        <v>2.9</v>
      </c>
      <c r="W2820">
        <f>Table2[[#This Row],[Quantity]]*Table2[[#This Row],[Item_Price]]</f>
        <v>454</v>
      </c>
    </row>
    <row r="2821" spans="1:23" x14ac:dyDescent="0.25">
      <c r="A2821" t="s">
        <v>2921</v>
      </c>
      <c r="B2821" s="1">
        <v>45862</v>
      </c>
      <c r="C2821" t="s">
        <v>2632</v>
      </c>
      <c r="D2821">
        <v>7</v>
      </c>
      <c r="E2821">
        <v>24</v>
      </c>
      <c r="F2821" t="s">
        <v>88</v>
      </c>
      <c r="G2821" t="s">
        <v>34</v>
      </c>
      <c r="H2821" t="s">
        <v>26</v>
      </c>
      <c r="I2821" t="s">
        <v>27</v>
      </c>
      <c r="J2821" t="s">
        <v>70</v>
      </c>
      <c r="K2821" t="s">
        <v>45</v>
      </c>
      <c r="L2821">
        <v>2</v>
      </c>
      <c r="M2821">
        <v>722</v>
      </c>
      <c r="N2821">
        <v>36.1</v>
      </c>
      <c r="O2821">
        <v>20</v>
      </c>
      <c r="P2821">
        <v>1444</v>
      </c>
      <c r="Q2821">
        <v>1427.9</v>
      </c>
      <c r="R2821" t="s">
        <v>75</v>
      </c>
      <c r="S2821" t="s">
        <v>31</v>
      </c>
      <c r="T2821" t="s">
        <v>40</v>
      </c>
      <c r="U2821">
        <v>52</v>
      </c>
      <c r="V2821">
        <v>3.7</v>
      </c>
      <c r="W2821">
        <f>Table2[[#This Row],[Quantity]]*Table2[[#This Row],[Item_Price]]</f>
        <v>1444</v>
      </c>
    </row>
    <row r="2822" spans="1:23" x14ac:dyDescent="0.25">
      <c r="A2822" t="s">
        <v>2922</v>
      </c>
      <c r="B2822" s="1">
        <v>45862</v>
      </c>
      <c r="C2822" t="s">
        <v>2632</v>
      </c>
      <c r="D2822">
        <v>7</v>
      </c>
      <c r="E2822">
        <v>24</v>
      </c>
      <c r="F2822" t="s">
        <v>88</v>
      </c>
      <c r="G2822" t="s">
        <v>34</v>
      </c>
      <c r="H2822" t="s">
        <v>60</v>
      </c>
      <c r="I2822" t="s">
        <v>27</v>
      </c>
      <c r="J2822" t="s">
        <v>82</v>
      </c>
      <c r="K2822" t="s">
        <v>45</v>
      </c>
      <c r="L2822">
        <v>1</v>
      </c>
      <c r="M2822">
        <v>443</v>
      </c>
      <c r="N2822">
        <v>0</v>
      </c>
      <c r="O2822">
        <v>20</v>
      </c>
      <c r="P2822">
        <v>443</v>
      </c>
      <c r="Q2822">
        <v>463</v>
      </c>
      <c r="R2822" t="s">
        <v>39</v>
      </c>
      <c r="S2822" t="s">
        <v>91</v>
      </c>
      <c r="T2822" t="s">
        <v>32</v>
      </c>
      <c r="U2822">
        <v>46</v>
      </c>
      <c r="W2822">
        <f>Table2[[#This Row],[Quantity]]*Table2[[#This Row],[Item_Price]]</f>
        <v>443</v>
      </c>
    </row>
    <row r="2823" spans="1:23" x14ac:dyDescent="0.25">
      <c r="A2823" t="s">
        <v>2923</v>
      </c>
      <c r="B2823" s="1">
        <v>45862</v>
      </c>
      <c r="C2823" t="s">
        <v>2632</v>
      </c>
      <c r="D2823">
        <v>7</v>
      </c>
      <c r="E2823">
        <v>24</v>
      </c>
      <c r="F2823" t="s">
        <v>88</v>
      </c>
      <c r="G2823" t="s">
        <v>84</v>
      </c>
      <c r="H2823" t="s">
        <v>105</v>
      </c>
      <c r="I2823" t="s">
        <v>43</v>
      </c>
      <c r="J2823" t="s">
        <v>94</v>
      </c>
      <c r="K2823" t="s">
        <v>38</v>
      </c>
      <c r="L2823">
        <v>1</v>
      </c>
      <c r="M2823">
        <v>498</v>
      </c>
      <c r="N2823">
        <v>74.7</v>
      </c>
      <c r="O2823">
        <v>40</v>
      </c>
      <c r="P2823">
        <v>498</v>
      </c>
      <c r="Q2823">
        <v>463.3</v>
      </c>
      <c r="R2823" t="s">
        <v>30</v>
      </c>
      <c r="S2823" t="s">
        <v>46</v>
      </c>
      <c r="T2823" t="s">
        <v>40</v>
      </c>
      <c r="U2823">
        <v>59</v>
      </c>
      <c r="W2823">
        <f>Table2[[#This Row],[Quantity]]*Table2[[#This Row],[Item_Price]]</f>
        <v>498</v>
      </c>
    </row>
    <row r="2824" spans="1:23" x14ac:dyDescent="0.25">
      <c r="A2824" t="s">
        <v>2924</v>
      </c>
      <c r="B2824" s="1">
        <v>45862</v>
      </c>
      <c r="C2824" t="s">
        <v>2632</v>
      </c>
      <c r="D2824">
        <v>7</v>
      </c>
      <c r="E2824">
        <v>24</v>
      </c>
      <c r="F2824" t="s">
        <v>88</v>
      </c>
      <c r="G2824" t="s">
        <v>90</v>
      </c>
      <c r="H2824" t="s">
        <v>42</v>
      </c>
      <c r="I2824" t="s">
        <v>85</v>
      </c>
      <c r="J2824" t="s">
        <v>101</v>
      </c>
      <c r="K2824" t="s">
        <v>45</v>
      </c>
      <c r="L2824">
        <v>2</v>
      </c>
      <c r="M2824">
        <v>125</v>
      </c>
      <c r="N2824">
        <v>12.5</v>
      </c>
      <c r="O2824">
        <v>0</v>
      </c>
      <c r="P2824">
        <v>250</v>
      </c>
      <c r="Q2824">
        <v>237.5</v>
      </c>
      <c r="R2824" t="s">
        <v>39</v>
      </c>
      <c r="S2824" t="s">
        <v>31</v>
      </c>
      <c r="T2824" t="s">
        <v>40</v>
      </c>
      <c r="U2824">
        <v>39</v>
      </c>
      <c r="V2824">
        <v>3.6</v>
      </c>
      <c r="W2824">
        <f>Table2[[#This Row],[Quantity]]*Table2[[#This Row],[Item_Price]]</f>
        <v>250</v>
      </c>
    </row>
    <row r="2825" spans="1:23" x14ac:dyDescent="0.25">
      <c r="A2825" t="s">
        <v>2925</v>
      </c>
      <c r="B2825" s="1">
        <v>45862</v>
      </c>
      <c r="C2825" t="s">
        <v>2632</v>
      </c>
      <c r="D2825">
        <v>7</v>
      </c>
      <c r="E2825">
        <v>24</v>
      </c>
      <c r="F2825" t="s">
        <v>88</v>
      </c>
      <c r="G2825" t="s">
        <v>64</v>
      </c>
      <c r="H2825" t="s">
        <v>77</v>
      </c>
      <c r="I2825" t="s">
        <v>69</v>
      </c>
      <c r="J2825" t="s">
        <v>66</v>
      </c>
      <c r="K2825" t="s">
        <v>38</v>
      </c>
      <c r="L2825">
        <v>2</v>
      </c>
      <c r="M2825">
        <v>461</v>
      </c>
      <c r="N2825">
        <v>92.2</v>
      </c>
      <c r="O2825">
        <v>0</v>
      </c>
      <c r="P2825">
        <v>922</v>
      </c>
      <c r="Q2825">
        <v>829.8</v>
      </c>
      <c r="R2825" t="s">
        <v>30</v>
      </c>
      <c r="S2825" t="s">
        <v>31</v>
      </c>
      <c r="T2825" t="s">
        <v>32</v>
      </c>
      <c r="U2825">
        <v>54</v>
      </c>
      <c r="V2825">
        <v>3.8</v>
      </c>
      <c r="W2825">
        <f>Table2[[#This Row],[Quantity]]*Table2[[#This Row],[Item_Price]]</f>
        <v>922</v>
      </c>
    </row>
    <row r="2826" spans="1:23" x14ac:dyDescent="0.25">
      <c r="A2826" t="s">
        <v>2926</v>
      </c>
      <c r="B2826" s="1">
        <v>45862</v>
      </c>
      <c r="C2826" t="s">
        <v>2632</v>
      </c>
      <c r="D2826">
        <v>7</v>
      </c>
      <c r="E2826">
        <v>24</v>
      </c>
      <c r="F2826" t="s">
        <v>88</v>
      </c>
      <c r="G2826" t="s">
        <v>25</v>
      </c>
      <c r="H2826" t="s">
        <v>139</v>
      </c>
      <c r="I2826" t="s">
        <v>61</v>
      </c>
      <c r="J2826" t="s">
        <v>37</v>
      </c>
      <c r="K2826" t="s">
        <v>45</v>
      </c>
      <c r="L2826">
        <v>2</v>
      </c>
      <c r="M2826">
        <v>278</v>
      </c>
      <c r="N2826">
        <v>69.5</v>
      </c>
      <c r="O2826">
        <v>20</v>
      </c>
      <c r="P2826">
        <v>556</v>
      </c>
      <c r="Q2826">
        <v>506.5</v>
      </c>
      <c r="R2826" t="s">
        <v>75</v>
      </c>
      <c r="S2826" t="s">
        <v>31</v>
      </c>
      <c r="T2826" t="s">
        <v>32</v>
      </c>
      <c r="U2826">
        <v>60</v>
      </c>
      <c r="V2826">
        <v>4.0999999999999996</v>
      </c>
      <c r="W2826">
        <f>Table2[[#This Row],[Quantity]]*Table2[[#This Row],[Item_Price]]</f>
        <v>556</v>
      </c>
    </row>
    <row r="2827" spans="1:23" x14ac:dyDescent="0.25">
      <c r="A2827" t="s">
        <v>2927</v>
      </c>
      <c r="B2827" s="1">
        <v>45862</v>
      </c>
      <c r="C2827" t="s">
        <v>2632</v>
      </c>
      <c r="D2827">
        <v>7</v>
      </c>
      <c r="E2827">
        <v>24</v>
      </c>
      <c r="F2827" t="s">
        <v>88</v>
      </c>
      <c r="G2827" t="s">
        <v>73</v>
      </c>
      <c r="H2827" t="s">
        <v>65</v>
      </c>
      <c r="I2827" t="s">
        <v>36</v>
      </c>
      <c r="J2827" t="s">
        <v>82</v>
      </c>
      <c r="K2827" t="s">
        <v>38</v>
      </c>
      <c r="L2827">
        <v>2</v>
      </c>
      <c r="M2827">
        <v>123</v>
      </c>
      <c r="N2827">
        <v>12.3</v>
      </c>
      <c r="O2827">
        <v>50</v>
      </c>
      <c r="P2827">
        <v>246</v>
      </c>
      <c r="Q2827">
        <v>283.7</v>
      </c>
      <c r="R2827" t="s">
        <v>39</v>
      </c>
      <c r="S2827" t="s">
        <v>31</v>
      </c>
      <c r="T2827" t="s">
        <v>40</v>
      </c>
      <c r="U2827">
        <v>37</v>
      </c>
      <c r="V2827">
        <v>4.3</v>
      </c>
      <c r="W2827">
        <f>Table2[[#This Row],[Quantity]]*Table2[[#This Row],[Item_Price]]</f>
        <v>246</v>
      </c>
    </row>
    <row r="2828" spans="1:23" x14ac:dyDescent="0.25">
      <c r="A2828" t="s">
        <v>2928</v>
      </c>
      <c r="B2828" s="1">
        <v>45863</v>
      </c>
      <c r="C2828" t="s">
        <v>2632</v>
      </c>
      <c r="D2828">
        <v>7</v>
      </c>
      <c r="E2828">
        <v>25</v>
      </c>
      <c r="F2828" t="s">
        <v>114</v>
      </c>
      <c r="G2828" t="s">
        <v>34</v>
      </c>
      <c r="H2828" t="s">
        <v>56</v>
      </c>
      <c r="I2828" t="s">
        <v>36</v>
      </c>
      <c r="J2828" t="s">
        <v>123</v>
      </c>
      <c r="K2828" t="s">
        <v>38</v>
      </c>
      <c r="L2828">
        <v>2</v>
      </c>
      <c r="M2828">
        <v>723</v>
      </c>
      <c r="N2828">
        <v>108.45</v>
      </c>
      <c r="O2828">
        <v>60</v>
      </c>
      <c r="P2828">
        <v>1446</v>
      </c>
      <c r="Q2828">
        <v>1397.55</v>
      </c>
      <c r="R2828" t="s">
        <v>75</v>
      </c>
      <c r="S2828" t="s">
        <v>31</v>
      </c>
      <c r="T2828" t="s">
        <v>40</v>
      </c>
      <c r="U2828">
        <v>67</v>
      </c>
      <c r="V2828">
        <v>4</v>
      </c>
      <c r="W2828">
        <f>Table2[[#This Row],[Quantity]]*Table2[[#This Row],[Item_Price]]</f>
        <v>1446</v>
      </c>
    </row>
    <row r="2829" spans="1:23" x14ac:dyDescent="0.25">
      <c r="A2829" t="s">
        <v>2929</v>
      </c>
      <c r="B2829" s="1">
        <v>45863</v>
      </c>
      <c r="C2829" t="s">
        <v>2632</v>
      </c>
      <c r="D2829">
        <v>7</v>
      </c>
      <c r="E2829">
        <v>25</v>
      </c>
      <c r="F2829" t="s">
        <v>114</v>
      </c>
      <c r="G2829" t="s">
        <v>73</v>
      </c>
      <c r="H2829" t="s">
        <v>68</v>
      </c>
      <c r="I2829" t="s">
        <v>43</v>
      </c>
      <c r="J2829" t="s">
        <v>53</v>
      </c>
      <c r="K2829" t="s">
        <v>38</v>
      </c>
      <c r="L2829">
        <v>1</v>
      </c>
      <c r="M2829">
        <v>465</v>
      </c>
      <c r="N2829">
        <v>23.25</v>
      </c>
      <c r="O2829">
        <v>40</v>
      </c>
      <c r="P2829">
        <v>465</v>
      </c>
      <c r="Q2829">
        <v>481.75</v>
      </c>
      <c r="R2829" t="s">
        <v>75</v>
      </c>
      <c r="S2829" t="s">
        <v>31</v>
      </c>
      <c r="T2829" t="s">
        <v>32</v>
      </c>
      <c r="U2829">
        <v>44</v>
      </c>
      <c r="V2829">
        <v>4.0999999999999996</v>
      </c>
      <c r="W2829">
        <f>Table2[[#This Row],[Quantity]]*Table2[[#This Row],[Item_Price]]</f>
        <v>465</v>
      </c>
    </row>
    <row r="2830" spans="1:23" x14ac:dyDescent="0.25">
      <c r="A2830" t="s">
        <v>2930</v>
      </c>
      <c r="B2830" s="1">
        <v>45863</v>
      </c>
      <c r="C2830" t="s">
        <v>2632</v>
      </c>
      <c r="D2830">
        <v>7</v>
      </c>
      <c r="E2830">
        <v>25</v>
      </c>
      <c r="F2830" t="s">
        <v>114</v>
      </c>
      <c r="G2830" t="s">
        <v>80</v>
      </c>
      <c r="H2830" t="s">
        <v>135</v>
      </c>
      <c r="I2830" t="s">
        <v>49</v>
      </c>
      <c r="J2830" t="s">
        <v>50</v>
      </c>
      <c r="K2830" t="s">
        <v>38</v>
      </c>
      <c r="L2830">
        <v>2</v>
      </c>
      <c r="M2830">
        <v>454</v>
      </c>
      <c r="N2830">
        <v>0</v>
      </c>
      <c r="O2830">
        <v>40</v>
      </c>
      <c r="P2830">
        <v>908</v>
      </c>
      <c r="Q2830">
        <v>948</v>
      </c>
      <c r="R2830" t="s">
        <v>39</v>
      </c>
      <c r="S2830" t="s">
        <v>46</v>
      </c>
      <c r="T2830" t="s">
        <v>40</v>
      </c>
      <c r="U2830">
        <v>41</v>
      </c>
      <c r="W2830">
        <f>Table2[[#This Row],[Quantity]]*Table2[[#This Row],[Item_Price]]</f>
        <v>908</v>
      </c>
    </row>
    <row r="2831" spans="1:23" x14ac:dyDescent="0.25">
      <c r="A2831" t="s">
        <v>2931</v>
      </c>
      <c r="B2831" s="1">
        <v>45863</v>
      </c>
      <c r="C2831" t="s">
        <v>2632</v>
      </c>
      <c r="D2831">
        <v>7</v>
      </c>
      <c r="E2831">
        <v>25</v>
      </c>
      <c r="F2831" t="s">
        <v>114</v>
      </c>
      <c r="G2831" t="s">
        <v>90</v>
      </c>
      <c r="H2831" t="s">
        <v>135</v>
      </c>
      <c r="I2831" t="s">
        <v>43</v>
      </c>
      <c r="J2831" t="s">
        <v>82</v>
      </c>
      <c r="K2831" t="s">
        <v>45</v>
      </c>
      <c r="L2831">
        <v>3</v>
      </c>
      <c r="M2831">
        <v>654</v>
      </c>
      <c r="N2831">
        <v>130.80000000000001</v>
      </c>
      <c r="O2831">
        <v>0</v>
      </c>
      <c r="P2831">
        <v>1962</v>
      </c>
      <c r="Q2831">
        <v>1831.2</v>
      </c>
      <c r="R2831" t="s">
        <v>98</v>
      </c>
      <c r="S2831" t="s">
        <v>31</v>
      </c>
      <c r="T2831" t="s">
        <v>40</v>
      </c>
      <c r="U2831">
        <v>30</v>
      </c>
      <c r="V2831">
        <v>3.5</v>
      </c>
      <c r="W2831">
        <f>Table2[[#This Row],[Quantity]]*Table2[[#This Row],[Item_Price]]</f>
        <v>1962</v>
      </c>
    </row>
    <row r="2832" spans="1:23" x14ac:dyDescent="0.25">
      <c r="A2832" t="s">
        <v>2932</v>
      </c>
      <c r="B2832" s="1">
        <v>45863</v>
      </c>
      <c r="C2832" t="s">
        <v>2632</v>
      </c>
      <c r="D2832">
        <v>7</v>
      </c>
      <c r="E2832">
        <v>25</v>
      </c>
      <c r="F2832" t="s">
        <v>114</v>
      </c>
      <c r="G2832" t="s">
        <v>34</v>
      </c>
      <c r="H2832" t="s">
        <v>56</v>
      </c>
      <c r="I2832" t="s">
        <v>27</v>
      </c>
      <c r="J2832" t="s">
        <v>28</v>
      </c>
      <c r="K2832" t="s">
        <v>58</v>
      </c>
      <c r="L2832">
        <v>1</v>
      </c>
      <c r="M2832">
        <v>809</v>
      </c>
      <c r="N2832">
        <v>161.80000000000001</v>
      </c>
      <c r="O2832">
        <v>0</v>
      </c>
      <c r="P2832">
        <v>809</v>
      </c>
      <c r="Q2832">
        <v>647.20000000000005</v>
      </c>
      <c r="R2832" t="s">
        <v>112</v>
      </c>
      <c r="S2832" t="s">
        <v>31</v>
      </c>
      <c r="T2832" t="s">
        <v>40</v>
      </c>
      <c r="U2832">
        <v>40</v>
      </c>
      <c r="V2832">
        <v>3.8</v>
      </c>
      <c r="W2832">
        <f>Table2[[#This Row],[Quantity]]*Table2[[#This Row],[Item_Price]]</f>
        <v>809</v>
      </c>
    </row>
    <row r="2833" spans="1:23" x14ac:dyDescent="0.25">
      <c r="A2833" t="s">
        <v>2933</v>
      </c>
      <c r="B2833" s="1">
        <v>45863</v>
      </c>
      <c r="C2833" t="s">
        <v>2632</v>
      </c>
      <c r="D2833">
        <v>7</v>
      </c>
      <c r="E2833">
        <v>25</v>
      </c>
      <c r="F2833" t="s">
        <v>114</v>
      </c>
      <c r="G2833" t="s">
        <v>64</v>
      </c>
      <c r="H2833" t="s">
        <v>108</v>
      </c>
      <c r="I2833" t="s">
        <v>36</v>
      </c>
      <c r="J2833" t="s">
        <v>74</v>
      </c>
      <c r="K2833" t="s">
        <v>38</v>
      </c>
      <c r="L2833">
        <v>1</v>
      </c>
      <c r="M2833">
        <v>270</v>
      </c>
      <c r="N2833">
        <v>27</v>
      </c>
      <c r="O2833">
        <v>60</v>
      </c>
      <c r="P2833">
        <v>270</v>
      </c>
      <c r="Q2833">
        <v>303</v>
      </c>
      <c r="R2833" t="s">
        <v>39</v>
      </c>
      <c r="S2833" t="s">
        <v>31</v>
      </c>
      <c r="T2833" t="s">
        <v>40</v>
      </c>
      <c r="U2833">
        <v>62</v>
      </c>
      <c r="V2833">
        <v>2.9</v>
      </c>
      <c r="W2833">
        <f>Table2[[#This Row],[Quantity]]*Table2[[#This Row],[Item_Price]]</f>
        <v>270</v>
      </c>
    </row>
    <row r="2834" spans="1:23" x14ac:dyDescent="0.25">
      <c r="A2834" t="s">
        <v>2934</v>
      </c>
      <c r="B2834" s="1">
        <v>45863</v>
      </c>
      <c r="C2834" t="s">
        <v>2632</v>
      </c>
      <c r="D2834">
        <v>7</v>
      </c>
      <c r="E2834">
        <v>25</v>
      </c>
      <c r="F2834" t="s">
        <v>114</v>
      </c>
      <c r="G2834" t="s">
        <v>34</v>
      </c>
      <c r="H2834" t="s">
        <v>56</v>
      </c>
      <c r="I2834" t="s">
        <v>97</v>
      </c>
      <c r="J2834" t="s">
        <v>50</v>
      </c>
      <c r="K2834" t="s">
        <v>38</v>
      </c>
      <c r="L2834">
        <v>2</v>
      </c>
      <c r="M2834">
        <v>149</v>
      </c>
      <c r="N2834">
        <v>14.9</v>
      </c>
      <c r="O2834">
        <v>50</v>
      </c>
      <c r="P2834">
        <v>298</v>
      </c>
      <c r="Q2834">
        <v>333.1</v>
      </c>
      <c r="R2834" t="s">
        <v>39</v>
      </c>
      <c r="S2834" t="s">
        <v>31</v>
      </c>
      <c r="T2834" t="s">
        <v>32</v>
      </c>
      <c r="U2834">
        <v>45</v>
      </c>
      <c r="V2834">
        <v>4.8</v>
      </c>
      <c r="W2834">
        <f>Table2[[#This Row],[Quantity]]*Table2[[#This Row],[Item_Price]]</f>
        <v>298</v>
      </c>
    </row>
    <row r="2835" spans="1:23" x14ac:dyDescent="0.25">
      <c r="A2835" t="s">
        <v>2935</v>
      </c>
      <c r="B2835" s="1">
        <v>45863</v>
      </c>
      <c r="C2835" t="s">
        <v>2632</v>
      </c>
      <c r="D2835">
        <v>7</v>
      </c>
      <c r="E2835">
        <v>25</v>
      </c>
      <c r="F2835" t="s">
        <v>114</v>
      </c>
      <c r="G2835" t="s">
        <v>84</v>
      </c>
      <c r="H2835" t="s">
        <v>60</v>
      </c>
      <c r="I2835" t="s">
        <v>36</v>
      </c>
      <c r="J2835" t="s">
        <v>50</v>
      </c>
      <c r="K2835" t="s">
        <v>38</v>
      </c>
      <c r="L2835">
        <v>1</v>
      </c>
      <c r="M2835">
        <v>284</v>
      </c>
      <c r="N2835">
        <v>71</v>
      </c>
      <c r="O2835">
        <v>70</v>
      </c>
      <c r="P2835">
        <v>284</v>
      </c>
      <c r="Q2835">
        <v>283</v>
      </c>
      <c r="R2835" t="s">
        <v>75</v>
      </c>
      <c r="S2835" t="s">
        <v>31</v>
      </c>
      <c r="T2835" t="s">
        <v>40</v>
      </c>
      <c r="U2835">
        <v>61</v>
      </c>
      <c r="V2835">
        <v>3.9</v>
      </c>
      <c r="W2835">
        <f>Table2[[#This Row],[Quantity]]*Table2[[#This Row],[Item_Price]]</f>
        <v>284</v>
      </c>
    </row>
    <row r="2836" spans="1:23" x14ac:dyDescent="0.25">
      <c r="A2836" t="s">
        <v>2936</v>
      </c>
      <c r="B2836" s="1">
        <v>45863</v>
      </c>
      <c r="C2836" t="s">
        <v>2632</v>
      </c>
      <c r="D2836">
        <v>7</v>
      </c>
      <c r="E2836">
        <v>25</v>
      </c>
      <c r="F2836" t="s">
        <v>114</v>
      </c>
      <c r="G2836" t="s">
        <v>84</v>
      </c>
      <c r="H2836" t="s">
        <v>35</v>
      </c>
      <c r="I2836" t="s">
        <v>61</v>
      </c>
      <c r="J2836" t="s">
        <v>62</v>
      </c>
      <c r="K2836" t="s">
        <v>38</v>
      </c>
      <c r="L2836">
        <v>1</v>
      </c>
      <c r="M2836">
        <v>724</v>
      </c>
      <c r="N2836">
        <v>0</v>
      </c>
      <c r="O2836">
        <v>30</v>
      </c>
      <c r="P2836">
        <v>724</v>
      </c>
      <c r="Q2836">
        <v>754</v>
      </c>
      <c r="R2836" t="s">
        <v>39</v>
      </c>
      <c r="S2836" t="s">
        <v>31</v>
      </c>
      <c r="T2836" t="s">
        <v>40</v>
      </c>
      <c r="U2836">
        <v>39</v>
      </c>
      <c r="V2836">
        <v>4</v>
      </c>
      <c r="W2836">
        <f>Table2[[#This Row],[Quantity]]*Table2[[#This Row],[Item_Price]]</f>
        <v>724</v>
      </c>
    </row>
    <row r="2837" spans="1:23" x14ac:dyDescent="0.25">
      <c r="A2837" t="s">
        <v>2937</v>
      </c>
      <c r="B2837" s="1">
        <v>45863</v>
      </c>
      <c r="C2837" t="s">
        <v>2632</v>
      </c>
      <c r="D2837">
        <v>7</v>
      </c>
      <c r="E2837">
        <v>25</v>
      </c>
      <c r="F2837" t="s">
        <v>114</v>
      </c>
      <c r="G2837" t="s">
        <v>73</v>
      </c>
      <c r="H2837" t="s">
        <v>60</v>
      </c>
      <c r="I2837" t="s">
        <v>27</v>
      </c>
      <c r="J2837" t="s">
        <v>101</v>
      </c>
      <c r="K2837" t="s">
        <v>38</v>
      </c>
      <c r="L2837">
        <v>1</v>
      </c>
      <c r="M2837">
        <v>387</v>
      </c>
      <c r="N2837">
        <v>38.700000000000003</v>
      </c>
      <c r="O2837">
        <v>30</v>
      </c>
      <c r="P2837">
        <v>387</v>
      </c>
      <c r="Q2837">
        <v>378.3</v>
      </c>
      <c r="R2837" t="s">
        <v>98</v>
      </c>
      <c r="S2837" t="s">
        <v>31</v>
      </c>
      <c r="T2837" t="s">
        <v>32</v>
      </c>
      <c r="U2837">
        <v>47</v>
      </c>
      <c r="V2837">
        <v>4.4000000000000004</v>
      </c>
      <c r="W2837">
        <f>Table2[[#This Row],[Quantity]]*Table2[[#This Row],[Item_Price]]</f>
        <v>387</v>
      </c>
    </row>
    <row r="2838" spans="1:23" x14ac:dyDescent="0.25">
      <c r="A2838" t="s">
        <v>2938</v>
      </c>
      <c r="B2838" s="1">
        <v>45863</v>
      </c>
      <c r="C2838" t="s">
        <v>2632</v>
      </c>
      <c r="D2838">
        <v>7</v>
      </c>
      <c r="E2838">
        <v>25</v>
      </c>
      <c r="F2838" t="s">
        <v>114</v>
      </c>
      <c r="G2838" t="s">
        <v>96</v>
      </c>
      <c r="H2838" t="s">
        <v>65</v>
      </c>
      <c r="I2838" t="s">
        <v>97</v>
      </c>
      <c r="J2838" t="s">
        <v>53</v>
      </c>
      <c r="K2838" t="s">
        <v>45</v>
      </c>
      <c r="L2838">
        <v>2</v>
      </c>
      <c r="M2838">
        <v>842</v>
      </c>
      <c r="N2838">
        <v>84.2</v>
      </c>
      <c r="O2838">
        <v>20</v>
      </c>
      <c r="P2838">
        <v>1684</v>
      </c>
      <c r="Q2838">
        <v>1619.8</v>
      </c>
      <c r="R2838" t="s">
        <v>39</v>
      </c>
      <c r="S2838" t="s">
        <v>31</v>
      </c>
      <c r="T2838" t="s">
        <v>32</v>
      </c>
      <c r="U2838">
        <v>44</v>
      </c>
      <c r="V2838">
        <v>4.0999999999999996</v>
      </c>
      <c r="W2838">
        <f>Table2[[#This Row],[Quantity]]*Table2[[#This Row],[Item_Price]]</f>
        <v>1684</v>
      </c>
    </row>
    <row r="2839" spans="1:23" x14ac:dyDescent="0.25">
      <c r="A2839" t="s">
        <v>2939</v>
      </c>
      <c r="B2839" s="1">
        <v>45863</v>
      </c>
      <c r="C2839" t="s">
        <v>2632</v>
      </c>
      <c r="D2839">
        <v>7</v>
      </c>
      <c r="E2839">
        <v>25</v>
      </c>
      <c r="F2839" t="s">
        <v>114</v>
      </c>
      <c r="G2839" t="s">
        <v>73</v>
      </c>
      <c r="H2839" t="s">
        <v>68</v>
      </c>
      <c r="I2839" t="s">
        <v>36</v>
      </c>
      <c r="J2839" t="s">
        <v>172</v>
      </c>
      <c r="K2839" t="s">
        <v>38</v>
      </c>
      <c r="L2839">
        <v>1</v>
      </c>
      <c r="M2839">
        <v>829</v>
      </c>
      <c r="N2839">
        <v>124.35</v>
      </c>
      <c r="O2839">
        <v>0</v>
      </c>
      <c r="P2839">
        <v>829</v>
      </c>
      <c r="Q2839">
        <v>704.65</v>
      </c>
      <c r="R2839" t="s">
        <v>39</v>
      </c>
      <c r="S2839" t="s">
        <v>46</v>
      </c>
      <c r="T2839" t="s">
        <v>40</v>
      </c>
      <c r="U2839">
        <v>47</v>
      </c>
      <c r="W2839">
        <f>Table2[[#This Row],[Quantity]]*Table2[[#This Row],[Item_Price]]</f>
        <v>829</v>
      </c>
    </row>
    <row r="2840" spans="1:23" x14ac:dyDescent="0.25">
      <c r="A2840" t="s">
        <v>2940</v>
      </c>
      <c r="B2840" s="1">
        <v>45863</v>
      </c>
      <c r="C2840" t="s">
        <v>2632</v>
      </c>
      <c r="D2840">
        <v>7</v>
      </c>
      <c r="E2840">
        <v>25</v>
      </c>
      <c r="F2840" t="s">
        <v>114</v>
      </c>
      <c r="G2840" t="s">
        <v>25</v>
      </c>
      <c r="H2840" t="s">
        <v>60</v>
      </c>
      <c r="I2840" t="s">
        <v>61</v>
      </c>
      <c r="J2840" t="s">
        <v>70</v>
      </c>
      <c r="K2840" t="s">
        <v>38</v>
      </c>
      <c r="L2840">
        <v>3</v>
      </c>
      <c r="M2840">
        <v>285</v>
      </c>
      <c r="N2840">
        <v>71.25</v>
      </c>
      <c r="O2840">
        <v>30</v>
      </c>
      <c r="P2840">
        <v>855</v>
      </c>
      <c r="Q2840">
        <v>813.75</v>
      </c>
      <c r="R2840" t="s">
        <v>112</v>
      </c>
      <c r="S2840" t="s">
        <v>91</v>
      </c>
      <c r="T2840" t="s">
        <v>40</v>
      </c>
      <c r="U2840">
        <v>58</v>
      </c>
      <c r="W2840">
        <f>Table2[[#This Row],[Quantity]]*Table2[[#This Row],[Item_Price]]</f>
        <v>855</v>
      </c>
    </row>
    <row r="2841" spans="1:23" x14ac:dyDescent="0.25">
      <c r="A2841" t="s">
        <v>2941</v>
      </c>
      <c r="B2841" s="1">
        <v>45864</v>
      </c>
      <c r="C2841" t="s">
        <v>2632</v>
      </c>
      <c r="D2841">
        <v>7</v>
      </c>
      <c r="E2841">
        <v>26</v>
      </c>
      <c r="F2841" t="s">
        <v>134</v>
      </c>
      <c r="G2841" t="s">
        <v>64</v>
      </c>
      <c r="H2841" t="s">
        <v>108</v>
      </c>
      <c r="I2841" t="s">
        <v>97</v>
      </c>
      <c r="J2841" t="s">
        <v>94</v>
      </c>
      <c r="K2841" t="s">
        <v>45</v>
      </c>
      <c r="L2841">
        <v>2</v>
      </c>
      <c r="M2841">
        <v>743</v>
      </c>
      <c r="N2841">
        <v>111.45</v>
      </c>
      <c r="O2841">
        <v>70</v>
      </c>
      <c r="P2841">
        <v>1486</v>
      </c>
      <c r="Q2841">
        <v>1444.55</v>
      </c>
      <c r="R2841" t="s">
        <v>98</v>
      </c>
      <c r="S2841" t="s">
        <v>31</v>
      </c>
      <c r="T2841" t="s">
        <v>40</v>
      </c>
      <c r="U2841">
        <v>63</v>
      </c>
      <c r="V2841">
        <v>4.0999999999999996</v>
      </c>
      <c r="W2841">
        <f>Table2[[#This Row],[Quantity]]*Table2[[#This Row],[Item_Price]]</f>
        <v>1486</v>
      </c>
    </row>
    <row r="2842" spans="1:23" x14ac:dyDescent="0.25">
      <c r="A2842" t="s">
        <v>2942</v>
      </c>
      <c r="B2842" s="1">
        <v>45864</v>
      </c>
      <c r="C2842" t="s">
        <v>2632</v>
      </c>
      <c r="D2842">
        <v>7</v>
      </c>
      <c r="E2842">
        <v>26</v>
      </c>
      <c r="F2842" t="s">
        <v>134</v>
      </c>
      <c r="G2842" t="s">
        <v>64</v>
      </c>
      <c r="H2842" t="s">
        <v>105</v>
      </c>
      <c r="I2842" t="s">
        <v>85</v>
      </c>
      <c r="J2842" t="s">
        <v>101</v>
      </c>
      <c r="K2842" t="s">
        <v>38</v>
      </c>
      <c r="L2842">
        <v>2</v>
      </c>
      <c r="M2842">
        <v>757</v>
      </c>
      <c r="N2842">
        <v>75.7</v>
      </c>
      <c r="O2842">
        <v>50</v>
      </c>
      <c r="P2842">
        <v>1514</v>
      </c>
      <c r="Q2842">
        <v>1488.3</v>
      </c>
      <c r="R2842" t="s">
        <v>39</v>
      </c>
      <c r="S2842" t="s">
        <v>31</v>
      </c>
      <c r="T2842" t="s">
        <v>40</v>
      </c>
      <c r="U2842">
        <v>28</v>
      </c>
      <c r="V2842">
        <v>3</v>
      </c>
      <c r="W2842">
        <f>Table2[[#This Row],[Quantity]]*Table2[[#This Row],[Item_Price]]</f>
        <v>1514</v>
      </c>
    </row>
    <row r="2843" spans="1:23" x14ac:dyDescent="0.25">
      <c r="A2843" t="s">
        <v>2943</v>
      </c>
      <c r="B2843" s="1">
        <v>45864</v>
      </c>
      <c r="C2843" t="s">
        <v>2632</v>
      </c>
      <c r="D2843">
        <v>7</v>
      </c>
      <c r="E2843">
        <v>26</v>
      </c>
      <c r="F2843" t="s">
        <v>134</v>
      </c>
      <c r="G2843" t="s">
        <v>80</v>
      </c>
      <c r="H2843" t="s">
        <v>81</v>
      </c>
      <c r="I2843" t="s">
        <v>43</v>
      </c>
      <c r="J2843" t="s">
        <v>123</v>
      </c>
      <c r="K2843" t="s">
        <v>38</v>
      </c>
      <c r="L2843">
        <v>2</v>
      </c>
      <c r="M2843">
        <v>505</v>
      </c>
      <c r="N2843">
        <v>50.5</v>
      </c>
      <c r="O2843">
        <v>60</v>
      </c>
      <c r="P2843">
        <v>1010</v>
      </c>
      <c r="Q2843">
        <v>1019.5</v>
      </c>
      <c r="R2843" t="s">
        <v>39</v>
      </c>
      <c r="S2843" t="s">
        <v>31</v>
      </c>
      <c r="T2843" t="s">
        <v>32</v>
      </c>
      <c r="U2843">
        <v>62</v>
      </c>
      <c r="V2843">
        <v>4.5</v>
      </c>
      <c r="W2843">
        <f>Table2[[#This Row],[Quantity]]*Table2[[#This Row],[Item_Price]]</f>
        <v>1010</v>
      </c>
    </row>
    <row r="2844" spans="1:23" x14ac:dyDescent="0.25">
      <c r="A2844" t="s">
        <v>2944</v>
      </c>
      <c r="B2844" s="1">
        <v>45864</v>
      </c>
      <c r="C2844" t="s">
        <v>2632</v>
      </c>
      <c r="D2844">
        <v>7</v>
      </c>
      <c r="E2844">
        <v>26</v>
      </c>
      <c r="F2844" t="s">
        <v>134</v>
      </c>
      <c r="G2844" t="s">
        <v>64</v>
      </c>
      <c r="H2844" t="s">
        <v>60</v>
      </c>
      <c r="I2844" t="s">
        <v>43</v>
      </c>
      <c r="J2844" t="s">
        <v>172</v>
      </c>
      <c r="K2844" t="s">
        <v>38</v>
      </c>
      <c r="L2844">
        <v>1</v>
      </c>
      <c r="M2844">
        <v>550</v>
      </c>
      <c r="N2844">
        <v>27.5</v>
      </c>
      <c r="O2844">
        <v>50</v>
      </c>
      <c r="P2844">
        <v>550</v>
      </c>
      <c r="Q2844">
        <v>572.5</v>
      </c>
      <c r="R2844" t="s">
        <v>30</v>
      </c>
      <c r="S2844" t="s">
        <v>31</v>
      </c>
      <c r="T2844" t="s">
        <v>40</v>
      </c>
      <c r="U2844">
        <v>38</v>
      </c>
      <c r="V2844">
        <v>4</v>
      </c>
      <c r="W2844">
        <f>Table2[[#This Row],[Quantity]]*Table2[[#This Row],[Item_Price]]</f>
        <v>550</v>
      </c>
    </row>
    <row r="2845" spans="1:23" x14ac:dyDescent="0.25">
      <c r="A2845" t="s">
        <v>2945</v>
      </c>
      <c r="B2845" s="1">
        <v>45864</v>
      </c>
      <c r="C2845" t="s">
        <v>2632</v>
      </c>
      <c r="D2845">
        <v>7</v>
      </c>
      <c r="E2845">
        <v>26</v>
      </c>
      <c r="F2845" t="s">
        <v>134</v>
      </c>
      <c r="G2845" t="s">
        <v>73</v>
      </c>
      <c r="H2845" t="s">
        <v>26</v>
      </c>
      <c r="I2845" t="s">
        <v>61</v>
      </c>
      <c r="J2845" t="s">
        <v>101</v>
      </c>
      <c r="K2845" t="s">
        <v>45</v>
      </c>
      <c r="L2845">
        <v>1</v>
      </c>
      <c r="M2845">
        <v>576</v>
      </c>
      <c r="N2845">
        <v>28.8</v>
      </c>
      <c r="O2845">
        <v>0</v>
      </c>
      <c r="P2845">
        <v>576</v>
      </c>
      <c r="Q2845">
        <v>547.20000000000005</v>
      </c>
      <c r="R2845" t="s">
        <v>30</v>
      </c>
      <c r="S2845" t="s">
        <v>31</v>
      </c>
      <c r="T2845" t="s">
        <v>40</v>
      </c>
      <c r="U2845">
        <v>22</v>
      </c>
      <c r="V2845">
        <v>4.4000000000000004</v>
      </c>
      <c r="W2845">
        <f>Table2[[#This Row],[Quantity]]*Table2[[#This Row],[Item_Price]]</f>
        <v>576</v>
      </c>
    </row>
    <row r="2846" spans="1:23" x14ac:dyDescent="0.25">
      <c r="A2846" t="s">
        <v>2946</v>
      </c>
      <c r="B2846" s="1">
        <v>45864</v>
      </c>
      <c r="C2846" t="s">
        <v>2632</v>
      </c>
      <c r="D2846">
        <v>7</v>
      </c>
      <c r="E2846">
        <v>26</v>
      </c>
      <c r="F2846" t="s">
        <v>134</v>
      </c>
      <c r="G2846" t="s">
        <v>25</v>
      </c>
      <c r="H2846" t="s">
        <v>60</v>
      </c>
      <c r="I2846" t="s">
        <v>69</v>
      </c>
      <c r="J2846" t="s">
        <v>78</v>
      </c>
      <c r="K2846" t="s">
        <v>38</v>
      </c>
      <c r="L2846">
        <v>1</v>
      </c>
      <c r="M2846">
        <v>370</v>
      </c>
      <c r="N2846">
        <v>74</v>
      </c>
      <c r="O2846">
        <v>60</v>
      </c>
      <c r="P2846">
        <v>370</v>
      </c>
      <c r="Q2846">
        <v>356</v>
      </c>
      <c r="R2846" t="s">
        <v>30</v>
      </c>
      <c r="S2846" t="s">
        <v>31</v>
      </c>
      <c r="T2846" t="s">
        <v>40</v>
      </c>
      <c r="U2846">
        <v>64</v>
      </c>
      <c r="V2846">
        <v>4.0999999999999996</v>
      </c>
      <c r="W2846">
        <f>Table2[[#This Row],[Quantity]]*Table2[[#This Row],[Item_Price]]</f>
        <v>370</v>
      </c>
    </row>
    <row r="2847" spans="1:23" x14ac:dyDescent="0.25">
      <c r="A2847" t="s">
        <v>2947</v>
      </c>
      <c r="B2847" s="1">
        <v>45864</v>
      </c>
      <c r="C2847" t="s">
        <v>2632</v>
      </c>
      <c r="D2847">
        <v>7</v>
      </c>
      <c r="E2847">
        <v>26</v>
      </c>
      <c r="F2847" t="s">
        <v>134</v>
      </c>
      <c r="G2847" t="s">
        <v>34</v>
      </c>
      <c r="H2847" t="s">
        <v>26</v>
      </c>
      <c r="I2847" t="s">
        <v>97</v>
      </c>
      <c r="J2847" t="s">
        <v>94</v>
      </c>
      <c r="K2847" t="s">
        <v>45</v>
      </c>
      <c r="L2847">
        <v>2</v>
      </c>
      <c r="M2847">
        <v>149</v>
      </c>
      <c r="N2847">
        <v>22.35</v>
      </c>
      <c r="O2847">
        <v>70</v>
      </c>
      <c r="P2847">
        <v>298</v>
      </c>
      <c r="Q2847">
        <v>345.65</v>
      </c>
      <c r="R2847" t="s">
        <v>39</v>
      </c>
      <c r="S2847" t="s">
        <v>31</v>
      </c>
      <c r="T2847" t="s">
        <v>40</v>
      </c>
      <c r="U2847">
        <v>56</v>
      </c>
      <c r="V2847">
        <v>3.3</v>
      </c>
      <c r="W2847">
        <f>Table2[[#This Row],[Quantity]]*Table2[[#This Row],[Item_Price]]</f>
        <v>298</v>
      </c>
    </row>
    <row r="2848" spans="1:23" x14ac:dyDescent="0.25">
      <c r="A2848" t="s">
        <v>2948</v>
      </c>
      <c r="B2848" s="1">
        <v>45864</v>
      </c>
      <c r="C2848" t="s">
        <v>2632</v>
      </c>
      <c r="D2848">
        <v>7</v>
      </c>
      <c r="E2848">
        <v>26</v>
      </c>
      <c r="F2848" t="s">
        <v>134</v>
      </c>
      <c r="G2848" t="s">
        <v>55</v>
      </c>
      <c r="H2848" t="s">
        <v>108</v>
      </c>
      <c r="I2848" t="s">
        <v>69</v>
      </c>
      <c r="J2848" t="s">
        <v>50</v>
      </c>
      <c r="K2848" t="s">
        <v>38</v>
      </c>
      <c r="L2848">
        <v>1</v>
      </c>
      <c r="M2848">
        <v>585</v>
      </c>
      <c r="N2848">
        <v>146.25</v>
      </c>
      <c r="O2848">
        <v>30</v>
      </c>
      <c r="P2848">
        <v>585</v>
      </c>
      <c r="Q2848">
        <v>468.75</v>
      </c>
      <c r="R2848" t="s">
        <v>39</v>
      </c>
      <c r="S2848" t="s">
        <v>31</v>
      </c>
      <c r="T2848" t="s">
        <v>32</v>
      </c>
      <c r="U2848">
        <v>56</v>
      </c>
      <c r="V2848">
        <v>4.8</v>
      </c>
      <c r="W2848">
        <f>Table2[[#This Row],[Quantity]]*Table2[[#This Row],[Item_Price]]</f>
        <v>585</v>
      </c>
    </row>
    <row r="2849" spans="1:23" x14ac:dyDescent="0.25">
      <c r="A2849" t="s">
        <v>2949</v>
      </c>
      <c r="B2849" s="1">
        <v>45864</v>
      </c>
      <c r="C2849" t="s">
        <v>2632</v>
      </c>
      <c r="D2849">
        <v>7</v>
      </c>
      <c r="E2849">
        <v>26</v>
      </c>
      <c r="F2849" t="s">
        <v>134</v>
      </c>
      <c r="G2849" t="s">
        <v>55</v>
      </c>
      <c r="H2849" t="s">
        <v>60</v>
      </c>
      <c r="I2849" t="s">
        <v>103</v>
      </c>
      <c r="J2849" t="s">
        <v>172</v>
      </c>
      <c r="K2849" t="s">
        <v>38</v>
      </c>
      <c r="L2849">
        <v>1</v>
      </c>
      <c r="M2849">
        <v>609</v>
      </c>
      <c r="N2849">
        <v>60.9</v>
      </c>
      <c r="O2849">
        <v>30</v>
      </c>
      <c r="P2849">
        <v>609</v>
      </c>
      <c r="Q2849">
        <v>578.1</v>
      </c>
      <c r="R2849" t="s">
        <v>30</v>
      </c>
      <c r="S2849" t="s">
        <v>31</v>
      </c>
      <c r="T2849" t="s">
        <v>32</v>
      </c>
      <c r="U2849">
        <v>59</v>
      </c>
      <c r="V2849">
        <v>2.7</v>
      </c>
      <c r="W2849">
        <f>Table2[[#This Row],[Quantity]]*Table2[[#This Row],[Item_Price]]</f>
        <v>609</v>
      </c>
    </row>
    <row r="2850" spans="1:23" x14ac:dyDescent="0.25">
      <c r="A2850" t="s">
        <v>2950</v>
      </c>
      <c r="B2850" s="1">
        <v>45864</v>
      </c>
      <c r="C2850" t="s">
        <v>2632</v>
      </c>
      <c r="D2850">
        <v>7</v>
      </c>
      <c r="E2850">
        <v>26</v>
      </c>
      <c r="F2850" t="s">
        <v>134</v>
      </c>
      <c r="G2850" t="s">
        <v>80</v>
      </c>
      <c r="H2850" t="s">
        <v>60</v>
      </c>
      <c r="I2850" t="s">
        <v>43</v>
      </c>
      <c r="J2850" t="s">
        <v>66</v>
      </c>
      <c r="K2850" t="s">
        <v>38</v>
      </c>
      <c r="L2850">
        <v>2</v>
      </c>
      <c r="M2850">
        <v>280</v>
      </c>
      <c r="N2850">
        <v>70</v>
      </c>
      <c r="O2850">
        <v>60</v>
      </c>
      <c r="P2850">
        <v>560</v>
      </c>
      <c r="Q2850">
        <v>550</v>
      </c>
      <c r="R2850" t="s">
        <v>39</v>
      </c>
      <c r="S2850" t="s">
        <v>31</v>
      </c>
      <c r="T2850" t="s">
        <v>40</v>
      </c>
      <c r="U2850">
        <v>59</v>
      </c>
      <c r="V2850">
        <v>4.2</v>
      </c>
      <c r="W2850">
        <f>Table2[[#This Row],[Quantity]]*Table2[[#This Row],[Item_Price]]</f>
        <v>560</v>
      </c>
    </row>
    <row r="2851" spans="1:23" x14ac:dyDescent="0.25">
      <c r="A2851" t="s">
        <v>2951</v>
      </c>
      <c r="B2851" s="1">
        <v>45864</v>
      </c>
      <c r="C2851" t="s">
        <v>2632</v>
      </c>
      <c r="D2851">
        <v>7</v>
      </c>
      <c r="E2851">
        <v>26</v>
      </c>
      <c r="F2851" t="s">
        <v>134</v>
      </c>
      <c r="G2851" t="s">
        <v>73</v>
      </c>
      <c r="H2851" t="s">
        <v>105</v>
      </c>
      <c r="I2851" t="s">
        <v>43</v>
      </c>
      <c r="J2851" t="s">
        <v>119</v>
      </c>
      <c r="K2851" t="s">
        <v>38</v>
      </c>
      <c r="L2851">
        <v>3</v>
      </c>
      <c r="M2851">
        <v>333</v>
      </c>
      <c r="N2851">
        <v>49.95</v>
      </c>
      <c r="O2851">
        <v>50</v>
      </c>
      <c r="P2851">
        <v>999</v>
      </c>
      <c r="Q2851">
        <v>999.05</v>
      </c>
      <c r="R2851" t="s">
        <v>98</v>
      </c>
      <c r="S2851" t="s">
        <v>31</v>
      </c>
      <c r="T2851" t="s">
        <v>32</v>
      </c>
      <c r="U2851">
        <v>60</v>
      </c>
      <c r="V2851">
        <v>3.8</v>
      </c>
      <c r="W2851">
        <f>Table2[[#This Row],[Quantity]]*Table2[[#This Row],[Item_Price]]</f>
        <v>999</v>
      </c>
    </row>
    <row r="2852" spans="1:23" x14ac:dyDescent="0.25">
      <c r="A2852" t="s">
        <v>2952</v>
      </c>
      <c r="B2852" s="1">
        <v>45864</v>
      </c>
      <c r="C2852" t="s">
        <v>2632</v>
      </c>
      <c r="D2852">
        <v>7</v>
      </c>
      <c r="E2852">
        <v>26</v>
      </c>
      <c r="F2852" t="s">
        <v>134</v>
      </c>
      <c r="G2852" t="s">
        <v>80</v>
      </c>
      <c r="H2852" t="s">
        <v>52</v>
      </c>
      <c r="I2852" t="s">
        <v>49</v>
      </c>
      <c r="J2852" t="s">
        <v>74</v>
      </c>
      <c r="K2852" t="s">
        <v>38</v>
      </c>
      <c r="L2852">
        <v>1</v>
      </c>
      <c r="M2852">
        <v>843</v>
      </c>
      <c r="N2852">
        <v>168.6</v>
      </c>
      <c r="O2852">
        <v>20</v>
      </c>
      <c r="P2852">
        <v>843</v>
      </c>
      <c r="Q2852">
        <v>694.4</v>
      </c>
      <c r="R2852" t="s">
        <v>98</v>
      </c>
      <c r="S2852" t="s">
        <v>31</v>
      </c>
      <c r="T2852" t="s">
        <v>40</v>
      </c>
      <c r="U2852">
        <v>28</v>
      </c>
      <c r="V2852">
        <v>3.4</v>
      </c>
      <c r="W2852">
        <f>Table2[[#This Row],[Quantity]]*Table2[[#This Row],[Item_Price]]</f>
        <v>843</v>
      </c>
    </row>
    <row r="2853" spans="1:23" x14ac:dyDescent="0.25">
      <c r="A2853" t="s">
        <v>2953</v>
      </c>
      <c r="B2853" s="1">
        <v>45864</v>
      </c>
      <c r="C2853" t="s">
        <v>2632</v>
      </c>
      <c r="D2853">
        <v>7</v>
      </c>
      <c r="E2853">
        <v>26</v>
      </c>
      <c r="F2853" t="s">
        <v>134</v>
      </c>
      <c r="G2853" t="s">
        <v>80</v>
      </c>
      <c r="H2853" t="s">
        <v>135</v>
      </c>
      <c r="I2853" t="s">
        <v>27</v>
      </c>
      <c r="J2853" t="s">
        <v>74</v>
      </c>
      <c r="K2853" t="s">
        <v>58</v>
      </c>
      <c r="L2853">
        <v>1</v>
      </c>
      <c r="M2853">
        <v>292</v>
      </c>
      <c r="N2853">
        <v>29.2</v>
      </c>
      <c r="O2853">
        <v>20</v>
      </c>
      <c r="P2853">
        <v>292</v>
      </c>
      <c r="Q2853">
        <v>282.8</v>
      </c>
      <c r="R2853" t="s">
        <v>30</v>
      </c>
      <c r="S2853" t="s">
        <v>31</v>
      </c>
      <c r="T2853" t="s">
        <v>40</v>
      </c>
      <c r="U2853">
        <v>46</v>
      </c>
      <c r="V2853">
        <v>4.0999999999999996</v>
      </c>
      <c r="W2853">
        <f>Table2[[#This Row],[Quantity]]*Table2[[#This Row],[Item_Price]]</f>
        <v>292</v>
      </c>
    </row>
    <row r="2854" spans="1:23" x14ac:dyDescent="0.25">
      <c r="A2854" t="s">
        <v>2954</v>
      </c>
      <c r="B2854" s="1">
        <v>45864</v>
      </c>
      <c r="C2854" t="s">
        <v>2632</v>
      </c>
      <c r="D2854">
        <v>7</v>
      </c>
      <c r="E2854">
        <v>26</v>
      </c>
      <c r="F2854" t="s">
        <v>134</v>
      </c>
      <c r="G2854" t="s">
        <v>34</v>
      </c>
      <c r="H2854" t="s">
        <v>26</v>
      </c>
      <c r="I2854" t="s">
        <v>103</v>
      </c>
      <c r="J2854" t="s">
        <v>70</v>
      </c>
      <c r="K2854" t="s">
        <v>38</v>
      </c>
      <c r="L2854">
        <v>1</v>
      </c>
      <c r="M2854">
        <v>189</v>
      </c>
      <c r="N2854">
        <v>0</v>
      </c>
      <c r="O2854">
        <v>50</v>
      </c>
      <c r="P2854">
        <v>189</v>
      </c>
      <c r="Q2854">
        <v>239</v>
      </c>
      <c r="R2854" t="s">
        <v>39</v>
      </c>
      <c r="S2854" t="s">
        <v>31</v>
      </c>
      <c r="T2854" t="s">
        <v>40</v>
      </c>
      <c r="U2854">
        <v>27</v>
      </c>
      <c r="V2854">
        <v>4.8</v>
      </c>
      <c r="W2854">
        <f>Table2[[#This Row],[Quantity]]*Table2[[#This Row],[Item_Price]]</f>
        <v>189</v>
      </c>
    </row>
    <row r="2855" spans="1:23" x14ac:dyDescent="0.25">
      <c r="A2855" t="s">
        <v>2955</v>
      </c>
      <c r="B2855" s="1">
        <v>45864</v>
      </c>
      <c r="C2855" t="s">
        <v>2632</v>
      </c>
      <c r="D2855">
        <v>7</v>
      </c>
      <c r="E2855">
        <v>26</v>
      </c>
      <c r="F2855" t="s">
        <v>134</v>
      </c>
      <c r="G2855" t="s">
        <v>84</v>
      </c>
      <c r="H2855" t="s">
        <v>81</v>
      </c>
      <c r="I2855" t="s">
        <v>61</v>
      </c>
      <c r="J2855" t="s">
        <v>50</v>
      </c>
      <c r="K2855" t="s">
        <v>38</v>
      </c>
      <c r="L2855">
        <v>2</v>
      </c>
      <c r="M2855">
        <v>727</v>
      </c>
      <c r="N2855">
        <v>72.7</v>
      </c>
      <c r="O2855">
        <v>50</v>
      </c>
      <c r="P2855">
        <v>1454</v>
      </c>
      <c r="Q2855">
        <v>1431.3</v>
      </c>
      <c r="R2855" t="s">
        <v>39</v>
      </c>
      <c r="S2855" t="s">
        <v>31</v>
      </c>
      <c r="T2855" t="s">
        <v>40</v>
      </c>
      <c r="U2855">
        <v>30</v>
      </c>
      <c r="V2855">
        <v>3.2</v>
      </c>
      <c r="W2855">
        <f>Table2[[#This Row],[Quantity]]*Table2[[#This Row],[Item_Price]]</f>
        <v>1454</v>
      </c>
    </row>
    <row r="2856" spans="1:23" x14ac:dyDescent="0.25">
      <c r="A2856" t="s">
        <v>2956</v>
      </c>
      <c r="B2856" s="1">
        <v>45865</v>
      </c>
      <c r="C2856" t="s">
        <v>2632</v>
      </c>
      <c r="D2856">
        <v>7</v>
      </c>
      <c r="E2856">
        <v>27</v>
      </c>
      <c r="F2856" t="s">
        <v>149</v>
      </c>
      <c r="G2856" t="s">
        <v>84</v>
      </c>
      <c r="H2856" t="s">
        <v>68</v>
      </c>
      <c r="I2856" t="s">
        <v>49</v>
      </c>
      <c r="J2856" t="s">
        <v>78</v>
      </c>
      <c r="K2856" t="s">
        <v>38</v>
      </c>
      <c r="L2856">
        <v>1</v>
      </c>
      <c r="M2856">
        <v>274</v>
      </c>
      <c r="N2856">
        <v>13.7</v>
      </c>
      <c r="O2856">
        <v>40</v>
      </c>
      <c r="P2856">
        <v>274</v>
      </c>
      <c r="Q2856">
        <v>300.3</v>
      </c>
      <c r="R2856" t="s">
        <v>75</v>
      </c>
      <c r="S2856" t="s">
        <v>31</v>
      </c>
      <c r="T2856" t="s">
        <v>40</v>
      </c>
      <c r="U2856">
        <v>57</v>
      </c>
      <c r="V2856">
        <v>4.5999999999999996</v>
      </c>
      <c r="W2856">
        <f>Table2[[#This Row],[Quantity]]*Table2[[#This Row],[Item_Price]]</f>
        <v>274</v>
      </c>
    </row>
    <row r="2857" spans="1:23" x14ac:dyDescent="0.25">
      <c r="A2857" t="s">
        <v>2957</v>
      </c>
      <c r="B2857" s="1">
        <v>45865</v>
      </c>
      <c r="C2857" t="s">
        <v>2632</v>
      </c>
      <c r="D2857">
        <v>7</v>
      </c>
      <c r="E2857">
        <v>27</v>
      </c>
      <c r="F2857" t="s">
        <v>149</v>
      </c>
      <c r="G2857" t="s">
        <v>73</v>
      </c>
      <c r="H2857" t="s">
        <v>135</v>
      </c>
      <c r="I2857" t="s">
        <v>103</v>
      </c>
      <c r="J2857" t="s">
        <v>66</v>
      </c>
      <c r="K2857" t="s">
        <v>45</v>
      </c>
      <c r="L2857">
        <v>1</v>
      </c>
      <c r="M2857">
        <v>526</v>
      </c>
      <c r="N2857">
        <v>52.6</v>
      </c>
      <c r="O2857">
        <v>40</v>
      </c>
      <c r="P2857">
        <v>526</v>
      </c>
      <c r="Q2857">
        <v>513.4</v>
      </c>
      <c r="R2857" t="s">
        <v>112</v>
      </c>
      <c r="S2857" t="s">
        <v>31</v>
      </c>
      <c r="T2857" t="s">
        <v>40</v>
      </c>
      <c r="U2857">
        <v>38</v>
      </c>
      <c r="V2857">
        <v>3.9</v>
      </c>
      <c r="W2857">
        <f>Table2[[#This Row],[Quantity]]*Table2[[#This Row],[Item_Price]]</f>
        <v>526</v>
      </c>
    </row>
    <row r="2858" spans="1:23" x14ac:dyDescent="0.25">
      <c r="A2858" t="s">
        <v>2958</v>
      </c>
      <c r="B2858" s="1">
        <v>45865</v>
      </c>
      <c r="C2858" t="s">
        <v>2632</v>
      </c>
      <c r="D2858">
        <v>7</v>
      </c>
      <c r="E2858">
        <v>27</v>
      </c>
      <c r="F2858" t="s">
        <v>149</v>
      </c>
      <c r="G2858" t="s">
        <v>64</v>
      </c>
      <c r="H2858" t="s">
        <v>68</v>
      </c>
      <c r="I2858" t="s">
        <v>69</v>
      </c>
      <c r="J2858" t="s">
        <v>37</v>
      </c>
      <c r="K2858" t="s">
        <v>38</v>
      </c>
      <c r="L2858">
        <v>2</v>
      </c>
      <c r="M2858">
        <v>519</v>
      </c>
      <c r="N2858">
        <v>77.849999999999994</v>
      </c>
      <c r="O2858">
        <v>0</v>
      </c>
      <c r="P2858">
        <v>1038</v>
      </c>
      <c r="Q2858">
        <v>960.15</v>
      </c>
      <c r="R2858" t="s">
        <v>39</v>
      </c>
      <c r="S2858" t="s">
        <v>91</v>
      </c>
      <c r="T2858" t="s">
        <v>40</v>
      </c>
      <c r="U2858">
        <v>30</v>
      </c>
      <c r="W2858">
        <f>Table2[[#This Row],[Quantity]]*Table2[[#This Row],[Item_Price]]</f>
        <v>1038</v>
      </c>
    </row>
    <row r="2859" spans="1:23" x14ac:dyDescent="0.25">
      <c r="A2859" t="s">
        <v>2959</v>
      </c>
      <c r="B2859" s="1">
        <v>45865</v>
      </c>
      <c r="C2859" t="s">
        <v>2632</v>
      </c>
      <c r="D2859">
        <v>7</v>
      </c>
      <c r="E2859">
        <v>27</v>
      </c>
      <c r="F2859" t="s">
        <v>149</v>
      </c>
      <c r="G2859" t="s">
        <v>64</v>
      </c>
      <c r="H2859" t="s">
        <v>108</v>
      </c>
      <c r="I2859" t="s">
        <v>49</v>
      </c>
      <c r="J2859" t="s">
        <v>123</v>
      </c>
      <c r="K2859" t="s">
        <v>38</v>
      </c>
      <c r="L2859">
        <v>3</v>
      </c>
      <c r="M2859">
        <v>547</v>
      </c>
      <c r="N2859">
        <v>54.7</v>
      </c>
      <c r="O2859">
        <v>30</v>
      </c>
      <c r="P2859">
        <v>1641</v>
      </c>
      <c r="Q2859">
        <v>1616.3</v>
      </c>
      <c r="R2859" t="s">
        <v>112</v>
      </c>
      <c r="S2859" t="s">
        <v>31</v>
      </c>
      <c r="T2859" t="s">
        <v>32</v>
      </c>
      <c r="U2859">
        <v>55</v>
      </c>
      <c r="V2859">
        <v>5</v>
      </c>
      <c r="W2859">
        <f>Table2[[#This Row],[Quantity]]*Table2[[#This Row],[Item_Price]]</f>
        <v>1641</v>
      </c>
    </row>
    <row r="2860" spans="1:23" x14ac:dyDescent="0.25">
      <c r="A2860" t="s">
        <v>2960</v>
      </c>
      <c r="B2860" s="1">
        <v>45865</v>
      </c>
      <c r="C2860" t="s">
        <v>2632</v>
      </c>
      <c r="D2860">
        <v>7</v>
      </c>
      <c r="E2860">
        <v>27</v>
      </c>
      <c r="F2860" t="s">
        <v>149</v>
      </c>
      <c r="G2860" t="s">
        <v>80</v>
      </c>
      <c r="H2860" t="s">
        <v>65</v>
      </c>
      <c r="I2860" t="s">
        <v>36</v>
      </c>
      <c r="J2860" t="s">
        <v>94</v>
      </c>
      <c r="K2860" t="s">
        <v>38</v>
      </c>
      <c r="L2860">
        <v>2</v>
      </c>
      <c r="M2860">
        <v>187</v>
      </c>
      <c r="N2860">
        <v>9.35</v>
      </c>
      <c r="O2860">
        <v>50</v>
      </c>
      <c r="P2860">
        <v>374</v>
      </c>
      <c r="Q2860">
        <v>414.65</v>
      </c>
      <c r="R2860" t="s">
        <v>30</v>
      </c>
      <c r="S2860" t="s">
        <v>46</v>
      </c>
      <c r="T2860" t="s">
        <v>40</v>
      </c>
      <c r="U2860">
        <v>51</v>
      </c>
      <c r="W2860">
        <f>Table2[[#This Row],[Quantity]]*Table2[[#This Row],[Item_Price]]</f>
        <v>374</v>
      </c>
    </row>
    <row r="2861" spans="1:23" x14ac:dyDescent="0.25">
      <c r="A2861" t="s">
        <v>2961</v>
      </c>
      <c r="B2861" s="1">
        <v>45865</v>
      </c>
      <c r="C2861" t="s">
        <v>2632</v>
      </c>
      <c r="D2861">
        <v>7</v>
      </c>
      <c r="E2861">
        <v>27</v>
      </c>
      <c r="F2861" t="s">
        <v>149</v>
      </c>
      <c r="G2861" t="s">
        <v>34</v>
      </c>
      <c r="H2861" t="s">
        <v>139</v>
      </c>
      <c r="I2861" t="s">
        <v>57</v>
      </c>
      <c r="J2861" t="s">
        <v>44</v>
      </c>
      <c r="K2861" t="s">
        <v>38</v>
      </c>
      <c r="L2861">
        <v>1</v>
      </c>
      <c r="M2861">
        <v>330</v>
      </c>
      <c r="N2861">
        <v>33</v>
      </c>
      <c r="O2861">
        <v>30</v>
      </c>
      <c r="P2861">
        <v>330</v>
      </c>
      <c r="Q2861">
        <v>327</v>
      </c>
      <c r="R2861" t="s">
        <v>39</v>
      </c>
      <c r="S2861" t="s">
        <v>31</v>
      </c>
      <c r="T2861" t="s">
        <v>40</v>
      </c>
      <c r="U2861">
        <v>38</v>
      </c>
      <c r="V2861">
        <v>4.5</v>
      </c>
      <c r="W2861">
        <f>Table2[[#This Row],[Quantity]]*Table2[[#This Row],[Item_Price]]</f>
        <v>330</v>
      </c>
    </row>
    <row r="2862" spans="1:23" x14ac:dyDescent="0.25">
      <c r="A2862" t="s">
        <v>2962</v>
      </c>
      <c r="B2862" s="1">
        <v>45865</v>
      </c>
      <c r="C2862" t="s">
        <v>2632</v>
      </c>
      <c r="D2862">
        <v>7</v>
      </c>
      <c r="E2862">
        <v>27</v>
      </c>
      <c r="F2862" t="s">
        <v>149</v>
      </c>
      <c r="G2862" t="s">
        <v>115</v>
      </c>
      <c r="H2862" t="s">
        <v>52</v>
      </c>
      <c r="I2862" t="s">
        <v>49</v>
      </c>
      <c r="J2862" t="s">
        <v>78</v>
      </c>
      <c r="K2862" t="s">
        <v>38</v>
      </c>
      <c r="L2862">
        <v>3</v>
      </c>
      <c r="M2862">
        <v>540</v>
      </c>
      <c r="N2862">
        <v>54</v>
      </c>
      <c r="O2862">
        <v>0</v>
      </c>
      <c r="P2862">
        <v>1620</v>
      </c>
      <c r="Q2862">
        <v>1566</v>
      </c>
      <c r="R2862" t="s">
        <v>98</v>
      </c>
      <c r="S2862" t="s">
        <v>31</v>
      </c>
      <c r="T2862" t="s">
        <v>40</v>
      </c>
      <c r="U2862">
        <v>53</v>
      </c>
      <c r="V2862">
        <v>5</v>
      </c>
      <c r="W2862">
        <f>Table2[[#This Row],[Quantity]]*Table2[[#This Row],[Item_Price]]</f>
        <v>1620</v>
      </c>
    </row>
    <row r="2863" spans="1:23" x14ac:dyDescent="0.25">
      <c r="A2863" t="s">
        <v>2963</v>
      </c>
      <c r="B2863" s="1">
        <v>45865</v>
      </c>
      <c r="C2863" t="s">
        <v>2632</v>
      </c>
      <c r="D2863">
        <v>7</v>
      </c>
      <c r="E2863">
        <v>27</v>
      </c>
      <c r="F2863" t="s">
        <v>149</v>
      </c>
      <c r="G2863" t="s">
        <v>115</v>
      </c>
      <c r="H2863" t="s">
        <v>139</v>
      </c>
      <c r="I2863" t="s">
        <v>27</v>
      </c>
      <c r="J2863" t="s">
        <v>70</v>
      </c>
      <c r="K2863" t="s">
        <v>38</v>
      </c>
      <c r="L2863">
        <v>2</v>
      </c>
      <c r="M2863">
        <v>830</v>
      </c>
      <c r="N2863">
        <v>0</v>
      </c>
      <c r="O2863">
        <v>30</v>
      </c>
      <c r="P2863">
        <v>1660</v>
      </c>
      <c r="Q2863">
        <v>1690</v>
      </c>
      <c r="R2863" t="s">
        <v>30</v>
      </c>
      <c r="S2863" t="s">
        <v>31</v>
      </c>
      <c r="T2863" t="s">
        <v>40</v>
      </c>
      <c r="U2863">
        <v>41</v>
      </c>
      <c r="V2863">
        <v>5</v>
      </c>
      <c r="W2863">
        <f>Table2[[#This Row],[Quantity]]*Table2[[#This Row],[Item_Price]]</f>
        <v>1660</v>
      </c>
    </row>
    <row r="2864" spans="1:23" x14ac:dyDescent="0.25">
      <c r="A2864" t="s">
        <v>2964</v>
      </c>
      <c r="B2864" s="1">
        <v>45865</v>
      </c>
      <c r="C2864" t="s">
        <v>2632</v>
      </c>
      <c r="D2864">
        <v>7</v>
      </c>
      <c r="E2864">
        <v>27</v>
      </c>
      <c r="F2864" t="s">
        <v>149</v>
      </c>
      <c r="G2864" t="s">
        <v>84</v>
      </c>
      <c r="H2864" t="s">
        <v>56</v>
      </c>
      <c r="I2864" t="s">
        <v>85</v>
      </c>
      <c r="J2864" t="s">
        <v>172</v>
      </c>
      <c r="K2864" t="s">
        <v>38</v>
      </c>
      <c r="L2864">
        <v>2</v>
      </c>
      <c r="M2864">
        <v>253</v>
      </c>
      <c r="N2864">
        <v>0</v>
      </c>
      <c r="O2864">
        <v>50</v>
      </c>
      <c r="P2864">
        <v>506</v>
      </c>
      <c r="Q2864">
        <v>556</v>
      </c>
      <c r="R2864" t="s">
        <v>75</v>
      </c>
      <c r="S2864" t="s">
        <v>31</v>
      </c>
      <c r="T2864" t="s">
        <v>40</v>
      </c>
      <c r="U2864">
        <v>44</v>
      </c>
      <c r="V2864">
        <v>3</v>
      </c>
      <c r="W2864">
        <f>Table2[[#This Row],[Quantity]]*Table2[[#This Row],[Item_Price]]</f>
        <v>506</v>
      </c>
    </row>
    <row r="2865" spans="1:23" x14ac:dyDescent="0.25">
      <c r="A2865" t="s">
        <v>2965</v>
      </c>
      <c r="B2865" s="1">
        <v>45865</v>
      </c>
      <c r="C2865" t="s">
        <v>2632</v>
      </c>
      <c r="D2865">
        <v>7</v>
      </c>
      <c r="E2865">
        <v>27</v>
      </c>
      <c r="F2865" t="s">
        <v>149</v>
      </c>
      <c r="G2865" t="s">
        <v>80</v>
      </c>
      <c r="H2865" t="s">
        <v>105</v>
      </c>
      <c r="I2865" t="s">
        <v>85</v>
      </c>
      <c r="J2865" t="s">
        <v>101</v>
      </c>
      <c r="K2865" t="s">
        <v>38</v>
      </c>
      <c r="L2865">
        <v>3</v>
      </c>
      <c r="M2865">
        <v>321</v>
      </c>
      <c r="N2865">
        <v>16.05</v>
      </c>
      <c r="O2865">
        <v>40</v>
      </c>
      <c r="P2865">
        <v>963</v>
      </c>
      <c r="Q2865">
        <v>986.95</v>
      </c>
      <c r="R2865" t="s">
        <v>75</v>
      </c>
      <c r="S2865" t="s">
        <v>31</v>
      </c>
      <c r="T2865" t="s">
        <v>32</v>
      </c>
      <c r="U2865">
        <v>42</v>
      </c>
      <c r="V2865">
        <v>5</v>
      </c>
      <c r="W2865">
        <f>Table2[[#This Row],[Quantity]]*Table2[[#This Row],[Item_Price]]</f>
        <v>963</v>
      </c>
    </row>
    <row r="2866" spans="1:23" x14ac:dyDescent="0.25">
      <c r="A2866" t="s">
        <v>2966</v>
      </c>
      <c r="B2866" s="1">
        <v>45865</v>
      </c>
      <c r="C2866" t="s">
        <v>2632</v>
      </c>
      <c r="D2866">
        <v>7</v>
      </c>
      <c r="E2866">
        <v>27</v>
      </c>
      <c r="F2866" t="s">
        <v>149</v>
      </c>
      <c r="G2866" t="s">
        <v>84</v>
      </c>
      <c r="H2866" t="s">
        <v>81</v>
      </c>
      <c r="I2866" t="s">
        <v>69</v>
      </c>
      <c r="J2866" t="s">
        <v>94</v>
      </c>
      <c r="K2866" t="s">
        <v>38</v>
      </c>
      <c r="L2866">
        <v>2</v>
      </c>
      <c r="M2866">
        <v>211</v>
      </c>
      <c r="N2866">
        <v>52.75</v>
      </c>
      <c r="O2866">
        <v>30</v>
      </c>
      <c r="P2866">
        <v>422</v>
      </c>
      <c r="Q2866">
        <v>399.25</v>
      </c>
      <c r="R2866" t="s">
        <v>39</v>
      </c>
      <c r="S2866" t="s">
        <v>31</v>
      </c>
      <c r="T2866" t="s">
        <v>40</v>
      </c>
      <c r="U2866">
        <v>58</v>
      </c>
      <c r="V2866">
        <v>3.2</v>
      </c>
      <c r="W2866">
        <f>Table2[[#This Row],[Quantity]]*Table2[[#This Row],[Item_Price]]</f>
        <v>422</v>
      </c>
    </row>
    <row r="2867" spans="1:23" x14ac:dyDescent="0.25">
      <c r="A2867" t="s">
        <v>2967</v>
      </c>
      <c r="B2867" s="1">
        <v>45866</v>
      </c>
      <c r="C2867" t="s">
        <v>2632</v>
      </c>
      <c r="D2867">
        <v>7</v>
      </c>
      <c r="E2867">
        <v>28</v>
      </c>
      <c r="F2867" t="s">
        <v>168</v>
      </c>
      <c r="G2867" t="s">
        <v>73</v>
      </c>
      <c r="H2867" t="s">
        <v>139</v>
      </c>
      <c r="I2867" t="s">
        <v>43</v>
      </c>
      <c r="J2867" t="s">
        <v>62</v>
      </c>
      <c r="K2867" t="s">
        <v>45</v>
      </c>
      <c r="L2867">
        <v>2</v>
      </c>
      <c r="M2867">
        <v>702</v>
      </c>
      <c r="N2867">
        <v>140.4</v>
      </c>
      <c r="O2867">
        <v>30</v>
      </c>
      <c r="P2867">
        <v>1404</v>
      </c>
      <c r="Q2867">
        <v>1293.5999999999999</v>
      </c>
      <c r="R2867" t="s">
        <v>30</v>
      </c>
      <c r="S2867" t="s">
        <v>31</v>
      </c>
      <c r="T2867" t="s">
        <v>40</v>
      </c>
      <c r="U2867">
        <v>62</v>
      </c>
      <c r="V2867">
        <v>5</v>
      </c>
      <c r="W2867">
        <f>Table2[[#This Row],[Quantity]]*Table2[[#This Row],[Item_Price]]</f>
        <v>1404</v>
      </c>
    </row>
    <row r="2868" spans="1:23" x14ac:dyDescent="0.25">
      <c r="A2868" t="s">
        <v>2968</v>
      </c>
      <c r="B2868" s="1">
        <v>45866</v>
      </c>
      <c r="C2868" t="s">
        <v>2632</v>
      </c>
      <c r="D2868">
        <v>7</v>
      </c>
      <c r="E2868">
        <v>28</v>
      </c>
      <c r="F2868" t="s">
        <v>168</v>
      </c>
      <c r="G2868" t="s">
        <v>80</v>
      </c>
      <c r="H2868" t="s">
        <v>135</v>
      </c>
      <c r="I2868" t="s">
        <v>69</v>
      </c>
      <c r="J2868" t="s">
        <v>94</v>
      </c>
      <c r="K2868" t="s">
        <v>38</v>
      </c>
      <c r="L2868">
        <v>1</v>
      </c>
      <c r="M2868">
        <v>765</v>
      </c>
      <c r="N2868">
        <v>153</v>
      </c>
      <c r="O2868">
        <v>0</v>
      </c>
      <c r="P2868">
        <v>765</v>
      </c>
      <c r="Q2868">
        <v>612</v>
      </c>
      <c r="R2868" t="s">
        <v>112</v>
      </c>
      <c r="S2868" t="s">
        <v>31</v>
      </c>
      <c r="T2868" t="s">
        <v>40</v>
      </c>
      <c r="U2868">
        <v>18</v>
      </c>
      <c r="V2868">
        <v>4.3</v>
      </c>
      <c r="W2868">
        <f>Table2[[#This Row],[Quantity]]*Table2[[#This Row],[Item_Price]]</f>
        <v>765</v>
      </c>
    </row>
    <row r="2869" spans="1:23" x14ac:dyDescent="0.25">
      <c r="A2869" t="s">
        <v>2969</v>
      </c>
      <c r="B2869" s="1">
        <v>45866</v>
      </c>
      <c r="C2869" t="s">
        <v>2632</v>
      </c>
      <c r="D2869">
        <v>7</v>
      </c>
      <c r="E2869">
        <v>28</v>
      </c>
      <c r="F2869" t="s">
        <v>168</v>
      </c>
      <c r="G2869" t="s">
        <v>73</v>
      </c>
      <c r="H2869" t="s">
        <v>139</v>
      </c>
      <c r="I2869" t="s">
        <v>49</v>
      </c>
      <c r="J2869" t="s">
        <v>172</v>
      </c>
      <c r="K2869" t="s">
        <v>58</v>
      </c>
      <c r="L2869">
        <v>1</v>
      </c>
      <c r="M2869">
        <v>450</v>
      </c>
      <c r="N2869">
        <v>67.5</v>
      </c>
      <c r="O2869">
        <v>20</v>
      </c>
      <c r="P2869">
        <v>450</v>
      </c>
      <c r="Q2869">
        <v>402.5</v>
      </c>
      <c r="R2869" t="s">
        <v>39</v>
      </c>
      <c r="S2869" t="s">
        <v>31</v>
      </c>
      <c r="T2869" t="s">
        <v>40</v>
      </c>
      <c r="U2869">
        <v>20</v>
      </c>
      <c r="V2869">
        <v>4.5</v>
      </c>
      <c r="W2869">
        <f>Table2[[#This Row],[Quantity]]*Table2[[#This Row],[Item_Price]]</f>
        <v>450</v>
      </c>
    </row>
    <row r="2870" spans="1:23" x14ac:dyDescent="0.25">
      <c r="A2870" t="s">
        <v>2970</v>
      </c>
      <c r="B2870" s="1">
        <v>45866</v>
      </c>
      <c r="C2870" t="s">
        <v>2632</v>
      </c>
      <c r="D2870">
        <v>7</v>
      </c>
      <c r="E2870">
        <v>28</v>
      </c>
      <c r="F2870" t="s">
        <v>168</v>
      </c>
      <c r="G2870" t="s">
        <v>115</v>
      </c>
      <c r="H2870" t="s">
        <v>60</v>
      </c>
      <c r="I2870" t="s">
        <v>43</v>
      </c>
      <c r="J2870" t="s">
        <v>66</v>
      </c>
      <c r="K2870" t="s">
        <v>45</v>
      </c>
      <c r="L2870">
        <v>1</v>
      </c>
      <c r="M2870">
        <v>262</v>
      </c>
      <c r="N2870">
        <v>13.1</v>
      </c>
      <c r="O2870">
        <v>70</v>
      </c>
      <c r="P2870">
        <v>262</v>
      </c>
      <c r="Q2870">
        <v>318.89999999999998</v>
      </c>
      <c r="R2870" t="s">
        <v>39</v>
      </c>
      <c r="S2870" t="s">
        <v>31</v>
      </c>
      <c r="T2870" t="s">
        <v>40</v>
      </c>
      <c r="U2870">
        <v>25</v>
      </c>
      <c r="V2870">
        <v>2.9</v>
      </c>
      <c r="W2870">
        <f>Table2[[#This Row],[Quantity]]*Table2[[#This Row],[Item_Price]]</f>
        <v>262</v>
      </c>
    </row>
    <row r="2871" spans="1:23" x14ac:dyDescent="0.25">
      <c r="A2871" t="s">
        <v>2971</v>
      </c>
      <c r="B2871" s="1">
        <v>45866</v>
      </c>
      <c r="C2871" t="s">
        <v>2632</v>
      </c>
      <c r="D2871">
        <v>7</v>
      </c>
      <c r="E2871">
        <v>28</v>
      </c>
      <c r="F2871" t="s">
        <v>168</v>
      </c>
      <c r="G2871" t="s">
        <v>34</v>
      </c>
      <c r="H2871" t="s">
        <v>81</v>
      </c>
      <c r="I2871" t="s">
        <v>103</v>
      </c>
      <c r="J2871" t="s">
        <v>123</v>
      </c>
      <c r="K2871" t="s">
        <v>45</v>
      </c>
      <c r="L2871">
        <v>1</v>
      </c>
      <c r="M2871">
        <v>190</v>
      </c>
      <c r="N2871">
        <v>0</v>
      </c>
      <c r="O2871">
        <v>30</v>
      </c>
      <c r="P2871">
        <v>190</v>
      </c>
      <c r="Q2871">
        <v>220</v>
      </c>
      <c r="R2871" t="s">
        <v>98</v>
      </c>
      <c r="S2871" t="s">
        <v>31</v>
      </c>
      <c r="T2871" t="s">
        <v>40</v>
      </c>
      <c r="U2871">
        <v>63</v>
      </c>
      <c r="V2871">
        <v>4.0999999999999996</v>
      </c>
      <c r="W2871">
        <f>Table2[[#This Row],[Quantity]]*Table2[[#This Row],[Item_Price]]</f>
        <v>190</v>
      </c>
    </row>
    <row r="2872" spans="1:23" x14ac:dyDescent="0.25">
      <c r="A2872" t="s">
        <v>2972</v>
      </c>
      <c r="B2872" s="1">
        <v>45866</v>
      </c>
      <c r="C2872" t="s">
        <v>2632</v>
      </c>
      <c r="D2872">
        <v>7</v>
      </c>
      <c r="E2872">
        <v>28</v>
      </c>
      <c r="F2872" t="s">
        <v>168</v>
      </c>
      <c r="G2872" t="s">
        <v>90</v>
      </c>
      <c r="H2872" t="s">
        <v>35</v>
      </c>
      <c r="I2872" t="s">
        <v>49</v>
      </c>
      <c r="J2872" t="s">
        <v>78</v>
      </c>
      <c r="K2872" t="s">
        <v>38</v>
      </c>
      <c r="L2872">
        <v>2</v>
      </c>
      <c r="M2872">
        <v>674</v>
      </c>
      <c r="N2872">
        <v>67.400000000000006</v>
      </c>
      <c r="O2872">
        <v>0</v>
      </c>
      <c r="P2872">
        <v>1348</v>
      </c>
      <c r="Q2872">
        <v>1280.5999999999999</v>
      </c>
      <c r="R2872" t="s">
        <v>39</v>
      </c>
      <c r="S2872" t="s">
        <v>46</v>
      </c>
      <c r="T2872" t="s">
        <v>40</v>
      </c>
      <c r="U2872">
        <v>55</v>
      </c>
      <c r="W2872">
        <f>Table2[[#This Row],[Quantity]]*Table2[[#This Row],[Item_Price]]</f>
        <v>1348</v>
      </c>
    </row>
    <row r="2873" spans="1:23" x14ac:dyDescent="0.25">
      <c r="A2873" t="s">
        <v>2973</v>
      </c>
      <c r="B2873" s="1">
        <v>45866</v>
      </c>
      <c r="C2873" t="s">
        <v>2632</v>
      </c>
      <c r="D2873">
        <v>7</v>
      </c>
      <c r="E2873">
        <v>28</v>
      </c>
      <c r="F2873" t="s">
        <v>168</v>
      </c>
      <c r="G2873" t="s">
        <v>73</v>
      </c>
      <c r="H2873" t="s">
        <v>105</v>
      </c>
      <c r="I2873" t="s">
        <v>43</v>
      </c>
      <c r="J2873" t="s">
        <v>53</v>
      </c>
      <c r="K2873" t="s">
        <v>38</v>
      </c>
      <c r="L2873">
        <v>1</v>
      </c>
      <c r="M2873">
        <v>128</v>
      </c>
      <c r="N2873">
        <v>0</v>
      </c>
      <c r="O2873">
        <v>30</v>
      </c>
      <c r="P2873">
        <v>128</v>
      </c>
      <c r="Q2873">
        <v>158</v>
      </c>
      <c r="R2873" t="s">
        <v>98</v>
      </c>
      <c r="S2873" t="s">
        <v>91</v>
      </c>
      <c r="T2873" t="s">
        <v>40</v>
      </c>
      <c r="U2873">
        <v>26</v>
      </c>
      <c r="W2873">
        <f>Table2[[#This Row],[Quantity]]*Table2[[#This Row],[Item_Price]]</f>
        <v>128</v>
      </c>
    </row>
    <row r="2874" spans="1:23" x14ac:dyDescent="0.25">
      <c r="A2874" t="s">
        <v>2974</v>
      </c>
      <c r="B2874" s="1">
        <v>45866</v>
      </c>
      <c r="C2874" t="s">
        <v>2632</v>
      </c>
      <c r="D2874">
        <v>7</v>
      </c>
      <c r="E2874">
        <v>28</v>
      </c>
      <c r="F2874" t="s">
        <v>168</v>
      </c>
      <c r="G2874" t="s">
        <v>90</v>
      </c>
      <c r="H2874" t="s">
        <v>135</v>
      </c>
      <c r="I2874" t="s">
        <v>27</v>
      </c>
      <c r="J2874" t="s">
        <v>101</v>
      </c>
      <c r="K2874" t="s">
        <v>38</v>
      </c>
      <c r="L2874">
        <v>2</v>
      </c>
      <c r="M2874">
        <v>828</v>
      </c>
      <c r="N2874">
        <v>82.8</v>
      </c>
      <c r="O2874">
        <v>50</v>
      </c>
      <c r="P2874">
        <v>1656</v>
      </c>
      <c r="Q2874">
        <v>1623.2</v>
      </c>
      <c r="R2874" t="s">
        <v>98</v>
      </c>
      <c r="S2874" t="s">
        <v>31</v>
      </c>
      <c r="T2874" t="s">
        <v>40</v>
      </c>
      <c r="U2874">
        <v>20</v>
      </c>
      <c r="V2874">
        <v>4.5999999999999996</v>
      </c>
      <c r="W2874">
        <f>Table2[[#This Row],[Quantity]]*Table2[[#This Row],[Item_Price]]</f>
        <v>1656</v>
      </c>
    </row>
    <row r="2875" spans="1:23" x14ac:dyDescent="0.25">
      <c r="A2875" t="s">
        <v>2975</v>
      </c>
      <c r="B2875" s="1">
        <v>45866</v>
      </c>
      <c r="C2875" t="s">
        <v>2632</v>
      </c>
      <c r="D2875">
        <v>7</v>
      </c>
      <c r="E2875">
        <v>28</v>
      </c>
      <c r="F2875" t="s">
        <v>168</v>
      </c>
      <c r="G2875" t="s">
        <v>96</v>
      </c>
      <c r="H2875" t="s">
        <v>105</v>
      </c>
      <c r="I2875" t="s">
        <v>36</v>
      </c>
      <c r="J2875" t="s">
        <v>101</v>
      </c>
      <c r="K2875" t="s">
        <v>45</v>
      </c>
      <c r="L2875">
        <v>1</v>
      </c>
      <c r="M2875">
        <v>626</v>
      </c>
      <c r="N2875">
        <v>93.9</v>
      </c>
      <c r="O2875">
        <v>50</v>
      </c>
      <c r="P2875">
        <v>626</v>
      </c>
      <c r="Q2875">
        <v>582.1</v>
      </c>
      <c r="R2875" t="s">
        <v>75</v>
      </c>
      <c r="S2875" t="s">
        <v>31</v>
      </c>
      <c r="T2875" t="s">
        <v>32</v>
      </c>
      <c r="U2875">
        <v>21</v>
      </c>
      <c r="V2875">
        <v>4.9000000000000004</v>
      </c>
      <c r="W2875">
        <f>Table2[[#This Row],[Quantity]]*Table2[[#This Row],[Item_Price]]</f>
        <v>626</v>
      </c>
    </row>
    <row r="2876" spans="1:23" x14ac:dyDescent="0.25">
      <c r="A2876" t="s">
        <v>2976</v>
      </c>
      <c r="B2876" s="1">
        <v>45866</v>
      </c>
      <c r="C2876" t="s">
        <v>2632</v>
      </c>
      <c r="D2876">
        <v>7</v>
      </c>
      <c r="E2876">
        <v>28</v>
      </c>
      <c r="F2876" t="s">
        <v>168</v>
      </c>
      <c r="G2876" t="s">
        <v>34</v>
      </c>
      <c r="H2876" t="s">
        <v>81</v>
      </c>
      <c r="I2876" t="s">
        <v>36</v>
      </c>
      <c r="J2876" t="s">
        <v>94</v>
      </c>
      <c r="K2876" t="s">
        <v>45</v>
      </c>
      <c r="L2876">
        <v>1</v>
      </c>
      <c r="M2876">
        <v>856</v>
      </c>
      <c r="N2876">
        <v>128.4</v>
      </c>
      <c r="O2876">
        <v>40</v>
      </c>
      <c r="P2876">
        <v>856</v>
      </c>
      <c r="Q2876">
        <v>767.6</v>
      </c>
      <c r="R2876" t="s">
        <v>39</v>
      </c>
      <c r="S2876" t="s">
        <v>31</v>
      </c>
      <c r="T2876" t="s">
        <v>32</v>
      </c>
      <c r="U2876">
        <v>63</v>
      </c>
      <c r="V2876">
        <v>3.4</v>
      </c>
      <c r="W2876">
        <f>Table2[[#This Row],[Quantity]]*Table2[[#This Row],[Item_Price]]</f>
        <v>856</v>
      </c>
    </row>
    <row r="2877" spans="1:23" x14ac:dyDescent="0.25">
      <c r="A2877" t="s">
        <v>2977</v>
      </c>
      <c r="B2877" s="1">
        <v>45866</v>
      </c>
      <c r="C2877" t="s">
        <v>2632</v>
      </c>
      <c r="D2877">
        <v>7</v>
      </c>
      <c r="E2877">
        <v>28</v>
      </c>
      <c r="F2877" t="s">
        <v>168</v>
      </c>
      <c r="G2877" t="s">
        <v>80</v>
      </c>
      <c r="H2877" t="s">
        <v>108</v>
      </c>
      <c r="I2877" t="s">
        <v>27</v>
      </c>
      <c r="J2877" t="s">
        <v>70</v>
      </c>
      <c r="K2877" t="s">
        <v>38</v>
      </c>
      <c r="L2877">
        <v>1</v>
      </c>
      <c r="M2877">
        <v>291</v>
      </c>
      <c r="N2877">
        <v>0</v>
      </c>
      <c r="O2877">
        <v>60</v>
      </c>
      <c r="P2877">
        <v>291</v>
      </c>
      <c r="Q2877">
        <v>351</v>
      </c>
      <c r="R2877" t="s">
        <v>39</v>
      </c>
      <c r="S2877" t="s">
        <v>31</v>
      </c>
      <c r="T2877" t="s">
        <v>40</v>
      </c>
      <c r="U2877">
        <v>56</v>
      </c>
      <c r="V2877">
        <v>3.3</v>
      </c>
      <c r="W2877">
        <f>Table2[[#This Row],[Quantity]]*Table2[[#This Row],[Item_Price]]</f>
        <v>291</v>
      </c>
    </row>
    <row r="2878" spans="1:23" x14ac:dyDescent="0.25">
      <c r="A2878" t="s">
        <v>2978</v>
      </c>
      <c r="B2878" s="1">
        <v>45866</v>
      </c>
      <c r="C2878" t="s">
        <v>2632</v>
      </c>
      <c r="D2878">
        <v>7</v>
      </c>
      <c r="E2878">
        <v>28</v>
      </c>
      <c r="F2878" t="s">
        <v>168</v>
      </c>
      <c r="G2878" t="s">
        <v>55</v>
      </c>
      <c r="H2878" t="s">
        <v>77</v>
      </c>
      <c r="I2878" t="s">
        <v>85</v>
      </c>
      <c r="J2878" t="s">
        <v>53</v>
      </c>
      <c r="K2878" t="s">
        <v>38</v>
      </c>
      <c r="L2878">
        <v>3</v>
      </c>
      <c r="M2878">
        <v>755</v>
      </c>
      <c r="N2878">
        <v>75.5</v>
      </c>
      <c r="O2878">
        <v>50</v>
      </c>
      <c r="P2878">
        <v>2265</v>
      </c>
      <c r="Q2878">
        <v>2239.5</v>
      </c>
      <c r="R2878" t="s">
        <v>39</v>
      </c>
      <c r="S2878" t="s">
        <v>31</v>
      </c>
      <c r="T2878" t="s">
        <v>40</v>
      </c>
      <c r="U2878">
        <v>24</v>
      </c>
      <c r="V2878">
        <v>3.9</v>
      </c>
      <c r="W2878">
        <f>Table2[[#This Row],[Quantity]]*Table2[[#This Row],[Item_Price]]</f>
        <v>2265</v>
      </c>
    </row>
    <row r="2879" spans="1:23" x14ac:dyDescent="0.25">
      <c r="A2879" t="s">
        <v>2979</v>
      </c>
      <c r="B2879" s="1">
        <v>45867</v>
      </c>
      <c r="C2879" t="s">
        <v>2632</v>
      </c>
      <c r="D2879">
        <v>7</v>
      </c>
      <c r="E2879">
        <v>29</v>
      </c>
      <c r="F2879" t="s">
        <v>178</v>
      </c>
      <c r="G2879" t="s">
        <v>25</v>
      </c>
      <c r="H2879" t="s">
        <v>48</v>
      </c>
      <c r="I2879" t="s">
        <v>85</v>
      </c>
      <c r="J2879" t="s">
        <v>74</v>
      </c>
      <c r="K2879" t="s">
        <v>38</v>
      </c>
      <c r="L2879">
        <v>1</v>
      </c>
      <c r="M2879">
        <v>198</v>
      </c>
      <c r="N2879">
        <v>9.9</v>
      </c>
      <c r="O2879">
        <v>60</v>
      </c>
      <c r="P2879">
        <v>198</v>
      </c>
      <c r="Q2879">
        <v>248.1</v>
      </c>
      <c r="R2879" t="s">
        <v>39</v>
      </c>
      <c r="S2879" t="s">
        <v>31</v>
      </c>
      <c r="T2879" t="s">
        <v>32</v>
      </c>
      <c r="U2879">
        <v>59</v>
      </c>
      <c r="V2879">
        <v>4.0999999999999996</v>
      </c>
      <c r="W2879">
        <f>Table2[[#This Row],[Quantity]]*Table2[[#This Row],[Item_Price]]</f>
        <v>198</v>
      </c>
    </row>
    <row r="2880" spans="1:23" x14ac:dyDescent="0.25">
      <c r="A2880" t="s">
        <v>2980</v>
      </c>
      <c r="B2880" s="1">
        <v>45867</v>
      </c>
      <c r="C2880" t="s">
        <v>2632</v>
      </c>
      <c r="D2880">
        <v>7</v>
      </c>
      <c r="E2880">
        <v>29</v>
      </c>
      <c r="F2880" t="s">
        <v>178</v>
      </c>
      <c r="G2880" t="s">
        <v>80</v>
      </c>
      <c r="H2880" t="s">
        <v>26</v>
      </c>
      <c r="I2880" t="s">
        <v>69</v>
      </c>
      <c r="J2880" t="s">
        <v>66</v>
      </c>
      <c r="K2880" t="s">
        <v>45</v>
      </c>
      <c r="L2880">
        <v>2</v>
      </c>
      <c r="M2880">
        <v>707</v>
      </c>
      <c r="N2880">
        <v>106.05</v>
      </c>
      <c r="O2880">
        <v>0</v>
      </c>
      <c r="P2880">
        <v>1414</v>
      </c>
      <c r="Q2880">
        <v>1307.95</v>
      </c>
      <c r="R2880" t="s">
        <v>30</v>
      </c>
      <c r="S2880" t="s">
        <v>31</v>
      </c>
      <c r="T2880" t="s">
        <v>32</v>
      </c>
      <c r="U2880">
        <v>44</v>
      </c>
      <c r="V2880">
        <v>4.2</v>
      </c>
      <c r="W2880">
        <f>Table2[[#This Row],[Quantity]]*Table2[[#This Row],[Item_Price]]</f>
        <v>1414</v>
      </c>
    </row>
    <row r="2881" spans="1:23" x14ac:dyDescent="0.25">
      <c r="A2881" t="s">
        <v>2981</v>
      </c>
      <c r="B2881" s="1">
        <v>45867</v>
      </c>
      <c r="C2881" t="s">
        <v>2632</v>
      </c>
      <c r="D2881">
        <v>7</v>
      </c>
      <c r="E2881">
        <v>29</v>
      </c>
      <c r="F2881" t="s">
        <v>178</v>
      </c>
      <c r="G2881" t="s">
        <v>90</v>
      </c>
      <c r="H2881" t="s">
        <v>60</v>
      </c>
      <c r="I2881" t="s">
        <v>27</v>
      </c>
      <c r="J2881" t="s">
        <v>123</v>
      </c>
      <c r="K2881" t="s">
        <v>29</v>
      </c>
      <c r="L2881">
        <v>3</v>
      </c>
      <c r="M2881">
        <v>564</v>
      </c>
      <c r="N2881">
        <v>28.2</v>
      </c>
      <c r="O2881">
        <v>40</v>
      </c>
      <c r="P2881">
        <v>1692</v>
      </c>
      <c r="Q2881">
        <v>1703.8</v>
      </c>
      <c r="R2881" t="s">
        <v>75</v>
      </c>
      <c r="S2881" t="s">
        <v>31</v>
      </c>
      <c r="T2881" t="s">
        <v>32</v>
      </c>
      <c r="U2881">
        <v>26</v>
      </c>
      <c r="V2881">
        <v>3.8</v>
      </c>
      <c r="W2881">
        <f>Table2[[#This Row],[Quantity]]*Table2[[#This Row],[Item_Price]]</f>
        <v>1692</v>
      </c>
    </row>
    <row r="2882" spans="1:23" x14ac:dyDescent="0.25">
      <c r="A2882" t="s">
        <v>2982</v>
      </c>
      <c r="B2882" s="1">
        <v>45867</v>
      </c>
      <c r="C2882" t="s">
        <v>2632</v>
      </c>
      <c r="D2882">
        <v>7</v>
      </c>
      <c r="E2882">
        <v>29</v>
      </c>
      <c r="F2882" t="s">
        <v>178</v>
      </c>
      <c r="G2882" t="s">
        <v>73</v>
      </c>
      <c r="H2882" t="s">
        <v>48</v>
      </c>
      <c r="I2882" t="s">
        <v>97</v>
      </c>
      <c r="J2882" t="s">
        <v>37</v>
      </c>
      <c r="K2882" t="s">
        <v>38</v>
      </c>
      <c r="L2882">
        <v>1</v>
      </c>
      <c r="M2882">
        <v>865</v>
      </c>
      <c r="N2882">
        <v>86.5</v>
      </c>
      <c r="O2882">
        <v>0</v>
      </c>
      <c r="P2882">
        <v>865</v>
      </c>
      <c r="Q2882">
        <v>778.5</v>
      </c>
      <c r="R2882" t="s">
        <v>75</v>
      </c>
      <c r="S2882" t="s">
        <v>31</v>
      </c>
      <c r="T2882" t="s">
        <v>32</v>
      </c>
      <c r="U2882">
        <v>58</v>
      </c>
      <c r="V2882">
        <v>3.6</v>
      </c>
      <c r="W2882">
        <f>Table2[[#This Row],[Quantity]]*Table2[[#This Row],[Item_Price]]</f>
        <v>865</v>
      </c>
    </row>
    <row r="2883" spans="1:23" x14ac:dyDescent="0.25">
      <c r="A2883" t="s">
        <v>2983</v>
      </c>
      <c r="B2883" s="1">
        <v>45867</v>
      </c>
      <c r="C2883" t="s">
        <v>2632</v>
      </c>
      <c r="D2883">
        <v>7</v>
      </c>
      <c r="E2883">
        <v>29</v>
      </c>
      <c r="F2883" t="s">
        <v>178</v>
      </c>
      <c r="G2883" t="s">
        <v>34</v>
      </c>
      <c r="H2883" t="s">
        <v>77</v>
      </c>
      <c r="I2883" t="s">
        <v>85</v>
      </c>
      <c r="J2883" t="s">
        <v>44</v>
      </c>
      <c r="K2883" t="s">
        <v>38</v>
      </c>
      <c r="L2883">
        <v>1</v>
      </c>
      <c r="M2883">
        <v>410</v>
      </c>
      <c r="N2883">
        <v>102.5</v>
      </c>
      <c r="O2883">
        <v>0</v>
      </c>
      <c r="P2883">
        <v>410</v>
      </c>
      <c r="Q2883">
        <v>307.5</v>
      </c>
      <c r="R2883" t="s">
        <v>39</v>
      </c>
      <c r="S2883" t="s">
        <v>31</v>
      </c>
      <c r="T2883" t="s">
        <v>32</v>
      </c>
      <c r="U2883">
        <v>54</v>
      </c>
      <c r="V2883">
        <v>5</v>
      </c>
      <c r="W2883">
        <f>Table2[[#This Row],[Quantity]]*Table2[[#This Row],[Item_Price]]</f>
        <v>410</v>
      </c>
    </row>
    <row r="2884" spans="1:23" x14ac:dyDescent="0.25">
      <c r="A2884" t="s">
        <v>2984</v>
      </c>
      <c r="B2884" s="1">
        <v>45867</v>
      </c>
      <c r="C2884" t="s">
        <v>2632</v>
      </c>
      <c r="D2884">
        <v>7</v>
      </c>
      <c r="E2884">
        <v>29</v>
      </c>
      <c r="F2884" t="s">
        <v>178</v>
      </c>
      <c r="G2884" t="s">
        <v>34</v>
      </c>
      <c r="H2884" t="s">
        <v>139</v>
      </c>
      <c r="I2884" t="s">
        <v>69</v>
      </c>
      <c r="J2884" t="s">
        <v>37</v>
      </c>
      <c r="K2884" t="s">
        <v>38</v>
      </c>
      <c r="L2884">
        <v>2</v>
      </c>
      <c r="M2884">
        <v>247</v>
      </c>
      <c r="N2884">
        <v>24.7</v>
      </c>
      <c r="O2884">
        <v>30</v>
      </c>
      <c r="P2884">
        <v>494</v>
      </c>
      <c r="Q2884">
        <v>499.3</v>
      </c>
      <c r="R2884" t="s">
        <v>75</v>
      </c>
      <c r="S2884" t="s">
        <v>110</v>
      </c>
      <c r="T2884" t="s">
        <v>40</v>
      </c>
      <c r="U2884">
        <v>31</v>
      </c>
      <c r="W2884">
        <f>Table2[[#This Row],[Quantity]]*Table2[[#This Row],[Item_Price]]</f>
        <v>494</v>
      </c>
    </row>
    <row r="2885" spans="1:23" x14ac:dyDescent="0.25">
      <c r="A2885" t="s">
        <v>2985</v>
      </c>
      <c r="B2885" s="1">
        <v>45867</v>
      </c>
      <c r="C2885" t="s">
        <v>2632</v>
      </c>
      <c r="D2885">
        <v>7</v>
      </c>
      <c r="E2885">
        <v>29</v>
      </c>
      <c r="F2885" t="s">
        <v>178</v>
      </c>
      <c r="G2885" t="s">
        <v>73</v>
      </c>
      <c r="H2885" t="s">
        <v>105</v>
      </c>
      <c r="I2885" t="s">
        <v>49</v>
      </c>
      <c r="J2885" t="s">
        <v>78</v>
      </c>
      <c r="K2885" t="s">
        <v>38</v>
      </c>
      <c r="L2885">
        <v>2</v>
      </c>
      <c r="M2885">
        <v>500</v>
      </c>
      <c r="N2885">
        <v>0</v>
      </c>
      <c r="O2885">
        <v>20</v>
      </c>
      <c r="P2885">
        <v>1000</v>
      </c>
      <c r="Q2885">
        <v>1020</v>
      </c>
      <c r="R2885" t="s">
        <v>39</v>
      </c>
      <c r="S2885" t="s">
        <v>31</v>
      </c>
      <c r="T2885" t="s">
        <v>40</v>
      </c>
      <c r="U2885">
        <v>69</v>
      </c>
      <c r="V2885">
        <v>4.4000000000000004</v>
      </c>
      <c r="W2885">
        <f>Table2[[#This Row],[Quantity]]*Table2[[#This Row],[Item_Price]]</f>
        <v>1000</v>
      </c>
    </row>
    <row r="2886" spans="1:23" x14ac:dyDescent="0.25">
      <c r="A2886" t="s">
        <v>2986</v>
      </c>
      <c r="B2886" s="1">
        <v>45867</v>
      </c>
      <c r="C2886" t="s">
        <v>2632</v>
      </c>
      <c r="D2886">
        <v>7</v>
      </c>
      <c r="E2886">
        <v>29</v>
      </c>
      <c r="F2886" t="s">
        <v>178</v>
      </c>
      <c r="G2886" t="s">
        <v>73</v>
      </c>
      <c r="H2886" t="s">
        <v>48</v>
      </c>
      <c r="I2886" t="s">
        <v>36</v>
      </c>
      <c r="J2886" t="s">
        <v>66</v>
      </c>
      <c r="K2886" t="s">
        <v>58</v>
      </c>
      <c r="L2886">
        <v>1</v>
      </c>
      <c r="M2886">
        <v>683</v>
      </c>
      <c r="N2886">
        <v>0</v>
      </c>
      <c r="O2886">
        <v>0</v>
      </c>
      <c r="P2886">
        <v>683</v>
      </c>
      <c r="Q2886">
        <v>683</v>
      </c>
      <c r="R2886" t="s">
        <v>30</v>
      </c>
      <c r="S2886" t="s">
        <v>31</v>
      </c>
      <c r="T2886" t="s">
        <v>32</v>
      </c>
      <c r="U2886">
        <v>31</v>
      </c>
      <c r="V2886">
        <v>3.8</v>
      </c>
      <c r="W2886">
        <f>Table2[[#This Row],[Quantity]]*Table2[[#This Row],[Item_Price]]</f>
        <v>683</v>
      </c>
    </row>
    <row r="2887" spans="1:23" x14ac:dyDescent="0.25">
      <c r="A2887" t="s">
        <v>2987</v>
      </c>
      <c r="B2887" s="1">
        <v>45867</v>
      </c>
      <c r="C2887" t="s">
        <v>2632</v>
      </c>
      <c r="D2887">
        <v>7</v>
      </c>
      <c r="E2887">
        <v>29</v>
      </c>
      <c r="F2887" t="s">
        <v>178</v>
      </c>
      <c r="G2887" t="s">
        <v>34</v>
      </c>
      <c r="H2887" t="s">
        <v>135</v>
      </c>
      <c r="I2887" t="s">
        <v>57</v>
      </c>
      <c r="J2887" t="s">
        <v>44</v>
      </c>
      <c r="K2887" t="s">
        <v>38</v>
      </c>
      <c r="L2887">
        <v>1</v>
      </c>
      <c r="M2887">
        <v>305</v>
      </c>
      <c r="N2887">
        <v>61</v>
      </c>
      <c r="O2887">
        <v>60</v>
      </c>
      <c r="P2887">
        <v>305</v>
      </c>
      <c r="Q2887">
        <v>304</v>
      </c>
      <c r="R2887" t="s">
        <v>75</v>
      </c>
      <c r="S2887" t="s">
        <v>31</v>
      </c>
      <c r="T2887" t="s">
        <v>32</v>
      </c>
      <c r="U2887">
        <v>39</v>
      </c>
      <c r="V2887">
        <v>4.3</v>
      </c>
      <c r="W2887">
        <f>Table2[[#This Row],[Quantity]]*Table2[[#This Row],[Item_Price]]</f>
        <v>305</v>
      </c>
    </row>
    <row r="2888" spans="1:23" x14ac:dyDescent="0.25">
      <c r="A2888" t="s">
        <v>2988</v>
      </c>
      <c r="B2888" s="1">
        <v>45867</v>
      </c>
      <c r="C2888" t="s">
        <v>2632</v>
      </c>
      <c r="D2888">
        <v>7</v>
      </c>
      <c r="E2888">
        <v>29</v>
      </c>
      <c r="F2888" t="s">
        <v>178</v>
      </c>
      <c r="G2888" t="s">
        <v>64</v>
      </c>
      <c r="H2888" t="s">
        <v>77</v>
      </c>
      <c r="I2888" t="s">
        <v>49</v>
      </c>
      <c r="J2888" t="s">
        <v>123</v>
      </c>
      <c r="K2888" t="s">
        <v>38</v>
      </c>
      <c r="L2888">
        <v>2</v>
      </c>
      <c r="M2888">
        <v>210</v>
      </c>
      <c r="N2888">
        <v>21</v>
      </c>
      <c r="O2888">
        <v>50</v>
      </c>
      <c r="P2888">
        <v>420</v>
      </c>
      <c r="Q2888">
        <v>449</v>
      </c>
      <c r="R2888" t="s">
        <v>112</v>
      </c>
      <c r="S2888" t="s">
        <v>31</v>
      </c>
      <c r="T2888" t="s">
        <v>40</v>
      </c>
      <c r="U2888">
        <v>35</v>
      </c>
      <c r="V2888">
        <v>3.8</v>
      </c>
      <c r="W2888">
        <f>Table2[[#This Row],[Quantity]]*Table2[[#This Row],[Item_Price]]</f>
        <v>420</v>
      </c>
    </row>
    <row r="2889" spans="1:23" x14ac:dyDescent="0.25">
      <c r="A2889" t="s">
        <v>2989</v>
      </c>
      <c r="B2889" s="1">
        <v>45867</v>
      </c>
      <c r="C2889" t="s">
        <v>2632</v>
      </c>
      <c r="D2889">
        <v>7</v>
      </c>
      <c r="E2889">
        <v>29</v>
      </c>
      <c r="F2889" t="s">
        <v>178</v>
      </c>
      <c r="G2889" t="s">
        <v>34</v>
      </c>
      <c r="H2889" t="s">
        <v>42</v>
      </c>
      <c r="I2889" t="s">
        <v>97</v>
      </c>
      <c r="J2889" t="s">
        <v>62</v>
      </c>
      <c r="K2889" t="s">
        <v>38</v>
      </c>
      <c r="L2889">
        <v>1</v>
      </c>
      <c r="M2889">
        <v>593</v>
      </c>
      <c r="N2889">
        <v>29.65</v>
      </c>
      <c r="O2889">
        <v>0</v>
      </c>
      <c r="P2889">
        <v>593</v>
      </c>
      <c r="Q2889">
        <v>563.35</v>
      </c>
      <c r="R2889" t="s">
        <v>39</v>
      </c>
      <c r="S2889" t="s">
        <v>46</v>
      </c>
      <c r="T2889" t="s">
        <v>32</v>
      </c>
      <c r="U2889">
        <v>42</v>
      </c>
      <c r="W2889">
        <f>Table2[[#This Row],[Quantity]]*Table2[[#This Row],[Item_Price]]</f>
        <v>593</v>
      </c>
    </row>
    <row r="2890" spans="1:23" x14ac:dyDescent="0.25">
      <c r="A2890" t="s">
        <v>2990</v>
      </c>
      <c r="B2890" s="1">
        <v>45867</v>
      </c>
      <c r="C2890" t="s">
        <v>2632</v>
      </c>
      <c r="D2890">
        <v>7</v>
      </c>
      <c r="E2890">
        <v>29</v>
      </c>
      <c r="F2890" t="s">
        <v>178</v>
      </c>
      <c r="G2890" t="s">
        <v>64</v>
      </c>
      <c r="H2890" t="s">
        <v>42</v>
      </c>
      <c r="I2890" t="s">
        <v>27</v>
      </c>
      <c r="J2890" t="s">
        <v>44</v>
      </c>
      <c r="K2890" t="s">
        <v>38</v>
      </c>
      <c r="L2890">
        <v>1</v>
      </c>
      <c r="M2890">
        <v>616</v>
      </c>
      <c r="N2890">
        <v>61.6</v>
      </c>
      <c r="O2890">
        <v>20</v>
      </c>
      <c r="P2890">
        <v>616</v>
      </c>
      <c r="Q2890">
        <v>574.4</v>
      </c>
      <c r="R2890" t="s">
        <v>39</v>
      </c>
      <c r="S2890" t="s">
        <v>31</v>
      </c>
      <c r="T2890" t="s">
        <v>40</v>
      </c>
      <c r="U2890">
        <v>30</v>
      </c>
      <c r="V2890">
        <v>3.4</v>
      </c>
      <c r="W2890">
        <f>Table2[[#This Row],[Quantity]]*Table2[[#This Row],[Item_Price]]</f>
        <v>616</v>
      </c>
    </row>
    <row r="2891" spans="1:23" x14ac:dyDescent="0.25">
      <c r="A2891" t="s">
        <v>2991</v>
      </c>
      <c r="B2891" s="1">
        <v>45868</v>
      </c>
      <c r="C2891" t="s">
        <v>2632</v>
      </c>
      <c r="D2891">
        <v>7</v>
      </c>
      <c r="E2891">
        <v>30</v>
      </c>
      <c r="F2891" t="s">
        <v>24</v>
      </c>
      <c r="G2891" t="s">
        <v>34</v>
      </c>
      <c r="H2891" t="s">
        <v>48</v>
      </c>
      <c r="I2891" t="s">
        <v>36</v>
      </c>
      <c r="J2891" t="s">
        <v>82</v>
      </c>
      <c r="K2891" t="s">
        <v>58</v>
      </c>
      <c r="L2891">
        <v>1</v>
      </c>
      <c r="M2891">
        <v>143</v>
      </c>
      <c r="N2891">
        <v>21.45</v>
      </c>
      <c r="O2891">
        <v>50</v>
      </c>
      <c r="P2891">
        <v>143</v>
      </c>
      <c r="Q2891">
        <v>171.55</v>
      </c>
      <c r="R2891" t="s">
        <v>39</v>
      </c>
      <c r="S2891" t="s">
        <v>31</v>
      </c>
      <c r="T2891" t="s">
        <v>40</v>
      </c>
      <c r="U2891">
        <v>54</v>
      </c>
      <c r="V2891">
        <v>4.8</v>
      </c>
      <c r="W2891">
        <f>Table2[[#This Row],[Quantity]]*Table2[[#This Row],[Item_Price]]</f>
        <v>143</v>
      </c>
    </row>
    <row r="2892" spans="1:23" x14ac:dyDescent="0.25">
      <c r="A2892" t="s">
        <v>2992</v>
      </c>
      <c r="B2892" s="1">
        <v>45868</v>
      </c>
      <c r="C2892" t="s">
        <v>2632</v>
      </c>
      <c r="D2892">
        <v>7</v>
      </c>
      <c r="E2892">
        <v>30</v>
      </c>
      <c r="F2892" t="s">
        <v>24</v>
      </c>
      <c r="G2892" t="s">
        <v>55</v>
      </c>
      <c r="H2892" t="s">
        <v>35</v>
      </c>
      <c r="I2892" t="s">
        <v>97</v>
      </c>
      <c r="J2892" t="s">
        <v>44</v>
      </c>
      <c r="K2892" t="s">
        <v>38</v>
      </c>
      <c r="L2892">
        <v>1</v>
      </c>
      <c r="M2892">
        <v>206</v>
      </c>
      <c r="N2892">
        <v>30.9</v>
      </c>
      <c r="O2892">
        <v>30</v>
      </c>
      <c r="P2892">
        <v>206</v>
      </c>
      <c r="Q2892">
        <v>205.1</v>
      </c>
      <c r="R2892" t="s">
        <v>30</v>
      </c>
      <c r="S2892" t="s">
        <v>31</v>
      </c>
      <c r="T2892" t="s">
        <v>40</v>
      </c>
      <c r="U2892">
        <v>32</v>
      </c>
      <c r="V2892">
        <v>4.0999999999999996</v>
      </c>
      <c r="W2892">
        <f>Table2[[#This Row],[Quantity]]*Table2[[#This Row],[Item_Price]]</f>
        <v>206</v>
      </c>
    </row>
    <row r="2893" spans="1:23" x14ac:dyDescent="0.25">
      <c r="A2893" t="s">
        <v>2993</v>
      </c>
      <c r="B2893" s="1">
        <v>45868</v>
      </c>
      <c r="C2893" t="s">
        <v>2632</v>
      </c>
      <c r="D2893">
        <v>7</v>
      </c>
      <c r="E2893">
        <v>30</v>
      </c>
      <c r="F2893" t="s">
        <v>24</v>
      </c>
      <c r="G2893" t="s">
        <v>80</v>
      </c>
      <c r="H2893" t="s">
        <v>35</v>
      </c>
      <c r="I2893" t="s">
        <v>27</v>
      </c>
      <c r="J2893" t="s">
        <v>50</v>
      </c>
      <c r="K2893" t="s">
        <v>29</v>
      </c>
      <c r="L2893">
        <v>2</v>
      </c>
      <c r="M2893">
        <v>659</v>
      </c>
      <c r="N2893">
        <v>98.85</v>
      </c>
      <c r="O2893">
        <v>0</v>
      </c>
      <c r="P2893">
        <v>1318</v>
      </c>
      <c r="Q2893">
        <v>1219.1500000000001</v>
      </c>
      <c r="R2893" t="s">
        <v>39</v>
      </c>
      <c r="S2893" t="s">
        <v>31</v>
      </c>
      <c r="T2893" t="s">
        <v>32</v>
      </c>
      <c r="U2893">
        <v>42</v>
      </c>
      <c r="V2893">
        <v>3.5</v>
      </c>
      <c r="W2893">
        <f>Table2[[#This Row],[Quantity]]*Table2[[#This Row],[Item_Price]]</f>
        <v>1318</v>
      </c>
    </row>
    <row r="2894" spans="1:23" x14ac:dyDescent="0.25">
      <c r="A2894" t="s">
        <v>2994</v>
      </c>
      <c r="B2894" s="1">
        <v>45868</v>
      </c>
      <c r="C2894" t="s">
        <v>2632</v>
      </c>
      <c r="D2894">
        <v>7</v>
      </c>
      <c r="E2894">
        <v>30</v>
      </c>
      <c r="F2894" t="s">
        <v>24</v>
      </c>
      <c r="G2894" t="s">
        <v>25</v>
      </c>
      <c r="H2894" t="s">
        <v>35</v>
      </c>
      <c r="I2894" t="s">
        <v>27</v>
      </c>
      <c r="J2894" t="s">
        <v>101</v>
      </c>
      <c r="K2894" t="s">
        <v>38</v>
      </c>
      <c r="L2894">
        <v>1</v>
      </c>
      <c r="M2894">
        <v>522</v>
      </c>
      <c r="N2894">
        <v>78.3</v>
      </c>
      <c r="O2894">
        <v>40</v>
      </c>
      <c r="P2894">
        <v>522</v>
      </c>
      <c r="Q2894">
        <v>483.7</v>
      </c>
      <c r="R2894" t="s">
        <v>112</v>
      </c>
      <c r="S2894" t="s">
        <v>31</v>
      </c>
      <c r="T2894" t="s">
        <v>32</v>
      </c>
      <c r="U2894">
        <v>43</v>
      </c>
      <c r="V2894">
        <v>3.6</v>
      </c>
      <c r="W2894">
        <f>Table2[[#This Row],[Quantity]]*Table2[[#This Row],[Item_Price]]</f>
        <v>522</v>
      </c>
    </row>
    <row r="2895" spans="1:23" x14ac:dyDescent="0.25">
      <c r="A2895" t="s">
        <v>2995</v>
      </c>
      <c r="B2895" s="1">
        <v>45868</v>
      </c>
      <c r="C2895" t="s">
        <v>2632</v>
      </c>
      <c r="D2895">
        <v>7</v>
      </c>
      <c r="E2895">
        <v>30</v>
      </c>
      <c r="F2895" t="s">
        <v>24</v>
      </c>
      <c r="G2895" t="s">
        <v>34</v>
      </c>
      <c r="H2895" t="s">
        <v>26</v>
      </c>
      <c r="I2895" t="s">
        <v>103</v>
      </c>
      <c r="J2895" t="s">
        <v>44</v>
      </c>
      <c r="K2895" t="s">
        <v>38</v>
      </c>
      <c r="L2895">
        <v>1</v>
      </c>
      <c r="M2895">
        <v>214</v>
      </c>
      <c r="N2895">
        <v>42.8</v>
      </c>
      <c r="O2895">
        <v>40</v>
      </c>
      <c r="P2895">
        <v>214</v>
      </c>
      <c r="Q2895">
        <v>211.2</v>
      </c>
      <c r="R2895" t="s">
        <v>30</v>
      </c>
      <c r="S2895" t="s">
        <v>31</v>
      </c>
      <c r="T2895" t="s">
        <v>40</v>
      </c>
      <c r="U2895">
        <v>34</v>
      </c>
      <c r="V2895">
        <v>3.8</v>
      </c>
      <c r="W2895">
        <f>Table2[[#This Row],[Quantity]]*Table2[[#This Row],[Item_Price]]</f>
        <v>214</v>
      </c>
    </row>
    <row r="2896" spans="1:23" x14ac:dyDescent="0.25">
      <c r="A2896" t="s">
        <v>2996</v>
      </c>
      <c r="B2896" s="1">
        <v>45868</v>
      </c>
      <c r="C2896" t="s">
        <v>2632</v>
      </c>
      <c r="D2896">
        <v>7</v>
      </c>
      <c r="E2896">
        <v>30</v>
      </c>
      <c r="F2896" t="s">
        <v>24</v>
      </c>
      <c r="G2896" t="s">
        <v>64</v>
      </c>
      <c r="H2896" t="s">
        <v>68</v>
      </c>
      <c r="I2896" t="s">
        <v>85</v>
      </c>
      <c r="J2896" t="s">
        <v>172</v>
      </c>
      <c r="K2896" t="s">
        <v>38</v>
      </c>
      <c r="L2896">
        <v>3</v>
      </c>
      <c r="M2896">
        <v>560</v>
      </c>
      <c r="N2896">
        <v>112</v>
      </c>
      <c r="O2896">
        <v>40</v>
      </c>
      <c r="P2896">
        <v>1680</v>
      </c>
      <c r="Q2896">
        <v>1608</v>
      </c>
      <c r="R2896" t="s">
        <v>112</v>
      </c>
      <c r="S2896" t="s">
        <v>31</v>
      </c>
      <c r="T2896" t="s">
        <v>40</v>
      </c>
      <c r="U2896">
        <v>55</v>
      </c>
      <c r="V2896">
        <v>4.0999999999999996</v>
      </c>
      <c r="W2896">
        <f>Table2[[#This Row],[Quantity]]*Table2[[#This Row],[Item_Price]]</f>
        <v>1680</v>
      </c>
    </row>
    <row r="2897" spans="1:23" x14ac:dyDescent="0.25">
      <c r="A2897" t="s">
        <v>2997</v>
      </c>
      <c r="B2897" s="1">
        <v>45868</v>
      </c>
      <c r="C2897" t="s">
        <v>2632</v>
      </c>
      <c r="D2897">
        <v>7</v>
      </c>
      <c r="E2897">
        <v>30</v>
      </c>
      <c r="F2897" t="s">
        <v>24</v>
      </c>
      <c r="G2897" t="s">
        <v>64</v>
      </c>
      <c r="H2897" t="s">
        <v>135</v>
      </c>
      <c r="I2897" t="s">
        <v>69</v>
      </c>
      <c r="J2897" t="s">
        <v>172</v>
      </c>
      <c r="K2897" t="s">
        <v>38</v>
      </c>
      <c r="L2897">
        <v>2</v>
      </c>
      <c r="M2897">
        <v>867</v>
      </c>
      <c r="N2897">
        <v>86.7</v>
      </c>
      <c r="O2897">
        <v>20</v>
      </c>
      <c r="P2897">
        <v>1734</v>
      </c>
      <c r="Q2897">
        <v>1667.3</v>
      </c>
      <c r="R2897" t="s">
        <v>39</v>
      </c>
      <c r="S2897" t="s">
        <v>31</v>
      </c>
      <c r="T2897" t="s">
        <v>32</v>
      </c>
      <c r="U2897">
        <v>24</v>
      </c>
      <c r="V2897">
        <v>3.7</v>
      </c>
      <c r="W2897">
        <f>Table2[[#This Row],[Quantity]]*Table2[[#This Row],[Item_Price]]</f>
        <v>1734</v>
      </c>
    </row>
    <row r="2898" spans="1:23" x14ac:dyDescent="0.25">
      <c r="A2898" t="s">
        <v>2998</v>
      </c>
      <c r="B2898" s="1">
        <v>45868</v>
      </c>
      <c r="C2898" t="s">
        <v>2632</v>
      </c>
      <c r="D2898">
        <v>7</v>
      </c>
      <c r="E2898">
        <v>30</v>
      </c>
      <c r="F2898" t="s">
        <v>24</v>
      </c>
      <c r="G2898" t="s">
        <v>25</v>
      </c>
      <c r="H2898" t="s">
        <v>60</v>
      </c>
      <c r="I2898" t="s">
        <v>49</v>
      </c>
      <c r="J2898" t="s">
        <v>28</v>
      </c>
      <c r="K2898" t="s">
        <v>58</v>
      </c>
      <c r="L2898">
        <v>1</v>
      </c>
      <c r="M2898">
        <v>167</v>
      </c>
      <c r="N2898">
        <v>8.35</v>
      </c>
      <c r="O2898">
        <v>0</v>
      </c>
      <c r="P2898">
        <v>167</v>
      </c>
      <c r="Q2898">
        <v>158.65</v>
      </c>
      <c r="R2898" t="s">
        <v>112</v>
      </c>
      <c r="S2898" t="s">
        <v>31</v>
      </c>
      <c r="T2898" t="s">
        <v>40</v>
      </c>
      <c r="U2898">
        <v>66</v>
      </c>
      <c r="V2898">
        <v>4.4000000000000004</v>
      </c>
      <c r="W2898">
        <f>Table2[[#This Row],[Quantity]]*Table2[[#This Row],[Item_Price]]</f>
        <v>167</v>
      </c>
    </row>
    <row r="2899" spans="1:23" x14ac:dyDescent="0.25">
      <c r="A2899" t="s">
        <v>2999</v>
      </c>
      <c r="B2899" s="1">
        <v>45868</v>
      </c>
      <c r="C2899" t="s">
        <v>2632</v>
      </c>
      <c r="D2899">
        <v>7</v>
      </c>
      <c r="E2899">
        <v>30</v>
      </c>
      <c r="F2899" t="s">
        <v>24</v>
      </c>
      <c r="G2899" t="s">
        <v>55</v>
      </c>
      <c r="H2899" t="s">
        <v>108</v>
      </c>
      <c r="I2899" t="s">
        <v>49</v>
      </c>
      <c r="J2899" t="s">
        <v>172</v>
      </c>
      <c r="K2899" t="s">
        <v>45</v>
      </c>
      <c r="L2899">
        <v>1</v>
      </c>
      <c r="M2899">
        <v>290</v>
      </c>
      <c r="N2899">
        <v>0</v>
      </c>
      <c r="O2899">
        <v>60</v>
      </c>
      <c r="P2899">
        <v>290</v>
      </c>
      <c r="Q2899">
        <v>350</v>
      </c>
      <c r="R2899" t="s">
        <v>30</v>
      </c>
      <c r="S2899" t="s">
        <v>31</v>
      </c>
      <c r="T2899" t="s">
        <v>40</v>
      </c>
      <c r="U2899">
        <v>48</v>
      </c>
      <c r="V2899">
        <v>4.5</v>
      </c>
      <c r="W2899">
        <f>Table2[[#This Row],[Quantity]]*Table2[[#This Row],[Item_Price]]</f>
        <v>290</v>
      </c>
    </row>
    <row r="2900" spans="1:23" x14ac:dyDescent="0.25">
      <c r="A2900" t="s">
        <v>3000</v>
      </c>
      <c r="B2900" s="1">
        <v>45869</v>
      </c>
      <c r="C2900" t="s">
        <v>2632</v>
      </c>
      <c r="D2900">
        <v>7</v>
      </c>
      <c r="E2900">
        <v>31</v>
      </c>
      <c r="F2900" t="s">
        <v>88</v>
      </c>
      <c r="G2900" t="s">
        <v>115</v>
      </c>
      <c r="H2900" t="s">
        <v>68</v>
      </c>
      <c r="I2900" t="s">
        <v>49</v>
      </c>
      <c r="J2900" t="s">
        <v>82</v>
      </c>
      <c r="K2900" t="s">
        <v>38</v>
      </c>
      <c r="L2900">
        <v>2</v>
      </c>
      <c r="M2900">
        <v>223</v>
      </c>
      <c r="N2900">
        <v>0</v>
      </c>
      <c r="O2900">
        <v>20</v>
      </c>
      <c r="P2900">
        <v>446</v>
      </c>
      <c r="Q2900">
        <v>466</v>
      </c>
      <c r="R2900" t="s">
        <v>75</v>
      </c>
      <c r="S2900" t="s">
        <v>31</v>
      </c>
      <c r="T2900" t="s">
        <v>40</v>
      </c>
      <c r="U2900">
        <v>62</v>
      </c>
      <c r="V2900">
        <v>3.9</v>
      </c>
      <c r="W2900">
        <f>Table2[[#This Row],[Quantity]]*Table2[[#This Row],[Item_Price]]</f>
        <v>446</v>
      </c>
    </row>
    <row r="2901" spans="1:23" x14ac:dyDescent="0.25">
      <c r="A2901" t="s">
        <v>3001</v>
      </c>
      <c r="B2901" s="1">
        <v>45869</v>
      </c>
      <c r="C2901" t="s">
        <v>2632</v>
      </c>
      <c r="D2901">
        <v>7</v>
      </c>
      <c r="E2901">
        <v>31</v>
      </c>
      <c r="F2901" t="s">
        <v>88</v>
      </c>
      <c r="G2901" t="s">
        <v>34</v>
      </c>
      <c r="H2901" t="s">
        <v>52</v>
      </c>
      <c r="I2901" t="s">
        <v>27</v>
      </c>
      <c r="J2901" t="s">
        <v>44</v>
      </c>
      <c r="K2901" t="s">
        <v>58</v>
      </c>
      <c r="L2901">
        <v>1</v>
      </c>
      <c r="M2901">
        <v>837</v>
      </c>
      <c r="N2901">
        <v>83.7</v>
      </c>
      <c r="O2901">
        <v>40</v>
      </c>
      <c r="P2901">
        <v>837</v>
      </c>
      <c r="Q2901">
        <v>793.3</v>
      </c>
      <c r="R2901" t="s">
        <v>39</v>
      </c>
      <c r="S2901" t="s">
        <v>31</v>
      </c>
      <c r="T2901" t="s">
        <v>32</v>
      </c>
      <c r="U2901">
        <v>39</v>
      </c>
      <c r="V2901">
        <v>5</v>
      </c>
      <c r="W2901">
        <f>Table2[[#This Row],[Quantity]]*Table2[[#This Row],[Item_Price]]</f>
        <v>837</v>
      </c>
    </row>
    <row r="2902" spans="1:23" x14ac:dyDescent="0.25">
      <c r="A2902" t="s">
        <v>3002</v>
      </c>
      <c r="B2902" s="1">
        <v>45869</v>
      </c>
      <c r="C2902" t="s">
        <v>2632</v>
      </c>
      <c r="D2902">
        <v>7</v>
      </c>
      <c r="E2902">
        <v>31</v>
      </c>
      <c r="F2902" t="s">
        <v>88</v>
      </c>
      <c r="G2902" t="s">
        <v>73</v>
      </c>
      <c r="H2902" t="s">
        <v>42</v>
      </c>
      <c r="I2902" t="s">
        <v>36</v>
      </c>
      <c r="J2902" t="s">
        <v>53</v>
      </c>
      <c r="K2902" t="s">
        <v>45</v>
      </c>
      <c r="L2902">
        <v>2</v>
      </c>
      <c r="M2902">
        <v>638</v>
      </c>
      <c r="N2902">
        <v>63.8</v>
      </c>
      <c r="O2902">
        <v>30</v>
      </c>
      <c r="P2902">
        <v>1276</v>
      </c>
      <c r="Q2902">
        <v>1242.2</v>
      </c>
      <c r="R2902" t="s">
        <v>39</v>
      </c>
      <c r="S2902" t="s">
        <v>31</v>
      </c>
      <c r="T2902" t="s">
        <v>40</v>
      </c>
      <c r="U2902">
        <v>59</v>
      </c>
      <c r="V2902">
        <v>4.4000000000000004</v>
      </c>
      <c r="W2902">
        <f>Table2[[#This Row],[Quantity]]*Table2[[#This Row],[Item_Price]]</f>
        <v>1276</v>
      </c>
    </row>
    <row r="2903" spans="1:23" x14ac:dyDescent="0.25">
      <c r="A2903" t="s">
        <v>3003</v>
      </c>
      <c r="B2903" s="1">
        <v>45869</v>
      </c>
      <c r="C2903" t="s">
        <v>2632</v>
      </c>
      <c r="D2903">
        <v>7</v>
      </c>
      <c r="E2903">
        <v>31</v>
      </c>
      <c r="F2903" t="s">
        <v>88</v>
      </c>
      <c r="G2903" t="s">
        <v>73</v>
      </c>
      <c r="H2903" t="s">
        <v>52</v>
      </c>
      <c r="I2903" t="s">
        <v>85</v>
      </c>
      <c r="J2903" t="s">
        <v>172</v>
      </c>
      <c r="K2903" t="s">
        <v>38</v>
      </c>
      <c r="L2903">
        <v>3</v>
      </c>
      <c r="M2903">
        <v>153</v>
      </c>
      <c r="N2903">
        <v>38.25</v>
      </c>
      <c r="O2903">
        <v>40</v>
      </c>
      <c r="P2903">
        <v>459</v>
      </c>
      <c r="Q2903">
        <v>460.75</v>
      </c>
      <c r="R2903" t="s">
        <v>75</v>
      </c>
      <c r="S2903" t="s">
        <v>31</v>
      </c>
      <c r="T2903" t="s">
        <v>32</v>
      </c>
      <c r="U2903">
        <v>59</v>
      </c>
      <c r="V2903">
        <v>3.9</v>
      </c>
      <c r="W2903">
        <f>Table2[[#This Row],[Quantity]]*Table2[[#This Row],[Item_Price]]</f>
        <v>459</v>
      </c>
    </row>
    <row r="2904" spans="1:23" x14ac:dyDescent="0.25">
      <c r="A2904" t="s">
        <v>3004</v>
      </c>
      <c r="B2904" s="1">
        <v>45869</v>
      </c>
      <c r="C2904" t="s">
        <v>2632</v>
      </c>
      <c r="D2904">
        <v>7</v>
      </c>
      <c r="E2904">
        <v>31</v>
      </c>
      <c r="F2904" t="s">
        <v>88</v>
      </c>
      <c r="G2904" t="s">
        <v>80</v>
      </c>
      <c r="H2904" t="s">
        <v>48</v>
      </c>
      <c r="I2904" t="s">
        <v>36</v>
      </c>
      <c r="J2904" t="s">
        <v>82</v>
      </c>
      <c r="K2904" t="s">
        <v>38</v>
      </c>
      <c r="L2904">
        <v>2</v>
      </c>
      <c r="M2904">
        <v>712</v>
      </c>
      <c r="N2904">
        <v>106.8</v>
      </c>
      <c r="O2904">
        <v>30</v>
      </c>
      <c r="P2904">
        <v>1424</v>
      </c>
      <c r="Q2904">
        <v>1347.2</v>
      </c>
      <c r="R2904" t="s">
        <v>75</v>
      </c>
      <c r="S2904" t="s">
        <v>31</v>
      </c>
      <c r="T2904" t="s">
        <v>40</v>
      </c>
      <c r="U2904">
        <v>19</v>
      </c>
      <c r="V2904">
        <v>4.5</v>
      </c>
      <c r="W2904">
        <f>Table2[[#This Row],[Quantity]]*Table2[[#This Row],[Item_Price]]</f>
        <v>1424</v>
      </c>
    </row>
    <row r="2905" spans="1:23" x14ac:dyDescent="0.25">
      <c r="A2905" t="s">
        <v>3005</v>
      </c>
      <c r="B2905" s="1">
        <v>45869</v>
      </c>
      <c r="C2905" t="s">
        <v>2632</v>
      </c>
      <c r="D2905">
        <v>7</v>
      </c>
      <c r="E2905">
        <v>31</v>
      </c>
      <c r="F2905" t="s">
        <v>88</v>
      </c>
      <c r="G2905" t="s">
        <v>80</v>
      </c>
      <c r="H2905" t="s">
        <v>65</v>
      </c>
      <c r="I2905" t="s">
        <v>69</v>
      </c>
      <c r="J2905" t="s">
        <v>62</v>
      </c>
      <c r="K2905" t="s">
        <v>38</v>
      </c>
      <c r="L2905">
        <v>1</v>
      </c>
      <c r="M2905">
        <v>290</v>
      </c>
      <c r="N2905">
        <v>72.5</v>
      </c>
      <c r="O2905">
        <v>0</v>
      </c>
      <c r="P2905">
        <v>290</v>
      </c>
      <c r="Q2905">
        <v>217.5</v>
      </c>
      <c r="R2905" t="s">
        <v>75</v>
      </c>
      <c r="S2905" t="s">
        <v>31</v>
      </c>
      <c r="T2905" t="s">
        <v>40</v>
      </c>
      <c r="U2905">
        <v>53</v>
      </c>
      <c r="V2905">
        <v>4.4000000000000004</v>
      </c>
      <c r="W2905">
        <f>Table2[[#This Row],[Quantity]]*Table2[[#This Row],[Item_Price]]</f>
        <v>290</v>
      </c>
    </row>
    <row r="2906" spans="1:23" x14ac:dyDescent="0.25">
      <c r="A2906" t="s">
        <v>3006</v>
      </c>
      <c r="B2906" s="1">
        <v>45869</v>
      </c>
      <c r="C2906" t="s">
        <v>2632</v>
      </c>
      <c r="D2906">
        <v>7</v>
      </c>
      <c r="E2906">
        <v>31</v>
      </c>
      <c r="F2906" t="s">
        <v>88</v>
      </c>
      <c r="G2906" t="s">
        <v>64</v>
      </c>
      <c r="H2906" t="s">
        <v>35</v>
      </c>
      <c r="I2906" t="s">
        <v>43</v>
      </c>
      <c r="J2906" t="s">
        <v>119</v>
      </c>
      <c r="K2906" t="s">
        <v>38</v>
      </c>
      <c r="L2906">
        <v>1</v>
      </c>
      <c r="M2906">
        <v>708</v>
      </c>
      <c r="N2906">
        <v>177</v>
      </c>
      <c r="O2906">
        <v>20</v>
      </c>
      <c r="P2906">
        <v>708</v>
      </c>
      <c r="Q2906">
        <v>551</v>
      </c>
      <c r="R2906" t="s">
        <v>39</v>
      </c>
      <c r="S2906" t="s">
        <v>31</v>
      </c>
      <c r="T2906" t="s">
        <v>32</v>
      </c>
      <c r="U2906">
        <v>61</v>
      </c>
      <c r="V2906">
        <v>4.5999999999999996</v>
      </c>
      <c r="W2906">
        <f>Table2[[#This Row],[Quantity]]*Table2[[#This Row],[Item_Price]]</f>
        <v>708</v>
      </c>
    </row>
    <row r="2907" spans="1:23" x14ac:dyDescent="0.25">
      <c r="A2907" t="s">
        <v>3007</v>
      </c>
      <c r="B2907" s="1">
        <v>45870</v>
      </c>
      <c r="C2907" t="s">
        <v>3008</v>
      </c>
      <c r="D2907">
        <v>8</v>
      </c>
      <c r="E2907">
        <v>1</v>
      </c>
      <c r="F2907" t="s">
        <v>114</v>
      </c>
      <c r="G2907" t="s">
        <v>73</v>
      </c>
      <c r="H2907" t="s">
        <v>60</v>
      </c>
      <c r="I2907" t="s">
        <v>97</v>
      </c>
      <c r="J2907" t="s">
        <v>28</v>
      </c>
      <c r="K2907" t="s">
        <v>38</v>
      </c>
      <c r="L2907">
        <v>2</v>
      </c>
      <c r="M2907">
        <v>846</v>
      </c>
      <c r="N2907">
        <v>84.6</v>
      </c>
      <c r="O2907">
        <v>30</v>
      </c>
      <c r="P2907">
        <v>1692</v>
      </c>
      <c r="Q2907">
        <v>1637.4</v>
      </c>
      <c r="R2907" t="s">
        <v>112</v>
      </c>
      <c r="S2907" t="s">
        <v>31</v>
      </c>
      <c r="T2907" t="s">
        <v>32</v>
      </c>
      <c r="U2907">
        <v>49</v>
      </c>
      <c r="V2907">
        <v>3.1</v>
      </c>
      <c r="W2907">
        <f>Table2[[#This Row],[Quantity]]*Table2[[#This Row],[Item_Price]]</f>
        <v>1692</v>
      </c>
    </row>
    <row r="2908" spans="1:23" x14ac:dyDescent="0.25">
      <c r="A2908" t="s">
        <v>3009</v>
      </c>
      <c r="B2908" s="1">
        <v>45870</v>
      </c>
      <c r="C2908" t="s">
        <v>3008</v>
      </c>
      <c r="D2908">
        <v>8</v>
      </c>
      <c r="E2908">
        <v>1</v>
      </c>
      <c r="F2908" t="s">
        <v>114</v>
      </c>
      <c r="G2908" t="s">
        <v>55</v>
      </c>
      <c r="H2908" t="s">
        <v>42</v>
      </c>
      <c r="I2908" t="s">
        <v>43</v>
      </c>
      <c r="J2908" t="s">
        <v>82</v>
      </c>
      <c r="K2908" t="s">
        <v>38</v>
      </c>
      <c r="L2908">
        <v>2</v>
      </c>
      <c r="M2908">
        <v>663</v>
      </c>
      <c r="N2908">
        <v>33.15</v>
      </c>
      <c r="O2908">
        <v>20</v>
      </c>
      <c r="P2908">
        <v>1326</v>
      </c>
      <c r="Q2908">
        <v>1312.85</v>
      </c>
      <c r="R2908" t="s">
        <v>39</v>
      </c>
      <c r="S2908" t="s">
        <v>46</v>
      </c>
      <c r="T2908" t="s">
        <v>40</v>
      </c>
      <c r="U2908">
        <v>56</v>
      </c>
      <c r="W2908">
        <f>Table2[[#This Row],[Quantity]]*Table2[[#This Row],[Item_Price]]</f>
        <v>1326</v>
      </c>
    </row>
    <row r="2909" spans="1:23" x14ac:dyDescent="0.25">
      <c r="A2909" t="s">
        <v>3010</v>
      </c>
      <c r="B2909" s="1">
        <v>45870</v>
      </c>
      <c r="C2909" t="s">
        <v>3008</v>
      </c>
      <c r="D2909">
        <v>8</v>
      </c>
      <c r="E2909">
        <v>1</v>
      </c>
      <c r="F2909" t="s">
        <v>114</v>
      </c>
      <c r="G2909" t="s">
        <v>80</v>
      </c>
      <c r="H2909" t="s">
        <v>48</v>
      </c>
      <c r="I2909" t="s">
        <v>61</v>
      </c>
      <c r="J2909" t="s">
        <v>119</v>
      </c>
      <c r="K2909" t="s">
        <v>38</v>
      </c>
      <c r="L2909">
        <v>1</v>
      </c>
      <c r="M2909">
        <v>171</v>
      </c>
      <c r="N2909">
        <v>42.75</v>
      </c>
      <c r="O2909">
        <v>30</v>
      </c>
      <c r="P2909">
        <v>171</v>
      </c>
      <c r="Q2909">
        <v>158.25</v>
      </c>
      <c r="R2909" t="s">
        <v>30</v>
      </c>
      <c r="S2909" t="s">
        <v>31</v>
      </c>
      <c r="T2909" t="s">
        <v>32</v>
      </c>
      <c r="U2909">
        <v>41</v>
      </c>
      <c r="V2909">
        <v>4.3</v>
      </c>
      <c r="W2909">
        <f>Table2[[#This Row],[Quantity]]*Table2[[#This Row],[Item_Price]]</f>
        <v>171</v>
      </c>
    </row>
    <row r="2910" spans="1:23" x14ac:dyDescent="0.25">
      <c r="A2910" t="s">
        <v>3011</v>
      </c>
      <c r="B2910" s="1">
        <v>45870</v>
      </c>
      <c r="C2910" t="s">
        <v>3008</v>
      </c>
      <c r="D2910">
        <v>8</v>
      </c>
      <c r="E2910">
        <v>1</v>
      </c>
      <c r="F2910" t="s">
        <v>114</v>
      </c>
      <c r="G2910" t="s">
        <v>64</v>
      </c>
      <c r="H2910" t="s">
        <v>26</v>
      </c>
      <c r="I2910" t="s">
        <v>49</v>
      </c>
      <c r="J2910" t="s">
        <v>74</v>
      </c>
      <c r="K2910" t="s">
        <v>38</v>
      </c>
      <c r="L2910">
        <v>1</v>
      </c>
      <c r="M2910">
        <v>208</v>
      </c>
      <c r="N2910">
        <v>0</v>
      </c>
      <c r="O2910">
        <v>30</v>
      </c>
      <c r="P2910">
        <v>208</v>
      </c>
      <c r="Q2910">
        <v>238</v>
      </c>
      <c r="R2910" t="s">
        <v>98</v>
      </c>
      <c r="S2910" t="s">
        <v>31</v>
      </c>
      <c r="T2910" t="s">
        <v>40</v>
      </c>
      <c r="U2910">
        <v>58</v>
      </c>
      <c r="V2910">
        <v>3.8</v>
      </c>
      <c r="W2910">
        <f>Table2[[#This Row],[Quantity]]*Table2[[#This Row],[Item_Price]]</f>
        <v>208</v>
      </c>
    </row>
    <row r="2911" spans="1:23" x14ac:dyDescent="0.25">
      <c r="A2911" t="s">
        <v>3012</v>
      </c>
      <c r="B2911" s="1">
        <v>45870</v>
      </c>
      <c r="C2911" t="s">
        <v>3008</v>
      </c>
      <c r="D2911">
        <v>8</v>
      </c>
      <c r="E2911">
        <v>1</v>
      </c>
      <c r="F2911" t="s">
        <v>114</v>
      </c>
      <c r="G2911" t="s">
        <v>25</v>
      </c>
      <c r="H2911" t="s">
        <v>108</v>
      </c>
      <c r="I2911" t="s">
        <v>43</v>
      </c>
      <c r="J2911" t="s">
        <v>82</v>
      </c>
      <c r="K2911" t="s">
        <v>38</v>
      </c>
      <c r="L2911">
        <v>1</v>
      </c>
      <c r="M2911">
        <v>159</v>
      </c>
      <c r="N2911">
        <v>39.75</v>
      </c>
      <c r="O2911">
        <v>20</v>
      </c>
      <c r="P2911">
        <v>159</v>
      </c>
      <c r="Q2911">
        <v>139.25</v>
      </c>
      <c r="R2911" t="s">
        <v>39</v>
      </c>
      <c r="S2911" t="s">
        <v>31</v>
      </c>
      <c r="T2911" t="s">
        <v>32</v>
      </c>
      <c r="U2911">
        <v>28</v>
      </c>
      <c r="V2911">
        <v>4.3</v>
      </c>
      <c r="W2911">
        <f>Table2[[#This Row],[Quantity]]*Table2[[#This Row],[Item_Price]]</f>
        <v>159</v>
      </c>
    </row>
    <row r="2912" spans="1:23" x14ac:dyDescent="0.25">
      <c r="A2912" t="s">
        <v>3013</v>
      </c>
      <c r="B2912" s="1">
        <v>45870</v>
      </c>
      <c r="C2912" t="s">
        <v>3008</v>
      </c>
      <c r="D2912">
        <v>8</v>
      </c>
      <c r="E2912">
        <v>1</v>
      </c>
      <c r="F2912" t="s">
        <v>114</v>
      </c>
      <c r="G2912" t="s">
        <v>73</v>
      </c>
      <c r="H2912" t="s">
        <v>56</v>
      </c>
      <c r="I2912" t="s">
        <v>69</v>
      </c>
      <c r="J2912" t="s">
        <v>74</v>
      </c>
      <c r="K2912" t="s">
        <v>38</v>
      </c>
      <c r="L2912">
        <v>2</v>
      </c>
      <c r="M2912">
        <v>190</v>
      </c>
      <c r="N2912">
        <v>38</v>
      </c>
      <c r="O2912">
        <v>30</v>
      </c>
      <c r="P2912">
        <v>380</v>
      </c>
      <c r="Q2912">
        <v>372</v>
      </c>
      <c r="R2912" t="s">
        <v>75</v>
      </c>
      <c r="S2912" t="s">
        <v>31</v>
      </c>
      <c r="T2912" t="s">
        <v>40</v>
      </c>
      <c r="U2912">
        <v>65</v>
      </c>
      <c r="V2912">
        <v>3.4</v>
      </c>
      <c r="W2912">
        <f>Table2[[#This Row],[Quantity]]*Table2[[#This Row],[Item_Price]]</f>
        <v>380</v>
      </c>
    </row>
    <row r="2913" spans="1:23" x14ac:dyDescent="0.25">
      <c r="A2913" t="s">
        <v>3014</v>
      </c>
      <c r="B2913" s="1">
        <v>45870</v>
      </c>
      <c r="C2913" t="s">
        <v>3008</v>
      </c>
      <c r="D2913">
        <v>8</v>
      </c>
      <c r="E2913">
        <v>1</v>
      </c>
      <c r="F2913" t="s">
        <v>114</v>
      </c>
      <c r="G2913" t="s">
        <v>25</v>
      </c>
      <c r="H2913" t="s">
        <v>105</v>
      </c>
      <c r="I2913" t="s">
        <v>103</v>
      </c>
      <c r="J2913" t="s">
        <v>82</v>
      </c>
      <c r="K2913" t="s">
        <v>38</v>
      </c>
      <c r="L2913">
        <v>3</v>
      </c>
      <c r="M2913">
        <v>678</v>
      </c>
      <c r="N2913">
        <v>67.8</v>
      </c>
      <c r="O2913">
        <v>50</v>
      </c>
      <c r="P2913">
        <v>2034</v>
      </c>
      <c r="Q2913">
        <v>2016.2</v>
      </c>
      <c r="R2913" t="s">
        <v>98</v>
      </c>
      <c r="S2913" t="s">
        <v>31</v>
      </c>
      <c r="T2913" t="s">
        <v>40</v>
      </c>
      <c r="U2913">
        <v>60</v>
      </c>
      <c r="V2913">
        <v>4.8</v>
      </c>
      <c r="W2913">
        <f>Table2[[#This Row],[Quantity]]*Table2[[#This Row],[Item_Price]]</f>
        <v>2034</v>
      </c>
    </row>
    <row r="2914" spans="1:23" x14ac:dyDescent="0.25">
      <c r="A2914" t="s">
        <v>3015</v>
      </c>
      <c r="B2914" s="1">
        <v>45870</v>
      </c>
      <c r="C2914" t="s">
        <v>3008</v>
      </c>
      <c r="D2914">
        <v>8</v>
      </c>
      <c r="E2914">
        <v>1</v>
      </c>
      <c r="F2914" t="s">
        <v>114</v>
      </c>
      <c r="G2914" t="s">
        <v>64</v>
      </c>
      <c r="H2914" t="s">
        <v>35</v>
      </c>
      <c r="I2914" t="s">
        <v>61</v>
      </c>
      <c r="J2914" t="s">
        <v>37</v>
      </c>
      <c r="K2914" t="s">
        <v>38</v>
      </c>
      <c r="L2914">
        <v>3</v>
      </c>
      <c r="M2914">
        <v>407</v>
      </c>
      <c r="N2914">
        <v>40.700000000000003</v>
      </c>
      <c r="O2914">
        <v>0</v>
      </c>
      <c r="P2914">
        <v>1221</v>
      </c>
      <c r="Q2914">
        <v>1180.3</v>
      </c>
      <c r="R2914" t="s">
        <v>75</v>
      </c>
      <c r="S2914" t="s">
        <v>31</v>
      </c>
      <c r="T2914" t="s">
        <v>40</v>
      </c>
      <c r="U2914">
        <v>38</v>
      </c>
      <c r="V2914">
        <v>5</v>
      </c>
      <c r="W2914">
        <f>Table2[[#This Row],[Quantity]]*Table2[[#This Row],[Item_Price]]</f>
        <v>1221</v>
      </c>
    </row>
    <row r="2915" spans="1:23" x14ac:dyDescent="0.25">
      <c r="A2915" t="s">
        <v>3016</v>
      </c>
      <c r="B2915" s="1">
        <v>45870</v>
      </c>
      <c r="C2915" t="s">
        <v>3008</v>
      </c>
      <c r="D2915">
        <v>8</v>
      </c>
      <c r="E2915">
        <v>1</v>
      </c>
      <c r="F2915" t="s">
        <v>114</v>
      </c>
      <c r="G2915" t="s">
        <v>34</v>
      </c>
      <c r="H2915" t="s">
        <v>56</v>
      </c>
      <c r="I2915" t="s">
        <v>57</v>
      </c>
      <c r="J2915" t="s">
        <v>119</v>
      </c>
      <c r="K2915" t="s">
        <v>29</v>
      </c>
      <c r="L2915">
        <v>1</v>
      </c>
      <c r="M2915">
        <v>355</v>
      </c>
      <c r="N2915">
        <v>71</v>
      </c>
      <c r="O2915">
        <v>40</v>
      </c>
      <c r="P2915">
        <v>355</v>
      </c>
      <c r="Q2915">
        <v>324</v>
      </c>
      <c r="R2915" t="s">
        <v>112</v>
      </c>
      <c r="S2915" t="s">
        <v>110</v>
      </c>
      <c r="T2915" t="s">
        <v>40</v>
      </c>
      <c r="U2915">
        <v>18</v>
      </c>
      <c r="W2915">
        <f>Table2[[#This Row],[Quantity]]*Table2[[#This Row],[Item_Price]]</f>
        <v>355</v>
      </c>
    </row>
    <row r="2916" spans="1:23" x14ac:dyDescent="0.25">
      <c r="A2916" t="s">
        <v>3017</v>
      </c>
      <c r="B2916" s="1">
        <v>45870</v>
      </c>
      <c r="C2916" t="s">
        <v>3008</v>
      </c>
      <c r="D2916">
        <v>8</v>
      </c>
      <c r="E2916">
        <v>1</v>
      </c>
      <c r="F2916" t="s">
        <v>114</v>
      </c>
      <c r="G2916" t="s">
        <v>84</v>
      </c>
      <c r="H2916" t="s">
        <v>68</v>
      </c>
      <c r="I2916" t="s">
        <v>36</v>
      </c>
      <c r="J2916" t="s">
        <v>123</v>
      </c>
      <c r="K2916" t="s">
        <v>45</v>
      </c>
      <c r="L2916">
        <v>2</v>
      </c>
      <c r="M2916">
        <v>530</v>
      </c>
      <c r="N2916">
        <v>53</v>
      </c>
      <c r="O2916">
        <v>60</v>
      </c>
      <c r="P2916">
        <v>1060</v>
      </c>
      <c r="Q2916">
        <v>1067</v>
      </c>
      <c r="R2916" t="s">
        <v>30</v>
      </c>
      <c r="S2916" t="s">
        <v>31</v>
      </c>
      <c r="T2916" t="s">
        <v>32</v>
      </c>
      <c r="U2916">
        <v>34</v>
      </c>
      <c r="V2916">
        <v>4.9000000000000004</v>
      </c>
      <c r="W2916">
        <f>Table2[[#This Row],[Quantity]]*Table2[[#This Row],[Item_Price]]</f>
        <v>1060</v>
      </c>
    </row>
    <row r="2917" spans="1:23" x14ac:dyDescent="0.25">
      <c r="A2917" t="s">
        <v>3018</v>
      </c>
      <c r="B2917" s="1">
        <v>45870</v>
      </c>
      <c r="C2917" t="s">
        <v>3008</v>
      </c>
      <c r="D2917">
        <v>8</v>
      </c>
      <c r="E2917">
        <v>1</v>
      </c>
      <c r="F2917" t="s">
        <v>114</v>
      </c>
      <c r="G2917" t="s">
        <v>96</v>
      </c>
      <c r="H2917" t="s">
        <v>42</v>
      </c>
      <c r="I2917" t="s">
        <v>27</v>
      </c>
      <c r="J2917" t="s">
        <v>70</v>
      </c>
      <c r="K2917" t="s">
        <v>38</v>
      </c>
      <c r="L2917">
        <v>2</v>
      </c>
      <c r="M2917">
        <v>392</v>
      </c>
      <c r="N2917">
        <v>39.200000000000003</v>
      </c>
      <c r="O2917">
        <v>30</v>
      </c>
      <c r="P2917">
        <v>784</v>
      </c>
      <c r="Q2917">
        <v>774.8</v>
      </c>
      <c r="R2917" t="s">
        <v>30</v>
      </c>
      <c r="S2917" t="s">
        <v>31</v>
      </c>
      <c r="T2917" t="s">
        <v>40</v>
      </c>
      <c r="U2917">
        <v>53</v>
      </c>
      <c r="V2917">
        <v>4.7</v>
      </c>
      <c r="W2917">
        <f>Table2[[#This Row],[Quantity]]*Table2[[#This Row],[Item_Price]]</f>
        <v>784</v>
      </c>
    </row>
    <row r="2918" spans="1:23" x14ac:dyDescent="0.25">
      <c r="A2918" t="s">
        <v>3019</v>
      </c>
      <c r="B2918" s="1">
        <v>45870</v>
      </c>
      <c r="C2918" t="s">
        <v>3008</v>
      </c>
      <c r="D2918">
        <v>8</v>
      </c>
      <c r="E2918">
        <v>1</v>
      </c>
      <c r="F2918" t="s">
        <v>114</v>
      </c>
      <c r="G2918" t="s">
        <v>34</v>
      </c>
      <c r="H2918" t="s">
        <v>139</v>
      </c>
      <c r="I2918" t="s">
        <v>61</v>
      </c>
      <c r="J2918" t="s">
        <v>37</v>
      </c>
      <c r="K2918" t="s">
        <v>38</v>
      </c>
      <c r="L2918">
        <v>2</v>
      </c>
      <c r="M2918">
        <v>488</v>
      </c>
      <c r="N2918">
        <v>97.6</v>
      </c>
      <c r="O2918">
        <v>20</v>
      </c>
      <c r="P2918">
        <v>976</v>
      </c>
      <c r="Q2918">
        <v>898.4</v>
      </c>
      <c r="R2918" t="s">
        <v>39</v>
      </c>
      <c r="S2918" t="s">
        <v>31</v>
      </c>
      <c r="T2918" t="s">
        <v>40</v>
      </c>
      <c r="U2918">
        <v>57</v>
      </c>
      <c r="V2918">
        <v>4.5999999999999996</v>
      </c>
      <c r="W2918">
        <f>Table2[[#This Row],[Quantity]]*Table2[[#This Row],[Item_Price]]</f>
        <v>976</v>
      </c>
    </row>
    <row r="2919" spans="1:23" x14ac:dyDescent="0.25">
      <c r="A2919" t="s">
        <v>3020</v>
      </c>
      <c r="B2919" s="1">
        <v>45870</v>
      </c>
      <c r="C2919" t="s">
        <v>3008</v>
      </c>
      <c r="D2919">
        <v>8</v>
      </c>
      <c r="E2919">
        <v>1</v>
      </c>
      <c r="F2919" t="s">
        <v>114</v>
      </c>
      <c r="G2919" t="s">
        <v>64</v>
      </c>
      <c r="H2919" t="s">
        <v>26</v>
      </c>
      <c r="I2919" t="s">
        <v>103</v>
      </c>
      <c r="J2919" t="s">
        <v>37</v>
      </c>
      <c r="K2919" t="s">
        <v>38</v>
      </c>
      <c r="L2919">
        <v>2</v>
      </c>
      <c r="M2919">
        <v>775</v>
      </c>
      <c r="N2919">
        <v>193.75</v>
      </c>
      <c r="O2919">
        <v>30</v>
      </c>
      <c r="P2919">
        <v>1550</v>
      </c>
      <c r="Q2919">
        <v>1386.25</v>
      </c>
      <c r="R2919" t="s">
        <v>75</v>
      </c>
      <c r="S2919" t="s">
        <v>31</v>
      </c>
      <c r="T2919" t="s">
        <v>40</v>
      </c>
      <c r="U2919">
        <v>26</v>
      </c>
      <c r="V2919">
        <v>3.8</v>
      </c>
      <c r="W2919">
        <f>Table2[[#This Row],[Quantity]]*Table2[[#This Row],[Item_Price]]</f>
        <v>1550</v>
      </c>
    </row>
    <row r="2920" spans="1:23" x14ac:dyDescent="0.25">
      <c r="A2920" t="s">
        <v>3021</v>
      </c>
      <c r="B2920" s="1">
        <v>45870</v>
      </c>
      <c r="C2920" t="s">
        <v>3008</v>
      </c>
      <c r="D2920">
        <v>8</v>
      </c>
      <c r="E2920">
        <v>1</v>
      </c>
      <c r="F2920" t="s">
        <v>114</v>
      </c>
      <c r="G2920" t="s">
        <v>90</v>
      </c>
      <c r="H2920" t="s">
        <v>60</v>
      </c>
      <c r="I2920" t="s">
        <v>61</v>
      </c>
      <c r="J2920" t="s">
        <v>44</v>
      </c>
      <c r="K2920" t="s">
        <v>45</v>
      </c>
      <c r="L2920">
        <v>3</v>
      </c>
      <c r="M2920">
        <v>350</v>
      </c>
      <c r="N2920">
        <v>0</v>
      </c>
      <c r="O2920">
        <v>30</v>
      </c>
      <c r="P2920">
        <v>1050</v>
      </c>
      <c r="Q2920">
        <v>1080</v>
      </c>
      <c r="R2920" t="s">
        <v>39</v>
      </c>
      <c r="S2920" t="s">
        <v>31</v>
      </c>
      <c r="T2920" t="s">
        <v>32</v>
      </c>
      <c r="U2920">
        <v>21</v>
      </c>
      <c r="V2920">
        <v>5</v>
      </c>
      <c r="W2920">
        <f>Table2[[#This Row],[Quantity]]*Table2[[#This Row],[Item_Price]]</f>
        <v>1050</v>
      </c>
    </row>
    <row r="2921" spans="1:23" x14ac:dyDescent="0.25">
      <c r="A2921" t="s">
        <v>3022</v>
      </c>
      <c r="B2921" s="1">
        <v>45870</v>
      </c>
      <c r="C2921" t="s">
        <v>3008</v>
      </c>
      <c r="D2921">
        <v>8</v>
      </c>
      <c r="E2921">
        <v>1</v>
      </c>
      <c r="F2921" t="s">
        <v>114</v>
      </c>
      <c r="G2921" t="s">
        <v>80</v>
      </c>
      <c r="H2921" t="s">
        <v>60</v>
      </c>
      <c r="I2921" t="s">
        <v>85</v>
      </c>
      <c r="J2921" t="s">
        <v>119</v>
      </c>
      <c r="K2921" t="s">
        <v>38</v>
      </c>
      <c r="L2921">
        <v>2</v>
      </c>
      <c r="M2921">
        <v>483</v>
      </c>
      <c r="N2921">
        <v>24.15</v>
      </c>
      <c r="O2921">
        <v>50</v>
      </c>
      <c r="P2921">
        <v>966</v>
      </c>
      <c r="Q2921">
        <v>991.85</v>
      </c>
      <c r="R2921" t="s">
        <v>39</v>
      </c>
      <c r="S2921" t="s">
        <v>31</v>
      </c>
      <c r="T2921" t="s">
        <v>32</v>
      </c>
      <c r="U2921">
        <v>22</v>
      </c>
      <c r="V2921">
        <v>4</v>
      </c>
      <c r="W2921">
        <f>Table2[[#This Row],[Quantity]]*Table2[[#This Row],[Item_Price]]</f>
        <v>966</v>
      </c>
    </row>
    <row r="2922" spans="1:23" x14ac:dyDescent="0.25">
      <c r="A2922" t="s">
        <v>3023</v>
      </c>
      <c r="B2922" s="1">
        <v>45870</v>
      </c>
      <c r="C2922" t="s">
        <v>3008</v>
      </c>
      <c r="D2922">
        <v>8</v>
      </c>
      <c r="E2922">
        <v>1</v>
      </c>
      <c r="F2922" t="s">
        <v>114</v>
      </c>
      <c r="G2922" t="s">
        <v>55</v>
      </c>
      <c r="H2922" t="s">
        <v>35</v>
      </c>
      <c r="I2922" t="s">
        <v>43</v>
      </c>
      <c r="J2922" t="s">
        <v>53</v>
      </c>
      <c r="K2922" t="s">
        <v>38</v>
      </c>
      <c r="L2922">
        <v>2</v>
      </c>
      <c r="M2922">
        <v>659</v>
      </c>
      <c r="N2922">
        <v>164.75</v>
      </c>
      <c r="O2922">
        <v>70</v>
      </c>
      <c r="P2922">
        <v>1318</v>
      </c>
      <c r="Q2922">
        <v>1223.25</v>
      </c>
      <c r="R2922" t="s">
        <v>39</v>
      </c>
      <c r="S2922" t="s">
        <v>31</v>
      </c>
      <c r="T2922" t="s">
        <v>40</v>
      </c>
      <c r="U2922">
        <v>53</v>
      </c>
      <c r="V2922">
        <v>4.2</v>
      </c>
      <c r="W2922">
        <f>Table2[[#This Row],[Quantity]]*Table2[[#This Row],[Item_Price]]</f>
        <v>1318</v>
      </c>
    </row>
    <row r="2923" spans="1:23" x14ac:dyDescent="0.25">
      <c r="A2923" t="s">
        <v>3024</v>
      </c>
      <c r="B2923" s="1">
        <v>45871</v>
      </c>
      <c r="C2923" t="s">
        <v>3008</v>
      </c>
      <c r="D2923">
        <v>8</v>
      </c>
      <c r="E2923">
        <v>2</v>
      </c>
      <c r="F2923" t="s">
        <v>134</v>
      </c>
      <c r="G2923" t="s">
        <v>80</v>
      </c>
      <c r="H2923" t="s">
        <v>26</v>
      </c>
      <c r="I2923" t="s">
        <v>43</v>
      </c>
      <c r="J2923" t="s">
        <v>82</v>
      </c>
      <c r="K2923" t="s">
        <v>58</v>
      </c>
      <c r="L2923">
        <v>1</v>
      </c>
      <c r="M2923">
        <v>865</v>
      </c>
      <c r="N2923">
        <v>0</v>
      </c>
      <c r="O2923">
        <v>0</v>
      </c>
      <c r="P2923">
        <v>865</v>
      </c>
      <c r="Q2923">
        <v>865</v>
      </c>
      <c r="R2923" t="s">
        <v>39</v>
      </c>
      <c r="S2923" t="s">
        <v>31</v>
      </c>
      <c r="T2923" t="s">
        <v>40</v>
      </c>
      <c r="U2923">
        <v>18</v>
      </c>
      <c r="V2923">
        <v>4.9000000000000004</v>
      </c>
      <c r="W2923">
        <f>Table2[[#This Row],[Quantity]]*Table2[[#This Row],[Item_Price]]</f>
        <v>865</v>
      </c>
    </row>
    <row r="2924" spans="1:23" x14ac:dyDescent="0.25">
      <c r="A2924" t="s">
        <v>3025</v>
      </c>
      <c r="B2924" s="1">
        <v>45871</v>
      </c>
      <c r="C2924" t="s">
        <v>3008</v>
      </c>
      <c r="D2924">
        <v>8</v>
      </c>
      <c r="E2924">
        <v>2</v>
      </c>
      <c r="F2924" t="s">
        <v>134</v>
      </c>
      <c r="G2924" t="s">
        <v>73</v>
      </c>
      <c r="H2924" t="s">
        <v>60</v>
      </c>
      <c r="I2924" t="s">
        <v>49</v>
      </c>
      <c r="J2924" t="s">
        <v>78</v>
      </c>
      <c r="K2924" t="s">
        <v>38</v>
      </c>
      <c r="L2924">
        <v>2</v>
      </c>
      <c r="M2924">
        <v>564</v>
      </c>
      <c r="N2924">
        <v>56.4</v>
      </c>
      <c r="O2924">
        <v>30</v>
      </c>
      <c r="P2924">
        <v>1128</v>
      </c>
      <c r="Q2924">
        <v>1101.5999999999999</v>
      </c>
      <c r="R2924" t="s">
        <v>30</v>
      </c>
      <c r="S2924" t="s">
        <v>31</v>
      </c>
      <c r="T2924" t="s">
        <v>32</v>
      </c>
      <c r="U2924">
        <v>46</v>
      </c>
      <c r="V2924">
        <v>4.8</v>
      </c>
      <c r="W2924">
        <f>Table2[[#This Row],[Quantity]]*Table2[[#This Row],[Item_Price]]</f>
        <v>1128</v>
      </c>
    </row>
    <row r="2925" spans="1:23" x14ac:dyDescent="0.25">
      <c r="A2925" t="s">
        <v>3026</v>
      </c>
      <c r="B2925" s="1">
        <v>45871</v>
      </c>
      <c r="C2925" t="s">
        <v>3008</v>
      </c>
      <c r="D2925">
        <v>8</v>
      </c>
      <c r="E2925">
        <v>2</v>
      </c>
      <c r="F2925" t="s">
        <v>134</v>
      </c>
      <c r="G2925" t="s">
        <v>80</v>
      </c>
      <c r="H2925" t="s">
        <v>77</v>
      </c>
      <c r="I2925" t="s">
        <v>85</v>
      </c>
      <c r="J2925" t="s">
        <v>50</v>
      </c>
      <c r="K2925" t="s">
        <v>38</v>
      </c>
      <c r="L2925">
        <v>2</v>
      </c>
      <c r="M2925">
        <v>325</v>
      </c>
      <c r="N2925">
        <v>48.75</v>
      </c>
      <c r="O2925">
        <v>50</v>
      </c>
      <c r="P2925">
        <v>650</v>
      </c>
      <c r="Q2925">
        <v>651.25</v>
      </c>
      <c r="R2925" t="s">
        <v>75</v>
      </c>
      <c r="S2925" t="s">
        <v>31</v>
      </c>
      <c r="T2925" t="s">
        <v>40</v>
      </c>
      <c r="U2925">
        <v>48</v>
      </c>
      <c r="V2925">
        <v>5</v>
      </c>
      <c r="W2925">
        <f>Table2[[#This Row],[Quantity]]*Table2[[#This Row],[Item_Price]]</f>
        <v>650</v>
      </c>
    </row>
    <row r="2926" spans="1:23" x14ac:dyDescent="0.25">
      <c r="A2926" t="s">
        <v>3027</v>
      </c>
      <c r="B2926" s="1">
        <v>45871</v>
      </c>
      <c r="C2926" t="s">
        <v>3008</v>
      </c>
      <c r="D2926">
        <v>8</v>
      </c>
      <c r="E2926">
        <v>2</v>
      </c>
      <c r="F2926" t="s">
        <v>134</v>
      </c>
      <c r="G2926" t="s">
        <v>96</v>
      </c>
      <c r="H2926" t="s">
        <v>26</v>
      </c>
      <c r="I2926" t="s">
        <v>27</v>
      </c>
      <c r="J2926" t="s">
        <v>82</v>
      </c>
      <c r="K2926" t="s">
        <v>38</v>
      </c>
      <c r="L2926">
        <v>1</v>
      </c>
      <c r="M2926">
        <v>263</v>
      </c>
      <c r="N2926">
        <v>52.6</v>
      </c>
      <c r="O2926">
        <v>30</v>
      </c>
      <c r="P2926">
        <v>263</v>
      </c>
      <c r="Q2926">
        <v>240.4</v>
      </c>
      <c r="R2926" t="s">
        <v>112</v>
      </c>
      <c r="S2926" t="s">
        <v>31</v>
      </c>
      <c r="T2926" t="s">
        <v>40</v>
      </c>
      <c r="U2926">
        <v>48</v>
      </c>
      <c r="V2926">
        <v>4</v>
      </c>
      <c r="W2926">
        <f>Table2[[#This Row],[Quantity]]*Table2[[#This Row],[Item_Price]]</f>
        <v>263</v>
      </c>
    </row>
    <row r="2927" spans="1:23" x14ac:dyDescent="0.25">
      <c r="A2927" t="s">
        <v>3028</v>
      </c>
      <c r="B2927" s="1">
        <v>45871</v>
      </c>
      <c r="C2927" t="s">
        <v>3008</v>
      </c>
      <c r="D2927">
        <v>8</v>
      </c>
      <c r="E2927">
        <v>2</v>
      </c>
      <c r="F2927" t="s">
        <v>134</v>
      </c>
      <c r="G2927" t="s">
        <v>80</v>
      </c>
      <c r="H2927" t="s">
        <v>139</v>
      </c>
      <c r="I2927" t="s">
        <v>57</v>
      </c>
      <c r="J2927" t="s">
        <v>44</v>
      </c>
      <c r="K2927" t="s">
        <v>45</v>
      </c>
      <c r="L2927">
        <v>1</v>
      </c>
      <c r="M2927">
        <v>353</v>
      </c>
      <c r="N2927">
        <v>35.299999999999997</v>
      </c>
      <c r="O2927">
        <v>0</v>
      </c>
      <c r="P2927">
        <v>353</v>
      </c>
      <c r="Q2927">
        <v>317.7</v>
      </c>
      <c r="R2927" t="s">
        <v>39</v>
      </c>
      <c r="S2927" t="s">
        <v>31</v>
      </c>
      <c r="T2927" t="s">
        <v>40</v>
      </c>
      <c r="U2927">
        <v>36</v>
      </c>
      <c r="V2927">
        <v>5</v>
      </c>
      <c r="W2927">
        <f>Table2[[#This Row],[Quantity]]*Table2[[#This Row],[Item_Price]]</f>
        <v>353</v>
      </c>
    </row>
    <row r="2928" spans="1:23" x14ac:dyDescent="0.25">
      <c r="A2928" t="s">
        <v>3029</v>
      </c>
      <c r="B2928" s="1">
        <v>45871</v>
      </c>
      <c r="C2928" t="s">
        <v>3008</v>
      </c>
      <c r="D2928">
        <v>8</v>
      </c>
      <c r="E2928">
        <v>2</v>
      </c>
      <c r="F2928" t="s">
        <v>134</v>
      </c>
      <c r="G2928" t="s">
        <v>90</v>
      </c>
      <c r="H2928" t="s">
        <v>52</v>
      </c>
      <c r="I2928" t="s">
        <v>27</v>
      </c>
      <c r="J2928" t="s">
        <v>70</v>
      </c>
      <c r="K2928" t="s">
        <v>45</v>
      </c>
      <c r="L2928">
        <v>2</v>
      </c>
      <c r="M2928">
        <v>614</v>
      </c>
      <c r="N2928">
        <v>122.8</v>
      </c>
      <c r="O2928">
        <v>70</v>
      </c>
      <c r="P2928">
        <v>1228</v>
      </c>
      <c r="Q2928">
        <v>1175.2</v>
      </c>
      <c r="R2928" t="s">
        <v>39</v>
      </c>
      <c r="S2928" t="s">
        <v>31</v>
      </c>
      <c r="T2928" t="s">
        <v>40</v>
      </c>
      <c r="U2928">
        <v>56</v>
      </c>
      <c r="V2928">
        <v>4.5</v>
      </c>
      <c r="W2928">
        <f>Table2[[#This Row],[Quantity]]*Table2[[#This Row],[Item_Price]]</f>
        <v>1228</v>
      </c>
    </row>
    <row r="2929" spans="1:23" x14ac:dyDescent="0.25">
      <c r="A2929" t="s">
        <v>3030</v>
      </c>
      <c r="B2929" s="1">
        <v>45871</v>
      </c>
      <c r="C2929" t="s">
        <v>3008</v>
      </c>
      <c r="D2929">
        <v>8</v>
      </c>
      <c r="E2929">
        <v>2</v>
      </c>
      <c r="F2929" t="s">
        <v>134</v>
      </c>
      <c r="G2929" t="s">
        <v>34</v>
      </c>
      <c r="H2929" t="s">
        <v>108</v>
      </c>
      <c r="I2929" t="s">
        <v>103</v>
      </c>
      <c r="J2929" t="s">
        <v>94</v>
      </c>
      <c r="K2929" t="s">
        <v>38</v>
      </c>
      <c r="L2929">
        <v>1</v>
      </c>
      <c r="M2929">
        <v>346</v>
      </c>
      <c r="N2929">
        <v>86.5</v>
      </c>
      <c r="O2929">
        <v>60</v>
      </c>
      <c r="P2929">
        <v>346</v>
      </c>
      <c r="Q2929">
        <v>319.5</v>
      </c>
      <c r="R2929" t="s">
        <v>75</v>
      </c>
      <c r="S2929" t="s">
        <v>31</v>
      </c>
      <c r="T2929" t="s">
        <v>40</v>
      </c>
      <c r="U2929">
        <v>69</v>
      </c>
      <c r="V2929">
        <v>4</v>
      </c>
      <c r="W2929">
        <f>Table2[[#This Row],[Quantity]]*Table2[[#This Row],[Item_Price]]</f>
        <v>346</v>
      </c>
    </row>
    <row r="2930" spans="1:23" x14ac:dyDescent="0.25">
      <c r="A2930" t="s">
        <v>3031</v>
      </c>
      <c r="B2930" s="1">
        <v>45871</v>
      </c>
      <c r="C2930" t="s">
        <v>3008</v>
      </c>
      <c r="D2930">
        <v>8</v>
      </c>
      <c r="E2930">
        <v>2</v>
      </c>
      <c r="F2930" t="s">
        <v>134</v>
      </c>
      <c r="G2930" t="s">
        <v>73</v>
      </c>
      <c r="H2930" t="s">
        <v>105</v>
      </c>
      <c r="I2930" t="s">
        <v>61</v>
      </c>
      <c r="J2930" t="s">
        <v>123</v>
      </c>
      <c r="K2930" t="s">
        <v>38</v>
      </c>
      <c r="L2930">
        <v>3</v>
      </c>
      <c r="M2930">
        <v>403</v>
      </c>
      <c r="N2930">
        <v>20.149999999999999</v>
      </c>
      <c r="O2930">
        <v>40</v>
      </c>
      <c r="P2930">
        <v>1209</v>
      </c>
      <c r="Q2930">
        <v>1228.8499999999999</v>
      </c>
      <c r="R2930" t="s">
        <v>39</v>
      </c>
      <c r="S2930" t="s">
        <v>31</v>
      </c>
      <c r="T2930" t="s">
        <v>40</v>
      </c>
      <c r="U2930">
        <v>33</v>
      </c>
      <c r="V2930">
        <v>4</v>
      </c>
      <c r="W2930">
        <f>Table2[[#This Row],[Quantity]]*Table2[[#This Row],[Item_Price]]</f>
        <v>1209</v>
      </c>
    </row>
    <row r="2931" spans="1:23" x14ac:dyDescent="0.25">
      <c r="A2931" t="s">
        <v>3032</v>
      </c>
      <c r="B2931" s="1">
        <v>45871</v>
      </c>
      <c r="C2931" t="s">
        <v>3008</v>
      </c>
      <c r="D2931">
        <v>8</v>
      </c>
      <c r="E2931">
        <v>2</v>
      </c>
      <c r="F2931" t="s">
        <v>134</v>
      </c>
      <c r="G2931" t="s">
        <v>34</v>
      </c>
      <c r="H2931" t="s">
        <v>52</v>
      </c>
      <c r="I2931" t="s">
        <v>57</v>
      </c>
      <c r="J2931" t="s">
        <v>62</v>
      </c>
      <c r="K2931" t="s">
        <v>45</v>
      </c>
      <c r="L2931">
        <v>1</v>
      </c>
      <c r="M2931">
        <v>712</v>
      </c>
      <c r="N2931">
        <v>71.2</v>
      </c>
      <c r="O2931">
        <v>20</v>
      </c>
      <c r="P2931">
        <v>712</v>
      </c>
      <c r="Q2931">
        <v>660.8</v>
      </c>
      <c r="R2931" t="s">
        <v>75</v>
      </c>
      <c r="S2931" t="s">
        <v>110</v>
      </c>
      <c r="T2931" t="s">
        <v>40</v>
      </c>
      <c r="U2931">
        <v>33</v>
      </c>
      <c r="W2931">
        <f>Table2[[#This Row],[Quantity]]*Table2[[#This Row],[Item_Price]]</f>
        <v>712</v>
      </c>
    </row>
    <row r="2932" spans="1:23" x14ac:dyDescent="0.25">
      <c r="A2932" t="s">
        <v>3033</v>
      </c>
      <c r="B2932" s="1">
        <v>45871</v>
      </c>
      <c r="C2932" t="s">
        <v>3008</v>
      </c>
      <c r="D2932">
        <v>8</v>
      </c>
      <c r="E2932">
        <v>2</v>
      </c>
      <c r="F2932" t="s">
        <v>134</v>
      </c>
      <c r="G2932" t="s">
        <v>90</v>
      </c>
      <c r="H2932" t="s">
        <v>65</v>
      </c>
      <c r="I2932" t="s">
        <v>69</v>
      </c>
      <c r="J2932" t="s">
        <v>37</v>
      </c>
      <c r="K2932" t="s">
        <v>38</v>
      </c>
      <c r="L2932">
        <v>2</v>
      </c>
      <c r="M2932">
        <v>313</v>
      </c>
      <c r="N2932">
        <v>0</v>
      </c>
      <c r="O2932">
        <v>40</v>
      </c>
      <c r="P2932">
        <v>626</v>
      </c>
      <c r="Q2932">
        <v>666</v>
      </c>
      <c r="R2932" t="s">
        <v>39</v>
      </c>
      <c r="S2932" t="s">
        <v>91</v>
      </c>
      <c r="T2932" t="s">
        <v>40</v>
      </c>
      <c r="U2932">
        <v>33</v>
      </c>
      <c r="W2932">
        <f>Table2[[#This Row],[Quantity]]*Table2[[#This Row],[Item_Price]]</f>
        <v>626</v>
      </c>
    </row>
    <row r="2933" spans="1:23" x14ac:dyDescent="0.25">
      <c r="A2933" t="s">
        <v>3034</v>
      </c>
      <c r="B2933" s="1">
        <v>45871</v>
      </c>
      <c r="C2933" t="s">
        <v>3008</v>
      </c>
      <c r="D2933">
        <v>8</v>
      </c>
      <c r="E2933">
        <v>2</v>
      </c>
      <c r="F2933" t="s">
        <v>134</v>
      </c>
      <c r="G2933" t="s">
        <v>84</v>
      </c>
      <c r="H2933" t="s">
        <v>56</v>
      </c>
      <c r="I2933" t="s">
        <v>69</v>
      </c>
      <c r="J2933" t="s">
        <v>123</v>
      </c>
      <c r="K2933" t="s">
        <v>38</v>
      </c>
      <c r="L2933">
        <v>1</v>
      </c>
      <c r="M2933">
        <v>326</v>
      </c>
      <c r="N2933">
        <v>0</v>
      </c>
      <c r="O2933">
        <v>20</v>
      </c>
      <c r="P2933">
        <v>326</v>
      </c>
      <c r="Q2933">
        <v>346</v>
      </c>
      <c r="R2933" t="s">
        <v>39</v>
      </c>
      <c r="S2933" t="s">
        <v>31</v>
      </c>
      <c r="T2933" t="s">
        <v>32</v>
      </c>
      <c r="U2933">
        <v>37</v>
      </c>
      <c r="V2933">
        <v>4</v>
      </c>
      <c r="W2933">
        <f>Table2[[#This Row],[Quantity]]*Table2[[#This Row],[Item_Price]]</f>
        <v>326</v>
      </c>
    </row>
    <row r="2934" spans="1:23" x14ac:dyDescent="0.25">
      <c r="A2934" t="s">
        <v>3035</v>
      </c>
      <c r="B2934" s="1">
        <v>45871</v>
      </c>
      <c r="C2934" t="s">
        <v>3008</v>
      </c>
      <c r="D2934">
        <v>8</v>
      </c>
      <c r="E2934">
        <v>2</v>
      </c>
      <c r="F2934" t="s">
        <v>134</v>
      </c>
      <c r="G2934" t="s">
        <v>25</v>
      </c>
      <c r="H2934" t="s">
        <v>135</v>
      </c>
      <c r="I2934" t="s">
        <v>97</v>
      </c>
      <c r="J2934" t="s">
        <v>74</v>
      </c>
      <c r="K2934" t="s">
        <v>38</v>
      </c>
      <c r="L2934">
        <v>2</v>
      </c>
      <c r="M2934">
        <v>125</v>
      </c>
      <c r="N2934">
        <v>12.5</v>
      </c>
      <c r="O2934">
        <v>30</v>
      </c>
      <c r="P2934">
        <v>250</v>
      </c>
      <c r="Q2934">
        <v>267.5</v>
      </c>
      <c r="R2934" t="s">
        <v>98</v>
      </c>
      <c r="S2934" t="s">
        <v>31</v>
      </c>
      <c r="T2934" t="s">
        <v>40</v>
      </c>
      <c r="U2934">
        <v>54</v>
      </c>
      <c r="V2934">
        <v>3.7</v>
      </c>
      <c r="W2934">
        <f>Table2[[#This Row],[Quantity]]*Table2[[#This Row],[Item_Price]]</f>
        <v>250</v>
      </c>
    </row>
    <row r="2935" spans="1:23" x14ac:dyDescent="0.25">
      <c r="A2935" t="s">
        <v>3036</v>
      </c>
      <c r="B2935" s="1">
        <v>45871</v>
      </c>
      <c r="C2935" t="s">
        <v>3008</v>
      </c>
      <c r="D2935">
        <v>8</v>
      </c>
      <c r="E2935">
        <v>2</v>
      </c>
      <c r="F2935" t="s">
        <v>134</v>
      </c>
      <c r="G2935" t="s">
        <v>55</v>
      </c>
      <c r="H2935" t="s">
        <v>35</v>
      </c>
      <c r="I2935" t="s">
        <v>57</v>
      </c>
      <c r="J2935" t="s">
        <v>101</v>
      </c>
      <c r="K2935" t="s">
        <v>38</v>
      </c>
      <c r="L2935">
        <v>1</v>
      </c>
      <c r="M2935">
        <v>208</v>
      </c>
      <c r="N2935">
        <v>0</v>
      </c>
      <c r="O2935">
        <v>30</v>
      </c>
      <c r="P2935">
        <v>208</v>
      </c>
      <c r="Q2935">
        <v>238</v>
      </c>
      <c r="R2935" t="s">
        <v>75</v>
      </c>
      <c r="S2935" t="s">
        <v>46</v>
      </c>
      <c r="T2935" t="s">
        <v>32</v>
      </c>
      <c r="U2935">
        <v>23</v>
      </c>
      <c r="W2935">
        <f>Table2[[#This Row],[Quantity]]*Table2[[#This Row],[Item_Price]]</f>
        <v>208</v>
      </c>
    </row>
    <row r="2936" spans="1:23" x14ac:dyDescent="0.25">
      <c r="A2936" t="s">
        <v>3037</v>
      </c>
      <c r="B2936" s="1">
        <v>45871</v>
      </c>
      <c r="C2936" t="s">
        <v>3008</v>
      </c>
      <c r="D2936">
        <v>8</v>
      </c>
      <c r="E2936">
        <v>2</v>
      </c>
      <c r="F2936" t="s">
        <v>134</v>
      </c>
      <c r="G2936" t="s">
        <v>64</v>
      </c>
      <c r="H2936" t="s">
        <v>26</v>
      </c>
      <c r="I2936" t="s">
        <v>61</v>
      </c>
      <c r="J2936" t="s">
        <v>94</v>
      </c>
      <c r="K2936" t="s">
        <v>38</v>
      </c>
      <c r="L2936">
        <v>1</v>
      </c>
      <c r="M2936">
        <v>527</v>
      </c>
      <c r="N2936">
        <v>131.75</v>
      </c>
      <c r="O2936">
        <v>40</v>
      </c>
      <c r="P2936">
        <v>527</v>
      </c>
      <c r="Q2936">
        <v>435.25</v>
      </c>
      <c r="R2936" t="s">
        <v>30</v>
      </c>
      <c r="S2936" t="s">
        <v>110</v>
      </c>
      <c r="T2936" t="s">
        <v>40</v>
      </c>
      <c r="U2936">
        <v>55</v>
      </c>
      <c r="W2936">
        <f>Table2[[#This Row],[Quantity]]*Table2[[#This Row],[Item_Price]]</f>
        <v>527</v>
      </c>
    </row>
    <row r="2937" spans="1:23" x14ac:dyDescent="0.25">
      <c r="A2937" t="s">
        <v>3038</v>
      </c>
      <c r="B2937" s="1">
        <v>45871</v>
      </c>
      <c r="C2937" t="s">
        <v>3008</v>
      </c>
      <c r="D2937">
        <v>8</v>
      </c>
      <c r="E2937">
        <v>2</v>
      </c>
      <c r="F2937" t="s">
        <v>134</v>
      </c>
      <c r="G2937" t="s">
        <v>90</v>
      </c>
      <c r="H2937" t="s">
        <v>60</v>
      </c>
      <c r="I2937" t="s">
        <v>61</v>
      </c>
      <c r="J2937" t="s">
        <v>74</v>
      </c>
      <c r="K2937" t="s">
        <v>38</v>
      </c>
      <c r="L2937">
        <v>1</v>
      </c>
      <c r="M2937">
        <v>833</v>
      </c>
      <c r="N2937">
        <v>124.95</v>
      </c>
      <c r="O2937">
        <v>60</v>
      </c>
      <c r="P2937">
        <v>833</v>
      </c>
      <c r="Q2937">
        <v>768.05</v>
      </c>
      <c r="R2937" t="s">
        <v>39</v>
      </c>
      <c r="S2937" t="s">
        <v>31</v>
      </c>
      <c r="T2937" t="s">
        <v>40</v>
      </c>
      <c r="U2937">
        <v>48</v>
      </c>
      <c r="V2937">
        <v>3.1</v>
      </c>
      <c r="W2937">
        <f>Table2[[#This Row],[Quantity]]*Table2[[#This Row],[Item_Price]]</f>
        <v>833</v>
      </c>
    </row>
    <row r="2938" spans="1:23" x14ac:dyDescent="0.25">
      <c r="A2938" t="s">
        <v>3039</v>
      </c>
      <c r="B2938" s="1">
        <v>45871</v>
      </c>
      <c r="C2938" t="s">
        <v>3008</v>
      </c>
      <c r="D2938">
        <v>8</v>
      </c>
      <c r="E2938">
        <v>2</v>
      </c>
      <c r="F2938" t="s">
        <v>134</v>
      </c>
      <c r="G2938" t="s">
        <v>80</v>
      </c>
      <c r="H2938" t="s">
        <v>139</v>
      </c>
      <c r="I2938" t="s">
        <v>43</v>
      </c>
      <c r="J2938" t="s">
        <v>94</v>
      </c>
      <c r="K2938" t="s">
        <v>38</v>
      </c>
      <c r="L2938">
        <v>1</v>
      </c>
      <c r="M2938">
        <v>286</v>
      </c>
      <c r="N2938">
        <v>0</v>
      </c>
      <c r="O2938">
        <v>0</v>
      </c>
      <c r="P2938">
        <v>286</v>
      </c>
      <c r="Q2938">
        <v>286</v>
      </c>
      <c r="R2938" t="s">
        <v>30</v>
      </c>
      <c r="S2938" t="s">
        <v>110</v>
      </c>
      <c r="T2938" t="s">
        <v>40</v>
      </c>
      <c r="U2938">
        <v>49</v>
      </c>
      <c r="W2938">
        <f>Table2[[#This Row],[Quantity]]*Table2[[#This Row],[Item_Price]]</f>
        <v>286</v>
      </c>
    </row>
    <row r="2939" spans="1:23" x14ac:dyDescent="0.25">
      <c r="A2939" t="s">
        <v>3040</v>
      </c>
      <c r="B2939" s="1">
        <v>45871</v>
      </c>
      <c r="C2939" t="s">
        <v>3008</v>
      </c>
      <c r="D2939">
        <v>8</v>
      </c>
      <c r="E2939">
        <v>2</v>
      </c>
      <c r="F2939" t="s">
        <v>134</v>
      </c>
      <c r="G2939" t="s">
        <v>80</v>
      </c>
      <c r="H2939" t="s">
        <v>60</v>
      </c>
      <c r="I2939" t="s">
        <v>36</v>
      </c>
      <c r="J2939" t="s">
        <v>53</v>
      </c>
      <c r="K2939" t="s">
        <v>38</v>
      </c>
      <c r="L2939">
        <v>2</v>
      </c>
      <c r="M2939">
        <v>841</v>
      </c>
      <c r="N2939">
        <v>84.1</v>
      </c>
      <c r="O2939">
        <v>20</v>
      </c>
      <c r="P2939">
        <v>1682</v>
      </c>
      <c r="Q2939">
        <v>1617.9</v>
      </c>
      <c r="R2939" t="s">
        <v>112</v>
      </c>
      <c r="S2939" t="s">
        <v>31</v>
      </c>
      <c r="T2939" t="s">
        <v>40</v>
      </c>
      <c r="U2939">
        <v>30</v>
      </c>
      <c r="V2939">
        <v>3.3</v>
      </c>
      <c r="W2939">
        <f>Table2[[#This Row],[Quantity]]*Table2[[#This Row],[Item_Price]]</f>
        <v>1682</v>
      </c>
    </row>
    <row r="2940" spans="1:23" x14ac:dyDescent="0.25">
      <c r="A2940" t="s">
        <v>3041</v>
      </c>
      <c r="B2940" s="1">
        <v>45871</v>
      </c>
      <c r="C2940" t="s">
        <v>3008</v>
      </c>
      <c r="D2940">
        <v>8</v>
      </c>
      <c r="E2940">
        <v>2</v>
      </c>
      <c r="F2940" t="s">
        <v>134</v>
      </c>
      <c r="G2940" t="s">
        <v>64</v>
      </c>
      <c r="H2940" t="s">
        <v>65</v>
      </c>
      <c r="I2940" t="s">
        <v>27</v>
      </c>
      <c r="J2940" t="s">
        <v>172</v>
      </c>
      <c r="K2940" t="s">
        <v>38</v>
      </c>
      <c r="L2940">
        <v>2</v>
      </c>
      <c r="M2940">
        <v>404</v>
      </c>
      <c r="N2940">
        <v>60.6</v>
      </c>
      <c r="O2940">
        <v>20</v>
      </c>
      <c r="P2940">
        <v>808</v>
      </c>
      <c r="Q2940">
        <v>767.4</v>
      </c>
      <c r="R2940" t="s">
        <v>39</v>
      </c>
      <c r="S2940" t="s">
        <v>31</v>
      </c>
      <c r="T2940" t="s">
        <v>32</v>
      </c>
      <c r="U2940">
        <v>37</v>
      </c>
      <c r="V2940">
        <v>3.8</v>
      </c>
      <c r="W2940">
        <f>Table2[[#This Row],[Quantity]]*Table2[[#This Row],[Item_Price]]</f>
        <v>808</v>
      </c>
    </row>
    <row r="2941" spans="1:23" x14ac:dyDescent="0.25">
      <c r="A2941" t="s">
        <v>3042</v>
      </c>
      <c r="B2941" s="1">
        <v>45871</v>
      </c>
      <c r="C2941" t="s">
        <v>3008</v>
      </c>
      <c r="D2941">
        <v>8</v>
      </c>
      <c r="E2941">
        <v>2</v>
      </c>
      <c r="F2941" t="s">
        <v>134</v>
      </c>
      <c r="G2941" t="s">
        <v>34</v>
      </c>
      <c r="H2941" t="s">
        <v>56</v>
      </c>
      <c r="I2941" t="s">
        <v>43</v>
      </c>
      <c r="J2941" t="s">
        <v>123</v>
      </c>
      <c r="K2941" t="s">
        <v>38</v>
      </c>
      <c r="L2941">
        <v>2</v>
      </c>
      <c r="M2941">
        <v>133</v>
      </c>
      <c r="N2941">
        <v>26.6</v>
      </c>
      <c r="O2941">
        <v>50</v>
      </c>
      <c r="P2941">
        <v>266</v>
      </c>
      <c r="Q2941">
        <v>289.39999999999998</v>
      </c>
      <c r="R2941" t="s">
        <v>112</v>
      </c>
      <c r="S2941" t="s">
        <v>31</v>
      </c>
      <c r="T2941" t="s">
        <v>40</v>
      </c>
      <c r="U2941">
        <v>21</v>
      </c>
      <c r="V2941">
        <v>3.5</v>
      </c>
      <c r="W2941">
        <f>Table2[[#This Row],[Quantity]]*Table2[[#This Row],[Item_Price]]</f>
        <v>266</v>
      </c>
    </row>
    <row r="2942" spans="1:23" x14ac:dyDescent="0.25">
      <c r="A2942" t="s">
        <v>3043</v>
      </c>
      <c r="B2942" s="1">
        <v>45871</v>
      </c>
      <c r="C2942" t="s">
        <v>3008</v>
      </c>
      <c r="D2942">
        <v>8</v>
      </c>
      <c r="E2942">
        <v>2</v>
      </c>
      <c r="F2942" t="s">
        <v>134</v>
      </c>
      <c r="G2942" t="s">
        <v>64</v>
      </c>
      <c r="H2942" t="s">
        <v>52</v>
      </c>
      <c r="I2942" t="s">
        <v>43</v>
      </c>
      <c r="J2942" t="s">
        <v>82</v>
      </c>
      <c r="K2942" t="s">
        <v>38</v>
      </c>
      <c r="L2942">
        <v>1</v>
      </c>
      <c r="M2942">
        <v>251</v>
      </c>
      <c r="N2942">
        <v>25.1</v>
      </c>
      <c r="O2942">
        <v>40</v>
      </c>
      <c r="P2942">
        <v>251</v>
      </c>
      <c r="Q2942">
        <v>265.89999999999998</v>
      </c>
      <c r="R2942" t="s">
        <v>39</v>
      </c>
      <c r="S2942" t="s">
        <v>31</v>
      </c>
      <c r="T2942" t="s">
        <v>40</v>
      </c>
      <c r="U2942">
        <v>57</v>
      </c>
      <c r="V2942">
        <v>3.4</v>
      </c>
      <c r="W2942">
        <f>Table2[[#This Row],[Quantity]]*Table2[[#This Row],[Item_Price]]</f>
        <v>251</v>
      </c>
    </row>
    <row r="2943" spans="1:23" x14ac:dyDescent="0.25">
      <c r="A2943" t="s">
        <v>3044</v>
      </c>
      <c r="B2943" s="1">
        <v>45871</v>
      </c>
      <c r="C2943" t="s">
        <v>3008</v>
      </c>
      <c r="D2943">
        <v>8</v>
      </c>
      <c r="E2943">
        <v>2</v>
      </c>
      <c r="F2943" t="s">
        <v>134</v>
      </c>
      <c r="G2943" t="s">
        <v>73</v>
      </c>
      <c r="H2943" t="s">
        <v>135</v>
      </c>
      <c r="I2943" t="s">
        <v>103</v>
      </c>
      <c r="J2943" t="s">
        <v>123</v>
      </c>
      <c r="K2943" t="s">
        <v>58</v>
      </c>
      <c r="L2943">
        <v>1</v>
      </c>
      <c r="M2943">
        <v>293</v>
      </c>
      <c r="N2943">
        <v>29.3</v>
      </c>
      <c r="O2943">
        <v>60</v>
      </c>
      <c r="P2943">
        <v>293</v>
      </c>
      <c r="Q2943">
        <v>323.7</v>
      </c>
      <c r="R2943" t="s">
        <v>39</v>
      </c>
      <c r="S2943" t="s">
        <v>46</v>
      </c>
      <c r="T2943" t="s">
        <v>40</v>
      </c>
      <c r="U2943">
        <v>33</v>
      </c>
      <c r="W2943">
        <f>Table2[[#This Row],[Quantity]]*Table2[[#This Row],[Item_Price]]</f>
        <v>293</v>
      </c>
    </row>
    <row r="2944" spans="1:23" x14ac:dyDescent="0.25">
      <c r="A2944" t="s">
        <v>3045</v>
      </c>
      <c r="B2944" s="1">
        <v>45872</v>
      </c>
      <c r="C2944" t="s">
        <v>3008</v>
      </c>
      <c r="D2944">
        <v>8</v>
      </c>
      <c r="E2944">
        <v>3</v>
      </c>
      <c r="F2944" t="s">
        <v>149</v>
      </c>
      <c r="G2944" t="s">
        <v>80</v>
      </c>
      <c r="H2944" t="s">
        <v>68</v>
      </c>
      <c r="I2944" t="s">
        <v>27</v>
      </c>
      <c r="J2944" t="s">
        <v>70</v>
      </c>
      <c r="K2944" t="s">
        <v>45</v>
      </c>
      <c r="L2944">
        <v>1</v>
      </c>
      <c r="M2944">
        <v>298</v>
      </c>
      <c r="N2944">
        <v>59.6</v>
      </c>
      <c r="O2944">
        <v>30</v>
      </c>
      <c r="P2944">
        <v>298</v>
      </c>
      <c r="Q2944">
        <v>268.39999999999998</v>
      </c>
      <c r="R2944" t="s">
        <v>75</v>
      </c>
      <c r="S2944" t="s">
        <v>91</v>
      </c>
      <c r="T2944" t="s">
        <v>40</v>
      </c>
      <c r="U2944">
        <v>25</v>
      </c>
      <c r="W2944">
        <f>Table2[[#This Row],[Quantity]]*Table2[[#This Row],[Item_Price]]</f>
        <v>298</v>
      </c>
    </row>
    <row r="2945" spans="1:23" x14ac:dyDescent="0.25">
      <c r="A2945" t="s">
        <v>3046</v>
      </c>
      <c r="B2945" s="1">
        <v>45872</v>
      </c>
      <c r="C2945" t="s">
        <v>3008</v>
      </c>
      <c r="D2945">
        <v>8</v>
      </c>
      <c r="E2945">
        <v>3</v>
      </c>
      <c r="F2945" t="s">
        <v>149</v>
      </c>
      <c r="G2945" t="s">
        <v>64</v>
      </c>
      <c r="H2945" t="s">
        <v>68</v>
      </c>
      <c r="I2945" t="s">
        <v>27</v>
      </c>
      <c r="J2945" t="s">
        <v>94</v>
      </c>
      <c r="K2945" t="s">
        <v>38</v>
      </c>
      <c r="L2945">
        <v>2</v>
      </c>
      <c r="M2945">
        <v>739</v>
      </c>
      <c r="N2945">
        <v>184.75</v>
      </c>
      <c r="O2945">
        <v>50</v>
      </c>
      <c r="P2945">
        <v>1478</v>
      </c>
      <c r="Q2945">
        <v>1343.25</v>
      </c>
      <c r="R2945" t="s">
        <v>39</v>
      </c>
      <c r="S2945" t="s">
        <v>31</v>
      </c>
      <c r="T2945" t="s">
        <v>40</v>
      </c>
      <c r="U2945">
        <v>49</v>
      </c>
      <c r="V2945">
        <v>3.4</v>
      </c>
      <c r="W2945">
        <f>Table2[[#This Row],[Quantity]]*Table2[[#This Row],[Item_Price]]</f>
        <v>1478</v>
      </c>
    </row>
    <row r="2946" spans="1:23" x14ac:dyDescent="0.25">
      <c r="A2946" t="s">
        <v>3047</v>
      </c>
      <c r="B2946" s="1">
        <v>45872</v>
      </c>
      <c r="C2946" t="s">
        <v>3008</v>
      </c>
      <c r="D2946">
        <v>8</v>
      </c>
      <c r="E2946">
        <v>3</v>
      </c>
      <c r="F2946" t="s">
        <v>149</v>
      </c>
      <c r="G2946" t="s">
        <v>34</v>
      </c>
      <c r="H2946" t="s">
        <v>52</v>
      </c>
      <c r="I2946" t="s">
        <v>85</v>
      </c>
      <c r="J2946" t="s">
        <v>78</v>
      </c>
      <c r="K2946" t="s">
        <v>45</v>
      </c>
      <c r="L2946">
        <v>2</v>
      </c>
      <c r="M2946">
        <v>186</v>
      </c>
      <c r="N2946">
        <v>9.3000000000000007</v>
      </c>
      <c r="O2946">
        <v>70</v>
      </c>
      <c r="P2946">
        <v>372</v>
      </c>
      <c r="Q2946">
        <v>432.7</v>
      </c>
      <c r="R2946" t="s">
        <v>98</v>
      </c>
      <c r="S2946" t="s">
        <v>31</v>
      </c>
      <c r="T2946" t="s">
        <v>40</v>
      </c>
      <c r="U2946">
        <v>44</v>
      </c>
      <c r="V2946">
        <v>5</v>
      </c>
      <c r="W2946">
        <f>Table2[[#This Row],[Quantity]]*Table2[[#This Row],[Item_Price]]</f>
        <v>372</v>
      </c>
    </row>
    <row r="2947" spans="1:23" x14ac:dyDescent="0.25">
      <c r="A2947" t="s">
        <v>3048</v>
      </c>
      <c r="B2947" s="1">
        <v>45872</v>
      </c>
      <c r="C2947" t="s">
        <v>3008</v>
      </c>
      <c r="D2947">
        <v>8</v>
      </c>
      <c r="E2947">
        <v>3</v>
      </c>
      <c r="F2947" t="s">
        <v>149</v>
      </c>
      <c r="G2947" t="s">
        <v>25</v>
      </c>
      <c r="H2947" t="s">
        <v>35</v>
      </c>
      <c r="I2947" t="s">
        <v>43</v>
      </c>
      <c r="J2947" t="s">
        <v>82</v>
      </c>
      <c r="K2947" t="s">
        <v>38</v>
      </c>
      <c r="L2947">
        <v>2</v>
      </c>
      <c r="M2947">
        <v>447</v>
      </c>
      <c r="N2947">
        <v>22.35</v>
      </c>
      <c r="O2947">
        <v>0</v>
      </c>
      <c r="P2947">
        <v>894</v>
      </c>
      <c r="Q2947">
        <v>871.65</v>
      </c>
      <c r="R2947" t="s">
        <v>30</v>
      </c>
      <c r="S2947" t="s">
        <v>46</v>
      </c>
      <c r="T2947" t="s">
        <v>40</v>
      </c>
      <c r="U2947">
        <v>49</v>
      </c>
      <c r="W2947">
        <f>Table2[[#This Row],[Quantity]]*Table2[[#This Row],[Item_Price]]</f>
        <v>894</v>
      </c>
    </row>
    <row r="2948" spans="1:23" x14ac:dyDescent="0.25">
      <c r="A2948" t="s">
        <v>3049</v>
      </c>
      <c r="B2948" s="1">
        <v>45872</v>
      </c>
      <c r="C2948" t="s">
        <v>3008</v>
      </c>
      <c r="D2948">
        <v>8</v>
      </c>
      <c r="E2948">
        <v>3</v>
      </c>
      <c r="F2948" t="s">
        <v>149</v>
      </c>
      <c r="G2948" t="s">
        <v>80</v>
      </c>
      <c r="H2948" t="s">
        <v>26</v>
      </c>
      <c r="I2948" t="s">
        <v>85</v>
      </c>
      <c r="J2948" t="s">
        <v>94</v>
      </c>
      <c r="K2948" t="s">
        <v>45</v>
      </c>
      <c r="L2948">
        <v>3</v>
      </c>
      <c r="M2948">
        <v>633</v>
      </c>
      <c r="N2948">
        <v>31.65</v>
      </c>
      <c r="O2948">
        <v>40</v>
      </c>
      <c r="P2948">
        <v>1899</v>
      </c>
      <c r="Q2948">
        <v>1907.35</v>
      </c>
      <c r="R2948" t="s">
        <v>39</v>
      </c>
      <c r="S2948" t="s">
        <v>31</v>
      </c>
      <c r="T2948" t="s">
        <v>40</v>
      </c>
      <c r="U2948">
        <v>22</v>
      </c>
      <c r="V2948">
        <v>5</v>
      </c>
      <c r="W2948">
        <f>Table2[[#This Row],[Quantity]]*Table2[[#This Row],[Item_Price]]</f>
        <v>1899</v>
      </c>
    </row>
    <row r="2949" spans="1:23" x14ac:dyDescent="0.25">
      <c r="A2949" t="s">
        <v>3050</v>
      </c>
      <c r="B2949" s="1">
        <v>45872</v>
      </c>
      <c r="C2949" t="s">
        <v>3008</v>
      </c>
      <c r="D2949">
        <v>8</v>
      </c>
      <c r="E2949">
        <v>3</v>
      </c>
      <c r="F2949" t="s">
        <v>149</v>
      </c>
      <c r="G2949" t="s">
        <v>55</v>
      </c>
      <c r="H2949" t="s">
        <v>35</v>
      </c>
      <c r="I2949" t="s">
        <v>49</v>
      </c>
      <c r="J2949" t="s">
        <v>44</v>
      </c>
      <c r="K2949" t="s">
        <v>45</v>
      </c>
      <c r="L2949">
        <v>1</v>
      </c>
      <c r="M2949">
        <v>765</v>
      </c>
      <c r="N2949">
        <v>76.5</v>
      </c>
      <c r="O2949">
        <v>30</v>
      </c>
      <c r="P2949">
        <v>765</v>
      </c>
      <c r="Q2949">
        <v>718.5</v>
      </c>
      <c r="R2949" t="s">
        <v>39</v>
      </c>
      <c r="S2949" t="s">
        <v>31</v>
      </c>
      <c r="T2949" t="s">
        <v>32</v>
      </c>
      <c r="U2949">
        <v>38</v>
      </c>
      <c r="V2949">
        <v>3.3</v>
      </c>
      <c r="W2949">
        <f>Table2[[#This Row],[Quantity]]*Table2[[#This Row],[Item_Price]]</f>
        <v>765</v>
      </c>
    </row>
    <row r="2950" spans="1:23" x14ac:dyDescent="0.25">
      <c r="A2950" t="s">
        <v>3051</v>
      </c>
      <c r="B2950" s="1">
        <v>45872</v>
      </c>
      <c r="C2950" t="s">
        <v>3008</v>
      </c>
      <c r="D2950">
        <v>8</v>
      </c>
      <c r="E2950">
        <v>3</v>
      </c>
      <c r="F2950" t="s">
        <v>149</v>
      </c>
      <c r="G2950" t="s">
        <v>90</v>
      </c>
      <c r="H2950" t="s">
        <v>77</v>
      </c>
      <c r="I2950" t="s">
        <v>85</v>
      </c>
      <c r="J2950" t="s">
        <v>44</v>
      </c>
      <c r="K2950" t="s">
        <v>38</v>
      </c>
      <c r="L2950">
        <v>3</v>
      </c>
      <c r="M2950">
        <v>363</v>
      </c>
      <c r="N2950">
        <v>18.149999999999999</v>
      </c>
      <c r="O2950">
        <v>70</v>
      </c>
      <c r="P2950">
        <v>1089</v>
      </c>
      <c r="Q2950">
        <v>1140.8499999999999</v>
      </c>
      <c r="R2950" t="s">
        <v>39</v>
      </c>
      <c r="S2950" t="s">
        <v>31</v>
      </c>
      <c r="T2950" t="s">
        <v>40</v>
      </c>
      <c r="U2950">
        <v>64</v>
      </c>
      <c r="V2950">
        <v>1.9</v>
      </c>
      <c r="W2950">
        <f>Table2[[#This Row],[Quantity]]*Table2[[#This Row],[Item_Price]]</f>
        <v>1089</v>
      </c>
    </row>
    <row r="2951" spans="1:23" x14ac:dyDescent="0.25">
      <c r="A2951" t="s">
        <v>3052</v>
      </c>
      <c r="B2951" s="1">
        <v>45872</v>
      </c>
      <c r="C2951" t="s">
        <v>3008</v>
      </c>
      <c r="D2951">
        <v>8</v>
      </c>
      <c r="E2951">
        <v>3</v>
      </c>
      <c r="F2951" t="s">
        <v>149</v>
      </c>
      <c r="G2951" t="s">
        <v>64</v>
      </c>
      <c r="H2951" t="s">
        <v>60</v>
      </c>
      <c r="I2951" t="s">
        <v>43</v>
      </c>
      <c r="J2951" t="s">
        <v>172</v>
      </c>
      <c r="K2951" t="s">
        <v>38</v>
      </c>
      <c r="L2951">
        <v>1</v>
      </c>
      <c r="M2951">
        <v>638</v>
      </c>
      <c r="N2951">
        <v>31.9</v>
      </c>
      <c r="O2951">
        <v>0</v>
      </c>
      <c r="P2951">
        <v>638</v>
      </c>
      <c r="Q2951">
        <v>606.1</v>
      </c>
      <c r="R2951" t="s">
        <v>39</v>
      </c>
      <c r="S2951" t="s">
        <v>31</v>
      </c>
      <c r="T2951" t="s">
        <v>40</v>
      </c>
      <c r="U2951">
        <v>32</v>
      </c>
      <c r="V2951">
        <v>4.8</v>
      </c>
      <c r="W2951">
        <f>Table2[[#This Row],[Quantity]]*Table2[[#This Row],[Item_Price]]</f>
        <v>638</v>
      </c>
    </row>
    <row r="2952" spans="1:23" x14ac:dyDescent="0.25">
      <c r="A2952" t="s">
        <v>3053</v>
      </c>
      <c r="B2952" s="1">
        <v>45872</v>
      </c>
      <c r="C2952" t="s">
        <v>3008</v>
      </c>
      <c r="D2952">
        <v>8</v>
      </c>
      <c r="E2952">
        <v>3</v>
      </c>
      <c r="F2952" t="s">
        <v>149</v>
      </c>
      <c r="G2952" t="s">
        <v>55</v>
      </c>
      <c r="H2952" t="s">
        <v>56</v>
      </c>
      <c r="I2952" t="s">
        <v>43</v>
      </c>
      <c r="J2952" t="s">
        <v>78</v>
      </c>
      <c r="K2952" t="s">
        <v>38</v>
      </c>
      <c r="L2952">
        <v>2</v>
      </c>
      <c r="M2952">
        <v>815</v>
      </c>
      <c r="N2952">
        <v>122.25</v>
      </c>
      <c r="O2952">
        <v>30</v>
      </c>
      <c r="P2952">
        <v>1630</v>
      </c>
      <c r="Q2952">
        <v>1537.75</v>
      </c>
      <c r="R2952" t="s">
        <v>39</v>
      </c>
      <c r="S2952" t="s">
        <v>31</v>
      </c>
      <c r="T2952" t="s">
        <v>32</v>
      </c>
      <c r="U2952">
        <v>21</v>
      </c>
      <c r="V2952">
        <v>3.5</v>
      </c>
      <c r="W2952">
        <f>Table2[[#This Row],[Quantity]]*Table2[[#This Row],[Item_Price]]</f>
        <v>1630</v>
      </c>
    </row>
    <row r="2953" spans="1:23" x14ac:dyDescent="0.25">
      <c r="A2953" t="s">
        <v>3054</v>
      </c>
      <c r="B2953" s="1">
        <v>45872</v>
      </c>
      <c r="C2953" t="s">
        <v>3008</v>
      </c>
      <c r="D2953">
        <v>8</v>
      </c>
      <c r="E2953">
        <v>3</v>
      </c>
      <c r="F2953" t="s">
        <v>149</v>
      </c>
      <c r="G2953" t="s">
        <v>55</v>
      </c>
      <c r="H2953" t="s">
        <v>68</v>
      </c>
      <c r="I2953" t="s">
        <v>97</v>
      </c>
      <c r="J2953" t="s">
        <v>37</v>
      </c>
      <c r="K2953" t="s">
        <v>38</v>
      </c>
      <c r="L2953">
        <v>1</v>
      </c>
      <c r="M2953">
        <v>394</v>
      </c>
      <c r="N2953">
        <v>39.4</v>
      </c>
      <c r="O2953">
        <v>30</v>
      </c>
      <c r="P2953">
        <v>394</v>
      </c>
      <c r="Q2953">
        <v>384.6</v>
      </c>
      <c r="R2953" t="s">
        <v>75</v>
      </c>
      <c r="S2953" t="s">
        <v>31</v>
      </c>
      <c r="T2953" t="s">
        <v>40</v>
      </c>
      <c r="U2953">
        <v>20</v>
      </c>
      <c r="V2953">
        <v>3.7</v>
      </c>
      <c r="W2953">
        <f>Table2[[#This Row],[Quantity]]*Table2[[#This Row],[Item_Price]]</f>
        <v>394</v>
      </c>
    </row>
    <row r="2954" spans="1:23" x14ac:dyDescent="0.25">
      <c r="A2954" t="s">
        <v>3055</v>
      </c>
      <c r="B2954" s="1">
        <v>45872</v>
      </c>
      <c r="C2954" t="s">
        <v>3008</v>
      </c>
      <c r="D2954">
        <v>8</v>
      </c>
      <c r="E2954">
        <v>3</v>
      </c>
      <c r="F2954" t="s">
        <v>149</v>
      </c>
      <c r="G2954" t="s">
        <v>73</v>
      </c>
      <c r="H2954" t="s">
        <v>139</v>
      </c>
      <c r="I2954" t="s">
        <v>69</v>
      </c>
      <c r="J2954" t="s">
        <v>74</v>
      </c>
      <c r="K2954" t="s">
        <v>38</v>
      </c>
      <c r="L2954">
        <v>2</v>
      </c>
      <c r="M2954">
        <v>612</v>
      </c>
      <c r="N2954">
        <v>30.6</v>
      </c>
      <c r="O2954">
        <v>30</v>
      </c>
      <c r="P2954">
        <v>1224</v>
      </c>
      <c r="Q2954">
        <v>1223.4000000000001</v>
      </c>
      <c r="R2954" t="s">
        <v>30</v>
      </c>
      <c r="S2954" t="s">
        <v>31</v>
      </c>
      <c r="T2954" t="s">
        <v>32</v>
      </c>
      <c r="U2954">
        <v>40</v>
      </c>
      <c r="V2954">
        <v>5</v>
      </c>
      <c r="W2954">
        <f>Table2[[#This Row],[Quantity]]*Table2[[#This Row],[Item_Price]]</f>
        <v>1224</v>
      </c>
    </row>
    <row r="2955" spans="1:23" x14ac:dyDescent="0.25">
      <c r="A2955" t="s">
        <v>3056</v>
      </c>
      <c r="B2955" s="1">
        <v>45872</v>
      </c>
      <c r="C2955" t="s">
        <v>3008</v>
      </c>
      <c r="D2955">
        <v>8</v>
      </c>
      <c r="E2955">
        <v>3</v>
      </c>
      <c r="F2955" t="s">
        <v>149</v>
      </c>
      <c r="G2955" t="s">
        <v>96</v>
      </c>
      <c r="H2955" t="s">
        <v>139</v>
      </c>
      <c r="I2955" t="s">
        <v>97</v>
      </c>
      <c r="J2955" t="s">
        <v>82</v>
      </c>
      <c r="K2955" t="s">
        <v>45</v>
      </c>
      <c r="L2955">
        <v>3</v>
      </c>
      <c r="M2955">
        <v>386</v>
      </c>
      <c r="N2955">
        <v>19.3</v>
      </c>
      <c r="O2955">
        <v>0</v>
      </c>
      <c r="P2955">
        <v>1158</v>
      </c>
      <c r="Q2955">
        <v>1138.7</v>
      </c>
      <c r="R2955" t="s">
        <v>30</v>
      </c>
      <c r="S2955" t="s">
        <v>31</v>
      </c>
      <c r="T2955" t="s">
        <v>40</v>
      </c>
      <c r="U2955">
        <v>70</v>
      </c>
      <c r="V2955">
        <v>3.3</v>
      </c>
      <c r="W2955">
        <f>Table2[[#This Row],[Quantity]]*Table2[[#This Row],[Item_Price]]</f>
        <v>1158</v>
      </c>
    </row>
    <row r="2956" spans="1:23" x14ac:dyDescent="0.25">
      <c r="A2956" t="s">
        <v>3057</v>
      </c>
      <c r="B2956" s="1">
        <v>45872</v>
      </c>
      <c r="C2956" t="s">
        <v>3008</v>
      </c>
      <c r="D2956">
        <v>8</v>
      </c>
      <c r="E2956">
        <v>3</v>
      </c>
      <c r="F2956" t="s">
        <v>149</v>
      </c>
      <c r="G2956" t="s">
        <v>25</v>
      </c>
      <c r="H2956" t="s">
        <v>26</v>
      </c>
      <c r="I2956" t="s">
        <v>61</v>
      </c>
      <c r="J2956" t="s">
        <v>82</v>
      </c>
      <c r="K2956" t="s">
        <v>38</v>
      </c>
      <c r="L2956">
        <v>1</v>
      </c>
      <c r="M2956">
        <v>257</v>
      </c>
      <c r="N2956">
        <v>25.7</v>
      </c>
      <c r="O2956">
        <v>20</v>
      </c>
      <c r="P2956">
        <v>257</v>
      </c>
      <c r="Q2956">
        <v>251.3</v>
      </c>
      <c r="R2956" t="s">
        <v>39</v>
      </c>
      <c r="S2956" t="s">
        <v>110</v>
      </c>
      <c r="T2956" t="s">
        <v>40</v>
      </c>
      <c r="U2956">
        <v>23</v>
      </c>
      <c r="W2956">
        <f>Table2[[#This Row],[Quantity]]*Table2[[#This Row],[Item_Price]]</f>
        <v>257</v>
      </c>
    </row>
    <row r="2957" spans="1:23" x14ac:dyDescent="0.25">
      <c r="A2957" t="s">
        <v>3058</v>
      </c>
      <c r="B2957" s="1">
        <v>45872</v>
      </c>
      <c r="C2957" t="s">
        <v>3008</v>
      </c>
      <c r="D2957">
        <v>8</v>
      </c>
      <c r="E2957">
        <v>3</v>
      </c>
      <c r="F2957" t="s">
        <v>149</v>
      </c>
      <c r="G2957" t="s">
        <v>34</v>
      </c>
      <c r="H2957" t="s">
        <v>48</v>
      </c>
      <c r="I2957" t="s">
        <v>43</v>
      </c>
      <c r="J2957" t="s">
        <v>28</v>
      </c>
      <c r="K2957" t="s">
        <v>38</v>
      </c>
      <c r="L2957">
        <v>1</v>
      </c>
      <c r="M2957">
        <v>332</v>
      </c>
      <c r="N2957">
        <v>33.200000000000003</v>
      </c>
      <c r="O2957">
        <v>0</v>
      </c>
      <c r="P2957">
        <v>332</v>
      </c>
      <c r="Q2957">
        <v>298.8</v>
      </c>
      <c r="R2957" t="s">
        <v>75</v>
      </c>
      <c r="S2957" t="s">
        <v>31</v>
      </c>
      <c r="T2957" t="s">
        <v>32</v>
      </c>
      <c r="U2957">
        <v>46</v>
      </c>
      <c r="V2957">
        <v>3.4</v>
      </c>
      <c r="W2957">
        <f>Table2[[#This Row],[Quantity]]*Table2[[#This Row],[Item_Price]]</f>
        <v>332</v>
      </c>
    </row>
    <row r="2958" spans="1:23" x14ac:dyDescent="0.25">
      <c r="A2958" t="s">
        <v>3059</v>
      </c>
      <c r="B2958" s="1">
        <v>45872</v>
      </c>
      <c r="C2958" t="s">
        <v>3008</v>
      </c>
      <c r="D2958">
        <v>8</v>
      </c>
      <c r="E2958">
        <v>3</v>
      </c>
      <c r="F2958" t="s">
        <v>149</v>
      </c>
      <c r="G2958" t="s">
        <v>115</v>
      </c>
      <c r="H2958" t="s">
        <v>139</v>
      </c>
      <c r="I2958" t="s">
        <v>69</v>
      </c>
      <c r="J2958" t="s">
        <v>28</v>
      </c>
      <c r="K2958" t="s">
        <v>38</v>
      </c>
      <c r="L2958">
        <v>1</v>
      </c>
      <c r="M2958">
        <v>719</v>
      </c>
      <c r="N2958">
        <v>0</v>
      </c>
      <c r="O2958">
        <v>40</v>
      </c>
      <c r="P2958">
        <v>719</v>
      </c>
      <c r="Q2958">
        <v>759</v>
      </c>
      <c r="R2958" t="s">
        <v>39</v>
      </c>
      <c r="S2958" t="s">
        <v>31</v>
      </c>
      <c r="T2958" t="s">
        <v>40</v>
      </c>
      <c r="U2958">
        <v>67</v>
      </c>
      <c r="V2958">
        <v>3.7</v>
      </c>
      <c r="W2958">
        <f>Table2[[#This Row],[Quantity]]*Table2[[#This Row],[Item_Price]]</f>
        <v>719</v>
      </c>
    </row>
    <row r="2959" spans="1:23" x14ac:dyDescent="0.25">
      <c r="A2959" t="s">
        <v>3060</v>
      </c>
      <c r="B2959" s="1">
        <v>45872</v>
      </c>
      <c r="C2959" t="s">
        <v>3008</v>
      </c>
      <c r="D2959">
        <v>8</v>
      </c>
      <c r="E2959">
        <v>3</v>
      </c>
      <c r="F2959" t="s">
        <v>149</v>
      </c>
      <c r="G2959" t="s">
        <v>115</v>
      </c>
      <c r="H2959" t="s">
        <v>60</v>
      </c>
      <c r="I2959" t="s">
        <v>85</v>
      </c>
      <c r="J2959" t="s">
        <v>53</v>
      </c>
      <c r="K2959" t="s">
        <v>38</v>
      </c>
      <c r="L2959">
        <v>1</v>
      </c>
      <c r="M2959">
        <v>897</v>
      </c>
      <c r="N2959">
        <v>134.55000000000001</v>
      </c>
      <c r="O2959">
        <v>40</v>
      </c>
      <c r="P2959">
        <v>897</v>
      </c>
      <c r="Q2959">
        <v>802.45</v>
      </c>
      <c r="R2959" t="s">
        <v>39</v>
      </c>
      <c r="S2959" t="s">
        <v>31</v>
      </c>
      <c r="T2959" t="s">
        <v>32</v>
      </c>
      <c r="U2959">
        <v>32</v>
      </c>
      <c r="V2959">
        <v>4.5999999999999996</v>
      </c>
      <c r="W2959">
        <f>Table2[[#This Row],[Quantity]]*Table2[[#This Row],[Item_Price]]</f>
        <v>897</v>
      </c>
    </row>
    <row r="2960" spans="1:23" x14ac:dyDescent="0.25">
      <c r="A2960" t="s">
        <v>3061</v>
      </c>
      <c r="B2960" s="1">
        <v>45872</v>
      </c>
      <c r="C2960" t="s">
        <v>3008</v>
      </c>
      <c r="D2960">
        <v>8</v>
      </c>
      <c r="E2960">
        <v>3</v>
      </c>
      <c r="F2960" t="s">
        <v>149</v>
      </c>
      <c r="G2960" t="s">
        <v>25</v>
      </c>
      <c r="H2960" t="s">
        <v>68</v>
      </c>
      <c r="I2960" t="s">
        <v>43</v>
      </c>
      <c r="J2960" t="s">
        <v>50</v>
      </c>
      <c r="K2960" t="s">
        <v>38</v>
      </c>
      <c r="L2960">
        <v>1</v>
      </c>
      <c r="M2960">
        <v>705</v>
      </c>
      <c r="N2960">
        <v>105.75</v>
      </c>
      <c r="O2960">
        <v>60</v>
      </c>
      <c r="P2960">
        <v>705</v>
      </c>
      <c r="Q2960">
        <v>659.25</v>
      </c>
      <c r="R2960" t="s">
        <v>75</v>
      </c>
      <c r="S2960" t="s">
        <v>31</v>
      </c>
      <c r="T2960" t="s">
        <v>40</v>
      </c>
      <c r="U2960">
        <v>31</v>
      </c>
      <c r="V2960">
        <v>5</v>
      </c>
      <c r="W2960">
        <f>Table2[[#This Row],[Quantity]]*Table2[[#This Row],[Item_Price]]</f>
        <v>705</v>
      </c>
    </row>
    <row r="2961" spans="1:23" x14ac:dyDescent="0.25">
      <c r="A2961" t="s">
        <v>3062</v>
      </c>
      <c r="B2961" s="1">
        <v>45872</v>
      </c>
      <c r="C2961" t="s">
        <v>3008</v>
      </c>
      <c r="D2961">
        <v>8</v>
      </c>
      <c r="E2961">
        <v>3</v>
      </c>
      <c r="F2961" t="s">
        <v>149</v>
      </c>
      <c r="G2961" t="s">
        <v>25</v>
      </c>
      <c r="H2961" t="s">
        <v>68</v>
      </c>
      <c r="I2961" t="s">
        <v>43</v>
      </c>
      <c r="J2961" t="s">
        <v>70</v>
      </c>
      <c r="K2961" t="s">
        <v>29</v>
      </c>
      <c r="L2961">
        <v>1</v>
      </c>
      <c r="M2961">
        <v>873</v>
      </c>
      <c r="N2961">
        <v>87.3</v>
      </c>
      <c r="O2961">
        <v>40</v>
      </c>
      <c r="P2961">
        <v>873</v>
      </c>
      <c r="Q2961">
        <v>825.7</v>
      </c>
      <c r="R2961" t="s">
        <v>112</v>
      </c>
      <c r="S2961" t="s">
        <v>31</v>
      </c>
      <c r="T2961" t="s">
        <v>40</v>
      </c>
      <c r="U2961">
        <v>60</v>
      </c>
      <c r="V2961">
        <v>4.4000000000000004</v>
      </c>
      <c r="W2961">
        <f>Table2[[#This Row],[Quantity]]*Table2[[#This Row],[Item_Price]]</f>
        <v>873</v>
      </c>
    </row>
    <row r="2962" spans="1:23" x14ac:dyDescent="0.25">
      <c r="A2962" t="s">
        <v>3063</v>
      </c>
      <c r="B2962" s="1">
        <v>45872</v>
      </c>
      <c r="C2962" t="s">
        <v>3008</v>
      </c>
      <c r="D2962">
        <v>8</v>
      </c>
      <c r="E2962">
        <v>3</v>
      </c>
      <c r="F2962" t="s">
        <v>149</v>
      </c>
      <c r="G2962" t="s">
        <v>115</v>
      </c>
      <c r="H2962" t="s">
        <v>81</v>
      </c>
      <c r="I2962" t="s">
        <v>27</v>
      </c>
      <c r="J2962" t="s">
        <v>28</v>
      </c>
      <c r="K2962" t="s">
        <v>38</v>
      </c>
      <c r="L2962">
        <v>3</v>
      </c>
      <c r="M2962">
        <v>720</v>
      </c>
      <c r="N2962">
        <v>36</v>
      </c>
      <c r="O2962">
        <v>0</v>
      </c>
      <c r="P2962">
        <v>2160</v>
      </c>
      <c r="Q2962">
        <v>2124</v>
      </c>
      <c r="R2962" t="s">
        <v>75</v>
      </c>
      <c r="S2962" t="s">
        <v>31</v>
      </c>
      <c r="T2962" t="s">
        <v>40</v>
      </c>
      <c r="U2962">
        <v>55</v>
      </c>
      <c r="V2962">
        <v>3.6</v>
      </c>
      <c r="W2962">
        <f>Table2[[#This Row],[Quantity]]*Table2[[#This Row],[Item_Price]]</f>
        <v>2160</v>
      </c>
    </row>
    <row r="2963" spans="1:23" x14ac:dyDescent="0.25">
      <c r="A2963" t="s">
        <v>3064</v>
      </c>
      <c r="B2963" s="1">
        <v>45873</v>
      </c>
      <c r="C2963" t="s">
        <v>3008</v>
      </c>
      <c r="D2963">
        <v>8</v>
      </c>
      <c r="E2963">
        <v>4</v>
      </c>
      <c r="F2963" t="s">
        <v>168</v>
      </c>
      <c r="G2963" t="s">
        <v>80</v>
      </c>
      <c r="H2963" t="s">
        <v>139</v>
      </c>
      <c r="I2963" t="s">
        <v>27</v>
      </c>
      <c r="J2963" t="s">
        <v>101</v>
      </c>
      <c r="K2963" t="s">
        <v>38</v>
      </c>
      <c r="L2963">
        <v>2</v>
      </c>
      <c r="M2963">
        <v>747</v>
      </c>
      <c r="N2963">
        <v>186.75</v>
      </c>
      <c r="O2963">
        <v>30</v>
      </c>
      <c r="P2963">
        <v>1494</v>
      </c>
      <c r="Q2963">
        <v>1337.25</v>
      </c>
      <c r="R2963" t="s">
        <v>30</v>
      </c>
      <c r="S2963" t="s">
        <v>31</v>
      </c>
      <c r="T2963" t="s">
        <v>32</v>
      </c>
      <c r="U2963">
        <v>56</v>
      </c>
      <c r="V2963">
        <v>4.2</v>
      </c>
      <c r="W2963">
        <f>Table2[[#This Row],[Quantity]]*Table2[[#This Row],[Item_Price]]</f>
        <v>1494</v>
      </c>
    </row>
    <row r="2964" spans="1:23" x14ac:dyDescent="0.25">
      <c r="A2964" t="s">
        <v>3065</v>
      </c>
      <c r="B2964" s="1">
        <v>45873</v>
      </c>
      <c r="C2964" t="s">
        <v>3008</v>
      </c>
      <c r="D2964">
        <v>8</v>
      </c>
      <c r="E2964">
        <v>4</v>
      </c>
      <c r="F2964" t="s">
        <v>168</v>
      </c>
      <c r="G2964" t="s">
        <v>34</v>
      </c>
      <c r="H2964" t="s">
        <v>56</v>
      </c>
      <c r="I2964" t="s">
        <v>43</v>
      </c>
      <c r="J2964" t="s">
        <v>66</v>
      </c>
      <c r="K2964" t="s">
        <v>38</v>
      </c>
      <c r="L2964">
        <v>2</v>
      </c>
      <c r="M2964">
        <v>475</v>
      </c>
      <c r="N2964">
        <v>0</v>
      </c>
      <c r="O2964">
        <v>0</v>
      </c>
      <c r="P2964">
        <v>950</v>
      </c>
      <c r="Q2964">
        <v>950</v>
      </c>
      <c r="R2964" t="s">
        <v>39</v>
      </c>
      <c r="S2964" t="s">
        <v>31</v>
      </c>
      <c r="T2964" t="s">
        <v>32</v>
      </c>
      <c r="U2964">
        <v>50</v>
      </c>
      <c r="V2964">
        <v>3.9</v>
      </c>
      <c r="W2964">
        <f>Table2[[#This Row],[Quantity]]*Table2[[#This Row],[Item_Price]]</f>
        <v>950</v>
      </c>
    </row>
    <row r="2965" spans="1:23" x14ac:dyDescent="0.25">
      <c r="A2965" t="s">
        <v>3066</v>
      </c>
      <c r="B2965" s="1">
        <v>45873</v>
      </c>
      <c r="C2965" t="s">
        <v>3008</v>
      </c>
      <c r="D2965">
        <v>8</v>
      </c>
      <c r="E2965">
        <v>4</v>
      </c>
      <c r="F2965" t="s">
        <v>168</v>
      </c>
      <c r="G2965" t="s">
        <v>90</v>
      </c>
      <c r="H2965" t="s">
        <v>105</v>
      </c>
      <c r="I2965" t="s">
        <v>43</v>
      </c>
      <c r="J2965" t="s">
        <v>101</v>
      </c>
      <c r="K2965" t="s">
        <v>38</v>
      </c>
      <c r="L2965">
        <v>3</v>
      </c>
      <c r="M2965">
        <v>267</v>
      </c>
      <c r="N2965">
        <v>26.7</v>
      </c>
      <c r="O2965">
        <v>30</v>
      </c>
      <c r="P2965">
        <v>801</v>
      </c>
      <c r="Q2965">
        <v>804.3</v>
      </c>
      <c r="R2965" t="s">
        <v>112</v>
      </c>
      <c r="S2965" t="s">
        <v>31</v>
      </c>
      <c r="T2965" t="s">
        <v>40</v>
      </c>
      <c r="U2965">
        <v>68</v>
      </c>
      <c r="V2965">
        <v>4.3</v>
      </c>
      <c r="W2965">
        <f>Table2[[#This Row],[Quantity]]*Table2[[#This Row],[Item_Price]]</f>
        <v>801</v>
      </c>
    </row>
    <row r="2966" spans="1:23" x14ac:dyDescent="0.25">
      <c r="A2966" t="s">
        <v>3067</v>
      </c>
      <c r="B2966" s="1">
        <v>45873</v>
      </c>
      <c r="C2966" t="s">
        <v>3008</v>
      </c>
      <c r="D2966">
        <v>8</v>
      </c>
      <c r="E2966">
        <v>4</v>
      </c>
      <c r="F2966" t="s">
        <v>168</v>
      </c>
      <c r="G2966" t="s">
        <v>55</v>
      </c>
      <c r="H2966" t="s">
        <v>108</v>
      </c>
      <c r="I2966" t="s">
        <v>61</v>
      </c>
      <c r="J2966" t="s">
        <v>82</v>
      </c>
      <c r="K2966" t="s">
        <v>45</v>
      </c>
      <c r="L2966">
        <v>1</v>
      </c>
      <c r="M2966">
        <v>224</v>
      </c>
      <c r="N2966">
        <v>22.4</v>
      </c>
      <c r="O2966">
        <v>50</v>
      </c>
      <c r="P2966">
        <v>224</v>
      </c>
      <c r="Q2966">
        <v>251.6</v>
      </c>
      <c r="R2966" t="s">
        <v>75</v>
      </c>
      <c r="S2966" t="s">
        <v>31</v>
      </c>
      <c r="T2966" t="s">
        <v>40</v>
      </c>
      <c r="U2966">
        <v>67</v>
      </c>
      <c r="V2966">
        <v>4.9000000000000004</v>
      </c>
      <c r="W2966">
        <f>Table2[[#This Row],[Quantity]]*Table2[[#This Row],[Item_Price]]</f>
        <v>224</v>
      </c>
    </row>
    <row r="2967" spans="1:23" x14ac:dyDescent="0.25">
      <c r="A2967" t="s">
        <v>3068</v>
      </c>
      <c r="B2967" s="1">
        <v>45873</v>
      </c>
      <c r="C2967" t="s">
        <v>3008</v>
      </c>
      <c r="D2967">
        <v>8</v>
      </c>
      <c r="E2967">
        <v>4</v>
      </c>
      <c r="F2967" t="s">
        <v>168</v>
      </c>
      <c r="G2967" t="s">
        <v>96</v>
      </c>
      <c r="H2967" t="s">
        <v>26</v>
      </c>
      <c r="I2967" t="s">
        <v>49</v>
      </c>
      <c r="J2967" t="s">
        <v>78</v>
      </c>
      <c r="K2967" t="s">
        <v>45</v>
      </c>
      <c r="L2967">
        <v>1</v>
      </c>
      <c r="M2967">
        <v>514</v>
      </c>
      <c r="N2967">
        <v>0</v>
      </c>
      <c r="O2967">
        <v>0</v>
      </c>
      <c r="P2967">
        <v>514</v>
      </c>
      <c r="Q2967">
        <v>514</v>
      </c>
      <c r="R2967" t="s">
        <v>39</v>
      </c>
      <c r="S2967" t="s">
        <v>110</v>
      </c>
      <c r="T2967" t="s">
        <v>40</v>
      </c>
      <c r="U2967">
        <v>30</v>
      </c>
      <c r="W2967">
        <f>Table2[[#This Row],[Quantity]]*Table2[[#This Row],[Item_Price]]</f>
        <v>514</v>
      </c>
    </row>
    <row r="2968" spans="1:23" x14ac:dyDescent="0.25">
      <c r="A2968" t="s">
        <v>3069</v>
      </c>
      <c r="B2968" s="1">
        <v>45873</v>
      </c>
      <c r="C2968" t="s">
        <v>3008</v>
      </c>
      <c r="D2968">
        <v>8</v>
      </c>
      <c r="E2968">
        <v>4</v>
      </c>
      <c r="F2968" t="s">
        <v>168</v>
      </c>
      <c r="G2968" t="s">
        <v>64</v>
      </c>
      <c r="H2968" t="s">
        <v>65</v>
      </c>
      <c r="I2968" t="s">
        <v>97</v>
      </c>
      <c r="J2968" t="s">
        <v>50</v>
      </c>
      <c r="K2968" t="s">
        <v>38</v>
      </c>
      <c r="L2968">
        <v>2</v>
      </c>
      <c r="M2968">
        <v>246</v>
      </c>
      <c r="N2968">
        <v>24.6</v>
      </c>
      <c r="O2968">
        <v>30</v>
      </c>
      <c r="P2968">
        <v>492</v>
      </c>
      <c r="Q2968">
        <v>497.4</v>
      </c>
      <c r="R2968" t="s">
        <v>39</v>
      </c>
      <c r="S2968" t="s">
        <v>31</v>
      </c>
      <c r="T2968" t="s">
        <v>40</v>
      </c>
      <c r="U2968">
        <v>49</v>
      </c>
      <c r="V2968">
        <v>4.8</v>
      </c>
      <c r="W2968">
        <f>Table2[[#This Row],[Quantity]]*Table2[[#This Row],[Item_Price]]</f>
        <v>492</v>
      </c>
    </row>
    <row r="2969" spans="1:23" x14ac:dyDescent="0.25">
      <c r="A2969" t="s">
        <v>3070</v>
      </c>
      <c r="B2969" s="1">
        <v>45873</v>
      </c>
      <c r="C2969" t="s">
        <v>3008</v>
      </c>
      <c r="D2969">
        <v>8</v>
      </c>
      <c r="E2969">
        <v>4</v>
      </c>
      <c r="F2969" t="s">
        <v>168</v>
      </c>
      <c r="G2969" t="s">
        <v>80</v>
      </c>
      <c r="H2969" t="s">
        <v>52</v>
      </c>
      <c r="I2969" t="s">
        <v>36</v>
      </c>
      <c r="J2969" t="s">
        <v>50</v>
      </c>
      <c r="K2969" t="s">
        <v>45</v>
      </c>
      <c r="L2969">
        <v>1</v>
      </c>
      <c r="M2969">
        <v>377</v>
      </c>
      <c r="N2969">
        <v>75.400000000000006</v>
      </c>
      <c r="O2969">
        <v>40</v>
      </c>
      <c r="P2969">
        <v>377</v>
      </c>
      <c r="Q2969">
        <v>341.6</v>
      </c>
      <c r="R2969" t="s">
        <v>39</v>
      </c>
      <c r="S2969" t="s">
        <v>31</v>
      </c>
      <c r="T2969" t="s">
        <v>40</v>
      </c>
      <c r="U2969">
        <v>24</v>
      </c>
      <c r="V2969">
        <v>4.0999999999999996</v>
      </c>
      <c r="W2969">
        <f>Table2[[#This Row],[Quantity]]*Table2[[#This Row],[Item_Price]]</f>
        <v>377</v>
      </c>
    </row>
    <row r="2970" spans="1:23" x14ac:dyDescent="0.25">
      <c r="A2970" t="s">
        <v>3071</v>
      </c>
      <c r="B2970" s="1">
        <v>45873</v>
      </c>
      <c r="C2970" t="s">
        <v>3008</v>
      </c>
      <c r="D2970">
        <v>8</v>
      </c>
      <c r="E2970">
        <v>4</v>
      </c>
      <c r="F2970" t="s">
        <v>168</v>
      </c>
      <c r="G2970" t="s">
        <v>80</v>
      </c>
      <c r="H2970" t="s">
        <v>108</v>
      </c>
      <c r="I2970" t="s">
        <v>61</v>
      </c>
      <c r="J2970" t="s">
        <v>62</v>
      </c>
      <c r="K2970" t="s">
        <v>38</v>
      </c>
      <c r="L2970">
        <v>2</v>
      </c>
      <c r="M2970">
        <v>380</v>
      </c>
      <c r="N2970">
        <v>57</v>
      </c>
      <c r="O2970">
        <v>0</v>
      </c>
      <c r="P2970">
        <v>760</v>
      </c>
      <c r="Q2970">
        <v>703</v>
      </c>
      <c r="R2970" t="s">
        <v>39</v>
      </c>
      <c r="S2970" t="s">
        <v>31</v>
      </c>
      <c r="T2970" t="s">
        <v>32</v>
      </c>
      <c r="U2970">
        <v>45</v>
      </c>
      <c r="V2970">
        <v>4.3</v>
      </c>
      <c r="W2970">
        <f>Table2[[#This Row],[Quantity]]*Table2[[#This Row],[Item_Price]]</f>
        <v>760</v>
      </c>
    </row>
    <row r="2971" spans="1:23" x14ac:dyDescent="0.25">
      <c r="A2971" t="s">
        <v>3072</v>
      </c>
      <c r="B2971" s="1">
        <v>45873</v>
      </c>
      <c r="C2971" t="s">
        <v>3008</v>
      </c>
      <c r="D2971">
        <v>8</v>
      </c>
      <c r="E2971">
        <v>4</v>
      </c>
      <c r="F2971" t="s">
        <v>168</v>
      </c>
      <c r="G2971" t="s">
        <v>96</v>
      </c>
      <c r="H2971" t="s">
        <v>139</v>
      </c>
      <c r="I2971" t="s">
        <v>27</v>
      </c>
      <c r="J2971" t="s">
        <v>123</v>
      </c>
      <c r="K2971" t="s">
        <v>58</v>
      </c>
      <c r="L2971">
        <v>1</v>
      </c>
      <c r="M2971">
        <v>486</v>
      </c>
      <c r="N2971">
        <v>24.3</v>
      </c>
      <c r="O2971">
        <v>40</v>
      </c>
      <c r="P2971">
        <v>486</v>
      </c>
      <c r="Q2971">
        <v>501.7</v>
      </c>
      <c r="R2971" t="s">
        <v>39</v>
      </c>
      <c r="S2971" t="s">
        <v>31</v>
      </c>
      <c r="T2971" t="s">
        <v>40</v>
      </c>
      <c r="U2971">
        <v>52</v>
      </c>
      <c r="V2971">
        <v>3.4</v>
      </c>
      <c r="W2971">
        <f>Table2[[#This Row],[Quantity]]*Table2[[#This Row],[Item_Price]]</f>
        <v>486</v>
      </c>
    </row>
    <row r="2972" spans="1:23" x14ac:dyDescent="0.25">
      <c r="A2972" t="s">
        <v>3073</v>
      </c>
      <c r="B2972" s="1">
        <v>45873</v>
      </c>
      <c r="C2972" t="s">
        <v>3008</v>
      </c>
      <c r="D2972">
        <v>8</v>
      </c>
      <c r="E2972">
        <v>4</v>
      </c>
      <c r="F2972" t="s">
        <v>168</v>
      </c>
      <c r="G2972" t="s">
        <v>34</v>
      </c>
      <c r="H2972" t="s">
        <v>48</v>
      </c>
      <c r="I2972" t="s">
        <v>43</v>
      </c>
      <c r="J2972" t="s">
        <v>123</v>
      </c>
      <c r="K2972" t="s">
        <v>45</v>
      </c>
      <c r="L2972">
        <v>2</v>
      </c>
      <c r="M2972">
        <v>293</v>
      </c>
      <c r="N2972">
        <v>58.6</v>
      </c>
      <c r="O2972">
        <v>20</v>
      </c>
      <c r="P2972">
        <v>586</v>
      </c>
      <c r="Q2972">
        <v>547.4</v>
      </c>
      <c r="R2972" t="s">
        <v>75</v>
      </c>
      <c r="S2972" t="s">
        <v>31</v>
      </c>
      <c r="T2972" t="s">
        <v>40</v>
      </c>
      <c r="U2972">
        <v>48</v>
      </c>
      <c r="V2972">
        <v>3.5</v>
      </c>
      <c r="W2972">
        <f>Table2[[#This Row],[Quantity]]*Table2[[#This Row],[Item_Price]]</f>
        <v>586</v>
      </c>
    </row>
    <row r="2973" spans="1:23" x14ac:dyDescent="0.25">
      <c r="A2973" t="s">
        <v>3074</v>
      </c>
      <c r="B2973" s="1">
        <v>45873</v>
      </c>
      <c r="C2973" t="s">
        <v>3008</v>
      </c>
      <c r="D2973">
        <v>8</v>
      </c>
      <c r="E2973">
        <v>4</v>
      </c>
      <c r="F2973" t="s">
        <v>168</v>
      </c>
      <c r="G2973" t="s">
        <v>25</v>
      </c>
      <c r="H2973" t="s">
        <v>42</v>
      </c>
      <c r="I2973" t="s">
        <v>97</v>
      </c>
      <c r="J2973" t="s">
        <v>172</v>
      </c>
      <c r="K2973" t="s">
        <v>38</v>
      </c>
      <c r="L2973">
        <v>1</v>
      </c>
      <c r="M2973">
        <v>282</v>
      </c>
      <c r="N2973">
        <v>70.5</v>
      </c>
      <c r="O2973">
        <v>40</v>
      </c>
      <c r="P2973">
        <v>282</v>
      </c>
      <c r="Q2973">
        <v>251.5</v>
      </c>
      <c r="R2973" t="s">
        <v>75</v>
      </c>
      <c r="S2973" t="s">
        <v>31</v>
      </c>
      <c r="T2973" t="s">
        <v>32</v>
      </c>
      <c r="U2973">
        <v>18</v>
      </c>
      <c r="V2973">
        <v>5</v>
      </c>
      <c r="W2973">
        <f>Table2[[#This Row],[Quantity]]*Table2[[#This Row],[Item_Price]]</f>
        <v>282</v>
      </c>
    </row>
    <row r="2974" spans="1:23" x14ac:dyDescent="0.25">
      <c r="A2974" t="s">
        <v>3075</v>
      </c>
      <c r="B2974" s="1">
        <v>45873</v>
      </c>
      <c r="C2974" t="s">
        <v>3008</v>
      </c>
      <c r="D2974">
        <v>8</v>
      </c>
      <c r="E2974">
        <v>4</v>
      </c>
      <c r="F2974" t="s">
        <v>168</v>
      </c>
      <c r="G2974" t="s">
        <v>64</v>
      </c>
      <c r="H2974" t="s">
        <v>108</v>
      </c>
      <c r="I2974" t="s">
        <v>97</v>
      </c>
      <c r="J2974" t="s">
        <v>44</v>
      </c>
      <c r="K2974" t="s">
        <v>38</v>
      </c>
      <c r="L2974">
        <v>2</v>
      </c>
      <c r="M2974">
        <v>821</v>
      </c>
      <c r="N2974">
        <v>0</v>
      </c>
      <c r="O2974">
        <v>40</v>
      </c>
      <c r="P2974">
        <v>1642</v>
      </c>
      <c r="Q2974">
        <v>1682</v>
      </c>
      <c r="R2974" t="s">
        <v>98</v>
      </c>
      <c r="S2974" t="s">
        <v>31</v>
      </c>
      <c r="T2974" t="s">
        <v>40</v>
      </c>
      <c r="U2974">
        <v>29</v>
      </c>
      <c r="V2974">
        <v>4.2</v>
      </c>
      <c r="W2974">
        <f>Table2[[#This Row],[Quantity]]*Table2[[#This Row],[Item_Price]]</f>
        <v>1642</v>
      </c>
    </row>
    <row r="2975" spans="1:23" x14ac:dyDescent="0.25">
      <c r="A2975" t="s">
        <v>3076</v>
      </c>
      <c r="B2975" s="1">
        <v>45873</v>
      </c>
      <c r="C2975" t="s">
        <v>3008</v>
      </c>
      <c r="D2975">
        <v>8</v>
      </c>
      <c r="E2975">
        <v>4</v>
      </c>
      <c r="F2975" t="s">
        <v>168</v>
      </c>
      <c r="G2975" t="s">
        <v>80</v>
      </c>
      <c r="H2975" t="s">
        <v>65</v>
      </c>
      <c r="I2975" t="s">
        <v>49</v>
      </c>
      <c r="J2975" t="s">
        <v>50</v>
      </c>
      <c r="K2975" t="s">
        <v>38</v>
      </c>
      <c r="L2975">
        <v>1</v>
      </c>
      <c r="M2975">
        <v>276</v>
      </c>
      <c r="N2975">
        <v>13.8</v>
      </c>
      <c r="O2975">
        <v>70</v>
      </c>
      <c r="P2975">
        <v>276</v>
      </c>
      <c r="Q2975">
        <v>332.2</v>
      </c>
      <c r="R2975" t="s">
        <v>112</v>
      </c>
      <c r="S2975" t="s">
        <v>31</v>
      </c>
      <c r="T2975" t="s">
        <v>40</v>
      </c>
      <c r="U2975">
        <v>53</v>
      </c>
      <c r="V2975">
        <v>4.0999999999999996</v>
      </c>
      <c r="W2975">
        <f>Table2[[#This Row],[Quantity]]*Table2[[#This Row],[Item_Price]]</f>
        <v>276</v>
      </c>
    </row>
    <row r="2976" spans="1:23" x14ac:dyDescent="0.25">
      <c r="A2976" t="s">
        <v>3077</v>
      </c>
      <c r="B2976" s="1">
        <v>45873</v>
      </c>
      <c r="C2976" t="s">
        <v>3008</v>
      </c>
      <c r="D2976">
        <v>8</v>
      </c>
      <c r="E2976">
        <v>4</v>
      </c>
      <c r="F2976" t="s">
        <v>168</v>
      </c>
      <c r="G2976" t="s">
        <v>64</v>
      </c>
      <c r="H2976" t="s">
        <v>68</v>
      </c>
      <c r="I2976" t="s">
        <v>57</v>
      </c>
      <c r="J2976" t="s">
        <v>123</v>
      </c>
      <c r="K2976" t="s">
        <v>38</v>
      </c>
      <c r="L2976">
        <v>1</v>
      </c>
      <c r="M2976">
        <v>380</v>
      </c>
      <c r="N2976">
        <v>38</v>
      </c>
      <c r="O2976">
        <v>40</v>
      </c>
      <c r="P2976">
        <v>380</v>
      </c>
      <c r="Q2976">
        <v>382</v>
      </c>
      <c r="R2976" t="s">
        <v>30</v>
      </c>
      <c r="S2976" t="s">
        <v>110</v>
      </c>
      <c r="T2976" t="s">
        <v>40</v>
      </c>
      <c r="U2976">
        <v>68</v>
      </c>
      <c r="W2976">
        <f>Table2[[#This Row],[Quantity]]*Table2[[#This Row],[Item_Price]]</f>
        <v>380</v>
      </c>
    </row>
    <row r="2977" spans="1:23" x14ac:dyDescent="0.25">
      <c r="A2977" t="s">
        <v>3078</v>
      </c>
      <c r="B2977" s="1">
        <v>45873</v>
      </c>
      <c r="C2977" t="s">
        <v>3008</v>
      </c>
      <c r="D2977">
        <v>8</v>
      </c>
      <c r="E2977">
        <v>4</v>
      </c>
      <c r="F2977" t="s">
        <v>168</v>
      </c>
      <c r="G2977" t="s">
        <v>115</v>
      </c>
      <c r="H2977" t="s">
        <v>56</v>
      </c>
      <c r="I2977" t="s">
        <v>27</v>
      </c>
      <c r="J2977" t="s">
        <v>74</v>
      </c>
      <c r="K2977" t="s">
        <v>45</v>
      </c>
      <c r="L2977">
        <v>3</v>
      </c>
      <c r="M2977">
        <v>559</v>
      </c>
      <c r="N2977">
        <v>55.9</v>
      </c>
      <c r="O2977">
        <v>40</v>
      </c>
      <c r="P2977">
        <v>1677</v>
      </c>
      <c r="Q2977">
        <v>1661.1</v>
      </c>
      <c r="R2977" t="s">
        <v>39</v>
      </c>
      <c r="S2977" t="s">
        <v>31</v>
      </c>
      <c r="T2977" t="s">
        <v>40</v>
      </c>
      <c r="U2977">
        <v>34</v>
      </c>
      <c r="V2977">
        <v>4.7</v>
      </c>
      <c r="W2977">
        <f>Table2[[#This Row],[Quantity]]*Table2[[#This Row],[Item_Price]]</f>
        <v>1677</v>
      </c>
    </row>
    <row r="2978" spans="1:23" x14ac:dyDescent="0.25">
      <c r="A2978" t="s">
        <v>3079</v>
      </c>
      <c r="B2978" s="1">
        <v>45873</v>
      </c>
      <c r="C2978" t="s">
        <v>3008</v>
      </c>
      <c r="D2978">
        <v>8</v>
      </c>
      <c r="E2978">
        <v>4</v>
      </c>
      <c r="F2978" t="s">
        <v>168</v>
      </c>
      <c r="G2978" t="s">
        <v>34</v>
      </c>
      <c r="H2978" t="s">
        <v>108</v>
      </c>
      <c r="I2978" t="s">
        <v>103</v>
      </c>
      <c r="J2978" t="s">
        <v>101</v>
      </c>
      <c r="K2978" t="s">
        <v>38</v>
      </c>
      <c r="L2978">
        <v>1</v>
      </c>
      <c r="M2978">
        <v>799</v>
      </c>
      <c r="N2978">
        <v>39.950000000000003</v>
      </c>
      <c r="O2978">
        <v>20</v>
      </c>
      <c r="P2978">
        <v>799</v>
      </c>
      <c r="Q2978">
        <v>779.05</v>
      </c>
      <c r="R2978" t="s">
        <v>30</v>
      </c>
      <c r="S2978" t="s">
        <v>110</v>
      </c>
      <c r="T2978" t="s">
        <v>32</v>
      </c>
      <c r="U2978">
        <v>53</v>
      </c>
      <c r="W2978">
        <f>Table2[[#This Row],[Quantity]]*Table2[[#This Row],[Item_Price]]</f>
        <v>799</v>
      </c>
    </row>
    <row r="2979" spans="1:23" x14ac:dyDescent="0.25">
      <c r="A2979" t="s">
        <v>3080</v>
      </c>
      <c r="B2979" s="1">
        <v>45873</v>
      </c>
      <c r="C2979" t="s">
        <v>3008</v>
      </c>
      <c r="D2979">
        <v>8</v>
      </c>
      <c r="E2979">
        <v>4</v>
      </c>
      <c r="F2979" t="s">
        <v>168</v>
      </c>
      <c r="G2979" t="s">
        <v>25</v>
      </c>
      <c r="H2979" t="s">
        <v>139</v>
      </c>
      <c r="I2979" t="s">
        <v>61</v>
      </c>
      <c r="J2979" t="s">
        <v>78</v>
      </c>
      <c r="K2979" t="s">
        <v>38</v>
      </c>
      <c r="L2979">
        <v>3</v>
      </c>
      <c r="M2979">
        <v>718</v>
      </c>
      <c r="N2979">
        <v>143.6</v>
      </c>
      <c r="O2979">
        <v>30</v>
      </c>
      <c r="P2979">
        <v>2154</v>
      </c>
      <c r="Q2979">
        <v>2040.4</v>
      </c>
      <c r="R2979" t="s">
        <v>75</v>
      </c>
      <c r="S2979" t="s">
        <v>31</v>
      </c>
      <c r="T2979" t="s">
        <v>32</v>
      </c>
      <c r="U2979">
        <v>18</v>
      </c>
      <c r="V2979">
        <v>4.2</v>
      </c>
      <c r="W2979">
        <f>Table2[[#This Row],[Quantity]]*Table2[[#This Row],[Item_Price]]</f>
        <v>2154</v>
      </c>
    </row>
    <row r="2980" spans="1:23" x14ac:dyDescent="0.25">
      <c r="A2980" t="s">
        <v>3081</v>
      </c>
      <c r="B2980" s="1">
        <v>45874</v>
      </c>
      <c r="C2980" t="s">
        <v>3008</v>
      </c>
      <c r="D2980">
        <v>8</v>
      </c>
      <c r="E2980">
        <v>5</v>
      </c>
      <c r="F2980" t="s">
        <v>178</v>
      </c>
      <c r="G2980" t="s">
        <v>64</v>
      </c>
      <c r="H2980" t="s">
        <v>135</v>
      </c>
      <c r="I2980" t="s">
        <v>36</v>
      </c>
      <c r="J2980" t="s">
        <v>101</v>
      </c>
      <c r="K2980" t="s">
        <v>29</v>
      </c>
      <c r="L2980">
        <v>3</v>
      </c>
      <c r="M2980">
        <v>705</v>
      </c>
      <c r="N2980">
        <v>70.5</v>
      </c>
      <c r="O2980">
        <v>40</v>
      </c>
      <c r="P2980">
        <v>2115</v>
      </c>
      <c r="Q2980">
        <v>2084.5</v>
      </c>
      <c r="R2980" t="s">
        <v>112</v>
      </c>
      <c r="S2980" t="s">
        <v>31</v>
      </c>
      <c r="T2980" t="s">
        <v>32</v>
      </c>
      <c r="U2980">
        <v>61</v>
      </c>
      <c r="V2980">
        <v>3.6</v>
      </c>
      <c r="W2980">
        <f>Table2[[#This Row],[Quantity]]*Table2[[#This Row],[Item_Price]]</f>
        <v>2115</v>
      </c>
    </row>
    <row r="2981" spans="1:23" x14ac:dyDescent="0.25">
      <c r="A2981" t="s">
        <v>3082</v>
      </c>
      <c r="B2981" s="1">
        <v>45874</v>
      </c>
      <c r="C2981" t="s">
        <v>3008</v>
      </c>
      <c r="D2981">
        <v>8</v>
      </c>
      <c r="E2981">
        <v>5</v>
      </c>
      <c r="F2981" t="s">
        <v>178</v>
      </c>
      <c r="G2981" t="s">
        <v>80</v>
      </c>
      <c r="H2981" t="s">
        <v>105</v>
      </c>
      <c r="I2981" t="s">
        <v>69</v>
      </c>
      <c r="J2981" t="s">
        <v>53</v>
      </c>
      <c r="K2981" t="s">
        <v>29</v>
      </c>
      <c r="L2981">
        <v>2</v>
      </c>
      <c r="M2981">
        <v>821</v>
      </c>
      <c r="N2981">
        <v>82.1</v>
      </c>
      <c r="O2981">
        <v>60</v>
      </c>
      <c r="P2981">
        <v>1642</v>
      </c>
      <c r="Q2981">
        <v>1619.9</v>
      </c>
      <c r="R2981" t="s">
        <v>75</v>
      </c>
      <c r="S2981" t="s">
        <v>31</v>
      </c>
      <c r="T2981" t="s">
        <v>40</v>
      </c>
      <c r="U2981">
        <v>50</v>
      </c>
      <c r="V2981">
        <v>4.8</v>
      </c>
      <c r="W2981">
        <f>Table2[[#This Row],[Quantity]]*Table2[[#This Row],[Item_Price]]</f>
        <v>1642</v>
      </c>
    </row>
    <row r="2982" spans="1:23" x14ac:dyDescent="0.25">
      <c r="A2982" t="s">
        <v>3083</v>
      </c>
      <c r="B2982" s="1">
        <v>45874</v>
      </c>
      <c r="C2982" t="s">
        <v>3008</v>
      </c>
      <c r="D2982">
        <v>8</v>
      </c>
      <c r="E2982">
        <v>5</v>
      </c>
      <c r="F2982" t="s">
        <v>178</v>
      </c>
      <c r="G2982" t="s">
        <v>115</v>
      </c>
      <c r="H2982" t="s">
        <v>139</v>
      </c>
      <c r="I2982" t="s">
        <v>27</v>
      </c>
      <c r="J2982" t="s">
        <v>28</v>
      </c>
      <c r="K2982" t="s">
        <v>38</v>
      </c>
      <c r="L2982">
        <v>2</v>
      </c>
      <c r="M2982">
        <v>253</v>
      </c>
      <c r="N2982">
        <v>37.950000000000003</v>
      </c>
      <c r="O2982">
        <v>30</v>
      </c>
      <c r="P2982">
        <v>506</v>
      </c>
      <c r="Q2982">
        <v>498.05</v>
      </c>
      <c r="R2982" t="s">
        <v>39</v>
      </c>
      <c r="S2982" t="s">
        <v>31</v>
      </c>
      <c r="T2982" t="s">
        <v>32</v>
      </c>
      <c r="U2982">
        <v>60</v>
      </c>
      <c r="V2982">
        <v>3.3</v>
      </c>
      <c r="W2982">
        <f>Table2[[#This Row],[Quantity]]*Table2[[#This Row],[Item_Price]]</f>
        <v>506</v>
      </c>
    </row>
    <row r="2983" spans="1:23" x14ac:dyDescent="0.25">
      <c r="A2983" t="s">
        <v>3084</v>
      </c>
      <c r="B2983" s="1">
        <v>45874</v>
      </c>
      <c r="C2983" t="s">
        <v>3008</v>
      </c>
      <c r="D2983">
        <v>8</v>
      </c>
      <c r="E2983">
        <v>5</v>
      </c>
      <c r="F2983" t="s">
        <v>178</v>
      </c>
      <c r="G2983" t="s">
        <v>73</v>
      </c>
      <c r="H2983" t="s">
        <v>56</v>
      </c>
      <c r="I2983" t="s">
        <v>61</v>
      </c>
      <c r="J2983" t="s">
        <v>123</v>
      </c>
      <c r="K2983" t="s">
        <v>38</v>
      </c>
      <c r="L2983">
        <v>2</v>
      </c>
      <c r="M2983">
        <v>711</v>
      </c>
      <c r="N2983">
        <v>106.65</v>
      </c>
      <c r="O2983">
        <v>40</v>
      </c>
      <c r="P2983">
        <v>1422</v>
      </c>
      <c r="Q2983">
        <v>1355.35</v>
      </c>
      <c r="R2983" t="s">
        <v>39</v>
      </c>
      <c r="S2983" t="s">
        <v>31</v>
      </c>
      <c r="T2983" t="s">
        <v>40</v>
      </c>
      <c r="U2983">
        <v>68</v>
      </c>
      <c r="V2983">
        <v>5</v>
      </c>
      <c r="W2983">
        <f>Table2[[#This Row],[Quantity]]*Table2[[#This Row],[Item_Price]]</f>
        <v>1422</v>
      </c>
    </row>
    <row r="2984" spans="1:23" x14ac:dyDescent="0.25">
      <c r="A2984" t="s">
        <v>3085</v>
      </c>
      <c r="B2984" s="1">
        <v>45874</v>
      </c>
      <c r="C2984" t="s">
        <v>3008</v>
      </c>
      <c r="D2984">
        <v>8</v>
      </c>
      <c r="E2984">
        <v>5</v>
      </c>
      <c r="F2984" t="s">
        <v>178</v>
      </c>
      <c r="G2984" t="s">
        <v>25</v>
      </c>
      <c r="H2984" t="s">
        <v>52</v>
      </c>
      <c r="I2984" t="s">
        <v>43</v>
      </c>
      <c r="J2984" t="s">
        <v>119</v>
      </c>
      <c r="K2984" t="s">
        <v>38</v>
      </c>
      <c r="L2984">
        <v>1</v>
      </c>
      <c r="M2984">
        <v>382</v>
      </c>
      <c r="N2984">
        <v>38.200000000000003</v>
      </c>
      <c r="O2984">
        <v>20</v>
      </c>
      <c r="P2984">
        <v>382</v>
      </c>
      <c r="Q2984">
        <v>363.8</v>
      </c>
      <c r="R2984" t="s">
        <v>98</v>
      </c>
      <c r="S2984" t="s">
        <v>31</v>
      </c>
      <c r="T2984" t="s">
        <v>40</v>
      </c>
      <c r="U2984">
        <v>48</v>
      </c>
      <c r="V2984">
        <v>3.7</v>
      </c>
      <c r="W2984">
        <f>Table2[[#This Row],[Quantity]]*Table2[[#This Row],[Item_Price]]</f>
        <v>382</v>
      </c>
    </row>
    <row r="2985" spans="1:23" x14ac:dyDescent="0.25">
      <c r="A2985" t="s">
        <v>3086</v>
      </c>
      <c r="B2985" s="1">
        <v>45874</v>
      </c>
      <c r="C2985" t="s">
        <v>3008</v>
      </c>
      <c r="D2985">
        <v>8</v>
      </c>
      <c r="E2985">
        <v>5</v>
      </c>
      <c r="F2985" t="s">
        <v>178</v>
      </c>
      <c r="G2985" t="s">
        <v>34</v>
      </c>
      <c r="H2985" t="s">
        <v>108</v>
      </c>
      <c r="I2985" t="s">
        <v>69</v>
      </c>
      <c r="J2985" t="s">
        <v>44</v>
      </c>
      <c r="K2985" t="s">
        <v>38</v>
      </c>
      <c r="L2985">
        <v>2</v>
      </c>
      <c r="M2985">
        <v>237</v>
      </c>
      <c r="N2985">
        <v>11.85</v>
      </c>
      <c r="O2985">
        <v>30</v>
      </c>
      <c r="P2985">
        <v>474</v>
      </c>
      <c r="Q2985">
        <v>492.15</v>
      </c>
      <c r="R2985" t="s">
        <v>39</v>
      </c>
      <c r="S2985" t="s">
        <v>31</v>
      </c>
      <c r="T2985" t="s">
        <v>40</v>
      </c>
      <c r="U2985">
        <v>18</v>
      </c>
      <c r="V2985">
        <v>4</v>
      </c>
      <c r="W2985">
        <f>Table2[[#This Row],[Quantity]]*Table2[[#This Row],[Item_Price]]</f>
        <v>474</v>
      </c>
    </row>
    <row r="2986" spans="1:23" x14ac:dyDescent="0.25">
      <c r="A2986" t="s">
        <v>3087</v>
      </c>
      <c r="B2986" s="1">
        <v>45874</v>
      </c>
      <c r="C2986" t="s">
        <v>3008</v>
      </c>
      <c r="D2986">
        <v>8</v>
      </c>
      <c r="E2986">
        <v>5</v>
      </c>
      <c r="F2986" t="s">
        <v>178</v>
      </c>
      <c r="G2986" t="s">
        <v>115</v>
      </c>
      <c r="H2986" t="s">
        <v>35</v>
      </c>
      <c r="I2986" t="s">
        <v>85</v>
      </c>
      <c r="J2986" t="s">
        <v>28</v>
      </c>
      <c r="K2986" t="s">
        <v>45</v>
      </c>
      <c r="L2986">
        <v>1</v>
      </c>
      <c r="M2986">
        <v>777</v>
      </c>
      <c r="N2986">
        <v>116.55</v>
      </c>
      <c r="O2986">
        <v>40</v>
      </c>
      <c r="P2986">
        <v>777</v>
      </c>
      <c r="Q2986">
        <v>700.45</v>
      </c>
      <c r="R2986" t="s">
        <v>112</v>
      </c>
      <c r="S2986" t="s">
        <v>31</v>
      </c>
      <c r="T2986" t="s">
        <v>32</v>
      </c>
      <c r="U2986">
        <v>50</v>
      </c>
      <c r="V2986">
        <v>4.5</v>
      </c>
      <c r="W2986">
        <f>Table2[[#This Row],[Quantity]]*Table2[[#This Row],[Item_Price]]</f>
        <v>777</v>
      </c>
    </row>
    <row r="2987" spans="1:23" x14ac:dyDescent="0.25">
      <c r="A2987" t="s">
        <v>3088</v>
      </c>
      <c r="B2987" s="1">
        <v>45874</v>
      </c>
      <c r="C2987" t="s">
        <v>3008</v>
      </c>
      <c r="D2987">
        <v>8</v>
      </c>
      <c r="E2987">
        <v>5</v>
      </c>
      <c r="F2987" t="s">
        <v>178</v>
      </c>
      <c r="G2987" t="s">
        <v>34</v>
      </c>
      <c r="H2987" t="s">
        <v>35</v>
      </c>
      <c r="I2987" t="s">
        <v>27</v>
      </c>
      <c r="J2987" t="s">
        <v>37</v>
      </c>
      <c r="K2987" t="s">
        <v>45</v>
      </c>
      <c r="L2987">
        <v>2</v>
      </c>
      <c r="M2987">
        <v>712</v>
      </c>
      <c r="N2987">
        <v>0</v>
      </c>
      <c r="O2987">
        <v>30</v>
      </c>
      <c r="P2987">
        <v>1424</v>
      </c>
      <c r="Q2987">
        <v>1454</v>
      </c>
      <c r="R2987" t="s">
        <v>39</v>
      </c>
      <c r="S2987" t="s">
        <v>31</v>
      </c>
      <c r="T2987" t="s">
        <v>32</v>
      </c>
      <c r="U2987">
        <v>34</v>
      </c>
      <c r="V2987">
        <v>4</v>
      </c>
      <c r="W2987">
        <f>Table2[[#This Row],[Quantity]]*Table2[[#This Row],[Item_Price]]</f>
        <v>1424</v>
      </c>
    </row>
    <row r="2988" spans="1:23" x14ac:dyDescent="0.25">
      <c r="A2988" t="s">
        <v>3089</v>
      </c>
      <c r="B2988" s="1">
        <v>45874</v>
      </c>
      <c r="C2988" t="s">
        <v>3008</v>
      </c>
      <c r="D2988">
        <v>8</v>
      </c>
      <c r="E2988">
        <v>5</v>
      </c>
      <c r="F2988" t="s">
        <v>178</v>
      </c>
      <c r="G2988" t="s">
        <v>80</v>
      </c>
      <c r="H2988" t="s">
        <v>52</v>
      </c>
      <c r="I2988" t="s">
        <v>69</v>
      </c>
      <c r="J2988" t="s">
        <v>53</v>
      </c>
      <c r="K2988" t="s">
        <v>38</v>
      </c>
      <c r="L2988">
        <v>2</v>
      </c>
      <c r="M2988">
        <v>858</v>
      </c>
      <c r="N2988">
        <v>214.5</v>
      </c>
      <c r="O2988">
        <v>30</v>
      </c>
      <c r="P2988">
        <v>1716</v>
      </c>
      <c r="Q2988">
        <v>1531.5</v>
      </c>
      <c r="R2988" t="s">
        <v>39</v>
      </c>
      <c r="S2988" t="s">
        <v>31</v>
      </c>
      <c r="T2988" t="s">
        <v>40</v>
      </c>
      <c r="U2988">
        <v>33</v>
      </c>
      <c r="V2988">
        <v>3.7</v>
      </c>
      <c r="W2988">
        <f>Table2[[#This Row],[Quantity]]*Table2[[#This Row],[Item_Price]]</f>
        <v>1716</v>
      </c>
    </row>
    <row r="2989" spans="1:23" x14ac:dyDescent="0.25">
      <c r="A2989" t="s">
        <v>3090</v>
      </c>
      <c r="B2989" s="1">
        <v>45874</v>
      </c>
      <c r="C2989" t="s">
        <v>3008</v>
      </c>
      <c r="D2989">
        <v>8</v>
      </c>
      <c r="E2989">
        <v>5</v>
      </c>
      <c r="F2989" t="s">
        <v>178</v>
      </c>
      <c r="G2989" t="s">
        <v>96</v>
      </c>
      <c r="H2989" t="s">
        <v>105</v>
      </c>
      <c r="I2989" t="s">
        <v>85</v>
      </c>
      <c r="J2989" t="s">
        <v>94</v>
      </c>
      <c r="K2989" t="s">
        <v>38</v>
      </c>
      <c r="L2989">
        <v>1</v>
      </c>
      <c r="M2989">
        <v>762</v>
      </c>
      <c r="N2989">
        <v>152.4</v>
      </c>
      <c r="O2989">
        <v>40</v>
      </c>
      <c r="P2989">
        <v>762</v>
      </c>
      <c r="Q2989">
        <v>649.6</v>
      </c>
      <c r="R2989" t="s">
        <v>39</v>
      </c>
      <c r="S2989" t="s">
        <v>31</v>
      </c>
      <c r="T2989" t="s">
        <v>32</v>
      </c>
      <c r="U2989">
        <v>55</v>
      </c>
      <c r="V2989">
        <v>3.7</v>
      </c>
      <c r="W2989">
        <f>Table2[[#This Row],[Quantity]]*Table2[[#This Row],[Item_Price]]</f>
        <v>762</v>
      </c>
    </row>
    <row r="2990" spans="1:23" x14ac:dyDescent="0.25">
      <c r="A2990" t="s">
        <v>3091</v>
      </c>
      <c r="B2990" s="1">
        <v>45874</v>
      </c>
      <c r="C2990" t="s">
        <v>3008</v>
      </c>
      <c r="D2990">
        <v>8</v>
      </c>
      <c r="E2990">
        <v>5</v>
      </c>
      <c r="F2990" t="s">
        <v>178</v>
      </c>
      <c r="G2990" t="s">
        <v>34</v>
      </c>
      <c r="H2990" t="s">
        <v>42</v>
      </c>
      <c r="I2990" t="s">
        <v>49</v>
      </c>
      <c r="J2990" t="s">
        <v>37</v>
      </c>
      <c r="K2990" t="s">
        <v>38</v>
      </c>
      <c r="L2990">
        <v>2</v>
      </c>
      <c r="M2990">
        <v>470</v>
      </c>
      <c r="N2990">
        <v>70.5</v>
      </c>
      <c r="O2990">
        <v>40</v>
      </c>
      <c r="P2990">
        <v>940</v>
      </c>
      <c r="Q2990">
        <v>909.5</v>
      </c>
      <c r="R2990" t="s">
        <v>39</v>
      </c>
      <c r="S2990" t="s">
        <v>110</v>
      </c>
      <c r="T2990" t="s">
        <v>40</v>
      </c>
      <c r="U2990">
        <v>25</v>
      </c>
      <c r="W2990">
        <f>Table2[[#This Row],[Quantity]]*Table2[[#This Row],[Item_Price]]</f>
        <v>940</v>
      </c>
    </row>
    <row r="2991" spans="1:23" x14ac:dyDescent="0.25">
      <c r="A2991" t="s">
        <v>3092</v>
      </c>
      <c r="B2991" s="1">
        <v>45874</v>
      </c>
      <c r="C2991" t="s">
        <v>3008</v>
      </c>
      <c r="D2991">
        <v>8</v>
      </c>
      <c r="E2991">
        <v>5</v>
      </c>
      <c r="F2991" t="s">
        <v>178</v>
      </c>
      <c r="G2991" t="s">
        <v>25</v>
      </c>
      <c r="H2991" t="s">
        <v>139</v>
      </c>
      <c r="I2991" t="s">
        <v>49</v>
      </c>
      <c r="J2991" t="s">
        <v>53</v>
      </c>
      <c r="K2991" t="s">
        <v>45</v>
      </c>
      <c r="L2991">
        <v>1</v>
      </c>
      <c r="M2991">
        <v>445</v>
      </c>
      <c r="N2991">
        <v>44.5</v>
      </c>
      <c r="O2991">
        <v>50</v>
      </c>
      <c r="P2991">
        <v>445</v>
      </c>
      <c r="Q2991">
        <v>450.5</v>
      </c>
      <c r="R2991" t="s">
        <v>112</v>
      </c>
      <c r="S2991" t="s">
        <v>31</v>
      </c>
      <c r="T2991" t="s">
        <v>32</v>
      </c>
      <c r="U2991">
        <v>21</v>
      </c>
      <c r="V2991">
        <v>3.9</v>
      </c>
      <c r="W2991">
        <f>Table2[[#This Row],[Quantity]]*Table2[[#This Row],[Item_Price]]</f>
        <v>445</v>
      </c>
    </row>
    <row r="2992" spans="1:23" x14ac:dyDescent="0.25">
      <c r="A2992" t="s">
        <v>3093</v>
      </c>
      <c r="B2992" s="1">
        <v>45874</v>
      </c>
      <c r="C2992" t="s">
        <v>3008</v>
      </c>
      <c r="D2992">
        <v>8</v>
      </c>
      <c r="E2992">
        <v>5</v>
      </c>
      <c r="F2992" t="s">
        <v>178</v>
      </c>
      <c r="G2992" t="s">
        <v>73</v>
      </c>
      <c r="H2992" t="s">
        <v>81</v>
      </c>
      <c r="I2992" t="s">
        <v>69</v>
      </c>
      <c r="J2992" t="s">
        <v>78</v>
      </c>
      <c r="K2992" t="s">
        <v>38</v>
      </c>
      <c r="L2992">
        <v>2</v>
      </c>
      <c r="M2992">
        <v>129</v>
      </c>
      <c r="N2992">
        <v>12.9</v>
      </c>
      <c r="O2992">
        <v>30</v>
      </c>
      <c r="P2992">
        <v>258</v>
      </c>
      <c r="Q2992">
        <v>275.10000000000002</v>
      </c>
      <c r="R2992" t="s">
        <v>39</v>
      </c>
      <c r="S2992" t="s">
        <v>31</v>
      </c>
      <c r="T2992" t="s">
        <v>32</v>
      </c>
      <c r="U2992">
        <v>52</v>
      </c>
      <c r="V2992">
        <v>4.2</v>
      </c>
      <c r="W2992">
        <f>Table2[[#This Row],[Quantity]]*Table2[[#This Row],[Item_Price]]</f>
        <v>258</v>
      </c>
    </row>
    <row r="2993" spans="1:23" x14ac:dyDescent="0.25">
      <c r="A2993" t="s">
        <v>3094</v>
      </c>
      <c r="B2993" s="1">
        <v>45874</v>
      </c>
      <c r="C2993" t="s">
        <v>3008</v>
      </c>
      <c r="D2993">
        <v>8</v>
      </c>
      <c r="E2993">
        <v>5</v>
      </c>
      <c r="F2993" t="s">
        <v>178</v>
      </c>
      <c r="G2993" t="s">
        <v>90</v>
      </c>
      <c r="H2993" t="s">
        <v>52</v>
      </c>
      <c r="I2993" t="s">
        <v>103</v>
      </c>
      <c r="J2993" t="s">
        <v>37</v>
      </c>
      <c r="K2993" t="s">
        <v>38</v>
      </c>
      <c r="L2993">
        <v>1</v>
      </c>
      <c r="M2993">
        <v>143</v>
      </c>
      <c r="N2993">
        <v>21.45</v>
      </c>
      <c r="O2993">
        <v>40</v>
      </c>
      <c r="P2993">
        <v>143</v>
      </c>
      <c r="Q2993">
        <v>161.55000000000001</v>
      </c>
      <c r="R2993" t="s">
        <v>39</v>
      </c>
      <c r="S2993" t="s">
        <v>31</v>
      </c>
      <c r="T2993" t="s">
        <v>32</v>
      </c>
      <c r="U2993">
        <v>30</v>
      </c>
      <c r="V2993">
        <v>3.9</v>
      </c>
      <c r="W2993">
        <f>Table2[[#This Row],[Quantity]]*Table2[[#This Row],[Item_Price]]</f>
        <v>143</v>
      </c>
    </row>
    <row r="2994" spans="1:23" x14ac:dyDescent="0.25">
      <c r="A2994" t="s">
        <v>3095</v>
      </c>
      <c r="B2994" s="1">
        <v>45874</v>
      </c>
      <c r="C2994" t="s">
        <v>3008</v>
      </c>
      <c r="D2994">
        <v>8</v>
      </c>
      <c r="E2994">
        <v>5</v>
      </c>
      <c r="F2994" t="s">
        <v>178</v>
      </c>
      <c r="G2994" t="s">
        <v>55</v>
      </c>
      <c r="H2994" t="s">
        <v>52</v>
      </c>
      <c r="I2994" t="s">
        <v>61</v>
      </c>
      <c r="J2994" t="s">
        <v>70</v>
      </c>
      <c r="K2994" t="s">
        <v>38</v>
      </c>
      <c r="L2994">
        <v>1</v>
      </c>
      <c r="M2994">
        <v>849</v>
      </c>
      <c r="N2994">
        <v>127.35</v>
      </c>
      <c r="O2994">
        <v>40</v>
      </c>
      <c r="P2994">
        <v>849</v>
      </c>
      <c r="Q2994">
        <v>761.65</v>
      </c>
      <c r="R2994" t="s">
        <v>75</v>
      </c>
      <c r="S2994" t="s">
        <v>31</v>
      </c>
      <c r="T2994" t="s">
        <v>32</v>
      </c>
      <c r="U2994">
        <v>25</v>
      </c>
      <c r="V2994">
        <v>4.5999999999999996</v>
      </c>
      <c r="W2994">
        <f>Table2[[#This Row],[Quantity]]*Table2[[#This Row],[Item_Price]]</f>
        <v>849</v>
      </c>
    </row>
    <row r="2995" spans="1:23" x14ac:dyDescent="0.25">
      <c r="A2995" t="s">
        <v>3096</v>
      </c>
      <c r="B2995" s="1">
        <v>45875</v>
      </c>
      <c r="C2995" t="s">
        <v>3008</v>
      </c>
      <c r="D2995">
        <v>8</v>
      </c>
      <c r="E2995">
        <v>6</v>
      </c>
      <c r="F2995" t="s">
        <v>24</v>
      </c>
      <c r="G2995" t="s">
        <v>80</v>
      </c>
      <c r="H2995" t="s">
        <v>65</v>
      </c>
      <c r="I2995" t="s">
        <v>69</v>
      </c>
      <c r="J2995" t="s">
        <v>50</v>
      </c>
      <c r="K2995" t="s">
        <v>38</v>
      </c>
      <c r="L2995">
        <v>2</v>
      </c>
      <c r="M2995">
        <v>404</v>
      </c>
      <c r="N2995">
        <v>0</v>
      </c>
      <c r="O2995">
        <v>0</v>
      </c>
      <c r="P2995">
        <v>808</v>
      </c>
      <c r="Q2995">
        <v>808</v>
      </c>
      <c r="R2995" t="s">
        <v>39</v>
      </c>
      <c r="S2995" t="s">
        <v>31</v>
      </c>
      <c r="T2995" t="s">
        <v>40</v>
      </c>
      <c r="U2995">
        <v>34</v>
      </c>
      <c r="V2995">
        <v>3.5</v>
      </c>
      <c r="W2995">
        <f>Table2[[#This Row],[Quantity]]*Table2[[#This Row],[Item_Price]]</f>
        <v>808</v>
      </c>
    </row>
    <row r="2996" spans="1:23" x14ac:dyDescent="0.25">
      <c r="A2996" t="s">
        <v>3097</v>
      </c>
      <c r="B2996" s="1">
        <v>45875</v>
      </c>
      <c r="C2996" t="s">
        <v>3008</v>
      </c>
      <c r="D2996">
        <v>8</v>
      </c>
      <c r="E2996">
        <v>6</v>
      </c>
      <c r="F2996" t="s">
        <v>24</v>
      </c>
      <c r="G2996" t="s">
        <v>73</v>
      </c>
      <c r="H2996" t="s">
        <v>42</v>
      </c>
      <c r="I2996" t="s">
        <v>97</v>
      </c>
      <c r="J2996" t="s">
        <v>82</v>
      </c>
      <c r="K2996" t="s">
        <v>38</v>
      </c>
      <c r="L2996">
        <v>2</v>
      </c>
      <c r="M2996">
        <v>230</v>
      </c>
      <c r="N2996">
        <v>11.5</v>
      </c>
      <c r="O2996">
        <v>40</v>
      </c>
      <c r="P2996">
        <v>460</v>
      </c>
      <c r="Q2996">
        <v>488.5</v>
      </c>
      <c r="R2996" t="s">
        <v>75</v>
      </c>
      <c r="S2996" t="s">
        <v>31</v>
      </c>
      <c r="T2996" t="s">
        <v>40</v>
      </c>
      <c r="U2996">
        <v>35</v>
      </c>
      <c r="V2996">
        <v>3.7</v>
      </c>
      <c r="W2996">
        <f>Table2[[#This Row],[Quantity]]*Table2[[#This Row],[Item_Price]]</f>
        <v>460</v>
      </c>
    </row>
    <row r="2997" spans="1:23" x14ac:dyDescent="0.25">
      <c r="A2997" t="s">
        <v>3098</v>
      </c>
      <c r="B2997" s="1">
        <v>45875</v>
      </c>
      <c r="C2997" t="s">
        <v>3008</v>
      </c>
      <c r="D2997">
        <v>8</v>
      </c>
      <c r="E2997">
        <v>6</v>
      </c>
      <c r="F2997" t="s">
        <v>24</v>
      </c>
      <c r="G2997" t="s">
        <v>90</v>
      </c>
      <c r="H2997" t="s">
        <v>135</v>
      </c>
      <c r="I2997" t="s">
        <v>49</v>
      </c>
      <c r="J2997" t="s">
        <v>53</v>
      </c>
      <c r="K2997" t="s">
        <v>38</v>
      </c>
      <c r="L2997">
        <v>1</v>
      </c>
      <c r="M2997">
        <v>874</v>
      </c>
      <c r="N2997">
        <v>43.7</v>
      </c>
      <c r="O2997">
        <v>60</v>
      </c>
      <c r="P2997">
        <v>874</v>
      </c>
      <c r="Q2997">
        <v>890.3</v>
      </c>
      <c r="R2997" t="s">
        <v>112</v>
      </c>
      <c r="S2997" t="s">
        <v>110</v>
      </c>
      <c r="T2997" t="s">
        <v>40</v>
      </c>
      <c r="U2997">
        <v>21</v>
      </c>
      <c r="W2997">
        <f>Table2[[#This Row],[Quantity]]*Table2[[#This Row],[Item_Price]]</f>
        <v>874</v>
      </c>
    </row>
    <row r="2998" spans="1:23" x14ac:dyDescent="0.25">
      <c r="A2998" t="s">
        <v>3099</v>
      </c>
      <c r="B2998" s="1">
        <v>45875</v>
      </c>
      <c r="C2998" t="s">
        <v>3008</v>
      </c>
      <c r="D2998">
        <v>8</v>
      </c>
      <c r="E2998">
        <v>6</v>
      </c>
      <c r="F2998" t="s">
        <v>24</v>
      </c>
      <c r="G2998" t="s">
        <v>34</v>
      </c>
      <c r="H2998" t="s">
        <v>52</v>
      </c>
      <c r="I2998" t="s">
        <v>43</v>
      </c>
      <c r="J2998" t="s">
        <v>78</v>
      </c>
      <c r="K2998" t="s">
        <v>38</v>
      </c>
      <c r="L2998">
        <v>1</v>
      </c>
      <c r="M2998">
        <v>754</v>
      </c>
      <c r="N2998">
        <v>0</v>
      </c>
      <c r="O2998">
        <v>60</v>
      </c>
      <c r="P2998">
        <v>754</v>
      </c>
      <c r="Q2998">
        <v>814</v>
      </c>
      <c r="R2998" t="s">
        <v>75</v>
      </c>
      <c r="S2998" t="s">
        <v>31</v>
      </c>
      <c r="T2998" t="s">
        <v>40</v>
      </c>
      <c r="U2998">
        <v>33</v>
      </c>
      <c r="V2998">
        <v>3.1</v>
      </c>
      <c r="W2998">
        <f>Table2[[#This Row],[Quantity]]*Table2[[#This Row],[Item_Price]]</f>
        <v>754</v>
      </c>
    </row>
    <row r="2999" spans="1:23" x14ac:dyDescent="0.25">
      <c r="A2999" t="s">
        <v>3100</v>
      </c>
      <c r="B2999" s="1">
        <v>45875</v>
      </c>
      <c r="C2999" t="s">
        <v>3008</v>
      </c>
      <c r="D2999">
        <v>8</v>
      </c>
      <c r="E2999">
        <v>6</v>
      </c>
      <c r="F2999" t="s">
        <v>24</v>
      </c>
      <c r="G2999" t="s">
        <v>64</v>
      </c>
      <c r="H2999" t="s">
        <v>52</v>
      </c>
      <c r="I2999" t="s">
        <v>27</v>
      </c>
      <c r="J2999" t="s">
        <v>50</v>
      </c>
      <c r="K2999" t="s">
        <v>38</v>
      </c>
      <c r="L2999">
        <v>2</v>
      </c>
      <c r="M2999">
        <v>339</v>
      </c>
      <c r="N2999">
        <v>33.9</v>
      </c>
      <c r="O2999">
        <v>20</v>
      </c>
      <c r="P2999">
        <v>678</v>
      </c>
      <c r="Q2999">
        <v>664.1</v>
      </c>
      <c r="R2999" t="s">
        <v>39</v>
      </c>
      <c r="S2999" t="s">
        <v>31</v>
      </c>
      <c r="T2999" t="s">
        <v>40</v>
      </c>
      <c r="U2999">
        <v>64</v>
      </c>
      <c r="V2999">
        <v>4</v>
      </c>
      <c r="W2999">
        <f>Table2[[#This Row],[Quantity]]*Table2[[#This Row],[Item_Price]]</f>
        <v>678</v>
      </c>
    </row>
    <row r="3000" spans="1:23" x14ac:dyDescent="0.25">
      <c r="A3000" t="s">
        <v>3101</v>
      </c>
      <c r="B3000" s="1">
        <v>45875</v>
      </c>
      <c r="C3000" t="s">
        <v>3008</v>
      </c>
      <c r="D3000">
        <v>8</v>
      </c>
      <c r="E3000">
        <v>6</v>
      </c>
      <c r="F3000" t="s">
        <v>24</v>
      </c>
      <c r="G3000" t="s">
        <v>34</v>
      </c>
      <c r="H3000" t="s">
        <v>108</v>
      </c>
      <c r="I3000" t="s">
        <v>43</v>
      </c>
      <c r="J3000" t="s">
        <v>119</v>
      </c>
      <c r="K3000" t="s">
        <v>58</v>
      </c>
      <c r="L3000">
        <v>1</v>
      </c>
      <c r="M3000">
        <v>864</v>
      </c>
      <c r="N3000">
        <v>172.8</v>
      </c>
      <c r="O3000">
        <v>40</v>
      </c>
      <c r="P3000">
        <v>864</v>
      </c>
      <c r="Q3000">
        <v>731.2</v>
      </c>
      <c r="R3000" t="s">
        <v>39</v>
      </c>
      <c r="S3000" t="s">
        <v>91</v>
      </c>
      <c r="T3000" t="s">
        <v>40</v>
      </c>
      <c r="U3000">
        <v>50</v>
      </c>
      <c r="W3000">
        <f>Table2[[#This Row],[Quantity]]*Table2[[#This Row],[Item_Price]]</f>
        <v>864</v>
      </c>
    </row>
    <row r="3001" spans="1:23" x14ac:dyDescent="0.25">
      <c r="A3001" t="s">
        <v>3102</v>
      </c>
      <c r="B3001" s="1">
        <v>45875</v>
      </c>
      <c r="C3001" t="s">
        <v>3008</v>
      </c>
      <c r="D3001">
        <v>8</v>
      </c>
      <c r="E3001">
        <v>6</v>
      </c>
      <c r="F3001" t="s">
        <v>24</v>
      </c>
      <c r="G3001" t="s">
        <v>73</v>
      </c>
      <c r="H3001" t="s">
        <v>135</v>
      </c>
      <c r="I3001" t="s">
        <v>85</v>
      </c>
      <c r="J3001" t="s">
        <v>66</v>
      </c>
      <c r="K3001" t="s">
        <v>38</v>
      </c>
      <c r="L3001">
        <v>1</v>
      </c>
      <c r="M3001">
        <v>445</v>
      </c>
      <c r="N3001">
        <v>66.75</v>
      </c>
      <c r="O3001">
        <v>30</v>
      </c>
      <c r="P3001">
        <v>445</v>
      </c>
      <c r="Q3001">
        <v>408.25</v>
      </c>
      <c r="R3001" t="s">
        <v>39</v>
      </c>
      <c r="S3001" t="s">
        <v>31</v>
      </c>
      <c r="T3001" t="s">
        <v>32</v>
      </c>
      <c r="U3001">
        <v>19</v>
      </c>
      <c r="V3001">
        <v>4.2</v>
      </c>
      <c r="W3001">
        <f>Table2[[#This Row],[Quantity]]*Table2[[#This Row],[Item_Price]]</f>
        <v>445</v>
      </c>
    </row>
    <row r="3002" spans="1:23" x14ac:dyDescent="0.25">
      <c r="A3002" t="s">
        <v>3103</v>
      </c>
      <c r="B3002" s="1">
        <v>45875</v>
      </c>
      <c r="C3002" t="s">
        <v>3008</v>
      </c>
      <c r="D3002">
        <v>8</v>
      </c>
      <c r="E3002">
        <v>6</v>
      </c>
      <c r="F3002" t="s">
        <v>24</v>
      </c>
      <c r="G3002" t="s">
        <v>73</v>
      </c>
      <c r="H3002" t="s">
        <v>48</v>
      </c>
      <c r="I3002" t="s">
        <v>49</v>
      </c>
      <c r="J3002" t="s">
        <v>78</v>
      </c>
      <c r="K3002" t="s">
        <v>38</v>
      </c>
      <c r="L3002">
        <v>1</v>
      </c>
      <c r="M3002">
        <v>669</v>
      </c>
      <c r="N3002">
        <v>167.25</v>
      </c>
      <c r="O3002">
        <v>30</v>
      </c>
      <c r="P3002">
        <v>669</v>
      </c>
      <c r="Q3002">
        <v>531.75</v>
      </c>
      <c r="R3002" t="s">
        <v>39</v>
      </c>
      <c r="S3002" t="s">
        <v>31</v>
      </c>
      <c r="T3002" t="s">
        <v>40</v>
      </c>
      <c r="U3002">
        <v>51</v>
      </c>
      <c r="V3002">
        <v>4.3</v>
      </c>
      <c r="W3002">
        <f>Table2[[#This Row],[Quantity]]*Table2[[#This Row],[Item_Price]]</f>
        <v>669</v>
      </c>
    </row>
    <row r="3003" spans="1:23" x14ac:dyDescent="0.25">
      <c r="A3003" t="s">
        <v>3104</v>
      </c>
      <c r="B3003" s="1">
        <v>45875</v>
      </c>
      <c r="C3003" t="s">
        <v>3008</v>
      </c>
      <c r="D3003">
        <v>8</v>
      </c>
      <c r="E3003">
        <v>6</v>
      </c>
      <c r="F3003" t="s">
        <v>24</v>
      </c>
      <c r="G3003" t="s">
        <v>115</v>
      </c>
      <c r="H3003" t="s">
        <v>42</v>
      </c>
      <c r="I3003" t="s">
        <v>49</v>
      </c>
      <c r="J3003" t="s">
        <v>66</v>
      </c>
      <c r="K3003" t="s">
        <v>38</v>
      </c>
      <c r="L3003">
        <v>2</v>
      </c>
      <c r="M3003">
        <v>336</v>
      </c>
      <c r="N3003">
        <v>67.2</v>
      </c>
      <c r="O3003">
        <v>20</v>
      </c>
      <c r="P3003">
        <v>672</v>
      </c>
      <c r="Q3003">
        <v>624.79999999999995</v>
      </c>
      <c r="R3003" t="s">
        <v>30</v>
      </c>
      <c r="S3003" t="s">
        <v>31</v>
      </c>
      <c r="T3003" t="s">
        <v>40</v>
      </c>
      <c r="U3003">
        <v>24</v>
      </c>
      <c r="V3003">
        <v>4.5999999999999996</v>
      </c>
      <c r="W3003">
        <f>Table2[[#This Row],[Quantity]]*Table2[[#This Row],[Item_Price]]</f>
        <v>672</v>
      </c>
    </row>
    <row r="3004" spans="1:23" x14ac:dyDescent="0.25">
      <c r="A3004" t="s">
        <v>3105</v>
      </c>
      <c r="B3004" s="1">
        <v>45875</v>
      </c>
      <c r="C3004" t="s">
        <v>3008</v>
      </c>
      <c r="D3004">
        <v>8</v>
      </c>
      <c r="E3004">
        <v>6</v>
      </c>
      <c r="F3004" t="s">
        <v>24</v>
      </c>
      <c r="G3004" t="s">
        <v>55</v>
      </c>
      <c r="H3004" t="s">
        <v>48</v>
      </c>
      <c r="I3004" t="s">
        <v>103</v>
      </c>
      <c r="J3004" t="s">
        <v>119</v>
      </c>
      <c r="K3004" t="s">
        <v>45</v>
      </c>
      <c r="L3004">
        <v>2</v>
      </c>
      <c r="M3004">
        <v>785</v>
      </c>
      <c r="N3004">
        <v>0</v>
      </c>
      <c r="O3004">
        <v>40</v>
      </c>
      <c r="P3004">
        <v>1570</v>
      </c>
      <c r="Q3004">
        <v>1610</v>
      </c>
      <c r="R3004" t="s">
        <v>39</v>
      </c>
      <c r="S3004" t="s">
        <v>46</v>
      </c>
      <c r="T3004" t="s">
        <v>32</v>
      </c>
      <c r="U3004">
        <v>47</v>
      </c>
      <c r="W3004">
        <f>Table2[[#This Row],[Quantity]]*Table2[[#This Row],[Item_Price]]</f>
        <v>1570</v>
      </c>
    </row>
    <row r="3005" spans="1:23" x14ac:dyDescent="0.25">
      <c r="A3005" t="s">
        <v>3106</v>
      </c>
      <c r="B3005" s="1">
        <v>45875</v>
      </c>
      <c r="C3005" t="s">
        <v>3008</v>
      </c>
      <c r="D3005">
        <v>8</v>
      </c>
      <c r="E3005">
        <v>6</v>
      </c>
      <c r="F3005" t="s">
        <v>24</v>
      </c>
      <c r="G3005" t="s">
        <v>115</v>
      </c>
      <c r="H3005" t="s">
        <v>81</v>
      </c>
      <c r="I3005" t="s">
        <v>97</v>
      </c>
      <c r="J3005" t="s">
        <v>66</v>
      </c>
      <c r="K3005" t="s">
        <v>38</v>
      </c>
      <c r="L3005">
        <v>1</v>
      </c>
      <c r="M3005">
        <v>794</v>
      </c>
      <c r="N3005">
        <v>79.400000000000006</v>
      </c>
      <c r="O3005">
        <v>50</v>
      </c>
      <c r="P3005">
        <v>794</v>
      </c>
      <c r="Q3005">
        <v>764.6</v>
      </c>
      <c r="R3005" t="s">
        <v>75</v>
      </c>
      <c r="S3005" t="s">
        <v>31</v>
      </c>
      <c r="T3005" t="s">
        <v>32</v>
      </c>
      <c r="U3005">
        <v>32</v>
      </c>
      <c r="V3005">
        <v>3.4</v>
      </c>
      <c r="W3005">
        <f>Table2[[#This Row],[Quantity]]*Table2[[#This Row],[Item_Price]]</f>
        <v>794</v>
      </c>
    </row>
    <row r="3006" spans="1:23" x14ac:dyDescent="0.25">
      <c r="A3006" t="s">
        <v>3107</v>
      </c>
      <c r="B3006" s="1">
        <v>45875</v>
      </c>
      <c r="C3006" t="s">
        <v>3008</v>
      </c>
      <c r="D3006">
        <v>8</v>
      </c>
      <c r="E3006">
        <v>6</v>
      </c>
      <c r="F3006" t="s">
        <v>24</v>
      </c>
      <c r="G3006" t="s">
        <v>34</v>
      </c>
      <c r="H3006" t="s">
        <v>77</v>
      </c>
      <c r="I3006" t="s">
        <v>43</v>
      </c>
      <c r="J3006" t="s">
        <v>119</v>
      </c>
      <c r="K3006" t="s">
        <v>38</v>
      </c>
      <c r="L3006">
        <v>3</v>
      </c>
      <c r="M3006">
        <v>142</v>
      </c>
      <c r="N3006">
        <v>7.1</v>
      </c>
      <c r="O3006">
        <v>60</v>
      </c>
      <c r="P3006">
        <v>426</v>
      </c>
      <c r="Q3006">
        <v>478.9</v>
      </c>
      <c r="R3006" t="s">
        <v>39</v>
      </c>
      <c r="S3006" t="s">
        <v>31</v>
      </c>
      <c r="T3006" t="s">
        <v>32</v>
      </c>
      <c r="U3006">
        <v>28</v>
      </c>
      <c r="V3006">
        <v>4.4000000000000004</v>
      </c>
      <c r="W3006">
        <f>Table2[[#This Row],[Quantity]]*Table2[[#This Row],[Item_Price]]</f>
        <v>426</v>
      </c>
    </row>
    <row r="3007" spans="1:23" x14ac:dyDescent="0.25">
      <c r="A3007" t="s">
        <v>3108</v>
      </c>
      <c r="B3007" s="1">
        <v>45875</v>
      </c>
      <c r="C3007" t="s">
        <v>3008</v>
      </c>
      <c r="D3007">
        <v>8</v>
      </c>
      <c r="E3007">
        <v>6</v>
      </c>
      <c r="F3007" t="s">
        <v>24</v>
      </c>
      <c r="G3007" t="s">
        <v>25</v>
      </c>
      <c r="H3007" t="s">
        <v>42</v>
      </c>
      <c r="I3007" t="s">
        <v>61</v>
      </c>
      <c r="J3007" t="s">
        <v>172</v>
      </c>
      <c r="K3007" t="s">
        <v>45</v>
      </c>
      <c r="L3007">
        <v>1</v>
      </c>
      <c r="M3007">
        <v>608</v>
      </c>
      <c r="N3007">
        <v>0</v>
      </c>
      <c r="O3007">
        <v>30</v>
      </c>
      <c r="P3007">
        <v>608</v>
      </c>
      <c r="Q3007">
        <v>638</v>
      </c>
      <c r="R3007" t="s">
        <v>75</v>
      </c>
      <c r="S3007" t="s">
        <v>31</v>
      </c>
      <c r="T3007" t="s">
        <v>40</v>
      </c>
      <c r="U3007">
        <v>61</v>
      </c>
      <c r="V3007">
        <v>4.9000000000000004</v>
      </c>
      <c r="W3007">
        <f>Table2[[#This Row],[Quantity]]*Table2[[#This Row],[Item_Price]]</f>
        <v>608</v>
      </c>
    </row>
    <row r="3008" spans="1:23" x14ac:dyDescent="0.25">
      <c r="A3008" t="s">
        <v>3109</v>
      </c>
      <c r="B3008" s="1">
        <v>45875</v>
      </c>
      <c r="C3008" t="s">
        <v>3008</v>
      </c>
      <c r="D3008">
        <v>8</v>
      </c>
      <c r="E3008">
        <v>6</v>
      </c>
      <c r="F3008" t="s">
        <v>24</v>
      </c>
      <c r="G3008" t="s">
        <v>64</v>
      </c>
      <c r="H3008" t="s">
        <v>108</v>
      </c>
      <c r="I3008" t="s">
        <v>57</v>
      </c>
      <c r="J3008" t="s">
        <v>94</v>
      </c>
      <c r="K3008" t="s">
        <v>29</v>
      </c>
      <c r="L3008">
        <v>1</v>
      </c>
      <c r="M3008">
        <v>658</v>
      </c>
      <c r="N3008">
        <v>98.7</v>
      </c>
      <c r="O3008">
        <v>60</v>
      </c>
      <c r="P3008">
        <v>658</v>
      </c>
      <c r="Q3008">
        <v>619.29999999999995</v>
      </c>
      <c r="R3008" t="s">
        <v>75</v>
      </c>
      <c r="S3008" t="s">
        <v>31</v>
      </c>
      <c r="T3008" t="s">
        <v>40</v>
      </c>
      <c r="U3008">
        <v>47</v>
      </c>
      <c r="V3008">
        <v>5</v>
      </c>
      <c r="W3008">
        <f>Table2[[#This Row],[Quantity]]*Table2[[#This Row],[Item_Price]]</f>
        <v>658</v>
      </c>
    </row>
    <row r="3009" spans="1:23" x14ac:dyDescent="0.25">
      <c r="A3009" t="s">
        <v>3110</v>
      </c>
      <c r="B3009" s="1">
        <v>45875</v>
      </c>
      <c r="C3009" t="s">
        <v>3008</v>
      </c>
      <c r="D3009">
        <v>8</v>
      </c>
      <c r="E3009">
        <v>6</v>
      </c>
      <c r="F3009" t="s">
        <v>24</v>
      </c>
      <c r="G3009" t="s">
        <v>34</v>
      </c>
      <c r="H3009" t="s">
        <v>48</v>
      </c>
      <c r="I3009" t="s">
        <v>85</v>
      </c>
      <c r="J3009" t="s">
        <v>94</v>
      </c>
      <c r="K3009" t="s">
        <v>38</v>
      </c>
      <c r="L3009">
        <v>2</v>
      </c>
      <c r="M3009">
        <v>746</v>
      </c>
      <c r="N3009">
        <v>74.599999999999994</v>
      </c>
      <c r="O3009">
        <v>20</v>
      </c>
      <c r="P3009">
        <v>1492</v>
      </c>
      <c r="Q3009">
        <v>1437.4</v>
      </c>
      <c r="R3009" t="s">
        <v>30</v>
      </c>
      <c r="S3009" t="s">
        <v>31</v>
      </c>
      <c r="T3009" t="s">
        <v>40</v>
      </c>
      <c r="U3009">
        <v>35</v>
      </c>
      <c r="V3009">
        <v>4.0999999999999996</v>
      </c>
      <c r="W3009">
        <f>Table2[[#This Row],[Quantity]]*Table2[[#This Row],[Item_Price]]</f>
        <v>1492</v>
      </c>
    </row>
    <row r="3010" spans="1:23" x14ac:dyDescent="0.25">
      <c r="A3010" t="s">
        <v>3111</v>
      </c>
      <c r="B3010" s="1">
        <v>45875</v>
      </c>
      <c r="C3010" t="s">
        <v>3008</v>
      </c>
      <c r="D3010">
        <v>8</v>
      </c>
      <c r="E3010">
        <v>6</v>
      </c>
      <c r="F3010" t="s">
        <v>24</v>
      </c>
      <c r="G3010" t="s">
        <v>34</v>
      </c>
      <c r="H3010" t="s">
        <v>48</v>
      </c>
      <c r="I3010" t="s">
        <v>61</v>
      </c>
      <c r="J3010" t="s">
        <v>50</v>
      </c>
      <c r="K3010" t="s">
        <v>38</v>
      </c>
      <c r="L3010">
        <v>3</v>
      </c>
      <c r="M3010">
        <v>157</v>
      </c>
      <c r="N3010">
        <v>23.55</v>
      </c>
      <c r="O3010">
        <v>60</v>
      </c>
      <c r="P3010">
        <v>471</v>
      </c>
      <c r="Q3010">
        <v>507.45</v>
      </c>
      <c r="R3010" t="s">
        <v>112</v>
      </c>
      <c r="S3010" t="s">
        <v>31</v>
      </c>
      <c r="T3010" t="s">
        <v>40</v>
      </c>
      <c r="U3010">
        <v>34</v>
      </c>
      <c r="V3010">
        <v>5</v>
      </c>
      <c r="W3010">
        <f>Table2[[#This Row],[Quantity]]*Table2[[#This Row],[Item_Price]]</f>
        <v>471</v>
      </c>
    </row>
    <row r="3011" spans="1:23" x14ac:dyDescent="0.25">
      <c r="A3011" t="s">
        <v>3112</v>
      </c>
      <c r="B3011" s="1">
        <v>45876</v>
      </c>
      <c r="C3011" t="s">
        <v>3008</v>
      </c>
      <c r="D3011">
        <v>8</v>
      </c>
      <c r="E3011">
        <v>7</v>
      </c>
      <c r="F3011" t="s">
        <v>88</v>
      </c>
      <c r="G3011" t="s">
        <v>80</v>
      </c>
      <c r="H3011" t="s">
        <v>77</v>
      </c>
      <c r="I3011" t="s">
        <v>97</v>
      </c>
      <c r="J3011" t="s">
        <v>74</v>
      </c>
      <c r="K3011" t="s">
        <v>45</v>
      </c>
      <c r="L3011">
        <v>2</v>
      </c>
      <c r="M3011">
        <v>716</v>
      </c>
      <c r="N3011">
        <v>0</v>
      </c>
      <c r="O3011">
        <v>20</v>
      </c>
      <c r="P3011">
        <v>1432</v>
      </c>
      <c r="Q3011">
        <v>1452</v>
      </c>
      <c r="R3011" t="s">
        <v>30</v>
      </c>
      <c r="S3011" t="s">
        <v>31</v>
      </c>
      <c r="T3011" t="s">
        <v>32</v>
      </c>
      <c r="U3011">
        <v>33</v>
      </c>
      <c r="V3011">
        <v>4.5</v>
      </c>
      <c r="W3011">
        <f>Table2[[#This Row],[Quantity]]*Table2[[#This Row],[Item_Price]]</f>
        <v>1432</v>
      </c>
    </row>
    <row r="3012" spans="1:23" x14ac:dyDescent="0.25">
      <c r="A3012" t="s">
        <v>3113</v>
      </c>
      <c r="B3012" s="1">
        <v>45876</v>
      </c>
      <c r="C3012" t="s">
        <v>3008</v>
      </c>
      <c r="D3012">
        <v>8</v>
      </c>
      <c r="E3012">
        <v>7</v>
      </c>
      <c r="F3012" t="s">
        <v>88</v>
      </c>
      <c r="G3012" t="s">
        <v>80</v>
      </c>
      <c r="H3012" t="s">
        <v>65</v>
      </c>
      <c r="I3012" t="s">
        <v>49</v>
      </c>
      <c r="J3012" t="s">
        <v>53</v>
      </c>
      <c r="K3012" t="s">
        <v>38</v>
      </c>
      <c r="L3012">
        <v>2</v>
      </c>
      <c r="M3012">
        <v>214</v>
      </c>
      <c r="N3012">
        <v>21.4</v>
      </c>
      <c r="O3012">
        <v>40</v>
      </c>
      <c r="P3012">
        <v>428</v>
      </c>
      <c r="Q3012">
        <v>446.6</v>
      </c>
      <c r="R3012" t="s">
        <v>75</v>
      </c>
      <c r="S3012" t="s">
        <v>31</v>
      </c>
      <c r="T3012" t="s">
        <v>32</v>
      </c>
      <c r="U3012">
        <v>43</v>
      </c>
      <c r="V3012">
        <v>4.3</v>
      </c>
      <c r="W3012">
        <f>Table2[[#This Row],[Quantity]]*Table2[[#This Row],[Item_Price]]</f>
        <v>428</v>
      </c>
    </row>
    <row r="3013" spans="1:23" x14ac:dyDescent="0.25">
      <c r="A3013" t="s">
        <v>3114</v>
      </c>
      <c r="B3013" s="1">
        <v>45876</v>
      </c>
      <c r="C3013" t="s">
        <v>3008</v>
      </c>
      <c r="D3013">
        <v>8</v>
      </c>
      <c r="E3013">
        <v>7</v>
      </c>
      <c r="F3013" t="s">
        <v>88</v>
      </c>
      <c r="G3013" t="s">
        <v>25</v>
      </c>
      <c r="H3013" t="s">
        <v>77</v>
      </c>
      <c r="I3013" t="s">
        <v>69</v>
      </c>
      <c r="J3013" t="s">
        <v>78</v>
      </c>
      <c r="K3013" t="s">
        <v>38</v>
      </c>
      <c r="L3013">
        <v>2</v>
      </c>
      <c r="M3013">
        <v>779</v>
      </c>
      <c r="N3013">
        <v>0</v>
      </c>
      <c r="O3013">
        <v>30</v>
      </c>
      <c r="P3013">
        <v>1558</v>
      </c>
      <c r="Q3013">
        <v>1588</v>
      </c>
      <c r="R3013" t="s">
        <v>75</v>
      </c>
      <c r="S3013" t="s">
        <v>31</v>
      </c>
      <c r="T3013" t="s">
        <v>40</v>
      </c>
      <c r="U3013">
        <v>55</v>
      </c>
      <c r="V3013">
        <v>3.7</v>
      </c>
      <c r="W3013">
        <f>Table2[[#This Row],[Quantity]]*Table2[[#This Row],[Item_Price]]</f>
        <v>1558</v>
      </c>
    </row>
    <row r="3014" spans="1:23" x14ac:dyDescent="0.25">
      <c r="A3014" t="s">
        <v>3115</v>
      </c>
      <c r="B3014" s="1">
        <v>45876</v>
      </c>
      <c r="C3014" t="s">
        <v>3008</v>
      </c>
      <c r="D3014">
        <v>8</v>
      </c>
      <c r="E3014">
        <v>7</v>
      </c>
      <c r="F3014" t="s">
        <v>88</v>
      </c>
      <c r="G3014" t="s">
        <v>115</v>
      </c>
      <c r="H3014" t="s">
        <v>81</v>
      </c>
      <c r="I3014" t="s">
        <v>69</v>
      </c>
      <c r="J3014" t="s">
        <v>82</v>
      </c>
      <c r="K3014" t="s">
        <v>38</v>
      </c>
      <c r="L3014">
        <v>1</v>
      </c>
      <c r="M3014">
        <v>795</v>
      </c>
      <c r="N3014">
        <v>79.5</v>
      </c>
      <c r="O3014">
        <v>0</v>
      </c>
      <c r="P3014">
        <v>795</v>
      </c>
      <c r="Q3014">
        <v>715.5</v>
      </c>
      <c r="R3014" t="s">
        <v>39</v>
      </c>
      <c r="S3014" t="s">
        <v>31</v>
      </c>
      <c r="T3014" t="s">
        <v>40</v>
      </c>
      <c r="U3014">
        <v>19</v>
      </c>
      <c r="V3014">
        <v>3.8</v>
      </c>
      <c r="W3014">
        <f>Table2[[#This Row],[Quantity]]*Table2[[#This Row],[Item_Price]]</f>
        <v>795</v>
      </c>
    </row>
    <row r="3015" spans="1:23" x14ac:dyDescent="0.25">
      <c r="A3015" t="s">
        <v>3116</v>
      </c>
      <c r="B3015" s="1">
        <v>45876</v>
      </c>
      <c r="C3015" t="s">
        <v>3008</v>
      </c>
      <c r="D3015">
        <v>8</v>
      </c>
      <c r="E3015">
        <v>7</v>
      </c>
      <c r="F3015" t="s">
        <v>88</v>
      </c>
      <c r="G3015" t="s">
        <v>34</v>
      </c>
      <c r="H3015" t="s">
        <v>52</v>
      </c>
      <c r="I3015" t="s">
        <v>27</v>
      </c>
      <c r="J3015" t="s">
        <v>53</v>
      </c>
      <c r="K3015" t="s">
        <v>38</v>
      </c>
      <c r="L3015">
        <v>2</v>
      </c>
      <c r="M3015">
        <v>697</v>
      </c>
      <c r="N3015">
        <v>34.85</v>
      </c>
      <c r="O3015">
        <v>50</v>
      </c>
      <c r="P3015">
        <v>1394</v>
      </c>
      <c r="Q3015">
        <v>1409.15</v>
      </c>
      <c r="R3015" t="s">
        <v>39</v>
      </c>
      <c r="S3015" t="s">
        <v>31</v>
      </c>
      <c r="T3015" t="s">
        <v>32</v>
      </c>
      <c r="U3015">
        <v>60</v>
      </c>
      <c r="V3015">
        <v>3.1</v>
      </c>
      <c r="W3015">
        <f>Table2[[#This Row],[Quantity]]*Table2[[#This Row],[Item_Price]]</f>
        <v>1394</v>
      </c>
    </row>
    <row r="3016" spans="1:23" x14ac:dyDescent="0.25">
      <c r="A3016" t="s">
        <v>3117</v>
      </c>
      <c r="B3016" s="1">
        <v>45876</v>
      </c>
      <c r="C3016" t="s">
        <v>3008</v>
      </c>
      <c r="D3016">
        <v>8</v>
      </c>
      <c r="E3016">
        <v>7</v>
      </c>
      <c r="F3016" t="s">
        <v>88</v>
      </c>
      <c r="G3016" t="s">
        <v>55</v>
      </c>
      <c r="H3016" t="s">
        <v>52</v>
      </c>
      <c r="I3016" t="s">
        <v>27</v>
      </c>
      <c r="J3016" t="s">
        <v>44</v>
      </c>
      <c r="K3016" t="s">
        <v>38</v>
      </c>
      <c r="L3016">
        <v>1</v>
      </c>
      <c r="M3016">
        <v>809</v>
      </c>
      <c r="N3016">
        <v>0</v>
      </c>
      <c r="O3016">
        <v>30</v>
      </c>
      <c r="P3016">
        <v>809</v>
      </c>
      <c r="Q3016">
        <v>839</v>
      </c>
      <c r="R3016" t="s">
        <v>39</v>
      </c>
      <c r="S3016" t="s">
        <v>31</v>
      </c>
      <c r="T3016" t="s">
        <v>40</v>
      </c>
      <c r="U3016">
        <v>56</v>
      </c>
      <c r="V3016">
        <v>3.3</v>
      </c>
      <c r="W3016">
        <f>Table2[[#This Row],[Quantity]]*Table2[[#This Row],[Item_Price]]</f>
        <v>809</v>
      </c>
    </row>
    <row r="3017" spans="1:23" x14ac:dyDescent="0.25">
      <c r="A3017" t="s">
        <v>3118</v>
      </c>
      <c r="B3017" s="1">
        <v>45876</v>
      </c>
      <c r="C3017" t="s">
        <v>3008</v>
      </c>
      <c r="D3017">
        <v>8</v>
      </c>
      <c r="E3017">
        <v>7</v>
      </c>
      <c r="F3017" t="s">
        <v>88</v>
      </c>
      <c r="G3017" t="s">
        <v>73</v>
      </c>
      <c r="H3017" t="s">
        <v>56</v>
      </c>
      <c r="I3017" t="s">
        <v>27</v>
      </c>
      <c r="J3017" t="s">
        <v>94</v>
      </c>
      <c r="K3017" t="s">
        <v>45</v>
      </c>
      <c r="L3017">
        <v>3</v>
      </c>
      <c r="M3017">
        <v>325</v>
      </c>
      <c r="N3017">
        <v>48.75</v>
      </c>
      <c r="O3017">
        <v>30</v>
      </c>
      <c r="P3017">
        <v>975</v>
      </c>
      <c r="Q3017">
        <v>956.25</v>
      </c>
      <c r="R3017" t="s">
        <v>30</v>
      </c>
      <c r="S3017" t="s">
        <v>31</v>
      </c>
      <c r="T3017" t="s">
        <v>40</v>
      </c>
      <c r="U3017">
        <v>56</v>
      </c>
      <c r="V3017">
        <v>5</v>
      </c>
      <c r="W3017">
        <f>Table2[[#This Row],[Quantity]]*Table2[[#This Row],[Item_Price]]</f>
        <v>975</v>
      </c>
    </row>
    <row r="3018" spans="1:23" x14ac:dyDescent="0.25">
      <c r="A3018" t="s">
        <v>3119</v>
      </c>
      <c r="B3018" s="1">
        <v>45876</v>
      </c>
      <c r="C3018" t="s">
        <v>3008</v>
      </c>
      <c r="D3018">
        <v>8</v>
      </c>
      <c r="E3018">
        <v>7</v>
      </c>
      <c r="F3018" t="s">
        <v>88</v>
      </c>
      <c r="G3018" t="s">
        <v>96</v>
      </c>
      <c r="H3018" t="s">
        <v>60</v>
      </c>
      <c r="I3018" t="s">
        <v>27</v>
      </c>
      <c r="J3018" t="s">
        <v>101</v>
      </c>
      <c r="K3018" t="s">
        <v>38</v>
      </c>
      <c r="L3018">
        <v>2</v>
      </c>
      <c r="M3018">
        <v>172</v>
      </c>
      <c r="N3018">
        <v>25.8</v>
      </c>
      <c r="O3018">
        <v>50</v>
      </c>
      <c r="P3018">
        <v>344</v>
      </c>
      <c r="Q3018">
        <v>368.2</v>
      </c>
      <c r="R3018" t="s">
        <v>98</v>
      </c>
      <c r="S3018" t="s">
        <v>31</v>
      </c>
      <c r="T3018" t="s">
        <v>40</v>
      </c>
      <c r="U3018">
        <v>63</v>
      </c>
      <c r="V3018">
        <v>4.2</v>
      </c>
      <c r="W3018">
        <f>Table2[[#This Row],[Quantity]]*Table2[[#This Row],[Item_Price]]</f>
        <v>344</v>
      </c>
    </row>
    <row r="3019" spans="1:23" x14ac:dyDescent="0.25">
      <c r="A3019" t="s">
        <v>3120</v>
      </c>
      <c r="B3019" s="1">
        <v>45877</v>
      </c>
      <c r="C3019" t="s">
        <v>3008</v>
      </c>
      <c r="D3019">
        <v>8</v>
      </c>
      <c r="E3019">
        <v>8</v>
      </c>
      <c r="F3019" t="s">
        <v>114</v>
      </c>
      <c r="G3019" t="s">
        <v>115</v>
      </c>
      <c r="H3019" t="s">
        <v>105</v>
      </c>
      <c r="I3019" t="s">
        <v>49</v>
      </c>
      <c r="J3019" t="s">
        <v>37</v>
      </c>
      <c r="K3019" t="s">
        <v>38</v>
      </c>
      <c r="L3019">
        <v>1</v>
      </c>
      <c r="M3019">
        <v>856</v>
      </c>
      <c r="N3019">
        <v>214</v>
      </c>
      <c r="O3019">
        <v>20</v>
      </c>
      <c r="P3019">
        <v>856</v>
      </c>
      <c r="Q3019">
        <v>662</v>
      </c>
      <c r="R3019" t="s">
        <v>39</v>
      </c>
      <c r="S3019" t="s">
        <v>31</v>
      </c>
      <c r="T3019" t="s">
        <v>40</v>
      </c>
      <c r="U3019">
        <v>57</v>
      </c>
      <c r="V3019">
        <v>4.4000000000000004</v>
      </c>
      <c r="W3019">
        <f>Table2[[#This Row],[Quantity]]*Table2[[#This Row],[Item_Price]]</f>
        <v>856</v>
      </c>
    </row>
    <row r="3020" spans="1:23" x14ac:dyDescent="0.25">
      <c r="A3020" t="s">
        <v>3121</v>
      </c>
      <c r="B3020" s="1">
        <v>45877</v>
      </c>
      <c r="C3020" t="s">
        <v>3008</v>
      </c>
      <c r="D3020">
        <v>8</v>
      </c>
      <c r="E3020">
        <v>8</v>
      </c>
      <c r="F3020" t="s">
        <v>114</v>
      </c>
      <c r="G3020" t="s">
        <v>80</v>
      </c>
      <c r="H3020" t="s">
        <v>35</v>
      </c>
      <c r="I3020" t="s">
        <v>61</v>
      </c>
      <c r="J3020" t="s">
        <v>62</v>
      </c>
      <c r="K3020" t="s">
        <v>29</v>
      </c>
      <c r="L3020">
        <v>1</v>
      </c>
      <c r="M3020">
        <v>463</v>
      </c>
      <c r="N3020">
        <v>0</v>
      </c>
      <c r="O3020">
        <v>20</v>
      </c>
      <c r="P3020">
        <v>463</v>
      </c>
      <c r="Q3020">
        <v>483</v>
      </c>
      <c r="R3020" t="s">
        <v>39</v>
      </c>
      <c r="S3020" t="s">
        <v>31</v>
      </c>
      <c r="T3020" t="s">
        <v>32</v>
      </c>
      <c r="U3020">
        <v>51</v>
      </c>
      <c r="V3020">
        <v>3.3</v>
      </c>
      <c r="W3020">
        <f>Table2[[#This Row],[Quantity]]*Table2[[#This Row],[Item_Price]]</f>
        <v>463</v>
      </c>
    </row>
    <row r="3021" spans="1:23" x14ac:dyDescent="0.25">
      <c r="A3021" t="s">
        <v>3122</v>
      </c>
      <c r="B3021" s="1">
        <v>45877</v>
      </c>
      <c r="C3021" t="s">
        <v>3008</v>
      </c>
      <c r="D3021">
        <v>8</v>
      </c>
      <c r="E3021">
        <v>8</v>
      </c>
      <c r="F3021" t="s">
        <v>114</v>
      </c>
      <c r="G3021" t="s">
        <v>115</v>
      </c>
      <c r="H3021" t="s">
        <v>77</v>
      </c>
      <c r="I3021" t="s">
        <v>49</v>
      </c>
      <c r="J3021" t="s">
        <v>172</v>
      </c>
      <c r="K3021" t="s">
        <v>38</v>
      </c>
      <c r="L3021">
        <v>3</v>
      </c>
      <c r="M3021">
        <v>752</v>
      </c>
      <c r="N3021">
        <v>112.8</v>
      </c>
      <c r="O3021">
        <v>50</v>
      </c>
      <c r="P3021">
        <v>2256</v>
      </c>
      <c r="Q3021">
        <v>2193.1999999999998</v>
      </c>
      <c r="R3021" t="s">
        <v>75</v>
      </c>
      <c r="S3021" t="s">
        <v>31</v>
      </c>
      <c r="T3021" t="s">
        <v>40</v>
      </c>
      <c r="U3021">
        <v>30</v>
      </c>
      <c r="V3021">
        <v>5</v>
      </c>
      <c r="W3021">
        <f>Table2[[#This Row],[Quantity]]*Table2[[#This Row],[Item_Price]]</f>
        <v>2256</v>
      </c>
    </row>
    <row r="3022" spans="1:23" x14ac:dyDescent="0.25">
      <c r="A3022" t="s">
        <v>3123</v>
      </c>
      <c r="B3022" s="1">
        <v>45877</v>
      </c>
      <c r="C3022" t="s">
        <v>3008</v>
      </c>
      <c r="D3022">
        <v>8</v>
      </c>
      <c r="E3022">
        <v>8</v>
      </c>
      <c r="F3022" t="s">
        <v>114</v>
      </c>
      <c r="G3022" t="s">
        <v>34</v>
      </c>
      <c r="H3022" t="s">
        <v>42</v>
      </c>
      <c r="I3022" t="s">
        <v>43</v>
      </c>
      <c r="J3022" t="s">
        <v>28</v>
      </c>
      <c r="K3022" t="s">
        <v>38</v>
      </c>
      <c r="L3022">
        <v>2</v>
      </c>
      <c r="M3022">
        <v>471</v>
      </c>
      <c r="N3022">
        <v>0</v>
      </c>
      <c r="O3022">
        <v>0</v>
      </c>
      <c r="P3022">
        <v>942</v>
      </c>
      <c r="Q3022">
        <v>942</v>
      </c>
      <c r="R3022" t="s">
        <v>39</v>
      </c>
      <c r="S3022" t="s">
        <v>31</v>
      </c>
      <c r="T3022" t="s">
        <v>32</v>
      </c>
      <c r="U3022">
        <v>46</v>
      </c>
      <c r="V3022">
        <v>3.5</v>
      </c>
      <c r="W3022">
        <f>Table2[[#This Row],[Quantity]]*Table2[[#This Row],[Item_Price]]</f>
        <v>942</v>
      </c>
    </row>
    <row r="3023" spans="1:23" x14ac:dyDescent="0.25">
      <c r="A3023" t="s">
        <v>3124</v>
      </c>
      <c r="B3023" s="1">
        <v>45877</v>
      </c>
      <c r="C3023" t="s">
        <v>3008</v>
      </c>
      <c r="D3023">
        <v>8</v>
      </c>
      <c r="E3023">
        <v>8</v>
      </c>
      <c r="F3023" t="s">
        <v>114</v>
      </c>
      <c r="G3023" t="s">
        <v>84</v>
      </c>
      <c r="H3023" t="s">
        <v>35</v>
      </c>
      <c r="I3023" t="s">
        <v>36</v>
      </c>
      <c r="J3023" t="s">
        <v>50</v>
      </c>
      <c r="K3023" t="s">
        <v>38</v>
      </c>
      <c r="L3023">
        <v>1</v>
      </c>
      <c r="M3023">
        <v>138</v>
      </c>
      <c r="N3023">
        <v>20.7</v>
      </c>
      <c r="O3023">
        <v>50</v>
      </c>
      <c r="P3023">
        <v>138</v>
      </c>
      <c r="Q3023">
        <v>167.3</v>
      </c>
      <c r="R3023" t="s">
        <v>30</v>
      </c>
      <c r="S3023" t="s">
        <v>31</v>
      </c>
      <c r="T3023" t="s">
        <v>32</v>
      </c>
      <c r="U3023">
        <v>65</v>
      </c>
      <c r="V3023">
        <v>4.5</v>
      </c>
      <c r="W3023">
        <f>Table2[[#This Row],[Quantity]]*Table2[[#This Row],[Item_Price]]</f>
        <v>138</v>
      </c>
    </row>
    <row r="3024" spans="1:23" x14ac:dyDescent="0.25">
      <c r="A3024" t="s">
        <v>3125</v>
      </c>
      <c r="B3024" s="1">
        <v>45877</v>
      </c>
      <c r="C3024" t="s">
        <v>3008</v>
      </c>
      <c r="D3024">
        <v>8</v>
      </c>
      <c r="E3024">
        <v>8</v>
      </c>
      <c r="F3024" t="s">
        <v>114</v>
      </c>
      <c r="G3024" t="s">
        <v>80</v>
      </c>
      <c r="H3024" t="s">
        <v>68</v>
      </c>
      <c r="I3024" t="s">
        <v>36</v>
      </c>
      <c r="J3024" t="s">
        <v>44</v>
      </c>
      <c r="K3024" t="s">
        <v>45</v>
      </c>
      <c r="L3024">
        <v>2</v>
      </c>
      <c r="M3024">
        <v>717</v>
      </c>
      <c r="N3024">
        <v>71.7</v>
      </c>
      <c r="O3024">
        <v>20</v>
      </c>
      <c r="P3024">
        <v>1434</v>
      </c>
      <c r="Q3024">
        <v>1382.3</v>
      </c>
      <c r="R3024" t="s">
        <v>39</v>
      </c>
      <c r="S3024" t="s">
        <v>31</v>
      </c>
      <c r="T3024" t="s">
        <v>40</v>
      </c>
      <c r="U3024">
        <v>20</v>
      </c>
      <c r="V3024">
        <v>5</v>
      </c>
      <c r="W3024">
        <f>Table2[[#This Row],[Quantity]]*Table2[[#This Row],[Item_Price]]</f>
        <v>1434</v>
      </c>
    </row>
    <row r="3025" spans="1:23" x14ac:dyDescent="0.25">
      <c r="A3025" t="s">
        <v>3126</v>
      </c>
      <c r="B3025" s="1">
        <v>45877</v>
      </c>
      <c r="C3025" t="s">
        <v>3008</v>
      </c>
      <c r="D3025">
        <v>8</v>
      </c>
      <c r="E3025">
        <v>8</v>
      </c>
      <c r="F3025" t="s">
        <v>114</v>
      </c>
      <c r="G3025" t="s">
        <v>34</v>
      </c>
      <c r="H3025" t="s">
        <v>108</v>
      </c>
      <c r="I3025" t="s">
        <v>85</v>
      </c>
      <c r="J3025" t="s">
        <v>28</v>
      </c>
      <c r="K3025" t="s">
        <v>45</v>
      </c>
      <c r="L3025">
        <v>2</v>
      </c>
      <c r="M3025">
        <v>161</v>
      </c>
      <c r="N3025">
        <v>24.15</v>
      </c>
      <c r="O3025">
        <v>70</v>
      </c>
      <c r="P3025">
        <v>322</v>
      </c>
      <c r="Q3025">
        <v>367.85</v>
      </c>
      <c r="R3025" t="s">
        <v>75</v>
      </c>
      <c r="S3025" t="s">
        <v>31</v>
      </c>
      <c r="T3025" t="s">
        <v>32</v>
      </c>
      <c r="U3025">
        <v>48</v>
      </c>
      <c r="V3025">
        <v>4.7</v>
      </c>
      <c r="W3025">
        <f>Table2[[#This Row],[Quantity]]*Table2[[#This Row],[Item_Price]]</f>
        <v>322</v>
      </c>
    </row>
    <row r="3026" spans="1:23" x14ac:dyDescent="0.25">
      <c r="A3026" t="s">
        <v>3127</v>
      </c>
      <c r="B3026" s="1">
        <v>45877</v>
      </c>
      <c r="C3026" t="s">
        <v>3008</v>
      </c>
      <c r="D3026">
        <v>8</v>
      </c>
      <c r="E3026">
        <v>8</v>
      </c>
      <c r="F3026" t="s">
        <v>114</v>
      </c>
      <c r="G3026" t="s">
        <v>80</v>
      </c>
      <c r="H3026" t="s">
        <v>35</v>
      </c>
      <c r="I3026" t="s">
        <v>61</v>
      </c>
      <c r="J3026" t="s">
        <v>74</v>
      </c>
      <c r="K3026" t="s">
        <v>45</v>
      </c>
      <c r="L3026">
        <v>2</v>
      </c>
      <c r="M3026">
        <v>393</v>
      </c>
      <c r="N3026">
        <v>78.599999999999994</v>
      </c>
      <c r="O3026">
        <v>20</v>
      </c>
      <c r="P3026">
        <v>786</v>
      </c>
      <c r="Q3026">
        <v>727.4</v>
      </c>
      <c r="R3026" t="s">
        <v>75</v>
      </c>
      <c r="S3026" t="s">
        <v>31</v>
      </c>
      <c r="T3026" t="s">
        <v>40</v>
      </c>
      <c r="U3026">
        <v>35</v>
      </c>
      <c r="V3026">
        <v>3.5</v>
      </c>
      <c r="W3026">
        <f>Table2[[#This Row],[Quantity]]*Table2[[#This Row],[Item_Price]]</f>
        <v>786</v>
      </c>
    </row>
    <row r="3027" spans="1:23" x14ac:dyDescent="0.25">
      <c r="A3027" t="s">
        <v>3128</v>
      </c>
      <c r="B3027" s="1">
        <v>45877</v>
      </c>
      <c r="C3027" t="s">
        <v>3008</v>
      </c>
      <c r="D3027">
        <v>8</v>
      </c>
      <c r="E3027">
        <v>8</v>
      </c>
      <c r="F3027" t="s">
        <v>114</v>
      </c>
      <c r="G3027" t="s">
        <v>64</v>
      </c>
      <c r="H3027" t="s">
        <v>48</v>
      </c>
      <c r="I3027" t="s">
        <v>36</v>
      </c>
      <c r="J3027" t="s">
        <v>94</v>
      </c>
      <c r="K3027" t="s">
        <v>45</v>
      </c>
      <c r="L3027">
        <v>2</v>
      </c>
      <c r="M3027">
        <v>318</v>
      </c>
      <c r="N3027">
        <v>47.7</v>
      </c>
      <c r="O3027">
        <v>30</v>
      </c>
      <c r="P3027">
        <v>636</v>
      </c>
      <c r="Q3027">
        <v>618.29999999999995</v>
      </c>
      <c r="R3027" t="s">
        <v>39</v>
      </c>
      <c r="S3027" t="s">
        <v>31</v>
      </c>
      <c r="T3027" t="s">
        <v>32</v>
      </c>
      <c r="U3027">
        <v>34</v>
      </c>
      <c r="V3027">
        <v>3.8</v>
      </c>
      <c r="W3027">
        <f>Table2[[#This Row],[Quantity]]*Table2[[#This Row],[Item_Price]]</f>
        <v>636</v>
      </c>
    </row>
    <row r="3028" spans="1:23" x14ac:dyDescent="0.25">
      <c r="A3028" t="s">
        <v>3129</v>
      </c>
      <c r="B3028" s="1">
        <v>45877</v>
      </c>
      <c r="C3028" t="s">
        <v>3008</v>
      </c>
      <c r="D3028">
        <v>8</v>
      </c>
      <c r="E3028">
        <v>8</v>
      </c>
      <c r="F3028" t="s">
        <v>114</v>
      </c>
      <c r="G3028" t="s">
        <v>34</v>
      </c>
      <c r="H3028" t="s">
        <v>105</v>
      </c>
      <c r="I3028" t="s">
        <v>36</v>
      </c>
      <c r="J3028" t="s">
        <v>28</v>
      </c>
      <c r="K3028" t="s">
        <v>38</v>
      </c>
      <c r="L3028">
        <v>1</v>
      </c>
      <c r="M3028">
        <v>460</v>
      </c>
      <c r="N3028">
        <v>69</v>
      </c>
      <c r="O3028">
        <v>30</v>
      </c>
      <c r="P3028">
        <v>460</v>
      </c>
      <c r="Q3028">
        <v>421</v>
      </c>
      <c r="R3028" t="s">
        <v>39</v>
      </c>
      <c r="S3028" t="s">
        <v>31</v>
      </c>
      <c r="T3028" t="s">
        <v>40</v>
      </c>
      <c r="U3028">
        <v>61</v>
      </c>
      <c r="V3028">
        <v>2.5</v>
      </c>
      <c r="W3028">
        <f>Table2[[#This Row],[Quantity]]*Table2[[#This Row],[Item_Price]]</f>
        <v>460</v>
      </c>
    </row>
    <row r="3029" spans="1:23" x14ac:dyDescent="0.25">
      <c r="A3029" t="s">
        <v>3130</v>
      </c>
      <c r="B3029" s="1">
        <v>45877</v>
      </c>
      <c r="C3029" t="s">
        <v>3008</v>
      </c>
      <c r="D3029">
        <v>8</v>
      </c>
      <c r="E3029">
        <v>8</v>
      </c>
      <c r="F3029" t="s">
        <v>114</v>
      </c>
      <c r="G3029" t="s">
        <v>64</v>
      </c>
      <c r="H3029" t="s">
        <v>35</v>
      </c>
      <c r="I3029" t="s">
        <v>57</v>
      </c>
      <c r="J3029" t="s">
        <v>123</v>
      </c>
      <c r="K3029" t="s">
        <v>45</v>
      </c>
      <c r="L3029">
        <v>1</v>
      </c>
      <c r="M3029">
        <v>767</v>
      </c>
      <c r="N3029">
        <v>153.4</v>
      </c>
      <c r="O3029">
        <v>40</v>
      </c>
      <c r="P3029">
        <v>767</v>
      </c>
      <c r="Q3029">
        <v>653.6</v>
      </c>
      <c r="R3029" t="s">
        <v>39</v>
      </c>
      <c r="S3029" t="s">
        <v>91</v>
      </c>
      <c r="T3029" t="s">
        <v>32</v>
      </c>
      <c r="U3029">
        <v>58</v>
      </c>
      <c r="W3029">
        <f>Table2[[#This Row],[Quantity]]*Table2[[#This Row],[Item_Price]]</f>
        <v>767</v>
      </c>
    </row>
    <row r="3030" spans="1:23" x14ac:dyDescent="0.25">
      <c r="A3030" t="s">
        <v>3131</v>
      </c>
      <c r="B3030" s="1">
        <v>45877</v>
      </c>
      <c r="C3030" t="s">
        <v>3008</v>
      </c>
      <c r="D3030">
        <v>8</v>
      </c>
      <c r="E3030">
        <v>8</v>
      </c>
      <c r="F3030" t="s">
        <v>114</v>
      </c>
      <c r="G3030" t="s">
        <v>90</v>
      </c>
      <c r="H3030" t="s">
        <v>65</v>
      </c>
      <c r="I3030" t="s">
        <v>36</v>
      </c>
      <c r="J3030" t="s">
        <v>28</v>
      </c>
      <c r="K3030" t="s">
        <v>38</v>
      </c>
      <c r="L3030">
        <v>1</v>
      </c>
      <c r="M3030">
        <v>171</v>
      </c>
      <c r="N3030">
        <v>34.200000000000003</v>
      </c>
      <c r="O3030">
        <v>50</v>
      </c>
      <c r="P3030">
        <v>171</v>
      </c>
      <c r="Q3030">
        <v>186.8</v>
      </c>
      <c r="R3030" t="s">
        <v>75</v>
      </c>
      <c r="S3030" t="s">
        <v>31</v>
      </c>
      <c r="T3030" t="s">
        <v>32</v>
      </c>
      <c r="U3030">
        <v>29</v>
      </c>
      <c r="V3030">
        <v>4.3</v>
      </c>
      <c r="W3030">
        <f>Table2[[#This Row],[Quantity]]*Table2[[#This Row],[Item_Price]]</f>
        <v>171</v>
      </c>
    </row>
    <row r="3031" spans="1:23" x14ac:dyDescent="0.25">
      <c r="A3031" t="s">
        <v>3132</v>
      </c>
      <c r="B3031" s="1">
        <v>45877</v>
      </c>
      <c r="C3031" t="s">
        <v>3008</v>
      </c>
      <c r="D3031">
        <v>8</v>
      </c>
      <c r="E3031">
        <v>8</v>
      </c>
      <c r="F3031" t="s">
        <v>114</v>
      </c>
      <c r="G3031" t="s">
        <v>64</v>
      </c>
      <c r="H3031" t="s">
        <v>135</v>
      </c>
      <c r="I3031" t="s">
        <v>69</v>
      </c>
      <c r="J3031" t="s">
        <v>70</v>
      </c>
      <c r="K3031" t="s">
        <v>38</v>
      </c>
      <c r="L3031">
        <v>2</v>
      </c>
      <c r="M3031">
        <v>283</v>
      </c>
      <c r="N3031">
        <v>28.3</v>
      </c>
      <c r="O3031">
        <v>20</v>
      </c>
      <c r="P3031">
        <v>566</v>
      </c>
      <c r="Q3031">
        <v>557.70000000000005</v>
      </c>
      <c r="R3031" t="s">
        <v>30</v>
      </c>
      <c r="S3031" t="s">
        <v>31</v>
      </c>
      <c r="T3031" t="s">
        <v>32</v>
      </c>
      <c r="U3031">
        <v>43</v>
      </c>
      <c r="V3031">
        <v>4.5999999999999996</v>
      </c>
      <c r="W3031">
        <f>Table2[[#This Row],[Quantity]]*Table2[[#This Row],[Item_Price]]</f>
        <v>566</v>
      </c>
    </row>
    <row r="3032" spans="1:23" x14ac:dyDescent="0.25">
      <c r="A3032" t="s">
        <v>3133</v>
      </c>
      <c r="B3032" s="1">
        <v>45877</v>
      </c>
      <c r="C3032" t="s">
        <v>3008</v>
      </c>
      <c r="D3032">
        <v>8</v>
      </c>
      <c r="E3032">
        <v>8</v>
      </c>
      <c r="F3032" t="s">
        <v>114</v>
      </c>
      <c r="G3032" t="s">
        <v>64</v>
      </c>
      <c r="H3032" t="s">
        <v>48</v>
      </c>
      <c r="I3032" t="s">
        <v>69</v>
      </c>
      <c r="J3032" t="s">
        <v>70</v>
      </c>
      <c r="K3032" t="s">
        <v>38</v>
      </c>
      <c r="L3032">
        <v>2</v>
      </c>
      <c r="M3032">
        <v>302</v>
      </c>
      <c r="N3032">
        <v>0</v>
      </c>
      <c r="O3032">
        <v>30</v>
      </c>
      <c r="P3032">
        <v>604</v>
      </c>
      <c r="Q3032">
        <v>634</v>
      </c>
      <c r="R3032" t="s">
        <v>30</v>
      </c>
      <c r="S3032" t="s">
        <v>110</v>
      </c>
      <c r="T3032" t="s">
        <v>40</v>
      </c>
      <c r="U3032">
        <v>64</v>
      </c>
      <c r="W3032">
        <f>Table2[[#This Row],[Quantity]]*Table2[[#This Row],[Item_Price]]</f>
        <v>604</v>
      </c>
    </row>
    <row r="3033" spans="1:23" x14ac:dyDescent="0.25">
      <c r="A3033" t="s">
        <v>3134</v>
      </c>
      <c r="B3033" s="1">
        <v>45877</v>
      </c>
      <c r="C3033" t="s">
        <v>3008</v>
      </c>
      <c r="D3033">
        <v>8</v>
      </c>
      <c r="E3033">
        <v>8</v>
      </c>
      <c r="F3033" t="s">
        <v>114</v>
      </c>
      <c r="G3033" t="s">
        <v>34</v>
      </c>
      <c r="H3033" t="s">
        <v>81</v>
      </c>
      <c r="I3033" t="s">
        <v>69</v>
      </c>
      <c r="J3033" t="s">
        <v>53</v>
      </c>
      <c r="K3033" t="s">
        <v>38</v>
      </c>
      <c r="L3033">
        <v>2</v>
      </c>
      <c r="M3033">
        <v>842</v>
      </c>
      <c r="N3033">
        <v>84.2</v>
      </c>
      <c r="O3033">
        <v>30</v>
      </c>
      <c r="P3033">
        <v>1684</v>
      </c>
      <c r="Q3033">
        <v>1629.8</v>
      </c>
      <c r="R3033" t="s">
        <v>39</v>
      </c>
      <c r="S3033" t="s">
        <v>31</v>
      </c>
      <c r="T3033" t="s">
        <v>40</v>
      </c>
      <c r="U3033">
        <v>64</v>
      </c>
      <c r="V3033">
        <v>3.9</v>
      </c>
      <c r="W3033">
        <f>Table2[[#This Row],[Quantity]]*Table2[[#This Row],[Item_Price]]</f>
        <v>1684</v>
      </c>
    </row>
    <row r="3034" spans="1:23" x14ac:dyDescent="0.25">
      <c r="A3034" t="s">
        <v>3135</v>
      </c>
      <c r="B3034" s="1">
        <v>45877</v>
      </c>
      <c r="C3034" t="s">
        <v>3008</v>
      </c>
      <c r="D3034">
        <v>8</v>
      </c>
      <c r="E3034">
        <v>8</v>
      </c>
      <c r="F3034" t="s">
        <v>114</v>
      </c>
      <c r="G3034" t="s">
        <v>73</v>
      </c>
      <c r="H3034" t="s">
        <v>81</v>
      </c>
      <c r="I3034" t="s">
        <v>57</v>
      </c>
      <c r="J3034" t="s">
        <v>119</v>
      </c>
      <c r="K3034" t="s">
        <v>38</v>
      </c>
      <c r="L3034">
        <v>1</v>
      </c>
      <c r="M3034">
        <v>121</v>
      </c>
      <c r="N3034">
        <v>24.2</v>
      </c>
      <c r="O3034">
        <v>20</v>
      </c>
      <c r="P3034">
        <v>121</v>
      </c>
      <c r="Q3034">
        <v>116.8</v>
      </c>
      <c r="R3034" t="s">
        <v>75</v>
      </c>
      <c r="S3034" t="s">
        <v>31</v>
      </c>
      <c r="T3034" t="s">
        <v>40</v>
      </c>
      <c r="U3034">
        <v>21</v>
      </c>
      <c r="V3034">
        <v>3.8</v>
      </c>
      <c r="W3034">
        <f>Table2[[#This Row],[Quantity]]*Table2[[#This Row],[Item_Price]]</f>
        <v>121</v>
      </c>
    </row>
    <row r="3035" spans="1:23" x14ac:dyDescent="0.25">
      <c r="A3035" t="s">
        <v>3136</v>
      </c>
      <c r="B3035" s="1">
        <v>45878</v>
      </c>
      <c r="C3035" t="s">
        <v>3008</v>
      </c>
      <c r="D3035">
        <v>8</v>
      </c>
      <c r="E3035">
        <v>9</v>
      </c>
      <c r="F3035" t="s">
        <v>134</v>
      </c>
      <c r="G3035" t="s">
        <v>73</v>
      </c>
      <c r="H3035" t="s">
        <v>65</v>
      </c>
      <c r="I3035" t="s">
        <v>27</v>
      </c>
      <c r="J3035" t="s">
        <v>123</v>
      </c>
      <c r="K3035" t="s">
        <v>38</v>
      </c>
      <c r="L3035">
        <v>1</v>
      </c>
      <c r="M3035">
        <v>514</v>
      </c>
      <c r="N3035">
        <v>51.4</v>
      </c>
      <c r="O3035">
        <v>50</v>
      </c>
      <c r="P3035">
        <v>514</v>
      </c>
      <c r="Q3035">
        <v>512.6</v>
      </c>
      <c r="R3035" t="s">
        <v>75</v>
      </c>
      <c r="S3035" t="s">
        <v>31</v>
      </c>
      <c r="T3035" t="s">
        <v>32</v>
      </c>
      <c r="U3035">
        <v>69</v>
      </c>
      <c r="V3035">
        <v>3.9</v>
      </c>
      <c r="W3035">
        <f>Table2[[#This Row],[Quantity]]*Table2[[#This Row],[Item_Price]]</f>
        <v>514</v>
      </c>
    </row>
    <row r="3036" spans="1:23" x14ac:dyDescent="0.25">
      <c r="A3036" t="s">
        <v>3137</v>
      </c>
      <c r="B3036" s="1">
        <v>45878</v>
      </c>
      <c r="C3036" t="s">
        <v>3008</v>
      </c>
      <c r="D3036">
        <v>8</v>
      </c>
      <c r="E3036">
        <v>9</v>
      </c>
      <c r="F3036" t="s">
        <v>134</v>
      </c>
      <c r="G3036" t="s">
        <v>80</v>
      </c>
      <c r="H3036" t="s">
        <v>48</v>
      </c>
      <c r="I3036" t="s">
        <v>27</v>
      </c>
      <c r="J3036" t="s">
        <v>82</v>
      </c>
      <c r="K3036" t="s">
        <v>38</v>
      </c>
      <c r="L3036">
        <v>1</v>
      </c>
      <c r="M3036">
        <v>420</v>
      </c>
      <c r="N3036">
        <v>0</v>
      </c>
      <c r="O3036">
        <v>30</v>
      </c>
      <c r="P3036">
        <v>420</v>
      </c>
      <c r="Q3036">
        <v>450</v>
      </c>
      <c r="R3036" t="s">
        <v>98</v>
      </c>
      <c r="S3036" t="s">
        <v>31</v>
      </c>
      <c r="T3036" t="s">
        <v>40</v>
      </c>
      <c r="U3036">
        <v>53</v>
      </c>
      <c r="V3036">
        <v>4</v>
      </c>
      <c r="W3036">
        <f>Table2[[#This Row],[Quantity]]*Table2[[#This Row],[Item_Price]]</f>
        <v>420</v>
      </c>
    </row>
    <row r="3037" spans="1:23" x14ac:dyDescent="0.25">
      <c r="A3037" t="s">
        <v>3138</v>
      </c>
      <c r="B3037" s="1">
        <v>45878</v>
      </c>
      <c r="C3037" t="s">
        <v>3008</v>
      </c>
      <c r="D3037">
        <v>8</v>
      </c>
      <c r="E3037">
        <v>9</v>
      </c>
      <c r="F3037" t="s">
        <v>134</v>
      </c>
      <c r="G3037" t="s">
        <v>34</v>
      </c>
      <c r="H3037" t="s">
        <v>35</v>
      </c>
      <c r="I3037" t="s">
        <v>27</v>
      </c>
      <c r="J3037" t="s">
        <v>66</v>
      </c>
      <c r="K3037" t="s">
        <v>45</v>
      </c>
      <c r="L3037">
        <v>1</v>
      </c>
      <c r="M3037">
        <v>409</v>
      </c>
      <c r="N3037">
        <v>61.35</v>
      </c>
      <c r="O3037">
        <v>0</v>
      </c>
      <c r="P3037">
        <v>409</v>
      </c>
      <c r="Q3037">
        <v>347.65</v>
      </c>
      <c r="R3037" t="s">
        <v>39</v>
      </c>
      <c r="S3037" t="s">
        <v>31</v>
      </c>
      <c r="T3037" t="s">
        <v>40</v>
      </c>
      <c r="U3037">
        <v>19</v>
      </c>
      <c r="V3037">
        <v>4.0999999999999996</v>
      </c>
      <c r="W3037">
        <f>Table2[[#This Row],[Quantity]]*Table2[[#This Row],[Item_Price]]</f>
        <v>409</v>
      </c>
    </row>
    <row r="3038" spans="1:23" x14ac:dyDescent="0.25">
      <c r="A3038" t="s">
        <v>3139</v>
      </c>
      <c r="B3038" s="1">
        <v>45878</v>
      </c>
      <c r="C3038" t="s">
        <v>3008</v>
      </c>
      <c r="D3038">
        <v>8</v>
      </c>
      <c r="E3038">
        <v>9</v>
      </c>
      <c r="F3038" t="s">
        <v>134</v>
      </c>
      <c r="G3038" t="s">
        <v>84</v>
      </c>
      <c r="H3038" t="s">
        <v>56</v>
      </c>
      <c r="I3038" t="s">
        <v>103</v>
      </c>
      <c r="J3038" t="s">
        <v>82</v>
      </c>
      <c r="K3038" t="s">
        <v>58</v>
      </c>
      <c r="L3038">
        <v>2</v>
      </c>
      <c r="M3038">
        <v>768</v>
      </c>
      <c r="N3038">
        <v>192</v>
      </c>
      <c r="O3038">
        <v>30</v>
      </c>
      <c r="P3038">
        <v>1536</v>
      </c>
      <c r="Q3038">
        <v>1374</v>
      </c>
      <c r="R3038" t="s">
        <v>98</v>
      </c>
      <c r="S3038" t="s">
        <v>31</v>
      </c>
      <c r="T3038" t="s">
        <v>32</v>
      </c>
      <c r="U3038">
        <v>28</v>
      </c>
      <c r="V3038">
        <v>3.8</v>
      </c>
      <c r="W3038">
        <f>Table2[[#This Row],[Quantity]]*Table2[[#This Row],[Item_Price]]</f>
        <v>1536</v>
      </c>
    </row>
    <row r="3039" spans="1:23" x14ac:dyDescent="0.25">
      <c r="A3039" t="s">
        <v>3140</v>
      </c>
      <c r="B3039" s="1">
        <v>45878</v>
      </c>
      <c r="C3039" t="s">
        <v>3008</v>
      </c>
      <c r="D3039">
        <v>8</v>
      </c>
      <c r="E3039">
        <v>9</v>
      </c>
      <c r="F3039" t="s">
        <v>134</v>
      </c>
      <c r="G3039" t="s">
        <v>64</v>
      </c>
      <c r="H3039" t="s">
        <v>26</v>
      </c>
      <c r="I3039" t="s">
        <v>36</v>
      </c>
      <c r="J3039" t="s">
        <v>74</v>
      </c>
      <c r="K3039" t="s">
        <v>38</v>
      </c>
      <c r="L3039">
        <v>2</v>
      </c>
      <c r="M3039">
        <v>439</v>
      </c>
      <c r="N3039">
        <v>65.849999999999994</v>
      </c>
      <c r="O3039">
        <v>20</v>
      </c>
      <c r="P3039">
        <v>878</v>
      </c>
      <c r="Q3039">
        <v>832.15</v>
      </c>
      <c r="R3039" t="s">
        <v>75</v>
      </c>
      <c r="S3039" t="s">
        <v>31</v>
      </c>
      <c r="T3039" t="s">
        <v>32</v>
      </c>
      <c r="U3039">
        <v>43</v>
      </c>
      <c r="V3039">
        <v>3.6</v>
      </c>
      <c r="W3039">
        <f>Table2[[#This Row],[Quantity]]*Table2[[#This Row],[Item_Price]]</f>
        <v>878</v>
      </c>
    </row>
    <row r="3040" spans="1:23" x14ac:dyDescent="0.25">
      <c r="A3040" t="s">
        <v>3141</v>
      </c>
      <c r="B3040" s="1">
        <v>45878</v>
      </c>
      <c r="C3040" t="s">
        <v>3008</v>
      </c>
      <c r="D3040">
        <v>8</v>
      </c>
      <c r="E3040">
        <v>9</v>
      </c>
      <c r="F3040" t="s">
        <v>134</v>
      </c>
      <c r="G3040" t="s">
        <v>96</v>
      </c>
      <c r="H3040" t="s">
        <v>68</v>
      </c>
      <c r="I3040" t="s">
        <v>49</v>
      </c>
      <c r="J3040" t="s">
        <v>50</v>
      </c>
      <c r="K3040" t="s">
        <v>45</v>
      </c>
      <c r="L3040">
        <v>1</v>
      </c>
      <c r="M3040">
        <v>478</v>
      </c>
      <c r="N3040">
        <v>71.7</v>
      </c>
      <c r="O3040">
        <v>50</v>
      </c>
      <c r="P3040">
        <v>478</v>
      </c>
      <c r="Q3040">
        <v>456.3</v>
      </c>
      <c r="R3040" t="s">
        <v>75</v>
      </c>
      <c r="S3040" t="s">
        <v>31</v>
      </c>
      <c r="T3040" t="s">
        <v>40</v>
      </c>
      <c r="U3040">
        <v>22</v>
      </c>
      <c r="V3040">
        <v>4.0999999999999996</v>
      </c>
      <c r="W3040">
        <f>Table2[[#This Row],[Quantity]]*Table2[[#This Row],[Item_Price]]</f>
        <v>478</v>
      </c>
    </row>
    <row r="3041" spans="1:23" x14ac:dyDescent="0.25">
      <c r="A3041" t="s">
        <v>3142</v>
      </c>
      <c r="B3041" s="1">
        <v>45878</v>
      </c>
      <c r="C3041" t="s">
        <v>3008</v>
      </c>
      <c r="D3041">
        <v>8</v>
      </c>
      <c r="E3041">
        <v>9</v>
      </c>
      <c r="F3041" t="s">
        <v>134</v>
      </c>
      <c r="G3041" t="s">
        <v>73</v>
      </c>
      <c r="H3041" t="s">
        <v>52</v>
      </c>
      <c r="I3041" t="s">
        <v>57</v>
      </c>
      <c r="J3041" t="s">
        <v>50</v>
      </c>
      <c r="K3041" t="s">
        <v>58</v>
      </c>
      <c r="L3041">
        <v>1</v>
      </c>
      <c r="M3041">
        <v>248</v>
      </c>
      <c r="N3041">
        <v>24.8</v>
      </c>
      <c r="O3041">
        <v>30</v>
      </c>
      <c r="P3041">
        <v>248</v>
      </c>
      <c r="Q3041">
        <v>253.2</v>
      </c>
      <c r="R3041" t="s">
        <v>30</v>
      </c>
      <c r="S3041" t="s">
        <v>91</v>
      </c>
      <c r="T3041" t="s">
        <v>40</v>
      </c>
      <c r="U3041">
        <v>65</v>
      </c>
      <c r="W3041">
        <f>Table2[[#This Row],[Quantity]]*Table2[[#This Row],[Item_Price]]</f>
        <v>248</v>
      </c>
    </row>
    <row r="3042" spans="1:23" x14ac:dyDescent="0.25">
      <c r="A3042" t="s">
        <v>3143</v>
      </c>
      <c r="B3042" s="1">
        <v>45878</v>
      </c>
      <c r="C3042" t="s">
        <v>3008</v>
      </c>
      <c r="D3042">
        <v>8</v>
      </c>
      <c r="E3042">
        <v>9</v>
      </c>
      <c r="F3042" t="s">
        <v>134</v>
      </c>
      <c r="G3042" t="s">
        <v>73</v>
      </c>
      <c r="H3042" t="s">
        <v>48</v>
      </c>
      <c r="I3042" t="s">
        <v>97</v>
      </c>
      <c r="J3042" t="s">
        <v>37</v>
      </c>
      <c r="K3042" t="s">
        <v>29</v>
      </c>
      <c r="L3042">
        <v>2</v>
      </c>
      <c r="M3042">
        <v>449</v>
      </c>
      <c r="N3042">
        <v>67.349999999999994</v>
      </c>
      <c r="O3042">
        <v>40</v>
      </c>
      <c r="P3042">
        <v>898</v>
      </c>
      <c r="Q3042">
        <v>870.65</v>
      </c>
      <c r="R3042" t="s">
        <v>75</v>
      </c>
      <c r="S3042" t="s">
        <v>46</v>
      </c>
      <c r="T3042" t="s">
        <v>40</v>
      </c>
      <c r="U3042">
        <v>39</v>
      </c>
      <c r="W3042">
        <f>Table2[[#This Row],[Quantity]]*Table2[[#This Row],[Item_Price]]</f>
        <v>898</v>
      </c>
    </row>
    <row r="3043" spans="1:23" x14ac:dyDescent="0.25">
      <c r="A3043" t="s">
        <v>3144</v>
      </c>
      <c r="B3043" s="1">
        <v>45878</v>
      </c>
      <c r="C3043" t="s">
        <v>3008</v>
      </c>
      <c r="D3043">
        <v>8</v>
      </c>
      <c r="E3043">
        <v>9</v>
      </c>
      <c r="F3043" t="s">
        <v>134</v>
      </c>
      <c r="G3043" t="s">
        <v>64</v>
      </c>
      <c r="H3043" t="s">
        <v>105</v>
      </c>
      <c r="I3043" t="s">
        <v>36</v>
      </c>
      <c r="J3043" t="s">
        <v>28</v>
      </c>
      <c r="K3043" t="s">
        <v>38</v>
      </c>
      <c r="L3043">
        <v>2</v>
      </c>
      <c r="M3043">
        <v>300</v>
      </c>
      <c r="N3043">
        <v>0</v>
      </c>
      <c r="O3043">
        <v>40</v>
      </c>
      <c r="P3043">
        <v>600</v>
      </c>
      <c r="Q3043">
        <v>640</v>
      </c>
      <c r="R3043" t="s">
        <v>39</v>
      </c>
      <c r="S3043" t="s">
        <v>91</v>
      </c>
      <c r="T3043" t="s">
        <v>32</v>
      </c>
      <c r="U3043">
        <v>42</v>
      </c>
      <c r="W3043">
        <f>Table2[[#This Row],[Quantity]]*Table2[[#This Row],[Item_Price]]</f>
        <v>600</v>
      </c>
    </row>
    <row r="3044" spans="1:23" x14ac:dyDescent="0.25">
      <c r="A3044" t="s">
        <v>3145</v>
      </c>
      <c r="B3044" s="1">
        <v>45878</v>
      </c>
      <c r="C3044" t="s">
        <v>3008</v>
      </c>
      <c r="D3044">
        <v>8</v>
      </c>
      <c r="E3044">
        <v>9</v>
      </c>
      <c r="F3044" t="s">
        <v>134</v>
      </c>
      <c r="G3044" t="s">
        <v>84</v>
      </c>
      <c r="H3044" t="s">
        <v>105</v>
      </c>
      <c r="I3044" t="s">
        <v>57</v>
      </c>
      <c r="J3044" t="s">
        <v>66</v>
      </c>
      <c r="K3044" t="s">
        <v>29</v>
      </c>
      <c r="L3044">
        <v>1</v>
      </c>
      <c r="M3044">
        <v>820</v>
      </c>
      <c r="N3044">
        <v>82</v>
      </c>
      <c r="O3044">
        <v>30</v>
      </c>
      <c r="P3044">
        <v>820</v>
      </c>
      <c r="Q3044">
        <v>768</v>
      </c>
      <c r="R3044" t="s">
        <v>39</v>
      </c>
      <c r="S3044" t="s">
        <v>31</v>
      </c>
      <c r="T3044" t="s">
        <v>40</v>
      </c>
      <c r="U3044">
        <v>65</v>
      </c>
      <c r="V3044">
        <v>4.3</v>
      </c>
      <c r="W3044">
        <f>Table2[[#This Row],[Quantity]]*Table2[[#This Row],[Item_Price]]</f>
        <v>820</v>
      </c>
    </row>
    <row r="3045" spans="1:23" x14ac:dyDescent="0.25">
      <c r="A3045" t="s">
        <v>3146</v>
      </c>
      <c r="B3045" s="1">
        <v>45878</v>
      </c>
      <c r="C3045" t="s">
        <v>3008</v>
      </c>
      <c r="D3045">
        <v>8</v>
      </c>
      <c r="E3045">
        <v>9</v>
      </c>
      <c r="F3045" t="s">
        <v>134</v>
      </c>
      <c r="G3045" t="s">
        <v>80</v>
      </c>
      <c r="H3045" t="s">
        <v>68</v>
      </c>
      <c r="I3045" t="s">
        <v>36</v>
      </c>
      <c r="J3045" t="s">
        <v>50</v>
      </c>
      <c r="K3045" t="s">
        <v>29</v>
      </c>
      <c r="L3045">
        <v>2</v>
      </c>
      <c r="M3045">
        <v>740</v>
      </c>
      <c r="N3045">
        <v>37</v>
      </c>
      <c r="O3045">
        <v>30</v>
      </c>
      <c r="P3045">
        <v>1480</v>
      </c>
      <c r="Q3045">
        <v>1473</v>
      </c>
      <c r="R3045" t="s">
        <v>39</v>
      </c>
      <c r="S3045" t="s">
        <v>31</v>
      </c>
      <c r="T3045" t="s">
        <v>32</v>
      </c>
      <c r="U3045">
        <v>50</v>
      </c>
      <c r="V3045">
        <v>3.8</v>
      </c>
      <c r="W3045">
        <f>Table2[[#This Row],[Quantity]]*Table2[[#This Row],[Item_Price]]</f>
        <v>1480</v>
      </c>
    </row>
    <row r="3046" spans="1:23" x14ac:dyDescent="0.25">
      <c r="A3046" t="s">
        <v>3147</v>
      </c>
      <c r="B3046" s="1">
        <v>45879</v>
      </c>
      <c r="C3046" t="s">
        <v>3008</v>
      </c>
      <c r="D3046">
        <v>8</v>
      </c>
      <c r="E3046">
        <v>10</v>
      </c>
      <c r="F3046" t="s">
        <v>149</v>
      </c>
      <c r="G3046" t="s">
        <v>25</v>
      </c>
      <c r="H3046" t="s">
        <v>77</v>
      </c>
      <c r="I3046" t="s">
        <v>43</v>
      </c>
      <c r="J3046" t="s">
        <v>37</v>
      </c>
      <c r="K3046" t="s">
        <v>38</v>
      </c>
      <c r="L3046">
        <v>2</v>
      </c>
      <c r="M3046">
        <v>353</v>
      </c>
      <c r="N3046">
        <v>70.599999999999994</v>
      </c>
      <c r="O3046">
        <v>50</v>
      </c>
      <c r="P3046">
        <v>706</v>
      </c>
      <c r="Q3046">
        <v>685.4</v>
      </c>
      <c r="R3046" t="s">
        <v>39</v>
      </c>
      <c r="S3046" t="s">
        <v>46</v>
      </c>
      <c r="T3046" t="s">
        <v>32</v>
      </c>
      <c r="U3046">
        <v>35</v>
      </c>
      <c r="W3046">
        <f>Table2[[#This Row],[Quantity]]*Table2[[#This Row],[Item_Price]]</f>
        <v>706</v>
      </c>
    </row>
    <row r="3047" spans="1:23" x14ac:dyDescent="0.25">
      <c r="A3047" t="s">
        <v>3148</v>
      </c>
      <c r="B3047" s="1">
        <v>45879</v>
      </c>
      <c r="C3047" t="s">
        <v>3008</v>
      </c>
      <c r="D3047">
        <v>8</v>
      </c>
      <c r="E3047">
        <v>10</v>
      </c>
      <c r="F3047" t="s">
        <v>149</v>
      </c>
      <c r="G3047" t="s">
        <v>34</v>
      </c>
      <c r="H3047" t="s">
        <v>52</v>
      </c>
      <c r="I3047" t="s">
        <v>43</v>
      </c>
      <c r="J3047" t="s">
        <v>70</v>
      </c>
      <c r="K3047" t="s">
        <v>29</v>
      </c>
      <c r="L3047">
        <v>1</v>
      </c>
      <c r="M3047">
        <v>273</v>
      </c>
      <c r="N3047">
        <v>54.6</v>
      </c>
      <c r="O3047">
        <v>40</v>
      </c>
      <c r="P3047">
        <v>273</v>
      </c>
      <c r="Q3047">
        <v>258.39999999999998</v>
      </c>
      <c r="R3047" t="s">
        <v>39</v>
      </c>
      <c r="S3047" t="s">
        <v>31</v>
      </c>
      <c r="T3047" t="s">
        <v>32</v>
      </c>
      <c r="U3047">
        <v>52</v>
      </c>
      <c r="V3047">
        <v>4</v>
      </c>
      <c r="W3047">
        <f>Table2[[#This Row],[Quantity]]*Table2[[#This Row],[Item_Price]]</f>
        <v>273</v>
      </c>
    </row>
    <row r="3048" spans="1:23" x14ac:dyDescent="0.25">
      <c r="A3048" t="s">
        <v>3149</v>
      </c>
      <c r="B3048" s="1">
        <v>45879</v>
      </c>
      <c r="C3048" t="s">
        <v>3008</v>
      </c>
      <c r="D3048">
        <v>8</v>
      </c>
      <c r="E3048">
        <v>10</v>
      </c>
      <c r="F3048" t="s">
        <v>149</v>
      </c>
      <c r="G3048" t="s">
        <v>115</v>
      </c>
      <c r="H3048" t="s">
        <v>105</v>
      </c>
      <c r="I3048" t="s">
        <v>69</v>
      </c>
      <c r="J3048" t="s">
        <v>53</v>
      </c>
      <c r="K3048" t="s">
        <v>38</v>
      </c>
      <c r="L3048">
        <v>3</v>
      </c>
      <c r="M3048">
        <v>297</v>
      </c>
      <c r="N3048">
        <v>44.55</v>
      </c>
      <c r="O3048">
        <v>50</v>
      </c>
      <c r="P3048">
        <v>891</v>
      </c>
      <c r="Q3048">
        <v>896.45</v>
      </c>
      <c r="R3048" t="s">
        <v>39</v>
      </c>
      <c r="S3048" t="s">
        <v>31</v>
      </c>
      <c r="T3048" t="s">
        <v>40</v>
      </c>
      <c r="U3048">
        <v>39</v>
      </c>
      <c r="V3048">
        <v>4.5999999999999996</v>
      </c>
      <c r="W3048">
        <f>Table2[[#This Row],[Quantity]]*Table2[[#This Row],[Item_Price]]</f>
        <v>891</v>
      </c>
    </row>
    <row r="3049" spans="1:23" x14ac:dyDescent="0.25">
      <c r="A3049" t="s">
        <v>3150</v>
      </c>
      <c r="B3049" s="1">
        <v>45879</v>
      </c>
      <c r="C3049" t="s">
        <v>3008</v>
      </c>
      <c r="D3049">
        <v>8</v>
      </c>
      <c r="E3049">
        <v>10</v>
      </c>
      <c r="F3049" t="s">
        <v>149</v>
      </c>
      <c r="G3049" t="s">
        <v>115</v>
      </c>
      <c r="H3049" t="s">
        <v>35</v>
      </c>
      <c r="I3049" t="s">
        <v>36</v>
      </c>
      <c r="J3049" t="s">
        <v>70</v>
      </c>
      <c r="K3049" t="s">
        <v>38</v>
      </c>
      <c r="L3049">
        <v>1</v>
      </c>
      <c r="M3049">
        <v>722</v>
      </c>
      <c r="N3049">
        <v>144.4</v>
      </c>
      <c r="O3049">
        <v>50</v>
      </c>
      <c r="P3049">
        <v>722</v>
      </c>
      <c r="Q3049">
        <v>627.6</v>
      </c>
      <c r="R3049" t="s">
        <v>39</v>
      </c>
      <c r="S3049" t="s">
        <v>31</v>
      </c>
      <c r="T3049" t="s">
        <v>40</v>
      </c>
      <c r="U3049">
        <v>21</v>
      </c>
      <c r="V3049">
        <v>3.4</v>
      </c>
      <c r="W3049">
        <f>Table2[[#This Row],[Quantity]]*Table2[[#This Row],[Item_Price]]</f>
        <v>722</v>
      </c>
    </row>
    <row r="3050" spans="1:23" x14ac:dyDescent="0.25">
      <c r="A3050" t="s">
        <v>3151</v>
      </c>
      <c r="B3050" s="1">
        <v>45879</v>
      </c>
      <c r="C3050" t="s">
        <v>3008</v>
      </c>
      <c r="D3050">
        <v>8</v>
      </c>
      <c r="E3050">
        <v>10</v>
      </c>
      <c r="F3050" t="s">
        <v>149</v>
      </c>
      <c r="G3050" t="s">
        <v>84</v>
      </c>
      <c r="H3050" t="s">
        <v>108</v>
      </c>
      <c r="I3050" t="s">
        <v>27</v>
      </c>
      <c r="J3050" t="s">
        <v>50</v>
      </c>
      <c r="K3050" t="s">
        <v>45</v>
      </c>
      <c r="L3050">
        <v>1</v>
      </c>
      <c r="M3050">
        <v>744</v>
      </c>
      <c r="N3050">
        <v>37.200000000000003</v>
      </c>
      <c r="O3050">
        <v>0</v>
      </c>
      <c r="P3050">
        <v>744</v>
      </c>
      <c r="Q3050">
        <v>706.8</v>
      </c>
      <c r="R3050" t="s">
        <v>112</v>
      </c>
      <c r="S3050" t="s">
        <v>31</v>
      </c>
      <c r="T3050" t="s">
        <v>40</v>
      </c>
      <c r="U3050">
        <v>69</v>
      </c>
      <c r="V3050">
        <v>3.4</v>
      </c>
      <c r="W3050">
        <f>Table2[[#This Row],[Quantity]]*Table2[[#This Row],[Item_Price]]</f>
        <v>744</v>
      </c>
    </row>
    <row r="3051" spans="1:23" x14ac:dyDescent="0.25">
      <c r="A3051" t="s">
        <v>3152</v>
      </c>
      <c r="B3051" s="1">
        <v>45879</v>
      </c>
      <c r="C3051" t="s">
        <v>3008</v>
      </c>
      <c r="D3051">
        <v>8</v>
      </c>
      <c r="E3051">
        <v>10</v>
      </c>
      <c r="F3051" t="s">
        <v>149</v>
      </c>
      <c r="G3051" t="s">
        <v>80</v>
      </c>
      <c r="H3051" t="s">
        <v>135</v>
      </c>
      <c r="I3051" t="s">
        <v>85</v>
      </c>
      <c r="J3051" t="s">
        <v>50</v>
      </c>
      <c r="K3051" t="s">
        <v>38</v>
      </c>
      <c r="L3051">
        <v>2</v>
      </c>
      <c r="M3051">
        <v>461</v>
      </c>
      <c r="N3051">
        <v>0</v>
      </c>
      <c r="O3051">
        <v>0</v>
      </c>
      <c r="P3051">
        <v>922</v>
      </c>
      <c r="Q3051">
        <v>922</v>
      </c>
      <c r="R3051" t="s">
        <v>39</v>
      </c>
      <c r="S3051" t="s">
        <v>31</v>
      </c>
      <c r="T3051" t="s">
        <v>40</v>
      </c>
      <c r="U3051">
        <v>68</v>
      </c>
      <c r="V3051">
        <v>3.8</v>
      </c>
      <c r="W3051">
        <f>Table2[[#This Row],[Quantity]]*Table2[[#This Row],[Item_Price]]</f>
        <v>922</v>
      </c>
    </row>
    <row r="3052" spans="1:23" x14ac:dyDescent="0.25">
      <c r="A3052" t="s">
        <v>3153</v>
      </c>
      <c r="B3052" s="1">
        <v>45879</v>
      </c>
      <c r="C3052" t="s">
        <v>3008</v>
      </c>
      <c r="D3052">
        <v>8</v>
      </c>
      <c r="E3052">
        <v>10</v>
      </c>
      <c r="F3052" t="s">
        <v>149</v>
      </c>
      <c r="G3052" t="s">
        <v>34</v>
      </c>
      <c r="H3052" t="s">
        <v>81</v>
      </c>
      <c r="I3052" t="s">
        <v>103</v>
      </c>
      <c r="J3052" t="s">
        <v>70</v>
      </c>
      <c r="K3052" t="s">
        <v>38</v>
      </c>
      <c r="L3052">
        <v>2</v>
      </c>
      <c r="M3052">
        <v>486</v>
      </c>
      <c r="N3052">
        <v>24.3</v>
      </c>
      <c r="O3052">
        <v>0</v>
      </c>
      <c r="P3052">
        <v>972</v>
      </c>
      <c r="Q3052">
        <v>947.7</v>
      </c>
      <c r="R3052" t="s">
        <v>39</v>
      </c>
      <c r="S3052" t="s">
        <v>31</v>
      </c>
      <c r="T3052" t="s">
        <v>32</v>
      </c>
      <c r="U3052">
        <v>60</v>
      </c>
      <c r="V3052">
        <v>4.4000000000000004</v>
      </c>
      <c r="W3052">
        <f>Table2[[#This Row],[Quantity]]*Table2[[#This Row],[Item_Price]]</f>
        <v>972</v>
      </c>
    </row>
    <row r="3053" spans="1:23" x14ac:dyDescent="0.25">
      <c r="A3053" t="s">
        <v>3154</v>
      </c>
      <c r="B3053" s="1">
        <v>45879</v>
      </c>
      <c r="C3053" t="s">
        <v>3008</v>
      </c>
      <c r="D3053">
        <v>8</v>
      </c>
      <c r="E3053">
        <v>10</v>
      </c>
      <c r="F3053" t="s">
        <v>149</v>
      </c>
      <c r="G3053" t="s">
        <v>73</v>
      </c>
      <c r="H3053" t="s">
        <v>105</v>
      </c>
      <c r="I3053" t="s">
        <v>57</v>
      </c>
      <c r="J3053" t="s">
        <v>94</v>
      </c>
      <c r="K3053" t="s">
        <v>38</v>
      </c>
      <c r="L3053">
        <v>2</v>
      </c>
      <c r="M3053">
        <v>842</v>
      </c>
      <c r="N3053">
        <v>168.4</v>
      </c>
      <c r="O3053">
        <v>30</v>
      </c>
      <c r="P3053">
        <v>1684</v>
      </c>
      <c r="Q3053">
        <v>1545.6</v>
      </c>
      <c r="R3053" t="s">
        <v>39</v>
      </c>
      <c r="S3053" t="s">
        <v>31</v>
      </c>
      <c r="T3053" t="s">
        <v>32</v>
      </c>
      <c r="U3053">
        <v>68</v>
      </c>
      <c r="V3053">
        <v>2.8</v>
      </c>
      <c r="W3053">
        <f>Table2[[#This Row],[Quantity]]*Table2[[#This Row],[Item_Price]]</f>
        <v>1684</v>
      </c>
    </row>
    <row r="3054" spans="1:23" x14ac:dyDescent="0.25">
      <c r="A3054" t="s">
        <v>3155</v>
      </c>
      <c r="B3054" s="1">
        <v>45879</v>
      </c>
      <c r="C3054" t="s">
        <v>3008</v>
      </c>
      <c r="D3054">
        <v>8</v>
      </c>
      <c r="E3054">
        <v>10</v>
      </c>
      <c r="F3054" t="s">
        <v>149</v>
      </c>
      <c r="G3054" t="s">
        <v>64</v>
      </c>
      <c r="H3054" t="s">
        <v>68</v>
      </c>
      <c r="I3054" t="s">
        <v>85</v>
      </c>
      <c r="J3054" t="s">
        <v>44</v>
      </c>
      <c r="K3054" t="s">
        <v>29</v>
      </c>
      <c r="L3054">
        <v>3</v>
      </c>
      <c r="M3054">
        <v>722</v>
      </c>
      <c r="N3054">
        <v>144.4</v>
      </c>
      <c r="O3054">
        <v>30</v>
      </c>
      <c r="P3054">
        <v>2166</v>
      </c>
      <c r="Q3054">
        <v>2051.6</v>
      </c>
      <c r="R3054" t="s">
        <v>75</v>
      </c>
      <c r="S3054" t="s">
        <v>31</v>
      </c>
      <c r="T3054" t="s">
        <v>40</v>
      </c>
      <c r="U3054">
        <v>61</v>
      </c>
      <c r="V3054">
        <v>4.7</v>
      </c>
      <c r="W3054">
        <f>Table2[[#This Row],[Quantity]]*Table2[[#This Row],[Item_Price]]</f>
        <v>2166</v>
      </c>
    </row>
    <row r="3055" spans="1:23" x14ac:dyDescent="0.25">
      <c r="A3055" t="s">
        <v>3156</v>
      </c>
      <c r="B3055" s="1">
        <v>45879</v>
      </c>
      <c r="C3055" t="s">
        <v>3008</v>
      </c>
      <c r="D3055">
        <v>8</v>
      </c>
      <c r="E3055">
        <v>10</v>
      </c>
      <c r="F3055" t="s">
        <v>149</v>
      </c>
      <c r="G3055" t="s">
        <v>25</v>
      </c>
      <c r="H3055" t="s">
        <v>48</v>
      </c>
      <c r="I3055" t="s">
        <v>43</v>
      </c>
      <c r="J3055" t="s">
        <v>50</v>
      </c>
      <c r="K3055" t="s">
        <v>29</v>
      </c>
      <c r="L3055">
        <v>3</v>
      </c>
      <c r="M3055">
        <v>412</v>
      </c>
      <c r="N3055">
        <v>41.2</v>
      </c>
      <c r="O3055">
        <v>50</v>
      </c>
      <c r="P3055">
        <v>1236</v>
      </c>
      <c r="Q3055">
        <v>1244.8</v>
      </c>
      <c r="R3055" t="s">
        <v>39</v>
      </c>
      <c r="S3055" t="s">
        <v>31</v>
      </c>
      <c r="T3055" t="s">
        <v>40</v>
      </c>
      <c r="U3055">
        <v>19</v>
      </c>
      <c r="V3055">
        <v>4.0999999999999996</v>
      </c>
      <c r="W3055">
        <f>Table2[[#This Row],[Quantity]]*Table2[[#This Row],[Item_Price]]</f>
        <v>1236</v>
      </c>
    </row>
    <row r="3056" spans="1:23" x14ac:dyDescent="0.25">
      <c r="A3056" t="s">
        <v>3157</v>
      </c>
      <c r="B3056" s="1">
        <v>45879</v>
      </c>
      <c r="C3056" t="s">
        <v>3008</v>
      </c>
      <c r="D3056">
        <v>8</v>
      </c>
      <c r="E3056">
        <v>10</v>
      </c>
      <c r="F3056" t="s">
        <v>149</v>
      </c>
      <c r="G3056" t="s">
        <v>84</v>
      </c>
      <c r="H3056" t="s">
        <v>65</v>
      </c>
      <c r="I3056" t="s">
        <v>69</v>
      </c>
      <c r="J3056" t="s">
        <v>28</v>
      </c>
      <c r="K3056" t="s">
        <v>38</v>
      </c>
      <c r="L3056">
        <v>2</v>
      </c>
      <c r="M3056">
        <v>707</v>
      </c>
      <c r="N3056">
        <v>70.7</v>
      </c>
      <c r="O3056">
        <v>50</v>
      </c>
      <c r="P3056">
        <v>1414</v>
      </c>
      <c r="Q3056">
        <v>1393.3</v>
      </c>
      <c r="R3056" t="s">
        <v>39</v>
      </c>
      <c r="S3056" t="s">
        <v>31</v>
      </c>
      <c r="T3056" t="s">
        <v>32</v>
      </c>
      <c r="U3056">
        <v>35</v>
      </c>
      <c r="V3056">
        <v>3.9</v>
      </c>
      <c r="W3056">
        <f>Table2[[#This Row],[Quantity]]*Table2[[#This Row],[Item_Price]]</f>
        <v>1414</v>
      </c>
    </row>
    <row r="3057" spans="1:23" x14ac:dyDescent="0.25">
      <c r="A3057" t="s">
        <v>3158</v>
      </c>
      <c r="B3057" s="1">
        <v>45879</v>
      </c>
      <c r="C3057" t="s">
        <v>3008</v>
      </c>
      <c r="D3057">
        <v>8</v>
      </c>
      <c r="E3057">
        <v>10</v>
      </c>
      <c r="F3057" t="s">
        <v>149</v>
      </c>
      <c r="G3057" t="s">
        <v>80</v>
      </c>
      <c r="H3057" t="s">
        <v>139</v>
      </c>
      <c r="I3057" t="s">
        <v>85</v>
      </c>
      <c r="J3057" t="s">
        <v>28</v>
      </c>
      <c r="K3057" t="s">
        <v>45</v>
      </c>
      <c r="L3057">
        <v>1</v>
      </c>
      <c r="M3057">
        <v>692</v>
      </c>
      <c r="N3057">
        <v>103.8</v>
      </c>
      <c r="O3057">
        <v>60</v>
      </c>
      <c r="P3057">
        <v>692</v>
      </c>
      <c r="Q3057">
        <v>648.20000000000005</v>
      </c>
      <c r="R3057" t="s">
        <v>98</v>
      </c>
      <c r="S3057" t="s">
        <v>31</v>
      </c>
      <c r="T3057" t="s">
        <v>40</v>
      </c>
      <c r="U3057">
        <v>22</v>
      </c>
      <c r="V3057">
        <v>3.7</v>
      </c>
      <c r="W3057">
        <f>Table2[[#This Row],[Quantity]]*Table2[[#This Row],[Item_Price]]</f>
        <v>692</v>
      </c>
    </row>
    <row r="3058" spans="1:23" x14ac:dyDescent="0.25">
      <c r="A3058" t="s">
        <v>3159</v>
      </c>
      <c r="B3058" s="1">
        <v>45879</v>
      </c>
      <c r="C3058" t="s">
        <v>3008</v>
      </c>
      <c r="D3058">
        <v>8</v>
      </c>
      <c r="E3058">
        <v>10</v>
      </c>
      <c r="F3058" t="s">
        <v>149</v>
      </c>
      <c r="G3058" t="s">
        <v>34</v>
      </c>
      <c r="H3058" t="s">
        <v>139</v>
      </c>
      <c r="I3058" t="s">
        <v>103</v>
      </c>
      <c r="J3058" t="s">
        <v>62</v>
      </c>
      <c r="K3058" t="s">
        <v>45</v>
      </c>
      <c r="L3058">
        <v>2</v>
      </c>
      <c r="M3058">
        <v>581</v>
      </c>
      <c r="N3058">
        <v>58.1</v>
      </c>
      <c r="O3058">
        <v>60</v>
      </c>
      <c r="P3058">
        <v>1162</v>
      </c>
      <c r="Q3058">
        <v>1163.9000000000001</v>
      </c>
      <c r="R3058" t="s">
        <v>98</v>
      </c>
      <c r="S3058" t="s">
        <v>46</v>
      </c>
      <c r="T3058" t="s">
        <v>32</v>
      </c>
      <c r="U3058">
        <v>61</v>
      </c>
      <c r="W3058">
        <f>Table2[[#This Row],[Quantity]]*Table2[[#This Row],[Item_Price]]</f>
        <v>1162</v>
      </c>
    </row>
    <row r="3059" spans="1:23" x14ac:dyDescent="0.25">
      <c r="A3059" t="s">
        <v>3160</v>
      </c>
      <c r="B3059" s="1">
        <v>45879</v>
      </c>
      <c r="C3059" t="s">
        <v>3008</v>
      </c>
      <c r="D3059">
        <v>8</v>
      </c>
      <c r="E3059">
        <v>10</v>
      </c>
      <c r="F3059" t="s">
        <v>149</v>
      </c>
      <c r="G3059" t="s">
        <v>73</v>
      </c>
      <c r="H3059" t="s">
        <v>48</v>
      </c>
      <c r="I3059" t="s">
        <v>85</v>
      </c>
      <c r="J3059" t="s">
        <v>28</v>
      </c>
      <c r="K3059" t="s">
        <v>38</v>
      </c>
      <c r="L3059">
        <v>1</v>
      </c>
      <c r="M3059">
        <v>200</v>
      </c>
      <c r="N3059">
        <v>40</v>
      </c>
      <c r="O3059">
        <v>50</v>
      </c>
      <c r="P3059">
        <v>200</v>
      </c>
      <c r="Q3059">
        <v>210</v>
      </c>
      <c r="R3059" t="s">
        <v>75</v>
      </c>
      <c r="S3059" t="s">
        <v>31</v>
      </c>
      <c r="T3059" t="s">
        <v>40</v>
      </c>
      <c r="U3059">
        <v>26</v>
      </c>
      <c r="V3059">
        <v>3.8</v>
      </c>
      <c r="W3059">
        <f>Table2[[#This Row],[Quantity]]*Table2[[#This Row],[Item_Price]]</f>
        <v>200</v>
      </c>
    </row>
    <row r="3060" spans="1:23" x14ac:dyDescent="0.25">
      <c r="A3060" t="s">
        <v>3161</v>
      </c>
      <c r="B3060" s="1">
        <v>45879</v>
      </c>
      <c r="C3060" t="s">
        <v>3008</v>
      </c>
      <c r="D3060">
        <v>8</v>
      </c>
      <c r="E3060">
        <v>10</v>
      </c>
      <c r="F3060" t="s">
        <v>149</v>
      </c>
      <c r="G3060" t="s">
        <v>34</v>
      </c>
      <c r="H3060" t="s">
        <v>42</v>
      </c>
      <c r="I3060" t="s">
        <v>97</v>
      </c>
      <c r="J3060" t="s">
        <v>119</v>
      </c>
      <c r="K3060" t="s">
        <v>45</v>
      </c>
      <c r="L3060">
        <v>3</v>
      </c>
      <c r="M3060">
        <v>532</v>
      </c>
      <c r="N3060">
        <v>53.2</v>
      </c>
      <c r="O3060">
        <v>60</v>
      </c>
      <c r="P3060">
        <v>1596</v>
      </c>
      <c r="Q3060">
        <v>1602.8</v>
      </c>
      <c r="R3060" t="s">
        <v>39</v>
      </c>
      <c r="S3060" t="s">
        <v>31</v>
      </c>
      <c r="T3060" t="s">
        <v>40</v>
      </c>
      <c r="U3060">
        <v>38</v>
      </c>
      <c r="V3060">
        <v>4.5999999999999996</v>
      </c>
      <c r="W3060">
        <f>Table2[[#This Row],[Quantity]]*Table2[[#This Row],[Item_Price]]</f>
        <v>1596</v>
      </c>
    </row>
    <row r="3061" spans="1:23" x14ac:dyDescent="0.25">
      <c r="A3061" t="s">
        <v>3162</v>
      </c>
      <c r="B3061" s="1">
        <v>45879</v>
      </c>
      <c r="C3061" t="s">
        <v>3008</v>
      </c>
      <c r="D3061">
        <v>8</v>
      </c>
      <c r="E3061">
        <v>10</v>
      </c>
      <c r="F3061" t="s">
        <v>149</v>
      </c>
      <c r="G3061" t="s">
        <v>80</v>
      </c>
      <c r="H3061" t="s">
        <v>77</v>
      </c>
      <c r="I3061" t="s">
        <v>49</v>
      </c>
      <c r="J3061" t="s">
        <v>74</v>
      </c>
      <c r="K3061" t="s">
        <v>58</v>
      </c>
      <c r="L3061">
        <v>1</v>
      </c>
      <c r="M3061">
        <v>410</v>
      </c>
      <c r="N3061">
        <v>61.5</v>
      </c>
      <c r="O3061">
        <v>40</v>
      </c>
      <c r="P3061">
        <v>410</v>
      </c>
      <c r="Q3061">
        <v>388.5</v>
      </c>
      <c r="R3061" t="s">
        <v>39</v>
      </c>
      <c r="S3061" t="s">
        <v>31</v>
      </c>
      <c r="T3061" t="s">
        <v>40</v>
      </c>
      <c r="U3061">
        <v>34</v>
      </c>
      <c r="V3061">
        <v>2.7</v>
      </c>
      <c r="W3061">
        <f>Table2[[#This Row],[Quantity]]*Table2[[#This Row],[Item_Price]]</f>
        <v>410</v>
      </c>
    </row>
    <row r="3062" spans="1:23" x14ac:dyDescent="0.25">
      <c r="A3062" t="s">
        <v>3163</v>
      </c>
      <c r="B3062" s="1">
        <v>45880</v>
      </c>
      <c r="C3062" t="s">
        <v>3008</v>
      </c>
      <c r="D3062">
        <v>8</v>
      </c>
      <c r="E3062">
        <v>11</v>
      </c>
      <c r="F3062" t="s">
        <v>168</v>
      </c>
      <c r="G3062" t="s">
        <v>34</v>
      </c>
      <c r="H3062" t="s">
        <v>48</v>
      </c>
      <c r="I3062" t="s">
        <v>103</v>
      </c>
      <c r="J3062" t="s">
        <v>172</v>
      </c>
      <c r="K3062" t="s">
        <v>38</v>
      </c>
      <c r="L3062">
        <v>1</v>
      </c>
      <c r="M3062">
        <v>373</v>
      </c>
      <c r="N3062">
        <v>55.95</v>
      </c>
      <c r="O3062">
        <v>40</v>
      </c>
      <c r="P3062">
        <v>373</v>
      </c>
      <c r="Q3062">
        <v>357.05</v>
      </c>
      <c r="R3062" t="s">
        <v>112</v>
      </c>
      <c r="S3062" t="s">
        <v>31</v>
      </c>
      <c r="T3062" t="s">
        <v>40</v>
      </c>
      <c r="U3062">
        <v>37</v>
      </c>
      <c r="V3062">
        <v>3.8</v>
      </c>
      <c r="W3062">
        <f>Table2[[#This Row],[Quantity]]*Table2[[#This Row],[Item_Price]]</f>
        <v>373</v>
      </c>
    </row>
    <row r="3063" spans="1:23" x14ac:dyDescent="0.25">
      <c r="A3063" t="s">
        <v>3164</v>
      </c>
      <c r="B3063" s="1">
        <v>45880</v>
      </c>
      <c r="C3063" t="s">
        <v>3008</v>
      </c>
      <c r="D3063">
        <v>8</v>
      </c>
      <c r="E3063">
        <v>11</v>
      </c>
      <c r="F3063" t="s">
        <v>168</v>
      </c>
      <c r="G3063" t="s">
        <v>34</v>
      </c>
      <c r="H3063" t="s">
        <v>77</v>
      </c>
      <c r="I3063" t="s">
        <v>61</v>
      </c>
      <c r="J3063" t="s">
        <v>172</v>
      </c>
      <c r="K3063" t="s">
        <v>38</v>
      </c>
      <c r="L3063">
        <v>2</v>
      </c>
      <c r="M3063">
        <v>355</v>
      </c>
      <c r="N3063">
        <v>0</v>
      </c>
      <c r="O3063">
        <v>50</v>
      </c>
      <c r="P3063">
        <v>710</v>
      </c>
      <c r="Q3063">
        <v>760</v>
      </c>
      <c r="R3063" t="s">
        <v>75</v>
      </c>
      <c r="S3063" t="s">
        <v>91</v>
      </c>
      <c r="T3063" t="s">
        <v>32</v>
      </c>
      <c r="U3063">
        <v>42</v>
      </c>
      <c r="W3063">
        <f>Table2[[#This Row],[Quantity]]*Table2[[#This Row],[Item_Price]]</f>
        <v>710</v>
      </c>
    </row>
    <row r="3064" spans="1:23" x14ac:dyDescent="0.25">
      <c r="A3064" t="s">
        <v>3165</v>
      </c>
      <c r="B3064" s="1">
        <v>45880</v>
      </c>
      <c r="C3064" t="s">
        <v>3008</v>
      </c>
      <c r="D3064">
        <v>8</v>
      </c>
      <c r="E3064">
        <v>11</v>
      </c>
      <c r="F3064" t="s">
        <v>168</v>
      </c>
      <c r="G3064" t="s">
        <v>25</v>
      </c>
      <c r="H3064" t="s">
        <v>77</v>
      </c>
      <c r="I3064" t="s">
        <v>61</v>
      </c>
      <c r="J3064" t="s">
        <v>66</v>
      </c>
      <c r="K3064" t="s">
        <v>45</v>
      </c>
      <c r="L3064">
        <v>1</v>
      </c>
      <c r="M3064">
        <v>216</v>
      </c>
      <c r="N3064">
        <v>43.2</v>
      </c>
      <c r="O3064">
        <v>40</v>
      </c>
      <c r="P3064">
        <v>216</v>
      </c>
      <c r="Q3064">
        <v>212.8</v>
      </c>
      <c r="R3064" t="s">
        <v>75</v>
      </c>
      <c r="S3064" t="s">
        <v>110</v>
      </c>
      <c r="T3064" t="s">
        <v>40</v>
      </c>
      <c r="U3064">
        <v>21</v>
      </c>
      <c r="W3064">
        <f>Table2[[#This Row],[Quantity]]*Table2[[#This Row],[Item_Price]]</f>
        <v>216</v>
      </c>
    </row>
    <row r="3065" spans="1:23" x14ac:dyDescent="0.25">
      <c r="A3065" t="s">
        <v>3166</v>
      </c>
      <c r="B3065" s="1">
        <v>45880</v>
      </c>
      <c r="C3065" t="s">
        <v>3008</v>
      </c>
      <c r="D3065">
        <v>8</v>
      </c>
      <c r="E3065">
        <v>11</v>
      </c>
      <c r="F3065" t="s">
        <v>168</v>
      </c>
      <c r="G3065" t="s">
        <v>115</v>
      </c>
      <c r="H3065" t="s">
        <v>26</v>
      </c>
      <c r="I3065" t="s">
        <v>27</v>
      </c>
      <c r="J3065" t="s">
        <v>78</v>
      </c>
      <c r="K3065" t="s">
        <v>38</v>
      </c>
      <c r="L3065">
        <v>1</v>
      </c>
      <c r="M3065">
        <v>208</v>
      </c>
      <c r="N3065">
        <v>31.2</v>
      </c>
      <c r="O3065">
        <v>20</v>
      </c>
      <c r="P3065">
        <v>208</v>
      </c>
      <c r="Q3065">
        <v>196.8</v>
      </c>
      <c r="R3065" t="s">
        <v>30</v>
      </c>
      <c r="S3065" t="s">
        <v>31</v>
      </c>
      <c r="T3065" t="s">
        <v>32</v>
      </c>
      <c r="U3065">
        <v>57</v>
      </c>
      <c r="V3065">
        <v>4.9000000000000004</v>
      </c>
      <c r="W3065">
        <f>Table2[[#This Row],[Quantity]]*Table2[[#This Row],[Item_Price]]</f>
        <v>208</v>
      </c>
    </row>
    <row r="3066" spans="1:23" x14ac:dyDescent="0.25">
      <c r="A3066" t="s">
        <v>3167</v>
      </c>
      <c r="B3066" s="1">
        <v>45880</v>
      </c>
      <c r="C3066" t="s">
        <v>3008</v>
      </c>
      <c r="D3066">
        <v>8</v>
      </c>
      <c r="E3066">
        <v>11</v>
      </c>
      <c r="F3066" t="s">
        <v>168</v>
      </c>
      <c r="G3066" t="s">
        <v>64</v>
      </c>
      <c r="H3066" t="s">
        <v>108</v>
      </c>
      <c r="I3066" t="s">
        <v>69</v>
      </c>
      <c r="J3066" t="s">
        <v>53</v>
      </c>
      <c r="K3066" t="s">
        <v>29</v>
      </c>
      <c r="L3066">
        <v>1</v>
      </c>
      <c r="M3066">
        <v>597</v>
      </c>
      <c r="N3066">
        <v>0</v>
      </c>
      <c r="O3066">
        <v>30</v>
      </c>
      <c r="P3066">
        <v>597</v>
      </c>
      <c r="Q3066">
        <v>627</v>
      </c>
      <c r="R3066" t="s">
        <v>39</v>
      </c>
      <c r="S3066" t="s">
        <v>46</v>
      </c>
      <c r="T3066" t="s">
        <v>32</v>
      </c>
      <c r="U3066">
        <v>50</v>
      </c>
      <c r="W3066">
        <f>Table2[[#This Row],[Quantity]]*Table2[[#This Row],[Item_Price]]</f>
        <v>597</v>
      </c>
    </row>
    <row r="3067" spans="1:23" x14ac:dyDescent="0.25">
      <c r="A3067" t="s">
        <v>3168</v>
      </c>
      <c r="B3067" s="1">
        <v>45880</v>
      </c>
      <c r="C3067" t="s">
        <v>3008</v>
      </c>
      <c r="D3067">
        <v>8</v>
      </c>
      <c r="E3067">
        <v>11</v>
      </c>
      <c r="F3067" t="s">
        <v>168</v>
      </c>
      <c r="G3067" t="s">
        <v>25</v>
      </c>
      <c r="H3067" t="s">
        <v>52</v>
      </c>
      <c r="I3067" t="s">
        <v>57</v>
      </c>
      <c r="J3067" t="s">
        <v>62</v>
      </c>
      <c r="K3067" t="s">
        <v>38</v>
      </c>
      <c r="L3067">
        <v>2</v>
      </c>
      <c r="M3067">
        <v>651</v>
      </c>
      <c r="N3067">
        <v>97.65</v>
      </c>
      <c r="O3067">
        <v>0</v>
      </c>
      <c r="P3067">
        <v>1302</v>
      </c>
      <c r="Q3067">
        <v>1204.3499999999999</v>
      </c>
      <c r="R3067" t="s">
        <v>39</v>
      </c>
      <c r="S3067" t="s">
        <v>31</v>
      </c>
      <c r="T3067" t="s">
        <v>32</v>
      </c>
      <c r="U3067">
        <v>55</v>
      </c>
      <c r="V3067">
        <v>4.3</v>
      </c>
      <c r="W3067">
        <f>Table2[[#This Row],[Quantity]]*Table2[[#This Row],[Item_Price]]</f>
        <v>1302</v>
      </c>
    </row>
    <row r="3068" spans="1:23" x14ac:dyDescent="0.25">
      <c r="A3068" t="s">
        <v>3169</v>
      </c>
      <c r="B3068" s="1">
        <v>45880</v>
      </c>
      <c r="C3068" t="s">
        <v>3008</v>
      </c>
      <c r="D3068">
        <v>8</v>
      </c>
      <c r="E3068">
        <v>11</v>
      </c>
      <c r="F3068" t="s">
        <v>168</v>
      </c>
      <c r="G3068" t="s">
        <v>80</v>
      </c>
      <c r="H3068" t="s">
        <v>139</v>
      </c>
      <c r="I3068" t="s">
        <v>43</v>
      </c>
      <c r="J3068" t="s">
        <v>70</v>
      </c>
      <c r="K3068" t="s">
        <v>38</v>
      </c>
      <c r="L3068">
        <v>1</v>
      </c>
      <c r="M3068">
        <v>658</v>
      </c>
      <c r="N3068">
        <v>131.6</v>
      </c>
      <c r="O3068">
        <v>60</v>
      </c>
      <c r="P3068">
        <v>658</v>
      </c>
      <c r="Q3068">
        <v>586.4</v>
      </c>
      <c r="R3068" t="s">
        <v>39</v>
      </c>
      <c r="S3068" t="s">
        <v>46</v>
      </c>
      <c r="T3068" t="s">
        <v>32</v>
      </c>
      <c r="U3068">
        <v>58</v>
      </c>
      <c r="W3068">
        <f>Table2[[#This Row],[Quantity]]*Table2[[#This Row],[Item_Price]]</f>
        <v>658</v>
      </c>
    </row>
    <row r="3069" spans="1:23" x14ac:dyDescent="0.25">
      <c r="A3069" t="s">
        <v>3170</v>
      </c>
      <c r="B3069" s="1">
        <v>45880</v>
      </c>
      <c r="C3069" t="s">
        <v>3008</v>
      </c>
      <c r="D3069">
        <v>8</v>
      </c>
      <c r="E3069">
        <v>11</v>
      </c>
      <c r="F3069" t="s">
        <v>168</v>
      </c>
      <c r="G3069" t="s">
        <v>64</v>
      </c>
      <c r="H3069" t="s">
        <v>135</v>
      </c>
      <c r="I3069" t="s">
        <v>36</v>
      </c>
      <c r="J3069" t="s">
        <v>123</v>
      </c>
      <c r="K3069" t="s">
        <v>38</v>
      </c>
      <c r="L3069">
        <v>1</v>
      </c>
      <c r="M3069">
        <v>601</v>
      </c>
      <c r="N3069">
        <v>0</v>
      </c>
      <c r="O3069">
        <v>0</v>
      </c>
      <c r="P3069">
        <v>601</v>
      </c>
      <c r="Q3069">
        <v>601</v>
      </c>
      <c r="R3069" t="s">
        <v>75</v>
      </c>
      <c r="S3069" t="s">
        <v>31</v>
      </c>
      <c r="T3069" t="s">
        <v>32</v>
      </c>
      <c r="U3069">
        <v>37</v>
      </c>
      <c r="V3069">
        <v>3.4</v>
      </c>
      <c r="W3069">
        <f>Table2[[#This Row],[Quantity]]*Table2[[#This Row],[Item_Price]]</f>
        <v>601</v>
      </c>
    </row>
    <row r="3070" spans="1:23" x14ac:dyDescent="0.25">
      <c r="A3070" t="s">
        <v>3171</v>
      </c>
      <c r="B3070" s="1">
        <v>45880</v>
      </c>
      <c r="C3070" t="s">
        <v>3008</v>
      </c>
      <c r="D3070">
        <v>8</v>
      </c>
      <c r="E3070">
        <v>11</v>
      </c>
      <c r="F3070" t="s">
        <v>168</v>
      </c>
      <c r="G3070" t="s">
        <v>84</v>
      </c>
      <c r="H3070" t="s">
        <v>56</v>
      </c>
      <c r="I3070" t="s">
        <v>27</v>
      </c>
      <c r="J3070" t="s">
        <v>70</v>
      </c>
      <c r="K3070" t="s">
        <v>29</v>
      </c>
      <c r="L3070">
        <v>3</v>
      </c>
      <c r="M3070">
        <v>166</v>
      </c>
      <c r="N3070">
        <v>24.9</v>
      </c>
      <c r="O3070">
        <v>20</v>
      </c>
      <c r="P3070">
        <v>498</v>
      </c>
      <c r="Q3070">
        <v>493.1</v>
      </c>
      <c r="R3070" t="s">
        <v>75</v>
      </c>
      <c r="S3070" t="s">
        <v>31</v>
      </c>
      <c r="T3070" t="s">
        <v>32</v>
      </c>
      <c r="U3070">
        <v>65</v>
      </c>
      <c r="V3070">
        <v>3.5</v>
      </c>
      <c r="W3070">
        <f>Table2[[#This Row],[Quantity]]*Table2[[#This Row],[Item_Price]]</f>
        <v>498</v>
      </c>
    </row>
    <row r="3071" spans="1:23" x14ac:dyDescent="0.25">
      <c r="A3071" t="s">
        <v>3172</v>
      </c>
      <c r="B3071" s="1">
        <v>45880</v>
      </c>
      <c r="C3071" t="s">
        <v>3008</v>
      </c>
      <c r="D3071">
        <v>8</v>
      </c>
      <c r="E3071">
        <v>11</v>
      </c>
      <c r="F3071" t="s">
        <v>168</v>
      </c>
      <c r="G3071" t="s">
        <v>115</v>
      </c>
      <c r="H3071" t="s">
        <v>26</v>
      </c>
      <c r="I3071" t="s">
        <v>36</v>
      </c>
      <c r="J3071" t="s">
        <v>62</v>
      </c>
      <c r="K3071" t="s">
        <v>45</v>
      </c>
      <c r="L3071">
        <v>1</v>
      </c>
      <c r="M3071">
        <v>824</v>
      </c>
      <c r="N3071">
        <v>82.4</v>
      </c>
      <c r="O3071">
        <v>40</v>
      </c>
      <c r="P3071">
        <v>824</v>
      </c>
      <c r="Q3071">
        <v>781.6</v>
      </c>
      <c r="R3071" t="s">
        <v>112</v>
      </c>
      <c r="S3071" t="s">
        <v>31</v>
      </c>
      <c r="T3071" t="s">
        <v>40</v>
      </c>
      <c r="U3071">
        <v>42</v>
      </c>
      <c r="V3071">
        <v>2.5</v>
      </c>
      <c r="W3071">
        <f>Table2[[#This Row],[Quantity]]*Table2[[#This Row],[Item_Price]]</f>
        <v>824</v>
      </c>
    </row>
    <row r="3072" spans="1:23" x14ac:dyDescent="0.25">
      <c r="A3072" t="s">
        <v>3173</v>
      </c>
      <c r="B3072" s="1">
        <v>45880</v>
      </c>
      <c r="C3072" t="s">
        <v>3008</v>
      </c>
      <c r="D3072">
        <v>8</v>
      </c>
      <c r="E3072">
        <v>11</v>
      </c>
      <c r="F3072" t="s">
        <v>168</v>
      </c>
      <c r="G3072" t="s">
        <v>55</v>
      </c>
      <c r="H3072" t="s">
        <v>135</v>
      </c>
      <c r="I3072" t="s">
        <v>43</v>
      </c>
      <c r="J3072" t="s">
        <v>74</v>
      </c>
      <c r="K3072" t="s">
        <v>29</v>
      </c>
      <c r="L3072">
        <v>1</v>
      </c>
      <c r="M3072">
        <v>385</v>
      </c>
      <c r="N3072">
        <v>57.75</v>
      </c>
      <c r="O3072">
        <v>20</v>
      </c>
      <c r="P3072">
        <v>385</v>
      </c>
      <c r="Q3072">
        <v>347.25</v>
      </c>
      <c r="R3072" t="s">
        <v>39</v>
      </c>
      <c r="S3072" t="s">
        <v>31</v>
      </c>
      <c r="T3072" t="s">
        <v>40</v>
      </c>
      <c r="U3072">
        <v>67</v>
      </c>
      <c r="V3072">
        <v>4</v>
      </c>
      <c r="W3072">
        <f>Table2[[#This Row],[Quantity]]*Table2[[#This Row],[Item_Price]]</f>
        <v>385</v>
      </c>
    </row>
    <row r="3073" spans="1:23" x14ac:dyDescent="0.25">
      <c r="A3073" t="s">
        <v>3174</v>
      </c>
      <c r="B3073" s="1">
        <v>45880</v>
      </c>
      <c r="C3073" t="s">
        <v>3008</v>
      </c>
      <c r="D3073">
        <v>8</v>
      </c>
      <c r="E3073">
        <v>11</v>
      </c>
      <c r="F3073" t="s">
        <v>168</v>
      </c>
      <c r="G3073" t="s">
        <v>34</v>
      </c>
      <c r="H3073" t="s">
        <v>42</v>
      </c>
      <c r="I3073" t="s">
        <v>57</v>
      </c>
      <c r="J3073" t="s">
        <v>28</v>
      </c>
      <c r="K3073" t="s">
        <v>45</v>
      </c>
      <c r="L3073">
        <v>2</v>
      </c>
      <c r="M3073">
        <v>816</v>
      </c>
      <c r="N3073">
        <v>40.799999999999997</v>
      </c>
      <c r="O3073">
        <v>70</v>
      </c>
      <c r="P3073">
        <v>1632</v>
      </c>
      <c r="Q3073">
        <v>1661.2</v>
      </c>
      <c r="R3073" t="s">
        <v>30</v>
      </c>
      <c r="S3073" t="s">
        <v>31</v>
      </c>
      <c r="T3073" t="s">
        <v>40</v>
      </c>
      <c r="U3073">
        <v>34</v>
      </c>
      <c r="V3073">
        <v>4.3</v>
      </c>
      <c r="W3073">
        <f>Table2[[#This Row],[Quantity]]*Table2[[#This Row],[Item_Price]]</f>
        <v>1632</v>
      </c>
    </row>
    <row r="3074" spans="1:23" x14ac:dyDescent="0.25">
      <c r="A3074" t="s">
        <v>3175</v>
      </c>
      <c r="B3074" s="1">
        <v>45880</v>
      </c>
      <c r="C3074" t="s">
        <v>3008</v>
      </c>
      <c r="D3074">
        <v>8</v>
      </c>
      <c r="E3074">
        <v>11</v>
      </c>
      <c r="F3074" t="s">
        <v>168</v>
      </c>
      <c r="G3074" t="s">
        <v>73</v>
      </c>
      <c r="H3074" t="s">
        <v>60</v>
      </c>
      <c r="I3074" t="s">
        <v>57</v>
      </c>
      <c r="J3074" t="s">
        <v>94</v>
      </c>
      <c r="K3074" t="s">
        <v>38</v>
      </c>
      <c r="L3074">
        <v>1</v>
      </c>
      <c r="M3074">
        <v>167</v>
      </c>
      <c r="N3074">
        <v>41.75</v>
      </c>
      <c r="O3074">
        <v>50</v>
      </c>
      <c r="P3074">
        <v>167</v>
      </c>
      <c r="Q3074">
        <v>175.25</v>
      </c>
      <c r="R3074" t="s">
        <v>39</v>
      </c>
      <c r="S3074" t="s">
        <v>46</v>
      </c>
      <c r="T3074" t="s">
        <v>40</v>
      </c>
      <c r="U3074">
        <v>20</v>
      </c>
      <c r="W3074">
        <f>Table2[[#This Row],[Quantity]]*Table2[[#This Row],[Item_Price]]</f>
        <v>167</v>
      </c>
    </row>
    <row r="3075" spans="1:23" x14ac:dyDescent="0.25">
      <c r="A3075" t="s">
        <v>3176</v>
      </c>
      <c r="B3075" s="1">
        <v>45880</v>
      </c>
      <c r="C3075" t="s">
        <v>3008</v>
      </c>
      <c r="D3075">
        <v>8</v>
      </c>
      <c r="E3075">
        <v>11</v>
      </c>
      <c r="F3075" t="s">
        <v>168</v>
      </c>
      <c r="G3075" t="s">
        <v>64</v>
      </c>
      <c r="H3075" t="s">
        <v>60</v>
      </c>
      <c r="I3075" t="s">
        <v>43</v>
      </c>
      <c r="J3075" t="s">
        <v>50</v>
      </c>
      <c r="K3075" t="s">
        <v>38</v>
      </c>
      <c r="L3075">
        <v>2</v>
      </c>
      <c r="M3075">
        <v>554</v>
      </c>
      <c r="N3075">
        <v>27.7</v>
      </c>
      <c r="O3075">
        <v>0</v>
      </c>
      <c r="P3075">
        <v>1108</v>
      </c>
      <c r="Q3075">
        <v>1080.3</v>
      </c>
      <c r="R3075" t="s">
        <v>30</v>
      </c>
      <c r="S3075" t="s">
        <v>31</v>
      </c>
      <c r="T3075" t="s">
        <v>40</v>
      </c>
      <c r="U3075">
        <v>32</v>
      </c>
      <c r="V3075">
        <v>4.9000000000000004</v>
      </c>
      <c r="W3075">
        <f>Table2[[#This Row],[Quantity]]*Table2[[#This Row],[Item_Price]]</f>
        <v>1108</v>
      </c>
    </row>
    <row r="3076" spans="1:23" x14ac:dyDescent="0.25">
      <c r="A3076" t="s">
        <v>3177</v>
      </c>
      <c r="B3076" s="1">
        <v>45880</v>
      </c>
      <c r="C3076" t="s">
        <v>3008</v>
      </c>
      <c r="D3076">
        <v>8</v>
      </c>
      <c r="E3076">
        <v>11</v>
      </c>
      <c r="F3076" t="s">
        <v>168</v>
      </c>
      <c r="G3076" t="s">
        <v>90</v>
      </c>
      <c r="H3076" t="s">
        <v>81</v>
      </c>
      <c r="I3076" t="s">
        <v>85</v>
      </c>
      <c r="J3076" t="s">
        <v>119</v>
      </c>
      <c r="K3076" t="s">
        <v>29</v>
      </c>
      <c r="L3076">
        <v>2</v>
      </c>
      <c r="M3076">
        <v>807</v>
      </c>
      <c r="N3076">
        <v>121.05</v>
      </c>
      <c r="O3076">
        <v>30</v>
      </c>
      <c r="P3076">
        <v>1614</v>
      </c>
      <c r="Q3076">
        <v>1522.95</v>
      </c>
      <c r="R3076" t="s">
        <v>75</v>
      </c>
      <c r="S3076" t="s">
        <v>31</v>
      </c>
      <c r="T3076" t="s">
        <v>40</v>
      </c>
      <c r="U3076">
        <v>43</v>
      </c>
      <c r="V3076">
        <v>3.1</v>
      </c>
      <c r="W3076">
        <f>Table2[[#This Row],[Quantity]]*Table2[[#This Row],[Item_Price]]</f>
        <v>1614</v>
      </c>
    </row>
    <row r="3077" spans="1:23" x14ac:dyDescent="0.25">
      <c r="A3077" t="s">
        <v>3178</v>
      </c>
      <c r="B3077" s="1">
        <v>45880</v>
      </c>
      <c r="C3077" t="s">
        <v>3008</v>
      </c>
      <c r="D3077">
        <v>8</v>
      </c>
      <c r="E3077">
        <v>11</v>
      </c>
      <c r="F3077" t="s">
        <v>168</v>
      </c>
      <c r="G3077" t="s">
        <v>90</v>
      </c>
      <c r="H3077" t="s">
        <v>60</v>
      </c>
      <c r="I3077" t="s">
        <v>85</v>
      </c>
      <c r="J3077" t="s">
        <v>123</v>
      </c>
      <c r="K3077" t="s">
        <v>38</v>
      </c>
      <c r="L3077">
        <v>2</v>
      </c>
      <c r="M3077">
        <v>878</v>
      </c>
      <c r="N3077">
        <v>175.6</v>
      </c>
      <c r="O3077">
        <v>40</v>
      </c>
      <c r="P3077">
        <v>1756</v>
      </c>
      <c r="Q3077">
        <v>1620.4</v>
      </c>
      <c r="R3077" t="s">
        <v>112</v>
      </c>
      <c r="S3077" t="s">
        <v>31</v>
      </c>
      <c r="T3077" t="s">
        <v>32</v>
      </c>
      <c r="U3077">
        <v>34</v>
      </c>
      <c r="V3077">
        <v>4.3</v>
      </c>
      <c r="W3077">
        <f>Table2[[#This Row],[Quantity]]*Table2[[#This Row],[Item_Price]]</f>
        <v>1756</v>
      </c>
    </row>
    <row r="3078" spans="1:23" x14ac:dyDescent="0.25">
      <c r="A3078" t="s">
        <v>3179</v>
      </c>
      <c r="B3078" s="1">
        <v>45881</v>
      </c>
      <c r="C3078" t="s">
        <v>3008</v>
      </c>
      <c r="D3078">
        <v>8</v>
      </c>
      <c r="E3078">
        <v>12</v>
      </c>
      <c r="F3078" t="s">
        <v>178</v>
      </c>
      <c r="G3078" t="s">
        <v>64</v>
      </c>
      <c r="H3078" t="s">
        <v>26</v>
      </c>
      <c r="I3078" t="s">
        <v>97</v>
      </c>
      <c r="J3078" t="s">
        <v>70</v>
      </c>
      <c r="K3078" t="s">
        <v>38</v>
      </c>
      <c r="L3078">
        <v>1</v>
      </c>
      <c r="M3078">
        <v>284</v>
      </c>
      <c r="N3078">
        <v>14.2</v>
      </c>
      <c r="O3078">
        <v>0</v>
      </c>
      <c r="P3078">
        <v>284</v>
      </c>
      <c r="Q3078">
        <v>269.8</v>
      </c>
      <c r="R3078" t="s">
        <v>39</v>
      </c>
      <c r="S3078" t="s">
        <v>31</v>
      </c>
      <c r="T3078" t="s">
        <v>40</v>
      </c>
      <c r="U3078">
        <v>68</v>
      </c>
      <c r="V3078">
        <v>4.5999999999999996</v>
      </c>
      <c r="W3078">
        <f>Table2[[#This Row],[Quantity]]*Table2[[#This Row],[Item_Price]]</f>
        <v>284</v>
      </c>
    </row>
    <row r="3079" spans="1:23" x14ac:dyDescent="0.25">
      <c r="A3079" t="s">
        <v>3180</v>
      </c>
      <c r="B3079" s="1">
        <v>45881</v>
      </c>
      <c r="C3079" t="s">
        <v>3008</v>
      </c>
      <c r="D3079">
        <v>8</v>
      </c>
      <c r="E3079">
        <v>12</v>
      </c>
      <c r="F3079" t="s">
        <v>178</v>
      </c>
      <c r="G3079" t="s">
        <v>64</v>
      </c>
      <c r="H3079" t="s">
        <v>48</v>
      </c>
      <c r="I3079" t="s">
        <v>27</v>
      </c>
      <c r="J3079" t="s">
        <v>101</v>
      </c>
      <c r="K3079" t="s">
        <v>38</v>
      </c>
      <c r="L3079">
        <v>1</v>
      </c>
      <c r="M3079">
        <v>165</v>
      </c>
      <c r="N3079">
        <v>16.5</v>
      </c>
      <c r="O3079">
        <v>30</v>
      </c>
      <c r="P3079">
        <v>165</v>
      </c>
      <c r="Q3079">
        <v>178.5</v>
      </c>
      <c r="R3079" t="s">
        <v>39</v>
      </c>
      <c r="S3079" t="s">
        <v>31</v>
      </c>
      <c r="T3079" t="s">
        <v>32</v>
      </c>
      <c r="U3079">
        <v>59</v>
      </c>
      <c r="V3079">
        <v>4.2</v>
      </c>
      <c r="W3079">
        <f>Table2[[#This Row],[Quantity]]*Table2[[#This Row],[Item_Price]]</f>
        <v>165</v>
      </c>
    </row>
    <row r="3080" spans="1:23" x14ac:dyDescent="0.25">
      <c r="A3080" t="s">
        <v>3181</v>
      </c>
      <c r="B3080" s="1">
        <v>45881</v>
      </c>
      <c r="C3080" t="s">
        <v>3008</v>
      </c>
      <c r="D3080">
        <v>8</v>
      </c>
      <c r="E3080">
        <v>12</v>
      </c>
      <c r="F3080" t="s">
        <v>178</v>
      </c>
      <c r="G3080" t="s">
        <v>55</v>
      </c>
      <c r="H3080" t="s">
        <v>60</v>
      </c>
      <c r="I3080" t="s">
        <v>103</v>
      </c>
      <c r="J3080" t="s">
        <v>70</v>
      </c>
      <c r="K3080" t="s">
        <v>38</v>
      </c>
      <c r="L3080">
        <v>1</v>
      </c>
      <c r="M3080">
        <v>440</v>
      </c>
      <c r="N3080">
        <v>22</v>
      </c>
      <c r="O3080">
        <v>0</v>
      </c>
      <c r="P3080">
        <v>440</v>
      </c>
      <c r="Q3080">
        <v>418</v>
      </c>
      <c r="R3080" t="s">
        <v>30</v>
      </c>
      <c r="S3080" t="s">
        <v>31</v>
      </c>
      <c r="T3080" t="s">
        <v>40</v>
      </c>
      <c r="U3080">
        <v>39</v>
      </c>
      <c r="V3080">
        <v>5</v>
      </c>
      <c r="W3080">
        <f>Table2[[#This Row],[Quantity]]*Table2[[#This Row],[Item_Price]]</f>
        <v>440</v>
      </c>
    </row>
    <row r="3081" spans="1:23" x14ac:dyDescent="0.25">
      <c r="A3081" t="s">
        <v>3182</v>
      </c>
      <c r="B3081" s="1">
        <v>45881</v>
      </c>
      <c r="C3081" t="s">
        <v>3008</v>
      </c>
      <c r="D3081">
        <v>8</v>
      </c>
      <c r="E3081">
        <v>12</v>
      </c>
      <c r="F3081" t="s">
        <v>178</v>
      </c>
      <c r="G3081" t="s">
        <v>80</v>
      </c>
      <c r="H3081" t="s">
        <v>139</v>
      </c>
      <c r="I3081" t="s">
        <v>27</v>
      </c>
      <c r="J3081" t="s">
        <v>66</v>
      </c>
      <c r="K3081" t="s">
        <v>45</v>
      </c>
      <c r="L3081">
        <v>2</v>
      </c>
      <c r="M3081">
        <v>435</v>
      </c>
      <c r="N3081">
        <v>87</v>
      </c>
      <c r="O3081">
        <v>40</v>
      </c>
      <c r="P3081">
        <v>870</v>
      </c>
      <c r="Q3081">
        <v>823</v>
      </c>
      <c r="R3081" t="s">
        <v>39</v>
      </c>
      <c r="S3081" t="s">
        <v>31</v>
      </c>
      <c r="T3081" t="s">
        <v>32</v>
      </c>
      <c r="U3081">
        <v>56</v>
      </c>
      <c r="V3081">
        <v>4.5</v>
      </c>
      <c r="W3081">
        <f>Table2[[#This Row],[Quantity]]*Table2[[#This Row],[Item_Price]]</f>
        <v>870</v>
      </c>
    </row>
    <row r="3082" spans="1:23" x14ac:dyDescent="0.25">
      <c r="A3082" t="s">
        <v>3183</v>
      </c>
      <c r="B3082" s="1">
        <v>45881</v>
      </c>
      <c r="C3082" t="s">
        <v>3008</v>
      </c>
      <c r="D3082">
        <v>8</v>
      </c>
      <c r="E3082">
        <v>12</v>
      </c>
      <c r="F3082" t="s">
        <v>178</v>
      </c>
      <c r="G3082" t="s">
        <v>25</v>
      </c>
      <c r="H3082" t="s">
        <v>68</v>
      </c>
      <c r="I3082" t="s">
        <v>43</v>
      </c>
      <c r="J3082" t="s">
        <v>172</v>
      </c>
      <c r="K3082" t="s">
        <v>38</v>
      </c>
      <c r="L3082">
        <v>2</v>
      </c>
      <c r="M3082">
        <v>397</v>
      </c>
      <c r="N3082">
        <v>0</v>
      </c>
      <c r="O3082">
        <v>0</v>
      </c>
      <c r="P3082">
        <v>794</v>
      </c>
      <c r="Q3082">
        <v>794</v>
      </c>
      <c r="R3082" t="s">
        <v>75</v>
      </c>
      <c r="S3082" t="s">
        <v>31</v>
      </c>
      <c r="T3082" t="s">
        <v>40</v>
      </c>
      <c r="U3082">
        <v>68</v>
      </c>
      <c r="V3082">
        <v>3.9</v>
      </c>
      <c r="W3082">
        <f>Table2[[#This Row],[Quantity]]*Table2[[#This Row],[Item_Price]]</f>
        <v>794</v>
      </c>
    </row>
    <row r="3083" spans="1:23" x14ac:dyDescent="0.25">
      <c r="A3083" t="s">
        <v>3184</v>
      </c>
      <c r="B3083" s="1">
        <v>45881</v>
      </c>
      <c r="C3083" t="s">
        <v>3008</v>
      </c>
      <c r="D3083">
        <v>8</v>
      </c>
      <c r="E3083">
        <v>12</v>
      </c>
      <c r="F3083" t="s">
        <v>178</v>
      </c>
      <c r="G3083" t="s">
        <v>115</v>
      </c>
      <c r="H3083" t="s">
        <v>135</v>
      </c>
      <c r="I3083" t="s">
        <v>61</v>
      </c>
      <c r="J3083" t="s">
        <v>53</v>
      </c>
      <c r="K3083" t="s">
        <v>38</v>
      </c>
      <c r="L3083">
        <v>1</v>
      </c>
      <c r="M3083">
        <v>276</v>
      </c>
      <c r="N3083">
        <v>0</v>
      </c>
      <c r="O3083">
        <v>40</v>
      </c>
      <c r="P3083">
        <v>276</v>
      </c>
      <c r="Q3083">
        <v>316</v>
      </c>
      <c r="R3083" t="s">
        <v>75</v>
      </c>
      <c r="S3083" t="s">
        <v>31</v>
      </c>
      <c r="T3083" t="s">
        <v>40</v>
      </c>
      <c r="U3083">
        <v>52</v>
      </c>
      <c r="V3083">
        <v>2.9</v>
      </c>
      <c r="W3083">
        <f>Table2[[#This Row],[Quantity]]*Table2[[#This Row],[Item_Price]]</f>
        <v>276</v>
      </c>
    </row>
    <row r="3084" spans="1:23" x14ac:dyDescent="0.25">
      <c r="A3084" t="s">
        <v>3185</v>
      </c>
      <c r="B3084" s="1">
        <v>45881</v>
      </c>
      <c r="C3084" t="s">
        <v>3008</v>
      </c>
      <c r="D3084">
        <v>8</v>
      </c>
      <c r="E3084">
        <v>12</v>
      </c>
      <c r="F3084" t="s">
        <v>178</v>
      </c>
      <c r="G3084" t="s">
        <v>80</v>
      </c>
      <c r="H3084" t="s">
        <v>108</v>
      </c>
      <c r="I3084" t="s">
        <v>49</v>
      </c>
      <c r="J3084" t="s">
        <v>101</v>
      </c>
      <c r="K3084" t="s">
        <v>38</v>
      </c>
      <c r="L3084">
        <v>3</v>
      </c>
      <c r="M3084">
        <v>653</v>
      </c>
      <c r="N3084">
        <v>65.3</v>
      </c>
      <c r="O3084">
        <v>60</v>
      </c>
      <c r="P3084">
        <v>1959</v>
      </c>
      <c r="Q3084">
        <v>1953.7</v>
      </c>
      <c r="R3084" t="s">
        <v>30</v>
      </c>
      <c r="S3084" t="s">
        <v>110</v>
      </c>
      <c r="T3084" t="s">
        <v>32</v>
      </c>
      <c r="U3084">
        <v>28</v>
      </c>
      <c r="W3084">
        <f>Table2[[#This Row],[Quantity]]*Table2[[#This Row],[Item_Price]]</f>
        <v>1959</v>
      </c>
    </row>
    <row r="3085" spans="1:23" x14ac:dyDescent="0.25">
      <c r="A3085" t="s">
        <v>3186</v>
      </c>
      <c r="B3085" s="1">
        <v>45881</v>
      </c>
      <c r="C3085" t="s">
        <v>3008</v>
      </c>
      <c r="D3085">
        <v>8</v>
      </c>
      <c r="E3085">
        <v>12</v>
      </c>
      <c r="F3085" t="s">
        <v>178</v>
      </c>
      <c r="G3085" t="s">
        <v>115</v>
      </c>
      <c r="H3085" t="s">
        <v>65</v>
      </c>
      <c r="I3085" t="s">
        <v>69</v>
      </c>
      <c r="J3085" t="s">
        <v>74</v>
      </c>
      <c r="K3085" t="s">
        <v>38</v>
      </c>
      <c r="L3085">
        <v>1</v>
      </c>
      <c r="M3085">
        <v>173</v>
      </c>
      <c r="N3085">
        <v>8.65</v>
      </c>
      <c r="O3085">
        <v>0</v>
      </c>
      <c r="P3085">
        <v>173</v>
      </c>
      <c r="Q3085">
        <v>164.35</v>
      </c>
      <c r="R3085" t="s">
        <v>75</v>
      </c>
      <c r="S3085" t="s">
        <v>31</v>
      </c>
      <c r="T3085" t="s">
        <v>40</v>
      </c>
      <c r="U3085">
        <v>60</v>
      </c>
      <c r="V3085">
        <v>4.7</v>
      </c>
      <c r="W3085">
        <f>Table2[[#This Row],[Quantity]]*Table2[[#This Row],[Item_Price]]</f>
        <v>173</v>
      </c>
    </row>
    <row r="3086" spans="1:23" x14ac:dyDescent="0.25">
      <c r="A3086" t="s">
        <v>3187</v>
      </c>
      <c r="B3086" s="1">
        <v>45881</v>
      </c>
      <c r="C3086" t="s">
        <v>3008</v>
      </c>
      <c r="D3086">
        <v>8</v>
      </c>
      <c r="E3086">
        <v>12</v>
      </c>
      <c r="F3086" t="s">
        <v>178</v>
      </c>
      <c r="G3086" t="s">
        <v>80</v>
      </c>
      <c r="H3086" t="s">
        <v>35</v>
      </c>
      <c r="I3086" t="s">
        <v>27</v>
      </c>
      <c r="J3086" t="s">
        <v>44</v>
      </c>
      <c r="K3086" t="s">
        <v>38</v>
      </c>
      <c r="L3086">
        <v>2</v>
      </c>
      <c r="M3086">
        <v>369</v>
      </c>
      <c r="N3086">
        <v>55.35</v>
      </c>
      <c r="O3086">
        <v>50</v>
      </c>
      <c r="P3086">
        <v>738</v>
      </c>
      <c r="Q3086">
        <v>732.65</v>
      </c>
      <c r="R3086" t="s">
        <v>112</v>
      </c>
      <c r="S3086" t="s">
        <v>31</v>
      </c>
      <c r="T3086" t="s">
        <v>40</v>
      </c>
      <c r="U3086">
        <v>48</v>
      </c>
      <c r="V3086">
        <v>3.9</v>
      </c>
      <c r="W3086">
        <f>Table2[[#This Row],[Quantity]]*Table2[[#This Row],[Item_Price]]</f>
        <v>738</v>
      </c>
    </row>
    <row r="3087" spans="1:23" x14ac:dyDescent="0.25">
      <c r="A3087" t="s">
        <v>3188</v>
      </c>
      <c r="B3087" s="1">
        <v>45881</v>
      </c>
      <c r="C3087" t="s">
        <v>3008</v>
      </c>
      <c r="D3087">
        <v>8</v>
      </c>
      <c r="E3087">
        <v>12</v>
      </c>
      <c r="F3087" t="s">
        <v>178</v>
      </c>
      <c r="G3087" t="s">
        <v>115</v>
      </c>
      <c r="H3087" t="s">
        <v>52</v>
      </c>
      <c r="I3087" t="s">
        <v>85</v>
      </c>
      <c r="J3087" t="s">
        <v>44</v>
      </c>
      <c r="K3087" t="s">
        <v>38</v>
      </c>
      <c r="L3087">
        <v>1</v>
      </c>
      <c r="M3087">
        <v>265</v>
      </c>
      <c r="N3087">
        <v>66.25</v>
      </c>
      <c r="O3087">
        <v>40</v>
      </c>
      <c r="P3087">
        <v>265</v>
      </c>
      <c r="Q3087">
        <v>238.75</v>
      </c>
      <c r="R3087" t="s">
        <v>39</v>
      </c>
      <c r="S3087" t="s">
        <v>31</v>
      </c>
      <c r="T3087" t="s">
        <v>32</v>
      </c>
      <c r="U3087">
        <v>62</v>
      </c>
      <c r="V3087">
        <v>4</v>
      </c>
      <c r="W3087">
        <f>Table2[[#This Row],[Quantity]]*Table2[[#This Row],[Item_Price]]</f>
        <v>265</v>
      </c>
    </row>
    <row r="3088" spans="1:23" x14ac:dyDescent="0.25">
      <c r="A3088" t="s">
        <v>3189</v>
      </c>
      <c r="B3088" s="1">
        <v>45881</v>
      </c>
      <c r="C3088" t="s">
        <v>3008</v>
      </c>
      <c r="D3088">
        <v>8</v>
      </c>
      <c r="E3088">
        <v>12</v>
      </c>
      <c r="F3088" t="s">
        <v>178</v>
      </c>
      <c r="G3088" t="s">
        <v>96</v>
      </c>
      <c r="H3088" t="s">
        <v>108</v>
      </c>
      <c r="I3088" t="s">
        <v>69</v>
      </c>
      <c r="J3088" t="s">
        <v>44</v>
      </c>
      <c r="K3088" t="s">
        <v>38</v>
      </c>
      <c r="L3088">
        <v>3</v>
      </c>
      <c r="M3088">
        <v>449</v>
      </c>
      <c r="N3088">
        <v>22.45</v>
      </c>
      <c r="O3088">
        <v>60</v>
      </c>
      <c r="P3088">
        <v>1347</v>
      </c>
      <c r="Q3088">
        <v>1384.55</v>
      </c>
      <c r="R3088" t="s">
        <v>39</v>
      </c>
      <c r="S3088" t="s">
        <v>31</v>
      </c>
      <c r="T3088" t="s">
        <v>32</v>
      </c>
      <c r="U3088">
        <v>21</v>
      </c>
      <c r="V3088">
        <v>3.1</v>
      </c>
      <c r="W3088">
        <f>Table2[[#This Row],[Quantity]]*Table2[[#This Row],[Item_Price]]</f>
        <v>1347</v>
      </c>
    </row>
    <row r="3089" spans="1:23" x14ac:dyDescent="0.25">
      <c r="A3089" t="s">
        <v>3190</v>
      </c>
      <c r="B3089" s="1">
        <v>45881</v>
      </c>
      <c r="C3089" t="s">
        <v>3008</v>
      </c>
      <c r="D3089">
        <v>8</v>
      </c>
      <c r="E3089">
        <v>12</v>
      </c>
      <c r="F3089" t="s">
        <v>178</v>
      </c>
      <c r="G3089" t="s">
        <v>80</v>
      </c>
      <c r="H3089" t="s">
        <v>60</v>
      </c>
      <c r="I3089" t="s">
        <v>61</v>
      </c>
      <c r="J3089" t="s">
        <v>28</v>
      </c>
      <c r="K3089" t="s">
        <v>38</v>
      </c>
      <c r="L3089">
        <v>1</v>
      </c>
      <c r="M3089">
        <v>700</v>
      </c>
      <c r="N3089">
        <v>0</v>
      </c>
      <c r="O3089">
        <v>0</v>
      </c>
      <c r="P3089">
        <v>700</v>
      </c>
      <c r="Q3089">
        <v>700</v>
      </c>
      <c r="R3089" t="s">
        <v>39</v>
      </c>
      <c r="S3089" t="s">
        <v>31</v>
      </c>
      <c r="T3089" t="s">
        <v>40</v>
      </c>
      <c r="U3089">
        <v>33</v>
      </c>
      <c r="V3089">
        <v>3.6</v>
      </c>
      <c r="W3089">
        <f>Table2[[#This Row],[Quantity]]*Table2[[#This Row],[Item_Price]]</f>
        <v>700</v>
      </c>
    </row>
    <row r="3090" spans="1:23" x14ac:dyDescent="0.25">
      <c r="A3090" t="s">
        <v>3191</v>
      </c>
      <c r="B3090" s="1">
        <v>45881</v>
      </c>
      <c r="C3090" t="s">
        <v>3008</v>
      </c>
      <c r="D3090">
        <v>8</v>
      </c>
      <c r="E3090">
        <v>12</v>
      </c>
      <c r="F3090" t="s">
        <v>178</v>
      </c>
      <c r="G3090" t="s">
        <v>55</v>
      </c>
      <c r="H3090" t="s">
        <v>42</v>
      </c>
      <c r="I3090" t="s">
        <v>43</v>
      </c>
      <c r="J3090" t="s">
        <v>37</v>
      </c>
      <c r="K3090" t="s">
        <v>45</v>
      </c>
      <c r="L3090">
        <v>1</v>
      </c>
      <c r="M3090">
        <v>569</v>
      </c>
      <c r="N3090">
        <v>85.35</v>
      </c>
      <c r="O3090">
        <v>70</v>
      </c>
      <c r="P3090">
        <v>569</v>
      </c>
      <c r="Q3090">
        <v>553.65</v>
      </c>
      <c r="R3090" t="s">
        <v>39</v>
      </c>
      <c r="S3090" t="s">
        <v>31</v>
      </c>
      <c r="T3090" t="s">
        <v>40</v>
      </c>
      <c r="U3090">
        <v>63</v>
      </c>
      <c r="V3090">
        <v>4.9000000000000004</v>
      </c>
      <c r="W3090">
        <f>Table2[[#This Row],[Quantity]]*Table2[[#This Row],[Item_Price]]</f>
        <v>569</v>
      </c>
    </row>
    <row r="3091" spans="1:23" x14ac:dyDescent="0.25">
      <c r="A3091" t="s">
        <v>3192</v>
      </c>
      <c r="B3091" s="1">
        <v>45881</v>
      </c>
      <c r="C3091" t="s">
        <v>3008</v>
      </c>
      <c r="D3091">
        <v>8</v>
      </c>
      <c r="E3091">
        <v>12</v>
      </c>
      <c r="F3091" t="s">
        <v>178</v>
      </c>
      <c r="G3091" t="s">
        <v>55</v>
      </c>
      <c r="H3091" t="s">
        <v>105</v>
      </c>
      <c r="I3091" t="s">
        <v>61</v>
      </c>
      <c r="J3091" t="s">
        <v>62</v>
      </c>
      <c r="K3091" t="s">
        <v>38</v>
      </c>
      <c r="L3091">
        <v>2</v>
      </c>
      <c r="M3091">
        <v>710</v>
      </c>
      <c r="N3091">
        <v>106.5</v>
      </c>
      <c r="O3091">
        <v>30</v>
      </c>
      <c r="P3091">
        <v>1420</v>
      </c>
      <c r="Q3091">
        <v>1343.5</v>
      </c>
      <c r="R3091" t="s">
        <v>112</v>
      </c>
      <c r="S3091" t="s">
        <v>31</v>
      </c>
      <c r="T3091" t="s">
        <v>40</v>
      </c>
      <c r="U3091">
        <v>41</v>
      </c>
      <c r="V3091">
        <v>4.2</v>
      </c>
      <c r="W3091">
        <f>Table2[[#This Row],[Quantity]]*Table2[[#This Row],[Item_Price]]</f>
        <v>1420</v>
      </c>
    </row>
    <row r="3092" spans="1:23" x14ac:dyDescent="0.25">
      <c r="A3092" t="s">
        <v>3193</v>
      </c>
      <c r="B3092" s="1">
        <v>45881</v>
      </c>
      <c r="C3092" t="s">
        <v>3008</v>
      </c>
      <c r="D3092">
        <v>8</v>
      </c>
      <c r="E3092">
        <v>12</v>
      </c>
      <c r="F3092" t="s">
        <v>178</v>
      </c>
      <c r="G3092" t="s">
        <v>84</v>
      </c>
      <c r="H3092" t="s">
        <v>68</v>
      </c>
      <c r="I3092" t="s">
        <v>49</v>
      </c>
      <c r="J3092" t="s">
        <v>62</v>
      </c>
      <c r="K3092" t="s">
        <v>45</v>
      </c>
      <c r="L3092">
        <v>2</v>
      </c>
      <c r="M3092">
        <v>789</v>
      </c>
      <c r="N3092">
        <v>39.450000000000003</v>
      </c>
      <c r="O3092">
        <v>20</v>
      </c>
      <c r="P3092">
        <v>1578</v>
      </c>
      <c r="Q3092">
        <v>1558.55</v>
      </c>
      <c r="R3092" t="s">
        <v>39</v>
      </c>
      <c r="S3092" t="s">
        <v>46</v>
      </c>
      <c r="T3092" t="s">
        <v>40</v>
      </c>
      <c r="U3092">
        <v>48</v>
      </c>
      <c r="W3092">
        <f>Table2[[#This Row],[Quantity]]*Table2[[#This Row],[Item_Price]]</f>
        <v>1578</v>
      </c>
    </row>
    <row r="3093" spans="1:23" x14ac:dyDescent="0.25">
      <c r="A3093" t="s">
        <v>3194</v>
      </c>
      <c r="B3093" s="1">
        <v>45881</v>
      </c>
      <c r="C3093" t="s">
        <v>3008</v>
      </c>
      <c r="D3093">
        <v>8</v>
      </c>
      <c r="E3093">
        <v>12</v>
      </c>
      <c r="F3093" t="s">
        <v>178</v>
      </c>
      <c r="G3093" t="s">
        <v>80</v>
      </c>
      <c r="H3093" t="s">
        <v>56</v>
      </c>
      <c r="I3093" t="s">
        <v>103</v>
      </c>
      <c r="J3093" t="s">
        <v>82</v>
      </c>
      <c r="K3093" t="s">
        <v>38</v>
      </c>
      <c r="L3093">
        <v>3</v>
      </c>
      <c r="M3093">
        <v>623</v>
      </c>
      <c r="N3093">
        <v>155.75</v>
      </c>
      <c r="O3093">
        <v>30</v>
      </c>
      <c r="P3093">
        <v>1869</v>
      </c>
      <c r="Q3093">
        <v>1743.25</v>
      </c>
      <c r="R3093" t="s">
        <v>98</v>
      </c>
      <c r="S3093" t="s">
        <v>31</v>
      </c>
      <c r="T3093" t="s">
        <v>40</v>
      </c>
      <c r="U3093">
        <v>43</v>
      </c>
      <c r="V3093">
        <v>3.2</v>
      </c>
      <c r="W3093">
        <f>Table2[[#This Row],[Quantity]]*Table2[[#This Row],[Item_Price]]</f>
        <v>1869</v>
      </c>
    </row>
    <row r="3094" spans="1:23" x14ac:dyDescent="0.25">
      <c r="A3094" t="s">
        <v>3195</v>
      </c>
      <c r="B3094" s="1">
        <v>45881</v>
      </c>
      <c r="C3094" t="s">
        <v>3008</v>
      </c>
      <c r="D3094">
        <v>8</v>
      </c>
      <c r="E3094">
        <v>12</v>
      </c>
      <c r="F3094" t="s">
        <v>178</v>
      </c>
      <c r="G3094" t="s">
        <v>73</v>
      </c>
      <c r="H3094" t="s">
        <v>48</v>
      </c>
      <c r="I3094" t="s">
        <v>85</v>
      </c>
      <c r="J3094" t="s">
        <v>44</v>
      </c>
      <c r="K3094" t="s">
        <v>38</v>
      </c>
      <c r="L3094">
        <v>1</v>
      </c>
      <c r="M3094">
        <v>590</v>
      </c>
      <c r="N3094">
        <v>59</v>
      </c>
      <c r="O3094">
        <v>30</v>
      </c>
      <c r="P3094">
        <v>590</v>
      </c>
      <c r="Q3094">
        <v>561</v>
      </c>
      <c r="R3094" t="s">
        <v>39</v>
      </c>
      <c r="S3094" t="s">
        <v>31</v>
      </c>
      <c r="T3094" t="s">
        <v>32</v>
      </c>
      <c r="U3094">
        <v>27</v>
      </c>
      <c r="V3094">
        <v>4.5</v>
      </c>
      <c r="W3094">
        <f>Table2[[#This Row],[Quantity]]*Table2[[#This Row],[Item_Price]]</f>
        <v>590</v>
      </c>
    </row>
    <row r="3095" spans="1:23" x14ac:dyDescent="0.25">
      <c r="A3095" t="s">
        <v>3196</v>
      </c>
      <c r="B3095" s="1">
        <v>45882</v>
      </c>
      <c r="C3095" t="s">
        <v>3008</v>
      </c>
      <c r="D3095">
        <v>8</v>
      </c>
      <c r="E3095">
        <v>13</v>
      </c>
      <c r="F3095" t="s">
        <v>24</v>
      </c>
      <c r="G3095" t="s">
        <v>80</v>
      </c>
      <c r="H3095" t="s">
        <v>77</v>
      </c>
      <c r="I3095" t="s">
        <v>97</v>
      </c>
      <c r="J3095" t="s">
        <v>37</v>
      </c>
      <c r="K3095" t="s">
        <v>38</v>
      </c>
      <c r="L3095">
        <v>1</v>
      </c>
      <c r="M3095">
        <v>381</v>
      </c>
      <c r="N3095">
        <v>0</v>
      </c>
      <c r="O3095">
        <v>40</v>
      </c>
      <c r="P3095">
        <v>381</v>
      </c>
      <c r="Q3095">
        <v>421</v>
      </c>
      <c r="R3095" t="s">
        <v>39</v>
      </c>
      <c r="S3095" t="s">
        <v>31</v>
      </c>
      <c r="T3095" t="s">
        <v>40</v>
      </c>
      <c r="U3095">
        <v>67</v>
      </c>
      <c r="V3095">
        <v>4.8</v>
      </c>
      <c r="W3095">
        <f>Table2[[#This Row],[Quantity]]*Table2[[#This Row],[Item_Price]]</f>
        <v>381</v>
      </c>
    </row>
    <row r="3096" spans="1:23" x14ac:dyDescent="0.25">
      <c r="A3096" t="s">
        <v>3197</v>
      </c>
      <c r="B3096" s="1">
        <v>45882</v>
      </c>
      <c r="C3096" t="s">
        <v>3008</v>
      </c>
      <c r="D3096">
        <v>8</v>
      </c>
      <c r="E3096">
        <v>13</v>
      </c>
      <c r="F3096" t="s">
        <v>24</v>
      </c>
      <c r="G3096" t="s">
        <v>80</v>
      </c>
      <c r="H3096" t="s">
        <v>42</v>
      </c>
      <c r="I3096" t="s">
        <v>85</v>
      </c>
      <c r="J3096" t="s">
        <v>66</v>
      </c>
      <c r="K3096" t="s">
        <v>38</v>
      </c>
      <c r="L3096">
        <v>1</v>
      </c>
      <c r="M3096">
        <v>175</v>
      </c>
      <c r="N3096">
        <v>26.25</v>
      </c>
      <c r="O3096">
        <v>50</v>
      </c>
      <c r="P3096">
        <v>175</v>
      </c>
      <c r="Q3096">
        <v>198.75</v>
      </c>
      <c r="R3096" t="s">
        <v>75</v>
      </c>
      <c r="S3096" t="s">
        <v>110</v>
      </c>
      <c r="T3096" t="s">
        <v>40</v>
      </c>
      <c r="U3096">
        <v>50</v>
      </c>
      <c r="W3096">
        <f>Table2[[#This Row],[Quantity]]*Table2[[#This Row],[Item_Price]]</f>
        <v>175</v>
      </c>
    </row>
    <row r="3097" spans="1:23" x14ac:dyDescent="0.25">
      <c r="A3097" t="s">
        <v>3198</v>
      </c>
      <c r="B3097" s="1">
        <v>45882</v>
      </c>
      <c r="C3097" t="s">
        <v>3008</v>
      </c>
      <c r="D3097">
        <v>8</v>
      </c>
      <c r="E3097">
        <v>13</v>
      </c>
      <c r="F3097" t="s">
        <v>24</v>
      </c>
      <c r="G3097" t="s">
        <v>34</v>
      </c>
      <c r="H3097" t="s">
        <v>68</v>
      </c>
      <c r="I3097" t="s">
        <v>61</v>
      </c>
      <c r="J3097" t="s">
        <v>94</v>
      </c>
      <c r="K3097" t="s">
        <v>38</v>
      </c>
      <c r="L3097">
        <v>1</v>
      </c>
      <c r="M3097">
        <v>680</v>
      </c>
      <c r="N3097">
        <v>0</v>
      </c>
      <c r="O3097">
        <v>30</v>
      </c>
      <c r="P3097">
        <v>680</v>
      </c>
      <c r="Q3097">
        <v>710</v>
      </c>
      <c r="R3097" t="s">
        <v>39</v>
      </c>
      <c r="S3097" t="s">
        <v>31</v>
      </c>
      <c r="T3097" t="s">
        <v>40</v>
      </c>
      <c r="U3097">
        <v>18</v>
      </c>
      <c r="V3097">
        <v>2.8</v>
      </c>
      <c r="W3097">
        <f>Table2[[#This Row],[Quantity]]*Table2[[#This Row],[Item_Price]]</f>
        <v>680</v>
      </c>
    </row>
    <row r="3098" spans="1:23" x14ac:dyDescent="0.25">
      <c r="A3098" t="s">
        <v>3199</v>
      </c>
      <c r="B3098" s="1">
        <v>45882</v>
      </c>
      <c r="C3098" t="s">
        <v>3008</v>
      </c>
      <c r="D3098">
        <v>8</v>
      </c>
      <c r="E3098">
        <v>13</v>
      </c>
      <c r="F3098" t="s">
        <v>24</v>
      </c>
      <c r="G3098" t="s">
        <v>25</v>
      </c>
      <c r="H3098" t="s">
        <v>60</v>
      </c>
      <c r="I3098" t="s">
        <v>61</v>
      </c>
      <c r="J3098" t="s">
        <v>62</v>
      </c>
      <c r="K3098" t="s">
        <v>45</v>
      </c>
      <c r="L3098">
        <v>1</v>
      </c>
      <c r="M3098">
        <v>836</v>
      </c>
      <c r="N3098">
        <v>209</v>
      </c>
      <c r="O3098">
        <v>50</v>
      </c>
      <c r="P3098">
        <v>836</v>
      </c>
      <c r="Q3098">
        <v>677</v>
      </c>
      <c r="R3098" t="s">
        <v>30</v>
      </c>
      <c r="S3098" t="s">
        <v>31</v>
      </c>
      <c r="T3098" t="s">
        <v>40</v>
      </c>
      <c r="U3098">
        <v>26</v>
      </c>
      <c r="V3098">
        <v>4.7</v>
      </c>
      <c r="W3098">
        <f>Table2[[#This Row],[Quantity]]*Table2[[#This Row],[Item_Price]]</f>
        <v>836</v>
      </c>
    </row>
    <row r="3099" spans="1:23" x14ac:dyDescent="0.25">
      <c r="A3099" t="s">
        <v>3200</v>
      </c>
      <c r="B3099" s="1">
        <v>45882</v>
      </c>
      <c r="C3099" t="s">
        <v>3008</v>
      </c>
      <c r="D3099">
        <v>8</v>
      </c>
      <c r="E3099">
        <v>13</v>
      </c>
      <c r="F3099" t="s">
        <v>24</v>
      </c>
      <c r="G3099" t="s">
        <v>115</v>
      </c>
      <c r="H3099" t="s">
        <v>105</v>
      </c>
      <c r="I3099" t="s">
        <v>97</v>
      </c>
      <c r="J3099" t="s">
        <v>62</v>
      </c>
      <c r="K3099" t="s">
        <v>38</v>
      </c>
      <c r="L3099">
        <v>2</v>
      </c>
      <c r="M3099">
        <v>817</v>
      </c>
      <c r="N3099">
        <v>163.4</v>
      </c>
      <c r="O3099">
        <v>60</v>
      </c>
      <c r="P3099">
        <v>1634</v>
      </c>
      <c r="Q3099">
        <v>1530.6</v>
      </c>
      <c r="R3099" t="s">
        <v>39</v>
      </c>
      <c r="S3099" t="s">
        <v>31</v>
      </c>
      <c r="T3099" t="s">
        <v>40</v>
      </c>
      <c r="U3099">
        <v>32</v>
      </c>
      <c r="V3099">
        <v>4.3</v>
      </c>
      <c r="W3099">
        <f>Table2[[#This Row],[Quantity]]*Table2[[#This Row],[Item_Price]]</f>
        <v>1634</v>
      </c>
    </row>
    <row r="3100" spans="1:23" x14ac:dyDescent="0.25">
      <c r="A3100" t="s">
        <v>3201</v>
      </c>
      <c r="B3100" s="1">
        <v>45882</v>
      </c>
      <c r="C3100" t="s">
        <v>3008</v>
      </c>
      <c r="D3100">
        <v>8</v>
      </c>
      <c r="E3100">
        <v>13</v>
      </c>
      <c r="F3100" t="s">
        <v>24</v>
      </c>
      <c r="G3100" t="s">
        <v>25</v>
      </c>
      <c r="H3100" t="s">
        <v>26</v>
      </c>
      <c r="I3100" t="s">
        <v>85</v>
      </c>
      <c r="J3100" t="s">
        <v>28</v>
      </c>
      <c r="K3100" t="s">
        <v>38</v>
      </c>
      <c r="L3100">
        <v>3</v>
      </c>
      <c r="M3100">
        <v>508</v>
      </c>
      <c r="N3100">
        <v>0</v>
      </c>
      <c r="O3100">
        <v>20</v>
      </c>
      <c r="P3100">
        <v>1524</v>
      </c>
      <c r="Q3100">
        <v>1544</v>
      </c>
      <c r="R3100" t="s">
        <v>75</v>
      </c>
      <c r="S3100" t="s">
        <v>91</v>
      </c>
      <c r="T3100" t="s">
        <v>32</v>
      </c>
      <c r="U3100">
        <v>37</v>
      </c>
      <c r="W3100">
        <f>Table2[[#This Row],[Quantity]]*Table2[[#This Row],[Item_Price]]</f>
        <v>1524</v>
      </c>
    </row>
    <row r="3101" spans="1:23" x14ac:dyDescent="0.25">
      <c r="A3101" t="s">
        <v>3202</v>
      </c>
      <c r="B3101" s="1">
        <v>45882</v>
      </c>
      <c r="C3101" t="s">
        <v>3008</v>
      </c>
      <c r="D3101">
        <v>8</v>
      </c>
      <c r="E3101">
        <v>13</v>
      </c>
      <c r="F3101" t="s">
        <v>24</v>
      </c>
      <c r="G3101" t="s">
        <v>73</v>
      </c>
      <c r="H3101" t="s">
        <v>35</v>
      </c>
      <c r="I3101" t="s">
        <v>43</v>
      </c>
      <c r="J3101" t="s">
        <v>37</v>
      </c>
      <c r="K3101" t="s">
        <v>38</v>
      </c>
      <c r="L3101">
        <v>3</v>
      </c>
      <c r="M3101">
        <v>805</v>
      </c>
      <c r="N3101">
        <v>201.25</v>
      </c>
      <c r="O3101">
        <v>40</v>
      </c>
      <c r="P3101">
        <v>2415</v>
      </c>
      <c r="Q3101">
        <v>2253.75</v>
      </c>
      <c r="R3101" t="s">
        <v>98</v>
      </c>
      <c r="S3101" t="s">
        <v>31</v>
      </c>
      <c r="T3101" t="s">
        <v>32</v>
      </c>
      <c r="U3101">
        <v>34</v>
      </c>
      <c r="V3101">
        <v>5</v>
      </c>
      <c r="W3101">
        <f>Table2[[#This Row],[Quantity]]*Table2[[#This Row],[Item_Price]]</f>
        <v>2415</v>
      </c>
    </row>
    <row r="3102" spans="1:23" x14ac:dyDescent="0.25">
      <c r="A3102" t="s">
        <v>3203</v>
      </c>
      <c r="B3102" s="1">
        <v>45882</v>
      </c>
      <c r="C3102" t="s">
        <v>3008</v>
      </c>
      <c r="D3102">
        <v>8</v>
      </c>
      <c r="E3102">
        <v>13</v>
      </c>
      <c r="F3102" t="s">
        <v>24</v>
      </c>
      <c r="G3102" t="s">
        <v>34</v>
      </c>
      <c r="H3102" t="s">
        <v>56</v>
      </c>
      <c r="I3102" t="s">
        <v>103</v>
      </c>
      <c r="J3102" t="s">
        <v>82</v>
      </c>
      <c r="K3102" t="s">
        <v>38</v>
      </c>
      <c r="L3102">
        <v>1</v>
      </c>
      <c r="M3102">
        <v>307</v>
      </c>
      <c r="N3102">
        <v>61.4</v>
      </c>
      <c r="O3102">
        <v>20</v>
      </c>
      <c r="P3102">
        <v>307</v>
      </c>
      <c r="Q3102">
        <v>265.60000000000002</v>
      </c>
      <c r="R3102" t="s">
        <v>30</v>
      </c>
      <c r="S3102" t="s">
        <v>31</v>
      </c>
      <c r="T3102" t="s">
        <v>40</v>
      </c>
      <c r="U3102">
        <v>22</v>
      </c>
      <c r="V3102">
        <v>3.4</v>
      </c>
      <c r="W3102">
        <f>Table2[[#This Row],[Quantity]]*Table2[[#This Row],[Item_Price]]</f>
        <v>307</v>
      </c>
    </row>
    <row r="3103" spans="1:23" x14ac:dyDescent="0.25">
      <c r="A3103" t="s">
        <v>3204</v>
      </c>
      <c r="B3103" s="1">
        <v>45882</v>
      </c>
      <c r="C3103" t="s">
        <v>3008</v>
      </c>
      <c r="D3103">
        <v>8</v>
      </c>
      <c r="E3103">
        <v>13</v>
      </c>
      <c r="F3103" t="s">
        <v>24</v>
      </c>
      <c r="G3103" t="s">
        <v>64</v>
      </c>
      <c r="H3103" t="s">
        <v>42</v>
      </c>
      <c r="I3103" t="s">
        <v>69</v>
      </c>
      <c r="J3103" t="s">
        <v>119</v>
      </c>
      <c r="K3103" t="s">
        <v>38</v>
      </c>
      <c r="L3103">
        <v>3</v>
      </c>
      <c r="M3103">
        <v>473</v>
      </c>
      <c r="N3103">
        <v>94.6</v>
      </c>
      <c r="O3103">
        <v>50</v>
      </c>
      <c r="P3103">
        <v>1419</v>
      </c>
      <c r="Q3103">
        <v>1374.4</v>
      </c>
      <c r="R3103" t="s">
        <v>75</v>
      </c>
      <c r="S3103" t="s">
        <v>31</v>
      </c>
      <c r="T3103" t="s">
        <v>32</v>
      </c>
      <c r="U3103">
        <v>42</v>
      </c>
      <c r="V3103">
        <v>4.0999999999999996</v>
      </c>
      <c r="W3103">
        <f>Table2[[#This Row],[Quantity]]*Table2[[#This Row],[Item_Price]]</f>
        <v>1419</v>
      </c>
    </row>
    <row r="3104" spans="1:23" x14ac:dyDescent="0.25">
      <c r="A3104" t="s">
        <v>3205</v>
      </c>
      <c r="B3104" s="1">
        <v>45882</v>
      </c>
      <c r="C3104" t="s">
        <v>3008</v>
      </c>
      <c r="D3104">
        <v>8</v>
      </c>
      <c r="E3104">
        <v>13</v>
      </c>
      <c r="F3104" t="s">
        <v>24</v>
      </c>
      <c r="G3104" t="s">
        <v>64</v>
      </c>
      <c r="H3104" t="s">
        <v>139</v>
      </c>
      <c r="I3104" t="s">
        <v>27</v>
      </c>
      <c r="J3104" t="s">
        <v>50</v>
      </c>
      <c r="K3104" t="s">
        <v>38</v>
      </c>
      <c r="L3104">
        <v>3</v>
      </c>
      <c r="M3104">
        <v>237</v>
      </c>
      <c r="N3104">
        <v>0</v>
      </c>
      <c r="O3104">
        <v>60</v>
      </c>
      <c r="P3104">
        <v>711</v>
      </c>
      <c r="Q3104">
        <v>771</v>
      </c>
      <c r="R3104" t="s">
        <v>39</v>
      </c>
      <c r="S3104" t="s">
        <v>31</v>
      </c>
      <c r="T3104" t="s">
        <v>40</v>
      </c>
      <c r="U3104">
        <v>44</v>
      </c>
      <c r="V3104">
        <v>3.5</v>
      </c>
      <c r="W3104">
        <f>Table2[[#This Row],[Quantity]]*Table2[[#This Row],[Item_Price]]</f>
        <v>711</v>
      </c>
    </row>
    <row r="3105" spans="1:23" x14ac:dyDescent="0.25">
      <c r="A3105" t="s">
        <v>3206</v>
      </c>
      <c r="B3105" s="1">
        <v>45882</v>
      </c>
      <c r="C3105" t="s">
        <v>3008</v>
      </c>
      <c r="D3105">
        <v>8</v>
      </c>
      <c r="E3105">
        <v>13</v>
      </c>
      <c r="F3105" t="s">
        <v>24</v>
      </c>
      <c r="G3105" t="s">
        <v>80</v>
      </c>
      <c r="H3105" t="s">
        <v>65</v>
      </c>
      <c r="I3105" t="s">
        <v>69</v>
      </c>
      <c r="J3105" t="s">
        <v>78</v>
      </c>
      <c r="K3105" t="s">
        <v>38</v>
      </c>
      <c r="L3105">
        <v>1</v>
      </c>
      <c r="M3105">
        <v>242</v>
      </c>
      <c r="N3105">
        <v>48.4</v>
      </c>
      <c r="O3105">
        <v>0</v>
      </c>
      <c r="P3105">
        <v>242</v>
      </c>
      <c r="Q3105">
        <v>193.6</v>
      </c>
      <c r="R3105" t="s">
        <v>112</v>
      </c>
      <c r="S3105" t="s">
        <v>31</v>
      </c>
      <c r="T3105" t="s">
        <v>32</v>
      </c>
      <c r="U3105">
        <v>18</v>
      </c>
      <c r="V3105">
        <v>4.0999999999999996</v>
      </c>
      <c r="W3105">
        <f>Table2[[#This Row],[Quantity]]*Table2[[#This Row],[Item_Price]]</f>
        <v>242</v>
      </c>
    </row>
    <row r="3106" spans="1:23" x14ac:dyDescent="0.25">
      <c r="A3106" t="s">
        <v>3207</v>
      </c>
      <c r="B3106" s="1">
        <v>45882</v>
      </c>
      <c r="C3106" t="s">
        <v>3008</v>
      </c>
      <c r="D3106">
        <v>8</v>
      </c>
      <c r="E3106">
        <v>13</v>
      </c>
      <c r="F3106" t="s">
        <v>24</v>
      </c>
      <c r="G3106" t="s">
        <v>34</v>
      </c>
      <c r="H3106" t="s">
        <v>48</v>
      </c>
      <c r="I3106" t="s">
        <v>97</v>
      </c>
      <c r="J3106" t="s">
        <v>44</v>
      </c>
      <c r="K3106" t="s">
        <v>45</v>
      </c>
      <c r="L3106">
        <v>1</v>
      </c>
      <c r="M3106">
        <v>311</v>
      </c>
      <c r="N3106">
        <v>77.75</v>
      </c>
      <c r="O3106">
        <v>50</v>
      </c>
      <c r="P3106">
        <v>311</v>
      </c>
      <c r="Q3106">
        <v>283.25</v>
      </c>
      <c r="R3106" t="s">
        <v>39</v>
      </c>
      <c r="S3106" t="s">
        <v>31</v>
      </c>
      <c r="T3106" t="s">
        <v>32</v>
      </c>
      <c r="U3106">
        <v>39</v>
      </c>
      <c r="V3106">
        <v>4.4000000000000004</v>
      </c>
      <c r="W3106">
        <f>Table2[[#This Row],[Quantity]]*Table2[[#This Row],[Item_Price]]</f>
        <v>311</v>
      </c>
    </row>
    <row r="3107" spans="1:23" x14ac:dyDescent="0.25">
      <c r="A3107" t="s">
        <v>3208</v>
      </c>
      <c r="B3107" s="1">
        <v>45883</v>
      </c>
      <c r="C3107" t="s">
        <v>3008</v>
      </c>
      <c r="D3107">
        <v>8</v>
      </c>
      <c r="E3107">
        <v>14</v>
      </c>
      <c r="F3107" t="s">
        <v>88</v>
      </c>
      <c r="G3107" t="s">
        <v>73</v>
      </c>
      <c r="H3107" t="s">
        <v>135</v>
      </c>
      <c r="I3107" t="s">
        <v>49</v>
      </c>
      <c r="J3107" t="s">
        <v>70</v>
      </c>
      <c r="K3107" t="s">
        <v>38</v>
      </c>
      <c r="L3107">
        <v>1</v>
      </c>
      <c r="M3107">
        <v>633</v>
      </c>
      <c r="N3107">
        <v>31.65</v>
      </c>
      <c r="O3107">
        <v>50</v>
      </c>
      <c r="P3107">
        <v>633</v>
      </c>
      <c r="Q3107">
        <v>651.35</v>
      </c>
      <c r="R3107" t="s">
        <v>39</v>
      </c>
      <c r="S3107" t="s">
        <v>31</v>
      </c>
      <c r="T3107" t="s">
        <v>32</v>
      </c>
      <c r="U3107">
        <v>18</v>
      </c>
      <c r="V3107">
        <v>3.5</v>
      </c>
      <c r="W3107">
        <f>Table2[[#This Row],[Quantity]]*Table2[[#This Row],[Item_Price]]</f>
        <v>633</v>
      </c>
    </row>
    <row r="3108" spans="1:23" x14ac:dyDescent="0.25">
      <c r="A3108" t="s">
        <v>3209</v>
      </c>
      <c r="B3108" s="1">
        <v>45883</v>
      </c>
      <c r="C3108" t="s">
        <v>3008</v>
      </c>
      <c r="D3108">
        <v>8</v>
      </c>
      <c r="E3108">
        <v>14</v>
      </c>
      <c r="F3108" t="s">
        <v>88</v>
      </c>
      <c r="G3108" t="s">
        <v>55</v>
      </c>
      <c r="H3108" t="s">
        <v>77</v>
      </c>
      <c r="I3108" t="s">
        <v>61</v>
      </c>
      <c r="J3108" t="s">
        <v>37</v>
      </c>
      <c r="K3108" t="s">
        <v>29</v>
      </c>
      <c r="L3108">
        <v>1</v>
      </c>
      <c r="M3108">
        <v>396</v>
      </c>
      <c r="N3108">
        <v>39.6</v>
      </c>
      <c r="O3108">
        <v>50</v>
      </c>
      <c r="P3108">
        <v>396</v>
      </c>
      <c r="Q3108">
        <v>406.4</v>
      </c>
      <c r="R3108" t="s">
        <v>39</v>
      </c>
      <c r="S3108" t="s">
        <v>31</v>
      </c>
      <c r="T3108" t="s">
        <v>32</v>
      </c>
      <c r="U3108">
        <v>39</v>
      </c>
      <c r="V3108">
        <v>5</v>
      </c>
      <c r="W3108">
        <f>Table2[[#This Row],[Quantity]]*Table2[[#This Row],[Item_Price]]</f>
        <v>396</v>
      </c>
    </row>
    <row r="3109" spans="1:23" x14ac:dyDescent="0.25">
      <c r="A3109" t="s">
        <v>3210</v>
      </c>
      <c r="B3109" s="1">
        <v>45883</v>
      </c>
      <c r="C3109" t="s">
        <v>3008</v>
      </c>
      <c r="D3109">
        <v>8</v>
      </c>
      <c r="E3109">
        <v>14</v>
      </c>
      <c r="F3109" t="s">
        <v>88</v>
      </c>
      <c r="G3109" t="s">
        <v>64</v>
      </c>
      <c r="H3109" t="s">
        <v>108</v>
      </c>
      <c r="I3109" t="s">
        <v>43</v>
      </c>
      <c r="J3109" t="s">
        <v>94</v>
      </c>
      <c r="K3109" t="s">
        <v>38</v>
      </c>
      <c r="L3109">
        <v>2</v>
      </c>
      <c r="M3109">
        <v>744</v>
      </c>
      <c r="N3109">
        <v>0</v>
      </c>
      <c r="O3109">
        <v>20</v>
      </c>
      <c r="P3109">
        <v>1488</v>
      </c>
      <c r="Q3109">
        <v>1508</v>
      </c>
      <c r="R3109" t="s">
        <v>30</v>
      </c>
      <c r="S3109" t="s">
        <v>31</v>
      </c>
      <c r="T3109" t="s">
        <v>40</v>
      </c>
      <c r="U3109">
        <v>51</v>
      </c>
      <c r="V3109">
        <v>3.8</v>
      </c>
      <c r="W3109">
        <f>Table2[[#This Row],[Quantity]]*Table2[[#This Row],[Item_Price]]</f>
        <v>1488</v>
      </c>
    </row>
    <row r="3110" spans="1:23" x14ac:dyDescent="0.25">
      <c r="A3110" t="s">
        <v>3211</v>
      </c>
      <c r="B3110" s="1">
        <v>45883</v>
      </c>
      <c r="C3110" t="s">
        <v>3008</v>
      </c>
      <c r="D3110">
        <v>8</v>
      </c>
      <c r="E3110">
        <v>14</v>
      </c>
      <c r="F3110" t="s">
        <v>88</v>
      </c>
      <c r="G3110" t="s">
        <v>73</v>
      </c>
      <c r="H3110" t="s">
        <v>52</v>
      </c>
      <c r="I3110" t="s">
        <v>69</v>
      </c>
      <c r="J3110" t="s">
        <v>172</v>
      </c>
      <c r="K3110" t="s">
        <v>38</v>
      </c>
      <c r="L3110">
        <v>2</v>
      </c>
      <c r="M3110">
        <v>279</v>
      </c>
      <c r="N3110">
        <v>0</v>
      </c>
      <c r="O3110">
        <v>30</v>
      </c>
      <c r="P3110">
        <v>558</v>
      </c>
      <c r="Q3110">
        <v>588</v>
      </c>
      <c r="R3110" t="s">
        <v>75</v>
      </c>
      <c r="S3110" t="s">
        <v>31</v>
      </c>
      <c r="T3110" t="s">
        <v>40</v>
      </c>
      <c r="U3110">
        <v>21</v>
      </c>
      <c r="V3110">
        <v>3.9</v>
      </c>
      <c r="W3110">
        <f>Table2[[#This Row],[Quantity]]*Table2[[#This Row],[Item_Price]]</f>
        <v>558</v>
      </c>
    </row>
    <row r="3111" spans="1:23" x14ac:dyDescent="0.25">
      <c r="A3111" t="s">
        <v>3212</v>
      </c>
      <c r="B3111" s="1">
        <v>45883</v>
      </c>
      <c r="C3111" t="s">
        <v>3008</v>
      </c>
      <c r="D3111">
        <v>8</v>
      </c>
      <c r="E3111">
        <v>14</v>
      </c>
      <c r="F3111" t="s">
        <v>88</v>
      </c>
      <c r="G3111" t="s">
        <v>84</v>
      </c>
      <c r="H3111" t="s">
        <v>135</v>
      </c>
      <c r="I3111" t="s">
        <v>43</v>
      </c>
      <c r="J3111" t="s">
        <v>66</v>
      </c>
      <c r="K3111" t="s">
        <v>38</v>
      </c>
      <c r="L3111">
        <v>1</v>
      </c>
      <c r="M3111">
        <v>195</v>
      </c>
      <c r="N3111">
        <v>0</v>
      </c>
      <c r="O3111">
        <v>50</v>
      </c>
      <c r="P3111">
        <v>195</v>
      </c>
      <c r="Q3111">
        <v>245</v>
      </c>
      <c r="R3111" t="s">
        <v>98</v>
      </c>
      <c r="S3111" t="s">
        <v>31</v>
      </c>
      <c r="T3111" t="s">
        <v>40</v>
      </c>
      <c r="U3111">
        <v>44</v>
      </c>
      <c r="V3111">
        <v>3.5</v>
      </c>
      <c r="W3111">
        <f>Table2[[#This Row],[Quantity]]*Table2[[#This Row],[Item_Price]]</f>
        <v>195</v>
      </c>
    </row>
    <row r="3112" spans="1:23" x14ac:dyDescent="0.25">
      <c r="A3112" t="s">
        <v>3213</v>
      </c>
      <c r="B3112" s="1">
        <v>45883</v>
      </c>
      <c r="C3112" t="s">
        <v>3008</v>
      </c>
      <c r="D3112">
        <v>8</v>
      </c>
      <c r="E3112">
        <v>14</v>
      </c>
      <c r="F3112" t="s">
        <v>88</v>
      </c>
      <c r="G3112" t="s">
        <v>73</v>
      </c>
      <c r="H3112" t="s">
        <v>48</v>
      </c>
      <c r="I3112" t="s">
        <v>57</v>
      </c>
      <c r="J3112" t="s">
        <v>78</v>
      </c>
      <c r="K3112" t="s">
        <v>29</v>
      </c>
      <c r="L3112">
        <v>1</v>
      </c>
      <c r="M3112">
        <v>789</v>
      </c>
      <c r="N3112">
        <v>157.80000000000001</v>
      </c>
      <c r="O3112">
        <v>30</v>
      </c>
      <c r="P3112">
        <v>789</v>
      </c>
      <c r="Q3112">
        <v>661.2</v>
      </c>
      <c r="R3112" t="s">
        <v>39</v>
      </c>
      <c r="S3112" t="s">
        <v>31</v>
      </c>
      <c r="T3112" t="s">
        <v>40</v>
      </c>
      <c r="U3112">
        <v>26</v>
      </c>
      <c r="V3112">
        <v>5</v>
      </c>
      <c r="W3112">
        <f>Table2[[#This Row],[Quantity]]*Table2[[#This Row],[Item_Price]]</f>
        <v>789</v>
      </c>
    </row>
    <row r="3113" spans="1:23" x14ac:dyDescent="0.25">
      <c r="A3113" t="s">
        <v>3214</v>
      </c>
      <c r="B3113" s="1">
        <v>45883</v>
      </c>
      <c r="C3113" t="s">
        <v>3008</v>
      </c>
      <c r="D3113">
        <v>8</v>
      </c>
      <c r="E3113">
        <v>14</v>
      </c>
      <c r="F3113" t="s">
        <v>88</v>
      </c>
      <c r="G3113" t="s">
        <v>80</v>
      </c>
      <c r="H3113" t="s">
        <v>65</v>
      </c>
      <c r="I3113" t="s">
        <v>43</v>
      </c>
      <c r="J3113" t="s">
        <v>172</v>
      </c>
      <c r="K3113" t="s">
        <v>38</v>
      </c>
      <c r="L3113">
        <v>1</v>
      </c>
      <c r="M3113">
        <v>187</v>
      </c>
      <c r="N3113">
        <v>28.05</v>
      </c>
      <c r="O3113">
        <v>60</v>
      </c>
      <c r="P3113">
        <v>187</v>
      </c>
      <c r="Q3113">
        <v>218.95</v>
      </c>
      <c r="R3113" t="s">
        <v>75</v>
      </c>
      <c r="S3113" t="s">
        <v>31</v>
      </c>
      <c r="T3113" t="s">
        <v>40</v>
      </c>
      <c r="U3113">
        <v>40</v>
      </c>
      <c r="V3113">
        <v>4.0999999999999996</v>
      </c>
      <c r="W3113">
        <f>Table2[[#This Row],[Quantity]]*Table2[[#This Row],[Item_Price]]</f>
        <v>187</v>
      </c>
    </row>
    <row r="3114" spans="1:23" x14ac:dyDescent="0.25">
      <c r="A3114" t="s">
        <v>3215</v>
      </c>
      <c r="B3114" s="1">
        <v>45883</v>
      </c>
      <c r="C3114" t="s">
        <v>3008</v>
      </c>
      <c r="D3114">
        <v>8</v>
      </c>
      <c r="E3114">
        <v>14</v>
      </c>
      <c r="F3114" t="s">
        <v>88</v>
      </c>
      <c r="G3114" t="s">
        <v>80</v>
      </c>
      <c r="H3114" t="s">
        <v>139</v>
      </c>
      <c r="I3114" t="s">
        <v>97</v>
      </c>
      <c r="J3114" t="s">
        <v>50</v>
      </c>
      <c r="K3114" t="s">
        <v>38</v>
      </c>
      <c r="L3114">
        <v>2</v>
      </c>
      <c r="M3114">
        <v>807</v>
      </c>
      <c r="N3114">
        <v>0</v>
      </c>
      <c r="O3114">
        <v>40</v>
      </c>
      <c r="P3114">
        <v>1614</v>
      </c>
      <c r="Q3114">
        <v>1654</v>
      </c>
      <c r="R3114" t="s">
        <v>39</v>
      </c>
      <c r="S3114" t="s">
        <v>31</v>
      </c>
      <c r="T3114" t="s">
        <v>32</v>
      </c>
      <c r="U3114">
        <v>30</v>
      </c>
      <c r="V3114">
        <v>3.7</v>
      </c>
      <c r="W3114">
        <f>Table2[[#This Row],[Quantity]]*Table2[[#This Row],[Item_Price]]</f>
        <v>1614</v>
      </c>
    </row>
    <row r="3115" spans="1:23" x14ac:dyDescent="0.25">
      <c r="A3115" t="s">
        <v>3216</v>
      </c>
      <c r="B3115" s="1">
        <v>45883</v>
      </c>
      <c r="C3115" t="s">
        <v>3008</v>
      </c>
      <c r="D3115">
        <v>8</v>
      </c>
      <c r="E3115">
        <v>14</v>
      </c>
      <c r="F3115" t="s">
        <v>88</v>
      </c>
      <c r="G3115" t="s">
        <v>55</v>
      </c>
      <c r="H3115" t="s">
        <v>26</v>
      </c>
      <c r="I3115" t="s">
        <v>61</v>
      </c>
      <c r="J3115" t="s">
        <v>78</v>
      </c>
      <c r="K3115" t="s">
        <v>38</v>
      </c>
      <c r="L3115">
        <v>1</v>
      </c>
      <c r="M3115">
        <v>320</v>
      </c>
      <c r="N3115">
        <v>48</v>
      </c>
      <c r="O3115">
        <v>30</v>
      </c>
      <c r="P3115">
        <v>320</v>
      </c>
      <c r="Q3115">
        <v>302</v>
      </c>
      <c r="R3115" t="s">
        <v>112</v>
      </c>
      <c r="S3115" t="s">
        <v>31</v>
      </c>
      <c r="T3115" t="s">
        <v>40</v>
      </c>
      <c r="U3115">
        <v>51</v>
      </c>
      <c r="V3115">
        <v>3.9</v>
      </c>
      <c r="W3115">
        <f>Table2[[#This Row],[Quantity]]*Table2[[#This Row],[Item_Price]]</f>
        <v>320</v>
      </c>
    </row>
    <row r="3116" spans="1:23" x14ac:dyDescent="0.25">
      <c r="A3116" t="s">
        <v>3217</v>
      </c>
      <c r="B3116" s="1">
        <v>45883</v>
      </c>
      <c r="C3116" t="s">
        <v>3008</v>
      </c>
      <c r="D3116">
        <v>8</v>
      </c>
      <c r="E3116">
        <v>14</v>
      </c>
      <c r="F3116" t="s">
        <v>88</v>
      </c>
      <c r="G3116" t="s">
        <v>64</v>
      </c>
      <c r="H3116" t="s">
        <v>139</v>
      </c>
      <c r="I3116" t="s">
        <v>49</v>
      </c>
      <c r="J3116" t="s">
        <v>70</v>
      </c>
      <c r="K3116" t="s">
        <v>38</v>
      </c>
      <c r="L3116">
        <v>1</v>
      </c>
      <c r="M3116">
        <v>626</v>
      </c>
      <c r="N3116">
        <v>125.2</v>
      </c>
      <c r="O3116">
        <v>50</v>
      </c>
      <c r="P3116">
        <v>626</v>
      </c>
      <c r="Q3116">
        <v>550.79999999999995</v>
      </c>
      <c r="R3116" t="s">
        <v>39</v>
      </c>
      <c r="S3116" t="s">
        <v>31</v>
      </c>
      <c r="T3116" t="s">
        <v>32</v>
      </c>
      <c r="U3116">
        <v>42</v>
      </c>
      <c r="V3116">
        <v>5</v>
      </c>
      <c r="W3116">
        <f>Table2[[#This Row],[Quantity]]*Table2[[#This Row],[Item_Price]]</f>
        <v>626</v>
      </c>
    </row>
    <row r="3117" spans="1:23" x14ac:dyDescent="0.25">
      <c r="A3117" t="s">
        <v>3218</v>
      </c>
      <c r="B3117" s="1">
        <v>45883</v>
      </c>
      <c r="C3117" t="s">
        <v>3008</v>
      </c>
      <c r="D3117">
        <v>8</v>
      </c>
      <c r="E3117">
        <v>14</v>
      </c>
      <c r="F3117" t="s">
        <v>88</v>
      </c>
      <c r="G3117" t="s">
        <v>55</v>
      </c>
      <c r="H3117" t="s">
        <v>65</v>
      </c>
      <c r="I3117" t="s">
        <v>57</v>
      </c>
      <c r="J3117" t="s">
        <v>70</v>
      </c>
      <c r="K3117" t="s">
        <v>45</v>
      </c>
      <c r="L3117">
        <v>2</v>
      </c>
      <c r="M3117">
        <v>540</v>
      </c>
      <c r="N3117">
        <v>54</v>
      </c>
      <c r="O3117">
        <v>0</v>
      </c>
      <c r="P3117">
        <v>1080</v>
      </c>
      <c r="Q3117">
        <v>1026</v>
      </c>
      <c r="R3117" t="s">
        <v>75</v>
      </c>
      <c r="S3117" t="s">
        <v>31</v>
      </c>
      <c r="T3117" t="s">
        <v>32</v>
      </c>
      <c r="U3117">
        <v>22</v>
      </c>
      <c r="V3117">
        <v>4.7</v>
      </c>
      <c r="W3117">
        <f>Table2[[#This Row],[Quantity]]*Table2[[#This Row],[Item_Price]]</f>
        <v>1080</v>
      </c>
    </row>
    <row r="3118" spans="1:23" x14ac:dyDescent="0.25">
      <c r="A3118" t="s">
        <v>3219</v>
      </c>
      <c r="B3118" s="1">
        <v>45883</v>
      </c>
      <c r="C3118" t="s">
        <v>3008</v>
      </c>
      <c r="D3118">
        <v>8</v>
      </c>
      <c r="E3118">
        <v>14</v>
      </c>
      <c r="F3118" t="s">
        <v>88</v>
      </c>
      <c r="G3118" t="s">
        <v>73</v>
      </c>
      <c r="H3118" t="s">
        <v>68</v>
      </c>
      <c r="I3118" t="s">
        <v>57</v>
      </c>
      <c r="J3118" t="s">
        <v>78</v>
      </c>
      <c r="K3118" t="s">
        <v>38</v>
      </c>
      <c r="L3118">
        <v>1</v>
      </c>
      <c r="M3118">
        <v>868</v>
      </c>
      <c r="N3118">
        <v>86.8</v>
      </c>
      <c r="O3118">
        <v>60</v>
      </c>
      <c r="P3118">
        <v>868</v>
      </c>
      <c r="Q3118">
        <v>841.2</v>
      </c>
      <c r="R3118" t="s">
        <v>112</v>
      </c>
      <c r="S3118" t="s">
        <v>31</v>
      </c>
      <c r="T3118" t="s">
        <v>40</v>
      </c>
      <c r="U3118">
        <v>53</v>
      </c>
      <c r="V3118">
        <v>5</v>
      </c>
      <c r="W3118">
        <f>Table2[[#This Row],[Quantity]]*Table2[[#This Row],[Item_Price]]</f>
        <v>868</v>
      </c>
    </row>
    <row r="3119" spans="1:23" x14ac:dyDescent="0.25">
      <c r="A3119" t="s">
        <v>3220</v>
      </c>
      <c r="B3119" s="1">
        <v>45883</v>
      </c>
      <c r="C3119" t="s">
        <v>3008</v>
      </c>
      <c r="D3119">
        <v>8</v>
      </c>
      <c r="E3119">
        <v>14</v>
      </c>
      <c r="F3119" t="s">
        <v>88</v>
      </c>
      <c r="G3119" t="s">
        <v>80</v>
      </c>
      <c r="H3119" t="s">
        <v>42</v>
      </c>
      <c r="I3119" t="s">
        <v>36</v>
      </c>
      <c r="J3119" t="s">
        <v>44</v>
      </c>
      <c r="K3119" t="s">
        <v>58</v>
      </c>
      <c r="L3119">
        <v>2</v>
      </c>
      <c r="M3119">
        <v>460</v>
      </c>
      <c r="N3119">
        <v>115</v>
      </c>
      <c r="O3119">
        <v>30</v>
      </c>
      <c r="P3119">
        <v>920</v>
      </c>
      <c r="Q3119">
        <v>835</v>
      </c>
      <c r="R3119" t="s">
        <v>30</v>
      </c>
      <c r="S3119" t="s">
        <v>110</v>
      </c>
      <c r="T3119" t="s">
        <v>40</v>
      </c>
      <c r="U3119">
        <v>31</v>
      </c>
      <c r="W3119">
        <f>Table2[[#This Row],[Quantity]]*Table2[[#This Row],[Item_Price]]</f>
        <v>920</v>
      </c>
    </row>
    <row r="3120" spans="1:23" x14ac:dyDescent="0.25">
      <c r="A3120" t="s">
        <v>3221</v>
      </c>
      <c r="B3120" s="1">
        <v>45883</v>
      </c>
      <c r="C3120" t="s">
        <v>3008</v>
      </c>
      <c r="D3120">
        <v>8</v>
      </c>
      <c r="E3120">
        <v>14</v>
      </c>
      <c r="F3120" t="s">
        <v>88</v>
      </c>
      <c r="G3120" t="s">
        <v>73</v>
      </c>
      <c r="H3120" t="s">
        <v>108</v>
      </c>
      <c r="I3120" t="s">
        <v>49</v>
      </c>
      <c r="J3120" t="s">
        <v>123</v>
      </c>
      <c r="K3120" t="s">
        <v>38</v>
      </c>
      <c r="L3120">
        <v>3</v>
      </c>
      <c r="M3120">
        <v>563</v>
      </c>
      <c r="N3120">
        <v>112.6</v>
      </c>
      <c r="O3120">
        <v>60</v>
      </c>
      <c r="P3120">
        <v>1689</v>
      </c>
      <c r="Q3120">
        <v>1636.4</v>
      </c>
      <c r="R3120" t="s">
        <v>112</v>
      </c>
      <c r="S3120" t="s">
        <v>31</v>
      </c>
      <c r="T3120" t="s">
        <v>40</v>
      </c>
      <c r="U3120">
        <v>53</v>
      </c>
      <c r="V3120">
        <v>3.6</v>
      </c>
      <c r="W3120">
        <f>Table2[[#This Row],[Quantity]]*Table2[[#This Row],[Item_Price]]</f>
        <v>1689</v>
      </c>
    </row>
    <row r="3121" spans="1:23" x14ac:dyDescent="0.25">
      <c r="A3121" t="s">
        <v>3222</v>
      </c>
      <c r="B3121" s="1">
        <v>45883</v>
      </c>
      <c r="C3121" t="s">
        <v>3008</v>
      </c>
      <c r="D3121">
        <v>8</v>
      </c>
      <c r="E3121">
        <v>14</v>
      </c>
      <c r="F3121" t="s">
        <v>88</v>
      </c>
      <c r="G3121" t="s">
        <v>34</v>
      </c>
      <c r="H3121" t="s">
        <v>81</v>
      </c>
      <c r="I3121" t="s">
        <v>49</v>
      </c>
      <c r="J3121" t="s">
        <v>50</v>
      </c>
      <c r="K3121" t="s">
        <v>38</v>
      </c>
      <c r="L3121">
        <v>2</v>
      </c>
      <c r="M3121">
        <v>800</v>
      </c>
      <c r="N3121">
        <v>160</v>
      </c>
      <c r="O3121">
        <v>70</v>
      </c>
      <c r="P3121">
        <v>1600</v>
      </c>
      <c r="Q3121">
        <v>1510</v>
      </c>
      <c r="R3121" t="s">
        <v>112</v>
      </c>
      <c r="S3121" t="s">
        <v>31</v>
      </c>
      <c r="T3121" t="s">
        <v>32</v>
      </c>
      <c r="U3121">
        <v>24</v>
      </c>
      <c r="V3121">
        <v>4.5999999999999996</v>
      </c>
      <c r="W3121">
        <f>Table2[[#This Row],[Quantity]]*Table2[[#This Row],[Item_Price]]</f>
        <v>1600</v>
      </c>
    </row>
    <row r="3122" spans="1:23" x14ac:dyDescent="0.25">
      <c r="A3122" t="s">
        <v>3223</v>
      </c>
      <c r="B3122" s="1">
        <v>45884</v>
      </c>
      <c r="C3122" t="s">
        <v>3008</v>
      </c>
      <c r="D3122">
        <v>8</v>
      </c>
      <c r="E3122">
        <v>15</v>
      </c>
      <c r="F3122" t="s">
        <v>114</v>
      </c>
      <c r="G3122" t="s">
        <v>34</v>
      </c>
      <c r="H3122" t="s">
        <v>26</v>
      </c>
      <c r="I3122" t="s">
        <v>36</v>
      </c>
      <c r="J3122" t="s">
        <v>44</v>
      </c>
      <c r="K3122" t="s">
        <v>45</v>
      </c>
      <c r="L3122">
        <v>1</v>
      </c>
      <c r="M3122">
        <v>685</v>
      </c>
      <c r="N3122">
        <v>68.5</v>
      </c>
      <c r="O3122">
        <v>30</v>
      </c>
      <c r="P3122">
        <v>685</v>
      </c>
      <c r="Q3122">
        <v>646.5</v>
      </c>
      <c r="R3122" t="s">
        <v>112</v>
      </c>
      <c r="S3122" t="s">
        <v>46</v>
      </c>
      <c r="T3122" t="s">
        <v>40</v>
      </c>
      <c r="U3122">
        <v>28</v>
      </c>
      <c r="W3122">
        <f>Table2[[#This Row],[Quantity]]*Table2[[#This Row],[Item_Price]]</f>
        <v>685</v>
      </c>
    </row>
    <row r="3123" spans="1:23" x14ac:dyDescent="0.25">
      <c r="A3123" t="s">
        <v>3224</v>
      </c>
      <c r="B3123" s="1">
        <v>45884</v>
      </c>
      <c r="C3123" t="s">
        <v>3008</v>
      </c>
      <c r="D3123">
        <v>8</v>
      </c>
      <c r="E3123">
        <v>15</v>
      </c>
      <c r="F3123" t="s">
        <v>114</v>
      </c>
      <c r="G3123" t="s">
        <v>80</v>
      </c>
      <c r="H3123" t="s">
        <v>68</v>
      </c>
      <c r="I3123" t="s">
        <v>85</v>
      </c>
      <c r="J3123" t="s">
        <v>78</v>
      </c>
      <c r="K3123" t="s">
        <v>29</v>
      </c>
      <c r="L3123">
        <v>2</v>
      </c>
      <c r="M3123">
        <v>143</v>
      </c>
      <c r="N3123">
        <v>14.3</v>
      </c>
      <c r="O3123">
        <v>20</v>
      </c>
      <c r="P3123">
        <v>286</v>
      </c>
      <c r="Q3123">
        <v>291.7</v>
      </c>
      <c r="R3123" t="s">
        <v>98</v>
      </c>
      <c r="S3123" t="s">
        <v>31</v>
      </c>
      <c r="T3123" t="s">
        <v>40</v>
      </c>
      <c r="U3123">
        <v>22</v>
      </c>
      <c r="V3123">
        <v>4.4000000000000004</v>
      </c>
      <c r="W3123">
        <f>Table2[[#This Row],[Quantity]]*Table2[[#This Row],[Item_Price]]</f>
        <v>286</v>
      </c>
    </row>
    <row r="3124" spans="1:23" x14ac:dyDescent="0.25">
      <c r="A3124" t="s">
        <v>3225</v>
      </c>
      <c r="B3124" s="1">
        <v>45884</v>
      </c>
      <c r="C3124" t="s">
        <v>3008</v>
      </c>
      <c r="D3124">
        <v>8</v>
      </c>
      <c r="E3124">
        <v>15</v>
      </c>
      <c r="F3124" t="s">
        <v>114</v>
      </c>
      <c r="G3124" t="s">
        <v>55</v>
      </c>
      <c r="H3124" t="s">
        <v>56</v>
      </c>
      <c r="I3124" t="s">
        <v>57</v>
      </c>
      <c r="J3124" t="s">
        <v>82</v>
      </c>
      <c r="K3124" t="s">
        <v>38</v>
      </c>
      <c r="L3124">
        <v>1</v>
      </c>
      <c r="M3124">
        <v>239</v>
      </c>
      <c r="N3124">
        <v>35.85</v>
      </c>
      <c r="O3124">
        <v>50</v>
      </c>
      <c r="P3124">
        <v>239</v>
      </c>
      <c r="Q3124">
        <v>253.15</v>
      </c>
      <c r="R3124" t="s">
        <v>39</v>
      </c>
      <c r="S3124" t="s">
        <v>31</v>
      </c>
      <c r="T3124" t="s">
        <v>40</v>
      </c>
      <c r="U3124">
        <v>54</v>
      </c>
      <c r="V3124">
        <v>3.2</v>
      </c>
      <c r="W3124">
        <f>Table2[[#This Row],[Quantity]]*Table2[[#This Row],[Item_Price]]</f>
        <v>239</v>
      </c>
    </row>
    <row r="3125" spans="1:23" x14ac:dyDescent="0.25">
      <c r="A3125" t="s">
        <v>3226</v>
      </c>
      <c r="B3125" s="1">
        <v>45884</v>
      </c>
      <c r="C3125" t="s">
        <v>3008</v>
      </c>
      <c r="D3125">
        <v>8</v>
      </c>
      <c r="E3125">
        <v>15</v>
      </c>
      <c r="F3125" t="s">
        <v>114</v>
      </c>
      <c r="G3125" t="s">
        <v>96</v>
      </c>
      <c r="H3125" t="s">
        <v>68</v>
      </c>
      <c r="I3125" t="s">
        <v>97</v>
      </c>
      <c r="J3125" t="s">
        <v>82</v>
      </c>
      <c r="K3125" t="s">
        <v>45</v>
      </c>
      <c r="L3125">
        <v>1</v>
      </c>
      <c r="M3125">
        <v>740</v>
      </c>
      <c r="N3125">
        <v>111</v>
      </c>
      <c r="O3125">
        <v>50</v>
      </c>
      <c r="P3125">
        <v>740</v>
      </c>
      <c r="Q3125">
        <v>679</v>
      </c>
      <c r="R3125" t="s">
        <v>112</v>
      </c>
      <c r="S3125" t="s">
        <v>31</v>
      </c>
      <c r="T3125" t="s">
        <v>40</v>
      </c>
      <c r="U3125">
        <v>57</v>
      </c>
      <c r="V3125">
        <v>4.3</v>
      </c>
      <c r="W3125">
        <f>Table2[[#This Row],[Quantity]]*Table2[[#This Row],[Item_Price]]</f>
        <v>740</v>
      </c>
    </row>
    <row r="3126" spans="1:23" x14ac:dyDescent="0.25">
      <c r="A3126" t="s">
        <v>3227</v>
      </c>
      <c r="B3126" s="1">
        <v>45884</v>
      </c>
      <c r="C3126" t="s">
        <v>3008</v>
      </c>
      <c r="D3126">
        <v>8</v>
      </c>
      <c r="E3126">
        <v>15</v>
      </c>
      <c r="F3126" t="s">
        <v>114</v>
      </c>
      <c r="G3126" t="s">
        <v>80</v>
      </c>
      <c r="H3126" t="s">
        <v>139</v>
      </c>
      <c r="I3126" t="s">
        <v>49</v>
      </c>
      <c r="J3126" t="s">
        <v>53</v>
      </c>
      <c r="K3126" t="s">
        <v>38</v>
      </c>
      <c r="L3126">
        <v>1</v>
      </c>
      <c r="M3126">
        <v>434</v>
      </c>
      <c r="N3126">
        <v>108.5</v>
      </c>
      <c r="O3126">
        <v>20</v>
      </c>
      <c r="P3126">
        <v>434</v>
      </c>
      <c r="Q3126">
        <v>345.5</v>
      </c>
      <c r="R3126" t="s">
        <v>30</v>
      </c>
      <c r="S3126" t="s">
        <v>31</v>
      </c>
      <c r="T3126" t="s">
        <v>40</v>
      </c>
      <c r="U3126">
        <v>66</v>
      </c>
      <c r="V3126">
        <v>4.3</v>
      </c>
      <c r="W3126">
        <f>Table2[[#This Row],[Quantity]]*Table2[[#This Row],[Item_Price]]</f>
        <v>434</v>
      </c>
    </row>
    <row r="3127" spans="1:23" x14ac:dyDescent="0.25">
      <c r="A3127" t="s">
        <v>3228</v>
      </c>
      <c r="B3127" s="1">
        <v>45884</v>
      </c>
      <c r="C3127" t="s">
        <v>3008</v>
      </c>
      <c r="D3127">
        <v>8</v>
      </c>
      <c r="E3127">
        <v>15</v>
      </c>
      <c r="F3127" t="s">
        <v>114</v>
      </c>
      <c r="G3127" t="s">
        <v>80</v>
      </c>
      <c r="H3127" t="s">
        <v>48</v>
      </c>
      <c r="I3127" t="s">
        <v>97</v>
      </c>
      <c r="J3127" t="s">
        <v>172</v>
      </c>
      <c r="K3127" t="s">
        <v>38</v>
      </c>
      <c r="L3127">
        <v>1</v>
      </c>
      <c r="M3127">
        <v>235</v>
      </c>
      <c r="N3127">
        <v>35.25</v>
      </c>
      <c r="O3127">
        <v>30</v>
      </c>
      <c r="P3127">
        <v>235</v>
      </c>
      <c r="Q3127">
        <v>229.75</v>
      </c>
      <c r="R3127" t="s">
        <v>30</v>
      </c>
      <c r="S3127" t="s">
        <v>31</v>
      </c>
      <c r="T3127" t="s">
        <v>40</v>
      </c>
      <c r="U3127">
        <v>35</v>
      </c>
      <c r="V3127">
        <v>4.0999999999999996</v>
      </c>
      <c r="W3127">
        <f>Table2[[#This Row],[Quantity]]*Table2[[#This Row],[Item_Price]]</f>
        <v>235</v>
      </c>
    </row>
    <row r="3128" spans="1:23" x14ac:dyDescent="0.25">
      <c r="A3128" t="s">
        <v>3229</v>
      </c>
      <c r="B3128" s="1">
        <v>45884</v>
      </c>
      <c r="C3128" t="s">
        <v>3008</v>
      </c>
      <c r="D3128">
        <v>8</v>
      </c>
      <c r="E3128">
        <v>15</v>
      </c>
      <c r="F3128" t="s">
        <v>114</v>
      </c>
      <c r="G3128" t="s">
        <v>55</v>
      </c>
      <c r="H3128" t="s">
        <v>105</v>
      </c>
      <c r="I3128" t="s">
        <v>61</v>
      </c>
      <c r="J3128" t="s">
        <v>62</v>
      </c>
      <c r="K3128" t="s">
        <v>38</v>
      </c>
      <c r="L3128">
        <v>2</v>
      </c>
      <c r="M3128">
        <v>731</v>
      </c>
      <c r="N3128">
        <v>73.099999999999994</v>
      </c>
      <c r="O3128">
        <v>50</v>
      </c>
      <c r="P3128">
        <v>1462</v>
      </c>
      <c r="Q3128">
        <v>1438.9</v>
      </c>
      <c r="R3128" t="s">
        <v>75</v>
      </c>
      <c r="S3128" t="s">
        <v>31</v>
      </c>
      <c r="T3128" t="s">
        <v>40</v>
      </c>
      <c r="U3128">
        <v>52</v>
      </c>
      <c r="V3128">
        <v>3.9</v>
      </c>
      <c r="W3128">
        <f>Table2[[#This Row],[Quantity]]*Table2[[#This Row],[Item_Price]]</f>
        <v>1462</v>
      </c>
    </row>
    <row r="3129" spans="1:23" x14ac:dyDescent="0.25">
      <c r="A3129" t="s">
        <v>3230</v>
      </c>
      <c r="B3129" s="1">
        <v>45884</v>
      </c>
      <c r="C3129" t="s">
        <v>3008</v>
      </c>
      <c r="D3129">
        <v>8</v>
      </c>
      <c r="E3129">
        <v>15</v>
      </c>
      <c r="F3129" t="s">
        <v>114</v>
      </c>
      <c r="G3129" t="s">
        <v>73</v>
      </c>
      <c r="H3129" t="s">
        <v>68</v>
      </c>
      <c r="I3129" t="s">
        <v>85</v>
      </c>
      <c r="J3129" t="s">
        <v>78</v>
      </c>
      <c r="K3129" t="s">
        <v>38</v>
      </c>
      <c r="L3129">
        <v>1</v>
      </c>
      <c r="M3129">
        <v>514</v>
      </c>
      <c r="N3129">
        <v>102.8</v>
      </c>
      <c r="O3129">
        <v>60</v>
      </c>
      <c r="P3129">
        <v>514</v>
      </c>
      <c r="Q3129">
        <v>471.2</v>
      </c>
      <c r="R3129" t="s">
        <v>39</v>
      </c>
      <c r="S3129" t="s">
        <v>31</v>
      </c>
      <c r="T3129" t="s">
        <v>40</v>
      </c>
      <c r="U3129">
        <v>48</v>
      </c>
      <c r="V3129">
        <v>4.8</v>
      </c>
      <c r="W3129">
        <f>Table2[[#This Row],[Quantity]]*Table2[[#This Row],[Item_Price]]</f>
        <v>514</v>
      </c>
    </row>
    <row r="3130" spans="1:23" x14ac:dyDescent="0.25">
      <c r="A3130" t="s">
        <v>3231</v>
      </c>
      <c r="B3130" s="1">
        <v>45884</v>
      </c>
      <c r="C3130" t="s">
        <v>3008</v>
      </c>
      <c r="D3130">
        <v>8</v>
      </c>
      <c r="E3130">
        <v>15</v>
      </c>
      <c r="F3130" t="s">
        <v>114</v>
      </c>
      <c r="G3130" t="s">
        <v>34</v>
      </c>
      <c r="H3130" t="s">
        <v>65</v>
      </c>
      <c r="I3130" t="s">
        <v>61</v>
      </c>
      <c r="J3130" t="s">
        <v>74</v>
      </c>
      <c r="K3130" t="s">
        <v>38</v>
      </c>
      <c r="L3130">
        <v>2</v>
      </c>
      <c r="M3130">
        <v>749</v>
      </c>
      <c r="N3130">
        <v>37.450000000000003</v>
      </c>
      <c r="O3130">
        <v>0</v>
      </c>
      <c r="P3130">
        <v>1498</v>
      </c>
      <c r="Q3130">
        <v>1460.55</v>
      </c>
      <c r="R3130" t="s">
        <v>98</v>
      </c>
      <c r="S3130" t="s">
        <v>31</v>
      </c>
      <c r="T3130" t="s">
        <v>40</v>
      </c>
      <c r="U3130">
        <v>42</v>
      </c>
      <c r="V3130">
        <v>5</v>
      </c>
      <c r="W3130">
        <f>Table2[[#This Row],[Quantity]]*Table2[[#This Row],[Item_Price]]</f>
        <v>1498</v>
      </c>
    </row>
    <row r="3131" spans="1:23" x14ac:dyDescent="0.25">
      <c r="A3131" t="s">
        <v>3232</v>
      </c>
      <c r="B3131" s="1">
        <v>45884</v>
      </c>
      <c r="C3131" t="s">
        <v>3008</v>
      </c>
      <c r="D3131">
        <v>8</v>
      </c>
      <c r="E3131">
        <v>15</v>
      </c>
      <c r="F3131" t="s">
        <v>114</v>
      </c>
      <c r="G3131" t="s">
        <v>115</v>
      </c>
      <c r="H3131" t="s">
        <v>56</v>
      </c>
      <c r="I3131" t="s">
        <v>97</v>
      </c>
      <c r="J3131" t="s">
        <v>82</v>
      </c>
      <c r="K3131" t="s">
        <v>38</v>
      </c>
      <c r="L3131">
        <v>1</v>
      </c>
      <c r="M3131">
        <v>188</v>
      </c>
      <c r="N3131">
        <v>18.8</v>
      </c>
      <c r="O3131">
        <v>0</v>
      </c>
      <c r="P3131">
        <v>188</v>
      </c>
      <c r="Q3131">
        <v>169.2</v>
      </c>
      <c r="R3131" t="s">
        <v>98</v>
      </c>
      <c r="S3131" t="s">
        <v>31</v>
      </c>
      <c r="T3131" t="s">
        <v>32</v>
      </c>
      <c r="U3131">
        <v>42</v>
      </c>
      <c r="V3131">
        <v>4</v>
      </c>
      <c r="W3131">
        <f>Table2[[#This Row],[Quantity]]*Table2[[#This Row],[Item_Price]]</f>
        <v>188</v>
      </c>
    </row>
    <row r="3132" spans="1:23" x14ac:dyDescent="0.25">
      <c r="A3132" t="s">
        <v>3233</v>
      </c>
      <c r="B3132" s="1">
        <v>45884</v>
      </c>
      <c r="C3132" t="s">
        <v>3008</v>
      </c>
      <c r="D3132">
        <v>8</v>
      </c>
      <c r="E3132">
        <v>15</v>
      </c>
      <c r="F3132" t="s">
        <v>114</v>
      </c>
      <c r="G3132" t="s">
        <v>25</v>
      </c>
      <c r="H3132" t="s">
        <v>26</v>
      </c>
      <c r="I3132" t="s">
        <v>103</v>
      </c>
      <c r="J3132" t="s">
        <v>70</v>
      </c>
      <c r="K3132" t="s">
        <v>38</v>
      </c>
      <c r="L3132">
        <v>2</v>
      </c>
      <c r="M3132">
        <v>399</v>
      </c>
      <c r="N3132">
        <v>19.95</v>
      </c>
      <c r="O3132">
        <v>30</v>
      </c>
      <c r="P3132">
        <v>798</v>
      </c>
      <c r="Q3132">
        <v>808.05</v>
      </c>
      <c r="R3132" t="s">
        <v>39</v>
      </c>
      <c r="S3132" t="s">
        <v>31</v>
      </c>
      <c r="T3132" t="s">
        <v>40</v>
      </c>
      <c r="U3132">
        <v>45</v>
      </c>
      <c r="V3132">
        <v>4.3</v>
      </c>
      <c r="W3132">
        <f>Table2[[#This Row],[Quantity]]*Table2[[#This Row],[Item_Price]]</f>
        <v>798</v>
      </c>
    </row>
    <row r="3133" spans="1:23" x14ac:dyDescent="0.25">
      <c r="A3133" t="s">
        <v>3234</v>
      </c>
      <c r="B3133" s="1">
        <v>45884</v>
      </c>
      <c r="C3133" t="s">
        <v>3008</v>
      </c>
      <c r="D3133">
        <v>8</v>
      </c>
      <c r="E3133">
        <v>15</v>
      </c>
      <c r="F3133" t="s">
        <v>114</v>
      </c>
      <c r="G3133" t="s">
        <v>64</v>
      </c>
      <c r="H3133" t="s">
        <v>68</v>
      </c>
      <c r="I3133" t="s">
        <v>61</v>
      </c>
      <c r="J3133" t="s">
        <v>70</v>
      </c>
      <c r="K3133" t="s">
        <v>38</v>
      </c>
      <c r="L3133">
        <v>3</v>
      </c>
      <c r="M3133">
        <v>506</v>
      </c>
      <c r="N3133">
        <v>50.6</v>
      </c>
      <c r="O3133">
        <v>20</v>
      </c>
      <c r="P3133">
        <v>1518</v>
      </c>
      <c r="Q3133">
        <v>1487.4</v>
      </c>
      <c r="R3133" t="s">
        <v>75</v>
      </c>
      <c r="S3133" t="s">
        <v>31</v>
      </c>
      <c r="T3133" t="s">
        <v>40</v>
      </c>
      <c r="U3133">
        <v>67</v>
      </c>
      <c r="V3133">
        <v>3.8</v>
      </c>
      <c r="W3133">
        <f>Table2[[#This Row],[Quantity]]*Table2[[#This Row],[Item_Price]]</f>
        <v>1518</v>
      </c>
    </row>
    <row r="3134" spans="1:23" x14ac:dyDescent="0.25">
      <c r="A3134" t="s">
        <v>3235</v>
      </c>
      <c r="B3134" s="1">
        <v>45884</v>
      </c>
      <c r="C3134" t="s">
        <v>3008</v>
      </c>
      <c r="D3134">
        <v>8</v>
      </c>
      <c r="E3134">
        <v>15</v>
      </c>
      <c r="F3134" t="s">
        <v>114</v>
      </c>
      <c r="G3134" t="s">
        <v>115</v>
      </c>
      <c r="H3134" t="s">
        <v>105</v>
      </c>
      <c r="I3134" t="s">
        <v>97</v>
      </c>
      <c r="J3134" t="s">
        <v>53</v>
      </c>
      <c r="K3134" t="s">
        <v>45</v>
      </c>
      <c r="L3134">
        <v>2</v>
      </c>
      <c r="M3134">
        <v>446</v>
      </c>
      <c r="N3134">
        <v>89.2</v>
      </c>
      <c r="O3134">
        <v>20</v>
      </c>
      <c r="P3134">
        <v>892</v>
      </c>
      <c r="Q3134">
        <v>822.8</v>
      </c>
      <c r="R3134" t="s">
        <v>39</v>
      </c>
      <c r="S3134" t="s">
        <v>91</v>
      </c>
      <c r="T3134" t="s">
        <v>32</v>
      </c>
      <c r="U3134">
        <v>59</v>
      </c>
      <c r="W3134">
        <f>Table2[[#This Row],[Quantity]]*Table2[[#This Row],[Item_Price]]</f>
        <v>892</v>
      </c>
    </row>
    <row r="3135" spans="1:23" x14ac:dyDescent="0.25">
      <c r="A3135" t="s">
        <v>3236</v>
      </c>
      <c r="B3135" s="1">
        <v>45884</v>
      </c>
      <c r="C3135" t="s">
        <v>3008</v>
      </c>
      <c r="D3135">
        <v>8</v>
      </c>
      <c r="E3135">
        <v>15</v>
      </c>
      <c r="F3135" t="s">
        <v>114</v>
      </c>
      <c r="G3135" t="s">
        <v>115</v>
      </c>
      <c r="H3135" t="s">
        <v>56</v>
      </c>
      <c r="I3135" t="s">
        <v>43</v>
      </c>
      <c r="J3135" t="s">
        <v>82</v>
      </c>
      <c r="K3135" t="s">
        <v>45</v>
      </c>
      <c r="L3135">
        <v>1</v>
      </c>
      <c r="M3135">
        <v>713</v>
      </c>
      <c r="N3135">
        <v>71.3</v>
      </c>
      <c r="O3135">
        <v>30</v>
      </c>
      <c r="P3135">
        <v>713</v>
      </c>
      <c r="Q3135">
        <v>671.7</v>
      </c>
      <c r="R3135" t="s">
        <v>39</v>
      </c>
      <c r="S3135" t="s">
        <v>110</v>
      </c>
      <c r="T3135" t="s">
        <v>32</v>
      </c>
      <c r="U3135">
        <v>59</v>
      </c>
      <c r="W3135">
        <f>Table2[[#This Row],[Quantity]]*Table2[[#This Row],[Item_Price]]</f>
        <v>713</v>
      </c>
    </row>
    <row r="3136" spans="1:23" x14ac:dyDescent="0.25">
      <c r="A3136" t="s">
        <v>3237</v>
      </c>
      <c r="B3136" s="1">
        <v>45884</v>
      </c>
      <c r="C3136" t="s">
        <v>3008</v>
      </c>
      <c r="D3136">
        <v>8</v>
      </c>
      <c r="E3136">
        <v>15</v>
      </c>
      <c r="F3136" t="s">
        <v>114</v>
      </c>
      <c r="G3136" t="s">
        <v>115</v>
      </c>
      <c r="H3136" t="s">
        <v>52</v>
      </c>
      <c r="I3136" t="s">
        <v>61</v>
      </c>
      <c r="J3136" t="s">
        <v>28</v>
      </c>
      <c r="K3136" t="s">
        <v>38</v>
      </c>
      <c r="L3136">
        <v>2</v>
      </c>
      <c r="M3136">
        <v>252</v>
      </c>
      <c r="N3136">
        <v>25.2</v>
      </c>
      <c r="O3136">
        <v>30</v>
      </c>
      <c r="P3136">
        <v>504</v>
      </c>
      <c r="Q3136">
        <v>508.8</v>
      </c>
      <c r="R3136" t="s">
        <v>39</v>
      </c>
      <c r="S3136" t="s">
        <v>31</v>
      </c>
      <c r="T3136" t="s">
        <v>32</v>
      </c>
      <c r="U3136">
        <v>37</v>
      </c>
      <c r="V3136">
        <v>4.0999999999999996</v>
      </c>
      <c r="W3136">
        <f>Table2[[#This Row],[Quantity]]*Table2[[#This Row],[Item_Price]]</f>
        <v>504</v>
      </c>
    </row>
    <row r="3137" spans="1:23" x14ac:dyDescent="0.25">
      <c r="A3137" t="s">
        <v>3238</v>
      </c>
      <c r="B3137" s="1">
        <v>45884</v>
      </c>
      <c r="C3137" t="s">
        <v>3008</v>
      </c>
      <c r="D3137">
        <v>8</v>
      </c>
      <c r="E3137">
        <v>15</v>
      </c>
      <c r="F3137" t="s">
        <v>114</v>
      </c>
      <c r="G3137" t="s">
        <v>80</v>
      </c>
      <c r="H3137" t="s">
        <v>77</v>
      </c>
      <c r="I3137" t="s">
        <v>85</v>
      </c>
      <c r="J3137" t="s">
        <v>78</v>
      </c>
      <c r="K3137" t="s">
        <v>45</v>
      </c>
      <c r="L3137">
        <v>2</v>
      </c>
      <c r="M3137">
        <v>651</v>
      </c>
      <c r="N3137">
        <v>32.549999999999997</v>
      </c>
      <c r="O3137">
        <v>30</v>
      </c>
      <c r="P3137">
        <v>1302</v>
      </c>
      <c r="Q3137">
        <v>1299.45</v>
      </c>
      <c r="R3137" t="s">
        <v>39</v>
      </c>
      <c r="S3137" t="s">
        <v>31</v>
      </c>
      <c r="T3137" t="s">
        <v>40</v>
      </c>
      <c r="U3137">
        <v>23</v>
      </c>
      <c r="V3137">
        <v>3.8</v>
      </c>
      <c r="W3137">
        <f>Table2[[#This Row],[Quantity]]*Table2[[#This Row],[Item_Price]]</f>
        <v>1302</v>
      </c>
    </row>
    <row r="3138" spans="1:23" x14ac:dyDescent="0.25">
      <c r="A3138" t="s">
        <v>3239</v>
      </c>
      <c r="B3138" s="1">
        <v>45884</v>
      </c>
      <c r="C3138" t="s">
        <v>3008</v>
      </c>
      <c r="D3138">
        <v>8</v>
      </c>
      <c r="E3138">
        <v>15</v>
      </c>
      <c r="F3138" t="s">
        <v>114</v>
      </c>
      <c r="G3138" t="s">
        <v>84</v>
      </c>
      <c r="H3138" t="s">
        <v>60</v>
      </c>
      <c r="I3138" t="s">
        <v>103</v>
      </c>
      <c r="J3138" t="s">
        <v>119</v>
      </c>
      <c r="K3138" t="s">
        <v>45</v>
      </c>
      <c r="L3138">
        <v>1</v>
      </c>
      <c r="M3138">
        <v>520</v>
      </c>
      <c r="N3138">
        <v>52</v>
      </c>
      <c r="O3138">
        <v>30</v>
      </c>
      <c r="P3138">
        <v>520</v>
      </c>
      <c r="Q3138">
        <v>498</v>
      </c>
      <c r="R3138" t="s">
        <v>112</v>
      </c>
      <c r="S3138" t="s">
        <v>31</v>
      </c>
      <c r="T3138" t="s">
        <v>32</v>
      </c>
      <c r="U3138">
        <v>55</v>
      </c>
      <c r="V3138">
        <v>3.4</v>
      </c>
      <c r="W3138">
        <f>Table2[[#This Row],[Quantity]]*Table2[[#This Row],[Item_Price]]</f>
        <v>520</v>
      </c>
    </row>
    <row r="3139" spans="1:23" x14ac:dyDescent="0.25">
      <c r="A3139" t="s">
        <v>3240</v>
      </c>
      <c r="B3139" s="1">
        <v>45884</v>
      </c>
      <c r="C3139" t="s">
        <v>3008</v>
      </c>
      <c r="D3139">
        <v>8</v>
      </c>
      <c r="E3139">
        <v>15</v>
      </c>
      <c r="F3139" t="s">
        <v>114</v>
      </c>
      <c r="G3139" t="s">
        <v>34</v>
      </c>
      <c r="H3139" t="s">
        <v>68</v>
      </c>
      <c r="I3139" t="s">
        <v>49</v>
      </c>
      <c r="J3139" t="s">
        <v>172</v>
      </c>
      <c r="K3139" t="s">
        <v>38</v>
      </c>
      <c r="L3139">
        <v>2</v>
      </c>
      <c r="M3139">
        <v>805</v>
      </c>
      <c r="N3139">
        <v>120.75</v>
      </c>
      <c r="O3139">
        <v>50</v>
      </c>
      <c r="P3139">
        <v>1610</v>
      </c>
      <c r="Q3139">
        <v>1539.25</v>
      </c>
      <c r="R3139" t="s">
        <v>75</v>
      </c>
      <c r="S3139" t="s">
        <v>31</v>
      </c>
      <c r="T3139" t="s">
        <v>40</v>
      </c>
      <c r="U3139">
        <v>24</v>
      </c>
      <c r="V3139">
        <v>4.2</v>
      </c>
      <c r="W3139">
        <f>Table2[[#This Row],[Quantity]]*Table2[[#This Row],[Item_Price]]</f>
        <v>1610</v>
      </c>
    </row>
    <row r="3140" spans="1:23" x14ac:dyDescent="0.25">
      <c r="A3140" t="s">
        <v>3241</v>
      </c>
      <c r="B3140" s="1">
        <v>45884</v>
      </c>
      <c r="C3140" t="s">
        <v>3008</v>
      </c>
      <c r="D3140">
        <v>8</v>
      </c>
      <c r="E3140">
        <v>15</v>
      </c>
      <c r="F3140" t="s">
        <v>114</v>
      </c>
      <c r="G3140" t="s">
        <v>73</v>
      </c>
      <c r="H3140" t="s">
        <v>56</v>
      </c>
      <c r="I3140" t="s">
        <v>97</v>
      </c>
      <c r="J3140" t="s">
        <v>70</v>
      </c>
      <c r="K3140" t="s">
        <v>58</v>
      </c>
      <c r="L3140">
        <v>3</v>
      </c>
      <c r="M3140">
        <v>179</v>
      </c>
      <c r="N3140">
        <v>26.85</v>
      </c>
      <c r="O3140">
        <v>60</v>
      </c>
      <c r="P3140">
        <v>537</v>
      </c>
      <c r="Q3140">
        <v>570.15</v>
      </c>
      <c r="R3140" t="s">
        <v>39</v>
      </c>
      <c r="S3140" t="s">
        <v>31</v>
      </c>
      <c r="T3140" t="s">
        <v>40</v>
      </c>
      <c r="U3140">
        <v>54</v>
      </c>
      <c r="V3140">
        <v>4.4000000000000004</v>
      </c>
      <c r="W3140">
        <f>Table2[[#This Row],[Quantity]]*Table2[[#This Row],[Item_Price]]</f>
        <v>537</v>
      </c>
    </row>
    <row r="3141" spans="1:23" x14ac:dyDescent="0.25">
      <c r="A3141" t="s">
        <v>3242</v>
      </c>
      <c r="B3141" s="1">
        <v>45885</v>
      </c>
      <c r="C3141" t="s">
        <v>3008</v>
      </c>
      <c r="D3141">
        <v>8</v>
      </c>
      <c r="E3141">
        <v>16</v>
      </c>
      <c r="F3141" t="s">
        <v>134</v>
      </c>
      <c r="G3141" t="s">
        <v>73</v>
      </c>
      <c r="H3141" t="s">
        <v>135</v>
      </c>
      <c r="I3141" t="s">
        <v>61</v>
      </c>
      <c r="J3141" t="s">
        <v>53</v>
      </c>
      <c r="K3141" t="s">
        <v>45</v>
      </c>
      <c r="L3141">
        <v>2</v>
      </c>
      <c r="M3141">
        <v>134</v>
      </c>
      <c r="N3141">
        <v>0</v>
      </c>
      <c r="O3141">
        <v>20</v>
      </c>
      <c r="P3141">
        <v>268</v>
      </c>
      <c r="Q3141">
        <v>288</v>
      </c>
      <c r="R3141" t="s">
        <v>39</v>
      </c>
      <c r="S3141" t="s">
        <v>31</v>
      </c>
      <c r="T3141" t="s">
        <v>40</v>
      </c>
      <c r="U3141">
        <v>65</v>
      </c>
      <c r="V3141">
        <v>4.0999999999999996</v>
      </c>
      <c r="W3141">
        <f>Table2[[#This Row],[Quantity]]*Table2[[#This Row],[Item_Price]]</f>
        <v>268</v>
      </c>
    </row>
    <row r="3142" spans="1:23" x14ac:dyDescent="0.25">
      <c r="A3142" t="s">
        <v>3243</v>
      </c>
      <c r="B3142" s="1">
        <v>45885</v>
      </c>
      <c r="C3142" t="s">
        <v>3008</v>
      </c>
      <c r="D3142">
        <v>8</v>
      </c>
      <c r="E3142">
        <v>16</v>
      </c>
      <c r="F3142" t="s">
        <v>134</v>
      </c>
      <c r="G3142" t="s">
        <v>84</v>
      </c>
      <c r="H3142" t="s">
        <v>35</v>
      </c>
      <c r="I3142" t="s">
        <v>36</v>
      </c>
      <c r="J3142" t="s">
        <v>78</v>
      </c>
      <c r="K3142" t="s">
        <v>38</v>
      </c>
      <c r="L3142">
        <v>2</v>
      </c>
      <c r="M3142">
        <v>852</v>
      </c>
      <c r="N3142">
        <v>213</v>
      </c>
      <c r="O3142">
        <v>0</v>
      </c>
      <c r="P3142">
        <v>1704</v>
      </c>
      <c r="Q3142">
        <v>1491</v>
      </c>
      <c r="R3142" t="s">
        <v>112</v>
      </c>
      <c r="S3142" t="s">
        <v>31</v>
      </c>
      <c r="T3142" t="s">
        <v>32</v>
      </c>
      <c r="U3142">
        <v>61</v>
      </c>
      <c r="V3142">
        <v>4.2</v>
      </c>
      <c r="W3142">
        <f>Table2[[#This Row],[Quantity]]*Table2[[#This Row],[Item_Price]]</f>
        <v>1704</v>
      </c>
    </row>
    <row r="3143" spans="1:23" x14ac:dyDescent="0.25">
      <c r="A3143" t="s">
        <v>3244</v>
      </c>
      <c r="B3143" s="1">
        <v>45885</v>
      </c>
      <c r="C3143" t="s">
        <v>3008</v>
      </c>
      <c r="D3143">
        <v>8</v>
      </c>
      <c r="E3143">
        <v>16</v>
      </c>
      <c r="F3143" t="s">
        <v>134</v>
      </c>
      <c r="G3143" t="s">
        <v>25</v>
      </c>
      <c r="H3143" t="s">
        <v>26</v>
      </c>
      <c r="I3143" t="s">
        <v>57</v>
      </c>
      <c r="J3143" t="s">
        <v>78</v>
      </c>
      <c r="K3143" t="s">
        <v>38</v>
      </c>
      <c r="L3143">
        <v>1</v>
      </c>
      <c r="M3143">
        <v>738</v>
      </c>
      <c r="N3143">
        <v>110.7</v>
      </c>
      <c r="O3143">
        <v>70</v>
      </c>
      <c r="P3143">
        <v>738</v>
      </c>
      <c r="Q3143">
        <v>697.3</v>
      </c>
      <c r="R3143" t="s">
        <v>39</v>
      </c>
      <c r="S3143" t="s">
        <v>31</v>
      </c>
      <c r="T3143" t="s">
        <v>40</v>
      </c>
      <c r="U3143">
        <v>55</v>
      </c>
      <c r="V3143">
        <v>3.7</v>
      </c>
      <c r="W3143">
        <f>Table2[[#This Row],[Quantity]]*Table2[[#This Row],[Item_Price]]</f>
        <v>738</v>
      </c>
    </row>
    <row r="3144" spans="1:23" x14ac:dyDescent="0.25">
      <c r="A3144" t="s">
        <v>3245</v>
      </c>
      <c r="B3144" s="1">
        <v>45885</v>
      </c>
      <c r="C3144" t="s">
        <v>3008</v>
      </c>
      <c r="D3144">
        <v>8</v>
      </c>
      <c r="E3144">
        <v>16</v>
      </c>
      <c r="F3144" t="s">
        <v>134</v>
      </c>
      <c r="G3144" t="s">
        <v>80</v>
      </c>
      <c r="H3144" t="s">
        <v>26</v>
      </c>
      <c r="I3144" t="s">
        <v>85</v>
      </c>
      <c r="J3144" t="s">
        <v>44</v>
      </c>
      <c r="K3144" t="s">
        <v>38</v>
      </c>
      <c r="L3144">
        <v>2</v>
      </c>
      <c r="M3144">
        <v>371</v>
      </c>
      <c r="N3144">
        <v>37.1</v>
      </c>
      <c r="O3144">
        <v>60</v>
      </c>
      <c r="P3144">
        <v>742</v>
      </c>
      <c r="Q3144">
        <v>764.9</v>
      </c>
      <c r="R3144" t="s">
        <v>30</v>
      </c>
      <c r="S3144" t="s">
        <v>31</v>
      </c>
      <c r="T3144" t="s">
        <v>32</v>
      </c>
      <c r="U3144">
        <v>53</v>
      </c>
      <c r="V3144">
        <v>4.3</v>
      </c>
      <c r="W3144">
        <f>Table2[[#This Row],[Quantity]]*Table2[[#This Row],[Item_Price]]</f>
        <v>742</v>
      </c>
    </row>
    <row r="3145" spans="1:23" x14ac:dyDescent="0.25">
      <c r="A3145" t="s">
        <v>3246</v>
      </c>
      <c r="B3145" s="1">
        <v>45885</v>
      </c>
      <c r="C3145" t="s">
        <v>3008</v>
      </c>
      <c r="D3145">
        <v>8</v>
      </c>
      <c r="E3145">
        <v>16</v>
      </c>
      <c r="F3145" t="s">
        <v>134</v>
      </c>
      <c r="G3145" t="s">
        <v>80</v>
      </c>
      <c r="H3145" t="s">
        <v>42</v>
      </c>
      <c r="I3145" t="s">
        <v>97</v>
      </c>
      <c r="J3145" t="s">
        <v>74</v>
      </c>
      <c r="K3145" t="s">
        <v>45</v>
      </c>
      <c r="L3145">
        <v>2</v>
      </c>
      <c r="M3145">
        <v>665</v>
      </c>
      <c r="N3145">
        <v>66.5</v>
      </c>
      <c r="O3145">
        <v>30</v>
      </c>
      <c r="P3145">
        <v>1330</v>
      </c>
      <c r="Q3145">
        <v>1293.5</v>
      </c>
      <c r="R3145" t="s">
        <v>98</v>
      </c>
      <c r="S3145" t="s">
        <v>110</v>
      </c>
      <c r="T3145" t="s">
        <v>40</v>
      </c>
      <c r="U3145">
        <v>41</v>
      </c>
      <c r="W3145">
        <f>Table2[[#This Row],[Quantity]]*Table2[[#This Row],[Item_Price]]</f>
        <v>1330</v>
      </c>
    </row>
    <row r="3146" spans="1:23" x14ac:dyDescent="0.25">
      <c r="A3146" t="s">
        <v>3247</v>
      </c>
      <c r="B3146" s="1">
        <v>45885</v>
      </c>
      <c r="C3146" t="s">
        <v>3008</v>
      </c>
      <c r="D3146">
        <v>8</v>
      </c>
      <c r="E3146">
        <v>16</v>
      </c>
      <c r="F3146" t="s">
        <v>134</v>
      </c>
      <c r="G3146" t="s">
        <v>34</v>
      </c>
      <c r="H3146" t="s">
        <v>26</v>
      </c>
      <c r="I3146" t="s">
        <v>61</v>
      </c>
      <c r="J3146" t="s">
        <v>28</v>
      </c>
      <c r="K3146" t="s">
        <v>38</v>
      </c>
      <c r="L3146">
        <v>1</v>
      </c>
      <c r="M3146">
        <v>650</v>
      </c>
      <c r="N3146">
        <v>162.5</v>
      </c>
      <c r="O3146">
        <v>30</v>
      </c>
      <c r="P3146">
        <v>650</v>
      </c>
      <c r="Q3146">
        <v>517.5</v>
      </c>
      <c r="R3146" t="s">
        <v>98</v>
      </c>
      <c r="S3146" t="s">
        <v>31</v>
      </c>
      <c r="T3146" t="s">
        <v>40</v>
      </c>
      <c r="U3146">
        <v>26</v>
      </c>
      <c r="V3146">
        <v>4.4000000000000004</v>
      </c>
      <c r="W3146">
        <f>Table2[[#This Row],[Quantity]]*Table2[[#This Row],[Item_Price]]</f>
        <v>650</v>
      </c>
    </row>
    <row r="3147" spans="1:23" x14ac:dyDescent="0.25">
      <c r="A3147" t="s">
        <v>3248</v>
      </c>
      <c r="B3147" s="1">
        <v>45885</v>
      </c>
      <c r="C3147" t="s">
        <v>3008</v>
      </c>
      <c r="D3147">
        <v>8</v>
      </c>
      <c r="E3147">
        <v>16</v>
      </c>
      <c r="F3147" t="s">
        <v>134</v>
      </c>
      <c r="G3147" t="s">
        <v>80</v>
      </c>
      <c r="H3147" t="s">
        <v>81</v>
      </c>
      <c r="I3147" t="s">
        <v>36</v>
      </c>
      <c r="J3147" t="s">
        <v>74</v>
      </c>
      <c r="K3147" t="s">
        <v>38</v>
      </c>
      <c r="L3147">
        <v>2</v>
      </c>
      <c r="M3147">
        <v>633</v>
      </c>
      <c r="N3147">
        <v>0</v>
      </c>
      <c r="O3147">
        <v>30</v>
      </c>
      <c r="P3147">
        <v>1266</v>
      </c>
      <c r="Q3147">
        <v>1296</v>
      </c>
      <c r="R3147" t="s">
        <v>39</v>
      </c>
      <c r="S3147" t="s">
        <v>31</v>
      </c>
      <c r="T3147" t="s">
        <v>40</v>
      </c>
      <c r="U3147">
        <v>60</v>
      </c>
      <c r="V3147">
        <v>3.7</v>
      </c>
      <c r="W3147">
        <f>Table2[[#This Row],[Quantity]]*Table2[[#This Row],[Item_Price]]</f>
        <v>1266</v>
      </c>
    </row>
    <row r="3148" spans="1:23" x14ac:dyDescent="0.25">
      <c r="A3148" t="s">
        <v>3249</v>
      </c>
      <c r="B3148" s="1">
        <v>45885</v>
      </c>
      <c r="C3148" t="s">
        <v>3008</v>
      </c>
      <c r="D3148">
        <v>8</v>
      </c>
      <c r="E3148">
        <v>16</v>
      </c>
      <c r="F3148" t="s">
        <v>134</v>
      </c>
      <c r="G3148" t="s">
        <v>90</v>
      </c>
      <c r="H3148" t="s">
        <v>81</v>
      </c>
      <c r="I3148" t="s">
        <v>36</v>
      </c>
      <c r="J3148" t="s">
        <v>53</v>
      </c>
      <c r="K3148" t="s">
        <v>45</v>
      </c>
      <c r="L3148">
        <v>1</v>
      </c>
      <c r="M3148">
        <v>345</v>
      </c>
      <c r="N3148">
        <v>0</v>
      </c>
      <c r="O3148">
        <v>60</v>
      </c>
      <c r="P3148">
        <v>345</v>
      </c>
      <c r="Q3148">
        <v>405</v>
      </c>
      <c r="R3148" t="s">
        <v>30</v>
      </c>
      <c r="S3148" t="s">
        <v>31</v>
      </c>
      <c r="T3148" t="s">
        <v>32</v>
      </c>
      <c r="U3148">
        <v>26</v>
      </c>
      <c r="V3148">
        <v>5</v>
      </c>
      <c r="W3148">
        <f>Table2[[#This Row],[Quantity]]*Table2[[#This Row],[Item_Price]]</f>
        <v>345</v>
      </c>
    </row>
    <row r="3149" spans="1:23" x14ac:dyDescent="0.25">
      <c r="A3149" t="s">
        <v>3250</v>
      </c>
      <c r="B3149" s="1">
        <v>45885</v>
      </c>
      <c r="C3149" t="s">
        <v>3008</v>
      </c>
      <c r="D3149">
        <v>8</v>
      </c>
      <c r="E3149">
        <v>16</v>
      </c>
      <c r="F3149" t="s">
        <v>134</v>
      </c>
      <c r="G3149" t="s">
        <v>84</v>
      </c>
      <c r="H3149" t="s">
        <v>77</v>
      </c>
      <c r="I3149" t="s">
        <v>36</v>
      </c>
      <c r="J3149" t="s">
        <v>66</v>
      </c>
      <c r="K3149" t="s">
        <v>38</v>
      </c>
      <c r="L3149">
        <v>1</v>
      </c>
      <c r="M3149">
        <v>503</v>
      </c>
      <c r="N3149">
        <v>0</v>
      </c>
      <c r="O3149">
        <v>30</v>
      </c>
      <c r="P3149">
        <v>503</v>
      </c>
      <c r="Q3149">
        <v>533</v>
      </c>
      <c r="R3149" t="s">
        <v>75</v>
      </c>
      <c r="S3149" t="s">
        <v>31</v>
      </c>
      <c r="T3149" t="s">
        <v>40</v>
      </c>
      <c r="U3149">
        <v>49</v>
      </c>
      <c r="V3149">
        <v>5</v>
      </c>
      <c r="W3149">
        <f>Table2[[#This Row],[Quantity]]*Table2[[#This Row],[Item_Price]]</f>
        <v>503</v>
      </c>
    </row>
    <row r="3150" spans="1:23" x14ac:dyDescent="0.25">
      <c r="A3150" t="s">
        <v>3251</v>
      </c>
      <c r="B3150" s="1">
        <v>45885</v>
      </c>
      <c r="C3150" t="s">
        <v>3008</v>
      </c>
      <c r="D3150">
        <v>8</v>
      </c>
      <c r="E3150">
        <v>16</v>
      </c>
      <c r="F3150" t="s">
        <v>134</v>
      </c>
      <c r="G3150" t="s">
        <v>80</v>
      </c>
      <c r="H3150" t="s">
        <v>105</v>
      </c>
      <c r="I3150" t="s">
        <v>69</v>
      </c>
      <c r="J3150" t="s">
        <v>66</v>
      </c>
      <c r="K3150" t="s">
        <v>38</v>
      </c>
      <c r="L3150">
        <v>3</v>
      </c>
      <c r="M3150">
        <v>245</v>
      </c>
      <c r="N3150">
        <v>24.5</v>
      </c>
      <c r="O3150">
        <v>0</v>
      </c>
      <c r="P3150">
        <v>735</v>
      </c>
      <c r="Q3150">
        <v>710.5</v>
      </c>
      <c r="R3150" t="s">
        <v>112</v>
      </c>
      <c r="S3150" t="s">
        <v>31</v>
      </c>
      <c r="T3150" t="s">
        <v>40</v>
      </c>
      <c r="U3150">
        <v>64</v>
      </c>
      <c r="V3150">
        <v>4.4000000000000004</v>
      </c>
      <c r="W3150">
        <f>Table2[[#This Row],[Quantity]]*Table2[[#This Row],[Item_Price]]</f>
        <v>735</v>
      </c>
    </row>
    <row r="3151" spans="1:23" x14ac:dyDescent="0.25">
      <c r="A3151" t="s">
        <v>3252</v>
      </c>
      <c r="B3151" s="1">
        <v>45885</v>
      </c>
      <c r="C3151" t="s">
        <v>3008</v>
      </c>
      <c r="D3151">
        <v>8</v>
      </c>
      <c r="E3151">
        <v>16</v>
      </c>
      <c r="F3151" t="s">
        <v>134</v>
      </c>
      <c r="G3151" t="s">
        <v>84</v>
      </c>
      <c r="H3151" t="s">
        <v>68</v>
      </c>
      <c r="I3151" t="s">
        <v>57</v>
      </c>
      <c r="J3151" t="s">
        <v>53</v>
      </c>
      <c r="K3151" t="s">
        <v>38</v>
      </c>
      <c r="L3151">
        <v>1</v>
      </c>
      <c r="M3151">
        <v>164</v>
      </c>
      <c r="N3151">
        <v>16.399999999999999</v>
      </c>
      <c r="O3151">
        <v>70</v>
      </c>
      <c r="P3151">
        <v>164</v>
      </c>
      <c r="Q3151">
        <v>217.6</v>
      </c>
      <c r="R3151" t="s">
        <v>98</v>
      </c>
      <c r="S3151" t="s">
        <v>31</v>
      </c>
      <c r="T3151" t="s">
        <v>40</v>
      </c>
      <c r="U3151">
        <v>26</v>
      </c>
      <c r="V3151">
        <v>5</v>
      </c>
      <c r="W3151">
        <f>Table2[[#This Row],[Quantity]]*Table2[[#This Row],[Item_Price]]</f>
        <v>164</v>
      </c>
    </row>
    <row r="3152" spans="1:23" x14ac:dyDescent="0.25">
      <c r="A3152" t="s">
        <v>3253</v>
      </c>
      <c r="B3152" s="1">
        <v>45885</v>
      </c>
      <c r="C3152" t="s">
        <v>3008</v>
      </c>
      <c r="D3152">
        <v>8</v>
      </c>
      <c r="E3152">
        <v>16</v>
      </c>
      <c r="F3152" t="s">
        <v>134</v>
      </c>
      <c r="G3152" t="s">
        <v>73</v>
      </c>
      <c r="H3152" t="s">
        <v>77</v>
      </c>
      <c r="I3152" t="s">
        <v>85</v>
      </c>
      <c r="J3152" t="s">
        <v>82</v>
      </c>
      <c r="K3152" t="s">
        <v>38</v>
      </c>
      <c r="L3152">
        <v>1</v>
      </c>
      <c r="M3152">
        <v>221</v>
      </c>
      <c r="N3152">
        <v>44.2</v>
      </c>
      <c r="O3152">
        <v>40</v>
      </c>
      <c r="P3152">
        <v>221</v>
      </c>
      <c r="Q3152">
        <v>216.8</v>
      </c>
      <c r="R3152" t="s">
        <v>75</v>
      </c>
      <c r="S3152" t="s">
        <v>31</v>
      </c>
      <c r="T3152" t="s">
        <v>32</v>
      </c>
      <c r="U3152">
        <v>37</v>
      </c>
      <c r="V3152">
        <v>3.7</v>
      </c>
      <c r="W3152">
        <f>Table2[[#This Row],[Quantity]]*Table2[[#This Row],[Item_Price]]</f>
        <v>221</v>
      </c>
    </row>
    <row r="3153" spans="1:23" x14ac:dyDescent="0.25">
      <c r="A3153" t="s">
        <v>3254</v>
      </c>
      <c r="B3153" s="1">
        <v>45885</v>
      </c>
      <c r="C3153" t="s">
        <v>3008</v>
      </c>
      <c r="D3153">
        <v>8</v>
      </c>
      <c r="E3153">
        <v>16</v>
      </c>
      <c r="F3153" t="s">
        <v>134</v>
      </c>
      <c r="G3153" t="s">
        <v>90</v>
      </c>
      <c r="H3153" t="s">
        <v>48</v>
      </c>
      <c r="I3153" t="s">
        <v>57</v>
      </c>
      <c r="J3153" t="s">
        <v>123</v>
      </c>
      <c r="K3153" t="s">
        <v>38</v>
      </c>
      <c r="L3153">
        <v>1</v>
      </c>
      <c r="M3153">
        <v>570</v>
      </c>
      <c r="N3153">
        <v>142.5</v>
      </c>
      <c r="O3153">
        <v>20</v>
      </c>
      <c r="P3153">
        <v>570</v>
      </c>
      <c r="Q3153">
        <v>447.5</v>
      </c>
      <c r="R3153" t="s">
        <v>39</v>
      </c>
      <c r="S3153" t="s">
        <v>31</v>
      </c>
      <c r="T3153" t="s">
        <v>40</v>
      </c>
      <c r="U3153">
        <v>39</v>
      </c>
      <c r="V3153">
        <v>4.5999999999999996</v>
      </c>
      <c r="W3153">
        <f>Table2[[#This Row],[Quantity]]*Table2[[#This Row],[Item_Price]]</f>
        <v>570</v>
      </c>
    </row>
    <row r="3154" spans="1:23" x14ac:dyDescent="0.25">
      <c r="A3154" t="s">
        <v>3255</v>
      </c>
      <c r="B3154" s="1">
        <v>45885</v>
      </c>
      <c r="C3154" t="s">
        <v>3008</v>
      </c>
      <c r="D3154">
        <v>8</v>
      </c>
      <c r="E3154">
        <v>16</v>
      </c>
      <c r="F3154" t="s">
        <v>134</v>
      </c>
      <c r="G3154" t="s">
        <v>73</v>
      </c>
      <c r="H3154" t="s">
        <v>105</v>
      </c>
      <c r="I3154" t="s">
        <v>85</v>
      </c>
      <c r="J3154" t="s">
        <v>62</v>
      </c>
      <c r="K3154" t="s">
        <v>38</v>
      </c>
      <c r="L3154">
        <v>1</v>
      </c>
      <c r="M3154">
        <v>475</v>
      </c>
      <c r="N3154">
        <v>47.5</v>
      </c>
      <c r="O3154">
        <v>40</v>
      </c>
      <c r="P3154">
        <v>475</v>
      </c>
      <c r="Q3154">
        <v>467.5</v>
      </c>
      <c r="R3154" t="s">
        <v>30</v>
      </c>
      <c r="S3154" t="s">
        <v>31</v>
      </c>
      <c r="T3154" t="s">
        <v>40</v>
      </c>
      <c r="U3154">
        <v>46</v>
      </c>
      <c r="V3154">
        <v>3.6</v>
      </c>
      <c r="W3154">
        <f>Table2[[#This Row],[Quantity]]*Table2[[#This Row],[Item_Price]]</f>
        <v>475</v>
      </c>
    </row>
    <row r="3155" spans="1:23" x14ac:dyDescent="0.25">
      <c r="A3155" t="s">
        <v>3256</v>
      </c>
      <c r="B3155" s="1">
        <v>45886</v>
      </c>
      <c r="C3155" t="s">
        <v>3008</v>
      </c>
      <c r="D3155">
        <v>8</v>
      </c>
      <c r="E3155">
        <v>17</v>
      </c>
      <c r="F3155" t="s">
        <v>149</v>
      </c>
      <c r="G3155" t="s">
        <v>80</v>
      </c>
      <c r="H3155" t="s">
        <v>81</v>
      </c>
      <c r="I3155" t="s">
        <v>103</v>
      </c>
      <c r="J3155" t="s">
        <v>62</v>
      </c>
      <c r="K3155" t="s">
        <v>38</v>
      </c>
      <c r="L3155">
        <v>3</v>
      </c>
      <c r="M3155">
        <v>257</v>
      </c>
      <c r="N3155">
        <v>38.549999999999997</v>
      </c>
      <c r="O3155">
        <v>60</v>
      </c>
      <c r="P3155">
        <v>771</v>
      </c>
      <c r="Q3155">
        <v>792.45</v>
      </c>
      <c r="R3155" t="s">
        <v>98</v>
      </c>
      <c r="S3155" t="s">
        <v>31</v>
      </c>
      <c r="T3155" t="s">
        <v>32</v>
      </c>
      <c r="U3155">
        <v>43</v>
      </c>
      <c r="V3155">
        <v>2.9</v>
      </c>
      <c r="W3155">
        <f>Table2[[#This Row],[Quantity]]*Table2[[#This Row],[Item_Price]]</f>
        <v>771</v>
      </c>
    </row>
    <row r="3156" spans="1:23" x14ac:dyDescent="0.25">
      <c r="A3156" t="s">
        <v>3257</v>
      </c>
      <c r="B3156" s="1">
        <v>45886</v>
      </c>
      <c r="C3156" t="s">
        <v>3008</v>
      </c>
      <c r="D3156">
        <v>8</v>
      </c>
      <c r="E3156">
        <v>17</v>
      </c>
      <c r="F3156" t="s">
        <v>149</v>
      </c>
      <c r="G3156" t="s">
        <v>64</v>
      </c>
      <c r="H3156" t="s">
        <v>77</v>
      </c>
      <c r="I3156" t="s">
        <v>36</v>
      </c>
      <c r="J3156" t="s">
        <v>74</v>
      </c>
      <c r="K3156" t="s">
        <v>45</v>
      </c>
      <c r="L3156">
        <v>1</v>
      </c>
      <c r="M3156">
        <v>269</v>
      </c>
      <c r="N3156">
        <v>26.9</v>
      </c>
      <c r="O3156">
        <v>0</v>
      </c>
      <c r="P3156">
        <v>269</v>
      </c>
      <c r="Q3156">
        <v>242.1</v>
      </c>
      <c r="R3156" t="s">
        <v>112</v>
      </c>
      <c r="S3156" t="s">
        <v>31</v>
      </c>
      <c r="T3156" t="s">
        <v>32</v>
      </c>
      <c r="U3156">
        <v>26</v>
      </c>
      <c r="V3156">
        <v>3.3</v>
      </c>
      <c r="W3156">
        <f>Table2[[#This Row],[Quantity]]*Table2[[#This Row],[Item_Price]]</f>
        <v>269</v>
      </c>
    </row>
    <row r="3157" spans="1:23" x14ac:dyDescent="0.25">
      <c r="A3157" t="s">
        <v>3258</v>
      </c>
      <c r="B3157" s="1">
        <v>45886</v>
      </c>
      <c r="C3157" t="s">
        <v>3008</v>
      </c>
      <c r="D3157">
        <v>8</v>
      </c>
      <c r="E3157">
        <v>17</v>
      </c>
      <c r="F3157" t="s">
        <v>149</v>
      </c>
      <c r="G3157" t="s">
        <v>115</v>
      </c>
      <c r="H3157" t="s">
        <v>56</v>
      </c>
      <c r="I3157" t="s">
        <v>27</v>
      </c>
      <c r="J3157" t="s">
        <v>44</v>
      </c>
      <c r="K3157" t="s">
        <v>38</v>
      </c>
      <c r="L3157">
        <v>2</v>
      </c>
      <c r="M3157">
        <v>385</v>
      </c>
      <c r="N3157">
        <v>0</v>
      </c>
      <c r="O3157">
        <v>50</v>
      </c>
      <c r="P3157">
        <v>770</v>
      </c>
      <c r="Q3157">
        <v>820</v>
      </c>
      <c r="R3157" t="s">
        <v>30</v>
      </c>
      <c r="S3157" t="s">
        <v>31</v>
      </c>
      <c r="T3157" t="s">
        <v>40</v>
      </c>
      <c r="U3157">
        <v>67</v>
      </c>
      <c r="V3157">
        <v>4.8</v>
      </c>
      <c r="W3157">
        <f>Table2[[#This Row],[Quantity]]*Table2[[#This Row],[Item_Price]]</f>
        <v>770</v>
      </c>
    </row>
    <row r="3158" spans="1:23" x14ac:dyDescent="0.25">
      <c r="A3158" t="s">
        <v>3259</v>
      </c>
      <c r="B3158" s="1">
        <v>45886</v>
      </c>
      <c r="C3158" t="s">
        <v>3008</v>
      </c>
      <c r="D3158">
        <v>8</v>
      </c>
      <c r="E3158">
        <v>17</v>
      </c>
      <c r="F3158" t="s">
        <v>149</v>
      </c>
      <c r="G3158" t="s">
        <v>55</v>
      </c>
      <c r="H3158" t="s">
        <v>81</v>
      </c>
      <c r="I3158" t="s">
        <v>57</v>
      </c>
      <c r="J3158" t="s">
        <v>172</v>
      </c>
      <c r="K3158" t="s">
        <v>38</v>
      </c>
      <c r="L3158">
        <v>3</v>
      </c>
      <c r="M3158">
        <v>615</v>
      </c>
      <c r="N3158">
        <v>123</v>
      </c>
      <c r="O3158">
        <v>0</v>
      </c>
      <c r="P3158">
        <v>1845</v>
      </c>
      <c r="Q3158">
        <v>1722</v>
      </c>
      <c r="R3158" t="s">
        <v>75</v>
      </c>
      <c r="S3158" t="s">
        <v>31</v>
      </c>
      <c r="T3158" t="s">
        <v>40</v>
      </c>
      <c r="U3158">
        <v>51</v>
      </c>
      <c r="V3158">
        <v>3.5</v>
      </c>
      <c r="W3158">
        <f>Table2[[#This Row],[Quantity]]*Table2[[#This Row],[Item_Price]]</f>
        <v>1845</v>
      </c>
    </row>
    <row r="3159" spans="1:23" x14ac:dyDescent="0.25">
      <c r="A3159" t="s">
        <v>3260</v>
      </c>
      <c r="B3159" s="1">
        <v>45886</v>
      </c>
      <c r="C3159" t="s">
        <v>3008</v>
      </c>
      <c r="D3159">
        <v>8</v>
      </c>
      <c r="E3159">
        <v>17</v>
      </c>
      <c r="F3159" t="s">
        <v>149</v>
      </c>
      <c r="G3159" t="s">
        <v>34</v>
      </c>
      <c r="H3159" t="s">
        <v>135</v>
      </c>
      <c r="I3159" t="s">
        <v>97</v>
      </c>
      <c r="J3159" t="s">
        <v>37</v>
      </c>
      <c r="K3159" t="s">
        <v>38</v>
      </c>
      <c r="L3159">
        <v>1</v>
      </c>
      <c r="M3159">
        <v>126</v>
      </c>
      <c r="N3159">
        <v>25.2</v>
      </c>
      <c r="O3159">
        <v>20</v>
      </c>
      <c r="P3159">
        <v>126</v>
      </c>
      <c r="Q3159">
        <v>120.8</v>
      </c>
      <c r="R3159" t="s">
        <v>75</v>
      </c>
      <c r="S3159" t="s">
        <v>31</v>
      </c>
      <c r="T3159" t="s">
        <v>32</v>
      </c>
      <c r="U3159">
        <v>25</v>
      </c>
      <c r="V3159">
        <v>5</v>
      </c>
      <c r="W3159">
        <f>Table2[[#This Row],[Quantity]]*Table2[[#This Row],[Item_Price]]</f>
        <v>126</v>
      </c>
    </row>
    <row r="3160" spans="1:23" x14ac:dyDescent="0.25">
      <c r="A3160" t="s">
        <v>3261</v>
      </c>
      <c r="B3160" s="1">
        <v>45886</v>
      </c>
      <c r="C3160" t="s">
        <v>3008</v>
      </c>
      <c r="D3160">
        <v>8</v>
      </c>
      <c r="E3160">
        <v>17</v>
      </c>
      <c r="F3160" t="s">
        <v>149</v>
      </c>
      <c r="G3160" t="s">
        <v>34</v>
      </c>
      <c r="H3160" t="s">
        <v>135</v>
      </c>
      <c r="I3160" t="s">
        <v>103</v>
      </c>
      <c r="J3160" t="s">
        <v>62</v>
      </c>
      <c r="K3160" t="s">
        <v>38</v>
      </c>
      <c r="L3160">
        <v>2</v>
      </c>
      <c r="M3160">
        <v>542</v>
      </c>
      <c r="N3160">
        <v>54.2</v>
      </c>
      <c r="O3160">
        <v>40</v>
      </c>
      <c r="P3160">
        <v>1084</v>
      </c>
      <c r="Q3160">
        <v>1069.8</v>
      </c>
      <c r="R3160" t="s">
        <v>39</v>
      </c>
      <c r="S3160" t="s">
        <v>31</v>
      </c>
      <c r="T3160" t="s">
        <v>32</v>
      </c>
      <c r="U3160">
        <v>32</v>
      </c>
      <c r="V3160">
        <v>4.3</v>
      </c>
      <c r="W3160">
        <f>Table2[[#This Row],[Quantity]]*Table2[[#This Row],[Item_Price]]</f>
        <v>1084</v>
      </c>
    </row>
    <row r="3161" spans="1:23" x14ac:dyDescent="0.25">
      <c r="A3161" t="s">
        <v>3262</v>
      </c>
      <c r="B3161" s="1">
        <v>45886</v>
      </c>
      <c r="C3161" t="s">
        <v>3008</v>
      </c>
      <c r="D3161">
        <v>8</v>
      </c>
      <c r="E3161">
        <v>17</v>
      </c>
      <c r="F3161" t="s">
        <v>149</v>
      </c>
      <c r="G3161" t="s">
        <v>80</v>
      </c>
      <c r="H3161" t="s">
        <v>52</v>
      </c>
      <c r="I3161" t="s">
        <v>43</v>
      </c>
      <c r="J3161" t="s">
        <v>94</v>
      </c>
      <c r="K3161" t="s">
        <v>58</v>
      </c>
      <c r="L3161">
        <v>1</v>
      </c>
      <c r="M3161">
        <v>862</v>
      </c>
      <c r="N3161">
        <v>215.5</v>
      </c>
      <c r="O3161">
        <v>70</v>
      </c>
      <c r="P3161">
        <v>862</v>
      </c>
      <c r="Q3161">
        <v>716.5</v>
      </c>
      <c r="R3161" t="s">
        <v>30</v>
      </c>
      <c r="S3161" t="s">
        <v>31</v>
      </c>
      <c r="T3161" t="s">
        <v>32</v>
      </c>
      <c r="U3161">
        <v>30</v>
      </c>
      <c r="V3161">
        <v>5</v>
      </c>
      <c r="W3161">
        <f>Table2[[#This Row],[Quantity]]*Table2[[#This Row],[Item_Price]]</f>
        <v>862</v>
      </c>
    </row>
    <row r="3162" spans="1:23" x14ac:dyDescent="0.25">
      <c r="A3162" t="s">
        <v>3263</v>
      </c>
      <c r="B3162" s="1">
        <v>45886</v>
      </c>
      <c r="C3162" t="s">
        <v>3008</v>
      </c>
      <c r="D3162">
        <v>8</v>
      </c>
      <c r="E3162">
        <v>17</v>
      </c>
      <c r="F3162" t="s">
        <v>149</v>
      </c>
      <c r="G3162" t="s">
        <v>80</v>
      </c>
      <c r="H3162" t="s">
        <v>60</v>
      </c>
      <c r="I3162" t="s">
        <v>69</v>
      </c>
      <c r="J3162" t="s">
        <v>78</v>
      </c>
      <c r="K3162" t="s">
        <v>38</v>
      </c>
      <c r="L3162">
        <v>1</v>
      </c>
      <c r="M3162">
        <v>582</v>
      </c>
      <c r="N3162">
        <v>29.1</v>
      </c>
      <c r="O3162">
        <v>40</v>
      </c>
      <c r="P3162">
        <v>582</v>
      </c>
      <c r="Q3162">
        <v>592.9</v>
      </c>
      <c r="R3162" t="s">
        <v>30</v>
      </c>
      <c r="S3162" t="s">
        <v>31</v>
      </c>
      <c r="T3162" t="s">
        <v>40</v>
      </c>
      <c r="U3162">
        <v>26</v>
      </c>
      <c r="V3162">
        <v>4.8</v>
      </c>
      <c r="W3162">
        <f>Table2[[#This Row],[Quantity]]*Table2[[#This Row],[Item_Price]]</f>
        <v>582</v>
      </c>
    </row>
    <row r="3163" spans="1:23" x14ac:dyDescent="0.25">
      <c r="A3163" t="s">
        <v>3264</v>
      </c>
      <c r="B3163" s="1">
        <v>45886</v>
      </c>
      <c r="C3163" t="s">
        <v>3008</v>
      </c>
      <c r="D3163">
        <v>8</v>
      </c>
      <c r="E3163">
        <v>17</v>
      </c>
      <c r="F3163" t="s">
        <v>149</v>
      </c>
      <c r="G3163" t="s">
        <v>84</v>
      </c>
      <c r="H3163" t="s">
        <v>68</v>
      </c>
      <c r="I3163" t="s">
        <v>36</v>
      </c>
      <c r="J3163" t="s">
        <v>119</v>
      </c>
      <c r="K3163" t="s">
        <v>38</v>
      </c>
      <c r="L3163">
        <v>1</v>
      </c>
      <c r="M3163">
        <v>560</v>
      </c>
      <c r="N3163">
        <v>0</v>
      </c>
      <c r="O3163">
        <v>50</v>
      </c>
      <c r="P3163">
        <v>560</v>
      </c>
      <c r="Q3163">
        <v>610</v>
      </c>
      <c r="R3163" t="s">
        <v>39</v>
      </c>
      <c r="S3163" t="s">
        <v>91</v>
      </c>
      <c r="T3163" t="s">
        <v>32</v>
      </c>
      <c r="U3163">
        <v>41</v>
      </c>
      <c r="W3163">
        <f>Table2[[#This Row],[Quantity]]*Table2[[#This Row],[Item_Price]]</f>
        <v>560</v>
      </c>
    </row>
    <row r="3164" spans="1:23" x14ac:dyDescent="0.25">
      <c r="A3164" t="s">
        <v>3265</v>
      </c>
      <c r="B3164" s="1">
        <v>45886</v>
      </c>
      <c r="C3164" t="s">
        <v>3008</v>
      </c>
      <c r="D3164">
        <v>8</v>
      </c>
      <c r="E3164">
        <v>17</v>
      </c>
      <c r="F3164" t="s">
        <v>149</v>
      </c>
      <c r="G3164" t="s">
        <v>25</v>
      </c>
      <c r="H3164" t="s">
        <v>77</v>
      </c>
      <c r="I3164" t="s">
        <v>27</v>
      </c>
      <c r="J3164" t="s">
        <v>44</v>
      </c>
      <c r="K3164" t="s">
        <v>38</v>
      </c>
      <c r="L3164">
        <v>1</v>
      </c>
      <c r="M3164">
        <v>280</v>
      </c>
      <c r="N3164">
        <v>70</v>
      </c>
      <c r="O3164">
        <v>40</v>
      </c>
      <c r="P3164">
        <v>280</v>
      </c>
      <c r="Q3164">
        <v>250</v>
      </c>
      <c r="R3164" t="s">
        <v>75</v>
      </c>
      <c r="S3164" t="s">
        <v>31</v>
      </c>
      <c r="T3164" t="s">
        <v>32</v>
      </c>
      <c r="U3164">
        <v>61</v>
      </c>
      <c r="V3164">
        <v>4.4000000000000004</v>
      </c>
      <c r="W3164">
        <f>Table2[[#This Row],[Quantity]]*Table2[[#This Row],[Item_Price]]</f>
        <v>280</v>
      </c>
    </row>
    <row r="3165" spans="1:23" x14ac:dyDescent="0.25">
      <c r="A3165" t="s">
        <v>3266</v>
      </c>
      <c r="B3165" s="1">
        <v>45886</v>
      </c>
      <c r="C3165" t="s">
        <v>3008</v>
      </c>
      <c r="D3165">
        <v>8</v>
      </c>
      <c r="E3165">
        <v>17</v>
      </c>
      <c r="F3165" t="s">
        <v>149</v>
      </c>
      <c r="G3165" t="s">
        <v>96</v>
      </c>
      <c r="H3165" t="s">
        <v>60</v>
      </c>
      <c r="I3165" t="s">
        <v>27</v>
      </c>
      <c r="J3165" t="s">
        <v>82</v>
      </c>
      <c r="K3165" t="s">
        <v>38</v>
      </c>
      <c r="L3165">
        <v>2</v>
      </c>
      <c r="M3165">
        <v>334</v>
      </c>
      <c r="N3165">
        <v>33.4</v>
      </c>
      <c r="O3165">
        <v>60</v>
      </c>
      <c r="P3165">
        <v>668</v>
      </c>
      <c r="Q3165">
        <v>694.6</v>
      </c>
      <c r="R3165" t="s">
        <v>98</v>
      </c>
      <c r="S3165" t="s">
        <v>31</v>
      </c>
      <c r="T3165" t="s">
        <v>32</v>
      </c>
      <c r="U3165">
        <v>61</v>
      </c>
      <c r="V3165">
        <v>5</v>
      </c>
      <c r="W3165">
        <f>Table2[[#This Row],[Quantity]]*Table2[[#This Row],[Item_Price]]</f>
        <v>668</v>
      </c>
    </row>
    <row r="3166" spans="1:23" x14ac:dyDescent="0.25">
      <c r="A3166" t="s">
        <v>3267</v>
      </c>
      <c r="B3166" s="1">
        <v>45886</v>
      </c>
      <c r="C3166" t="s">
        <v>3008</v>
      </c>
      <c r="D3166">
        <v>8</v>
      </c>
      <c r="E3166">
        <v>17</v>
      </c>
      <c r="F3166" t="s">
        <v>149</v>
      </c>
      <c r="G3166" t="s">
        <v>80</v>
      </c>
      <c r="H3166" t="s">
        <v>105</v>
      </c>
      <c r="I3166" t="s">
        <v>57</v>
      </c>
      <c r="J3166" t="s">
        <v>37</v>
      </c>
      <c r="K3166" t="s">
        <v>38</v>
      </c>
      <c r="L3166">
        <v>1</v>
      </c>
      <c r="M3166">
        <v>181</v>
      </c>
      <c r="N3166">
        <v>27.15</v>
      </c>
      <c r="O3166">
        <v>40</v>
      </c>
      <c r="P3166">
        <v>181</v>
      </c>
      <c r="Q3166">
        <v>193.85</v>
      </c>
      <c r="R3166" t="s">
        <v>98</v>
      </c>
      <c r="S3166" t="s">
        <v>91</v>
      </c>
      <c r="T3166" t="s">
        <v>40</v>
      </c>
      <c r="U3166">
        <v>33</v>
      </c>
      <c r="W3166">
        <f>Table2[[#This Row],[Quantity]]*Table2[[#This Row],[Item_Price]]</f>
        <v>181</v>
      </c>
    </row>
    <row r="3167" spans="1:23" x14ac:dyDescent="0.25">
      <c r="A3167" t="s">
        <v>3268</v>
      </c>
      <c r="B3167" s="1">
        <v>45886</v>
      </c>
      <c r="C3167" t="s">
        <v>3008</v>
      </c>
      <c r="D3167">
        <v>8</v>
      </c>
      <c r="E3167">
        <v>17</v>
      </c>
      <c r="F3167" t="s">
        <v>149</v>
      </c>
      <c r="G3167" t="s">
        <v>73</v>
      </c>
      <c r="H3167" t="s">
        <v>139</v>
      </c>
      <c r="I3167" t="s">
        <v>85</v>
      </c>
      <c r="J3167" t="s">
        <v>70</v>
      </c>
      <c r="K3167" t="s">
        <v>38</v>
      </c>
      <c r="L3167">
        <v>2</v>
      </c>
      <c r="M3167">
        <v>424</v>
      </c>
      <c r="N3167">
        <v>84.8</v>
      </c>
      <c r="O3167">
        <v>40</v>
      </c>
      <c r="P3167">
        <v>848</v>
      </c>
      <c r="Q3167">
        <v>803.2</v>
      </c>
      <c r="R3167" t="s">
        <v>39</v>
      </c>
      <c r="S3167" t="s">
        <v>91</v>
      </c>
      <c r="T3167" t="s">
        <v>40</v>
      </c>
      <c r="U3167">
        <v>69</v>
      </c>
      <c r="W3167">
        <f>Table2[[#This Row],[Quantity]]*Table2[[#This Row],[Item_Price]]</f>
        <v>848</v>
      </c>
    </row>
    <row r="3168" spans="1:23" x14ac:dyDescent="0.25">
      <c r="A3168" t="s">
        <v>3269</v>
      </c>
      <c r="B3168" s="1">
        <v>45886</v>
      </c>
      <c r="C3168" t="s">
        <v>3008</v>
      </c>
      <c r="D3168">
        <v>8</v>
      </c>
      <c r="E3168">
        <v>17</v>
      </c>
      <c r="F3168" t="s">
        <v>149</v>
      </c>
      <c r="G3168" t="s">
        <v>64</v>
      </c>
      <c r="H3168" t="s">
        <v>81</v>
      </c>
      <c r="I3168" t="s">
        <v>27</v>
      </c>
      <c r="J3168" t="s">
        <v>37</v>
      </c>
      <c r="K3168" t="s">
        <v>38</v>
      </c>
      <c r="L3168">
        <v>2</v>
      </c>
      <c r="M3168">
        <v>580</v>
      </c>
      <c r="N3168">
        <v>29</v>
      </c>
      <c r="O3168">
        <v>30</v>
      </c>
      <c r="P3168">
        <v>1160</v>
      </c>
      <c r="Q3168">
        <v>1161</v>
      </c>
      <c r="R3168" t="s">
        <v>39</v>
      </c>
      <c r="S3168" t="s">
        <v>91</v>
      </c>
      <c r="T3168" t="s">
        <v>40</v>
      </c>
      <c r="U3168">
        <v>66</v>
      </c>
      <c r="W3168">
        <f>Table2[[#This Row],[Quantity]]*Table2[[#This Row],[Item_Price]]</f>
        <v>1160</v>
      </c>
    </row>
    <row r="3169" spans="1:23" x14ac:dyDescent="0.25">
      <c r="A3169" t="s">
        <v>3270</v>
      </c>
      <c r="B3169" s="1">
        <v>45887</v>
      </c>
      <c r="C3169" t="s">
        <v>3008</v>
      </c>
      <c r="D3169">
        <v>8</v>
      </c>
      <c r="E3169">
        <v>18</v>
      </c>
      <c r="F3169" t="s">
        <v>168</v>
      </c>
      <c r="G3169" t="s">
        <v>34</v>
      </c>
      <c r="H3169" t="s">
        <v>135</v>
      </c>
      <c r="I3169" t="s">
        <v>36</v>
      </c>
      <c r="J3169" t="s">
        <v>74</v>
      </c>
      <c r="K3169" t="s">
        <v>38</v>
      </c>
      <c r="L3169">
        <v>2</v>
      </c>
      <c r="M3169">
        <v>540</v>
      </c>
      <c r="N3169">
        <v>0</v>
      </c>
      <c r="O3169">
        <v>0</v>
      </c>
      <c r="P3169">
        <v>1080</v>
      </c>
      <c r="Q3169">
        <v>1080</v>
      </c>
      <c r="R3169" t="s">
        <v>75</v>
      </c>
      <c r="S3169" t="s">
        <v>31</v>
      </c>
      <c r="T3169" t="s">
        <v>40</v>
      </c>
      <c r="U3169">
        <v>32</v>
      </c>
      <c r="V3169">
        <v>4.5999999999999996</v>
      </c>
      <c r="W3169">
        <f>Table2[[#This Row],[Quantity]]*Table2[[#This Row],[Item_Price]]</f>
        <v>1080</v>
      </c>
    </row>
    <row r="3170" spans="1:23" x14ac:dyDescent="0.25">
      <c r="A3170" t="s">
        <v>3271</v>
      </c>
      <c r="B3170" s="1">
        <v>45887</v>
      </c>
      <c r="C3170" t="s">
        <v>3008</v>
      </c>
      <c r="D3170">
        <v>8</v>
      </c>
      <c r="E3170">
        <v>18</v>
      </c>
      <c r="F3170" t="s">
        <v>168</v>
      </c>
      <c r="G3170" t="s">
        <v>34</v>
      </c>
      <c r="H3170" t="s">
        <v>42</v>
      </c>
      <c r="I3170" t="s">
        <v>61</v>
      </c>
      <c r="J3170" t="s">
        <v>78</v>
      </c>
      <c r="K3170" t="s">
        <v>45</v>
      </c>
      <c r="L3170">
        <v>1</v>
      </c>
      <c r="M3170">
        <v>123</v>
      </c>
      <c r="N3170">
        <v>12.3</v>
      </c>
      <c r="O3170">
        <v>60</v>
      </c>
      <c r="P3170">
        <v>123</v>
      </c>
      <c r="Q3170">
        <v>170.7</v>
      </c>
      <c r="R3170" t="s">
        <v>39</v>
      </c>
      <c r="S3170" t="s">
        <v>31</v>
      </c>
      <c r="T3170" t="s">
        <v>32</v>
      </c>
      <c r="U3170">
        <v>46</v>
      </c>
      <c r="V3170">
        <v>3.8</v>
      </c>
      <c r="W3170">
        <f>Table2[[#This Row],[Quantity]]*Table2[[#This Row],[Item_Price]]</f>
        <v>123</v>
      </c>
    </row>
    <row r="3171" spans="1:23" x14ac:dyDescent="0.25">
      <c r="A3171" t="s">
        <v>3272</v>
      </c>
      <c r="B3171" s="1">
        <v>45887</v>
      </c>
      <c r="C3171" t="s">
        <v>3008</v>
      </c>
      <c r="D3171">
        <v>8</v>
      </c>
      <c r="E3171">
        <v>18</v>
      </c>
      <c r="F3171" t="s">
        <v>168</v>
      </c>
      <c r="G3171" t="s">
        <v>25</v>
      </c>
      <c r="H3171" t="s">
        <v>65</v>
      </c>
      <c r="I3171" t="s">
        <v>69</v>
      </c>
      <c r="J3171" t="s">
        <v>70</v>
      </c>
      <c r="K3171" t="s">
        <v>38</v>
      </c>
      <c r="L3171">
        <v>1</v>
      </c>
      <c r="M3171">
        <v>696</v>
      </c>
      <c r="N3171">
        <v>104.4</v>
      </c>
      <c r="O3171">
        <v>70</v>
      </c>
      <c r="P3171">
        <v>696</v>
      </c>
      <c r="Q3171">
        <v>661.6</v>
      </c>
      <c r="R3171" t="s">
        <v>39</v>
      </c>
      <c r="S3171" t="s">
        <v>31</v>
      </c>
      <c r="T3171" t="s">
        <v>40</v>
      </c>
      <c r="U3171">
        <v>66</v>
      </c>
      <c r="V3171">
        <v>3.8</v>
      </c>
      <c r="W3171">
        <f>Table2[[#This Row],[Quantity]]*Table2[[#This Row],[Item_Price]]</f>
        <v>696</v>
      </c>
    </row>
    <row r="3172" spans="1:23" x14ac:dyDescent="0.25">
      <c r="A3172" t="s">
        <v>3273</v>
      </c>
      <c r="B3172" s="1">
        <v>45887</v>
      </c>
      <c r="C3172" t="s">
        <v>3008</v>
      </c>
      <c r="D3172">
        <v>8</v>
      </c>
      <c r="E3172">
        <v>18</v>
      </c>
      <c r="F3172" t="s">
        <v>168</v>
      </c>
      <c r="G3172" t="s">
        <v>96</v>
      </c>
      <c r="H3172" t="s">
        <v>35</v>
      </c>
      <c r="I3172" t="s">
        <v>85</v>
      </c>
      <c r="J3172" t="s">
        <v>78</v>
      </c>
      <c r="K3172" t="s">
        <v>38</v>
      </c>
      <c r="L3172">
        <v>2</v>
      </c>
      <c r="M3172">
        <v>352</v>
      </c>
      <c r="N3172">
        <v>35.200000000000003</v>
      </c>
      <c r="O3172">
        <v>30</v>
      </c>
      <c r="P3172">
        <v>704</v>
      </c>
      <c r="Q3172">
        <v>698.8</v>
      </c>
      <c r="R3172" t="s">
        <v>39</v>
      </c>
      <c r="S3172" t="s">
        <v>110</v>
      </c>
      <c r="T3172" t="s">
        <v>40</v>
      </c>
      <c r="U3172">
        <v>50</v>
      </c>
      <c r="W3172">
        <f>Table2[[#This Row],[Quantity]]*Table2[[#This Row],[Item_Price]]</f>
        <v>704</v>
      </c>
    </row>
    <row r="3173" spans="1:23" x14ac:dyDescent="0.25">
      <c r="A3173" t="s">
        <v>3274</v>
      </c>
      <c r="B3173" s="1">
        <v>45887</v>
      </c>
      <c r="C3173" t="s">
        <v>3008</v>
      </c>
      <c r="D3173">
        <v>8</v>
      </c>
      <c r="E3173">
        <v>18</v>
      </c>
      <c r="F3173" t="s">
        <v>168</v>
      </c>
      <c r="G3173" t="s">
        <v>55</v>
      </c>
      <c r="H3173" t="s">
        <v>26</v>
      </c>
      <c r="I3173" t="s">
        <v>43</v>
      </c>
      <c r="J3173" t="s">
        <v>66</v>
      </c>
      <c r="K3173" t="s">
        <v>38</v>
      </c>
      <c r="L3173">
        <v>1</v>
      </c>
      <c r="M3173">
        <v>479</v>
      </c>
      <c r="N3173">
        <v>71.849999999999994</v>
      </c>
      <c r="O3173">
        <v>0</v>
      </c>
      <c r="P3173">
        <v>479</v>
      </c>
      <c r="Q3173">
        <v>407.15</v>
      </c>
      <c r="R3173" t="s">
        <v>30</v>
      </c>
      <c r="S3173" t="s">
        <v>31</v>
      </c>
      <c r="T3173" t="s">
        <v>40</v>
      </c>
      <c r="U3173">
        <v>34</v>
      </c>
      <c r="V3173">
        <v>4.2</v>
      </c>
      <c r="W3173">
        <f>Table2[[#This Row],[Quantity]]*Table2[[#This Row],[Item_Price]]</f>
        <v>479</v>
      </c>
    </row>
    <row r="3174" spans="1:23" x14ac:dyDescent="0.25">
      <c r="A3174" t="s">
        <v>3275</v>
      </c>
      <c r="B3174" s="1">
        <v>45887</v>
      </c>
      <c r="C3174" t="s">
        <v>3008</v>
      </c>
      <c r="D3174">
        <v>8</v>
      </c>
      <c r="E3174">
        <v>18</v>
      </c>
      <c r="F3174" t="s">
        <v>168</v>
      </c>
      <c r="G3174" t="s">
        <v>55</v>
      </c>
      <c r="H3174" t="s">
        <v>60</v>
      </c>
      <c r="I3174" t="s">
        <v>49</v>
      </c>
      <c r="J3174" t="s">
        <v>82</v>
      </c>
      <c r="K3174" t="s">
        <v>45</v>
      </c>
      <c r="L3174">
        <v>2</v>
      </c>
      <c r="M3174">
        <v>161</v>
      </c>
      <c r="N3174">
        <v>32.200000000000003</v>
      </c>
      <c r="O3174">
        <v>30</v>
      </c>
      <c r="P3174">
        <v>322</v>
      </c>
      <c r="Q3174">
        <v>319.8</v>
      </c>
      <c r="R3174" t="s">
        <v>39</v>
      </c>
      <c r="S3174" t="s">
        <v>46</v>
      </c>
      <c r="T3174" t="s">
        <v>32</v>
      </c>
      <c r="U3174">
        <v>40</v>
      </c>
      <c r="W3174">
        <f>Table2[[#This Row],[Quantity]]*Table2[[#This Row],[Item_Price]]</f>
        <v>322</v>
      </c>
    </row>
    <row r="3175" spans="1:23" x14ac:dyDescent="0.25">
      <c r="A3175" t="s">
        <v>3276</v>
      </c>
      <c r="B3175" s="1">
        <v>45887</v>
      </c>
      <c r="C3175" t="s">
        <v>3008</v>
      </c>
      <c r="D3175">
        <v>8</v>
      </c>
      <c r="E3175">
        <v>18</v>
      </c>
      <c r="F3175" t="s">
        <v>168</v>
      </c>
      <c r="G3175" t="s">
        <v>80</v>
      </c>
      <c r="H3175" t="s">
        <v>81</v>
      </c>
      <c r="I3175" t="s">
        <v>49</v>
      </c>
      <c r="J3175" t="s">
        <v>172</v>
      </c>
      <c r="K3175" t="s">
        <v>38</v>
      </c>
      <c r="L3175">
        <v>1</v>
      </c>
      <c r="M3175">
        <v>450</v>
      </c>
      <c r="N3175">
        <v>0</v>
      </c>
      <c r="O3175">
        <v>20</v>
      </c>
      <c r="P3175">
        <v>450</v>
      </c>
      <c r="Q3175">
        <v>470</v>
      </c>
      <c r="R3175" t="s">
        <v>30</v>
      </c>
      <c r="S3175" t="s">
        <v>31</v>
      </c>
      <c r="T3175" t="s">
        <v>40</v>
      </c>
      <c r="U3175">
        <v>61</v>
      </c>
      <c r="V3175">
        <v>3.7</v>
      </c>
      <c r="W3175">
        <f>Table2[[#This Row],[Quantity]]*Table2[[#This Row],[Item_Price]]</f>
        <v>450</v>
      </c>
    </row>
    <row r="3176" spans="1:23" x14ac:dyDescent="0.25">
      <c r="A3176" t="s">
        <v>3277</v>
      </c>
      <c r="B3176" s="1">
        <v>45887</v>
      </c>
      <c r="C3176" t="s">
        <v>3008</v>
      </c>
      <c r="D3176">
        <v>8</v>
      </c>
      <c r="E3176">
        <v>18</v>
      </c>
      <c r="F3176" t="s">
        <v>168</v>
      </c>
      <c r="G3176" t="s">
        <v>80</v>
      </c>
      <c r="H3176" t="s">
        <v>68</v>
      </c>
      <c r="I3176" t="s">
        <v>69</v>
      </c>
      <c r="J3176" t="s">
        <v>172</v>
      </c>
      <c r="K3176" t="s">
        <v>38</v>
      </c>
      <c r="L3176">
        <v>3</v>
      </c>
      <c r="M3176">
        <v>584</v>
      </c>
      <c r="N3176">
        <v>58.4</v>
      </c>
      <c r="O3176">
        <v>40</v>
      </c>
      <c r="P3176">
        <v>1752</v>
      </c>
      <c r="Q3176">
        <v>1733.6</v>
      </c>
      <c r="R3176" t="s">
        <v>112</v>
      </c>
      <c r="S3176" t="s">
        <v>31</v>
      </c>
      <c r="T3176" t="s">
        <v>40</v>
      </c>
      <c r="U3176">
        <v>21</v>
      </c>
      <c r="V3176">
        <v>4.5999999999999996</v>
      </c>
      <c r="W3176">
        <f>Table2[[#This Row],[Quantity]]*Table2[[#This Row],[Item_Price]]</f>
        <v>1752</v>
      </c>
    </row>
    <row r="3177" spans="1:23" x14ac:dyDescent="0.25">
      <c r="A3177" t="s">
        <v>3278</v>
      </c>
      <c r="B3177" s="1">
        <v>45887</v>
      </c>
      <c r="C3177" t="s">
        <v>3008</v>
      </c>
      <c r="D3177">
        <v>8</v>
      </c>
      <c r="E3177">
        <v>18</v>
      </c>
      <c r="F3177" t="s">
        <v>168</v>
      </c>
      <c r="G3177" t="s">
        <v>96</v>
      </c>
      <c r="H3177" t="s">
        <v>139</v>
      </c>
      <c r="I3177" t="s">
        <v>43</v>
      </c>
      <c r="J3177" t="s">
        <v>50</v>
      </c>
      <c r="K3177" t="s">
        <v>38</v>
      </c>
      <c r="L3177">
        <v>1</v>
      </c>
      <c r="M3177">
        <v>189</v>
      </c>
      <c r="N3177">
        <v>47.25</v>
      </c>
      <c r="O3177">
        <v>60</v>
      </c>
      <c r="P3177">
        <v>189</v>
      </c>
      <c r="Q3177">
        <v>201.75</v>
      </c>
      <c r="R3177" t="s">
        <v>75</v>
      </c>
      <c r="S3177" t="s">
        <v>31</v>
      </c>
      <c r="T3177" t="s">
        <v>32</v>
      </c>
      <c r="U3177">
        <v>29</v>
      </c>
      <c r="V3177">
        <v>4</v>
      </c>
      <c r="W3177">
        <f>Table2[[#This Row],[Quantity]]*Table2[[#This Row],[Item_Price]]</f>
        <v>189</v>
      </c>
    </row>
    <row r="3178" spans="1:23" x14ac:dyDescent="0.25">
      <c r="A3178" t="s">
        <v>3279</v>
      </c>
      <c r="B3178" s="1">
        <v>45887</v>
      </c>
      <c r="C3178" t="s">
        <v>3008</v>
      </c>
      <c r="D3178">
        <v>8</v>
      </c>
      <c r="E3178">
        <v>18</v>
      </c>
      <c r="F3178" t="s">
        <v>168</v>
      </c>
      <c r="G3178" t="s">
        <v>96</v>
      </c>
      <c r="H3178" t="s">
        <v>77</v>
      </c>
      <c r="I3178" t="s">
        <v>97</v>
      </c>
      <c r="J3178" t="s">
        <v>172</v>
      </c>
      <c r="K3178" t="s">
        <v>38</v>
      </c>
      <c r="L3178">
        <v>2</v>
      </c>
      <c r="M3178">
        <v>566</v>
      </c>
      <c r="N3178">
        <v>56.6</v>
      </c>
      <c r="O3178">
        <v>0</v>
      </c>
      <c r="P3178">
        <v>1132</v>
      </c>
      <c r="Q3178">
        <v>1075.4000000000001</v>
      </c>
      <c r="R3178" t="s">
        <v>39</v>
      </c>
      <c r="S3178" t="s">
        <v>91</v>
      </c>
      <c r="T3178" t="s">
        <v>32</v>
      </c>
      <c r="U3178">
        <v>38</v>
      </c>
      <c r="W3178">
        <f>Table2[[#This Row],[Quantity]]*Table2[[#This Row],[Item_Price]]</f>
        <v>1132</v>
      </c>
    </row>
    <row r="3179" spans="1:23" x14ac:dyDescent="0.25">
      <c r="A3179" t="s">
        <v>3280</v>
      </c>
      <c r="B3179" s="1">
        <v>45888</v>
      </c>
      <c r="C3179" t="s">
        <v>3008</v>
      </c>
      <c r="D3179">
        <v>8</v>
      </c>
      <c r="E3179">
        <v>19</v>
      </c>
      <c r="F3179" t="s">
        <v>178</v>
      </c>
      <c r="G3179" t="s">
        <v>90</v>
      </c>
      <c r="H3179" t="s">
        <v>52</v>
      </c>
      <c r="I3179" t="s">
        <v>49</v>
      </c>
      <c r="J3179" t="s">
        <v>82</v>
      </c>
      <c r="K3179" t="s">
        <v>29</v>
      </c>
      <c r="L3179">
        <v>3</v>
      </c>
      <c r="M3179">
        <v>700</v>
      </c>
      <c r="N3179">
        <v>0</v>
      </c>
      <c r="O3179">
        <v>70</v>
      </c>
      <c r="P3179">
        <v>2100</v>
      </c>
      <c r="Q3179">
        <v>2170</v>
      </c>
      <c r="R3179" t="s">
        <v>112</v>
      </c>
      <c r="S3179" t="s">
        <v>31</v>
      </c>
      <c r="T3179" t="s">
        <v>40</v>
      </c>
      <c r="U3179">
        <v>64</v>
      </c>
      <c r="V3179">
        <v>4.3</v>
      </c>
      <c r="W3179">
        <f>Table2[[#This Row],[Quantity]]*Table2[[#This Row],[Item_Price]]</f>
        <v>2100</v>
      </c>
    </row>
    <row r="3180" spans="1:23" x14ac:dyDescent="0.25">
      <c r="A3180" t="s">
        <v>3281</v>
      </c>
      <c r="B3180" s="1">
        <v>45888</v>
      </c>
      <c r="C3180" t="s">
        <v>3008</v>
      </c>
      <c r="D3180">
        <v>8</v>
      </c>
      <c r="E3180">
        <v>19</v>
      </c>
      <c r="F3180" t="s">
        <v>178</v>
      </c>
      <c r="G3180" t="s">
        <v>34</v>
      </c>
      <c r="H3180" t="s">
        <v>65</v>
      </c>
      <c r="I3180" t="s">
        <v>61</v>
      </c>
      <c r="J3180" t="s">
        <v>53</v>
      </c>
      <c r="K3180" t="s">
        <v>38</v>
      </c>
      <c r="L3180">
        <v>1</v>
      </c>
      <c r="M3180">
        <v>294</v>
      </c>
      <c r="N3180">
        <v>29.4</v>
      </c>
      <c r="O3180">
        <v>30</v>
      </c>
      <c r="P3180">
        <v>294</v>
      </c>
      <c r="Q3180">
        <v>294.60000000000002</v>
      </c>
      <c r="R3180" t="s">
        <v>30</v>
      </c>
      <c r="S3180" t="s">
        <v>31</v>
      </c>
      <c r="T3180" t="s">
        <v>40</v>
      </c>
      <c r="U3180">
        <v>40</v>
      </c>
      <c r="V3180">
        <v>4</v>
      </c>
      <c r="W3180">
        <f>Table2[[#This Row],[Quantity]]*Table2[[#This Row],[Item_Price]]</f>
        <v>294</v>
      </c>
    </row>
    <row r="3181" spans="1:23" x14ac:dyDescent="0.25">
      <c r="A3181" t="s">
        <v>3282</v>
      </c>
      <c r="B3181" s="1">
        <v>45888</v>
      </c>
      <c r="C3181" t="s">
        <v>3008</v>
      </c>
      <c r="D3181">
        <v>8</v>
      </c>
      <c r="E3181">
        <v>19</v>
      </c>
      <c r="F3181" t="s">
        <v>178</v>
      </c>
      <c r="G3181" t="s">
        <v>80</v>
      </c>
      <c r="H3181" t="s">
        <v>65</v>
      </c>
      <c r="I3181" t="s">
        <v>97</v>
      </c>
      <c r="J3181" t="s">
        <v>123</v>
      </c>
      <c r="K3181" t="s">
        <v>58</v>
      </c>
      <c r="L3181">
        <v>3</v>
      </c>
      <c r="M3181">
        <v>260</v>
      </c>
      <c r="N3181">
        <v>52</v>
      </c>
      <c r="O3181">
        <v>0</v>
      </c>
      <c r="P3181">
        <v>780</v>
      </c>
      <c r="Q3181">
        <v>728</v>
      </c>
      <c r="R3181" t="s">
        <v>30</v>
      </c>
      <c r="S3181" t="s">
        <v>91</v>
      </c>
      <c r="T3181" t="s">
        <v>40</v>
      </c>
      <c r="U3181">
        <v>50</v>
      </c>
      <c r="W3181">
        <f>Table2[[#This Row],[Quantity]]*Table2[[#This Row],[Item_Price]]</f>
        <v>780</v>
      </c>
    </row>
    <row r="3182" spans="1:23" x14ac:dyDescent="0.25">
      <c r="A3182" t="s">
        <v>3283</v>
      </c>
      <c r="B3182" s="1">
        <v>45888</v>
      </c>
      <c r="C3182" t="s">
        <v>3008</v>
      </c>
      <c r="D3182">
        <v>8</v>
      </c>
      <c r="E3182">
        <v>19</v>
      </c>
      <c r="F3182" t="s">
        <v>178</v>
      </c>
      <c r="G3182" t="s">
        <v>115</v>
      </c>
      <c r="H3182" t="s">
        <v>52</v>
      </c>
      <c r="I3182" t="s">
        <v>69</v>
      </c>
      <c r="J3182" t="s">
        <v>78</v>
      </c>
      <c r="K3182" t="s">
        <v>38</v>
      </c>
      <c r="L3182">
        <v>1</v>
      </c>
      <c r="M3182">
        <v>364</v>
      </c>
      <c r="N3182">
        <v>36.4</v>
      </c>
      <c r="O3182">
        <v>60</v>
      </c>
      <c r="P3182">
        <v>364</v>
      </c>
      <c r="Q3182">
        <v>387.6</v>
      </c>
      <c r="R3182" t="s">
        <v>30</v>
      </c>
      <c r="S3182" t="s">
        <v>31</v>
      </c>
      <c r="T3182" t="s">
        <v>40</v>
      </c>
      <c r="U3182">
        <v>56</v>
      </c>
      <c r="V3182">
        <v>4.5999999999999996</v>
      </c>
      <c r="W3182">
        <f>Table2[[#This Row],[Quantity]]*Table2[[#This Row],[Item_Price]]</f>
        <v>364</v>
      </c>
    </row>
    <row r="3183" spans="1:23" x14ac:dyDescent="0.25">
      <c r="A3183" t="s">
        <v>3284</v>
      </c>
      <c r="B3183" s="1">
        <v>45888</v>
      </c>
      <c r="C3183" t="s">
        <v>3008</v>
      </c>
      <c r="D3183">
        <v>8</v>
      </c>
      <c r="E3183">
        <v>19</v>
      </c>
      <c r="F3183" t="s">
        <v>178</v>
      </c>
      <c r="G3183" t="s">
        <v>80</v>
      </c>
      <c r="H3183" t="s">
        <v>52</v>
      </c>
      <c r="I3183" t="s">
        <v>61</v>
      </c>
      <c r="J3183" t="s">
        <v>119</v>
      </c>
      <c r="K3183" t="s">
        <v>38</v>
      </c>
      <c r="L3183">
        <v>2</v>
      </c>
      <c r="M3183">
        <v>784</v>
      </c>
      <c r="N3183">
        <v>39.200000000000003</v>
      </c>
      <c r="O3183">
        <v>60</v>
      </c>
      <c r="P3183">
        <v>1568</v>
      </c>
      <c r="Q3183">
        <v>1588.8</v>
      </c>
      <c r="R3183" t="s">
        <v>30</v>
      </c>
      <c r="S3183" t="s">
        <v>31</v>
      </c>
      <c r="T3183" t="s">
        <v>40</v>
      </c>
      <c r="U3183">
        <v>50</v>
      </c>
      <c r="V3183">
        <v>5</v>
      </c>
      <c r="W3183">
        <f>Table2[[#This Row],[Quantity]]*Table2[[#This Row],[Item_Price]]</f>
        <v>1568</v>
      </c>
    </row>
    <row r="3184" spans="1:23" x14ac:dyDescent="0.25">
      <c r="A3184" t="s">
        <v>3285</v>
      </c>
      <c r="B3184" s="1">
        <v>45888</v>
      </c>
      <c r="C3184" t="s">
        <v>3008</v>
      </c>
      <c r="D3184">
        <v>8</v>
      </c>
      <c r="E3184">
        <v>19</v>
      </c>
      <c r="F3184" t="s">
        <v>178</v>
      </c>
      <c r="G3184" t="s">
        <v>80</v>
      </c>
      <c r="H3184" t="s">
        <v>26</v>
      </c>
      <c r="I3184" t="s">
        <v>61</v>
      </c>
      <c r="J3184" t="s">
        <v>74</v>
      </c>
      <c r="K3184" t="s">
        <v>29</v>
      </c>
      <c r="L3184">
        <v>3</v>
      </c>
      <c r="M3184">
        <v>886</v>
      </c>
      <c r="N3184">
        <v>177.2</v>
      </c>
      <c r="O3184">
        <v>30</v>
      </c>
      <c r="P3184">
        <v>2658</v>
      </c>
      <c r="Q3184">
        <v>2510.8000000000002</v>
      </c>
      <c r="R3184" t="s">
        <v>112</v>
      </c>
      <c r="S3184" t="s">
        <v>31</v>
      </c>
      <c r="T3184" t="s">
        <v>32</v>
      </c>
      <c r="U3184">
        <v>22</v>
      </c>
      <c r="V3184">
        <v>3.6</v>
      </c>
      <c r="W3184">
        <f>Table2[[#This Row],[Quantity]]*Table2[[#This Row],[Item_Price]]</f>
        <v>2658</v>
      </c>
    </row>
    <row r="3185" spans="1:23" x14ac:dyDescent="0.25">
      <c r="A3185" t="s">
        <v>3286</v>
      </c>
      <c r="B3185" s="1">
        <v>45888</v>
      </c>
      <c r="C3185" t="s">
        <v>3008</v>
      </c>
      <c r="D3185">
        <v>8</v>
      </c>
      <c r="E3185">
        <v>19</v>
      </c>
      <c r="F3185" t="s">
        <v>178</v>
      </c>
      <c r="G3185" t="s">
        <v>64</v>
      </c>
      <c r="H3185" t="s">
        <v>81</v>
      </c>
      <c r="I3185" t="s">
        <v>36</v>
      </c>
      <c r="J3185" t="s">
        <v>78</v>
      </c>
      <c r="K3185" t="s">
        <v>38</v>
      </c>
      <c r="L3185">
        <v>1</v>
      </c>
      <c r="M3185">
        <v>120</v>
      </c>
      <c r="N3185">
        <v>18</v>
      </c>
      <c r="O3185">
        <v>40</v>
      </c>
      <c r="P3185">
        <v>120</v>
      </c>
      <c r="Q3185">
        <v>142</v>
      </c>
      <c r="R3185" t="s">
        <v>39</v>
      </c>
      <c r="S3185" t="s">
        <v>31</v>
      </c>
      <c r="T3185" t="s">
        <v>40</v>
      </c>
      <c r="U3185">
        <v>31</v>
      </c>
      <c r="V3185">
        <v>3.4</v>
      </c>
      <c r="W3185">
        <f>Table2[[#This Row],[Quantity]]*Table2[[#This Row],[Item_Price]]</f>
        <v>120</v>
      </c>
    </row>
    <row r="3186" spans="1:23" x14ac:dyDescent="0.25">
      <c r="A3186" t="s">
        <v>3287</v>
      </c>
      <c r="B3186" s="1">
        <v>45888</v>
      </c>
      <c r="C3186" t="s">
        <v>3008</v>
      </c>
      <c r="D3186">
        <v>8</v>
      </c>
      <c r="E3186">
        <v>19</v>
      </c>
      <c r="F3186" t="s">
        <v>178</v>
      </c>
      <c r="G3186" t="s">
        <v>80</v>
      </c>
      <c r="H3186" t="s">
        <v>48</v>
      </c>
      <c r="I3186" t="s">
        <v>85</v>
      </c>
      <c r="J3186" t="s">
        <v>74</v>
      </c>
      <c r="K3186" t="s">
        <v>38</v>
      </c>
      <c r="L3186">
        <v>1</v>
      </c>
      <c r="M3186">
        <v>838</v>
      </c>
      <c r="N3186">
        <v>41.9</v>
      </c>
      <c r="O3186">
        <v>30</v>
      </c>
      <c r="P3186">
        <v>838</v>
      </c>
      <c r="Q3186">
        <v>826.1</v>
      </c>
      <c r="R3186" t="s">
        <v>39</v>
      </c>
      <c r="S3186" t="s">
        <v>31</v>
      </c>
      <c r="T3186" t="s">
        <v>32</v>
      </c>
      <c r="U3186">
        <v>53</v>
      </c>
      <c r="V3186">
        <v>4.5</v>
      </c>
      <c r="W3186">
        <f>Table2[[#This Row],[Quantity]]*Table2[[#This Row],[Item_Price]]</f>
        <v>838</v>
      </c>
    </row>
    <row r="3187" spans="1:23" x14ac:dyDescent="0.25">
      <c r="A3187" t="s">
        <v>3288</v>
      </c>
      <c r="B3187" s="1">
        <v>45888</v>
      </c>
      <c r="C3187" t="s">
        <v>3008</v>
      </c>
      <c r="D3187">
        <v>8</v>
      </c>
      <c r="E3187">
        <v>19</v>
      </c>
      <c r="F3187" t="s">
        <v>178</v>
      </c>
      <c r="G3187" t="s">
        <v>25</v>
      </c>
      <c r="H3187" t="s">
        <v>139</v>
      </c>
      <c r="I3187" t="s">
        <v>57</v>
      </c>
      <c r="J3187" t="s">
        <v>44</v>
      </c>
      <c r="K3187" t="s">
        <v>38</v>
      </c>
      <c r="L3187">
        <v>1</v>
      </c>
      <c r="M3187">
        <v>326</v>
      </c>
      <c r="N3187">
        <v>81.5</v>
      </c>
      <c r="O3187">
        <v>0</v>
      </c>
      <c r="P3187">
        <v>326</v>
      </c>
      <c r="Q3187">
        <v>244.5</v>
      </c>
      <c r="R3187" t="s">
        <v>39</v>
      </c>
      <c r="S3187" t="s">
        <v>31</v>
      </c>
      <c r="T3187" t="s">
        <v>32</v>
      </c>
      <c r="U3187">
        <v>57</v>
      </c>
      <c r="V3187">
        <v>4.3</v>
      </c>
      <c r="W3187">
        <f>Table2[[#This Row],[Quantity]]*Table2[[#This Row],[Item_Price]]</f>
        <v>326</v>
      </c>
    </row>
    <row r="3188" spans="1:23" x14ac:dyDescent="0.25">
      <c r="A3188" t="s">
        <v>3289</v>
      </c>
      <c r="B3188" s="1">
        <v>45888</v>
      </c>
      <c r="C3188" t="s">
        <v>3008</v>
      </c>
      <c r="D3188">
        <v>8</v>
      </c>
      <c r="E3188">
        <v>19</v>
      </c>
      <c r="F3188" t="s">
        <v>178</v>
      </c>
      <c r="G3188" t="s">
        <v>73</v>
      </c>
      <c r="H3188" t="s">
        <v>42</v>
      </c>
      <c r="I3188" t="s">
        <v>49</v>
      </c>
      <c r="J3188" t="s">
        <v>172</v>
      </c>
      <c r="K3188" t="s">
        <v>45</v>
      </c>
      <c r="L3188">
        <v>1</v>
      </c>
      <c r="M3188">
        <v>232</v>
      </c>
      <c r="N3188">
        <v>46.4</v>
      </c>
      <c r="O3188">
        <v>50</v>
      </c>
      <c r="P3188">
        <v>232</v>
      </c>
      <c r="Q3188">
        <v>235.6</v>
      </c>
      <c r="R3188" t="s">
        <v>39</v>
      </c>
      <c r="S3188" t="s">
        <v>31</v>
      </c>
      <c r="T3188" t="s">
        <v>40</v>
      </c>
      <c r="U3188">
        <v>63</v>
      </c>
      <c r="V3188">
        <v>4.2</v>
      </c>
      <c r="W3188">
        <f>Table2[[#This Row],[Quantity]]*Table2[[#This Row],[Item_Price]]</f>
        <v>232</v>
      </c>
    </row>
    <row r="3189" spans="1:23" x14ac:dyDescent="0.25">
      <c r="A3189" t="s">
        <v>3290</v>
      </c>
      <c r="B3189" s="1">
        <v>45888</v>
      </c>
      <c r="C3189" t="s">
        <v>3008</v>
      </c>
      <c r="D3189">
        <v>8</v>
      </c>
      <c r="E3189">
        <v>19</v>
      </c>
      <c r="F3189" t="s">
        <v>178</v>
      </c>
      <c r="G3189" t="s">
        <v>64</v>
      </c>
      <c r="H3189" t="s">
        <v>60</v>
      </c>
      <c r="I3189" t="s">
        <v>85</v>
      </c>
      <c r="J3189" t="s">
        <v>50</v>
      </c>
      <c r="K3189" t="s">
        <v>45</v>
      </c>
      <c r="L3189">
        <v>2</v>
      </c>
      <c r="M3189">
        <v>513</v>
      </c>
      <c r="N3189">
        <v>51.3</v>
      </c>
      <c r="O3189">
        <v>50</v>
      </c>
      <c r="P3189">
        <v>1026</v>
      </c>
      <c r="Q3189">
        <v>1024.7</v>
      </c>
      <c r="R3189" t="s">
        <v>30</v>
      </c>
      <c r="S3189" t="s">
        <v>31</v>
      </c>
      <c r="T3189" t="s">
        <v>32</v>
      </c>
      <c r="U3189">
        <v>48</v>
      </c>
      <c r="V3189">
        <v>3.9</v>
      </c>
      <c r="W3189">
        <f>Table2[[#This Row],[Quantity]]*Table2[[#This Row],[Item_Price]]</f>
        <v>1026</v>
      </c>
    </row>
    <row r="3190" spans="1:23" x14ac:dyDescent="0.25">
      <c r="A3190" t="s">
        <v>3291</v>
      </c>
      <c r="B3190" s="1">
        <v>45888</v>
      </c>
      <c r="C3190" t="s">
        <v>3008</v>
      </c>
      <c r="D3190">
        <v>8</v>
      </c>
      <c r="E3190">
        <v>19</v>
      </c>
      <c r="F3190" t="s">
        <v>178</v>
      </c>
      <c r="G3190" t="s">
        <v>73</v>
      </c>
      <c r="H3190" t="s">
        <v>135</v>
      </c>
      <c r="I3190" t="s">
        <v>85</v>
      </c>
      <c r="J3190" t="s">
        <v>50</v>
      </c>
      <c r="K3190" t="s">
        <v>38</v>
      </c>
      <c r="L3190">
        <v>1</v>
      </c>
      <c r="M3190">
        <v>335</v>
      </c>
      <c r="N3190">
        <v>50.25</v>
      </c>
      <c r="O3190">
        <v>20</v>
      </c>
      <c r="P3190">
        <v>335</v>
      </c>
      <c r="Q3190">
        <v>304.75</v>
      </c>
      <c r="R3190" t="s">
        <v>98</v>
      </c>
      <c r="S3190" t="s">
        <v>31</v>
      </c>
      <c r="T3190" t="s">
        <v>40</v>
      </c>
      <c r="U3190">
        <v>21</v>
      </c>
      <c r="V3190">
        <v>4.0999999999999996</v>
      </c>
      <c r="W3190">
        <f>Table2[[#This Row],[Quantity]]*Table2[[#This Row],[Item_Price]]</f>
        <v>335</v>
      </c>
    </row>
    <row r="3191" spans="1:23" x14ac:dyDescent="0.25">
      <c r="A3191" t="s">
        <v>3292</v>
      </c>
      <c r="B3191" s="1">
        <v>45888</v>
      </c>
      <c r="C3191" t="s">
        <v>3008</v>
      </c>
      <c r="D3191">
        <v>8</v>
      </c>
      <c r="E3191">
        <v>19</v>
      </c>
      <c r="F3191" t="s">
        <v>178</v>
      </c>
      <c r="G3191" t="s">
        <v>25</v>
      </c>
      <c r="H3191" t="s">
        <v>139</v>
      </c>
      <c r="I3191" t="s">
        <v>97</v>
      </c>
      <c r="J3191" t="s">
        <v>53</v>
      </c>
      <c r="K3191" t="s">
        <v>38</v>
      </c>
      <c r="L3191">
        <v>2</v>
      </c>
      <c r="M3191">
        <v>682</v>
      </c>
      <c r="N3191">
        <v>34.1</v>
      </c>
      <c r="O3191">
        <v>0</v>
      </c>
      <c r="P3191">
        <v>1364</v>
      </c>
      <c r="Q3191">
        <v>1329.9</v>
      </c>
      <c r="R3191" t="s">
        <v>39</v>
      </c>
      <c r="S3191" t="s">
        <v>46</v>
      </c>
      <c r="T3191" t="s">
        <v>40</v>
      </c>
      <c r="U3191">
        <v>43</v>
      </c>
      <c r="W3191">
        <f>Table2[[#This Row],[Quantity]]*Table2[[#This Row],[Item_Price]]</f>
        <v>1364</v>
      </c>
    </row>
    <row r="3192" spans="1:23" x14ac:dyDescent="0.25">
      <c r="A3192" t="s">
        <v>3293</v>
      </c>
      <c r="B3192" s="1">
        <v>45888</v>
      </c>
      <c r="C3192" t="s">
        <v>3008</v>
      </c>
      <c r="D3192">
        <v>8</v>
      </c>
      <c r="E3192">
        <v>19</v>
      </c>
      <c r="F3192" t="s">
        <v>178</v>
      </c>
      <c r="G3192" t="s">
        <v>80</v>
      </c>
      <c r="H3192" t="s">
        <v>139</v>
      </c>
      <c r="I3192" t="s">
        <v>97</v>
      </c>
      <c r="J3192" t="s">
        <v>78</v>
      </c>
      <c r="K3192" t="s">
        <v>45</v>
      </c>
      <c r="L3192">
        <v>3</v>
      </c>
      <c r="M3192">
        <v>890</v>
      </c>
      <c r="N3192">
        <v>89</v>
      </c>
      <c r="O3192">
        <v>30</v>
      </c>
      <c r="P3192">
        <v>2670</v>
      </c>
      <c r="Q3192">
        <v>2611</v>
      </c>
      <c r="R3192" t="s">
        <v>39</v>
      </c>
      <c r="S3192" t="s">
        <v>31</v>
      </c>
      <c r="T3192" t="s">
        <v>32</v>
      </c>
      <c r="U3192">
        <v>57</v>
      </c>
      <c r="V3192">
        <v>4.5</v>
      </c>
      <c r="W3192">
        <f>Table2[[#This Row],[Quantity]]*Table2[[#This Row],[Item_Price]]</f>
        <v>2670</v>
      </c>
    </row>
    <row r="3193" spans="1:23" x14ac:dyDescent="0.25">
      <c r="A3193" t="s">
        <v>3294</v>
      </c>
      <c r="B3193" s="1">
        <v>45889</v>
      </c>
      <c r="C3193" t="s">
        <v>3008</v>
      </c>
      <c r="D3193">
        <v>8</v>
      </c>
      <c r="E3193">
        <v>20</v>
      </c>
      <c r="F3193" t="s">
        <v>24</v>
      </c>
      <c r="G3193" t="s">
        <v>115</v>
      </c>
      <c r="H3193" t="s">
        <v>77</v>
      </c>
      <c r="I3193" t="s">
        <v>103</v>
      </c>
      <c r="J3193" t="s">
        <v>82</v>
      </c>
      <c r="K3193" t="s">
        <v>38</v>
      </c>
      <c r="L3193">
        <v>2</v>
      </c>
      <c r="M3193">
        <v>569</v>
      </c>
      <c r="N3193">
        <v>142.25</v>
      </c>
      <c r="O3193">
        <v>0</v>
      </c>
      <c r="P3193">
        <v>1138</v>
      </c>
      <c r="Q3193">
        <v>995.75</v>
      </c>
      <c r="R3193" t="s">
        <v>39</v>
      </c>
      <c r="S3193" t="s">
        <v>31</v>
      </c>
      <c r="T3193" t="s">
        <v>32</v>
      </c>
      <c r="U3193">
        <v>23</v>
      </c>
      <c r="V3193">
        <v>4.7</v>
      </c>
      <c r="W3193">
        <f>Table2[[#This Row],[Quantity]]*Table2[[#This Row],[Item_Price]]</f>
        <v>1138</v>
      </c>
    </row>
    <row r="3194" spans="1:23" x14ac:dyDescent="0.25">
      <c r="A3194" t="s">
        <v>3295</v>
      </c>
      <c r="B3194" s="1">
        <v>45889</v>
      </c>
      <c r="C3194" t="s">
        <v>3008</v>
      </c>
      <c r="D3194">
        <v>8</v>
      </c>
      <c r="E3194">
        <v>20</v>
      </c>
      <c r="F3194" t="s">
        <v>24</v>
      </c>
      <c r="G3194" t="s">
        <v>34</v>
      </c>
      <c r="H3194" t="s">
        <v>56</v>
      </c>
      <c r="I3194" t="s">
        <v>61</v>
      </c>
      <c r="J3194" t="s">
        <v>28</v>
      </c>
      <c r="K3194" t="s">
        <v>38</v>
      </c>
      <c r="L3194">
        <v>3</v>
      </c>
      <c r="M3194">
        <v>603</v>
      </c>
      <c r="N3194">
        <v>120.6</v>
      </c>
      <c r="O3194">
        <v>70</v>
      </c>
      <c r="P3194">
        <v>1809</v>
      </c>
      <c r="Q3194">
        <v>1758.4</v>
      </c>
      <c r="R3194" t="s">
        <v>98</v>
      </c>
      <c r="S3194" t="s">
        <v>31</v>
      </c>
      <c r="T3194" t="s">
        <v>40</v>
      </c>
      <c r="U3194">
        <v>45</v>
      </c>
      <c r="V3194">
        <v>4.7</v>
      </c>
      <c r="W3194">
        <f>Table2[[#This Row],[Quantity]]*Table2[[#This Row],[Item_Price]]</f>
        <v>1809</v>
      </c>
    </row>
    <row r="3195" spans="1:23" x14ac:dyDescent="0.25">
      <c r="A3195" t="s">
        <v>3296</v>
      </c>
      <c r="B3195" s="1">
        <v>45889</v>
      </c>
      <c r="C3195" t="s">
        <v>3008</v>
      </c>
      <c r="D3195">
        <v>8</v>
      </c>
      <c r="E3195">
        <v>20</v>
      </c>
      <c r="F3195" t="s">
        <v>24</v>
      </c>
      <c r="G3195" t="s">
        <v>80</v>
      </c>
      <c r="H3195" t="s">
        <v>68</v>
      </c>
      <c r="I3195" t="s">
        <v>49</v>
      </c>
      <c r="J3195" t="s">
        <v>53</v>
      </c>
      <c r="K3195" t="s">
        <v>38</v>
      </c>
      <c r="L3195">
        <v>2</v>
      </c>
      <c r="M3195">
        <v>798</v>
      </c>
      <c r="N3195">
        <v>79.8</v>
      </c>
      <c r="O3195">
        <v>30</v>
      </c>
      <c r="P3195">
        <v>1596</v>
      </c>
      <c r="Q3195">
        <v>1546.2</v>
      </c>
      <c r="R3195" t="s">
        <v>30</v>
      </c>
      <c r="S3195" t="s">
        <v>31</v>
      </c>
      <c r="T3195" t="s">
        <v>40</v>
      </c>
      <c r="U3195">
        <v>70</v>
      </c>
      <c r="V3195">
        <v>4.2</v>
      </c>
      <c r="W3195">
        <f>Table2[[#This Row],[Quantity]]*Table2[[#This Row],[Item_Price]]</f>
        <v>1596</v>
      </c>
    </row>
    <row r="3196" spans="1:23" x14ac:dyDescent="0.25">
      <c r="A3196" t="s">
        <v>3297</v>
      </c>
      <c r="B3196" s="1">
        <v>45889</v>
      </c>
      <c r="C3196" t="s">
        <v>3008</v>
      </c>
      <c r="D3196">
        <v>8</v>
      </c>
      <c r="E3196">
        <v>20</v>
      </c>
      <c r="F3196" t="s">
        <v>24</v>
      </c>
      <c r="G3196" t="s">
        <v>34</v>
      </c>
      <c r="H3196" t="s">
        <v>48</v>
      </c>
      <c r="I3196" t="s">
        <v>43</v>
      </c>
      <c r="J3196" t="s">
        <v>50</v>
      </c>
      <c r="K3196" t="s">
        <v>38</v>
      </c>
      <c r="L3196">
        <v>1</v>
      </c>
      <c r="M3196">
        <v>185</v>
      </c>
      <c r="N3196">
        <v>18.5</v>
      </c>
      <c r="O3196">
        <v>40</v>
      </c>
      <c r="P3196">
        <v>185</v>
      </c>
      <c r="Q3196">
        <v>206.5</v>
      </c>
      <c r="R3196" t="s">
        <v>98</v>
      </c>
      <c r="S3196" t="s">
        <v>31</v>
      </c>
      <c r="T3196" t="s">
        <v>40</v>
      </c>
      <c r="U3196">
        <v>56</v>
      </c>
      <c r="V3196">
        <v>4.0999999999999996</v>
      </c>
      <c r="W3196">
        <f>Table2[[#This Row],[Quantity]]*Table2[[#This Row],[Item_Price]]</f>
        <v>185</v>
      </c>
    </row>
    <row r="3197" spans="1:23" x14ac:dyDescent="0.25">
      <c r="A3197" t="s">
        <v>3298</v>
      </c>
      <c r="B3197" s="1">
        <v>45889</v>
      </c>
      <c r="C3197" t="s">
        <v>3008</v>
      </c>
      <c r="D3197">
        <v>8</v>
      </c>
      <c r="E3197">
        <v>20</v>
      </c>
      <c r="F3197" t="s">
        <v>24</v>
      </c>
      <c r="G3197" t="s">
        <v>80</v>
      </c>
      <c r="H3197" t="s">
        <v>35</v>
      </c>
      <c r="I3197" t="s">
        <v>57</v>
      </c>
      <c r="J3197" t="s">
        <v>50</v>
      </c>
      <c r="K3197" t="s">
        <v>58</v>
      </c>
      <c r="L3197">
        <v>2</v>
      </c>
      <c r="M3197">
        <v>245</v>
      </c>
      <c r="N3197">
        <v>0</v>
      </c>
      <c r="O3197">
        <v>30</v>
      </c>
      <c r="P3197">
        <v>490</v>
      </c>
      <c r="Q3197">
        <v>520</v>
      </c>
      <c r="R3197" t="s">
        <v>75</v>
      </c>
      <c r="S3197" t="s">
        <v>31</v>
      </c>
      <c r="T3197" t="s">
        <v>40</v>
      </c>
      <c r="U3197">
        <v>48</v>
      </c>
      <c r="V3197">
        <v>4.2</v>
      </c>
      <c r="W3197">
        <f>Table2[[#This Row],[Quantity]]*Table2[[#This Row],[Item_Price]]</f>
        <v>490</v>
      </c>
    </row>
    <row r="3198" spans="1:23" x14ac:dyDescent="0.25">
      <c r="A3198" t="s">
        <v>3299</v>
      </c>
      <c r="B3198" s="1">
        <v>45889</v>
      </c>
      <c r="C3198" t="s">
        <v>3008</v>
      </c>
      <c r="D3198">
        <v>8</v>
      </c>
      <c r="E3198">
        <v>20</v>
      </c>
      <c r="F3198" t="s">
        <v>24</v>
      </c>
      <c r="G3198" t="s">
        <v>115</v>
      </c>
      <c r="H3198" t="s">
        <v>108</v>
      </c>
      <c r="I3198" t="s">
        <v>49</v>
      </c>
      <c r="J3198" t="s">
        <v>44</v>
      </c>
      <c r="K3198" t="s">
        <v>38</v>
      </c>
      <c r="L3198">
        <v>1</v>
      </c>
      <c r="M3198">
        <v>122</v>
      </c>
      <c r="N3198">
        <v>0</v>
      </c>
      <c r="O3198">
        <v>0</v>
      </c>
      <c r="P3198">
        <v>122</v>
      </c>
      <c r="Q3198">
        <v>122</v>
      </c>
      <c r="R3198" t="s">
        <v>30</v>
      </c>
      <c r="S3198" t="s">
        <v>31</v>
      </c>
      <c r="T3198" t="s">
        <v>32</v>
      </c>
      <c r="U3198">
        <v>68</v>
      </c>
      <c r="V3198">
        <v>4.2</v>
      </c>
      <c r="W3198">
        <f>Table2[[#This Row],[Quantity]]*Table2[[#This Row],[Item_Price]]</f>
        <v>122</v>
      </c>
    </row>
    <row r="3199" spans="1:23" x14ac:dyDescent="0.25">
      <c r="A3199" t="s">
        <v>3300</v>
      </c>
      <c r="B3199" s="1">
        <v>45889</v>
      </c>
      <c r="C3199" t="s">
        <v>3008</v>
      </c>
      <c r="D3199">
        <v>8</v>
      </c>
      <c r="E3199">
        <v>20</v>
      </c>
      <c r="F3199" t="s">
        <v>24</v>
      </c>
      <c r="G3199" t="s">
        <v>34</v>
      </c>
      <c r="H3199" t="s">
        <v>56</v>
      </c>
      <c r="I3199" t="s">
        <v>57</v>
      </c>
      <c r="J3199" t="s">
        <v>62</v>
      </c>
      <c r="K3199" t="s">
        <v>38</v>
      </c>
      <c r="L3199">
        <v>2</v>
      </c>
      <c r="M3199">
        <v>291</v>
      </c>
      <c r="N3199">
        <v>58.2</v>
      </c>
      <c r="O3199">
        <v>0</v>
      </c>
      <c r="P3199">
        <v>582</v>
      </c>
      <c r="Q3199">
        <v>523.79999999999995</v>
      </c>
      <c r="R3199" t="s">
        <v>39</v>
      </c>
      <c r="S3199" t="s">
        <v>31</v>
      </c>
      <c r="T3199" t="s">
        <v>40</v>
      </c>
      <c r="U3199">
        <v>32</v>
      </c>
      <c r="V3199">
        <v>5</v>
      </c>
      <c r="W3199">
        <f>Table2[[#This Row],[Quantity]]*Table2[[#This Row],[Item_Price]]</f>
        <v>582</v>
      </c>
    </row>
    <row r="3200" spans="1:23" x14ac:dyDescent="0.25">
      <c r="A3200" t="s">
        <v>3301</v>
      </c>
      <c r="B3200" s="1">
        <v>45889</v>
      </c>
      <c r="C3200" t="s">
        <v>3008</v>
      </c>
      <c r="D3200">
        <v>8</v>
      </c>
      <c r="E3200">
        <v>20</v>
      </c>
      <c r="F3200" t="s">
        <v>24</v>
      </c>
      <c r="G3200" t="s">
        <v>96</v>
      </c>
      <c r="H3200" t="s">
        <v>68</v>
      </c>
      <c r="I3200" t="s">
        <v>103</v>
      </c>
      <c r="J3200" t="s">
        <v>62</v>
      </c>
      <c r="K3200" t="s">
        <v>58</v>
      </c>
      <c r="L3200">
        <v>2</v>
      </c>
      <c r="M3200">
        <v>727</v>
      </c>
      <c r="N3200">
        <v>72.7</v>
      </c>
      <c r="O3200">
        <v>20</v>
      </c>
      <c r="P3200">
        <v>1454</v>
      </c>
      <c r="Q3200">
        <v>1401.3</v>
      </c>
      <c r="R3200" t="s">
        <v>98</v>
      </c>
      <c r="S3200" t="s">
        <v>31</v>
      </c>
      <c r="T3200" t="s">
        <v>32</v>
      </c>
      <c r="U3200">
        <v>59</v>
      </c>
      <c r="V3200">
        <v>4.3</v>
      </c>
      <c r="W3200">
        <f>Table2[[#This Row],[Quantity]]*Table2[[#This Row],[Item_Price]]</f>
        <v>1454</v>
      </c>
    </row>
    <row r="3201" spans="1:23" x14ac:dyDescent="0.25">
      <c r="A3201" t="s">
        <v>3302</v>
      </c>
      <c r="B3201" s="1">
        <v>45889</v>
      </c>
      <c r="C3201" t="s">
        <v>3008</v>
      </c>
      <c r="D3201">
        <v>8</v>
      </c>
      <c r="E3201">
        <v>20</v>
      </c>
      <c r="F3201" t="s">
        <v>24</v>
      </c>
      <c r="G3201" t="s">
        <v>73</v>
      </c>
      <c r="H3201" t="s">
        <v>65</v>
      </c>
      <c r="I3201" t="s">
        <v>103</v>
      </c>
      <c r="J3201" t="s">
        <v>66</v>
      </c>
      <c r="K3201" t="s">
        <v>45</v>
      </c>
      <c r="L3201">
        <v>1</v>
      </c>
      <c r="M3201">
        <v>135</v>
      </c>
      <c r="N3201">
        <v>27</v>
      </c>
      <c r="O3201">
        <v>40</v>
      </c>
      <c r="P3201">
        <v>135</v>
      </c>
      <c r="Q3201">
        <v>148</v>
      </c>
      <c r="R3201" t="s">
        <v>30</v>
      </c>
      <c r="S3201" t="s">
        <v>31</v>
      </c>
      <c r="T3201" t="s">
        <v>32</v>
      </c>
      <c r="U3201">
        <v>19</v>
      </c>
      <c r="V3201">
        <v>3.9</v>
      </c>
      <c r="W3201">
        <f>Table2[[#This Row],[Quantity]]*Table2[[#This Row],[Item_Price]]</f>
        <v>135</v>
      </c>
    </row>
    <row r="3202" spans="1:23" x14ac:dyDescent="0.25">
      <c r="A3202" t="s">
        <v>3303</v>
      </c>
      <c r="B3202" s="1">
        <v>45889</v>
      </c>
      <c r="C3202" t="s">
        <v>3008</v>
      </c>
      <c r="D3202">
        <v>8</v>
      </c>
      <c r="E3202">
        <v>20</v>
      </c>
      <c r="F3202" t="s">
        <v>24</v>
      </c>
      <c r="G3202" t="s">
        <v>25</v>
      </c>
      <c r="H3202" t="s">
        <v>52</v>
      </c>
      <c r="I3202" t="s">
        <v>103</v>
      </c>
      <c r="J3202" t="s">
        <v>66</v>
      </c>
      <c r="K3202" t="s">
        <v>58</v>
      </c>
      <c r="L3202">
        <v>1</v>
      </c>
      <c r="M3202">
        <v>505</v>
      </c>
      <c r="N3202">
        <v>75.75</v>
      </c>
      <c r="O3202">
        <v>50</v>
      </c>
      <c r="P3202">
        <v>505</v>
      </c>
      <c r="Q3202">
        <v>479.25</v>
      </c>
      <c r="R3202" t="s">
        <v>39</v>
      </c>
      <c r="S3202" t="s">
        <v>31</v>
      </c>
      <c r="T3202" t="s">
        <v>32</v>
      </c>
      <c r="U3202">
        <v>38</v>
      </c>
      <c r="V3202">
        <v>4.5</v>
      </c>
      <c r="W3202">
        <f>Table2[[#This Row],[Quantity]]*Table2[[#This Row],[Item_Price]]</f>
        <v>505</v>
      </c>
    </row>
    <row r="3203" spans="1:23" x14ac:dyDescent="0.25">
      <c r="A3203" t="s">
        <v>3304</v>
      </c>
      <c r="B3203" s="1">
        <v>45889</v>
      </c>
      <c r="C3203" t="s">
        <v>3008</v>
      </c>
      <c r="D3203">
        <v>8</v>
      </c>
      <c r="E3203">
        <v>20</v>
      </c>
      <c r="F3203" t="s">
        <v>24</v>
      </c>
      <c r="G3203" t="s">
        <v>25</v>
      </c>
      <c r="H3203" t="s">
        <v>135</v>
      </c>
      <c r="I3203" t="s">
        <v>36</v>
      </c>
      <c r="J3203" t="s">
        <v>94</v>
      </c>
      <c r="K3203" t="s">
        <v>38</v>
      </c>
      <c r="L3203">
        <v>3</v>
      </c>
      <c r="M3203">
        <v>733</v>
      </c>
      <c r="N3203">
        <v>73.3</v>
      </c>
      <c r="O3203">
        <v>0</v>
      </c>
      <c r="P3203">
        <v>2199</v>
      </c>
      <c r="Q3203">
        <v>2125.6999999999998</v>
      </c>
      <c r="R3203" t="s">
        <v>112</v>
      </c>
      <c r="S3203" t="s">
        <v>31</v>
      </c>
      <c r="T3203" t="s">
        <v>40</v>
      </c>
      <c r="U3203">
        <v>21</v>
      </c>
      <c r="V3203">
        <v>4.5999999999999996</v>
      </c>
      <c r="W3203">
        <f>Table2[[#This Row],[Quantity]]*Table2[[#This Row],[Item_Price]]</f>
        <v>2199</v>
      </c>
    </row>
    <row r="3204" spans="1:23" x14ac:dyDescent="0.25">
      <c r="A3204" t="s">
        <v>3305</v>
      </c>
      <c r="B3204" s="1">
        <v>45890</v>
      </c>
      <c r="C3204" t="s">
        <v>3008</v>
      </c>
      <c r="D3204">
        <v>8</v>
      </c>
      <c r="E3204">
        <v>21</v>
      </c>
      <c r="F3204" t="s">
        <v>88</v>
      </c>
      <c r="G3204" t="s">
        <v>115</v>
      </c>
      <c r="H3204" t="s">
        <v>65</v>
      </c>
      <c r="I3204" t="s">
        <v>61</v>
      </c>
      <c r="J3204" t="s">
        <v>172</v>
      </c>
      <c r="K3204" t="s">
        <v>38</v>
      </c>
      <c r="L3204">
        <v>3</v>
      </c>
      <c r="M3204">
        <v>608</v>
      </c>
      <c r="N3204">
        <v>60.8</v>
      </c>
      <c r="O3204">
        <v>40</v>
      </c>
      <c r="P3204">
        <v>1824</v>
      </c>
      <c r="Q3204">
        <v>1803.2</v>
      </c>
      <c r="R3204" t="s">
        <v>39</v>
      </c>
      <c r="S3204" t="s">
        <v>31</v>
      </c>
      <c r="T3204" t="s">
        <v>40</v>
      </c>
      <c r="U3204">
        <v>37</v>
      </c>
      <c r="V3204">
        <v>3.9</v>
      </c>
      <c r="W3204">
        <f>Table2[[#This Row],[Quantity]]*Table2[[#This Row],[Item_Price]]</f>
        <v>1824</v>
      </c>
    </row>
    <row r="3205" spans="1:23" x14ac:dyDescent="0.25">
      <c r="A3205" t="s">
        <v>3306</v>
      </c>
      <c r="B3205" s="1">
        <v>45890</v>
      </c>
      <c r="C3205" t="s">
        <v>3008</v>
      </c>
      <c r="D3205">
        <v>8</v>
      </c>
      <c r="E3205">
        <v>21</v>
      </c>
      <c r="F3205" t="s">
        <v>88</v>
      </c>
      <c r="G3205" t="s">
        <v>73</v>
      </c>
      <c r="H3205" t="s">
        <v>52</v>
      </c>
      <c r="I3205" t="s">
        <v>43</v>
      </c>
      <c r="J3205" t="s">
        <v>94</v>
      </c>
      <c r="K3205" t="s">
        <v>38</v>
      </c>
      <c r="L3205">
        <v>1</v>
      </c>
      <c r="M3205">
        <v>252</v>
      </c>
      <c r="N3205">
        <v>12.6</v>
      </c>
      <c r="O3205">
        <v>30</v>
      </c>
      <c r="P3205">
        <v>252</v>
      </c>
      <c r="Q3205">
        <v>269.39999999999998</v>
      </c>
      <c r="R3205" t="s">
        <v>75</v>
      </c>
      <c r="S3205" t="s">
        <v>31</v>
      </c>
      <c r="T3205" t="s">
        <v>40</v>
      </c>
      <c r="U3205">
        <v>22</v>
      </c>
      <c r="V3205">
        <v>4.4000000000000004</v>
      </c>
      <c r="W3205">
        <f>Table2[[#This Row],[Quantity]]*Table2[[#This Row],[Item_Price]]</f>
        <v>252</v>
      </c>
    </row>
    <row r="3206" spans="1:23" x14ac:dyDescent="0.25">
      <c r="A3206" t="s">
        <v>3307</v>
      </c>
      <c r="B3206" s="1">
        <v>45890</v>
      </c>
      <c r="C3206" t="s">
        <v>3008</v>
      </c>
      <c r="D3206">
        <v>8</v>
      </c>
      <c r="E3206">
        <v>21</v>
      </c>
      <c r="F3206" t="s">
        <v>88</v>
      </c>
      <c r="G3206" t="s">
        <v>64</v>
      </c>
      <c r="H3206" t="s">
        <v>108</v>
      </c>
      <c r="I3206" t="s">
        <v>97</v>
      </c>
      <c r="J3206" t="s">
        <v>53</v>
      </c>
      <c r="K3206" t="s">
        <v>38</v>
      </c>
      <c r="L3206">
        <v>2</v>
      </c>
      <c r="M3206">
        <v>177</v>
      </c>
      <c r="N3206">
        <v>0</v>
      </c>
      <c r="O3206">
        <v>40</v>
      </c>
      <c r="P3206">
        <v>354</v>
      </c>
      <c r="Q3206">
        <v>394</v>
      </c>
      <c r="R3206" t="s">
        <v>112</v>
      </c>
      <c r="S3206" t="s">
        <v>31</v>
      </c>
      <c r="T3206" t="s">
        <v>40</v>
      </c>
      <c r="U3206">
        <v>53</v>
      </c>
      <c r="V3206">
        <v>3.2</v>
      </c>
      <c r="W3206">
        <f>Table2[[#This Row],[Quantity]]*Table2[[#This Row],[Item_Price]]</f>
        <v>354</v>
      </c>
    </row>
    <row r="3207" spans="1:23" x14ac:dyDescent="0.25">
      <c r="A3207" t="s">
        <v>3308</v>
      </c>
      <c r="B3207" s="1">
        <v>45890</v>
      </c>
      <c r="C3207" t="s">
        <v>3008</v>
      </c>
      <c r="D3207">
        <v>8</v>
      </c>
      <c r="E3207">
        <v>21</v>
      </c>
      <c r="F3207" t="s">
        <v>88</v>
      </c>
      <c r="G3207" t="s">
        <v>80</v>
      </c>
      <c r="H3207" t="s">
        <v>135</v>
      </c>
      <c r="I3207" t="s">
        <v>27</v>
      </c>
      <c r="J3207" t="s">
        <v>119</v>
      </c>
      <c r="K3207" t="s">
        <v>45</v>
      </c>
      <c r="L3207">
        <v>3</v>
      </c>
      <c r="M3207">
        <v>492</v>
      </c>
      <c r="N3207">
        <v>0</v>
      </c>
      <c r="O3207">
        <v>50</v>
      </c>
      <c r="P3207">
        <v>1476</v>
      </c>
      <c r="Q3207">
        <v>1526</v>
      </c>
      <c r="R3207" t="s">
        <v>39</v>
      </c>
      <c r="S3207" t="s">
        <v>91</v>
      </c>
      <c r="T3207" t="s">
        <v>40</v>
      </c>
      <c r="U3207">
        <v>32</v>
      </c>
      <c r="W3207">
        <f>Table2[[#This Row],[Quantity]]*Table2[[#This Row],[Item_Price]]</f>
        <v>1476</v>
      </c>
    </row>
    <row r="3208" spans="1:23" x14ac:dyDescent="0.25">
      <c r="A3208" t="s">
        <v>3309</v>
      </c>
      <c r="B3208" s="1">
        <v>45890</v>
      </c>
      <c r="C3208" t="s">
        <v>3008</v>
      </c>
      <c r="D3208">
        <v>8</v>
      </c>
      <c r="E3208">
        <v>21</v>
      </c>
      <c r="F3208" t="s">
        <v>88</v>
      </c>
      <c r="G3208" t="s">
        <v>64</v>
      </c>
      <c r="H3208" t="s">
        <v>26</v>
      </c>
      <c r="I3208" t="s">
        <v>97</v>
      </c>
      <c r="J3208" t="s">
        <v>44</v>
      </c>
      <c r="K3208" t="s">
        <v>38</v>
      </c>
      <c r="L3208">
        <v>1</v>
      </c>
      <c r="M3208">
        <v>275</v>
      </c>
      <c r="N3208">
        <v>27.5</v>
      </c>
      <c r="O3208">
        <v>20</v>
      </c>
      <c r="P3208">
        <v>275</v>
      </c>
      <c r="Q3208">
        <v>267.5</v>
      </c>
      <c r="R3208" t="s">
        <v>112</v>
      </c>
      <c r="S3208" t="s">
        <v>31</v>
      </c>
      <c r="T3208" t="s">
        <v>40</v>
      </c>
      <c r="U3208">
        <v>44</v>
      </c>
      <c r="V3208">
        <v>4.3</v>
      </c>
      <c r="W3208">
        <f>Table2[[#This Row],[Quantity]]*Table2[[#This Row],[Item_Price]]</f>
        <v>275</v>
      </c>
    </row>
    <row r="3209" spans="1:23" x14ac:dyDescent="0.25">
      <c r="A3209" t="s">
        <v>3310</v>
      </c>
      <c r="B3209" s="1">
        <v>45890</v>
      </c>
      <c r="C3209" t="s">
        <v>3008</v>
      </c>
      <c r="D3209">
        <v>8</v>
      </c>
      <c r="E3209">
        <v>21</v>
      </c>
      <c r="F3209" t="s">
        <v>88</v>
      </c>
      <c r="G3209" t="s">
        <v>84</v>
      </c>
      <c r="H3209" t="s">
        <v>135</v>
      </c>
      <c r="I3209" t="s">
        <v>49</v>
      </c>
      <c r="J3209" t="s">
        <v>53</v>
      </c>
      <c r="K3209" t="s">
        <v>38</v>
      </c>
      <c r="L3209">
        <v>1</v>
      </c>
      <c r="M3209">
        <v>492</v>
      </c>
      <c r="N3209">
        <v>0</v>
      </c>
      <c r="O3209">
        <v>40</v>
      </c>
      <c r="P3209">
        <v>492</v>
      </c>
      <c r="Q3209">
        <v>532</v>
      </c>
      <c r="R3209" t="s">
        <v>98</v>
      </c>
      <c r="S3209" t="s">
        <v>31</v>
      </c>
      <c r="T3209" t="s">
        <v>40</v>
      </c>
      <c r="U3209">
        <v>19</v>
      </c>
      <c r="V3209">
        <v>4</v>
      </c>
      <c r="W3209">
        <f>Table2[[#This Row],[Quantity]]*Table2[[#This Row],[Item_Price]]</f>
        <v>492</v>
      </c>
    </row>
    <row r="3210" spans="1:23" x14ac:dyDescent="0.25">
      <c r="A3210" t="s">
        <v>3311</v>
      </c>
      <c r="B3210" s="1">
        <v>45890</v>
      </c>
      <c r="C3210" t="s">
        <v>3008</v>
      </c>
      <c r="D3210">
        <v>8</v>
      </c>
      <c r="E3210">
        <v>21</v>
      </c>
      <c r="F3210" t="s">
        <v>88</v>
      </c>
      <c r="G3210" t="s">
        <v>25</v>
      </c>
      <c r="H3210" t="s">
        <v>68</v>
      </c>
      <c r="I3210" t="s">
        <v>61</v>
      </c>
      <c r="J3210" t="s">
        <v>123</v>
      </c>
      <c r="K3210" t="s">
        <v>38</v>
      </c>
      <c r="L3210">
        <v>1</v>
      </c>
      <c r="M3210">
        <v>296</v>
      </c>
      <c r="N3210">
        <v>29.6</v>
      </c>
      <c r="O3210">
        <v>40</v>
      </c>
      <c r="P3210">
        <v>296</v>
      </c>
      <c r="Q3210">
        <v>306.39999999999998</v>
      </c>
      <c r="R3210" t="s">
        <v>30</v>
      </c>
      <c r="S3210" t="s">
        <v>31</v>
      </c>
      <c r="T3210" t="s">
        <v>40</v>
      </c>
      <c r="U3210">
        <v>67</v>
      </c>
      <c r="V3210">
        <v>4.5</v>
      </c>
      <c r="W3210">
        <f>Table2[[#This Row],[Quantity]]*Table2[[#This Row],[Item_Price]]</f>
        <v>296</v>
      </c>
    </row>
    <row r="3211" spans="1:23" x14ac:dyDescent="0.25">
      <c r="A3211" t="s">
        <v>3312</v>
      </c>
      <c r="B3211" s="1">
        <v>45890</v>
      </c>
      <c r="C3211" t="s">
        <v>3008</v>
      </c>
      <c r="D3211">
        <v>8</v>
      </c>
      <c r="E3211">
        <v>21</v>
      </c>
      <c r="F3211" t="s">
        <v>88</v>
      </c>
      <c r="G3211" t="s">
        <v>73</v>
      </c>
      <c r="H3211" t="s">
        <v>68</v>
      </c>
      <c r="I3211" t="s">
        <v>36</v>
      </c>
      <c r="J3211" t="s">
        <v>101</v>
      </c>
      <c r="K3211" t="s">
        <v>29</v>
      </c>
      <c r="L3211">
        <v>3</v>
      </c>
      <c r="M3211">
        <v>208</v>
      </c>
      <c r="N3211">
        <v>20.8</v>
      </c>
      <c r="O3211">
        <v>40</v>
      </c>
      <c r="P3211">
        <v>624</v>
      </c>
      <c r="Q3211">
        <v>643.20000000000005</v>
      </c>
      <c r="R3211" t="s">
        <v>98</v>
      </c>
      <c r="S3211" t="s">
        <v>31</v>
      </c>
      <c r="T3211" t="s">
        <v>32</v>
      </c>
      <c r="U3211">
        <v>66</v>
      </c>
      <c r="V3211">
        <v>4.2</v>
      </c>
      <c r="W3211">
        <f>Table2[[#This Row],[Quantity]]*Table2[[#This Row],[Item_Price]]</f>
        <v>624</v>
      </c>
    </row>
    <row r="3212" spans="1:23" x14ac:dyDescent="0.25">
      <c r="A3212" t="s">
        <v>3313</v>
      </c>
      <c r="B3212" s="1">
        <v>45890</v>
      </c>
      <c r="C3212" t="s">
        <v>3008</v>
      </c>
      <c r="D3212">
        <v>8</v>
      </c>
      <c r="E3212">
        <v>21</v>
      </c>
      <c r="F3212" t="s">
        <v>88</v>
      </c>
      <c r="G3212" t="s">
        <v>25</v>
      </c>
      <c r="H3212" t="s">
        <v>81</v>
      </c>
      <c r="I3212" t="s">
        <v>27</v>
      </c>
      <c r="J3212" t="s">
        <v>70</v>
      </c>
      <c r="K3212" t="s">
        <v>58</v>
      </c>
      <c r="L3212">
        <v>2</v>
      </c>
      <c r="M3212">
        <v>141</v>
      </c>
      <c r="N3212">
        <v>35.25</v>
      </c>
      <c r="O3212">
        <v>50</v>
      </c>
      <c r="P3212">
        <v>282</v>
      </c>
      <c r="Q3212">
        <v>296.75</v>
      </c>
      <c r="R3212" t="s">
        <v>39</v>
      </c>
      <c r="S3212" t="s">
        <v>31</v>
      </c>
      <c r="T3212" t="s">
        <v>40</v>
      </c>
      <c r="U3212">
        <v>53</v>
      </c>
      <c r="V3212">
        <v>5</v>
      </c>
      <c r="W3212">
        <f>Table2[[#This Row],[Quantity]]*Table2[[#This Row],[Item_Price]]</f>
        <v>282</v>
      </c>
    </row>
    <row r="3213" spans="1:23" x14ac:dyDescent="0.25">
      <c r="A3213" t="s">
        <v>3314</v>
      </c>
      <c r="B3213" s="1">
        <v>45890</v>
      </c>
      <c r="C3213" t="s">
        <v>3008</v>
      </c>
      <c r="D3213">
        <v>8</v>
      </c>
      <c r="E3213">
        <v>21</v>
      </c>
      <c r="F3213" t="s">
        <v>88</v>
      </c>
      <c r="G3213" t="s">
        <v>73</v>
      </c>
      <c r="H3213" t="s">
        <v>56</v>
      </c>
      <c r="I3213" t="s">
        <v>103</v>
      </c>
      <c r="J3213" t="s">
        <v>74</v>
      </c>
      <c r="K3213" t="s">
        <v>38</v>
      </c>
      <c r="L3213">
        <v>3</v>
      </c>
      <c r="M3213">
        <v>383</v>
      </c>
      <c r="N3213">
        <v>76.599999999999994</v>
      </c>
      <c r="O3213">
        <v>60</v>
      </c>
      <c r="P3213">
        <v>1149</v>
      </c>
      <c r="Q3213">
        <v>1132.4000000000001</v>
      </c>
      <c r="R3213" t="s">
        <v>75</v>
      </c>
      <c r="S3213" t="s">
        <v>31</v>
      </c>
      <c r="T3213" t="s">
        <v>32</v>
      </c>
      <c r="U3213">
        <v>60</v>
      </c>
      <c r="V3213">
        <v>3.2</v>
      </c>
      <c r="W3213">
        <f>Table2[[#This Row],[Quantity]]*Table2[[#This Row],[Item_Price]]</f>
        <v>1149</v>
      </c>
    </row>
    <row r="3214" spans="1:23" x14ac:dyDescent="0.25">
      <c r="A3214" t="s">
        <v>3315</v>
      </c>
      <c r="B3214" s="1">
        <v>45890</v>
      </c>
      <c r="C3214" t="s">
        <v>3008</v>
      </c>
      <c r="D3214">
        <v>8</v>
      </c>
      <c r="E3214">
        <v>21</v>
      </c>
      <c r="F3214" t="s">
        <v>88</v>
      </c>
      <c r="G3214" t="s">
        <v>34</v>
      </c>
      <c r="H3214" t="s">
        <v>35</v>
      </c>
      <c r="I3214" t="s">
        <v>57</v>
      </c>
      <c r="J3214" t="s">
        <v>50</v>
      </c>
      <c r="K3214" t="s">
        <v>38</v>
      </c>
      <c r="L3214">
        <v>2</v>
      </c>
      <c r="M3214">
        <v>769</v>
      </c>
      <c r="N3214">
        <v>115.35</v>
      </c>
      <c r="O3214">
        <v>70</v>
      </c>
      <c r="P3214">
        <v>1538</v>
      </c>
      <c r="Q3214">
        <v>1492.65</v>
      </c>
      <c r="R3214" t="s">
        <v>39</v>
      </c>
      <c r="S3214" t="s">
        <v>31</v>
      </c>
      <c r="T3214" t="s">
        <v>40</v>
      </c>
      <c r="U3214">
        <v>32</v>
      </c>
      <c r="V3214">
        <v>3.8</v>
      </c>
      <c r="W3214">
        <f>Table2[[#This Row],[Quantity]]*Table2[[#This Row],[Item_Price]]</f>
        <v>1538</v>
      </c>
    </row>
    <row r="3215" spans="1:23" x14ac:dyDescent="0.25">
      <c r="A3215" t="s">
        <v>3316</v>
      </c>
      <c r="B3215" s="1">
        <v>45890</v>
      </c>
      <c r="C3215" t="s">
        <v>3008</v>
      </c>
      <c r="D3215">
        <v>8</v>
      </c>
      <c r="E3215">
        <v>21</v>
      </c>
      <c r="F3215" t="s">
        <v>88</v>
      </c>
      <c r="G3215" t="s">
        <v>55</v>
      </c>
      <c r="H3215" t="s">
        <v>35</v>
      </c>
      <c r="I3215" t="s">
        <v>61</v>
      </c>
      <c r="J3215" t="s">
        <v>37</v>
      </c>
      <c r="K3215" t="s">
        <v>38</v>
      </c>
      <c r="L3215">
        <v>1</v>
      </c>
      <c r="M3215">
        <v>312</v>
      </c>
      <c r="N3215">
        <v>46.8</v>
      </c>
      <c r="O3215">
        <v>50</v>
      </c>
      <c r="P3215">
        <v>312</v>
      </c>
      <c r="Q3215">
        <v>315.2</v>
      </c>
      <c r="R3215" t="s">
        <v>30</v>
      </c>
      <c r="S3215" t="s">
        <v>91</v>
      </c>
      <c r="T3215" t="s">
        <v>40</v>
      </c>
      <c r="U3215">
        <v>27</v>
      </c>
      <c r="W3215">
        <f>Table2[[#This Row],[Quantity]]*Table2[[#This Row],[Item_Price]]</f>
        <v>312</v>
      </c>
    </row>
    <row r="3216" spans="1:23" x14ac:dyDescent="0.25">
      <c r="A3216" t="s">
        <v>3317</v>
      </c>
      <c r="B3216" s="1">
        <v>45890</v>
      </c>
      <c r="C3216" t="s">
        <v>3008</v>
      </c>
      <c r="D3216">
        <v>8</v>
      </c>
      <c r="E3216">
        <v>21</v>
      </c>
      <c r="F3216" t="s">
        <v>88</v>
      </c>
      <c r="G3216" t="s">
        <v>115</v>
      </c>
      <c r="H3216" t="s">
        <v>48</v>
      </c>
      <c r="I3216" t="s">
        <v>49</v>
      </c>
      <c r="J3216" t="s">
        <v>37</v>
      </c>
      <c r="K3216" t="s">
        <v>38</v>
      </c>
      <c r="L3216">
        <v>1</v>
      </c>
      <c r="M3216">
        <v>735</v>
      </c>
      <c r="N3216">
        <v>183.75</v>
      </c>
      <c r="O3216">
        <v>0</v>
      </c>
      <c r="P3216">
        <v>735</v>
      </c>
      <c r="Q3216">
        <v>551.25</v>
      </c>
      <c r="R3216" t="s">
        <v>39</v>
      </c>
      <c r="S3216" t="s">
        <v>31</v>
      </c>
      <c r="T3216" t="s">
        <v>32</v>
      </c>
      <c r="U3216">
        <v>59</v>
      </c>
      <c r="V3216">
        <v>2.8</v>
      </c>
      <c r="W3216">
        <f>Table2[[#This Row],[Quantity]]*Table2[[#This Row],[Item_Price]]</f>
        <v>735</v>
      </c>
    </row>
    <row r="3217" spans="1:23" x14ac:dyDescent="0.25">
      <c r="A3217" t="s">
        <v>3318</v>
      </c>
      <c r="B3217" s="1">
        <v>45890</v>
      </c>
      <c r="C3217" t="s">
        <v>3008</v>
      </c>
      <c r="D3217">
        <v>8</v>
      </c>
      <c r="E3217">
        <v>21</v>
      </c>
      <c r="F3217" t="s">
        <v>88</v>
      </c>
      <c r="G3217" t="s">
        <v>25</v>
      </c>
      <c r="H3217" t="s">
        <v>108</v>
      </c>
      <c r="I3217" t="s">
        <v>97</v>
      </c>
      <c r="J3217" t="s">
        <v>62</v>
      </c>
      <c r="K3217" t="s">
        <v>38</v>
      </c>
      <c r="L3217">
        <v>2</v>
      </c>
      <c r="M3217">
        <v>345</v>
      </c>
      <c r="N3217">
        <v>34.5</v>
      </c>
      <c r="O3217">
        <v>40</v>
      </c>
      <c r="P3217">
        <v>690</v>
      </c>
      <c r="Q3217">
        <v>695.5</v>
      </c>
      <c r="R3217" t="s">
        <v>39</v>
      </c>
      <c r="S3217" t="s">
        <v>31</v>
      </c>
      <c r="T3217" t="s">
        <v>32</v>
      </c>
      <c r="U3217">
        <v>45</v>
      </c>
      <c r="V3217">
        <v>3.7</v>
      </c>
      <c r="W3217">
        <f>Table2[[#This Row],[Quantity]]*Table2[[#This Row],[Item_Price]]</f>
        <v>690</v>
      </c>
    </row>
    <row r="3218" spans="1:23" x14ac:dyDescent="0.25">
      <c r="A3218" t="s">
        <v>3319</v>
      </c>
      <c r="B3218" s="1">
        <v>45890</v>
      </c>
      <c r="C3218" t="s">
        <v>3008</v>
      </c>
      <c r="D3218">
        <v>8</v>
      </c>
      <c r="E3218">
        <v>21</v>
      </c>
      <c r="F3218" t="s">
        <v>88</v>
      </c>
      <c r="G3218" t="s">
        <v>55</v>
      </c>
      <c r="H3218" t="s">
        <v>26</v>
      </c>
      <c r="I3218" t="s">
        <v>61</v>
      </c>
      <c r="J3218" t="s">
        <v>66</v>
      </c>
      <c r="K3218" t="s">
        <v>38</v>
      </c>
      <c r="L3218">
        <v>1</v>
      </c>
      <c r="M3218">
        <v>726</v>
      </c>
      <c r="N3218">
        <v>108.9</v>
      </c>
      <c r="O3218">
        <v>20</v>
      </c>
      <c r="P3218">
        <v>726</v>
      </c>
      <c r="Q3218">
        <v>637.1</v>
      </c>
      <c r="R3218" t="s">
        <v>39</v>
      </c>
      <c r="S3218" t="s">
        <v>31</v>
      </c>
      <c r="T3218" t="s">
        <v>32</v>
      </c>
      <c r="U3218">
        <v>29</v>
      </c>
      <c r="V3218">
        <v>4.2</v>
      </c>
      <c r="W3218">
        <f>Table2[[#This Row],[Quantity]]*Table2[[#This Row],[Item_Price]]</f>
        <v>726</v>
      </c>
    </row>
    <row r="3219" spans="1:23" x14ac:dyDescent="0.25">
      <c r="A3219" t="s">
        <v>3320</v>
      </c>
      <c r="B3219" s="1">
        <v>45890</v>
      </c>
      <c r="C3219" t="s">
        <v>3008</v>
      </c>
      <c r="D3219">
        <v>8</v>
      </c>
      <c r="E3219">
        <v>21</v>
      </c>
      <c r="F3219" t="s">
        <v>88</v>
      </c>
      <c r="G3219" t="s">
        <v>25</v>
      </c>
      <c r="H3219" t="s">
        <v>68</v>
      </c>
      <c r="I3219" t="s">
        <v>27</v>
      </c>
      <c r="J3219" t="s">
        <v>94</v>
      </c>
      <c r="K3219" t="s">
        <v>38</v>
      </c>
      <c r="L3219">
        <v>2</v>
      </c>
      <c r="M3219">
        <v>126</v>
      </c>
      <c r="N3219">
        <v>12.6</v>
      </c>
      <c r="O3219">
        <v>40</v>
      </c>
      <c r="P3219">
        <v>252</v>
      </c>
      <c r="Q3219">
        <v>279.39999999999998</v>
      </c>
      <c r="R3219" t="s">
        <v>39</v>
      </c>
      <c r="S3219" t="s">
        <v>31</v>
      </c>
      <c r="T3219" t="s">
        <v>40</v>
      </c>
      <c r="U3219">
        <v>27</v>
      </c>
      <c r="V3219">
        <v>5</v>
      </c>
      <c r="W3219">
        <f>Table2[[#This Row],[Quantity]]*Table2[[#This Row],[Item_Price]]</f>
        <v>252</v>
      </c>
    </row>
    <row r="3220" spans="1:23" x14ac:dyDescent="0.25">
      <c r="A3220" t="s">
        <v>3321</v>
      </c>
      <c r="B3220" s="1">
        <v>45890</v>
      </c>
      <c r="C3220" t="s">
        <v>3008</v>
      </c>
      <c r="D3220">
        <v>8</v>
      </c>
      <c r="E3220">
        <v>21</v>
      </c>
      <c r="F3220" t="s">
        <v>88</v>
      </c>
      <c r="G3220" t="s">
        <v>64</v>
      </c>
      <c r="H3220" t="s">
        <v>81</v>
      </c>
      <c r="I3220" t="s">
        <v>69</v>
      </c>
      <c r="J3220" t="s">
        <v>101</v>
      </c>
      <c r="K3220" t="s">
        <v>38</v>
      </c>
      <c r="L3220">
        <v>2</v>
      </c>
      <c r="M3220">
        <v>201</v>
      </c>
      <c r="N3220">
        <v>0</v>
      </c>
      <c r="O3220">
        <v>40</v>
      </c>
      <c r="P3220">
        <v>402</v>
      </c>
      <c r="Q3220">
        <v>442</v>
      </c>
      <c r="R3220" t="s">
        <v>39</v>
      </c>
      <c r="S3220" t="s">
        <v>91</v>
      </c>
      <c r="T3220" t="s">
        <v>40</v>
      </c>
      <c r="U3220">
        <v>21</v>
      </c>
      <c r="W3220">
        <f>Table2[[#This Row],[Quantity]]*Table2[[#This Row],[Item_Price]]</f>
        <v>402</v>
      </c>
    </row>
    <row r="3221" spans="1:23" x14ac:dyDescent="0.25">
      <c r="A3221" t="s">
        <v>3322</v>
      </c>
      <c r="B3221" s="1">
        <v>45890</v>
      </c>
      <c r="C3221" t="s">
        <v>3008</v>
      </c>
      <c r="D3221">
        <v>8</v>
      </c>
      <c r="E3221">
        <v>21</v>
      </c>
      <c r="F3221" t="s">
        <v>88</v>
      </c>
      <c r="G3221" t="s">
        <v>25</v>
      </c>
      <c r="H3221" t="s">
        <v>68</v>
      </c>
      <c r="I3221" t="s">
        <v>27</v>
      </c>
      <c r="J3221" t="s">
        <v>119</v>
      </c>
      <c r="K3221" t="s">
        <v>58</v>
      </c>
      <c r="L3221">
        <v>1</v>
      </c>
      <c r="M3221">
        <v>142</v>
      </c>
      <c r="N3221">
        <v>14.2</v>
      </c>
      <c r="O3221">
        <v>30</v>
      </c>
      <c r="P3221">
        <v>142</v>
      </c>
      <c r="Q3221">
        <v>157.80000000000001</v>
      </c>
      <c r="R3221" t="s">
        <v>75</v>
      </c>
      <c r="S3221" t="s">
        <v>91</v>
      </c>
      <c r="T3221" t="s">
        <v>32</v>
      </c>
      <c r="U3221">
        <v>62</v>
      </c>
      <c r="W3221">
        <f>Table2[[#This Row],[Quantity]]*Table2[[#This Row],[Item_Price]]</f>
        <v>142</v>
      </c>
    </row>
    <row r="3222" spans="1:23" x14ac:dyDescent="0.25">
      <c r="A3222" t="s">
        <v>3323</v>
      </c>
      <c r="B3222" s="1">
        <v>45890</v>
      </c>
      <c r="C3222" t="s">
        <v>3008</v>
      </c>
      <c r="D3222">
        <v>8</v>
      </c>
      <c r="E3222">
        <v>21</v>
      </c>
      <c r="F3222" t="s">
        <v>88</v>
      </c>
      <c r="G3222" t="s">
        <v>73</v>
      </c>
      <c r="H3222" t="s">
        <v>60</v>
      </c>
      <c r="I3222" t="s">
        <v>103</v>
      </c>
      <c r="J3222" t="s">
        <v>53</v>
      </c>
      <c r="K3222" t="s">
        <v>38</v>
      </c>
      <c r="L3222">
        <v>3</v>
      </c>
      <c r="M3222">
        <v>310</v>
      </c>
      <c r="N3222">
        <v>31</v>
      </c>
      <c r="O3222">
        <v>40</v>
      </c>
      <c r="P3222">
        <v>930</v>
      </c>
      <c r="Q3222">
        <v>939</v>
      </c>
      <c r="R3222" t="s">
        <v>30</v>
      </c>
      <c r="S3222" t="s">
        <v>31</v>
      </c>
      <c r="T3222" t="s">
        <v>40</v>
      </c>
      <c r="U3222">
        <v>62</v>
      </c>
      <c r="V3222">
        <v>3</v>
      </c>
      <c r="W3222">
        <f>Table2[[#This Row],[Quantity]]*Table2[[#This Row],[Item_Price]]</f>
        <v>930</v>
      </c>
    </row>
    <row r="3223" spans="1:23" x14ac:dyDescent="0.25">
      <c r="A3223" t="s">
        <v>3324</v>
      </c>
      <c r="B3223" s="1">
        <v>45891</v>
      </c>
      <c r="C3223" t="s">
        <v>3008</v>
      </c>
      <c r="D3223">
        <v>8</v>
      </c>
      <c r="E3223">
        <v>22</v>
      </c>
      <c r="F3223" t="s">
        <v>114</v>
      </c>
      <c r="G3223" t="s">
        <v>25</v>
      </c>
      <c r="H3223" t="s">
        <v>81</v>
      </c>
      <c r="I3223" t="s">
        <v>103</v>
      </c>
      <c r="J3223" t="s">
        <v>53</v>
      </c>
      <c r="K3223" t="s">
        <v>45</v>
      </c>
      <c r="L3223">
        <v>1</v>
      </c>
      <c r="M3223">
        <v>640</v>
      </c>
      <c r="N3223">
        <v>160</v>
      </c>
      <c r="O3223">
        <v>20</v>
      </c>
      <c r="P3223">
        <v>640</v>
      </c>
      <c r="Q3223">
        <v>500</v>
      </c>
      <c r="R3223" t="s">
        <v>98</v>
      </c>
      <c r="S3223" t="s">
        <v>31</v>
      </c>
      <c r="T3223" t="s">
        <v>40</v>
      </c>
      <c r="U3223">
        <v>22</v>
      </c>
      <c r="V3223">
        <v>4.2</v>
      </c>
      <c r="W3223">
        <f>Table2[[#This Row],[Quantity]]*Table2[[#This Row],[Item_Price]]</f>
        <v>640</v>
      </c>
    </row>
    <row r="3224" spans="1:23" x14ac:dyDescent="0.25">
      <c r="A3224" t="s">
        <v>3325</v>
      </c>
      <c r="B3224" s="1">
        <v>45891</v>
      </c>
      <c r="C3224" t="s">
        <v>3008</v>
      </c>
      <c r="D3224">
        <v>8</v>
      </c>
      <c r="E3224">
        <v>22</v>
      </c>
      <c r="F3224" t="s">
        <v>114</v>
      </c>
      <c r="G3224" t="s">
        <v>64</v>
      </c>
      <c r="H3224" t="s">
        <v>135</v>
      </c>
      <c r="I3224" t="s">
        <v>57</v>
      </c>
      <c r="J3224" t="s">
        <v>82</v>
      </c>
      <c r="K3224" t="s">
        <v>58</v>
      </c>
      <c r="L3224">
        <v>2</v>
      </c>
      <c r="M3224">
        <v>819</v>
      </c>
      <c r="N3224">
        <v>122.85</v>
      </c>
      <c r="O3224">
        <v>0</v>
      </c>
      <c r="P3224">
        <v>1638</v>
      </c>
      <c r="Q3224">
        <v>1515.15</v>
      </c>
      <c r="R3224" t="s">
        <v>39</v>
      </c>
      <c r="S3224" t="s">
        <v>110</v>
      </c>
      <c r="T3224" t="s">
        <v>32</v>
      </c>
      <c r="U3224">
        <v>63</v>
      </c>
      <c r="W3224">
        <f>Table2[[#This Row],[Quantity]]*Table2[[#This Row],[Item_Price]]</f>
        <v>1638</v>
      </c>
    </row>
    <row r="3225" spans="1:23" x14ac:dyDescent="0.25">
      <c r="A3225" t="s">
        <v>3326</v>
      </c>
      <c r="B3225" s="1">
        <v>45891</v>
      </c>
      <c r="C3225" t="s">
        <v>3008</v>
      </c>
      <c r="D3225">
        <v>8</v>
      </c>
      <c r="E3225">
        <v>22</v>
      </c>
      <c r="F3225" t="s">
        <v>114</v>
      </c>
      <c r="G3225" t="s">
        <v>96</v>
      </c>
      <c r="H3225" t="s">
        <v>139</v>
      </c>
      <c r="I3225" t="s">
        <v>36</v>
      </c>
      <c r="J3225" t="s">
        <v>94</v>
      </c>
      <c r="K3225" t="s">
        <v>38</v>
      </c>
      <c r="L3225">
        <v>2</v>
      </c>
      <c r="M3225">
        <v>514</v>
      </c>
      <c r="N3225">
        <v>128.5</v>
      </c>
      <c r="O3225">
        <v>0</v>
      </c>
      <c r="P3225">
        <v>1028</v>
      </c>
      <c r="Q3225">
        <v>899.5</v>
      </c>
      <c r="R3225" t="s">
        <v>75</v>
      </c>
      <c r="S3225" t="s">
        <v>31</v>
      </c>
      <c r="T3225" t="s">
        <v>40</v>
      </c>
      <c r="U3225">
        <v>28</v>
      </c>
      <c r="V3225">
        <v>4.0999999999999996</v>
      </c>
      <c r="W3225">
        <f>Table2[[#This Row],[Quantity]]*Table2[[#This Row],[Item_Price]]</f>
        <v>1028</v>
      </c>
    </row>
    <row r="3226" spans="1:23" x14ac:dyDescent="0.25">
      <c r="A3226" t="s">
        <v>3327</v>
      </c>
      <c r="B3226" s="1">
        <v>45891</v>
      </c>
      <c r="C3226" t="s">
        <v>3008</v>
      </c>
      <c r="D3226">
        <v>8</v>
      </c>
      <c r="E3226">
        <v>22</v>
      </c>
      <c r="F3226" t="s">
        <v>114</v>
      </c>
      <c r="G3226" t="s">
        <v>34</v>
      </c>
      <c r="H3226" t="s">
        <v>77</v>
      </c>
      <c r="I3226" t="s">
        <v>43</v>
      </c>
      <c r="J3226" t="s">
        <v>66</v>
      </c>
      <c r="K3226" t="s">
        <v>38</v>
      </c>
      <c r="L3226">
        <v>1</v>
      </c>
      <c r="M3226">
        <v>351</v>
      </c>
      <c r="N3226">
        <v>87.75</v>
      </c>
      <c r="O3226">
        <v>30</v>
      </c>
      <c r="P3226">
        <v>351</v>
      </c>
      <c r="Q3226">
        <v>293.25</v>
      </c>
      <c r="R3226" t="s">
        <v>39</v>
      </c>
      <c r="S3226" t="s">
        <v>31</v>
      </c>
      <c r="T3226" t="s">
        <v>40</v>
      </c>
      <c r="U3226">
        <v>28</v>
      </c>
      <c r="V3226">
        <v>3.2</v>
      </c>
      <c r="W3226">
        <f>Table2[[#This Row],[Quantity]]*Table2[[#This Row],[Item_Price]]</f>
        <v>351</v>
      </c>
    </row>
    <row r="3227" spans="1:23" x14ac:dyDescent="0.25">
      <c r="A3227" t="s">
        <v>3328</v>
      </c>
      <c r="B3227" s="1">
        <v>45891</v>
      </c>
      <c r="C3227" t="s">
        <v>3008</v>
      </c>
      <c r="D3227">
        <v>8</v>
      </c>
      <c r="E3227">
        <v>22</v>
      </c>
      <c r="F3227" t="s">
        <v>114</v>
      </c>
      <c r="G3227" t="s">
        <v>34</v>
      </c>
      <c r="H3227" t="s">
        <v>56</v>
      </c>
      <c r="I3227" t="s">
        <v>27</v>
      </c>
      <c r="J3227" t="s">
        <v>78</v>
      </c>
      <c r="K3227" t="s">
        <v>45</v>
      </c>
      <c r="L3227">
        <v>1</v>
      </c>
      <c r="M3227">
        <v>834</v>
      </c>
      <c r="N3227">
        <v>125.1</v>
      </c>
      <c r="O3227">
        <v>30</v>
      </c>
      <c r="P3227">
        <v>834</v>
      </c>
      <c r="Q3227">
        <v>738.9</v>
      </c>
      <c r="R3227" t="s">
        <v>112</v>
      </c>
      <c r="S3227" t="s">
        <v>31</v>
      </c>
      <c r="T3227" t="s">
        <v>32</v>
      </c>
      <c r="U3227">
        <v>51</v>
      </c>
      <c r="V3227">
        <v>3.8</v>
      </c>
      <c r="W3227">
        <f>Table2[[#This Row],[Quantity]]*Table2[[#This Row],[Item_Price]]</f>
        <v>834</v>
      </c>
    </row>
    <row r="3228" spans="1:23" x14ac:dyDescent="0.25">
      <c r="A3228" t="s">
        <v>3329</v>
      </c>
      <c r="B3228" s="1">
        <v>45891</v>
      </c>
      <c r="C3228" t="s">
        <v>3008</v>
      </c>
      <c r="D3228">
        <v>8</v>
      </c>
      <c r="E3228">
        <v>22</v>
      </c>
      <c r="F3228" t="s">
        <v>114</v>
      </c>
      <c r="G3228" t="s">
        <v>115</v>
      </c>
      <c r="H3228" t="s">
        <v>68</v>
      </c>
      <c r="I3228" t="s">
        <v>27</v>
      </c>
      <c r="J3228" t="s">
        <v>66</v>
      </c>
      <c r="K3228" t="s">
        <v>38</v>
      </c>
      <c r="L3228">
        <v>2</v>
      </c>
      <c r="M3228">
        <v>290</v>
      </c>
      <c r="N3228">
        <v>29</v>
      </c>
      <c r="O3228">
        <v>60</v>
      </c>
      <c r="P3228">
        <v>580</v>
      </c>
      <c r="Q3228">
        <v>611</v>
      </c>
      <c r="R3228" t="s">
        <v>39</v>
      </c>
      <c r="S3228" t="s">
        <v>31</v>
      </c>
      <c r="T3228" t="s">
        <v>40</v>
      </c>
      <c r="U3228">
        <v>22</v>
      </c>
      <c r="V3228">
        <v>4.2</v>
      </c>
      <c r="W3228">
        <f>Table2[[#This Row],[Quantity]]*Table2[[#This Row],[Item_Price]]</f>
        <v>580</v>
      </c>
    </row>
    <row r="3229" spans="1:23" x14ac:dyDescent="0.25">
      <c r="A3229" t="s">
        <v>3330</v>
      </c>
      <c r="B3229" s="1">
        <v>45891</v>
      </c>
      <c r="C3229" t="s">
        <v>3008</v>
      </c>
      <c r="D3229">
        <v>8</v>
      </c>
      <c r="E3229">
        <v>22</v>
      </c>
      <c r="F3229" t="s">
        <v>114</v>
      </c>
      <c r="G3229" t="s">
        <v>73</v>
      </c>
      <c r="H3229" t="s">
        <v>135</v>
      </c>
      <c r="I3229" t="s">
        <v>69</v>
      </c>
      <c r="J3229" t="s">
        <v>78</v>
      </c>
      <c r="K3229" t="s">
        <v>38</v>
      </c>
      <c r="L3229">
        <v>2</v>
      </c>
      <c r="M3229">
        <v>644</v>
      </c>
      <c r="N3229">
        <v>64.400000000000006</v>
      </c>
      <c r="O3229">
        <v>40</v>
      </c>
      <c r="P3229">
        <v>1288</v>
      </c>
      <c r="Q3229">
        <v>1263.5999999999999</v>
      </c>
      <c r="R3229" t="s">
        <v>112</v>
      </c>
      <c r="S3229" t="s">
        <v>31</v>
      </c>
      <c r="T3229" t="s">
        <v>40</v>
      </c>
      <c r="U3229">
        <v>55</v>
      </c>
      <c r="V3229">
        <v>4.0999999999999996</v>
      </c>
      <c r="W3229">
        <f>Table2[[#This Row],[Quantity]]*Table2[[#This Row],[Item_Price]]</f>
        <v>1288</v>
      </c>
    </row>
    <row r="3230" spans="1:23" x14ac:dyDescent="0.25">
      <c r="A3230" t="s">
        <v>3331</v>
      </c>
      <c r="B3230" s="1">
        <v>45891</v>
      </c>
      <c r="C3230" t="s">
        <v>3008</v>
      </c>
      <c r="D3230">
        <v>8</v>
      </c>
      <c r="E3230">
        <v>22</v>
      </c>
      <c r="F3230" t="s">
        <v>114</v>
      </c>
      <c r="G3230" t="s">
        <v>115</v>
      </c>
      <c r="H3230" t="s">
        <v>139</v>
      </c>
      <c r="I3230" t="s">
        <v>27</v>
      </c>
      <c r="J3230" t="s">
        <v>44</v>
      </c>
      <c r="K3230" t="s">
        <v>38</v>
      </c>
      <c r="L3230">
        <v>2</v>
      </c>
      <c r="M3230">
        <v>792</v>
      </c>
      <c r="N3230">
        <v>39.6</v>
      </c>
      <c r="O3230">
        <v>20</v>
      </c>
      <c r="P3230">
        <v>1584</v>
      </c>
      <c r="Q3230">
        <v>1564.4</v>
      </c>
      <c r="R3230" t="s">
        <v>39</v>
      </c>
      <c r="S3230" t="s">
        <v>31</v>
      </c>
      <c r="T3230" t="s">
        <v>40</v>
      </c>
      <c r="U3230">
        <v>19</v>
      </c>
      <c r="V3230">
        <v>3.9</v>
      </c>
      <c r="W3230">
        <f>Table2[[#This Row],[Quantity]]*Table2[[#This Row],[Item_Price]]</f>
        <v>1584</v>
      </c>
    </row>
    <row r="3231" spans="1:23" x14ac:dyDescent="0.25">
      <c r="A3231" t="s">
        <v>3332</v>
      </c>
      <c r="B3231" s="1">
        <v>45891</v>
      </c>
      <c r="C3231" t="s">
        <v>3008</v>
      </c>
      <c r="D3231">
        <v>8</v>
      </c>
      <c r="E3231">
        <v>22</v>
      </c>
      <c r="F3231" t="s">
        <v>114</v>
      </c>
      <c r="G3231" t="s">
        <v>80</v>
      </c>
      <c r="H3231" t="s">
        <v>65</v>
      </c>
      <c r="I3231" t="s">
        <v>69</v>
      </c>
      <c r="J3231" t="s">
        <v>119</v>
      </c>
      <c r="K3231" t="s">
        <v>38</v>
      </c>
      <c r="L3231">
        <v>1</v>
      </c>
      <c r="M3231">
        <v>429</v>
      </c>
      <c r="N3231">
        <v>85.8</v>
      </c>
      <c r="O3231">
        <v>60</v>
      </c>
      <c r="P3231">
        <v>429</v>
      </c>
      <c r="Q3231">
        <v>403.2</v>
      </c>
      <c r="R3231" t="s">
        <v>39</v>
      </c>
      <c r="S3231" t="s">
        <v>31</v>
      </c>
      <c r="T3231" t="s">
        <v>40</v>
      </c>
      <c r="U3231">
        <v>34</v>
      </c>
      <c r="V3231">
        <v>4.3</v>
      </c>
      <c r="W3231">
        <f>Table2[[#This Row],[Quantity]]*Table2[[#This Row],[Item_Price]]</f>
        <v>429</v>
      </c>
    </row>
    <row r="3232" spans="1:23" x14ac:dyDescent="0.25">
      <c r="A3232" t="s">
        <v>3333</v>
      </c>
      <c r="B3232" s="1">
        <v>45891</v>
      </c>
      <c r="C3232" t="s">
        <v>3008</v>
      </c>
      <c r="D3232">
        <v>8</v>
      </c>
      <c r="E3232">
        <v>22</v>
      </c>
      <c r="F3232" t="s">
        <v>114</v>
      </c>
      <c r="G3232" t="s">
        <v>64</v>
      </c>
      <c r="H3232" t="s">
        <v>42</v>
      </c>
      <c r="I3232" t="s">
        <v>36</v>
      </c>
      <c r="J3232" t="s">
        <v>70</v>
      </c>
      <c r="K3232" t="s">
        <v>38</v>
      </c>
      <c r="L3232">
        <v>2</v>
      </c>
      <c r="M3232">
        <v>597</v>
      </c>
      <c r="N3232">
        <v>119.4</v>
      </c>
      <c r="O3232">
        <v>40</v>
      </c>
      <c r="P3232">
        <v>1194</v>
      </c>
      <c r="Q3232">
        <v>1114.5999999999999</v>
      </c>
      <c r="R3232" t="s">
        <v>39</v>
      </c>
      <c r="S3232" t="s">
        <v>31</v>
      </c>
      <c r="T3232" t="s">
        <v>40</v>
      </c>
      <c r="U3232">
        <v>61</v>
      </c>
      <c r="V3232">
        <v>3.6</v>
      </c>
      <c r="W3232">
        <f>Table2[[#This Row],[Quantity]]*Table2[[#This Row],[Item_Price]]</f>
        <v>1194</v>
      </c>
    </row>
    <row r="3233" spans="1:23" x14ac:dyDescent="0.25">
      <c r="A3233" t="s">
        <v>3334</v>
      </c>
      <c r="B3233" s="1">
        <v>45892</v>
      </c>
      <c r="C3233" t="s">
        <v>3008</v>
      </c>
      <c r="D3233">
        <v>8</v>
      </c>
      <c r="E3233">
        <v>23</v>
      </c>
      <c r="F3233" t="s">
        <v>134</v>
      </c>
      <c r="G3233" t="s">
        <v>80</v>
      </c>
      <c r="H3233" t="s">
        <v>48</v>
      </c>
      <c r="I3233" t="s">
        <v>49</v>
      </c>
      <c r="J3233" t="s">
        <v>172</v>
      </c>
      <c r="K3233" t="s">
        <v>38</v>
      </c>
      <c r="L3233">
        <v>1</v>
      </c>
      <c r="M3233">
        <v>853</v>
      </c>
      <c r="N3233">
        <v>127.95</v>
      </c>
      <c r="O3233">
        <v>20</v>
      </c>
      <c r="P3233">
        <v>853</v>
      </c>
      <c r="Q3233">
        <v>745.05</v>
      </c>
      <c r="R3233" t="s">
        <v>39</v>
      </c>
      <c r="S3233" t="s">
        <v>31</v>
      </c>
      <c r="T3233" t="s">
        <v>40</v>
      </c>
      <c r="U3233">
        <v>21</v>
      </c>
      <c r="V3233">
        <v>3.7</v>
      </c>
      <c r="W3233">
        <f>Table2[[#This Row],[Quantity]]*Table2[[#This Row],[Item_Price]]</f>
        <v>853</v>
      </c>
    </row>
    <row r="3234" spans="1:23" x14ac:dyDescent="0.25">
      <c r="A3234" t="s">
        <v>3335</v>
      </c>
      <c r="B3234" s="1">
        <v>45892</v>
      </c>
      <c r="C3234" t="s">
        <v>3008</v>
      </c>
      <c r="D3234">
        <v>8</v>
      </c>
      <c r="E3234">
        <v>23</v>
      </c>
      <c r="F3234" t="s">
        <v>134</v>
      </c>
      <c r="G3234" t="s">
        <v>90</v>
      </c>
      <c r="H3234" t="s">
        <v>105</v>
      </c>
      <c r="I3234" t="s">
        <v>57</v>
      </c>
      <c r="J3234" t="s">
        <v>62</v>
      </c>
      <c r="K3234" t="s">
        <v>38</v>
      </c>
      <c r="L3234">
        <v>2</v>
      </c>
      <c r="M3234">
        <v>259</v>
      </c>
      <c r="N3234">
        <v>12.95</v>
      </c>
      <c r="O3234">
        <v>60</v>
      </c>
      <c r="P3234">
        <v>518</v>
      </c>
      <c r="Q3234">
        <v>565.04999999999995</v>
      </c>
      <c r="R3234" t="s">
        <v>30</v>
      </c>
      <c r="S3234" t="s">
        <v>31</v>
      </c>
      <c r="T3234" t="s">
        <v>40</v>
      </c>
      <c r="U3234">
        <v>61</v>
      </c>
      <c r="V3234">
        <v>4.2</v>
      </c>
      <c r="W3234">
        <f>Table2[[#This Row],[Quantity]]*Table2[[#This Row],[Item_Price]]</f>
        <v>518</v>
      </c>
    </row>
    <row r="3235" spans="1:23" x14ac:dyDescent="0.25">
      <c r="A3235" t="s">
        <v>3336</v>
      </c>
      <c r="B3235" s="1">
        <v>45892</v>
      </c>
      <c r="C3235" t="s">
        <v>3008</v>
      </c>
      <c r="D3235">
        <v>8</v>
      </c>
      <c r="E3235">
        <v>23</v>
      </c>
      <c r="F3235" t="s">
        <v>134</v>
      </c>
      <c r="G3235" t="s">
        <v>25</v>
      </c>
      <c r="H3235" t="s">
        <v>68</v>
      </c>
      <c r="I3235" t="s">
        <v>36</v>
      </c>
      <c r="J3235" t="s">
        <v>50</v>
      </c>
      <c r="K3235" t="s">
        <v>45</v>
      </c>
      <c r="L3235">
        <v>2</v>
      </c>
      <c r="M3235">
        <v>347</v>
      </c>
      <c r="N3235">
        <v>86.75</v>
      </c>
      <c r="O3235">
        <v>50</v>
      </c>
      <c r="P3235">
        <v>694</v>
      </c>
      <c r="Q3235">
        <v>657.25</v>
      </c>
      <c r="R3235" t="s">
        <v>39</v>
      </c>
      <c r="S3235" t="s">
        <v>31</v>
      </c>
      <c r="T3235" t="s">
        <v>40</v>
      </c>
      <c r="U3235">
        <v>32</v>
      </c>
      <c r="V3235">
        <v>4.5999999999999996</v>
      </c>
      <c r="W3235">
        <f>Table2[[#This Row],[Quantity]]*Table2[[#This Row],[Item_Price]]</f>
        <v>694</v>
      </c>
    </row>
    <row r="3236" spans="1:23" x14ac:dyDescent="0.25">
      <c r="A3236" t="s">
        <v>3337</v>
      </c>
      <c r="B3236" s="1">
        <v>45892</v>
      </c>
      <c r="C3236" t="s">
        <v>3008</v>
      </c>
      <c r="D3236">
        <v>8</v>
      </c>
      <c r="E3236">
        <v>23</v>
      </c>
      <c r="F3236" t="s">
        <v>134</v>
      </c>
      <c r="G3236" t="s">
        <v>34</v>
      </c>
      <c r="H3236" t="s">
        <v>105</v>
      </c>
      <c r="I3236" t="s">
        <v>36</v>
      </c>
      <c r="J3236" t="s">
        <v>70</v>
      </c>
      <c r="K3236" t="s">
        <v>38</v>
      </c>
      <c r="L3236">
        <v>1</v>
      </c>
      <c r="M3236">
        <v>294</v>
      </c>
      <c r="N3236">
        <v>29.4</v>
      </c>
      <c r="O3236">
        <v>40</v>
      </c>
      <c r="P3236">
        <v>294</v>
      </c>
      <c r="Q3236">
        <v>304.60000000000002</v>
      </c>
      <c r="R3236" t="s">
        <v>98</v>
      </c>
      <c r="S3236" t="s">
        <v>31</v>
      </c>
      <c r="T3236" t="s">
        <v>32</v>
      </c>
      <c r="U3236">
        <v>58</v>
      </c>
      <c r="V3236">
        <v>3.3</v>
      </c>
      <c r="W3236">
        <f>Table2[[#This Row],[Quantity]]*Table2[[#This Row],[Item_Price]]</f>
        <v>294</v>
      </c>
    </row>
    <row r="3237" spans="1:23" x14ac:dyDescent="0.25">
      <c r="A3237" t="s">
        <v>3338</v>
      </c>
      <c r="B3237" s="1">
        <v>45892</v>
      </c>
      <c r="C3237" t="s">
        <v>3008</v>
      </c>
      <c r="D3237">
        <v>8</v>
      </c>
      <c r="E3237">
        <v>23</v>
      </c>
      <c r="F3237" t="s">
        <v>134</v>
      </c>
      <c r="G3237" t="s">
        <v>73</v>
      </c>
      <c r="H3237" t="s">
        <v>108</v>
      </c>
      <c r="I3237" t="s">
        <v>43</v>
      </c>
      <c r="J3237" t="s">
        <v>66</v>
      </c>
      <c r="K3237" t="s">
        <v>38</v>
      </c>
      <c r="L3237">
        <v>3</v>
      </c>
      <c r="M3237">
        <v>211</v>
      </c>
      <c r="N3237">
        <v>10.55</v>
      </c>
      <c r="O3237">
        <v>40</v>
      </c>
      <c r="P3237">
        <v>633</v>
      </c>
      <c r="Q3237">
        <v>662.45</v>
      </c>
      <c r="R3237" t="s">
        <v>39</v>
      </c>
      <c r="S3237" t="s">
        <v>31</v>
      </c>
      <c r="T3237" t="s">
        <v>40</v>
      </c>
      <c r="U3237">
        <v>48</v>
      </c>
      <c r="V3237">
        <v>4.8</v>
      </c>
      <c r="W3237">
        <f>Table2[[#This Row],[Quantity]]*Table2[[#This Row],[Item_Price]]</f>
        <v>633</v>
      </c>
    </row>
    <row r="3238" spans="1:23" x14ac:dyDescent="0.25">
      <c r="A3238" t="s">
        <v>3339</v>
      </c>
      <c r="B3238" s="1">
        <v>45892</v>
      </c>
      <c r="C3238" t="s">
        <v>3008</v>
      </c>
      <c r="D3238">
        <v>8</v>
      </c>
      <c r="E3238">
        <v>23</v>
      </c>
      <c r="F3238" t="s">
        <v>134</v>
      </c>
      <c r="G3238" t="s">
        <v>34</v>
      </c>
      <c r="H3238" t="s">
        <v>108</v>
      </c>
      <c r="I3238" t="s">
        <v>27</v>
      </c>
      <c r="J3238" t="s">
        <v>82</v>
      </c>
      <c r="K3238" t="s">
        <v>38</v>
      </c>
      <c r="L3238">
        <v>2</v>
      </c>
      <c r="M3238">
        <v>283</v>
      </c>
      <c r="N3238">
        <v>56.6</v>
      </c>
      <c r="O3238">
        <v>40</v>
      </c>
      <c r="P3238">
        <v>566</v>
      </c>
      <c r="Q3238">
        <v>549.4</v>
      </c>
      <c r="R3238" t="s">
        <v>30</v>
      </c>
      <c r="S3238" t="s">
        <v>31</v>
      </c>
      <c r="T3238" t="s">
        <v>40</v>
      </c>
      <c r="U3238">
        <v>65</v>
      </c>
      <c r="V3238">
        <v>3.5</v>
      </c>
      <c r="W3238">
        <f>Table2[[#This Row],[Quantity]]*Table2[[#This Row],[Item_Price]]</f>
        <v>566</v>
      </c>
    </row>
    <row r="3239" spans="1:23" x14ac:dyDescent="0.25">
      <c r="A3239" t="s">
        <v>3340</v>
      </c>
      <c r="B3239" s="1">
        <v>45892</v>
      </c>
      <c r="C3239" t="s">
        <v>3008</v>
      </c>
      <c r="D3239">
        <v>8</v>
      </c>
      <c r="E3239">
        <v>23</v>
      </c>
      <c r="F3239" t="s">
        <v>134</v>
      </c>
      <c r="G3239" t="s">
        <v>80</v>
      </c>
      <c r="H3239" t="s">
        <v>35</v>
      </c>
      <c r="I3239" t="s">
        <v>43</v>
      </c>
      <c r="J3239" t="s">
        <v>78</v>
      </c>
      <c r="K3239" t="s">
        <v>45</v>
      </c>
      <c r="L3239">
        <v>1</v>
      </c>
      <c r="M3239">
        <v>746</v>
      </c>
      <c r="N3239">
        <v>186.5</v>
      </c>
      <c r="O3239">
        <v>60</v>
      </c>
      <c r="P3239">
        <v>746</v>
      </c>
      <c r="Q3239">
        <v>619.5</v>
      </c>
      <c r="R3239" t="s">
        <v>98</v>
      </c>
      <c r="S3239" t="s">
        <v>31</v>
      </c>
      <c r="T3239" t="s">
        <v>40</v>
      </c>
      <c r="U3239">
        <v>31</v>
      </c>
      <c r="V3239">
        <v>3.8</v>
      </c>
      <c r="W3239">
        <f>Table2[[#This Row],[Quantity]]*Table2[[#This Row],[Item_Price]]</f>
        <v>746</v>
      </c>
    </row>
    <row r="3240" spans="1:23" x14ac:dyDescent="0.25">
      <c r="A3240" t="s">
        <v>3341</v>
      </c>
      <c r="B3240" s="1">
        <v>45892</v>
      </c>
      <c r="C3240" t="s">
        <v>3008</v>
      </c>
      <c r="D3240">
        <v>8</v>
      </c>
      <c r="E3240">
        <v>23</v>
      </c>
      <c r="F3240" t="s">
        <v>134</v>
      </c>
      <c r="G3240" t="s">
        <v>80</v>
      </c>
      <c r="H3240" t="s">
        <v>135</v>
      </c>
      <c r="I3240" t="s">
        <v>69</v>
      </c>
      <c r="J3240" t="s">
        <v>78</v>
      </c>
      <c r="K3240" t="s">
        <v>45</v>
      </c>
      <c r="L3240">
        <v>1</v>
      </c>
      <c r="M3240">
        <v>895</v>
      </c>
      <c r="N3240">
        <v>0</v>
      </c>
      <c r="O3240">
        <v>50</v>
      </c>
      <c r="P3240">
        <v>895</v>
      </c>
      <c r="Q3240">
        <v>945</v>
      </c>
      <c r="R3240" t="s">
        <v>75</v>
      </c>
      <c r="S3240" t="s">
        <v>31</v>
      </c>
      <c r="T3240" t="s">
        <v>40</v>
      </c>
      <c r="U3240">
        <v>39</v>
      </c>
      <c r="V3240">
        <v>3.9</v>
      </c>
      <c r="W3240">
        <f>Table2[[#This Row],[Quantity]]*Table2[[#This Row],[Item_Price]]</f>
        <v>895</v>
      </c>
    </row>
    <row r="3241" spans="1:23" x14ac:dyDescent="0.25">
      <c r="A3241" t="s">
        <v>3342</v>
      </c>
      <c r="B3241" s="1">
        <v>45892</v>
      </c>
      <c r="C3241" t="s">
        <v>3008</v>
      </c>
      <c r="D3241">
        <v>8</v>
      </c>
      <c r="E3241">
        <v>23</v>
      </c>
      <c r="F3241" t="s">
        <v>134</v>
      </c>
      <c r="G3241" t="s">
        <v>34</v>
      </c>
      <c r="H3241" t="s">
        <v>139</v>
      </c>
      <c r="I3241" t="s">
        <v>36</v>
      </c>
      <c r="J3241" t="s">
        <v>44</v>
      </c>
      <c r="K3241" t="s">
        <v>38</v>
      </c>
      <c r="L3241">
        <v>1</v>
      </c>
      <c r="M3241">
        <v>122</v>
      </c>
      <c r="N3241">
        <v>12.2</v>
      </c>
      <c r="O3241">
        <v>0</v>
      </c>
      <c r="P3241">
        <v>122</v>
      </c>
      <c r="Q3241">
        <v>109.8</v>
      </c>
      <c r="R3241" t="s">
        <v>98</v>
      </c>
      <c r="S3241" t="s">
        <v>31</v>
      </c>
      <c r="T3241" t="s">
        <v>32</v>
      </c>
      <c r="U3241">
        <v>44</v>
      </c>
      <c r="V3241">
        <v>3.5</v>
      </c>
      <c r="W3241">
        <f>Table2[[#This Row],[Quantity]]*Table2[[#This Row],[Item_Price]]</f>
        <v>122</v>
      </c>
    </row>
    <row r="3242" spans="1:23" x14ac:dyDescent="0.25">
      <c r="A3242" t="s">
        <v>3343</v>
      </c>
      <c r="B3242" s="1">
        <v>45892</v>
      </c>
      <c r="C3242" t="s">
        <v>3008</v>
      </c>
      <c r="D3242">
        <v>8</v>
      </c>
      <c r="E3242">
        <v>23</v>
      </c>
      <c r="F3242" t="s">
        <v>134</v>
      </c>
      <c r="G3242" t="s">
        <v>73</v>
      </c>
      <c r="H3242" t="s">
        <v>35</v>
      </c>
      <c r="I3242" t="s">
        <v>57</v>
      </c>
      <c r="J3242" t="s">
        <v>82</v>
      </c>
      <c r="K3242" t="s">
        <v>38</v>
      </c>
      <c r="L3242">
        <v>1</v>
      </c>
      <c r="M3242">
        <v>448</v>
      </c>
      <c r="N3242">
        <v>67.2</v>
      </c>
      <c r="O3242">
        <v>40</v>
      </c>
      <c r="P3242">
        <v>448</v>
      </c>
      <c r="Q3242">
        <v>420.8</v>
      </c>
      <c r="R3242" t="s">
        <v>75</v>
      </c>
      <c r="S3242" t="s">
        <v>110</v>
      </c>
      <c r="T3242" t="s">
        <v>40</v>
      </c>
      <c r="U3242">
        <v>69</v>
      </c>
      <c r="W3242">
        <f>Table2[[#This Row],[Quantity]]*Table2[[#This Row],[Item_Price]]</f>
        <v>448</v>
      </c>
    </row>
    <row r="3243" spans="1:23" x14ac:dyDescent="0.25">
      <c r="A3243" t="s">
        <v>3344</v>
      </c>
      <c r="B3243" s="1">
        <v>45892</v>
      </c>
      <c r="C3243" t="s">
        <v>3008</v>
      </c>
      <c r="D3243">
        <v>8</v>
      </c>
      <c r="E3243">
        <v>23</v>
      </c>
      <c r="F3243" t="s">
        <v>134</v>
      </c>
      <c r="G3243" t="s">
        <v>84</v>
      </c>
      <c r="H3243" t="s">
        <v>42</v>
      </c>
      <c r="I3243" t="s">
        <v>61</v>
      </c>
      <c r="J3243" t="s">
        <v>119</v>
      </c>
      <c r="K3243" t="s">
        <v>38</v>
      </c>
      <c r="L3243">
        <v>1</v>
      </c>
      <c r="M3243">
        <v>735</v>
      </c>
      <c r="N3243">
        <v>73.5</v>
      </c>
      <c r="O3243">
        <v>60</v>
      </c>
      <c r="P3243">
        <v>735</v>
      </c>
      <c r="Q3243">
        <v>721.5</v>
      </c>
      <c r="R3243" t="s">
        <v>112</v>
      </c>
      <c r="S3243" t="s">
        <v>31</v>
      </c>
      <c r="T3243" t="s">
        <v>40</v>
      </c>
      <c r="U3243">
        <v>47</v>
      </c>
      <c r="V3243">
        <v>5</v>
      </c>
      <c r="W3243">
        <f>Table2[[#This Row],[Quantity]]*Table2[[#This Row],[Item_Price]]</f>
        <v>735</v>
      </c>
    </row>
    <row r="3244" spans="1:23" x14ac:dyDescent="0.25">
      <c r="A3244" t="s">
        <v>3345</v>
      </c>
      <c r="B3244" s="1">
        <v>45892</v>
      </c>
      <c r="C3244" t="s">
        <v>3008</v>
      </c>
      <c r="D3244">
        <v>8</v>
      </c>
      <c r="E3244">
        <v>23</v>
      </c>
      <c r="F3244" t="s">
        <v>134</v>
      </c>
      <c r="G3244" t="s">
        <v>64</v>
      </c>
      <c r="H3244" t="s">
        <v>35</v>
      </c>
      <c r="I3244" t="s">
        <v>43</v>
      </c>
      <c r="J3244" t="s">
        <v>172</v>
      </c>
      <c r="K3244" t="s">
        <v>38</v>
      </c>
      <c r="L3244">
        <v>1</v>
      </c>
      <c r="M3244">
        <v>271</v>
      </c>
      <c r="N3244">
        <v>54.2</v>
      </c>
      <c r="O3244">
        <v>30</v>
      </c>
      <c r="P3244">
        <v>271</v>
      </c>
      <c r="Q3244">
        <v>246.8</v>
      </c>
      <c r="R3244" t="s">
        <v>98</v>
      </c>
      <c r="S3244" t="s">
        <v>91</v>
      </c>
      <c r="T3244" t="s">
        <v>32</v>
      </c>
      <c r="U3244">
        <v>32</v>
      </c>
      <c r="W3244">
        <f>Table2[[#This Row],[Quantity]]*Table2[[#This Row],[Item_Price]]</f>
        <v>271</v>
      </c>
    </row>
    <row r="3245" spans="1:23" x14ac:dyDescent="0.25">
      <c r="A3245" t="s">
        <v>3346</v>
      </c>
      <c r="B3245" s="1">
        <v>45892</v>
      </c>
      <c r="C3245" t="s">
        <v>3008</v>
      </c>
      <c r="D3245">
        <v>8</v>
      </c>
      <c r="E3245">
        <v>23</v>
      </c>
      <c r="F3245" t="s">
        <v>134</v>
      </c>
      <c r="G3245" t="s">
        <v>34</v>
      </c>
      <c r="H3245" t="s">
        <v>48</v>
      </c>
      <c r="I3245" t="s">
        <v>27</v>
      </c>
      <c r="J3245" t="s">
        <v>37</v>
      </c>
      <c r="K3245" t="s">
        <v>38</v>
      </c>
      <c r="L3245">
        <v>1</v>
      </c>
      <c r="M3245">
        <v>547</v>
      </c>
      <c r="N3245">
        <v>54.7</v>
      </c>
      <c r="O3245">
        <v>60</v>
      </c>
      <c r="P3245">
        <v>547</v>
      </c>
      <c r="Q3245">
        <v>552.29999999999995</v>
      </c>
      <c r="R3245" t="s">
        <v>98</v>
      </c>
      <c r="S3245" t="s">
        <v>110</v>
      </c>
      <c r="T3245" t="s">
        <v>40</v>
      </c>
      <c r="U3245">
        <v>33</v>
      </c>
      <c r="W3245">
        <f>Table2[[#This Row],[Quantity]]*Table2[[#This Row],[Item_Price]]</f>
        <v>547</v>
      </c>
    </row>
    <row r="3246" spans="1:23" x14ac:dyDescent="0.25">
      <c r="A3246" t="s">
        <v>3347</v>
      </c>
      <c r="B3246" s="1">
        <v>45893</v>
      </c>
      <c r="C3246" t="s">
        <v>3008</v>
      </c>
      <c r="D3246">
        <v>8</v>
      </c>
      <c r="E3246">
        <v>24</v>
      </c>
      <c r="F3246" t="s">
        <v>149</v>
      </c>
      <c r="G3246" t="s">
        <v>25</v>
      </c>
      <c r="H3246" t="s">
        <v>135</v>
      </c>
      <c r="I3246" t="s">
        <v>97</v>
      </c>
      <c r="J3246" t="s">
        <v>53</v>
      </c>
      <c r="K3246" t="s">
        <v>38</v>
      </c>
      <c r="L3246">
        <v>2</v>
      </c>
      <c r="M3246">
        <v>568</v>
      </c>
      <c r="N3246">
        <v>142</v>
      </c>
      <c r="O3246">
        <v>30</v>
      </c>
      <c r="P3246">
        <v>1136</v>
      </c>
      <c r="Q3246">
        <v>1024</v>
      </c>
      <c r="R3246" t="s">
        <v>98</v>
      </c>
      <c r="S3246" t="s">
        <v>31</v>
      </c>
      <c r="T3246" t="s">
        <v>40</v>
      </c>
      <c r="U3246">
        <v>18</v>
      </c>
      <c r="V3246">
        <v>4.9000000000000004</v>
      </c>
      <c r="W3246">
        <f>Table2[[#This Row],[Quantity]]*Table2[[#This Row],[Item_Price]]</f>
        <v>1136</v>
      </c>
    </row>
    <row r="3247" spans="1:23" x14ac:dyDescent="0.25">
      <c r="A3247" t="s">
        <v>3348</v>
      </c>
      <c r="B3247" s="1">
        <v>45893</v>
      </c>
      <c r="C3247" t="s">
        <v>3008</v>
      </c>
      <c r="D3247">
        <v>8</v>
      </c>
      <c r="E3247">
        <v>24</v>
      </c>
      <c r="F3247" t="s">
        <v>149</v>
      </c>
      <c r="G3247" t="s">
        <v>25</v>
      </c>
      <c r="H3247" t="s">
        <v>42</v>
      </c>
      <c r="I3247" t="s">
        <v>69</v>
      </c>
      <c r="J3247" t="s">
        <v>28</v>
      </c>
      <c r="K3247" t="s">
        <v>38</v>
      </c>
      <c r="L3247">
        <v>2</v>
      </c>
      <c r="M3247">
        <v>130</v>
      </c>
      <c r="N3247">
        <v>19.5</v>
      </c>
      <c r="O3247">
        <v>20</v>
      </c>
      <c r="P3247">
        <v>260</v>
      </c>
      <c r="Q3247">
        <v>260.5</v>
      </c>
      <c r="R3247" t="s">
        <v>30</v>
      </c>
      <c r="S3247" t="s">
        <v>31</v>
      </c>
      <c r="T3247" t="s">
        <v>32</v>
      </c>
      <c r="U3247">
        <v>47</v>
      </c>
      <c r="V3247">
        <v>4.7</v>
      </c>
      <c r="W3247">
        <f>Table2[[#This Row],[Quantity]]*Table2[[#This Row],[Item_Price]]</f>
        <v>260</v>
      </c>
    </row>
    <row r="3248" spans="1:23" x14ac:dyDescent="0.25">
      <c r="A3248" t="s">
        <v>3349</v>
      </c>
      <c r="B3248" s="1">
        <v>45893</v>
      </c>
      <c r="C3248" t="s">
        <v>3008</v>
      </c>
      <c r="D3248">
        <v>8</v>
      </c>
      <c r="E3248">
        <v>24</v>
      </c>
      <c r="F3248" t="s">
        <v>149</v>
      </c>
      <c r="G3248" t="s">
        <v>34</v>
      </c>
      <c r="H3248" t="s">
        <v>77</v>
      </c>
      <c r="I3248" t="s">
        <v>27</v>
      </c>
      <c r="J3248" t="s">
        <v>119</v>
      </c>
      <c r="K3248" t="s">
        <v>38</v>
      </c>
      <c r="L3248">
        <v>2</v>
      </c>
      <c r="M3248">
        <v>788</v>
      </c>
      <c r="N3248">
        <v>78.8</v>
      </c>
      <c r="O3248">
        <v>40</v>
      </c>
      <c r="P3248">
        <v>1576</v>
      </c>
      <c r="Q3248">
        <v>1537.2</v>
      </c>
      <c r="R3248" t="s">
        <v>98</v>
      </c>
      <c r="S3248" t="s">
        <v>31</v>
      </c>
      <c r="T3248" t="s">
        <v>40</v>
      </c>
      <c r="U3248">
        <v>31</v>
      </c>
      <c r="V3248">
        <v>4.8</v>
      </c>
      <c r="W3248">
        <f>Table2[[#This Row],[Quantity]]*Table2[[#This Row],[Item_Price]]</f>
        <v>1576</v>
      </c>
    </row>
    <row r="3249" spans="1:23" x14ac:dyDescent="0.25">
      <c r="A3249" t="s">
        <v>3350</v>
      </c>
      <c r="B3249" s="1">
        <v>45893</v>
      </c>
      <c r="C3249" t="s">
        <v>3008</v>
      </c>
      <c r="D3249">
        <v>8</v>
      </c>
      <c r="E3249">
        <v>24</v>
      </c>
      <c r="F3249" t="s">
        <v>149</v>
      </c>
      <c r="G3249" t="s">
        <v>34</v>
      </c>
      <c r="H3249" t="s">
        <v>52</v>
      </c>
      <c r="I3249" t="s">
        <v>57</v>
      </c>
      <c r="J3249" t="s">
        <v>50</v>
      </c>
      <c r="K3249" t="s">
        <v>45</v>
      </c>
      <c r="L3249">
        <v>2</v>
      </c>
      <c r="M3249">
        <v>663</v>
      </c>
      <c r="N3249">
        <v>66.3</v>
      </c>
      <c r="O3249">
        <v>20</v>
      </c>
      <c r="P3249">
        <v>1326</v>
      </c>
      <c r="Q3249">
        <v>1279.7</v>
      </c>
      <c r="R3249" t="s">
        <v>75</v>
      </c>
      <c r="S3249" t="s">
        <v>46</v>
      </c>
      <c r="T3249" t="s">
        <v>40</v>
      </c>
      <c r="U3249">
        <v>66</v>
      </c>
      <c r="W3249">
        <f>Table2[[#This Row],[Quantity]]*Table2[[#This Row],[Item_Price]]</f>
        <v>1326</v>
      </c>
    </row>
    <row r="3250" spans="1:23" x14ac:dyDescent="0.25">
      <c r="A3250" t="s">
        <v>3351</v>
      </c>
      <c r="B3250" s="1">
        <v>45893</v>
      </c>
      <c r="C3250" t="s">
        <v>3008</v>
      </c>
      <c r="D3250">
        <v>8</v>
      </c>
      <c r="E3250">
        <v>24</v>
      </c>
      <c r="F3250" t="s">
        <v>149</v>
      </c>
      <c r="G3250" t="s">
        <v>64</v>
      </c>
      <c r="H3250" t="s">
        <v>77</v>
      </c>
      <c r="I3250" t="s">
        <v>85</v>
      </c>
      <c r="J3250" t="s">
        <v>101</v>
      </c>
      <c r="K3250" t="s">
        <v>38</v>
      </c>
      <c r="L3250">
        <v>1</v>
      </c>
      <c r="M3250">
        <v>591</v>
      </c>
      <c r="N3250">
        <v>0</v>
      </c>
      <c r="O3250">
        <v>20</v>
      </c>
      <c r="P3250">
        <v>591</v>
      </c>
      <c r="Q3250">
        <v>611</v>
      </c>
      <c r="R3250" t="s">
        <v>39</v>
      </c>
      <c r="S3250" t="s">
        <v>31</v>
      </c>
      <c r="T3250" t="s">
        <v>40</v>
      </c>
      <c r="U3250">
        <v>35</v>
      </c>
      <c r="V3250">
        <v>4.2</v>
      </c>
      <c r="W3250">
        <f>Table2[[#This Row],[Quantity]]*Table2[[#This Row],[Item_Price]]</f>
        <v>591</v>
      </c>
    </row>
    <row r="3251" spans="1:23" x14ac:dyDescent="0.25">
      <c r="A3251" t="s">
        <v>3352</v>
      </c>
      <c r="B3251" s="1">
        <v>45893</v>
      </c>
      <c r="C3251" t="s">
        <v>3008</v>
      </c>
      <c r="D3251">
        <v>8</v>
      </c>
      <c r="E3251">
        <v>24</v>
      </c>
      <c r="F3251" t="s">
        <v>149</v>
      </c>
      <c r="G3251" t="s">
        <v>34</v>
      </c>
      <c r="H3251" t="s">
        <v>60</v>
      </c>
      <c r="I3251" t="s">
        <v>97</v>
      </c>
      <c r="J3251" t="s">
        <v>82</v>
      </c>
      <c r="K3251" t="s">
        <v>45</v>
      </c>
      <c r="L3251">
        <v>1</v>
      </c>
      <c r="M3251">
        <v>367</v>
      </c>
      <c r="N3251">
        <v>55.05</v>
      </c>
      <c r="O3251">
        <v>50</v>
      </c>
      <c r="P3251">
        <v>367</v>
      </c>
      <c r="Q3251">
        <v>361.95</v>
      </c>
      <c r="R3251" t="s">
        <v>75</v>
      </c>
      <c r="S3251" t="s">
        <v>31</v>
      </c>
      <c r="T3251" t="s">
        <v>32</v>
      </c>
      <c r="U3251">
        <v>43</v>
      </c>
      <c r="V3251">
        <v>3.1</v>
      </c>
      <c r="W3251">
        <f>Table2[[#This Row],[Quantity]]*Table2[[#This Row],[Item_Price]]</f>
        <v>367</v>
      </c>
    </row>
    <row r="3252" spans="1:23" x14ac:dyDescent="0.25">
      <c r="A3252" t="s">
        <v>3353</v>
      </c>
      <c r="B3252" s="1">
        <v>45893</v>
      </c>
      <c r="C3252" t="s">
        <v>3008</v>
      </c>
      <c r="D3252">
        <v>8</v>
      </c>
      <c r="E3252">
        <v>24</v>
      </c>
      <c r="F3252" t="s">
        <v>149</v>
      </c>
      <c r="G3252" t="s">
        <v>80</v>
      </c>
      <c r="H3252" t="s">
        <v>48</v>
      </c>
      <c r="I3252" t="s">
        <v>85</v>
      </c>
      <c r="J3252" t="s">
        <v>53</v>
      </c>
      <c r="K3252" t="s">
        <v>29</v>
      </c>
      <c r="L3252">
        <v>2</v>
      </c>
      <c r="M3252">
        <v>213</v>
      </c>
      <c r="N3252">
        <v>42.6</v>
      </c>
      <c r="O3252">
        <v>50</v>
      </c>
      <c r="P3252">
        <v>426</v>
      </c>
      <c r="Q3252">
        <v>433.4</v>
      </c>
      <c r="R3252" t="s">
        <v>112</v>
      </c>
      <c r="S3252" t="s">
        <v>31</v>
      </c>
      <c r="T3252" t="s">
        <v>40</v>
      </c>
      <c r="U3252">
        <v>20</v>
      </c>
      <c r="V3252">
        <v>5</v>
      </c>
      <c r="W3252">
        <f>Table2[[#This Row],[Quantity]]*Table2[[#This Row],[Item_Price]]</f>
        <v>426</v>
      </c>
    </row>
    <row r="3253" spans="1:23" x14ac:dyDescent="0.25">
      <c r="A3253" t="s">
        <v>3354</v>
      </c>
      <c r="B3253" s="1">
        <v>45893</v>
      </c>
      <c r="C3253" t="s">
        <v>3008</v>
      </c>
      <c r="D3253">
        <v>8</v>
      </c>
      <c r="E3253">
        <v>24</v>
      </c>
      <c r="F3253" t="s">
        <v>149</v>
      </c>
      <c r="G3253" t="s">
        <v>84</v>
      </c>
      <c r="H3253" t="s">
        <v>35</v>
      </c>
      <c r="I3253" t="s">
        <v>36</v>
      </c>
      <c r="J3253" t="s">
        <v>101</v>
      </c>
      <c r="K3253" t="s">
        <v>38</v>
      </c>
      <c r="L3253">
        <v>1</v>
      </c>
      <c r="M3253">
        <v>693</v>
      </c>
      <c r="N3253">
        <v>0</v>
      </c>
      <c r="O3253">
        <v>20</v>
      </c>
      <c r="P3253">
        <v>693</v>
      </c>
      <c r="Q3253">
        <v>713</v>
      </c>
      <c r="R3253" t="s">
        <v>39</v>
      </c>
      <c r="S3253" t="s">
        <v>31</v>
      </c>
      <c r="T3253" t="s">
        <v>32</v>
      </c>
      <c r="U3253">
        <v>34</v>
      </c>
      <c r="V3253">
        <v>3.5</v>
      </c>
      <c r="W3253">
        <f>Table2[[#This Row],[Quantity]]*Table2[[#This Row],[Item_Price]]</f>
        <v>693</v>
      </c>
    </row>
    <row r="3254" spans="1:23" x14ac:dyDescent="0.25">
      <c r="A3254" t="s">
        <v>3355</v>
      </c>
      <c r="B3254" s="1">
        <v>45893</v>
      </c>
      <c r="C3254" t="s">
        <v>3008</v>
      </c>
      <c r="D3254">
        <v>8</v>
      </c>
      <c r="E3254">
        <v>24</v>
      </c>
      <c r="F3254" t="s">
        <v>149</v>
      </c>
      <c r="G3254" t="s">
        <v>80</v>
      </c>
      <c r="H3254" t="s">
        <v>35</v>
      </c>
      <c r="I3254" t="s">
        <v>61</v>
      </c>
      <c r="J3254" t="s">
        <v>94</v>
      </c>
      <c r="K3254" t="s">
        <v>38</v>
      </c>
      <c r="L3254">
        <v>3</v>
      </c>
      <c r="M3254">
        <v>319</v>
      </c>
      <c r="N3254">
        <v>15.95</v>
      </c>
      <c r="O3254">
        <v>50</v>
      </c>
      <c r="P3254">
        <v>957</v>
      </c>
      <c r="Q3254">
        <v>991.05</v>
      </c>
      <c r="R3254" t="s">
        <v>39</v>
      </c>
      <c r="S3254" t="s">
        <v>31</v>
      </c>
      <c r="T3254" t="s">
        <v>32</v>
      </c>
      <c r="U3254">
        <v>50</v>
      </c>
      <c r="V3254">
        <v>4.0999999999999996</v>
      </c>
      <c r="W3254">
        <f>Table2[[#This Row],[Quantity]]*Table2[[#This Row],[Item_Price]]</f>
        <v>957</v>
      </c>
    </row>
    <row r="3255" spans="1:23" x14ac:dyDescent="0.25">
      <c r="A3255" t="s">
        <v>3356</v>
      </c>
      <c r="B3255" s="1">
        <v>45893</v>
      </c>
      <c r="C3255" t="s">
        <v>3008</v>
      </c>
      <c r="D3255">
        <v>8</v>
      </c>
      <c r="E3255">
        <v>24</v>
      </c>
      <c r="F3255" t="s">
        <v>149</v>
      </c>
      <c r="G3255" t="s">
        <v>34</v>
      </c>
      <c r="H3255" t="s">
        <v>26</v>
      </c>
      <c r="I3255" t="s">
        <v>97</v>
      </c>
      <c r="J3255" t="s">
        <v>53</v>
      </c>
      <c r="K3255" t="s">
        <v>45</v>
      </c>
      <c r="L3255">
        <v>1</v>
      </c>
      <c r="M3255">
        <v>335</v>
      </c>
      <c r="N3255">
        <v>33.5</v>
      </c>
      <c r="O3255">
        <v>30</v>
      </c>
      <c r="P3255">
        <v>335</v>
      </c>
      <c r="Q3255">
        <v>331.5</v>
      </c>
      <c r="R3255" t="s">
        <v>75</v>
      </c>
      <c r="S3255" t="s">
        <v>31</v>
      </c>
      <c r="T3255" t="s">
        <v>40</v>
      </c>
      <c r="U3255">
        <v>66</v>
      </c>
      <c r="V3255">
        <v>4.2</v>
      </c>
      <c r="W3255">
        <f>Table2[[#This Row],[Quantity]]*Table2[[#This Row],[Item_Price]]</f>
        <v>335</v>
      </c>
    </row>
    <row r="3256" spans="1:23" x14ac:dyDescent="0.25">
      <c r="A3256" t="s">
        <v>3357</v>
      </c>
      <c r="B3256" s="1">
        <v>45893</v>
      </c>
      <c r="C3256" t="s">
        <v>3008</v>
      </c>
      <c r="D3256">
        <v>8</v>
      </c>
      <c r="E3256">
        <v>24</v>
      </c>
      <c r="F3256" t="s">
        <v>149</v>
      </c>
      <c r="G3256" t="s">
        <v>34</v>
      </c>
      <c r="H3256" t="s">
        <v>65</v>
      </c>
      <c r="I3256" t="s">
        <v>49</v>
      </c>
      <c r="J3256" t="s">
        <v>74</v>
      </c>
      <c r="K3256" t="s">
        <v>38</v>
      </c>
      <c r="L3256">
        <v>2</v>
      </c>
      <c r="M3256">
        <v>666</v>
      </c>
      <c r="N3256">
        <v>66.599999999999994</v>
      </c>
      <c r="O3256">
        <v>0</v>
      </c>
      <c r="P3256">
        <v>1332</v>
      </c>
      <c r="Q3256">
        <v>1265.4000000000001</v>
      </c>
      <c r="R3256" t="s">
        <v>39</v>
      </c>
      <c r="S3256" t="s">
        <v>31</v>
      </c>
      <c r="T3256" t="s">
        <v>32</v>
      </c>
      <c r="U3256">
        <v>24</v>
      </c>
      <c r="V3256">
        <v>4</v>
      </c>
      <c r="W3256">
        <f>Table2[[#This Row],[Quantity]]*Table2[[#This Row],[Item_Price]]</f>
        <v>1332</v>
      </c>
    </row>
    <row r="3257" spans="1:23" x14ac:dyDescent="0.25">
      <c r="A3257" t="s">
        <v>3358</v>
      </c>
      <c r="B3257" s="1">
        <v>45893</v>
      </c>
      <c r="C3257" t="s">
        <v>3008</v>
      </c>
      <c r="D3257">
        <v>8</v>
      </c>
      <c r="E3257">
        <v>24</v>
      </c>
      <c r="F3257" t="s">
        <v>149</v>
      </c>
      <c r="G3257" t="s">
        <v>34</v>
      </c>
      <c r="H3257" t="s">
        <v>77</v>
      </c>
      <c r="I3257" t="s">
        <v>43</v>
      </c>
      <c r="J3257" t="s">
        <v>172</v>
      </c>
      <c r="K3257" t="s">
        <v>58</v>
      </c>
      <c r="L3257">
        <v>1</v>
      </c>
      <c r="M3257">
        <v>788</v>
      </c>
      <c r="N3257">
        <v>157.6</v>
      </c>
      <c r="O3257">
        <v>30</v>
      </c>
      <c r="P3257">
        <v>788</v>
      </c>
      <c r="Q3257">
        <v>660.4</v>
      </c>
      <c r="R3257" t="s">
        <v>112</v>
      </c>
      <c r="S3257" t="s">
        <v>31</v>
      </c>
      <c r="T3257" t="s">
        <v>40</v>
      </c>
      <c r="U3257">
        <v>57</v>
      </c>
      <c r="V3257">
        <v>3.6</v>
      </c>
      <c r="W3257">
        <f>Table2[[#This Row],[Quantity]]*Table2[[#This Row],[Item_Price]]</f>
        <v>788</v>
      </c>
    </row>
    <row r="3258" spans="1:23" x14ac:dyDescent="0.25">
      <c r="A3258" t="s">
        <v>3359</v>
      </c>
      <c r="B3258" s="1">
        <v>45894</v>
      </c>
      <c r="C3258" t="s">
        <v>3008</v>
      </c>
      <c r="D3258">
        <v>8</v>
      </c>
      <c r="E3258">
        <v>25</v>
      </c>
      <c r="F3258" t="s">
        <v>168</v>
      </c>
      <c r="G3258" t="s">
        <v>25</v>
      </c>
      <c r="H3258" t="s">
        <v>135</v>
      </c>
      <c r="I3258" t="s">
        <v>103</v>
      </c>
      <c r="J3258" t="s">
        <v>53</v>
      </c>
      <c r="K3258" t="s">
        <v>38</v>
      </c>
      <c r="L3258">
        <v>2</v>
      </c>
      <c r="M3258">
        <v>206</v>
      </c>
      <c r="N3258">
        <v>20.6</v>
      </c>
      <c r="O3258">
        <v>70</v>
      </c>
      <c r="P3258">
        <v>412</v>
      </c>
      <c r="Q3258">
        <v>461.4</v>
      </c>
      <c r="R3258" t="s">
        <v>39</v>
      </c>
      <c r="S3258" t="s">
        <v>31</v>
      </c>
      <c r="T3258" t="s">
        <v>40</v>
      </c>
      <c r="U3258">
        <v>53</v>
      </c>
      <c r="V3258">
        <v>4.9000000000000004</v>
      </c>
      <c r="W3258">
        <f>Table2[[#This Row],[Quantity]]*Table2[[#This Row],[Item_Price]]</f>
        <v>412</v>
      </c>
    </row>
    <row r="3259" spans="1:23" x14ac:dyDescent="0.25">
      <c r="A3259" t="s">
        <v>3360</v>
      </c>
      <c r="B3259" s="1">
        <v>45894</v>
      </c>
      <c r="C3259" t="s">
        <v>3008</v>
      </c>
      <c r="D3259">
        <v>8</v>
      </c>
      <c r="E3259">
        <v>25</v>
      </c>
      <c r="F3259" t="s">
        <v>168</v>
      </c>
      <c r="G3259" t="s">
        <v>115</v>
      </c>
      <c r="H3259" t="s">
        <v>42</v>
      </c>
      <c r="I3259" t="s">
        <v>27</v>
      </c>
      <c r="J3259" t="s">
        <v>172</v>
      </c>
      <c r="K3259" t="s">
        <v>38</v>
      </c>
      <c r="L3259">
        <v>1</v>
      </c>
      <c r="M3259">
        <v>600</v>
      </c>
      <c r="N3259">
        <v>120</v>
      </c>
      <c r="O3259">
        <v>50</v>
      </c>
      <c r="P3259">
        <v>600</v>
      </c>
      <c r="Q3259">
        <v>530</v>
      </c>
      <c r="R3259" t="s">
        <v>39</v>
      </c>
      <c r="S3259" t="s">
        <v>31</v>
      </c>
      <c r="T3259" t="s">
        <v>40</v>
      </c>
      <c r="U3259">
        <v>42</v>
      </c>
      <c r="V3259">
        <v>4.5</v>
      </c>
      <c r="W3259">
        <f>Table2[[#This Row],[Quantity]]*Table2[[#This Row],[Item_Price]]</f>
        <v>600</v>
      </c>
    </row>
    <row r="3260" spans="1:23" x14ac:dyDescent="0.25">
      <c r="A3260" t="s">
        <v>3361</v>
      </c>
      <c r="B3260" s="1">
        <v>45894</v>
      </c>
      <c r="C3260" t="s">
        <v>3008</v>
      </c>
      <c r="D3260">
        <v>8</v>
      </c>
      <c r="E3260">
        <v>25</v>
      </c>
      <c r="F3260" t="s">
        <v>168</v>
      </c>
      <c r="G3260" t="s">
        <v>80</v>
      </c>
      <c r="H3260" t="s">
        <v>135</v>
      </c>
      <c r="I3260" t="s">
        <v>27</v>
      </c>
      <c r="J3260" t="s">
        <v>172</v>
      </c>
      <c r="K3260" t="s">
        <v>38</v>
      </c>
      <c r="L3260">
        <v>1</v>
      </c>
      <c r="M3260">
        <v>799</v>
      </c>
      <c r="N3260">
        <v>79.900000000000006</v>
      </c>
      <c r="O3260">
        <v>50</v>
      </c>
      <c r="P3260">
        <v>799</v>
      </c>
      <c r="Q3260">
        <v>769.1</v>
      </c>
      <c r="R3260" t="s">
        <v>75</v>
      </c>
      <c r="S3260" t="s">
        <v>31</v>
      </c>
      <c r="T3260" t="s">
        <v>40</v>
      </c>
      <c r="U3260">
        <v>70</v>
      </c>
      <c r="V3260">
        <v>3.2</v>
      </c>
      <c r="W3260">
        <f>Table2[[#This Row],[Quantity]]*Table2[[#This Row],[Item_Price]]</f>
        <v>799</v>
      </c>
    </row>
    <row r="3261" spans="1:23" x14ac:dyDescent="0.25">
      <c r="A3261" t="s">
        <v>3362</v>
      </c>
      <c r="B3261" s="1">
        <v>45894</v>
      </c>
      <c r="C3261" t="s">
        <v>3008</v>
      </c>
      <c r="D3261">
        <v>8</v>
      </c>
      <c r="E3261">
        <v>25</v>
      </c>
      <c r="F3261" t="s">
        <v>168</v>
      </c>
      <c r="G3261" t="s">
        <v>34</v>
      </c>
      <c r="H3261" t="s">
        <v>139</v>
      </c>
      <c r="I3261" t="s">
        <v>61</v>
      </c>
      <c r="J3261" t="s">
        <v>172</v>
      </c>
      <c r="K3261" t="s">
        <v>38</v>
      </c>
      <c r="L3261">
        <v>2</v>
      </c>
      <c r="M3261">
        <v>221</v>
      </c>
      <c r="N3261">
        <v>11.05</v>
      </c>
      <c r="O3261">
        <v>40</v>
      </c>
      <c r="P3261">
        <v>442</v>
      </c>
      <c r="Q3261">
        <v>470.95</v>
      </c>
      <c r="R3261" t="s">
        <v>112</v>
      </c>
      <c r="S3261" t="s">
        <v>91</v>
      </c>
      <c r="T3261" t="s">
        <v>40</v>
      </c>
      <c r="U3261">
        <v>42</v>
      </c>
      <c r="W3261">
        <f>Table2[[#This Row],[Quantity]]*Table2[[#This Row],[Item_Price]]</f>
        <v>442</v>
      </c>
    </row>
    <row r="3262" spans="1:23" x14ac:dyDescent="0.25">
      <c r="A3262" t="s">
        <v>3363</v>
      </c>
      <c r="B3262" s="1">
        <v>45894</v>
      </c>
      <c r="C3262" t="s">
        <v>3008</v>
      </c>
      <c r="D3262">
        <v>8</v>
      </c>
      <c r="E3262">
        <v>25</v>
      </c>
      <c r="F3262" t="s">
        <v>168</v>
      </c>
      <c r="G3262" t="s">
        <v>64</v>
      </c>
      <c r="H3262" t="s">
        <v>52</v>
      </c>
      <c r="I3262" t="s">
        <v>103</v>
      </c>
      <c r="J3262" t="s">
        <v>101</v>
      </c>
      <c r="K3262" t="s">
        <v>38</v>
      </c>
      <c r="L3262">
        <v>1</v>
      </c>
      <c r="M3262">
        <v>442</v>
      </c>
      <c r="N3262">
        <v>0</v>
      </c>
      <c r="O3262">
        <v>60</v>
      </c>
      <c r="P3262">
        <v>442</v>
      </c>
      <c r="Q3262">
        <v>502</v>
      </c>
      <c r="R3262" t="s">
        <v>30</v>
      </c>
      <c r="S3262" t="s">
        <v>31</v>
      </c>
      <c r="T3262" t="s">
        <v>40</v>
      </c>
      <c r="U3262">
        <v>34</v>
      </c>
      <c r="V3262">
        <v>3.4</v>
      </c>
      <c r="W3262">
        <f>Table2[[#This Row],[Quantity]]*Table2[[#This Row],[Item_Price]]</f>
        <v>442</v>
      </c>
    </row>
    <row r="3263" spans="1:23" x14ac:dyDescent="0.25">
      <c r="A3263" t="s">
        <v>3364</v>
      </c>
      <c r="B3263" s="1">
        <v>45894</v>
      </c>
      <c r="C3263" t="s">
        <v>3008</v>
      </c>
      <c r="D3263">
        <v>8</v>
      </c>
      <c r="E3263">
        <v>25</v>
      </c>
      <c r="F3263" t="s">
        <v>168</v>
      </c>
      <c r="G3263" t="s">
        <v>80</v>
      </c>
      <c r="H3263" t="s">
        <v>139</v>
      </c>
      <c r="I3263" t="s">
        <v>103</v>
      </c>
      <c r="J3263" t="s">
        <v>28</v>
      </c>
      <c r="K3263" t="s">
        <v>45</v>
      </c>
      <c r="L3263">
        <v>2</v>
      </c>
      <c r="M3263">
        <v>244</v>
      </c>
      <c r="N3263">
        <v>0</v>
      </c>
      <c r="O3263">
        <v>0</v>
      </c>
      <c r="P3263">
        <v>488</v>
      </c>
      <c r="Q3263">
        <v>488</v>
      </c>
      <c r="R3263" t="s">
        <v>39</v>
      </c>
      <c r="S3263" t="s">
        <v>31</v>
      </c>
      <c r="T3263" t="s">
        <v>40</v>
      </c>
      <c r="U3263">
        <v>67</v>
      </c>
      <c r="V3263">
        <v>5</v>
      </c>
      <c r="W3263">
        <f>Table2[[#This Row],[Quantity]]*Table2[[#This Row],[Item_Price]]</f>
        <v>488</v>
      </c>
    </row>
    <row r="3264" spans="1:23" x14ac:dyDescent="0.25">
      <c r="A3264" t="s">
        <v>3365</v>
      </c>
      <c r="B3264" s="1">
        <v>45894</v>
      </c>
      <c r="C3264" t="s">
        <v>3008</v>
      </c>
      <c r="D3264">
        <v>8</v>
      </c>
      <c r="E3264">
        <v>25</v>
      </c>
      <c r="F3264" t="s">
        <v>168</v>
      </c>
      <c r="G3264" t="s">
        <v>73</v>
      </c>
      <c r="H3264" t="s">
        <v>135</v>
      </c>
      <c r="I3264" t="s">
        <v>85</v>
      </c>
      <c r="J3264" t="s">
        <v>94</v>
      </c>
      <c r="K3264" t="s">
        <v>45</v>
      </c>
      <c r="L3264">
        <v>3</v>
      </c>
      <c r="M3264">
        <v>348</v>
      </c>
      <c r="N3264">
        <v>17.399999999999999</v>
      </c>
      <c r="O3264">
        <v>20</v>
      </c>
      <c r="P3264">
        <v>1044</v>
      </c>
      <c r="Q3264">
        <v>1046.5999999999999</v>
      </c>
      <c r="R3264" t="s">
        <v>30</v>
      </c>
      <c r="S3264" t="s">
        <v>31</v>
      </c>
      <c r="T3264" t="s">
        <v>32</v>
      </c>
      <c r="U3264">
        <v>23</v>
      </c>
      <c r="V3264">
        <v>4.3</v>
      </c>
      <c r="W3264">
        <f>Table2[[#This Row],[Quantity]]*Table2[[#This Row],[Item_Price]]</f>
        <v>1044</v>
      </c>
    </row>
    <row r="3265" spans="1:23" x14ac:dyDescent="0.25">
      <c r="A3265" t="s">
        <v>3366</v>
      </c>
      <c r="B3265" s="1">
        <v>45894</v>
      </c>
      <c r="C3265" t="s">
        <v>3008</v>
      </c>
      <c r="D3265">
        <v>8</v>
      </c>
      <c r="E3265">
        <v>25</v>
      </c>
      <c r="F3265" t="s">
        <v>168</v>
      </c>
      <c r="G3265" t="s">
        <v>25</v>
      </c>
      <c r="H3265" t="s">
        <v>108</v>
      </c>
      <c r="I3265" t="s">
        <v>69</v>
      </c>
      <c r="J3265" t="s">
        <v>123</v>
      </c>
      <c r="K3265" t="s">
        <v>38</v>
      </c>
      <c r="L3265">
        <v>2</v>
      </c>
      <c r="M3265">
        <v>229</v>
      </c>
      <c r="N3265">
        <v>0</v>
      </c>
      <c r="O3265">
        <v>20</v>
      </c>
      <c r="P3265">
        <v>458</v>
      </c>
      <c r="Q3265">
        <v>478</v>
      </c>
      <c r="R3265" t="s">
        <v>75</v>
      </c>
      <c r="S3265" t="s">
        <v>31</v>
      </c>
      <c r="T3265" t="s">
        <v>32</v>
      </c>
      <c r="U3265">
        <v>23</v>
      </c>
      <c r="V3265">
        <v>4.5</v>
      </c>
      <c r="W3265">
        <f>Table2[[#This Row],[Quantity]]*Table2[[#This Row],[Item_Price]]</f>
        <v>458</v>
      </c>
    </row>
    <row r="3266" spans="1:23" x14ac:dyDescent="0.25">
      <c r="A3266" t="s">
        <v>3367</v>
      </c>
      <c r="B3266" s="1">
        <v>45894</v>
      </c>
      <c r="C3266" t="s">
        <v>3008</v>
      </c>
      <c r="D3266">
        <v>8</v>
      </c>
      <c r="E3266">
        <v>25</v>
      </c>
      <c r="F3266" t="s">
        <v>168</v>
      </c>
      <c r="G3266" t="s">
        <v>73</v>
      </c>
      <c r="H3266" t="s">
        <v>77</v>
      </c>
      <c r="I3266" t="s">
        <v>57</v>
      </c>
      <c r="J3266" t="s">
        <v>28</v>
      </c>
      <c r="K3266" t="s">
        <v>38</v>
      </c>
      <c r="L3266">
        <v>3</v>
      </c>
      <c r="M3266">
        <v>490</v>
      </c>
      <c r="N3266">
        <v>49</v>
      </c>
      <c r="O3266">
        <v>40</v>
      </c>
      <c r="P3266">
        <v>1470</v>
      </c>
      <c r="Q3266">
        <v>1461</v>
      </c>
      <c r="R3266" t="s">
        <v>39</v>
      </c>
      <c r="S3266" t="s">
        <v>31</v>
      </c>
      <c r="T3266" t="s">
        <v>32</v>
      </c>
      <c r="U3266">
        <v>47</v>
      </c>
      <c r="V3266">
        <v>3.9</v>
      </c>
      <c r="W3266">
        <f>Table2[[#This Row],[Quantity]]*Table2[[#This Row],[Item_Price]]</f>
        <v>1470</v>
      </c>
    </row>
    <row r="3267" spans="1:23" x14ac:dyDescent="0.25">
      <c r="A3267" t="s">
        <v>3368</v>
      </c>
      <c r="B3267" s="1">
        <v>45894</v>
      </c>
      <c r="C3267" t="s">
        <v>3008</v>
      </c>
      <c r="D3267">
        <v>8</v>
      </c>
      <c r="E3267">
        <v>25</v>
      </c>
      <c r="F3267" t="s">
        <v>168</v>
      </c>
      <c r="G3267" t="s">
        <v>96</v>
      </c>
      <c r="H3267" t="s">
        <v>65</v>
      </c>
      <c r="I3267" t="s">
        <v>85</v>
      </c>
      <c r="J3267" t="s">
        <v>101</v>
      </c>
      <c r="K3267" t="s">
        <v>38</v>
      </c>
      <c r="L3267">
        <v>1</v>
      </c>
      <c r="M3267">
        <v>520</v>
      </c>
      <c r="N3267">
        <v>130</v>
      </c>
      <c r="O3267">
        <v>40</v>
      </c>
      <c r="P3267">
        <v>520</v>
      </c>
      <c r="Q3267">
        <v>430</v>
      </c>
      <c r="R3267" t="s">
        <v>39</v>
      </c>
      <c r="S3267" t="s">
        <v>31</v>
      </c>
      <c r="T3267" t="s">
        <v>40</v>
      </c>
      <c r="U3267">
        <v>29</v>
      </c>
      <c r="V3267">
        <v>5</v>
      </c>
      <c r="W3267">
        <f>Table2[[#This Row],[Quantity]]*Table2[[#This Row],[Item_Price]]</f>
        <v>520</v>
      </c>
    </row>
    <row r="3268" spans="1:23" x14ac:dyDescent="0.25">
      <c r="A3268" t="s">
        <v>3369</v>
      </c>
      <c r="B3268" s="1">
        <v>45894</v>
      </c>
      <c r="C3268" t="s">
        <v>3008</v>
      </c>
      <c r="D3268">
        <v>8</v>
      </c>
      <c r="E3268">
        <v>25</v>
      </c>
      <c r="F3268" t="s">
        <v>168</v>
      </c>
      <c r="G3268" t="s">
        <v>64</v>
      </c>
      <c r="H3268" t="s">
        <v>35</v>
      </c>
      <c r="I3268" t="s">
        <v>103</v>
      </c>
      <c r="J3268" t="s">
        <v>74</v>
      </c>
      <c r="K3268" t="s">
        <v>45</v>
      </c>
      <c r="L3268">
        <v>3</v>
      </c>
      <c r="M3268">
        <v>535</v>
      </c>
      <c r="N3268">
        <v>53.5</v>
      </c>
      <c r="O3268">
        <v>60</v>
      </c>
      <c r="P3268">
        <v>1605</v>
      </c>
      <c r="Q3268">
        <v>1611.5</v>
      </c>
      <c r="R3268" t="s">
        <v>39</v>
      </c>
      <c r="S3268" t="s">
        <v>31</v>
      </c>
      <c r="T3268" t="s">
        <v>40</v>
      </c>
      <c r="U3268">
        <v>64</v>
      </c>
      <c r="V3268">
        <v>4</v>
      </c>
      <c r="W3268">
        <f>Table2[[#This Row],[Quantity]]*Table2[[#This Row],[Item_Price]]</f>
        <v>1605</v>
      </c>
    </row>
    <row r="3269" spans="1:23" x14ac:dyDescent="0.25">
      <c r="A3269" t="s">
        <v>3370</v>
      </c>
      <c r="B3269" s="1">
        <v>45894</v>
      </c>
      <c r="C3269" t="s">
        <v>3008</v>
      </c>
      <c r="D3269">
        <v>8</v>
      </c>
      <c r="E3269">
        <v>25</v>
      </c>
      <c r="F3269" t="s">
        <v>168</v>
      </c>
      <c r="G3269" t="s">
        <v>64</v>
      </c>
      <c r="H3269" t="s">
        <v>60</v>
      </c>
      <c r="I3269" t="s">
        <v>27</v>
      </c>
      <c r="J3269" t="s">
        <v>123</v>
      </c>
      <c r="K3269" t="s">
        <v>29</v>
      </c>
      <c r="L3269">
        <v>3</v>
      </c>
      <c r="M3269">
        <v>774</v>
      </c>
      <c r="N3269">
        <v>77.400000000000006</v>
      </c>
      <c r="O3269">
        <v>50</v>
      </c>
      <c r="P3269">
        <v>2322</v>
      </c>
      <c r="Q3269">
        <v>2294.6</v>
      </c>
      <c r="R3269" t="s">
        <v>39</v>
      </c>
      <c r="S3269" t="s">
        <v>31</v>
      </c>
      <c r="T3269" t="s">
        <v>40</v>
      </c>
      <c r="U3269">
        <v>32</v>
      </c>
      <c r="V3269">
        <v>4.8</v>
      </c>
      <c r="W3269">
        <f>Table2[[#This Row],[Quantity]]*Table2[[#This Row],[Item_Price]]</f>
        <v>2322</v>
      </c>
    </row>
    <row r="3270" spans="1:23" x14ac:dyDescent="0.25">
      <c r="A3270" t="s">
        <v>3371</v>
      </c>
      <c r="B3270" s="1">
        <v>45894</v>
      </c>
      <c r="C3270" t="s">
        <v>3008</v>
      </c>
      <c r="D3270">
        <v>8</v>
      </c>
      <c r="E3270">
        <v>25</v>
      </c>
      <c r="F3270" t="s">
        <v>168</v>
      </c>
      <c r="G3270" t="s">
        <v>64</v>
      </c>
      <c r="H3270" t="s">
        <v>26</v>
      </c>
      <c r="I3270" t="s">
        <v>57</v>
      </c>
      <c r="J3270" t="s">
        <v>172</v>
      </c>
      <c r="K3270" t="s">
        <v>45</v>
      </c>
      <c r="L3270">
        <v>2</v>
      </c>
      <c r="M3270">
        <v>514</v>
      </c>
      <c r="N3270">
        <v>25.7</v>
      </c>
      <c r="O3270">
        <v>60</v>
      </c>
      <c r="P3270">
        <v>1028</v>
      </c>
      <c r="Q3270">
        <v>1062.3</v>
      </c>
      <c r="R3270" t="s">
        <v>112</v>
      </c>
      <c r="S3270" t="s">
        <v>31</v>
      </c>
      <c r="T3270" t="s">
        <v>40</v>
      </c>
      <c r="U3270">
        <v>61</v>
      </c>
      <c r="V3270">
        <v>4.4000000000000004</v>
      </c>
      <c r="W3270">
        <f>Table2[[#This Row],[Quantity]]*Table2[[#This Row],[Item_Price]]</f>
        <v>1028</v>
      </c>
    </row>
    <row r="3271" spans="1:23" x14ac:dyDescent="0.25">
      <c r="A3271" t="s">
        <v>3372</v>
      </c>
      <c r="B3271" s="1">
        <v>45894</v>
      </c>
      <c r="C3271" t="s">
        <v>3008</v>
      </c>
      <c r="D3271">
        <v>8</v>
      </c>
      <c r="E3271">
        <v>25</v>
      </c>
      <c r="F3271" t="s">
        <v>168</v>
      </c>
      <c r="G3271" t="s">
        <v>73</v>
      </c>
      <c r="H3271" t="s">
        <v>77</v>
      </c>
      <c r="I3271" t="s">
        <v>43</v>
      </c>
      <c r="J3271" t="s">
        <v>119</v>
      </c>
      <c r="K3271" t="s">
        <v>58</v>
      </c>
      <c r="L3271">
        <v>2</v>
      </c>
      <c r="M3271">
        <v>137</v>
      </c>
      <c r="N3271">
        <v>20.55</v>
      </c>
      <c r="O3271">
        <v>40</v>
      </c>
      <c r="P3271">
        <v>274</v>
      </c>
      <c r="Q3271">
        <v>293.45</v>
      </c>
      <c r="R3271" t="s">
        <v>39</v>
      </c>
      <c r="S3271" t="s">
        <v>31</v>
      </c>
      <c r="T3271" t="s">
        <v>40</v>
      </c>
      <c r="U3271">
        <v>41</v>
      </c>
      <c r="V3271">
        <v>3.7</v>
      </c>
      <c r="W3271">
        <f>Table2[[#This Row],[Quantity]]*Table2[[#This Row],[Item_Price]]</f>
        <v>274</v>
      </c>
    </row>
    <row r="3272" spans="1:23" x14ac:dyDescent="0.25">
      <c r="A3272" t="s">
        <v>3373</v>
      </c>
      <c r="B3272" s="1">
        <v>45894</v>
      </c>
      <c r="C3272" t="s">
        <v>3008</v>
      </c>
      <c r="D3272">
        <v>8</v>
      </c>
      <c r="E3272">
        <v>25</v>
      </c>
      <c r="F3272" t="s">
        <v>168</v>
      </c>
      <c r="G3272" t="s">
        <v>25</v>
      </c>
      <c r="H3272" t="s">
        <v>108</v>
      </c>
      <c r="I3272" t="s">
        <v>36</v>
      </c>
      <c r="J3272" t="s">
        <v>119</v>
      </c>
      <c r="K3272" t="s">
        <v>38</v>
      </c>
      <c r="L3272">
        <v>1</v>
      </c>
      <c r="M3272">
        <v>602</v>
      </c>
      <c r="N3272">
        <v>60.2</v>
      </c>
      <c r="O3272">
        <v>20</v>
      </c>
      <c r="P3272">
        <v>602</v>
      </c>
      <c r="Q3272">
        <v>561.79999999999995</v>
      </c>
      <c r="R3272" t="s">
        <v>30</v>
      </c>
      <c r="S3272" t="s">
        <v>31</v>
      </c>
      <c r="T3272" t="s">
        <v>40</v>
      </c>
      <c r="U3272">
        <v>60</v>
      </c>
      <c r="V3272">
        <v>4.5999999999999996</v>
      </c>
      <c r="W3272">
        <f>Table2[[#This Row],[Quantity]]*Table2[[#This Row],[Item_Price]]</f>
        <v>602</v>
      </c>
    </row>
    <row r="3273" spans="1:23" x14ac:dyDescent="0.25">
      <c r="A3273" t="s">
        <v>3374</v>
      </c>
      <c r="B3273" s="1">
        <v>45894</v>
      </c>
      <c r="C3273" t="s">
        <v>3008</v>
      </c>
      <c r="D3273">
        <v>8</v>
      </c>
      <c r="E3273">
        <v>25</v>
      </c>
      <c r="F3273" t="s">
        <v>168</v>
      </c>
      <c r="G3273" t="s">
        <v>25</v>
      </c>
      <c r="H3273" t="s">
        <v>35</v>
      </c>
      <c r="I3273" t="s">
        <v>61</v>
      </c>
      <c r="J3273" t="s">
        <v>94</v>
      </c>
      <c r="K3273" t="s">
        <v>45</v>
      </c>
      <c r="L3273">
        <v>2</v>
      </c>
      <c r="M3273">
        <v>804</v>
      </c>
      <c r="N3273">
        <v>80.400000000000006</v>
      </c>
      <c r="O3273">
        <v>30</v>
      </c>
      <c r="P3273">
        <v>1608</v>
      </c>
      <c r="Q3273">
        <v>1557.6</v>
      </c>
      <c r="R3273" t="s">
        <v>39</v>
      </c>
      <c r="S3273" t="s">
        <v>110</v>
      </c>
      <c r="T3273" t="s">
        <v>40</v>
      </c>
      <c r="U3273">
        <v>21</v>
      </c>
      <c r="W3273">
        <f>Table2[[#This Row],[Quantity]]*Table2[[#This Row],[Item_Price]]</f>
        <v>1608</v>
      </c>
    </row>
    <row r="3274" spans="1:23" x14ac:dyDescent="0.25">
      <c r="A3274" t="s">
        <v>3375</v>
      </c>
      <c r="B3274" s="1">
        <v>45895</v>
      </c>
      <c r="C3274" t="s">
        <v>3008</v>
      </c>
      <c r="D3274">
        <v>8</v>
      </c>
      <c r="E3274">
        <v>26</v>
      </c>
      <c r="F3274" t="s">
        <v>178</v>
      </c>
      <c r="G3274" t="s">
        <v>55</v>
      </c>
      <c r="H3274" t="s">
        <v>108</v>
      </c>
      <c r="I3274" t="s">
        <v>57</v>
      </c>
      <c r="J3274" t="s">
        <v>82</v>
      </c>
      <c r="K3274" t="s">
        <v>29</v>
      </c>
      <c r="L3274">
        <v>1</v>
      </c>
      <c r="M3274">
        <v>211</v>
      </c>
      <c r="N3274">
        <v>0</v>
      </c>
      <c r="O3274">
        <v>0</v>
      </c>
      <c r="P3274">
        <v>211</v>
      </c>
      <c r="Q3274">
        <v>211</v>
      </c>
      <c r="R3274" t="s">
        <v>39</v>
      </c>
      <c r="S3274" t="s">
        <v>31</v>
      </c>
      <c r="T3274" t="s">
        <v>40</v>
      </c>
      <c r="U3274">
        <v>33</v>
      </c>
      <c r="V3274">
        <v>3.7</v>
      </c>
      <c r="W3274">
        <f>Table2[[#This Row],[Quantity]]*Table2[[#This Row],[Item_Price]]</f>
        <v>211</v>
      </c>
    </row>
    <row r="3275" spans="1:23" x14ac:dyDescent="0.25">
      <c r="A3275" t="s">
        <v>3376</v>
      </c>
      <c r="B3275" s="1">
        <v>45895</v>
      </c>
      <c r="C3275" t="s">
        <v>3008</v>
      </c>
      <c r="D3275">
        <v>8</v>
      </c>
      <c r="E3275">
        <v>26</v>
      </c>
      <c r="F3275" t="s">
        <v>178</v>
      </c>
      <c r="G3275" t="s">
        <v>80</v>
      </c>
      <c r="H3275" t="s">
        <v>105</v>
      </c>
      <c r="I3275" t="s">
        <v>103</v>
      </c>
      <c r="J3275" t="s">
        <v>74</v>
      </c>
      <c r="K3275" t="s">
        <v>45</v>
      </c>
      <c r="L3275">
        <v>2</v>
      </c>
      <c r="M3275">
        <v>892</v>
      </c>
      <c r="N3275">
        <v>133.80000000000001</v>
      </c>
      <c r="O3275">
        <v>0</v>
      </c>
      <c r="P3275">
        <v>1784</v>
      </c>
      <c r="Q3275">
        <v>1650.2</v>
      </c>
      <c r="R3275" t="s">
        <v>39</v>
      </c>
      <c r="S3275" t="s">
        <v>31</v>
      </c>
      <c r="T3275" t="s">
        <v>32</v>
      </c>
      <c r="U3275">
        <v>29</v>
      </c>
      <c r="V3275">
        <v>3.5</v>
      </c>
      <c r="W3275">
        <f>Table2[[#This Row],[Quantity]]*Table2[[#This Row],[Item_Price]]</f>
        <v>1784</v>
      </c>
    </row>
    <row r="3276" spans="1:23" x14ac:dyDescent="0.25">
      <c r="A3276" t="s">
        <v>3377</v>
      </c>
      <c r="B3276" s="1">
        <v>45895</v>
      </c>
      <c r="C3276" t="s">
        <v>3008</v>
      </c>
      <c r="D3276">
        <v>8</v>
      </c>
      <c r="E3276">
        <v>26</v>
      </c>
      <c r="F3276" t="s">
        <v>178</v>
      </c>
      <c r="G3276" t="s">
        <v>84</v>
      </c>
      <c r="H3276" t="s">
        <v>26</v>
      </c>
      <c r="I3276" t="s">
        <v>27</v>
      </c>
      <c r="J3276" t="s">
        <v>78</v>
      </c>
      <c r="K3276" t="s">
        <v>38</v>
      </c>
      <c r="L3276">
        <v>1</v>
      </c>
      <c r="M3276">
        <v>712</v>
      </c>
      <c r="N3276">
        <v>71.2</v>
      </c>
      <c r="O3276">
        <v>0</v>
      </c>
      <c r="P3276">
        <v>712</v>
      </c>
      <c r="Q3276">
        <v>640.79999999999995</v>
      </c>
      <c r="R3276" t="s">
        <v>30</v>
      </c>
      <c r="S3276" t="s">
        <v>31</v>
      </c>
      <c r="T3276" t="s">
        <v>40</v>
      </c>
      <c r="U3276">
        <v>27</v>
      </c>
      <c r="V3276">
        <v>4</v>
      </c>
      <c r="W3276">
        <f>Table2[[#This Row],[Quantity]]*Table2[[#This Row],[Item_Price]]</f>
        <v>712</v>
      </c>
    </row>
    <row r="3277" spans="1:23" x14ac:dyDescent="0.25">
      <c r="A3277" t="s">
        <v>3378</v>
      </c>
      <c r="B3277" s="1">
        <v>45895</v>
      </c>
      <c r="C3277" t="s">
        <v>3008</v>
      </c>
      <c r="D3277">
        <v>8</v>
      </c>
      <c r="E3277">
        <v>26</v>
      </c>
      <c r="F3277" t="s">
        <v>178</v>
      </c>
      <c r="G3277" t="s">
        <v>73</v>
      </c>
      <c r="H3277" t="s">
        <v>108</v>
      </c>
      <c r="I3277" t="s">
        <v>57</v>
      </c>
      <c r="J3277" t="s">
        <v>82</v>
      </c>
      <c r="K3277" t="s">
        <v>45</v>
      </c>
      <c r="L3277">
        <v>1</v>
      </c>
      <c r="M3277">
        <v>863</v>
      </c>
      <c r="N3277">
        <v>86.3</v>
      </c>
      <c r="O3277">
        <v>40</v>
      </c>
      <c r="P3277">
        <v>863</v>
      </c>
      <c r="Q3277">
        <v>816.7</v>
      </c>
      <c r="R3277" t="s">
        <v>75</v>
      </c>
      <c r="S3277" t="s">
        <v>91</v>
      </c>
      <c r="T3277" t="s">
        <v>40</v>
      </c>
      <c r="U3277">
        <v>48</v>
      </c>
      <c r="W3277">
        <f>Table2[[#This Row],[Quantity]]*Table2[[#This Row],[Item_Price]]</f>
        <v>863</v>
      </c>
    </row>
    <row r="3278" spans="1:23" x14ac:dyDescent="0.25">
      <c r="A3278" t="s">
        <v>3379</v>
      </c>
      <c r="B3278" s="1">
        <v>45895</v>
      </c>
      <c r="C3278" t="s">
        <v>3008</v>
      </c>
      <c r="D3278">
        <v>8</v>
      </c>
      <c r="E3278">
        <v>26</v>
      </c>
      <c r="F3278" t="s">
        <v>178</v>
      </c>
      <c r="G3278" t="s">
        <v>64</v>
      </c>
      <c r="H3278" t="s">
        <v>81</v>
      </c>
      <c r="I3278" t="s">
        <v>57</v>
      </c>
      <c r="J3278" t="s">
        <v>70</v>
      </c>
      <c r="K3278" t="s">
        <v>45</v>
      </c>
      <c r="L3278">
        <v>2</v>
      </c>
      <c r="M3278">
        <v>187</v>
      </c>
      <c r="N3278">
        <v>0</v>
      </c>
      <c r="O3278">
        <v>40</v>
      </c>
      <c r="P3278">
        <v>374</v>
      </c>
      <c r="Q3278">
        <v>414</v>
      </c>
      <c r="R3278" t="s">
        <v>75</v>
      </c>
      <c r="S3278" t="s">
        <v>31</v>
      </c>
      <c r="T3278" t="s">
        <v>32</v>
      </c>
      <c r="U3278">
        <v>61</v>
      </c>
      <c r="V3278">
        <v>4</v>
      </c>
      <c r="W3278">
        <f>Table2[[#This Row],[Quantity]]*Table2[[#This Row],[Item_Price]]</f>
        <v>374</v>
      </c>
    </row>
    <row r="3279" spans="1:23" x14ac:dyDescent="0.25">
      <c r="A3279" t="s">
        <v>3380</v>
      </c>
      <c r="B3279" s="1">
        <v>45895</v>
      </c>
      <c r="C3279" t="s">
        <v>3008</v>
      </c>
      <c r="D3279">
        <v>8</v>
      </c>
      <c r="E3279">
        <v>26</v>
      </c>
      <c r="F3279" t="s">
        <v>178</v>
      </c>
      <c r="G3279" t="s">
        <v>80</v>
      </c>
      <c r="H3279" t="s">
        <v>68</v>
      </c>
      <c r="I3279" t="s">
        <v>97</v>
      </c>
      <c r="J3279" t="s">
        <v>119</v>
      </c>
      <c r="K3279" t="s">
        <v>38</v>
      </c>
      <c r="L3279">
        <v>2</v>
      </c>
      <c r="M3279">
        <v>380</v>
      </c>
      <c r="N3279">
        <v>38</v>
      </c>
      <c r="O3279">
        <v>0</v>
      </c>
      <c r="P3279">
        <v>760</v>
      </c>
      <c r="Q3279">
        <v>722</v>
      </c>
      <c r="R3279" t="s">
        <v>30</v>
      </c>
      <c r="S3279" t="s">
        <v>31</v>
      </c>
      <c r="T3279" t="s">
        <v>40</v>
      </c>
      <c r="U3279">
        <v>37</v>
      </c>
      <c r="V3279">
        <v>3.6</v>
      </c>
      <c r="W3279">
        <f>Table2[[#This Row],[Quantity]]*Table2[[#This Row],[Item_Price]]</f>
        <v>760</v>
      </c>
    </row>
    <row r="3280" spans="1:23" x14ac:dyDescent="0.25">
      <c r="A3280" t="s">
        <v>3381</v>
      </c>
      <c r="B3280" s="1">
        <v>45895</v>
      </c>
      <c r="C3280" t="s">
        <v>3008</v>
      </c>
      <c r="D3280">
        <v>8</v>
      </c>
      <c r="E3280">
        <v>26</v>
      </c>
      <c r="F3280" t="s">
        <v>178</v>
      </c>
      <c r="G3280" t="s">
        <v>90</v>
      </c>
      <c r="H3280" t="s">
        <v>65</v>
      </c>
      <c r="I3280" t="s">
        <v>36</v>
      </c>
      <c r="J3280" t="s">
        <v>94</v>
      </c>
      <c r="K3280" t="s">
        <v>38</v>
      </c>
      <c r="L3280">
        <v>1</v>
      </c>
      <c r="M3280">
        <v>758</v>
      </c>
      <c r="N3280">
        <v>113.7</v>
      </c>
      <c r="O3280">
        <v>70</v>
      </c>
      <c r="P3280">
        <v>758</v>
      </c>
      <c r="Q3280">
        <v>714.3</v>
      </c>
      <c r="R3280" t="s">
        <v>39</v>
      </c>
      <c r="S3280" t="s">
        <v>31</v>
      </c>
      <c r="T3280" t="s">
        <v>40</v>
      </c>
      <c r="U3280">
        <v>34</v>
      </c>
      <c r="V3280">
        <v>3</v>
      </c>
      <c r="W3280">
        <f>Table2[[#This Row],[Quantity]]*Table2[[#This Row],[Item_Price]]</f>
        <v>758</v>
      </c>
    </row>
    <row r="3281" spans="1:23" x14ac:dyDescent="0.25">
      <c r="A3281" t="s">
        <v>3382</v>
      </c>
      <c r="B3281" s="1">
        <v>45895</v>
      </c>
      <c r="C3281" t="s">
        <v>3008</v>
      </c>
      <c r="D3281">
        <v>8</v>
      </c>
      <c r="E3281">
        <v>26</v>
      </c>
      <c r="F3281" t="s">
        <v>178</v>
      </c>
      <c r="G3281" t="s">
        <v>90</v>
      </c>
      <c r="H3281" t="s">
        <v>35</v>
      </c>
      <c r="I3281" t="s">
        <v>85</v>
      </c>
      <c r="J3281" t="s">
        <v>74</v>
      </c>
      <c r="K3281" t="s">
        <v>38</v>
      </c>
      <c r="L3281">
        <v>1</v>
      </c>
      <c r="M3281">
        <v>237</v>
      </c>
      <c r="N3281">
        <v>59.25</v>
      </c>
      <c r="O3281">
        <v>40</v>
      </c>
      <c r="P3281">
        <v>237</v>
      </c>
      <c r="Q3281">
        <v>217.75</v>
      </c>
      <c r="R3281" t="s">
        <v>75</v>
      </c>
      <c r="S3281" t="s">
        <v>31</v>
      </c>
      <c r="T3281" t="s">
        <v>32</v>
      </c>
      <c r="U3281">
        <v>33</v>
      </c>
      <c r="V3281">
        <v>4</v>
      </c>
      <c r="W3281">
        <f>Table2[[#This Row],[Quantity]]*Table2[[#This Row],[Item_Price]]</f>
        <v>237</v>
      </c>
    </row>
    <row r="3282" spans="1:23" x14ac:dyDescent="0.25">
      <c r="A3282" t="s">
        <v>3383</v>
      </c>
      <c r="B3282" s="1">
        <v>45896</v>
      </c>
      <c r="C3282" t="s">
        <v>3008</v>
      </c>
      <c r="D3282">
        <v>8</v>
      </c>
      <c r="E3282">
        <v>27</v>
      </c>
      <c r="F3282" t="s">
        <v>24</v>
      </c>
      <c r="G3282" t="s">
        <v>25</v>
      </c>
      <c r="H3282" t="s">
        <v>42</v>
      </c>
      <c r="I3282" t="s">
        <v>69</v>
      </c>
      <c r="J3282" t="s">
        <v>44</v>
      </c>
      <c r="K3282" t="s">
        <v>45</v>
      </c>
      <c r="L3282">
        <v>1</v>
      </c>
      <c r="M3282">
        <v>449</v>
      </c>
      <c r="N3282">
        <v>112.25</v>
      </c>
      <c r="O3282">
        <v>40</v>
      </c>
      <c r="P3282">
        <v>449</v>
      </c>
      <c r="Q3282">
        <v>376.75</v>
      </c>
      <c r="R3282" t="s">
        <v>75</v>
      </c>
      <c r="S3282" t="s">
        <v>31</v>
      </c>
      <c r="T3282" t="s">
        <v>40</v>
      </c>
      <c r="U3282">
        <v>62</v>
      </c>
      <c r="V3282">
        <v>4.3</v>
      </c>
      <c r="W3282">
        <f>Table2[[#This Row],[Quantity]]*Table2[[#This Row],[Item_Price]]</f>
        <v>449</v>
      </c>
    </row>
    <row r="3283" spans="1:23" x14ac:dyDescent="0.25">
      <c r="A3283" t="s">
        <v>3384</v>
      </c>
      <c r="B3283" s="1">
        <v>45896</v>
      </c>
      <c r="C3283" t="s">
        <v>3008</v>
      </c>
      <c r="D3283">
        <v>8</v>
      </c>
      <c r="E3283">
        <v>27</v>
      </c>
      <c r="F3283" t="s">
        <v>24</v>
      </c>
      <c r="G3283" t="s">
        <v>34</v>
      </c>
      <c r="H3283" t="s">
        <v>35</v>
      </c>
      <c r="I3283" t="s">
        <v>69</v>
      </c>
      <c r="J3283" t="s">
        <v>62</v>
      </c>
      <c r="K3283" t="s">
        <v>38</v>
      </c>
      <c r="L3283">
        <v>1</v>
      </c>
      <c r="M3283">
        <v>751</v>
      </c>
      <c r="N3283">
        <v>75.099999999999994</v>
      </c>
      <c r="O3283">
        <v>40</v>
      </c>
      <c r="P3283">
        <v>751</v>
      </c>
      <c r="Q3283">
        <v>715.9</v>
      </c>
      <c r="R3283" t="s">
        <v>75</v>
      </c>
      <c r="S3283" t="s">
        <v>31</v>
      </c>
      <c r="T3283" t="s">
        <v>40</v>
      </c>
      <c r="U3283">
        <v>21</v>
      </c>
      <c r="V3283">
        <v>5</v>
      </c>
      <c r="W3283">
        <f>Table2[[#This Row],[Quantity]]*Table2[[#This Row],[Item_Price]]</f>
        <v>751</v>
      </c>
    </row>
    <row r="3284" spans="1:23" x14ac:dyDescent="0.25">
      <c r="A3284" t="s">
        <v>3385</v>
      </c>
      <c r="B3284" s="1">
        <v>45896</v>
      </c>
      <c r="C3284" t="s">
        <v>3008</v>
      </c>
      <c r="D3284">
        <v>8</v>
      </c>
      <c r="E3284">
        <v>27</v>
      </c>
      <c r="F3284" t="s">
        <v>24</v>
      </c>
      <c r="G3284" t="s">
        <v>73</v>
      </c>
      <c r="H3284" t="s">
        <v>60</v>
      </c>
      <c r="I3284" t="s">
        <v>97</v>
      </c>
      <c r="J3284" t="s">
        <v>66</v>
      </c>
      <c r="K3284" t="s">
        <v>38</v>
      </c>
      <c r="L3284">
        <v>2</v>
      </c>
      <c r="M3284">
        <v>785</v>
      </c>
      <c r="N3284">
        <v>0</v>
      </c>
      <c r="O3284">
        <v>30</v>
      </c>
      <c r="P3284">
        <v>1570</v>
      </c>
      <c r="Q3284">
        <v>1600</v>
      </c>
      <c r="R3284" t="s">
        <v>75</v>
      </c>
      <c r="S3284" t="s">
        <v>31</v>
      </c>
      <c r="T3284" t="s">
        <v>32</v>
      </c>
      <c r="U3284">
        <v>41</v>
      </c>
      <c r="V3284">
        <v>4.3</v>
      </c>
      <c r="W3284">
        <f>Table2[[#This Row],[Quantity]]*Table2[[#This Row],[Item_Price]]</f>
        <v>1570</v>
      </c>
    </row>
    <row r="3285" spans="1:23" x14ac:dyDescent="0.25">
      <c r="A3285" t="s">
        <v>3386</v>
      </c>
      <c r="B3285" s="1">
        <v>45896</v>
      </c>
      <c r="C3285" t="s">
        <v>3008</v>
      </c>
      <c r="D3285">
        <v>8</v>
      </c>
      <c r="E3285">
        <v>27</v>
      </c>
      <c r="F3285" t="s">
        <v>24</v>
      </c>
      <c r="G3285" t="s">
        <v>64</v>
      </c>
      <c r="H3285" t="s">
        <v>60</v>
      </c>
      <c r="I3285" t="s">
        <v>103</v>
      </c>
      <c r="J3285" t="s">
        <v>50</v>
      </c>
      <c r="K3285" t="s">
        <v>45</v>
      </c>
      <c r="L3285">
        <v>1</v>
      </c>
      <c r="M3285">
        <v>352</v>
      </c>
      <c r="N3285">
        <v>0</v>
      </c>
      <c r="O3285">
        <v>70</v>
      </c>
      <c r="P3285">
        <v>352</v>
      </c>
      <c r="Q3285">
        <v>422</v>
      </c>
      <c r="R3285" t="s">
        <v>98</v>
      </c>
      <c r="S3285" t="s">
        <v>91</v>
      </c>
      <c r="T3285" t="s">
        <v>32</v>
      </c>
      <c r="U3285">
        <v>39</v>
      </c>
      <c r="W3285">
        <f>Table2[[#This Row],[Quantity]]*Table2[[#This Row],[Item_Price]]</f>
        <v>352</v>
      </c>
    </row>
    <row r="3286" spans="1:23" x14ac:dyDescent="0.25">
      <c r="A3286" t="s">
        <v>3387</v>
      </c>
      <c r="B3286" s="1">
        <v>45896</v>
      </c>
      <c r="C3286" t="s">
        <v>3008</v>
      </c>
      <c r="D3286">
        <v>8</v>
      </c>
      <c r="E3286">
        <v>27</v>
      </c>
      <c r="F3286" t="s">
        <v>24</v>
      </c>
      <c r="G3286" t="s">
        <v>90</v>
      </c>
      <c r="H3286" t="s">
        <v>35</v>
      </c>
      <c r="I3286" t="s">
        <v>43</v>
      </c>
      <c r="J3286" t="s">
        <v>82</v>
      </c>
      <c r="K3286" t="s">
        <v>45</v>
      </c>
      <c r="L3286">
        <v>3</v>
      </c>
      <c r="M3286">
        <v>137</v>
      </c>
      <c r="N3286">
        <v>13.7</v>
      </c>
      <c r="O3286">
        <v>60</v>
      </c>
      <c r="P3286">
        <v>411</v>
      </c>
      <c r="Q3286">
        <v>457.3</v>
      </c>
      <c r="R3286" t="s">
        <v>39</v>
      </c>
      <c r="S3286" t="s">
        <v>46</v>
      </c>
      <c r="T3286" t="s">
        <v>40</v>
      </c>
      <c r="U3286">
        <v>64</v>
      </c>
      <c r="W3286">
        <f>Table2[[#This Row],[Quantity]]*Table2[[#This Row],[Item_Price]]</f>
        <v>411</v>
      </c>
    </row>
    <row r="3287" spans="1:23" x14ac:dyDescent="0.25">
      <c r="A3287" t="s">
        <v>3388</v>
      </c>
      <c r="B3287" s="1">
        <v>45896</v>
      </c>
      <c r="C3287" t="s">
        <v>3008</v>
      </c>
      <c r="D3287">
        <v>8</v>
      </c>
      <c r="E3287">
        <v>27</v>
      </c>
      <c r="F3287" t="s">
        <v>24</v>
      </c>
      <c r="G3287" t="s">
        <v>80</v>
      </c>
      <c r="H3287" t="s">
        <v>81</v>
      </c>
      <c r="I3287" t="s">
        <v>49</v>
      </c>
      <c r="J3287" t="s">
        <v>37</v>
      </c>
      <c r="K3287" t="s">
        <v>45</v>
      </c>
      <c r="L3287">
        <v>1</v>
      </c>
      <c r="M3287">
        <v>452</v>
      </c>
      <c r="N3287">
        <v>22.6</v>
      </c>
      <c r="O3287">
        <v>20</v>
      </c>
      <c r="P3287">
        <v>452</v>
      </c>
      <c r="Q3287">
        <v>449.4</v>
      </c>
      <c r="R3287" t="s">
        <v>30</v>
      </c>
      <c r="S3287" t="s">
        <v>31</v>
      </c>
      <c r="T3287" t="s">
        <v>40</v>
      </c>
      <c r="U3287">
        <v>40</v>
      </c>
      <c r="V3287">
        <v>4.9000000000000004</v>
      </c>
      <c r="W3287">
        <f>Table2[[#This Row],[Quantity]]*Table2[[#This Row],[Item_Price]]</f>
        <v>452</v>
      </c>
    </row>
    <row r="3288" spans="1:23" x14ac:dyDescent="0.25">
      <c r="A3288" t="s">
        <v>3389</v>
      </c>
      <c r="B3288" s="1">
        <v>45896</v>
      </c>
      <c r="C3288" t="s">
        <v>3008</v>
      </c>
      <c r="D3288">
        <v>8</v>
      </c>
      <c r="E3288">
        <v>27</v>
      </c>
      <c r="F3288" t="s">
        <v>24</v>
      </c>
      <c r="G3288" t="s">
        <v>80</v>
      </c>
      <c r="H3288" t="s">
        <v>65</v>
      </c>
      <c r="I3288" t="s">
        <v>36</v>
      </c>
      <c r="J3288" t="s">
        <v>78</v>
      </c>
      <c r="K3288" t="s">
        <v>45</v>
      </c>
      <c r="L3288">
        <v>3</v>
      </c>
      <c r="M3288">
        <v>667</v>
      </c>
      <c r="N3288">
        <v>66.7</v>
      </c>
      <c r="O3288">
        <v>20</v>
      </c>
      <c r="P3288">
        <v>2001</v>
      </c>
      <c r="Q3288">
        <v>1954.3</v>
      </c>
      <c r="R3288" t="s">
        <v>75</v>
      </c>
      <c r="S3288" t="s">
        <v>31</v>
      </c>
      <c r="T3288" t="s">
        <v>40</v>
      </c>
      <c r="U3288">
        <v>57</v>
      </c>
      <c r="V3288">
        <v>2.1</v>
      </c>
      <c r="W3288">
        <f>Table2[[#This Row],[Quantity]]*Table2[[#This Row],[Item_Price]]</f>
        <v>2001</v>
      </c>
    </row>
    <row r="3289" spans="1:23" x14ac:dyDescent="0.25">
      <c r="A3289" t="s">
        <v>3390</v>
      </c>
      <c r="B3289" s="1">
        <v>45896</v>
      </c>
      <c r="C3289" t="s">
        <v>3008</v>
      </c>
      <c r="D3289">
        <v>8</v>
      </c>
      <c r="E3289">
        <v>27</v>
      </c>
      <c r="F3289" t="s">
        <v>24</v>
      </c>
      <c r="G3289" t="s">
        <v>55</v>
      </c>
      <c r="H3289" t="s">
        <v>81</v>
      </c>
      <c r="I3289" t="s">
        <v>43</v>
      </c>
      <c r="J3289" t="s">
        <v>123</v>
      </c>
      <c r="K3289" t="s">
        <v>38</v>
      </c>
      <c r="L3289">
        <v>3</v>
      </c>
      <c r="M3289">
        <v>599</v>
      </c>
      <c r="N3289">
        <v>89.85</v>
      </c>
      <c r="O3289">
        <v>50</v>
      </c>
      <c r="P3289">
        <v>1797</v>
      </c>
      <c r="Q3289">
        <v>1757.15</v>
      </c>
      <c r="R3289" t="s">
        <v>39</v>
      </c>
      <c r="S3289" t="s">
        <v>31</v>
      </c>
      <c r="T3289" t="s">
        <v>32</v>
      </c>
      <c r="U3289">
        <v>34</v>
      </c>
      <c r="V3289">
        <v>3.9</v>
      </c>
      <c r="W3289">
        <f>Table2[[#This Row],[Quantity]]*Table2[[#This Row],[Item_Price]]</f>
        <v>1797</v>
      </c>
    </row>
    <row r="3290" spans="1:23" x14ac:dyDescent="0.25">
      <c r="A3290" t="s">
        <v>3391</v>
      </c>
      <c r="B3290" s="1">
        <v>45896</v>
      </c>
      <c r="C3290" t="s">
        <v>3008</v>
      </c>
      <c r="D3290">
        <v>8</v>
      </c>
      <c r="E3290">
        <v>27</v>
      </c>
      <c r="F3290" t="s">
        <v>24</v>
      </c>
      <c r="G3290" t="s">
        <v>80</v>
      </c>
      <c r="H3290" t="s">
        <v>52</v>
      </c>
      <c r="I3290" t="s">
        <v>103</v>
      </c>
      <c r="J3290" t="s">
        <v>62</v>
      </c>
      <c r="K3290" t="s">
        <v>58</v>
      </c>
      <c r="L3290">
        <v>2</v>
      </c>
      <c r="M3290">
        <v>550</v>
      </c>
      <c r="N3290">
        <v>55</v>
      </c>
      <c r="O3290">
        <v>40</v>
      </c>
      <c r="P3290">
        <v>1100</v>
      </c>
      <c r="Q3290">
        <v>1085</v>
      </c>
      <c r="R3290" t="s">
        <v>75</v>
      </c>
      <c r="S3290" t="s">
        <v>31</v>
      </c>
      <c r="T3290" t="s">
        <v>40</v>
      </c>
      <c r="U3290">
        <v>58</v>
      </c>
      <c r="V3290">
        <v>3.6</v>
      </c>
      <c r="W3290">
        <f>Table2[[#This Row],[Quantity]]*Table2[[#This Row],[Item_Price]]</f>
        <v>1100</v>
      </c>
    </row>
    <row r="3291" spans="1:23" x14ac:dyDescent="0.25">
      <c r="A3291" t="s">
        <v>3392</v>
      </c>
      <c r="B3291" s="1">
        <v>45896</v>
      </c>
      <c r="C3291" t="s">
        <v>3008</v>
      </c>
      <c r="D3291">
        <v>8</v>
      </c>
      <c r="E3291">
        <v>27</v>
      </c>
      <c r="F3291" t="s">
        <v>24</v>
      </c>
      <c r="G3291" t="s">
        <v>80</v>
      </c>
      <c r="H3291" t="s">
        <v>65</v>
      </c>
      <c r="I3291" t="s">
        <v>61</v>
      </c>
      <c r="J3291" t="s">
        <v>44</v>
      </c>
      <c r="K3291" t="s">
        <v>29</v>
      </c>
      <c r="L3291">
        <v>2</v>
      </c>
      <c r="M3291">
        <v>183</v>
      </c>
      <c r="N3291">
        <v>36.6</v>
      </c>
      <c r="O3291">
        <v>50</v>
      </c>
      <c r="P3291">
        <v>366</v>
      </c>
      <c r="Q3291">
        <v>379.4</v>
      </c>
      <c r="R3291" t="s">
        <v>75</v>
      </c>
      <c r="S3291" t="s">
        <v>46</v>
      </c>
      <c r="T3291" t="s">
        <v>40</v>
      </c>
      <c r="U3291">
        <v>67</v>
      </c>
      <c r="W3291">
        <f>Table2[[#This Row],[Quantity]]*Table2[[#This Row],[Item_Price]]</f>
        <v>366</v>
      </c>
    </row>
    <row r="3292" spans="1:23" x14ac:dyDescent="0.25">
      <c r="A3292" t="s">
        <v>3393</v>
      </c>
      <c r="B3292" s="1">
        <v>45896</v>
      </c>
      <c r="C3292" t="s">
        <v>3008</v>
      </c>
      <c r="D3292">
        <v>8</v>
      </c>
      <c r="E3292">
        <v>27</v>
      </c>
      <c r="F3292" t="s">
        <v>24</v>
      </c>
      <c r="G3292" t="s">
        <v>96</v>
      </c>
      <c r="H3292" t="s">
        <v>52</v>
      </c>
      <c r="I3292" t="s">
        <v>97</v>
      </c>
      <c r="J3292" t="s">
        <v>172</v>
      </c>
      <c r="K3292" t="s">
        <v>38</v>
      </c>
      <c r="L3292">
        <v>1</v>
      </c>
      <c r="M3292">
        <v>686</v>
      </c>
      <c r="N3292">
        <v>34.299999999999997</v>
      </c>
      <c r="O3292">
        <v>20</v>
      </c>
      <c r="P3292">
        <v>686</v>
      </c>
      <c r="Q3292">
        <v>671.7</v>
      </c>
      <c r="R3292" t="s">
        <v>39</v>
      </c>
      <c r="S3292" t="s">
        <v>31</v>
      </c>
      <c r="T3292" t="s">
        <v>32</v>
      </c>
      <c r="U3292">
        <v>25</v>
      </c>
      <c r="V3292">
        <v>2.4</v>
      </c>
      <c r="W3292">
        <f>Table2[[#This Row],[Quantity]]*Table2[[#This Row],[Item_Price]]</f>
        <v>686</v>
      </c>
    </row>
    <row r="3293" spans="1:23" x14ac:dyDescent="0.25">
      <c r="A3293" t="s">
        <v>3394</v>
      </c>
      <c r="B3293" s="1">
        <v>45896</v>
      </c>
      <c r="C3293" t="s">
        <v>3008</v>
      </c>
      <c r="D3293">
        <v>8</v>
      </c>
      <c r="E3293">
        <v>27</v>
      </c>
      <c r="F3293" t="s">
        <v>24</v>
      </c>
      <c r="G3293" t="s">
        <v>25</v>
      </c>
      <c r="H3293" t="s">
        <v>77</v>
      </c>
      <c r="I3293" t="s">
        <v>85</v>
      </c>
      <c r="J3293" t="s">
        <v>74</v>
      </c>
      <c r="K3293" t="s">
        <v>45</v>
      </c>
      <c r="L3293">
        <v>1</v>
      </c>
      <c r="M3293">
        <v>425</v>
      </c>
      <c r="N3293">
        <v>106.25</v>
      </c>
      <c r="O3293">
        <v>50</v>
      </c>
      <c r="P3293">
        <v>425</v>
      </c>
      <c r="Q3293">
        <v>368.75</v>
      </c>
      <c r="R3293" t="s">
        <v>39</v>
      </c>
      <c r="S3293" t="s">
        <v>31</v>
      </c>
      <c r="T3293" t="s">
        <v>40</v>
      </c>
      <c r="U3293">
        <v>59</v>
      </c>
      <c r="V3293">
        <v>4.8</v>
      </c>
      <c r="W3293">
        <f>Table2[[#This Row],[Quantity]]*Table2[[#This Row],[Item_Price]]</f>
        <v>425</v>
      </c>
    </row>
    <row r="3294" spans="1:23" x14ac:dyDescent="0.25">
      <c r="A3294" t="s">
        <v>3395</v>
      </c>
      <c r="B3294" s="1">
        <v>45896</v>
      </c>
      <c r="C3294" t="s">
        <v>3008</v>
      </c>
      <c r="D3294">
        <v>8</v>
      </c>
      <c r="E3294">
        <v>27</v>
      </c>
      <c r="F3294" t="s">
        <v>24</v>
      </c>
      <c r="G3294" t="s">
        <v>34</v>
      </c>
      <c r="H3294" t="s">
        <v>60</v>
      </c>
      <c r="I3294" t="s">
        <v>36</v>
      </c>
      <c r="J3294" t="s">
        <v>66</v>
      </c>
      <c r="K3294" t="s">
        <v>38</v>
      </c>
      <c r="L3294">
        <v>1</v>
      </c>
      <c r="M3294">
        <v>667</v>
      </c>
      <c r="N3294">
        <v>166.75</v>
      </c>
      <c r="O3294">
        <v>20</v>
      </c>
      <c r="P3294">
        <v>667</v>
      </c>
      <c r="Q3294">
        <v>520.25</v>
      </c>
      <c r="R3294" t="s">
        <v>39</v>
      </c>
      <c r="S3294" t="s">
        <v>31</v>
      </c>
      <c r="T3294" t="s">
        <v>32</v>
      </c>
      <c r="U3294">
        <v>69</v>
      </c>
      <c r="V3294">
        <v>3.5</v>
      </c>
      <c r="W3294">
        <f>Table2[[#This Row],[Quantity]]*Table2[[#This Row],[Item_Price]]</f>
        <v>667</v>
      </c>
    </row>
    <row r="3295" spans="1:23" x14ac:dyDescent="0.25">
      <c r="A3295" t="s">
        <v>3396</v>
      </c>
      <c r="B3295" s="1">
        <v>45896</v>
      </c>
      <c r="C3295" t="s">
        <v>3008</v>
      </c>
      <c r="D3295">
        <v>8</v>
      </c>
      <c r="E3295">
        <v>27</v>
      </c>
      <c r="F3295" t="s">
        <v>24</v>
      </c>
      <c r="G3295" t="s">
        <v>73</v>
      </c>
      <c r="H3295" t="s">
        <v>48</v>
      </c>
      <c r="I3295" t="s">
        <v>69</v>
      </c>
      <c r="J3295" t="s">
        <v>78</v>
      </c>
      <c r="K3295" t="s">
        <v>38</v>
      </c>
      <c r="L3295">
        <v>1</v>
      </c>
      <c r="M3295">
        <v>384</v>
      </c>
      <c r="N3295">
        <v>0</v>
      </c>
      <c r="O3295">
        <v>50</v>
      </c>
      <c r="P3295">
        <v>384</v>
      </c>
      <c r="Q3295">
        <v>434</v>
      </c>
      <c r="R3295" t="s">
        <v>39</v>
      </c>
      <c r="S3295" t="s">
        <v>110</v>
      </c>
      <c r="T3295" t="s">
        <v>40</v>
      </c>
      <c r="U3295">
        <v>69</v>
      </c>
      <c r="W3295">
        <f>Table2[[#This Row],[Quantity]]*Table2[[#This Row],[Item_Price]]</f>
        <v>384</v>
      </c>
    </row>
    <row r="3296" spans="1:23" x14ac:dyDescent="0.25">
      <c r="A3296" t="s">
        <v>3397</v>
      </c>
      <c r="B3296" s="1">
        <v>45896</v>
      </c>
      <c r="C3296" t="s">
        <v>3008</v>
      </c>
      <c r="D3296">
        <v>8</v>
      </c>
      <c r="E3296">
        <v>27</v>
      </c>
      <c r="F3296" t="s">
        <v>24</v>
      </c>
      <c r="G3296" t="s">
        <v>34</v>
      </c>
      <c r="H3296" t="s">
        <v>52</v>
      </c>
      <c r="I3296" t="s">
        <v>57</v>
      </c>
      <c r="J3296" t="s">
        <v>82</v>
      </c>
      <c r="K3296" t="s">
        <v>38</v>
      </c>
      <c r="L3296">
        <v>2</v>
      </c>
      <c r="M3296">
        <v>773</v>
      </c>
      <c r="N3296">
        <v>77.3</v>
      </c>
      <c r="O3296">
        <v>30</v>
      </c>
      <c r="P3296">
        <v>1546</v>
      </c>
      <c r="Q3296">
        <v>1498.7</v>
      </c>
      <c r="R3296" t="s">
        <v>112</v>
      </c>
      <c r="S3296" t="s">
        <v>31</v>
      </c>
      <c r="T3296" t="s">
        <v>40</v>
      </c>
      <c r="U3296">
        <v>24</v>
      </c>
      <c r="V3296">
        <v>4.2</v>
      </c>
      <c r="W3296">
        <f>Table2[[#This Row],[Quantity]]*Table2[[#This Row],[Item_Price]]</f>
        <v>1546</v>
      </c>
    </row>
    <row r="3297" spans="1:23" x14ac:dyDescent="0.25">
      <c r="A3297" t="s">
        <v>3398</v>
      </c>
      <c r="B3297" s="1">
        <v>45896</v>
      </c>
      <c r="C3297" t="s">
        <v>3008</v>
      </c>
      <c r="D3297">
        <v>8</v>
      </c>
      <c r="E3297">
        <v>27</v>
      </c>
      <c r="F3297" t="s">
        <v>24</v>
      </c>
      <c r="G3297" t="s">
        <v>73</v>
      </c>
      <c r="H3297" t="s">
        <v>135</v>
      </c>
      <c r="I3297" t="s">
        <v>36</v>
      </c>
      <c r="J3297" t="s">
        <v>101</v>
      </c>
      <c r="K3297" t="s">
        <v>38</v>
      </c>
      <c r="L3297">
        <v>1</v>
      </c>
      <c r="M3297">
        <v>784</v>
      </c>
      <c r="N3297">
        <v>78.400000000000006</v>
      </c>
      <c r="O3297">
        <v>0</v>
      </c>
      <c r="P3297">
        <v>784</v>
      </c>
      <c r="Q3297">
        <v>705.6</v>
      </c>
      <c r="R3297" t="s">
        <v>39</v>
      </c>
      <c r="S3297" t="s">
        <v>31</v>
      </c>
      <c r="T3297" t="s">
        <v>40</v>
      </c>
      <c r="U3297">
        <v>56</v>
      </c>
      <c r="V3297">
        <v>2.7</v>
      </c>
      <c r="W3297">
        <f>Table2[[#This Row],[Quantity]]*Table2[[#This Row],[Item_Price]]</f>
        <v>784</v>
      </c>
    </row>
    <row r="3298" spans="1:23" x14ac:dyDescent="0.25">
      <c r="A3298" t="s">
        <v>3399</v>
      </c>
      <c r="B3298" s="1">
        <v>45896</v>
      </c>
      <c r="C3298" t="s">
        <v>3008</v>
      </c>
      <c r="D3298">
        <v>8</v>
      </c>
      <c r="E3298">
        <v>27</v>
      </c>
      <c r="F3298" t="s">
        <v>24</v>
      </c>
      <c r="G3298" t="s">
        <v>64</v>
      </c>
      <c r="H3298" t="s">
        <v>52</v>
      </c>
      <c r="I3298" t="s">
        <v>69</v>
      </c>
      <c r="J3298" t="s">
        <v>172</v>
      </c>
      <c r="K3298" t="s">
        <v>45</v>
      </c>
      <c r="L3298">
        <v>2</v>
      </c>
      <c r="M3298">
        <v>677</v>
      </c>
      <c r="N3298">
        <v>33.85</v>
      </c>
      <c r="O3298">
        <v>20</v>
      </c>
      <c r="P3298">
        <v>1354</v>
      </c>
      <c r="Q3298">
        <v>1340.15</v>
      </c>
      <c r="R3298" t="s">
        <v>39</v>
      </c>
      <c r="S3298" t="s">
        <v>31</v>
      </c>
      <c r="T3298" t="s">
        <v>40</v>
      </c>
      <c r="U3298">
        <v>27</v>
      </c>
      <c r="V3298">
        <v>5</v>
      </c>
      <c r="W3298">
        <f>Table2[[#This Row],[Quantity]]*Table2[[#This Row],[Item_Price]]</f>
        <v>1354</v>
      </c>
    </row>
    <row r="3299" spans="1:23" x14ac:dyDescent="0.25">
      <c r="A3299" t="s">
        <v>3400</v>
      </c>
      <c r="B3299" s="1">
        <v>45896</v>
      </c>
      <c r="C3299" t="s">
        <v>3008</v>
      </c>
      <c r="D3299">
        <v>8</v>
      </c>
      <c r="E3299">
        <v>27</v>
      </c>
      <c r="F3299" t="s">
        <v>24</v>
      </c>
      <c r="G3299" t="s">
        <v>64</v>
      </c>
      <c r="H3299" t="s">
        <v>42</v>
      </c>
      <c r="I3299" t="s">
        <v>57</v>
      </c>
      <c r="J3299" t="s">
        <v>94</v>
      </c>
      <c r="K3299" t="s">
        <v>58</v>
      </c>
      <c r="L3299">
        <v>1</v>
      </c>
      <c r="M3299">
        <v>150</v>
      </c>
      <c r="N3299">
        <v>0</v>
      </c>
      <c r="O3299">
        <v>0</v>
      </c>
      <c r="P3299">
        <v>150</v>
      </c>
      <c r="Q3299">
        <v>150</v>
      </c>
      <c r="R3299" t="s">
        <v>75</v>
      </c>
      <c r="S3299" t="s">
        <v>31</v>
      </c>
      <c r="T3299" t="s">
        <v>40</v>
      </c>
      <c r="U3299">
        <v>19</v>
      </c>
      <c r="V3299">
        <v>4.7</v>
      </c>
      <c r="W3299">
        <f>Table2[[#This Row],[Quantity]]*Table2[[#This Row],[Item_Price]]</f>
        <v>150</v>
      </c>
    </row>
    <row r="3300" spans="1:23" x14ac:dyDescent="0.25">
      <c r="A3300" t="s">
        <v>3401</v>
      </c>
      <c r="B3300" s="1">
        <v>45896</v>
      </c>
      <c r="C3300" t="s">
        <v>3008</v>
      </c>
      <c r="D3300">
        <v>8</v>
      </c>
      <c r="E3300">
        <v>27</v>
      </c>
      <c r="F3300" t="s">
        <v>24</v>
      </c>
      <c r="G3300" t="s">
        <v>55</v>
      </c>
      <c r="H3300" t="s">
        <v>77</v>
      </c>
      <c r="I3300" t="s">
        <v>103</v>
      </c>
      <c r="J3300" t="s">
        <v>70</v>
      </c>
      <c r="K3300" t="s">
        <v>45</v>
      </c>
      <c r="L3300">
        <v>2</v>
      </c>
      <c r="M3300">
        <v>177</v>
      </c>
      <c r="N3300">
        <v>26.55</v>
      </c>
      <c r="O3300">
        <v>70</v>
      </c>
      <c r="P3300">
        <v>354</v>
      </c>
      <c r="Q3300">
        <v>397.45</v>
      </c>
      <c r="R3300" t="s">
        <v>39</v>
      </c>
      <c r="S3300" t="s">
        <v>31</v>
      </c>
      <c r="T3300" t="s">
        <v>40</v>
      </c>
      <c r="U3300">
        <v>39</v>
      </c>
      <c r="V3300">
        <v>3.2</v>
      </c>
      <c r="W3300">
        <f>Table2[[#This Row],[Quantity]]*Table2[[#This Row],[Item_Price]]</f>
        <v>354</v>
      </c>
    </row>
    <row r="3301" spans="1:23" x14ac:dyDescent="0.25">
      <c r="A3301" t="s">
        <v>3402</v>
      </c>
      <c r="B3301" s="1">
        <v>45897</v>
      </c>
      <c r="C3301" t="s">
        <v>3008</v>
      </c>
      <c r="D3301">
        <v>8</v>
      </c>
      <c r="E3301">
        <v>28</v>
      </c>
      <c r="F3301" t="s">
        <v>88</v>
      </c>
      <c r="G3301" t="s">
        <v>80</v>
      </c>
      <c r="H3301" t="s">
        <v>105</v>
      </c>
      <c r="I3301" t="s">
        <v>49</v>
      </c>
      <c r="J3301" t="s">
        <v>70</v>
      </c>
      <c r="K3301" t="s">
        <v>29</v>
      </c>
      <c r="L3301">
        <v>1</v>
      </c>
      <c r="M3301">
        <v>394</v>
      </c>
      <c r="N3301">
        <v>59.1</v>
      </c>
      <c r="O3301">
        <v>60</v>
      </c>
      <c r="P3301">
        <v>394</v>
      </c>
      <c r="Q3301">
        <v>394.9</v>
      </c>
      <c r="R3301" t="s">
        <v>39</v>
      </c>
      <c r="S3301" t="s">
        <v>91</v>
      </c>
      <c r="T3301" t="s">
        <v>40</v>
      </c>
      <c r="U3301">
        <v>45</v>
      </c>
      <c r="W3301">
        <f>Table2[[#This Row],[Quantity]]*Table2[[#This Row],[Item_Price]]</f>
        <v>394</v>
      </c>
    </row>
    <row r="3302" spans="1:23" x14ac:dyDescent="0.25">
      <c r="A3302" t="s">
        <v>3403</v>
      </c>
      <c r="B3302" s="1">
        <v>45897</v>
      </c>
      <c r="C3302" t="s">
        <v>3008</v>
      </c>
      <c r="D3302">
        <v>8</v>
      </c>
      <c r="E3302">
        <v>28</v>
      </c>
      <c r="F3302" t="s">
        <v>88</v>
      </c>
      <c r="G3302" t="s">
        <v>34</v>
      </c>
      <c r="H3302" t="s">
        <v>56</v>
      </c>
      <c r="I3302" t="s">
        <v>27</v>
      </c>
      <c r="J3302" t="s">
        <v>70</v>
      </c>
      <c r="K3302" t="s">
        <v>38</v>
      </c>
      <c r="L3302">
        <v>1</v>
      </c>
      <c r="M3302">
        <v>725</v>
      </c>
      <c r="N3302">
        <v>0</v>
      </c>
      <c r="O3302">
        <v>40</v>
      </c>
      <c r="P3302">
        <v>725</v>
      </c>
      <c r="Q3302">
        <v>765</v>
      </c>
      <c r="R3302" t="s">
        <v>75</v>
      </c>
      <c r="S3302" t="s">
        <v>31</v>
      </c>
      <c r="T3302" t="s">
        <v>32</v>
      </c>
      <c r="U3302">
        <v>45</v>
      </c>
      <c r="V3302">
        <v>3.5</v>
      </c>
      <c r="W3302">
        <f>Table2[[#This Row],[Quantity]]*Table2[[#This Row],[Item_Price]]</f>
        <v>725</v>
      </c>
    </row>
    <row r="3303" spans="1:23" x14ac:dyDescent="0.25">
      <c r="A3303" t="s">
        <v>3404</v>
      </c>
      <c r="B3303" s="1">
        <v>45897</v>
      </c>
      <c r="C3303" t="s">
        <v>3008</v>
      </c>
      <c r="D3303">
        <v>8</v>
      </c>
      <c r="E3303">
        <v>28</v>
      </c>
      <c r="F3303" t="s">
        <v>88</v>
      </c>
      <c r="G3303" t="s">
        <v>34</v>
      </c>
      <c r="H3303" t="s">
        <v>26</v>
      </c>
      <c r="I3303" t="s">
        <v>43</v>
      </c>
      <c r="J3303" t="s">
        <v>62</v>
      </c>
      <c r="K3303" t="s">
        <v>38</v>
      </c>
      <c r="L3303">
        <v>1</v>
      </c>
      <c r="M3303">
        <v>519</v>
      </c>
      <c r="N3303">
        <v>77.849999999999994</v>
      </c>
      <c r="O3303">
        <v>0</v>
      </c>
      <c r="P3303">
        <v>519</v>
      </c>
      <c r="Q3303">
        <v>441.15</v>
      </c>
      <c r="R3303" t="s">
        <v>98</v>
      </c>
      <c r="S3303" t="s">
        <v>31</v>
      </c>
      <c r="T3303" t="s">
        <v>32</v>
      </c>
      <c r="U3303">
        <v>37</v>
      </c>
      <c r="V3303">
        <v>3.8</v>
      </c>
      <c r="W3303">
        <f>Table2[[#This Row],[Quantity]]*Table2[[#This Row],[Item_Price]]</f>
        <v>519</v>
      </c>
    </row>
    <row r="3304" spans="1:23" x14ac:dyDescent="0.25">
      <c r="A3304" t="s">
        <v>3405</v>
      </c>
      <c r="B3304" s="1">
        <v>45897</v>
      </c>
      <c r="C3304" t="s">
        <v>3008</v>
      </c>
      <c r="D3304">
        <v>8</v>
      </c>
      <c r="E3304">
        <v>28</v>
      </c>
      <c r="F3304" t="s">
        <v>88</v>
      </c>
      <c r="G3304" t="s">
        <v>34</v>
      </c>
      <c r="H3304" t="s">
        <v>60</v>
      </c>
      <c r="I3304" t="s">
        <v>69</v>
      </c>
      <c r="J3304" t="s">
        <v>37</v>
      </c>
      <c r="K3304" t="s">
        <v>38</v>
      </c>
      <c r="L3304">
        <v>1</v>
      </c>
      <c r="M3304">
        <v>671</v>
      </c>
      <c r="N3304">
        <v>134.19999999999999</v>
      </c>
      <c r="O3304">
        <v>20</v>
      </c>
      <c r="P3304">
        <v>671</v>
      </c>
      <c r="Q3304">
        <v>556.79999999999995</v>
      </c>
      <c r="R3304" t="s">
        <v>75</v>
      </c>
      <c r="S3304" t="s">
        <v>91</v>
      </c>
      <c r="T3304" t="s">
        <v>40</v>
      </c>
      <c r="U3304">
        <v>65</v>
      </c>
      <c r="W3304">
        <f>Table2[[#This Row],[Quantity]]*Table2[[#This Row],[Item_Price]]</f>
        <v>671</v>
      </c>
    </row>
    <row r="3305" spans="1:23" x14ac:dyDescent="0.25">
      <c r="A3305" t="s">
        <v>3406</v>
      </c>
      <c r="B3305" s="1">
        <v>45897</v>
      </c>
      <c r="C3305" t="s">
        <v>3008</v>
      </c>
      <c r="D3305">
        <v>8</v>
      </c>
      <c r="E3305">
        <v>28</v>
      </c>
      <c r="F3305" t="s">
        <v>88</v>
      </c>
      <c r="G3305" t="s">
        <v>84</v>
      </c>
      <c r="H3305" t="s">
        <v>56</v>
      </c>
      <c r="I3305" t="s">
        <v>43</v>
      </c>
      <c r="J3305" t="s">
        <v>119</v>
      </c>
      <c r="K3305" t="s">
        <v>38</v>
      </c>
      <c r="L3305">
        <v>1</v>
      </c>
      <c r="M3305">
        <v>544</v>
      </c>
      <c r="N3305">
        <v>54.4</v>
      </c>
      <c r="O3305">
        <v>50</v>
      </c>
      <c r="P3305">
        <v>544</v>
      </c>
      <c r="Q3305">
        <v>539.6</v>
      </c>
      <c r="R3305" t="s">
        <v>39</v>
      </c>
      <c r="S3305" t="s">
        <v>31</v>
      </c>
      <c r="T3305" t="s">
        <v>32</v>
      </c>
      <c r="U3305">
        <v>19</v>
      </c>
      <c r="V3305">
        <v>3.3</v>
      </c>
      <c r="W3305">
        <f>Table2[[#This Row],[Quantity]]*Table2[[#This Row],[Item_Price]]</f>
        <v>544</v>
      </c>
    </row>
    <row r="3306" spans="1:23" x14ac:dyDescent="0.25">
      <c r="A3306" t="s">
        <v>3407</v>
      </c>
      <c r="B3306" s="1">
        <v>45897</v>
      </c>
      <c r="C3306" t="s">
        <v>3008</v>
      </c>
      <c r="D3306">
        <v>8</v>
      </c>
      <c r="E3306">
        <v>28</v>
      </c>
      <c r="F3306" t="s">
        <v>88</v>
      </c>
      <c r="G3306" t="s">
        <v>90</v>
      </c>
      <c r="H3306" t="s">
        <v>52</v>
      </c>
      <c r="I3306" t="s">
        <v>36</v>
      </c>
      <c r="J3306" t="s">
        <v>101</v>
      </c>
      <c r="K3306" t="s">
        <v>38</v>
      </c>
      <c r="L3306">
        <v>1</v>
      </c>
      <c r="M3306">
        <v>206</v>
      </c>
      <c r="N3306">
        <v>51.5</v>
      </c>
      <c r="O3306">
        <v>50</v>
      </c>
      <c r="P3306">
        <v>206</v>
      </c>
      <c r="Q3306">
        <v>204.5</v>
      </c>
      <c r="R3306" t="s">
        <v>75</v>
      </c>
      <c r="S3306" t="s">
        <v>31</v>
      </c>
      <c r="T3306" t="s">
        <v>40</v>
      </c>
      <c r="U3306">
        <v>30</v>
      </c>
      <c r="V3306">
        <v>2.5</v>
      </c>
      <c r="W3306">
        <f>Table2[[#This Row],[Quantity]]*Table2[[#This Row],[Item_Price]]</f>
        <v>206</v>
      </c>
    </row>
    <row r="3307" spans="1:23" x14ac:dyDescent="0.25">
      <c r="A3307" t="s">
        <v>3408</v>
      </c>
      <c r="B3307" s="1">
        <v>45897</v>
      </c>
      <c r="C3307" t="s">
        <v>3008</v>
      </c>
      <c r="D3307">
        <v>8</v>
      </c>
      <c r="E3307">
        <v>28</v>
      </c>
      <c r="F3307" t="s">
        <v>88</v>
      </c>
      <c r="G3307" t="s">
        <v>25</v>
      </c>
      <c r="H3307" t="s">
        <v>26</v>
      </c>
      <c r="I3307" t="s">
        <v>61</v>
      </c>
      <c r="J3307" t="s">
        <v>62</v>
      </c>
      <c r="K3307" t="s">
        <v>38</v>
      </c>
      <c r="L3307">
        <v>1</v>
      </c>
      <c r="M3307">
        <v>485</v>
      </c>
      <c r="N3307">
        <v>97</v>
      </c>
      <c r="O3307">
        <v>70</v>
      </c>
      <c r="P3307">
        <v>485</v>
      </c>
      <c r="Q3307">
        <v>458</v>
      </c>
      <c r="R3307" t="s">
        <v>75</v>
      </c>
      <c r="S3307" t="s">
        <v>31</v>
      </c>
      <c r="T3307" t="s">
        <v>40</v>
      </c>
      <c r="U3307">
        <v>64</v>
      </c>
      <c r="V3307">
        <v>3.4</v>
      </c>
      <c r="W3307">
        <f>Table2[[#This Row],[Quantity]]*Table2[[#This Row],[Item_Price]]</f>
        <v>485</v>
      </c>
    </row>
    <row r="3308" spans="1:23" x14ac:dyDescent="0.25">
      <c r="A3308" t="s">
        <v>3409</v>
      </c>
      <c r="B3308" s="1">
        <v>45897</v>
      </c>
      <c r="C3308" t="s">
        <v>3008</v>
      </c>
      <c r="D3308">
        <v>8</v>
      </c>
      <c r="E3308">
        <v>28</v>
      </c>
      <c r="F3308" t="s">
        <v>88</v>
      </c>
      <c r="G3308" t="s">
        <v>80</v>
      </c>
      <c r="H3308" t="s">
        <v>42</v>
      </c>
      <c r="I3308" t="s">
        <v>103</v>
      </c>
      <c r="J3308" t="s">
        <v>172</v>
      </c>
      <c r="K3308" t="s">
        <v>38</v>
      </c>
      <c r="L3308">
        <v>1</v>
      </c>
      <c r="M3308">
        <v>537</v>
      </c>
      <c r="N3308">
        <v>107.4</v>
      </c>
      <c r="O3308">
        <v>20</v>
      </c>
      <c r="P3308">
        <v>537</v>
      </c>
      <c r="Q3308">
        <v>449.6</v>
      </c>
      <c r="R3308" t="s">
        <v>39</v>
      </c>
      <c r="S3308" t="s">
        <v>31</v>
      </c>
      <c r="T3308" t="s">
        <v>40</v>
      </c>
      <c r="U3308">
        <v>40</v>
      </c>
      <c r="V3308">
        <v>3.7</v>
      </c>
      <c r="W3308">
        <f>Table2[[#This Row],[Quantity]]*Table2[[#This Row],[Item_Price]]</f>
        <v>537</v>
      </c>
    </row>
    <row r="3309" spans="1:23" x14ac:dyDescent="0.25">
      <c r="A3309" t="s">
        <v>3410</v>
      </c>
      <c r="B3309" s="1">
        <v>45898</v>
      </c>
      <c r="C3309" t="s">
        <v>3008</v>
      </c>
      <c r="D3309">
        <v>8</v>
      </c>
      <c r="E3309">
        <v>29</v>
      </c>
      <c r="F3309" t="s">
        <v>114</v>
      </c>
      <c r="G3309" t="s">
        <v>80</v>
      </c>
      <c r="H3309" t="s">
        <v>48</v>
      </c>
      <c r="I3309" t="s">
        <v>43</v>
      </c>
      <c r="J3309" t="s">
        <v>172</v>
      </c>
      <c r="K3309" t="s">
        <v>38</v>
      </c>
      <c r="L3309">
        <v>1</v>
      </c>
      <c r="M3309">
        <v>277</v>
      </c>
      <c r="N3309">
        <v>55.4</v>
      </c>
      <c r="O3309">
        <v>40</v>
      </c>
      <c r="P3309">
        <v>277</v>
      </c>
      <c r="Q3309">
        <v>261.60000000000002</v>
      </c>
      <c r="R3309" t="s">
        <v>39</v>
      </c>
      <c r="S3309" t="s">
        <v>31</v>
      </c>
      <c r="T3309" t="s">
        <v>40</v>
      </c>
      <c r="U3309">
        <v>49</v>
      </c>
      <c r="V3309">
        <v>4.3</v>
      </c>
      <c r="W3309">
        <f>Table2[[#This Row],[Quantity]]*Table2[[#This Row],[Item_Price]]</f>
        <v>277</v>
      </c>
    </row>
    <row r="3310" spans="1:23" x14ac:dyDescent="0.25">
      <c r="A3310" t="s">
        <v>3411</v>
      </c>
      <c r="B3310" s="1">
        <v>45898</v>
      </c>
      <c r="C3310" t="s">
        <v>3008</v>
      </c>
      <c r="D3310">
        <v>8</v>
      </c>
      <c r="E3310">
        <v>29</v>
      </c>
      <c r="F3310" t="s">
        <v>114</v>
      </c>
      <c r="G3310" t="s">
        <v>25</v>
      </c>
      <c r="H3310" t="s">
        <v>48</v>
      </c>
      <c r="I3310" t="s">
        <v>85</v>
      </c>
      <c r="J3310" t="s">
        <v>28</v>
      </c>
      <c r="K3310" t="s">
        <v>38</v>
      </c>
      <c r="L3310">
        <v>1</v>
      </c>
      <c r="M3310">
        <v>665</v>
      </c>
      <c r="N3310">
        <v>33.25</v>
      </c>
      <c r="O3310">
        <v>30</v>
      </c>
      <c r="P3310">
        <v>665</v>
      </c>
      <c r="Q3310">
        <v>661.75</v>
      </c>
      <c r="R3310" t="s">
        <v>112</v>
      </c>
      <c r="S3310" t="s">
        <v>31</v>
      </c>
      <c r="T3310" t="s">
        <v>40</v>
      </c>
      <c r="U3310">
        <v>18</v>
      </c>
      <c r="V3310">
        <v>3.5</v>
      </c>
      <c r="W3310">
        <f>Table2[[#This Row],[Quantity]]*Table2[[#This Row],[Item_Price]]</f>
        <v>665</v>
      </c>
    </row>
    <row r="3311" spans="1:23" x14ac:dyDescent="0.25">
      <c r="A3311" t="s">
        <v>3412</v>
      </c>
      <c r="B3311" s="1">
        <v>45898</v>
      </c>
      <c r="C3311" t="s">
        <v>3008</v>
      </c>
      <c r="D3311">
        <v>8</v>
      </c>
      <c r="E3311">
        <v>29</v>
      </c>
      <c r="F3311" t="s">
        <v>114</v>
      </c>
      <c r="G3311" t="s">
        <v>80</v>
      </c>
      <c r="H3311" t="s">
        <v>26</v>
      </c>
      <c r="I3311" t="s">
        <v>36</v>
      </c>
      <c r="J3311" t="s">
        <v>119</v>
      </c>
      <c r="K3311" t="s">
        <v>38</v>
      </c>
      <c r="L3311">
        <v>3</v>
      </c>
      <c r="M3311">
        <v>738</v>
      </c>
      <c r="N3311">
        <v>0</v>
      </c>
      <c r="O3311">
        <v>70</v>
      </c>
      <c r="P3311">
        <v>2214</v>
      </c>
      <c r="Q3311">
        <v>2284</v>
      </c>
      <c r="R3311" t="s">
        <v>98</v>
      </c>
      <c r="S3311" t="s">
        <v>91</v>
      </c>
      <c r="T3311" t="s">
        <v>40</v>
      </c>
      <c r="U3311">
        <v>39</v>
      </c>
      <c r="W3311">
        <f>Table2[[#This Row],[Quantity]]*Table2[[#This Row],[Item_Price]]</f>
        <v>2214</v>
      </c>
    </row>
    <row r="3312" spans="1:23" x14ac:dyDescent="0.25">
      <c r="A3312" t="s">
        <v>3413</v>
      </c>
      <c r="B3312" s="1">
        <v>45898</v>
      </c>
      <c r="C3312" t="s">
        <v>3008</v>
      </c>
      <c r="D3312">
        <v>8</v>
      </c>
      <c r="E3312">
        <v>29</v>
      </c>
      <c r="F3312" t="s">
        <v>114</v>
      </c>
      <c r="G3312" t="s">
        <v>55</v>
      </c>
      <c r="H3312" t="s">
        <v>135</v>
      </c>
      <c r="I3312" t="s">
        <v>85</v>
      </c>
      <c r="J3312" t="s">
        <v>53</v>
      </c>
      <c r="K3312" t="s">
        <v>29</v>
      </c>
      <c r="L3312">
        <v>1</v>
      </c>
      <c r="M3312">
        <v>489</v>
      </c>
      <c r="N3312">
        <v>73.349999999999994</v>
      </c>
      <c r="O3312">
        <v>20</v>
      </c>
      <c r="P3312">
        <v>489</v>
      </c>
      <c r="Q3312">
        <v>435.65</v>
      </c>
      <c r="R3312" t="s">
        <v>30</v>
      </c>
      <c r="S3312" t="s">
        <v>31</v>
      </c>
      <c r="T3312" t="s">
        <v>40</v>
      </c>
      <c r="U3312">
        <v>19</v>
      </c>
      <c r="V3312">
        <v>4.5999999999999996</v>
      </c>
      <c r="W3312">
        <f>Table2[[#This Row],[Quantity]]*Table2[[#This Row],[Item_Price]]</f>
        <v>489</v>
      </c>
    </row>
    <row r="3313" spans="1:23" x14ac:dyDescent="0.25">
      <c r="A3313" t="s">
        <v>3414</v>
      </c>
      <c r="B3313" s="1">
        <v>45898</v>
      </c>
      <c r="C3313" t="s">
        <v>3008</v>
      </c>
      <c r="D3313">
        <v>8</v>
      </c>
      <c r="E3313">
        <v>29</v>
      </c>
      <c r="F3313" t="s">
        <v>114</v>
      </c>
      <c r="G3313" t="s">
        <v>64</v>
      </c>
      <c r="H3313" t="s">
        <v>65</v>
      </c>
      <c r="I3313" t="s">
        <v>43</v>
      </c>
      <c r="J3313" t="s">
        <v>53</v>
      </c>
      <c r="K3313" t="s">
        <v>38</v>
      </c>
      <c r="L3313">
        <v>1</v>
      </c>
      <c r="M3313">
        <v>890</v>
      </c>
      <c r="N3313">
        <v>89</v>
      </c>
      <c r="O3313">
        <v>60</v>
      </c>
      <c r="P3313">
        <v>890</v>
      </c>
      <c r="Q3313">
        <v>861</v>
      </c>
      <c r="R3313" t="s">
        <v>30</v>
      </c>
      <c r="S3313" t="s">
        <v>31</v>
      </c>
      <c r="T3313" t="s">
        <v>32</v>
      </c>
      <c r="U3313">
        <v>68</v>
      </c>
      <c r="V3313">
        <v>3.6</v>
      </c>
      <c r="W3313">
        <f>Table2[[#This Row],[Quantity]]*Table2[[#This Row],[Item_Price]]</f>
        <v>890</v>
      </c>
    </row>
    <row r="3314" spans="1:23" x14ac:dyDescent="0.25">
      <c r="A3314" t="s">
        <v>3415</v>
      </c>
      <c r="B3314" s="1">
        <v>45898</v>
      </c>
      <c r="C3314" t="s">
        <v>3008</v>
      </c>
      <c r="D3314">
        <v>8</v>
      </c>
      <c r="E3314">
        <v>29</v>
      </c>
      <c r="F3314" t="s">
        <v>114</v>
      </c>
      <c r="G3314" t="s">
        <v>80</v>
      </c>
      <c r="H3314" t="s">
        <v>108</v>
      </c>
      <c r="I3314" t="s">
        <v>43</v>
      </c>
      <c r="J3314" t="s">
        <v>37</v>
      </c>
      <c r="K3314" t="s">
        <v>38</v>
      </c>
      <c r="L3314">
        <v>1</v>
      </c>
      <c r="M3314">
        <v>670</v>
      </c>
      <c r="N3314">
        <v>0</v>
      </c>
      <c r="O3314">
        <v>0</v>
      </c>
      <c r="P3314">
        <v>670</v>
      </c>
      <c r="Q3314">
        <v>670</v>
      </c>
      <c r="R3314" t="s">
        <v>75</v>
      </c>
      <c r="S3314" t="s">
        <v>31</v>
      </c>
      <c r="T3314" t="s">
        <v>40</v>
      </c>
      <c r="U3314">
        <v>51</v>
      </c>
      <c r="V3314">
        <v>3.8</v>
      </c>
      <c r="W3314">
        <f>Table2[[#This Row],[Quantity]]*Table2[[#This Row],[Item_Price]]</f>
        <v>670</v>
      </c>
    </row>
    <row r="3315" spans="1:23" x14ac:dyDescent="0.25">
      <c r="A3315" t="s">
        <v>3416</v>
      </c>
      <c r="B3315" s="1">
        <v>45898</v>
      </c>
      <c r="C3315" t="s">
        <v>3008</v>
      </c>
      <c r="D3315">
        <v>8</v>
      </c>
      <c r="E3315">
        <v>29</v>
      </c>
      <c r="F3315" t="s">
        <v>114</v>
      </c>
      <c r="G3315" t="s">
        <v>84</v>
      </c>
      <c r="H3315" t="s">
        <v>56</v>
      </c>
      <c r="I3315" t="s">
        <v>103</v>
      </c>
      <c r="J3315" t="s">
        <v>74</v>
      </c>
      <c r="K3315" t="s">
        <v>38</v>
      </c>
      <c r="L3315">
        <v>1</v>
      </c>
      <c r="M3315">
        <v>496</v>
      </c>
      <c r="N3315">
        <v>24.8</v>
      </c>
      <c r="O3315">
        <v>0</v>
      </c>
      <c r="P3315">
        <v>496</v>
      </c>
      <c r="Q3315">
        <v>471.2</v>
      </c>
      <c r="R3315" t="s">
        <v>75</v>
      </c>
      <c r="S3315" t="s">
        <v>31</v>
      </c>
      <c r="T3315" t="s">
        <v>32</v>
      </c>
      <c r="U3315">
        <v>70</v>
      </c>
      <c r="V3315">
        <v>4.8</v>
      </c>
      <c r="W3315">
        <f>Table2[[#This Row],[Quantity]]*Table2[[#This Row],[Item_Price]]</f>
        <v>496</v>
      </c>
    </row>
    <row r="3316" spans="1:23" x14ac:dyDescent="0.25">
      <c r="A3316" t="s">
        <v>3417</v>
      </c>
      <c r="B3316" s="1">
        <v>45898</v>
      </c>
      <c r="C3316" t="s">
        <v>3008</v>
      </c>
      <c r="D3316">
        <v>8</v>
      </c>
      <c r="E3316">
        <v>29</v>
      </c>
      <c r="F3316" t="s">
        <v>114</v>
      </c>
      <c r="G3316" t="s">
        <v>34</v>
      </c>
      <c r="H3316" t="s">
        <v>48</v>
      </c>
      <c r="I3316" t="s">
        <v>69</v>
      </c>
      <c r="J3316" t="s">
        <v>172</v>
      </c>
      <c r="K3316" t="s">
        <v>38</v>
      </c>
      <c r="L3316">
        <v>1</v>
      </c>
      <c r="M3316">
        <v>342</v>
      </c>
      <c r="N3316">
        <v>17.100000000000001</v>
      </c>
      <c r="O3316">
        <v>60</v>
      </c>
      <c r="P3316">
        <v>342</v>
      </c>
      <c r="Q3316">
        <v>384.9</v>
      </c>
      <c r="R3316" t="s">
        <v>30</v>
      </c>
      <c r="S3316" t="s">
        <v>31</v>
      </c>
      <c r="T3316" t="s">
        <v>32</v>
      </c>
      <c r="U3316">
        <v>25</v>
      </c>
      <c r="V3316">
        <v>4.7</v>
      </c>
      <c r="W3316">
        <f>Table2[[#This Row],[Quantity]]*Table2[[#This Row],[Item_Price]]</f>
        <v>342</v>
      </c>
    </row>
    <row r="3317" spans="1:23" x14ac:dyDescent="0.25">
      <c r="A3317" t="s">
        <v>3418</v>
      </c>
      <c r="B3317" s="1">
        <v>45898</v>
      </c>
      <c r="C3317" t="s">
        <v>3008</v>
      </c>
      <c r="D3317">
        <v>8</v>
      </c>
      <c r="E3317">
        <v>29</v>
      </c>
      <c r="F3317" t="s">
        <v>114</v>
      </c>
      <c r="G3317" t="s">
        <v>34</v>
      </c>
      <c r="H3317" t="s">
        <v>48</v>
      </c>
      <c r="I3317" t="s">
        <v>103</v>
      </c>
      <c r="J3317" t="s">
        <v>28</v>
      </c>
      <c r="K3317" t="s">
        <v>29</v>
      </c>
      <c r="L3317">
        <v>1</v>
      </c>
      <c r="M3317">
        <v>506</v>
      </c>
      <c r="N3317">
        <v>75.900000000000006</v>
      </c>
      <c r="O3317">
        <v>40</v>
      </c>
      <c r="P3317">
        <v>506</v>
      </c>
      <c r="Q3317">
        <v>470.1</v>
      </c>
      <c r="R3317" t="s">
        <v>39</v>
      </c>
      <c r="S3317" t="s">
        <v>46</v>
      </c>
      <c r="T3317" t="s">
        <v>40</v>
      </c>
      <c r="U3317">
        <v>69</v>
      </c>
      <c r="W3317">
        <f>Table2[[#This Row],[Quantity]]*Table2[[#This Row],[Item_Price]]</f>
        <v>506</v>
      </c>
    </row>
    <row r="3318" spans="1:23" x14ac:dyDescent="0.25">
      <c r="A3318" t="s">
        <v>3419</v>
      </c>
      <c r="B3318" s="1">
        <v>45898</v>
      </c>
      <c r="C3318" t="s">
        <v>3008</v>
      </c>
      <c r="D3318">
        <v>8</v>
      </c>
      <c r="E3318">
        <v>29</v>
      </c>
      <c r="F3318" t="s">
        <v>114</v>
      </c>
      <c r="G3318" t="s">
        <v>25</v>
      </c>
      <c r="H3318" t="s">
        <v>48</v>
      </c>
      <c r="I3318" t="s">
        <v>57</v>
      </c>
      <c r="J3318" t="s">
        <v>66</v>
      </c>
      <c r="K3318" t="s">
        <v>38</v>
      </c>
      <c r="L3318">
        <v>1</v>
      </c>
      <c r="M3318">
        <v>624</v>
      </c>
      <c r="N3318">
        <v>31.2</v>
      </c>
      <c r="O3318">
        <v>50</v>
      </c>
      <c r="P3318">
        <v>624</v>
      </c>
      <c r="Q3318">
        <v>642.79999999999995</v>
      </c>
      <c r="R3318" t="s">
        <v>30</v>
      </c>
      <c r="S3318" t="s">
        <v>46</v>
      </c>
      <c r="T3318" t="s">
        <v>40</v>
      </c>
      <c r="U3318">
        <v>70</v>
      </c>
      <c r="W3318">
        <f>Table2[[#This Row],[Quantity]]*Table2[[#This Row],[Item_Price]]</f>
        <v>624</v>
      </c>
    </row>
    <row r="3319" spans="1:23" x14ac:dyDescent="0.25">
      <c r="A3319" t="s">
        <v>3420</v>
      </c>
      <c r="B3319" s="1">
        <v>45898</v>
      </c>
      <c r="C3319" t="s">
        <v>3008</v>
      </c>
      <c r="D3319">
        <v>8</v>
      </c>
      <c r="E3319">
        <v>29</v>
      </c>
      <c r="F3319" t="s">
        <v>114</v>
      </c>
      <c r="G3319" t="s">
        <v>64</v>
      </c>
      <c r="H3319" t="s">
        <v>60</v>
      </c>
      <c r="I3319" t="s">
        <v>103</v>
      </c>
      <c r="J3319" t="s">
        <v>94</v>
      </c>
      <c r="K3319" t="s">
        <v>38</v>
      </c>
      <c r="L3319">
        <v>1</v>
      </c>
      <c r="M3319">
        <v>599</v>
      </c>
      <c r="N3319">
        <v>119.8</v>
      </c>
      <c r="O3319">
        <v>20</v>
      </c>
      <c r="P3319">
        <v>599</v>
      </c>
      <c r="Q3319">
        <v>499.2</v>
      </c>
      <c r="R3319" t="s">
        <v>30</v>
      </c>
      <c r="S3319" t="s">
        <v>91</v>
      </c>
      <c r="T3319" t="s">
        <v>32</v>
      </c>
      <c r="U3319">
        <v>28</v>
      </c>
      <c r="W3319">
        <f>Table2[[#This Row],[Quantity]]*Table2[[#This Row],[Item_Price]]</f>
        <v>599</v>
      </c>
    </row>
    <row r="3320" spans="1:23" x14ac:dyDescent="0.25">
      <c r="A3320" t="s">
        <v>3421</v>
      </c>
      <c r="B3320" s="1">
        <v>45898</v>
      </c>
      <c r="C3320" t="s">
        <v>3008</v>
      </c>
      <c r="D3320">
        <v>8</v>
      </c>
      <c r="E3320">
        <v>29</v>
      </c>
      <c r="F3320" t="s">
        <v>114</v>
      </c>
      <c r="G3320" t="s">
        <v>115</v>
      </c>
      <c r="H3320" t="s">
        <v>105</v>
      </c>
      <c r="I3320" t="s">
        <v>43</v>
      </c>
      <c r="J3320" t="s">
        <v>82</v>
      </c>
      <c r="K3320" t="s">
        <v>38</v>
      </c>
      <c r="L3320">
        <v>1</v>
      </c>
      <c r="M3320">
        <v>159</v>
      </c>
      <c r="N3320">
        <v>39.75</v>
      </c>
      <c r="O3320">
        <v>50</v>
      </c>
      <c r="P3320">
        <v>159</v>
      </c>
      <c r="Q3320">
        <v>169.25</v>
      </c>
      <c r="R3320" t="s">
        <v>98</v>
      </c>
      <c r="S3320" t="s">
        <v>46</v>
      </c>
      <c r="T3320" t="s">
        <v>32</v>
      </c>
      <c r="U3320">
        <v>65</v>
      </c>
      <c r="W3320">
        <f>Table2[[#This Row],[Quantity]]*Table2[[#This Row],[Item_Price]]</f>
        <v>159</v>
      </c>
    </row>
    <row r="3321" spans="1:23" x14ac:dyDescent="0.25">
      <c r="A3321" t="s">
        <v>3422</v>
      </c>
      <c r="B3321" s="1">
        <v>45899</v>
      </c>
      <c r="C3321" t="s">
        <v>3008</v>
      </c>
      <c r="D3321">
        <v>8</v>
      </c>
      <c r="E3321">
        <v>30</v>
      </c>
      <c r="F3321" t="s">
        <v>134</v>
      </c>
      <c r="G3321" t="s">
        <v>80</v>
      </c>
      <c r="H3321" t="s">
        <v>42</v>
      </c>
      <c r="I3321" t="s">
        <v>36</v>
      </c>
      <c r="J3321" t="s">
        <v>172</v>
      </c>
      <c r="K3321" t="s">
        <v>38</v>
      </c>
      <c r="L3321">
        <v>2</v>
      </c>
      <c r="M3321">
        <v>518</v>
      </c>
      <c r="N3321">
        <v>51.8</v>
      </c>
      <c r="O3321">
        <v>40</v>
      </c>
      <c r="P3321">
        <v>1036</v>
      </c>
      <c r="Q3321">
        <v>1024.2</v>
      </c>
      <c r="R3321" t="s">
        <v>112</v>
      </c>
      <c r="S3321" t="s">
        <v>91</v>
      </c>
      <c r="T3321" t="s">
        <v>32</v>
      </c>
      <c r="U3321">
        <v>43</v>
      </c>
      <c r="W3321">
        <f>Table2[[#This Row],[Quantity]]*Table2[[#This Row],[Item_Price]]</f>
        <v>1036</v>
      </c>
    </row>
    <row r="3322" spans="1:23" x14ac:dyDescent="0.25">
      <c r="A3322" t="s">
        <v>3423</v>
      </c>
      <c r="B3322" s="1">
        <v>45899</v>
      </c>
      <c r="C3322" t="s">
        <v>3008</v>
      </c>
      <c r="D3322">
        <v>8</v>
      </c>
      <c r="E3322">
        <v>30</v>
      </c>
      <c r="F3322" t="s">
        <v>134</v>
      </c>
      <c r="G3322" t="s">
        <v>25</v>
      </c>
      <c r="H3322" t="s">
        <v>139</v>
      </c>
      <c r="I3322" t="s">
        <v>85</v>
      </c>
      <c r="J3322" t="s">
        <v>62</v>
      </c>
      <c r="K3322" t="s">
        <v>38</v>
      </c>
      <c r="L3322">
        <v>1</v>
      </c>
      <c r="M3322">
        <v>625</v>
      </c>
      <c r="N3322">
        <v>31.25</v>
      </c>
      <c r="O3322">
        <v>0</v>
      </c>
      <c r="P3322">
        <v>625</v>
      </c>
      <c r="Q3322">
        <v>593.75</v>
      </c>
      <c r="R3322" t="s">
        <v>39</v>
      </c>
      <c r="S3322" t="s">
        <v>31</v>
      </c>
      <c r="T3322" t="s">
        <v>40</v>
      </c>
      <c r="U3322">
        <v>19</v>
      </c>
      <c r="V3322">
        <v>3.9</v>
      </c>
      <c r="W3322">
        <f>Table2[[#This Row],[Quantity]]*Table2[[#This Row],[Item_Price]]</f>
        <v>625</v>
      </c>
    </row>
    <row r="3323" spans="1:23" x14ac:dyDescent="0.25">
      <c r="A3323" t="s">
        <v>3424</v>
      </c>
      <c r="B3323" s="1">
        <v>45899</v>
      </c>
      <c r="C3323" t="s">
        <v>3008</v>
      </c>
      <c r="D3323">
        <v>8</v>
      </c>
      <c r="E3323">
        <v>30</v>
      </c>
      <c r="F3323" t="s">
        <v>134</v>
      </c>
      <c r="G3323" t="s">
        <v>96</v>
      </c>
      <c r="H3323" t="s">
        <v>139</v>
      </c>
      <c r="I3323" t="s">
        <v>27</v>
      </c>
      <c r="J3323" t="s">
        <v>62</v>
      </c>
      <c r="K3323" t="s">
        <v>38</v>
      </c>
      <c r="L3323">
        <v>1</v>
      </c>
      <c r="M3323">
        <v>780</v>
      </c>
      <c r="N3323">
        <v>39</v>
      </c>
      <c r="O3323">
        <v>60</v>
      </c>
      <c r="P3323">
        <v>780</v>
      </c>
      <c r="Q3323">
        <v>801</v>
      </c>
      <c r="R3323" t="s">
        <v>39</v>
      </c>
      <c r="S3323" t="s">
        <v>31</v>
      </c>
      <c r="T3323" t="s">
        <v>32</v>
      </c>
      <c r="U3323">
        <v>35</v>
      </c>
      <c r="V3323">
        <v>3.4</v>
      </c>
      <c r="W3323">
        <f>Table2[[#This Row],[Quantity]]*Table2[[#This Row],[Item_Price]]</f>
        <v>780</v>
      </c>
    </row>
    <row r="3324" spans="1:23" x14ac:dyDescent="0.25">
      <c r="A3324" t="s">
        <v>3425</v>
      </c>
      <c r="B3324" s="1">
        <v>45899</v>
      </c>
      <c r="C3324" t="s">
        <v>3008</v>
      </c>
      <c r="D3324">
        <v>8</v>
      </c>
      <c r="E3324">
        <v>30</v>
      </c>
      <c r="F3324" t="s">
        <v>134</v>
      </c>
      <c r="G3324" t="s">
        <v>73</v>
      </c>
      <c r="H3324" t="s">
        <v>105</v>
      </c>
      <c r="I3324" t="s">
        <v>57</v>
      </c>
      <c r="J3324" t="s">
        <v>119</v>
      </c>
      <c r="K3324" t="s">
        <v>58</v>
      </c>
      <c r="L3324">
        <v>1</v>
      </c>
      <c r="M3324">
        <v>532</v>
      </c>
      <c r="N3324">
        <v>0</v>
      </c>
      <c r="O3324">
        <v>50</v>
      </c>
      <c r="P3324">
        <v>532</v>
      </c>
      <c r="Q3324">
        <v>582</v>
      </c>
      <c r="R3324" t="s">
        <v>39</v>
      </c>
      <c r="S3324" t="s">
        <v>31</v>
      </c>
      <c r="T3324" t="s">
        <v>40</v>
      </c>
      <c r="U3324">
        <v>60</v>
      </c>
      <c r="V3324">
        <v>4.0999999999999996</v>
      </c>
      <c r="W3324">
        <f>Table2[[#This Row],[Quantity]]*Table2[[#This Row],[Item_Price]]</f>
        <v>532</v>
      </c>
    </row>
    <row r="3325" spans="1:23" x14ac:dyDescent="0.25">
      <c r="A3325" t="s">
        <v>3426</v>
      </c>
      <c r="B3325" s="1">
        <v>45899</v>
      </c>
      <c r="C3325" t="s">
        <v>3008</v>
      </c>
      <c r="D3325">
        <v>8</v>
      </c>
      <c r="E3325">
        <v>30</v>
      </c>
      <c r="F3325" t="s">
        <v>134</v>
      </c>
      <c r="G3325" t="s">
        <v>34</v>
      </c>
      <c r="H3325" t="s">
        <v>35</v>
      </c>
      <c r="I3325" t="s">
        <v>36</v>
      </c>
      <c r="J3325" t="s">
        <v>172</v>
      </c>
      <c r="K3325" t="s">
        <v>45</v>
      </c>
      <c r="L3325">
        <v>2</v>
      </c>
      <c r="M3325">
        <v>384</v>
      </c>
      <c r="N3325">
        <v>0</v>
      </c>
      <c r="O3325">
        <v>60</v>
      </c>
      <c r="P3325">
        <v>768</v>
      </c>
      <c r="Q3325">
        <v>828</v>
      </c>
      <c r="R3325" t="s">
        <v>39</v>
      </c>
      <c r="S3325" t="s">
        <v>31</v>
      </c>
      <c r="T3325" t="s">
        <v>40</v>
      </c>
      <c r="U3325">
        <v>27</v>
      </c>
      <c r="V3325">
        <v>4.7</v>
      </c>
      <c r="W3325">
        <f>Table2[[#This Row],[Quantity]]*Table2[[#This Row],[Item_Price]]</f>
        <v>768</v>
      </c>
    </row>
    <row r="3326" spans="1:23" x14ac:dyDescent="0.25">
      <c r="A3326" t="s">
        <v>3427</v>
      </c>
      <c r="B3326" s="1">
        <v>45899</v>
      </c>
      <c r="C3326" t="s">
        <v>3008</v>
      </c>
      <c r="D3326">
        <v>8</v>
      </c>
      <c r="E3326">
        <v>30</v>
      </c>
      <c r="F3326" t="s">
        <v>134</v>
      </c>
      <c r="G3326" t="s">
        <v>80</v>
      </c>
      <c r="H3326" t="s">
        <v>108</v>
      </c>
      <c r="I3326" t="s">
        <v>85</v>
      </c>
      <c r="J3326" t="s">
        <v>62</v>
      </c>
      <c r="K3326" t="s">
        <v>38</v>
      </c>
      <c r="L3326">
        <v>1</v>
      </c>
      <c r="M3326">
        <v>139</v>
      </c>
      <c r="N3326">
        <v>13.9</v>
      </c>
      <c r="O3326">
        <v>30</v>
      </c>
      <c r="P3326">
        <v>139</v>
      </c>
      <c r="Q3326">
        <v>155.1</v>
      </c>
      <c r="R3326" t="s">
        <v>112</v>
      </c>
      <c r="S3326" t="s">
        <v>31</v>
      </c>
      <c r="T3326" t="s">
        <v>40</v>
      </c>
      <c r="U3326">
        <v>41</v>
      </c>
      <c r="V3326">
        <v>4.0999999999999996</v>
      </c>
      <c r="W3326">
        <f>Table2[[#This Row],[Quantity]]*Table2[[#This Row],[Item_Price]]</f>
        <v>139</v>
      </c>
    </row>
    <row r="3327" spans="1:23" x14ac:dyDescent="0.25">
      <c r="A3327" t="s">
        <v>3428</v>
      </c>
      <c r="B3327" s="1">
        <v>45899</v>
      </c>
      <c r="C3327" t="s">
        <v>3008</v>
      </c>
      <c r="D3327">
        <v>8</v>
      </c>
      <c r="E3327">
        <v>30</v>
      </c>
      <c r="F3327" t="s">
        <v>134</v>
      </c>
      <c r="G3327" t="s">
        <v>115</v>
      </c>
      <c r="H3327" t="s">
        <v>42</v>
      </c>
      <c r="I3327" t="s">
        <v>43</v>
      </c>
      <c r="J3327" t="s">
        <v>50</v>
      </c>
      <c r="K3327" t="s">
        <v>38</v>
      </c>
      <c r="L3327">
        <v>2</v>
      </c>
      <c r="M3327">
        <v>531</v>
      </c>
      <c r="N3327">
        <v>53.1</v>
      </c>
      <c r="O3327">
        <v>30</v>
      </c>
      <c r="P3327">
        <v>1062</v>
      </c>
      <c r="Q3327">
        <v>1038.9000000000001</v>
      </c>
      <c r="R3327" t="s">
        <v>39</v>
      </c>
      <c r="S3327" t="s">
        <v>31</v>
      </c>
      <c r="T3327" t="s">
        <v>40</v>
      </c>
      <c r="U3327">
        <v>64</v>
      </c>
      <c r="V3327">
        <v>2.9</v>
      </c>
      <c r="W3327">
        <f>Table2[[#This Row],[Quantity]]*Table2[[#This Row],[Item_Price]]</f>
        <v>1062</v>
      </c>
    </row>
    <row r="3328" spans="1:23" x14ac:dyDescent="0.25">
      <c r="A3328" t="s">
        <v>3429</v>
      </c>
      <c r="B3328" s="1">
        <v>45899</v>
      </c>
      <c r="C3328" t="s">
        <v>3008</v>
      </c>
      <c r="D3328">
        <v>8</v>
      </c>
      <c r="E3328">
        <v>30</v>
      </c>
      <c r="F3328" t="s">
        <v>134</v>
      </c>
      <c r="G3328" t="s">
        <v>90</v>
      </c>
      <c r="H3328" t="s">
        <v>108</v>
      </c>
      <c r="I3328" t="s">
        <v>103</v>
      </c>
      <c r="J3328" t="s">
        <v>101</v>
      </c>
      <c r="K3328" t="s">
        <v>38</v>
      </c>
      <c r="L3328">
        <v>3</v>
      </c>
      <c r="M3328">
        <v>485</v>
      </c>
      <c r="N3328">
        <v>48.5</v>
      </c>
      <c r="O3328">
        <v>30</v>
      </c>
      <c r="P3328">
        <v>1455</v>
      </c>
      <c r="Q3328">
        <v>1436.5</v>
      </c>
      <c r="R3328" t="s">
        <v>112</v>
      </c>
      <c r="S3328" t="s">
        <v>31</v>
      </c>
      <c r="T3328" t="s">
        <v>32</v>
      </c>
      <c r="U3328">
        <v>50</v>
      </c>
      <c r="V3328">
        <v>4.7</v>
      </c>
      <c r="W3328">
        <f>Table2[[#This Row],[Quantity]]*Table2[[#This Row],[Item_Price]]</f>
        <v>1455</v>
      </c>
    </row>
    <row r="3329" spans="1:23" x14ac:dyDescent="0.25">
      <c r="A3329" t="s">
        <v>3430</v>
      </c>
      <c r="B3329" s="1">
        <v>45899</v>
      </c>
      <c r="C3329" t="s">
        <v>3008</v>
      </c>
      <c r="D3329">
        <v>8</v>
      </c>
      <c r="E3329">
        <v>30</v>
      </c>
      <c r="F3329" t="s">
        <v>134</v>
      </c>
      <c r="G3329" t="s">
        <v>80</v>
      </c>
      <c r="H3329" t="s">
        <v>105</v>
      </c>
      <c r="I3329" t="s">
        <v>36</v>
      </c>
      <c r="J3329" t="s">
        <v>82</v>
      </c>
      <c r="K3329" t="s">
        <v>38</v>
      </c>
      <c r="L3329">
        <v>2</v>
      </c>
      <c r="M3329">
        <v>831</v>
      </c>
      <c r="N3329">
        <v>83.1</v>
      </c>
      <c r="O3329">
        <v>70</v>
      </c>
      <c r="P3329">
        <v>1662</v>
      </c>
      <c r="Q3329">
        <v>1648.9</v>
      </c>
      <c r="R3329" t="s">
        <v>75</v>
      </c>
      <c r="S3329" t="s">
        <v>31</v>
      </c>
      <c r="T3329" t="s">
        <v>32</v>
      </c>
      <c r="U3329">
        <v>36</v>
      </c>
      <c r="V3329">
        <v>3.1</v>
      </c>
      <c r="W3329">
        <f>Table2[[#This Row],[Quantity]]*Table2[[#This Row],[Item_Price]]</f>
        <v>1662</v>
      </c>
    </row>
    <row r="3330" spans="1:23" x14ac:dyDescent="0.25">
      <c r="A3330" t="s">
        <v>3431</v>
      </c>
      <c r="B3330" s="1">
        <v>45899</v>
      </c>
      <c r="C3330" t="s">
        <v>3008</v>
      </c>
      <c r="D3330">
        <v>8</v>
      </c>
      <c r="E3330">
        <v>30</v>
      </c>
      <c r="F3330" t="s">
        <v>134</v>
      </c>
      <c r="G3330" t="s">
        <v>25</v>
      </c>
      <c r="H3330" t="s">
        <v>105</v>
      </c>
      <c r="I3330" t="s">
        <v>57</v>
      </c>
      <c r="J3330" t="s">
        <v>94</v>
      </c>
      <c r="K3330" t="s">
        <v>38</v>
      </c>
      <c r="L3330">
        <v>2</v>
      </c>
      <c r="M3330">
        <v>343</v>
      </c>
      <c r="N3330">
        <v>0</v>
      </c>
      <c r="O3330">
        <v>60</v>
      </c>
      <c r="P3330">
        <v>686</v>
      </c>
      <c r="Q3330">
        <v>746</v>
      </c>
      <c r="R3330" t="s">
        <v>39</v>
      </c>
      <c r="S3330" t="s">
        <v>31</v>
      </c>
      <c r="T3330" t="s">
        <v>40</v>
      </c>
      <c r="U3330">
        <v>25</v>
      </c>
      <c r="V3330">
        <v>3.5</v>
      </c>
      <c r="W3330">
        <f>Table2[[#This Row],[Quantity]]*Table2[[#This Row],[Item_Price]]</f>
        <v>686</v>
      </c>
    </row>
    <row r="3331" spans="1:23" x14ac:dyDescent="0.25">
      <c r="A3331" t="s">
        <v>3432</v>
      </c>
      <c r="B3331" s="1">
        <v>45899</v>
      </c>
      <c r="C3331" t="s">
        <v>3008</v>
      </c>
      <c r="D3331">
        <v>8</v>
      </c>
      <c r="E3331">
        <v>30</v>
      </c>
      <c r="F3331" t="s">
        <v>134</v>
      </c>
      <c r="G3331" t="s">
        <v>90</v>
      </c>
      <c r="H3331" t="s">
        <v>139</v>
      </c>
      <c r="I3331" t="s">
        <v>103</v>
      </c>
      <c r="J3331" t="s">
        <v>82</v>
      </c>
      <c r="K3331" t="s">
        <v>58</v>
      </c>
      <c r="L3331">
        <v>2</v>
      </c>
      <c r="M3331">
        <v>484</v>
      </c>
      <c r="N3331">
        <v>96.8</v>
      </c>
      <c r="O3331">
        <v>40</v>
      </c>
      <c r="P3331">
        <v>968</v>
      </c>
      <c r="Q3331">
        <v>911.2</v>
      </c>
      <c r="R3331" t="s">
        <v>39</v>
      </c>
      <c r="S3331" t="s">
        <v>31</v>
      </c>
      <c r="T3331" t="s">
        <v>32</v>
      </c>
      <c r="U3331">
        <v>39</v>
      </c>
      <c r="V3331">
        <v>3</v>
      </c>
      <c r="W3331">
        <f>Table2[[#This Row],[Quantity]]*Table2[[#This Row],[Item_Price]]</f>
        <v>968</v>
      </c>
    </row>
    <row r="3332" spans="1:23" x14ac:dyDescent="0.25">
      <c r="A3332" t="s">
        <v>3433</v>
      </c>
      <c r="B3332" s="1">
        <v>45899</v>
      </c>
      <c r="C3332" t="s">
        <v>3008</v>
      </c>
      <c r="D3332">
        <v>8</v>
      </c>
      <c r="E3332">
        <v>30</v>
      </c>
      <c r="F3332" t="s">
        <v>134</v>
      </c>
      <c r="G3332" t="s">
        <v>80</v>
      </c>
      <c r="H3332" t="s">
        <v>108</v>
      </c>
      <c r="I3332" t="s">
        <v>103</v>
      </c>
      <c r="J3332" t="s">
        <v>101</v>
      </c>
      <c r="K3332" t="s">
        <v>38</v>
      </c>
      <c r="L3332">
        <v>1</v>
      </c>
      <c r="M3332">
        <v>437</v>
      </c>
      <c r="N3332">
        <v>21.85</v>
      </c>
      <c r="O3332">
        <v>30</v>
      </c>
      <c r="P3332">
        <v>437</v>
      </c>
      <c r="Q3332">
        <v>445.15</v>
      </c>
      <c r="R3332" t="s">
        <v>30</v>
      </c>
      <c r="S3332" t="s">
        <v>31</v>
      </c>
      <c r="T3332" t="s">
        <v>32</v>
      </c>
      <c r="U3332">
        <v>31</v>
      </c>
      <c r="V3332">
        <v>3.9</v>
      </c>
      <c r="W3332">
        <f>Table2[[#This Row],[Quantity]]*Table2[[#This Row],[Item_Price]]</f>
        <v>437</v>
      </c>
    </row>
    <row r="3333" spans="1:23" x14ac:dyDescent="0.25">
      <c r="A3333" t="s">
        <v>3434</v>
      </c>
      <c r="B3333" s="1">
        <v>45899</v>
      </c>
      <c r="C3333" t="s">
        <v>3008</v>
      </c>
      <c r="D3333">
        <v>8</v>
      </c>
      <c r="E3333">
        <v>30</v>
      </c>
      <c r="F3333" t="s">
        <v>134</v>
      </c>
      <c r="G3333" t="s">
        <v>115</v>
      </c>
      <c r="H3333" t="s">
        <v>81</v>
      </c>
      <c r="I3333" t="s">
        <v>97</v>
      </c>
      <c r="J3333" t="s">
        <v>62</v>
      </c>
      <c r="K3333" t="s">
        <v>45</v>
      </c>
      <c r="L3333">
        <v>1</v>
      </c>
      <c r="M3333">
        <v>491</v>
      </c>
      <c r="N3333">
        <v>0</v>
      </c>
      <c r="O3333">
        <v>70</v>
      </c>
      <c r="P3333">
        <v>491</v>
      </c>
      <c r="Q3333">
        <v>561</v>
      </c>
      <c r="R3333" t="s">
        <v>75</v>
      </c>
      <c r="S3333" t="s">
        <v>31</v>
      </c>
      <c r="T3333" t="s">
        <v>32</v>
      </c>
      <c r="U3333">
        <v>65</v>
      </c>
      <c r="V3333">
        <v>4</v>
      </c>
      <c r="W3333">
        <f>Table2[[#This Row],[Quantity]]*Table2[[#This Row],[Item_Price]]</f>
        <v>491</v>
      </c>
    </row>
    <row r="3334" spans="1:23" x14ac:dyDescent="0.25">
      <c r="A3334" t="s">
        <v>3435</v>
      </c>
      <c r="B3334" s="1">
        <v>45899</v>
      </c>
      <c r="C3334" t="s">
        <v>3008</v>
      </c>
      <c r="D3334">
        <v>8</v>
      </c>
      <c r="E3334">
        <v>30</v>
      </c>
      <c r="F3334" t="s">
        <v>134</v>
      </c>
      <c r="G3334" t="s">
        <v>55</v>
      </c>
      <c r="H3334" t="s">
        <v>108</v>
      </c>
      <c r="I3334" t="s">
        <v>36</v>
      </c>
      <c r="J3334" t="s">
        <v>37</v>
      </c>
      <c r="K3334" t="s">
        <v>38</v>
      </c>
      <c r="L3334">
        <v>2</v>
      </c>
      <c r="M3334">
        <v>290</v>
      </c>
      <c r="N3334">
        <v>29</v>
      </c>
      <c r="O3334">
        <v>40</v>
      </c>
      <c r="P3334">
        <v>580</v>
      </c>
      <c r="Q3334">
        <v>591</v>
      </c>
      <c r="R3334" t="s">
        <v>98</v>
      </c>
      <c r="S3334" t="s">
        <v>31</v>
      </c>
      <c r="T3334" t="s">
        <v>32</v>
      </c>
      <c r="U3334">
        <v>18</v>
      </c>
      <c r="V3334">
        <v>3.6</v>
      </c>
      <c r="W3334">
        <f>Table2[[#This Row],[Quantity]]*Table2[[#This Row],[Item_Price]]</f>
        <v>580</v>
      </c>
    </row>
    <row r="3335" spans="1:23" x14ac:dyDescent="0.25">
      <c r="A3335" t="s">
        <v>3436</v>
      </c>
      <c r="B3335" s="1">
        <v>45899</v>
      </c>
      <c r="C3335" t="s">
        <v>3008</v>
      </c>
      <c r="D3335">
        <v>8</v>
      </c>
      <c r="E3335">
        <v>30</v>
      </c>
      <c r="F3335" t="s">
        <v>134</v>
      </c>
      <c r="G3335" t="s">
        <v>64</v>
      </c>
      <c r="H3335" t="s">
        <v>139</v>
      </c>
      <c r="I3335" t="s">
        <v>57</v>
      </c>
      <c r="J3335" t="s">
        <v>119</v>
      </c>
      <c r="K3335" t="s">
        <v>45</v>
      </c>
      <c r="L3335">
        <v>1</v>
      </c>
      <c r="M3335">
        <v>865</v>
      </c>
      <c r="N3335">
        <v>43.25</v>
      </c>
      <c r="O3335">
        <v>40</v>
      </c>
      <c r="P3335">
        <v>865</v>
      </c>
      <c r="Q3335">
        <v>861.75</v>
      </c>
      <c r="R3335" t="s">
        <v>39</v>
      </c>
      <c r="S3335" t="s">
        <v>31</v>
      </c>
      <c r="T3335" t="s">
        <v>40</v>
      </c>
      <c r="U3335">
        <v>31</v>
      </c>
      <c r="V3335">
        <v>4.4000000000000004</v>
      </c>
      <c r="W3335">
        <f>Table2[[#This Row],[Quantity]]*Table2[[#This Row],[Item_Price]]</f>
        <v>865</v>
      </c>
    </row>
    <row r="3336" spans="1:23" x14ac:dyDescent="0.25">
      <c r="A3336" t="s">
        <v>3437</v>
      </c>
      <c r="B3336" s="1">
        <v>45899</v>
      </c>
      <c r="C3336" t="s">
        <v>3008</v>
      </c>
      <c r="D3336">
        <v>8</v>
      </c>
      <c r="E3336">
        <v>30</v>
      </c>
      <c r="F3336" t="s">
        <v>134</v>
      </c>
      <c r="G3336" t="s">
        <v>73</v>
      </c>
      <c r="H3336" t="s">
        <v>139</v>
      </c>
      <c r="I3336" t="s">
        <v>43</v>
      </c>
      <c r="J3336" t="s">
        <v>44</v>
      </c>
      <c r="K3336" t="s">
        <v>38</v>
      </c>
      <c r="L3336">
        <v>1</v>
      </c>
      <c r="M3336">
        <v>463</v>
      </c>
      <c r="N3336">
        <v>46.3</v>
      </c>
      <c r="O3336">
        <v>40</v>
      </c>
      <c r="P3336">
        <v>463</v>
      </c>
      <c r="Q3336">
        <v>456.7</v>
      </c>
      <c r="R3336" t="s">
        <v>112</v>
      </c>
      <c r="S3336" t="s">
        <v>31</v>
      </c>
      <c r="T3336" t="s">
        <v>40</v>
      </c>
      <c r="U3336">
        <v>58</v>
      </c>
      <c r="V3336">
        <v>3.7</v>
      </c>
      <c r="W3336">
        <f>Table2[[#This Row],[Quantity]]*Table2[[#This Row],[Item_Price]]</f>
        <v>463</v>
      </c>
    </row>
    <row r="3337" spans="1:23" x14ac:dyDescent="0.25">
      <c r="A3337" t="s">
        <v>3438</v>
      </c>
      <c r="B3337" s="1">
        <v>45899</v>
      </c>
      <c r="C3337" t="s">
        <v>3008</v>
      </c>
      <c r="D3337">
        <v>8</v>
      </c>
      <c r="E3337">
        <v>30</v>
      </c>
      <c r="F3337" t="s">
        <v>134</v>
      </c>
      <c r="G3337" t="s">
        <v>34</v>
      </c>
      <c r="H3337" t="s">
        <v>52</v>
      </c>
      <c r="I3337" t="s">
        <v>36</v>
      </c>
      <c r="J3337" t="s">
        <v>37</v>
      </c>
      <c r="K3337" t="s">
        <v>38</v>
      </c>
      <c r="L3337">
        <v>1</v>
      </c>
      <c r="M3337">
        <v>712</v>
      </c>
      <c r="N3337">
        <v>178</v>
      </c>
      <c r="O3337">
        <v>20</v>
      </c>
      <c r="P3337">
        <v>712</v>
      </c>
      <c r="Q3337">
        <v>554</v>
      </c>
      <c r="R3337" t="s">
        <v>75</v>
      </c>
      <c r="S3337" t="s">
        <v>31</v>
      </c>
      <c r="T3337" t="s">
        <v>40</v>
      </c>
      <c r="U3337">
        <v>59</v>
      </c>
      <c r="V3337">
        <v>3.1</v>
      </c>
      <c r="W3337">
        <f>Table2[[#This Row],[Quantity]]*Table2[[#This Row],[Item_Price]]</f>
        <v>712</v>
      </c>
    </row>
    <row r="3338" spans="1:23" x14ac:dyDescent="0.25">
      <c r="A3338" t="s">
        <v>3439</v>
      </c>
      <c r="B3338" s="1">
        <v>45900</v>
      </c>
      <c r="C3338" t="s">
        <v>3008</v>
      </c>
      <c r="D3338">
        <v>8</v>
      </c>
      <c r="E3338">
        <v>31</v>
      </c>
      <c r="F3338" t="s">
        <v>149</v>
      </c>
      <c r="G3338" t="s">
        <v>73</v>
      </c>
      <c r="H3338" t="s">
        <v>35</v>
      </c>
      <c r="I3338" t="s">
        <v>61</v>
      </c>
      <c r="J3338" t="s">
        <v>74</v>
      </c>
      <c r="K3338" t="s">
        <v>58</v>
      </c>
      <c r="L3338">
        <v>3</v>
      </c>
      <c r="M3338">
        <v>268</v>
      </c>
      <c r="N3338">
        <v>53.6</v>
      </c>
      <c r="O3338">
        <v>0</v>
      </c>
      <c r="P3338">
        <v>804</v>
      </c>
      <c r="Q3338">
        <v>750.4</v>
      </c>
      <c r="R3338" t="s">
        <v>39</v>
      </c>
      <c r="S3338" t="s">
        <v>31</v>
      </c>
      <c r="T3338" t="s">
        <v>32</v>
      </c>
      <c r="U3338">
        <v>20</v>
      </c>
      <c r="V3338">
        <v>4.3</v>
      </c>
      <c r="W3338">
        <f>Table2[[#This Row],[Quantity]]*Table2[[#This Row],[Item_Price]]</f>
        <v>804</v>
      </c>
    </row>
    <row r="3339" spans="1:23" x14ac:dyDescent="0.25">
      <c r="A3339" t="s">
        <v>3440</v>
      </c>
      <c r="B3339" s="1">
        <v>45900</v>
      </c>
      <c r="C3339" t="s">
        <v>3008</v>
      </c>
      <c r="D3339">
        <v>8</v>
      </c>
      <c r="E3339">
        <v>31</v>
      </c>
      <c r="F3339" t="s">
        <v>149</v>
      </c>
      <c r="G3339" t="s">
        <v>34</v>
      </c>
      <c r="H3339" t="s">
        <v>108</v>
      </c>
      <c r="I3339" t="s">
        <v>49</v>
      </c>
      <c r="J3339" t="s">
        <v>101</v>
      </c>
      <c r="K3339" t="s">
        <v>45</v>
      </c>
      <c r="L3339">
        <v>2</v>
      </c>
      <c r="M3339">
        <v>749</v>
      </c>
      <c r="N3339">
        <v>74.900000000000006</v>
      </c>
      <c r="O3339">
        <v>70</v>
      </c>
      <c r="P3339">
        <v>1498</v>
      </c>
      <c r="Q3339">
        <v>1493.1</v>
      </c>
      <c r="R3339" t="s">
        <v>30</v>
      </c>
      <c r="S3339" t="s">
        <v>31</v>
      </c>
      <c r="T3339" t="s">
        <v>40</v>
      </c>
      <c r="U3339">
        <v>52</v>
      </c>
      <c r="V3339">
        <v>5</v>
      </c>
      <c r="W3339">
        <f>Table2[[#This Row],[Quantity]]*Table2[[#This Row],[Item_Price]]</f>
        <v>1498</v>
      </c>
    </row>
    <row r="3340" spans="1:23" x14ac:dyDescent="0.25">
      <c r="A3340" t="s">
        <v>3441</v>
      </c>
      <c r="B3340" s="1">
        <v>45900</v>
      </c>
      <c r="C3340" t="s">
        <v>3008</v>
      </c>
      <c r="D3340">
        <v>8</v>
      </c>
      <c r="E3340">
        <v>31</v>
      </c>
      <c r="F3340" t="s">
        <v>149</v>
      </c>
      <c r="G3340" t="s">
        <v>64</v>
      </c>
      <c r="H3340" t="s">
        <v>35</v>
      </c>
      <c r="I3340" t="s">
        <v>36</v>
      </c>
      <c r="J3340" t="s">
        <v>50</v>
      </c>
      <c r="K3340" t="s">
        <v>45</v>
      </c>
      <c r="L3340">
        <v>1</v>
      </c>
      <c r="M3340">
        <v>141</v>
      </c>
      <c r="N3340">
        <v>21.15</v>
      </c>
      <c r="O3340">
        <v>50</v>
      </c>
      <c r="P3340">
        <v>141</v>
      </c>
      <c r="Q3340">
        <v>169.85</v>
      </c>
      <c r="R3340" t="s">
        <v>98</v>
      </c>
      <c r="S3340" t="s">
        <v>31</v>
      </c>
      <c r="T3340" t="s">
        <v>40</v>
      </c>
      <c r="U3340">
        <v>64</v>
      </c>
      <c r="V3340">
        <v>4</v>
      </c>
      <c r="W3340">
        <f>Table2[[#This Row],[Quantity]]*Table2[[#This Row],[Item_Price]]</f>
        <v>141</v>
      </c>
    </row>
    <row r="3341" spans="1:23" x14ac:dyDescent="0.25">
      <c r="A3341" t="s">
        <v>3442</v>
      </c>
      <c r="B3341" s="1">
        <v>45900</v>
      </c>
      <c r="C3341" t="s">
        <v>3008</v>
      </c>
      <c r="D3341">
        <v>8</v>
      </c>
      <c r="E3341">
        <v>31</v>
      </c>
      <c r="F3341" t="s">
        <v>149</v>
      </c>
      <c r="G3341" t="s">
        <v>115</v>
      </c>
      <c r="H3341" t="s">
        <v>48</v>
      </c>
      <c r="I3341" t="s">
        <v>49</v>
      </c>
      <c r="J3341" t="s">
        <v>28</v>
      </c>
      <c r="K3341" t="s">
        <v>45</v>
      </c>
      <c r="L3341">
        <v>1</v>
      </c>
      <c r="M3341">
        <v>762</v>
      </c>
      <c r="N3341">
        <v>76.2</v>
      </c>
      <c r="O3341">
        <v>70</v>
      </c>
      <c r="P3341">
        <v>762</v>
      </c>
      <c r="Q3341">
        <v>755.8</v>
      </c>
      <c r="R3341" t="s">
        <v>75</v>
      </c>
      <c r="S3341" t="s">
        <v>31</v>
      </c>
      <c r="T3341" t="s">
        <v>32</v>
      </c>
      <c r="U3341">
        <v>51</v>
      </c>
      <c r="V3341">
        <v>4.3</v>
      </c>
      <c r="W3341">
        <f>Table2[[#This Row],[Quantity]]*Table2[[#This Row],[Item_Price]]</f>
        <v>762</v>
      </c>
    </row>
    <row r="3342" spans="1:23" x14ac:dyDescent="0.25">
      <c r="A3342" t="s">
        <v>3443</v>
      </c>
      <c r="B3342" s="1">
        <v>45900</v>
      </c>
      <c r="C3342" t="s">
        <v>3008</v>
      </c>
      <c r="D3342">
        <v>8</v>
      </c>
      <c r="E3342">
        <v>31</v>
      </c>
      <c r="F3342" t="s">
        <v>149</v>
      </c>
      <c r="G3342" t="s">
        <v>84</v>
      </c>
      <c r="H3342" t="s">
        <v>60</v>
      </c>
      <c r="I3342" t="s">
        <v>57</v>
      </c>
      <c r="J3342" t="s">
        <v>78</v>
      </c>
      <c r="K3342" t="s">
        <v>38</v>
      </c>
      <c r="L3342">
        <v>1</v>
      </c>
      <c r="M3342">
        <v>139</v>
      </c>
      <c r="N3342">
        <v>13.9</v>
      </c>
      <c r="O3342">
        <v>50</v>
      </c>
      <c r="P3342">
        <v>139</v>
      </c>
      <c r="Q3342">
        <v>175.1</v>
      </c>
      <c r="R3342" t="s">
        <v>98</v>
      </c>
      <c r="S3342" t="s">
        <v>91</v>
      </c>
      <c r="T3342" t="s">
        <v>40</v>
      </c>
      <c r="U3342">
        <v>42</v>
      </c>
      <c r="W3342">
        <f>Table2[[#This Row],[Quantity]]*Table2[[#This Row],[Item_Price]]</f>
        <v>139</v>
      </c>
    </row>
    <row r="3343" spans="1:23" x14ac:dyDescent="0.25">
      <c r="A3343" t="s">
        <v>3444</v>
      </c>
      <c r="B3343" s="1">
        <v>45900</v>
      </c>
      <c r="C3343" t="s">
        <v>3008</v>
      </c>
      <c r="D3343">
        <v>8</v>
      </c>
      <c r="E3343">
        <v>31</v>
      </c>
      <c r="F3343" t="s">
        <v>149</v>
      </c>
      <c r="G3343" t="s">
        <v>73</v>
      </c>
      <c r="H3343" t="s">
        <v>108</v>
      </c>
      <c r="I3343" t="s">
        <v>103</v>
      </c>
      <c r="J3343" t="s">
        <v>74</v>
      </c>
      <c r="K3343" t="s">
        <v>45</v>
      </c>
      <c r="L3343">
        <v>2</v>
      </c>
      <c r="M3343">
        <v>336</v>
      </c>
      <c r="N3343">
        <v>67.2</v>
      </c>
      <c r="O3343">
        <v>70</v>
      </c>
      <c r="P3343">
        <v>672</v>
      </c>
      <c r="Q3343">
        <v>674.8</v>
      </c>
      <c r="R3343" t="s">
        <v>112</v>
      </c>
      <c r="S3343" t="s">
        <v>31</v>
      </c>
      <c r="T3343" t="s">
        <v>40</v>
      </c>
      <c r="U3343">
        <v>39</v>
      </c>
      <c r="V3343">
        <v>3.2</v>
      </c>
      <c r="W3343">
        <f>Table2[[#This Row],[Quantity]]*Table2[[#This Row],[Item_Price]]</f>
        <v>672</v>
      </c>
    </row>
    <row r="3344" spans="1:23" x14ac:dyDescent="0.25">
      <c r="A3344" t="s">
        <v>3445</v>
      </c>
      <c r="B3344" s="1">
        <v>45900</v>
      </c>
      <c r="C3344" t="s">
        <v>3008</v>
      </c>
      <c r="D3344">
        <v>8</v>
      </c>
      <c r="E3344">
        <v>31</v>
      </c>
      <c r="F3344" t="s">
        <v>149</v>
      </c>
      <c r="G3344" t="s">
        <v>73</v>
      </c>
      <c r="H3344" t="s">
        <v>68</v>
      </c>
      <c r="I3344" t="s">
        <v>97</v>
      </c>
      <c r="J3344" t="s">
        <v>53</v>
      </c>
      <c r="K3344" t="s">
        <v>38</v>
      </c>
      <c r="L3344">
        <v>1</v>
      </c>
      <c r="M3344">
        <v>694</v>
      </c>
      <c r="N3344">
        <v>34.700000000000003</v>
      </c>
      <c r="O3344">
        <v>20</v>
      </c>
      <c r="P3344">
        <v>694</v>
      </c>
      <c r="Q3344">
        <v>679.3</v>
      </c>
      <c r="R3344" t="s">
        <v>39</v>
      </c>
      <c r="S3344" t="s">
        <v>91</v>
      </c>
      <c r="T3344" t="s">
        <v>40</v>
      </c>
      <c r="U3344">
        <v>19</v>
      </c>
      <c r="W3344">
        <f>Table2[[#This Row],[Quantity]]*Table2[[#This Row],[Item_Price]]</f>
        <v>694</v>
      </c>
    </row>
    <row r="3345" spans="1:23" x14ac:dyDescent="0.25">
      <c r="A3345" t="s">
        <v>3446</v>
      </c>
      <c r="B3345" s="1">
        <v>45900</v>
      </c>
      <c r="C3345" t="s">
        <v>3008</v>
      </c>
      <c r="D3345">
        <v>8</v>
      </c>
      <c r="E3345">
        <v>31</v>
      </c>
      <c r="F3345" t="s">
        <v>149</v>
      </c>
      <c r="G3345" t="s">
        <v>25</v>
      </c>
      <c r="H3345" t="s">
        <v>52</v>
      </c>
      <c r="I3345" t="s">
        <v>85</v>
      </c>
      <c r="J3345" t="s">
        <v>78</v>
      </c>
      <c r="K3345" t="s">
        <v>38</v>
      </c>
      <c r="L3345">
        <v>3</v>
      </c>
      <c r="M3345">
        <v>338</v>
      </c>
      <c r="N3345">
        <v>50.7</v>
      </c>
      <c r="O3345">
        <v>0</v>
      </c>
      <c r="P3345">
        <v>1014</v>
      </c>
      <c r="Q3345">
        <v>963.3</v>
      </c>
      <c r="R3345" t="s">
        <v>39</v>
      </c>
      <c r="S3345" t="s">
        <v>31</v>
      </c>
      <c r="T3345" t="s">
        <v>32</v>
      </c>
      <c r="U3345">
        <v>50</v>
      </c>
      <c r="V3345">
        <v>4.4000000000000004</v>
      </c>
      <c r="W3345">
        <f>Table2[[#This Row],[Quantity]]*Table2[[#This Row],[Item_Price]]</f>
        <v>1014</v>
      </c>
    </row>
    <row r="3346" spans="1:23" x14ac:dyDescent="0.25">
      <c r="A3346" t="s">
        <v>3447</v>
      </c>
      <c r="B3346" s="1">
        <v>45900</v>
      </c>
      <c r="C3346" t="s">
        <v>3008</v>
      </c>
      <c r="D3346">
        <v>8</v>
      </c>
      <c r="E3346">
        <v>31</v>
      </c>
      <c r="F3346" t="s">
        <v>149</v>
      </c>
      <c r="G3346" t="s">
        <v>90</v>
      </c>
      <c r="H3346" t="s">
        <v>65</v>
      </c>
      <c r="I3346" t="s">
        <v>57</v>
      </c>
      <c r="J3346" t="s">
        <v>82</v>
      </c>
      <c r="K3346" t="s">
        <v>38</v>
      </c>
      <c r="L3346">
        <v>1</v>
      </c>
      <c r="M3346">
        <v>489</v>
      </c>
      <c r="N3346">
        <v>73.349999999999994</v>
      </c>
      <c r="O3346">
        <v>40</v>
      </c>
      <c r="P3346">
        <v>489</v>
      </c>
      <c r="Q3346">
        <v>455.65</v>
      </c>
      <c r="R3346" t="s">
        <v>98</v>
      </c>
      <c r="S3346" t="s">
        <v>31</v>
      </c>
      <c r="T3346" t="s">
        <v>32</v>
      </c>
      <c r="U3346">
        <v>41</v>
      </c>
      <c r="V3346">
        <v>4.0999999999999996</v>
      </c>
      <c r="W3346">
        <f>Table2[[#This Row],[Quantity]]*Table2[[#This Row],[Item_Price]]</f>
        <v>489</v>
      </c>
    </row>
    <row r="3347" spans="1:23" x14ac:dyDescent="0.25">
      <c r="A3347" t="s">
        <v>3448</v>
      </c>
      <c r="B3347" s="1">
        <v>45900</v>
      </c>
      <c r="C3347" t="s">
        <v>3008</v>
      </c>
      <c r="D3347">
        <v>8</v>
      </c>
      <c r="E3347">
        <v>31</v>
      </c>
      <c r="F3347" t="s">
        <v>149</v>
      </c>
      <c r="G3347" t="s">
        <v>90</v>
      </c>
      <c r="H3347" t="s">
        <v>108</v>
      </c>
      <c r="I3347" t="s">
        <v>27</v>
      </c>
      <c r="J3347" t="s">
        <v>119</v>
      </c>
      <c r="K3347" t="s">
        <v>45</v>
      </c>
      <c r="L3347">
        <v>2</v>
      </c>
      <c r="M3347">
        <v>875</v>
      </c>
      <c r="N3347">
        <v>175</v>
      </c>
      <c r="O3347">
        <v>20</v>
      </c>
      <c r="P3347">
        <v>1750</v>
      </c>
      <c r="Q3347">
        <v>1595</v>
      </c>
      <c r="R3347" t="s">
        <v>39</v>
      </c>
      <c r="S3347" t="s">
        <v>31</v>
      </c>
      <c r="T3347" t="s">
        <v>40</v>
      </c>
      <c r="U3347">
        <v>45</v>
      </c>
      <c r="V3347">
        <v>4.4000000000000004</v>
      </c>
      <c r="W3347">
        <f>Table2[[#This Row],[Quantity]]*Table2[[#This Row],[Item_Price]]</f>
        <v>1750</v>
      </c>
    </row>
    <row r="3348" spans="1:23" x14ac:dyDescent="0.25">
      <c r="A3348" t="s">
        <v>3449</v>
      </c>
      <c r="B3348" s="1">
        <v>45901</v>
      </c>
      <c r="C3348" t="s">
        <v>3450</v>
      </c>
      <c r="D3348">
        <v>9</v>
      </c>
      <c r="E3348">
        <v>1</v>
      </c>
      <c r="F3348" t="s">
        <v>168</v>
      </c>
      <c r="G3348" t="s">
        <v>96</v>
      </c>
      <c r="H3348" t="s">
        <v>108</v>
      </c>
      <c r="I3348" t="s">
        <v>43</v>
      </c>
      <c r="J3348" t="s">
        <v>70</v>
      </c>
      <c r="K3348" t="s">
        <v>38</v>
      </c>
      <c r="L3348">
        <v>3</v>
      </c>
      <c r="M3348">
        <v>209</v>
      </c>
      <c r="N3348">
        <v>31.35</v>
      </c>
      <c r="O3348">
        <v>30</v>
      </c>
      <c r="P3348">
        <v>627</v>
      </c>
      <c r="Q3348">
        <v>625.65</v>
      </c>
      <c r="R3348" t="s">
        <v>39</v>
      </c>
      <c r="S3348" t="s">
        <v>91</v>
      </c>
      <c r="T3348" t="s">
        <v>40</v>
      </c>
      <c r="U3348">
        <v>47</v>
      </c>
      <c r="W3348">
        <f>Table2[[#This Row],[Quantity]]*Table2[[#This Row],[Item_Price]]</f>
        <v>627</v>
      </c>
    </row>
    <row r="3349" spans="1:23" x14ac:dyDescent="0.25">
      <c r="A3349" t="s">
        <v>3451</v>
      </c>
      <c r="B3349" s="1">
        <v>45901</v>
      </c>
      <c r="C3349" t="s">
        <v>3450</v>
      </c>
      <c r="D3349">
        <v>9</v>
      </c>
      <c r="E3349">
        <v>1</v>
      </c>
      <c r="F3349" t="s">
        <v>168</v>
      </c>
      <c r="G3349" t="s">
        <v>80</v>
      </c>
      <c r="H3349" t="s">
        <v>26</v>
      </c>
      <c r="I3349" t="s">
        <v>103</v>
      </c>
      <c r="J3349" t="s">
        <v>37</v>
      </c>
      <c r="K3349" t="s">
        <v>38</v>
      </c>
      <c r="L3349">
        <v>2</v>
      </c>
      <c r="M3349">
        <v>742</v>
      </c>
      <c r="N3349">
        <v>74.2</v>
      </c>
      <c r="O3349">
        <v>60</v>
      </c>
      <c r="P3349">
        <v>1484</v>
      </c>
      <c r="Q3349">
        <v>1469.8</v>
      </c>
      <c r="R3349" t="s">
        <v>30</v>
      </c>
      <c r="S3349" t="s">
        <v>31</v>
      </c>
      <c r="T3349" t="s">
        <v>40</v>
      </c>
      <c r="U3349">
        <v>32</v>
      </c>
      <c r="V3349">
        <v>5</v>
      </c>
      <c r="W3349">
        <f>Table2[[#This Row],[Quantity]]*Table2[[#This Row],[Item_Price]]</f>
        <v>1484</v>
      </c>
    </row>
    <row r="3350" spans="1:23" x14ac:dyDescent="0.25">
      <c r="A3350" t="s">
        <v>3452</v>
      </c>
      <c r="B3350" s="1">
        <v>45901</v>
      </c>
      <c r="C3350" t="s">
        <v>3450</v>
      </c>
      <c r="D3350">
        <v>9</v>
      </c>
      <c r="E3350">
        <v>1</v>
      </c>
      <c r="F3350" t="s">
        <v>168</v>
      </c>
      <c r="G3350" t="s">
        <v>55</v>
      </c>
      <c r="H3350" t="s">
        <v>35</v>
      </c>
      <c r="I3350" t="s">
        <v>69</v>
      </c>
      <c r="J3350" t="s">
        <v>44</v>
      </c>
      <c r="K3350" t="s">
        <v>29</v>
      </c>
      <c r="L3350">
        <v>1</v>
      </c>
      <c r="M3350">
        <v>198</v>
      </c>
      <c r="N3350">
        <v>19.8</v>
      </c>
      <c r="O3350">
        <v>70</v>
      </c>
      <c r="P3350">
        <v>198</v>
      </c>
      <c r="Q3350">
        <v>248.2</v>
      </c>
      <c r="R3350" t="s">
        <v>75</v>
      </c>
      <c r="S3350" t="s">
        <v>110</v>
      </c>
      <c r="T3350" t="s">
        <v>40</v>
      </c>
      <c r="U3350">
        <v>41</v>
      </c>
      <c r="W3350">
        <f>Table2[[#This Row],[Quantity]]*Table2[[#This Row],[Item_Price]]</f>
        <v>198</v>
      </c>
    </row>
    <row r="3351" spans="1:23" x14ac:dyDescent="0.25">
      <c r="A3351" t="s">
        <v>3453</v>
      </c>
      <c r="B3351" s="1">
        <v>45901</v>
      </c>
      <c r="C3351" t="s">
        <v>3450</v>
      </c>
      <c r="D3351">
        <v>9</v>
      </c>
      <c r="E3351">
        <v>1</v>
      </c>
      <c r="F3351" t="s">
        <v>168</v>
      </c>
      <c r="G3351" t="s">
        <v>84</v>
      </c>
      <c r="H3351" t="s">
        <v>68</v>
      </c>
      <c r="I3351" t="s">
        <v>61</v>
      </c>
      <c r="J3351" t="s">
        <v>78</v>
      </c>
      <c r="K3351" t="s">
        <v>38</v>
      </c>
      <c r="L3351">
        <v>3</v>
      </c>
      <c r="M3351">
        <v>740</v>
      </c>
      <c r="N3351">
        <v>148</v>
      </c>
      <c r="O3351">
        <v>60</v>
      </c>
      <c r="P3351">
        <v>2220</v>
      </c>
      <c r="Q3351">
        <v>2132</v>
      </c>
      <c r="R3351" t="s">
        <v>112</v>
      </c>
      <c r="S3351" t="s">
        <v>31</v>
      </c>
      <c r="T3351" t="s">
        <v>40</v>
      </c>
      <c r="U3351">
        <v>37</v>
      </c>
      <c r="V3351">
        <v>4.5</v>
      </c>
      <c r="W3351">
        <f>Table2[[#This Row],[Quantity]]*Table2[[#This Row],[Item_Price]]</f>
        <v>2220</v>
      </c>
    </row>
    <row r="3352" spans="1:23" x14ac:dyDescent="0.25">
      <c r="A3352" t="s">
        <v>3454</v>
      </c>
      <c r="B3352" s="1">
        <v>45901</v>
      </c>
      <c r="C3352" t="s">
        <v>3450</v>
      </c>
      <c r="D3352">
        <v>9</v>
      </c>
      <c r="E3352">
        <v>1</v>
      </c>
      <c r="F3352" t="s">
        <v>168</v>
      </c>
      <c r="G3352" t="s">
        <v>34</v>
      </c>
      <c r="H3352" t="s">
        <v>60</v>
      </c>
      <c r="I3352" t="s">
        <v>85</v>
      </c>
      <c r="J3352" t="s">
        <v>53</v>
      </c>
      <c r="K3352" t="s">
        <v>38</v>
      </c>
      <c r="L3352">
        <v>2</v>
      </c>
      <c r="M3352">
        <v>217</v>
      </c>
      <c r="N3352">
        <v>10.85</v>
      </c>
      <c r="O3352">
        <v>20</v>
      </c>
      <c r="P3352">
        <v>434</v>
      </c>
      <c r="Q3352">
        <v>443.15</v>
      </c>
      <c r="R3352" t="s">
        <v>39</v>
      </c>
      <c r="S3352" t="s">
        <v>110</v>
      </c>
      <c r="T3352" t="s">
        <v>40</v>
      </c>
      <c r="U3352">
        <v>28</v>
      </c>
      <c r="W3352">
        <f>Table2[[#This Row],[Quantity]]*Table2[[#This Row],[Item_Price]]</f>
        <v>434</v>
      </c>
    </row>
    <row r="3353" spans="1:23" x14ac:dyDescent="0.25">
      <c r="A3353" t="s">
        <v>3455</v>
      </c>
      <c r="B3353" s="1">
        <v>45901</v>
      </c>
      <c r="C3353" t="s">
        <v>3450</v>
      </c>
      <c r="D3353">
        <v>9</v>
      </c>
      <c r="E3353">
        <v>1</v>
      </c>
      <c r="F3353" t="s">
        <v>168</v>
      </c>
      <c r="G3353" t="s">
        <v>80</v>
      </c>
      <c r="H3353" t="s">
        <v>105</v>
      </c>
      <c r="I3353" t="s">
        <v>43</v>
      </c>
      <c r="J3353" t="s">
        <v>172</v>
      </c>
      <c r="K3353" t="s">
        <v>38</v>
      </c>
      <c r="L3353">
        <v>1</v>
      </c>
      <c r="M3353">
        <v>502</v>
      </c>
      <c r="N3353">
        <v>75.3</v>
      </c>
      <c r="O3353">
        <v>30</v>
      </c>
      <c r="P3353">
        <v>502</v>
      </c>
      <c r="Q3353">
        <v>456.7</v>
      </c>
      <c r="R3353" t="s">
        <v>39</v>
      </c>
      <c r="S3353" t="s">
        <v>31</v>
      </c>
      <c r="T3353" t="s">
        <v>40</v>
      </c>
      <c r="U3353">
        <v>56</v>
      </c>
      <c r="V3353">
        <v>3.9</v>
      </c>
      <c r="W3353">
        <f>Table2[[#This Row],[Quantity]]*Table2[[#This Row],[Item_Price]]</f>
        <v>502</v>
      </c>
    </row>
    <row r="3354" spans="1:23" x14ac:dyDescent="0.25">
      <c r="A3354" t="s">
        <v>3456</v>
      </c>
      <c r="B3354" s="1">
        <v>45902</v>
      </c>
      <c r="C3354" t="s">
        <v>3450</v>
      </c>
      <c r="D3354">
        <v>9</v>
      </c>
      <c r="E3354">
        <v>2</v>
      </c>
      <c r="F3354" t="s">
        <v>178</v>
      </c>
      <c r="G3354" t="s">
        <v>34</v>
      </c>
      <c r="H3354" t="s">
        <v>139</v>
      </c>
      <c r="I3354" t="s">
        <v>69</v>
      </c>
      <c r="J3354" t="s">
        <v>172</v>
      </c>
      <c r="K3354" t="s">
        <v>45</v>
      </c>
      <c r="L3354">
        <v>1</v>
      </c>
      <c r="M3354">
        <v>813</v>
      </c>
      <c r="N3354">
        <v>203.25</v>
      </c>
      <c r="O3354">
        <v>30</v>
      </c>
      <c r="P3354">
        <v>813</v>
      </c>
      <c r="Q3354">
        <v>639.75</v>
      </c>
      <c r="R3354" t="s">
        <v>112</v>
      </c>
      <c r="S3354" t="s">
        <v>31</v>
      </c>
      <c r="T3354" t="s">
        <v>32</v>
      </c>
      <c r="U3354">
        <v>24</v>
      </c>
      <c r="V3354">
        <v>3.4</v>
      </c>
      <c r="W3354">
        <f>Table2[[#This Row],[Quantity]]*Table2[[#This Row],[Item_Price]]</f>
        <v>813</v>
      </c>
    </row>
    <row r="3355" spans="1:23" x14ac:dyDescent="0.25">
      <c r="A3355" t="s">
        <v>3457</v>
      </c>
      <c r="B3355" s="1">
        <v>45902</v>
      </c>
      <c r="C3355" t="s">
        <v>3450</v>
      </c>
      <c r="D3355">
        <v>9</v>
      </c>
      <c r="E3355">
        <v>2</v>
      </c>
      <c r="F3355" t="s">
        <v>178</v>
      </c>
      <c r="G3355" t="s">
        <v>64</v>
      </c>
      <c r="H3355" t="s">
        <v>35</v>
      </c>
      <c r="I3355" t="s">
        <v>103</v>
      </c>
      <c r="J3355" t="s">
        <v>62</v>
      </c>
      <c r="K3355" t="s">
        <v>45</v>
      </c>
      <c r="L3355">
        <v>2</v>
      </c>
      <c r="M3355">
        <v>637</v>
      </c>
      <c r="N3355">
        <v>127.4</v>
      </c>
      <c r="O3355">
        <v>40</v>
      </c>
      <c r="P3355">
        <v>1274</v>
      </c>
      <c r="Q3355">
        <v>1186.5999999999999</v>
      </c>
      <c r="R3355" t="s">
        <v>112</v>
      </c>
      <c r="S3355" t="s">
        <v>31</v>
      </c>
      <c r="T3355" t="s">
        <v>32</v>
      </c>
      <c r="U3355">
        <v>50</v>
      </c>
      <c r="V3355">
        <v>4.4000000000000004</v>
      </c>
      <c r="W3355">
        <f>Table2[[#This Row],[Quantity]]*Table2[[#This Row],[Item_Price]]</f>
        <v>1274</v>
      </c>
    </row>
    <row r="3356" spans="1:23" x14ac:dyDescent="0.25">
      <c r="A3356" t="s">
        <v>3458</v>
      </c>
      <c r="B3356" s="1">
        <v>45902</v>
      </c>
      <c r="C3356" t="s">
        <v>3450</v>
      </c>
      <c r="D3356">
        <v>9</v>
      </c>
      <c r="E3356">
        <v>2</v>
      </c>
      <c r="F3356" t="s">
        <v>178</v>
      </c>
      <c r="G3356" t="s">
        <v>115</v>
      </c>
      <c r="H3356" t="s">
        <v>60</v>
      </c>
      <c r="I3356" t="s">
        <v>69</v>
      </c>
      <c r="J3356" t="s">
        <v>28</v>
      </c>
      <c r="K3356" t="s">
        <v>38</v>
      </c>
      <c r="L3356">
        <v>2</v>
      </c>
      <c r="M3356">
        <v>203</v>
      </c>
      <c r="N3356">
        <v>30.45</v>
      </c>
      <c r="O3356">
        <v>60</v>
      </c>
      <c r="P3356">
        <v>406</v>
      </c>
      <c r="Q3356">
        <v>435.55</v>
      </c>
      <c r="R3356" t="s">
        <v>98</v>
      </c>
      <c r="S3356" t="s">
        <v>31</v>
      </c>
      <c r="T3356" t="s">
        <v>32</v>
      </c>
      <c r="U3356">
        <v>65</v>
      </c>
      <c r="V3356">
        <v>2.9</v>
      </c>
      <c r="W3356">
        <f>Table2[[#This Row],[Quantity]]*Table2[[#This Row],[Item_Price]]</f>
        <v>406</v>
      </c>
    </row>
    <row r="3357" spans="1:23" x14ac:dyDescent="0.25">
      <c r="A3357" t="s">
        <v>3459</v>
      </c>
      <c r="B3357" s="1">
        <v>45902</v>
      </c>
      <c r="C3357" t="s">
        <v>3450</v>
      </c>
      <c r="D3357">
        <v>9</v>
      </c>
      <c r="E3357">
        <v>2</v>
      </c>
      <c r="F3357" t="s">
        <v>178</v>
      </c>
      <c r="G3357" t="s">
        <v>115</v>
      </c>
      <c r="H3357" t="s">
        <v>26</v>
      </c>
      <c r="I3357" t="s">
        <v>61</v>
      </c>
      <c r="J3357" t="s">
        <v>50</v>
      </c>
      <c r="K3357" t="s">
        <v>38</v>
      </c>
      <c r="L3357">
        <v>2</v>
      </c>
      <c r="M3357">
        <v>137</v>
      </c>
      <c r="N3357">
        <v>27.4</v>
      </c>
      <c r="O3357">
        <v>40</v>
      </c>
      <c r="P3357">
        <v>274</v>
      </c>
      <c r="Q3357">
        <v>286.60000000000002</v>
      </c>
      <c r="R3357" t="s">
        <v>39</v>
      </c>
      <c r="S3357" t="s">
        <v>31</v>
      </c>
      <c r="T3357" t="s">
        <v>40</v>
      </c>
      <c r="U3357">
        <v>34</v>
      </c>
      <c r="V3357">
        <v>4</v>
      </c>
      <c r="W3357">
        <f>Table2[[#This Row],[Quantity]]*Table2[[#This Row],[Item_Price]]</f>
        <v>274</v>
      </c>
    </row>
    <row r="3358" spans="1:23" x14ac:dyDescent="0.25">
      <c r="A3358" t="s">
        <v>3460</v>
      </c>
      <c r="B3358" s="1">
        <v>45902</v>
      </c>
      <c r="C3358" t="s">
        <v>3450</v>
      </c>
      <c r="D3358">
        <v>9</v>
      </c>
      <c r="E3358">
        <v>2</v>
      </c>
      <c r="F3358" t="s">
        <v>178</v>
      </c>
      <c r="G3358" t="s">
        <v>84</v>
      </c>
      <c r="H3358" t="s">
        <v>108</v>
      </c>
      <c r="I3358" t="s">
        <v>27</v>
      </c>
      <c r="J3358" t="s">
        <v>119</v>
      </c>
      <c r="K3358" t="s">
        <v>29</v>
      </c>
      <c r="L3358">
        <v>2</v>
      </c>
      <c r="M3358">
        <v>519</v>
      </c>
      <c r="N3358">
        <v>77.849999999999994</v>
      </c>
      <c r="O3358">
        <v>20</v>
      </c>
      <c r="P3358">
        <v>1038</v>
      </c>
      <c r="Q3358">
        <v>980.15</v>
      </c>
      <c r="R3358" t="s">
        <v>39</v>
      </c>
      <c r="S3358" t="s">
        <v>31</v>
      </c>
      <c r="T3358" t="s">
        <v>32</v>
      </c>
      <c r="U3358">
        <v>32</v>
      </c>
      <c r="V3358">
        <v>5</v>
      </c>
      <c r="W3358">
        <f>Table2[[#This Row],[Quantity]]*Table2[[#This Row],[Item_Price]]</f>
        <v>1038</v>
      </c>
    </row>
    <row r="3359" spans="1:23" x14ac:dyDescent="0.25">
      <c r="A3359" t="s">
        <v>3461</v>
      </c>
      <c r="B3359" s="1">
        <v>45902</v>
      </c>
      <c r="C3359" t="s">
        <v>3450</v>
      </c>
      <c r="D3359">
        <v>9</v>
      </c>
      <c r="E3359">
        <v>2</v>
      </c>
      <c r="F3359" t="s">
        <v>178</v>
      </c>
      <c r="G3359" t="s">
        <v>115</v>
      </c>
      <c r="H3359" t="s">
        <v>81</v>
      </c>
      <c r="I3359" t="s">
        <v>57</v>
      </c>
      <c r="J3359" t="s">
        <v>44</v>
      </c>
      <c r="K3359" t="s">
        <v>38</v>
      </c>
      <c r="L3359">
        <v>1</v>
      </c>
      <c r="M3359">
        <v>525</v>
      </c>
      <c r="N3359">
        <v>52.5</v>
      </c>
      <c r="O3359">
        <v>60</v>
      </c>
      <c r="P3359">
        <v>525</v>
      </c>
      <c r="Q3359">
        <v>532.5</v>
      </c>
      <c r="R3359" t="s">
        <v>39</v>
      </c>
      <c r="S3359" t="s">
        <v>31</v>
      </c>
      <c r="T3359" t="s">
        <v>32</v>
      </c>
      <c r="U3359">
        <v>46</v>
      </c>
      <c r="V3359">
        <v>4.8</v>
      </c>
      <c r="W3359">
        <f>Table2[[#This Row],[Quantity]]*Table2[[#This Row],[Item_Price]]</f>
        <v>525</v>
      </c>
    </row>
    <row r="3360" spans="1:23" x14ac:dyDescent="0.25">
      <c r="A3360" t="s">
        <v>3462</v>
      </c>
      <c r="B3360" s="1">
        <v>45902</v>
      </c>
      <c r="C3360" t="s">
        <v>3450</v>
      </c>
      <c r="D3360">
        <v>9</v>
      </c>
      <c r="E3360">
        <v>2</v>
      </c>
      <c r="F3360" t="s">
        <v>178</v>
      </c>
      <c r="G3360" t="s">
        <v>34</v>
      </c>
      <c r="H3360" t="s">
        <v>108</v>
      </c>
      <c r="I3360" t="s">
        <v>43</v>
      </c>
      <c r="J3360" t="s">
        <v>66</v>
      </c>
      <c r="K3360" t="s">
        <v>29</v>
      </c>
      <c r="L3360">
        <v>1</v>
      </c>
      <c r="M3360">
        <v>585</v>
      </c>
      <c r="N3360">
        <v>58.5</v>
      </c>
      <c r="O3360">
        <v>60</v>
      </c>
      <c r="P3360">
        <v>585</v>
      </c>
      <c r="Q3360">
        <v>586.5</v>
      </c>
      <c r="R3360" t="s">
        <v>39</v>
      </c>
      <c r="S3360" t="s">
        <v>91</v>
      </c>
      <c r="T3360" t="s">
        <v>40</v>
      </c>
      <c r="U3360">
        <v>33</v>
      </c>
      <c r="W3360">
        <f>Table2[[#This Row],[Quantity]]*Table2[[#This Row],[Item_Price]]</f>
        <v>585</v>
      </c>
    </row>
    <row r="3361" spans="1:23" x14ac:dyDescent="0.25">
      <c r="A3361" t="s">
        <v>3463</v>
      </c>
      <c r="B3361" s="1">
        <v>45902</v>
      </c>
      <c r="C3361" t="s">
        <v>3450</v>
      </c>
      <c r="D3361">
        <v>9</v>
      </c>
      <c r="E3361">
        <v>2</v>
      </c>
      <c r="F3361" t="s">
        <v>178</v>
      </c>
      <c r="G3361" t="s">
        <v>34</v>
      </c>
      <c r="H3361" t="s">
        <v>65</v>
      </c>
      <c r="I3361" t="s">
        <v>49</v>
      </c>
      <c r="J3361" t="s">
        <v>28</v>
      </c>
      <c r="K3361" t="s">
        <v>38</v>
      </c>
      <c r="L3361">
        <v>3</v>
      </c>
      <c r="M3361">
        <v>768</v>
      </c>
      <c r="N3361">
        <v>76.8</v>
      </c>
      <c r="O3361">
        <v>40</v>
      </c>
      <c r="P3361">
        <v>2304</v>
      </c>
      <c r="Q3361">
        <v>2267.1999999999998</v>
      </c>
      <c r="R3361" t="s">
        <v>30</v>
      </c>
      <c r="S3361" t="s">
        <v>31</v>
      </c>
      <c r="T3361" t="s">
        <v>40</v>
      </c>
      <c r="U3361">
        <v>43</v>
      </c>
      <c r="V3361">
        <v>4.2</v>
      </c>
      <c r="W3361">
        <f>Table2[[#This Row],[Quantity]]*Table2[[#This Row],[Item_Price]]</f>
        <v>2304</v>
      </c>
    </row>
    <row r="3362" spans="1:23" x14ac:dyDescent="0.25">
      <c r="A3362" t="s">
        <v>3464</v>
      </c>
      <c r="B3362" s="1">
        <v>45902</v>
      </c>
      <c r="C3362" t="s">
        <v>3450</v>
      </c>
      <c r="D3362">
        <v>9</v>
      </c>
      <c r="E3362">
        <v>2</v>
      </c>
      <c r="F3362" t="s">
        <v>178</v>
      </c>
      <c r="G3362" t="s">
        <v>34</v>
      </c>
      <c r="H3362" t="s">
        <v>68</v>
      </c>
      <c r="I3362" t="s">
        <v>97</v>
      </c>
      <c r="J3362" t="s">
        <v>74</v>
      </c>
      <c r="K3362" t="s">
        <v>45</v>
      </c>
      <c r="L3362">
        <v>2</v>
      </c>
      <c r="M3362">
        <v>463</v>
      </c>
      <c r="N3362">
        <v>46.3</v>
      </c>
      <c r="O3362">
        <v>40</v>
      </c>
      <c r="P3362">
        <v>926</v>
      </c>
      <c r="Q3362">
        <v>919.7</v>
      </c>
      <c r="R3362" t="s">
        <v>75</v>
      </c>
      <c r="S3362" t="s">
        <v>31</v>
      </c>
      <c r="T3362" t="s">
        <v>40</v>
      </c>
      <c r="U3362">
        <v>48</v>
      </c>
      <c r="V3362">
        <v>2.8</v>
      </c>
      <c r="W3362">
        <f>Table2[[#This Row],[Quantity]]*Table2[[#This Row],[Item_Price]]</f>
        <v>926</v>
      </c>
    </row>
    <row r="3363" spans="1:23" x14ac:dyDescent="0.25">
      <c r="A3363" t="s">
        <v>3465</v>
      </c>
      <c r="B3363" s="1">
        <v>45902</v>
      </c>
      <c r="C3363" t="s">
        <v>3450</v>
      </c>
      <c r="D3363">
        <v>9</v>
      </c>
      <c r="E3363">
        <v>2</v>
      </c>
      <c r="F3363" t="s">
        <v>178</v>
      </c>
      <c r="G3363" t="s">
        <v>96</v>
      </c>
      <c r="H3363" t="s">
        <v>26</v>
      </c>
      <c r="I3363" t="s">
        <v>49</v>
      </c>
      <c r="J3363" t="s">
        <v>44</v>
      </c>
      <c r="K3363" t="s">
        <v>45</v>
      </c>
      <c r="L3363">
        <v>2</v>
      </c>
      <c r="M3363">
        <v>822</v>
      </c>
      <c r="N3363">
        <v>41.1</v>
      </c>
      <c r="O3363">
        <v>60</v>
      </c>
      <c r="P3363">
        <v>1644</v>
      </c>
      <c r="Q3363">
        <v>1662.9</v>
      </c>
      <c r="R3363" t="s">
        <v>75</v>
      </c>
      <c r="S3363" t="s">
        <v>31</v>
      </c>
      <c r="T3363" t="s">
        <v>40</v>
      </c>
      <c r="U3363">
        <v>36</v>
      </c>
      <c r="V3363">
        <v>4.4000000000000004</v>
      </c>
      <c r="W3363">
        <f>Table2[[#This Row],[Quantity]]*Table2[[#This Row],[Item_Price]]</f>
        <v>1644</v>
      </c>
    </row>
    <row r="3364" spans="1:23" x14ac:dyDescent="0.25">
      <c r="A3364" t="s">
        <v>3466</v>
      </c>
      <c r="B3364" s="1">
        <v>45902</v>
      </c>
      <c r="C3364" t="s">
        <v>3450</v>
      </c>
      <c r="D3364">
        <v>9</v>
      </c>
      <c r="E3364">
        <v>2</v>
      </c>
      <c r="F3364" t="s">
        <v>178</v>
      </c>
      <c r="G3364" t="s">
        <v>34</v>
      </c>
      <c r="H3364" t="s">
        <v>135</v>
      </c>
      <c r="I3364" t="s">
        <v>103</v>
      </c>
      <c r="J3364" t="s">
        <v>62</v>
      </c>
      <c r="K3364" t="s">
        <v>38</v>
      </c>
      <c r="L3364">
        <v>1</v>
      </c>
      <c r="M3364">
        <v>707</v>
      </c>
      <c r="N3364">
        <v>35.35</v>
      </c>
      <c r="O3364">
        <v>50</v>
      </c>
      <c r="P3364">
        <v>707</v>
      </c>
      <c r="Q3364">
        <v>721.65</v>
      </c>
      <c r="R3364" t="s">
        <v>112</v>
      </c>
      <c r="S3364" t="s">
        <v>31</v>
      </c>
      <c r="T3364" t="s">
        <v>32</v>
      </c>
      <c r="U3364">
        <v>18</v>
      </c>
      <c r="V3364">
        <v>3.8</v>
      </c>
      <c r="W3364">
        <f>Table2[[#This Row],[Quantity]]*Table2[[#This Row],[Item_Price]]</f>
        <v>707</v>
      </c>
    </row>
    <row r="3365" spans="1:23" x14ac:dyDescent="0.25">
      <c r="A3365" t="s">
        <v>3467</v>
      </c>
      <c r="B3365" s="1">
        <v>45903</v>
      </c>
      <c r="C3365" t="s">
        <v>3450</v>
      </c>
      <c r="D3365">
        <v>9</v>
      </c>
      <c r="E3365">
        <v>3</v>
      </c>
      <c r="F3365" t="s">
        <v>24</v>
      </c>
      <c r="G3365" t="s">
        <v>25</v>
      </c>
      <c r="H3365" t="s">
        <v>108</v>
      </c>
      <c r="I3365" t="s">
        <v>69</v>
      </c>
      <c r="J3365" t="s">
        <v>119</v>
      </c>
      <c r="K3365" t="s">
        <v>38</v>
      </c>
      <c r="L3365">
        <v>1</v>
      </c>
      <c r="M3365">
        <v>456</v>
      </c>
      <c r="N3365">
        <v>0</v>
      </c>
      <c r="O3365">
        <v>40</v>
      </c>
      <c r="P3365">
        <v>456</v>
      </c>
      <c r="Q3365">
        <v>496</v>
      </c>
      <c r="R3365" t="s">
        <v>39</v>
      </c>
      <c r="S3365" t="s">
        <v>31</v>
      </c>
      <c r="T3365" t="s">
        <v>40</v>
      </c>
      <c r="U3365">
        <v>26</v>
      </c>
      <c r="V3365">
        <v>3.8</v>
      </c>
      <c r="W3365">
        <f>Table2[[#This Row],[Quantity]]*Table2[[#This Row],[Item_Price]]</f>
        <v>456</v>
      </c>
    </row>
    <row r="3366" spans="1:23" x14ac:dyDescent="0.25">
      <c r="A3366" t="s">
        <v>3468</v>
      </c>
      <c r="B3366" s="1">
        <v>45903</v>
      </c>
      <c r="C3366" t="s">
        <v>3450</v>
      </c>
      <c r="D3366">
        <v>9</v>
      </c>
      <c r="E3366">
        <v>3</v>
      </c>
      <c r="F3366" t="s">
        <v>24</v>
      </c>
      <c r="G3366" t="s">
        <v>64</v>
      </c>
      <c r="H3366" t="s">
        <v>60</v>
      </c>
      <c r="I3366" t="s">
        <v>57</v>
      </c>
      <c r="J3366" t="s">
        <v>62</v>
      </c>
      <c r="K3366" t="s">
        <v>38</v>
      </c>
      <c r="L3366">
        <v>2</v>
      </c>
      <c r="M3366">
        <v>648</v>
      </c>
      <c r="N3366">
        <v>162</v>
      </c>
      <c r="O3366">
        <v>30</v>
      </c>
      <c r="P3366">
        <v>1296</v>
      </c>
      <c r="Q3366">
        <v>1164</v>
      </c>
      <c r="R3366" t="s">
        <v>39</v>
      </c>
      <c r="S3366" t="s">
        <v>91</v>
      </c>
      <c r="T3366" t="s">
        <v>40</v>
      </c>
      <c r="U3366">
        <v>24</v>
      </c>
      <c r="W3366">
        <f>Table2[[#This Row],[Quantity]]*Table2[[#This Row],[Item_Price]]</f>
        <v>1296</v>
      </c>
    </row>
    <row r="3367" spans="1:23" x14ac:dyDescent="0.25">
      <c r="A3367" t="s">
        <v>3469</v>
      </c>
      <c r="B3367" s="1">
        <v>45903</v>
      </c>
      <c r="C3367" t="s">
        <v>3450</v>
      </c>
      <c r="D3367">
        <v>9</v>
      </c>
      <c r="E3367">
        <v>3</v>
      </c>
      <c r="F3367" t="s">
        <v>24</v>
      </c>
      <c r="G3367" t="s">
        <v>25</v>
      </c>
      <c r="H3367" t="s">
        <v>60</v>
      </c>
      <c r="I3367" t="s">
        <v>57</v>
      </c>
      <c r="J3367" t="s">
        <v>123</v>
      </c>
      <c r="K3367" t="s">
        <v>38</v>
      </c>
      <c r="L3367">
        <v>2</v>
      </c>
      <c r="M3367">
        <v>517</v>
      </c>
      <c r="N3367">
        <v>25.85</v>
      </c>
      <c r="O3367">
        <v>40</v>
      </c>
      <c r="P3367">
        <v>1034</v>
      </c>
      <c r="Q3367">
        <v>1048.1500000000001</v>
      </c>
      <c r="R3367" t="s">
        <v>39</v>
      </c>
      <c r="S3367" t="s">
        <v>31</v>
      </c>
      <c r="T3367" t="s">
        <v>40</v>
      </c>
      <c r="U3367">
        <v>21</v>
      </c>
      <c r="V3367">
        <v>2.9</v>
      </c>
      <c r="W3367">
        <f>Table2[[#This Row],[Quantity]]*Table2[[#This Row],[Item_Price]]</f>
        <v>1034</v>
      </c>
    </row>
    <row r="3368" spans="1:23" x14ac:dyDescent="0.25">
      <c r="A3368" t="s">
        <v>3470</v>
      </c>
      <c r="B3368" s="1">
        <v>45903</v>
      </c>
      <c r="C3368" t="s">
        <v>3450</v>
      </c>
      <c r="D3368">
        <v>9</v>
      </c>
      <c r="E3368">
        <v>3</v>
      </c>
      <c r="F3368" t="s">
        <v>24</v>
      </c>
      <c r="G3368" t="s">
        <v>64</v>
      </c>
      <c r="H3368" t="s">
        <v>77</v>
      </c>
      <c r="I3368" t="s">
        <v>27</v>
      </c>
      <c r="J3368" t="s">
        <v>172</v>
      </c>
      <c r="K3368" t="s">
        <v>38</v>
      </c>
      <c r="L3368">
        <v>2</v>
      </c>
      <c r="M3368">
        <v>711</v>
      </c>
      <c r="N3368">
        <v>35.549999999999997</v>
      </c>
      <c r="O3368">
        <v>60</v>
      </c>
      <c r="P3368">
        <v>1422</v>
      </c>
      <c r="Q3368">
        <v>1446.45</v>
      </c>
      <c r="R3368" t="s">
        <v>75</v>
      </c>
      <c r="S3368" t="s">
        <v>31</v>
      </c>
      <c r="T3368" t="s">
        <v>40</v>
      </c>
      <c r="U3368">
        <v>37</v>
      </c>
      <c r="V3368">
        <v>4.5</v>
      </c>
      <c r="W3368">
        <f>Table2[[#This Row],[Quantity]]*Table2[[#This Row],[Item_Price]]</f>
        <v>1422</v>
      </c>
    </row>
    <row r="3369" spans="1:23" x14ac:dyDescent="0.25">
      <c r="A3369" t="s">
        <v>3471</v>
      </c>
      <c r="B3369" s="1">
        <v>45903</v>
      </c>
      <c r="C3369" t="s">
        <v>3450</v>
      </c>
      <c r="D3369">
        <v>9</v>
      </c>
      <c r="E3369">
        <v>3</v>
      </c>
      <c r="F3369" t="s">
        <v>24</v>
      </c>
      <c r="G3369" t="s">
        <v>80</v>
      </c>
      <c r="H3369" t="s">
        <v>42</v>
      </c>
      <c r="I3369" t="s">
        <v>36</v>
      </c>
      <c r="J3369" t="s">
        <v>94</v>
      </c>
      <c r="K3369" t="s">
        <v>38</v>
      </c>
      <c r="L3369">
        <v>2</v>
      </c>
      <c r="M3369">
        <v>711</v>
      </c>
      <c r="N3369">
        <v>177.75</v>
      </c>
      <c r="O3369">
        <v>0</v>
      </c>
      <c r="P3369">
        <v>1422</v>
      </c>
      <c r="Q3369">
        <v>1244.25</v>
      </c>
      <c r="R3369" t="s">
        <v>98</v>
      </c>
      <c r="S3369" t="s">
        <v>91</v>
      </c>
      <c r="T3369" t="s">
        <v>40</v>
      </c>
      <c r="U3369">
        <v>48</v>
      </c>
      <c r="W3369">
        <f>Table2[[#This Row],[Quantity]]*Table2[[#This Row],[Item_Price]]</f>
        <v>1422</v>
      </c>
    </row>
    <row r="3370" spans="1:23" x14ac:dyDescent="0.25">
      <c r="A3370" t="s">
        <v>3472</v>
      </c>
      <c r="B3370" s="1">
        <v>45903</v>
      </c>
      <c r="C3370" t="s">
        <v>3450</v>
      </c>
      <c r="D3370">
        <v>9</v>
      </c>
      <c r="E3370">
        <v>3</v>
      </c>
      <c r="F3370" t="s">
        <v>24</v>
      </c>
      <c r="G3370" t="s">
        <v>25</v>
      </c>
      <c r="H3370" t="s">
        <v>108</v>
      </c>
      <c r="I3370" t="s">
        <v>61</v>
      </c>
      <c r="J3370" t="s">
        <v>62</v>
      </c>
      <c r="K3370" t="s">
        <v>45</v>
      </c>
      <c r="L3370">
        <v>2</v>
      </c>
      <c r="M3370">
        <v>518</v>
      </c>
      <c r="N3370">
        <v>51.8</v>
      </c>
      <c r="O3370">
        <v>60</v>
      </c>
      <c r="P3370">
        <v>1036</v>
      </c>
      <c r="Q3370">
        <v>1044.2</v>
      </c>
      <c r="R3370" t="s">
        <v>30</v>
      </c>
      <c r="S3370" t="s">
        <v>31</v>
      </c>
      <c r="T3370" t="s">
        <v>32</v>
      </c>
      <c r="U3370">
        <v>39</v>
      </c>
      <c r="V3370">
        <v>4.4000000000000004</v>
      </c>
      <c r="W3370">
        <f>Table2[[#This Row],[Quantity]]*Table2[[#This Row],[Item_Price]]</f>
        <v>1036</v>
      </c>
    </row>
    <row r="3371" spans="1:23" x14ac:dyDescent="0.25">
      <c r="A3371" t="s">
        <v>3473</v>
      </c>
      <c r="B3371" s="1">
        <v>45903</v>
      </c>
      <c r="C3371" t="s">
        <v>3450</v>
      </c>
      <c r="D3371">
        <v>9</v>
      </c>
      <c r="E3371">
        <v>3</v>
      </c>
      <c r="F3371" t="s">
        <v>24</v>
      </c>
      <c r="G3371" t="s">
        <v>25</v>
      </c>
      <c r="H3371" t="s">
        <v>135</v>
      </c>
      <c r="I3371" t="s">
        <v>69</v>
      </c>
      <c r="J3371" t="s">
        <v>70</v>
      </c>
      <c r="K3371" t="s">
        <v>45</v>
      </c>
      <c r="L3371">
        <v>1</v>
      </c>
      <c r="M3371">
        <v>425</v>
      </c>
      <c r="N3371">
        <v>21.25</v>
      </c>
      <c r="O3371">
        <v>50</v>
      </c>
      <c r="P3371">
        <v>425</v>
      </c>
      <c r="Q3371">
        <v>453.75</v>
      </c>
      <c r="R3371" t="s">
        <v>98</v>
      </c>
      <c r="S3371" t="s">
        <v>31</v>
      </c>
      <c r="T3371" t="s">
        <v>40</v>
      </c>
      <c r="U3371">
        <v>43</v>
      </c>
      <c r="V3371">
        <v>3.1</v>
      </c>
      <c r="W3371">
        <f>Table2[[#This Row],[Quantity]]*Table2[[#This Row],[Item_Price]]</f>
        <v>425</v>
      </c>
    </row>
    <row r="3372" spans="1:23" x14ac:dyDescent="0.25">
      <c r="A3372" t="s">
        <v>3474</v>
      </c>
      <c r="B3372" s="1">
        <v>45903</v>
      </c>
      <c r="C3372" t="s">
        <v>3450</v>
      </c>
      <c r="D3372">
        <v>9</v>
      </c>
      <c r="E3372">
        <v>3</v>
      </c>
      <c r="F3372" t="s">
        <v>24</v>
      </c>
      <c r="G3372" t="s">
        <v>55</v>
      </c>
      <c r="H3372" t="s">
        <v>68</v>
      </c>
      <c r="I3372" t="s">
        <v>61</v>
      </c>
      <c r="J3372" t="s">
        <v>94</v>
      </c>
      <c r="K3372" t="s">
        <v>38</v>
      </c>
      <c r="L3372">
        <v>1</v>
      </c>
      <c r="M3372">
        <v>251</v>
      </c>
      <c r="N3372">
        <v>37.65</v>
      </c>
      <c r="O3372">
        <v>50</v>
      </c>
      <c r="P3372">
        <v>251</v>
      </c>
      <c r="Q3372">
        <v>263.35000000000002</v>
      </c>
      <c r="R3372" t="s">
        <v>39</v>
      </c>
      <c r="S3372" t="s">
        <v>31</v>
      </c>
      <c r="T3372" t="s">
        <v>40</v>
      </c>
      <c r="U3372">
        <v>52</v>
      </c>
      <c r="V3372">
        <v>5</v>
      </c>
      <c r="W3372">
        <f>Table2[[#This Row],[Quantity]]*Table2[[#This Row],[Item_Price]]</f>
        <v>251</v>
      </c>
    </row>
    <row r="3373" spans="1:23" x14ac:dyDescent="0.25">
      <c r="A3373" t="s">
        <v>3475</v>
      </c>
      <c r="B3373" s="1">
        <v>45903</v>
      </c>
      <c r="C3373" t="s">
        <v>3450</v>
      </c>
      <c r="D3373">
        <v>9</v>
      </c>
      <c r="E3373">
        <v>3</v>
      </c>
      <c r="F3373" t="s">
        <v>24</v>
      </c>
      <c r="G3373" t="s">
        <v>96</v>
      </c>
      <c r="H3373" t="s">
        <v>135</v>
      </c>
      <c r="I3373" t="s">
        <v>36</v>
      </c>
      <c r="J3373" t="s">
        <v>44</v>
      </c>
      <c r="K3373" t="s">
        <v>38</v>
      </c>
      <c r="L3373">
        <v>1</v>
      </c>
      <c r="M3373">
        <v>701</v>
      </c>
      <c r="N3373">
        <v>0</v>
      </c>
      <c r="O3373">
        <v>20</v>
      </c>
      <c r="P3373">
        <v>701</v>
      </c>
      <c r="Q3373">
        <v>721</v>
      </c>
      <c r="R3373" t="s">
        <v>39</v>
      </c>
      <c r="S3373" t="s">
        <v>31</v>
      </c>
      <c r="T3373" t="s">
        <v>40</v>
      </c>
      <c r="U3373">
        <v>46</v>
      </c>
      <c r="V3373">
        <v>4.7</v>
      </c>
      <c r="W3373">
        <f>Table2[[#This Row],[Quantity]]*Table2[[#This Row],[Item_Price]]</f>
        <v>701</v>
      </c>
    </row>
    <row r="3374" spans="1:23" x14ac:dyDescent="0.25">
      <c r="A3374" t="s">
        <v>3476</v>
      </c>
      <c r="B3374" s="1">
        <v>45903</v>
      </c>
      <c r="C3374" t="s">
        <v>3450</v>
      </c>
      <c r="D3374">
        <v>9</v>
      </c>
      <c r="E3374">
        <v>3</v>
      </c>
      <c r="F3374" t="s">
        <v>24</v>
      </c>
      <c r="G3374" t="s">
        <v>34</v>
      </c>
      <c r="H3374" t="s">
        <v>60</v>
      </c>
      <c r="I3374" t="s">
        <v>36</v>
      </c>
      <c r="J3374" t="s">
        <v>94</v>
      </c>
      <c r="K3374" t="s">
        <v>45</v>
      </c>
      <c r="L3374">
        <v>1</v>
      </c>
      <c r="M3374">
        <v>224</v>
      </c>
      <c r="N3374">
        <v>33.6</v>
      </c>
      <c r="O3374">
        <v>50</v>
      </c>
      <c r="P3374">
        <v>224</v>
      </c>
      <c r="Q3374">
        <v>240.4</v>
      </c>
      <c r="R3374" t="s">
        <v>30</v>
      </c>
      <c r="S3374" t="s">
        <v>31</v>
      </c>
      <c r="T3374" t="s">
        <v>40</v>
      </c>
      <c r="U3374">
        <v>43</v>
      </c>
      <c r="V3374">
        <v>4.2</v>
      </c>
      <c r="W3374">
        <f>Table2[[#This Row],[Quantity]]*Table2[[#This Row],[Item_Price]]</f>
        <v>224</v>
      </c>
    </row>
    <row r="3375" spans="1:23" x14ac:dyDescent="0.25">
      <c r="A3375" t="s">
        <v>3477</v>
      </c>
      <c r="B3375" s="1">
        <v>45903</v>
      </c>
      <c r="C3375" t="s">
        <v>3450</v>
      </c>
      <c r="D3375">
        <v>9</v>
      </c>
      <c r="E3375">
        <v>3</v>
      </c>
      <c r="F3375" t="s">
        <v>24</v>
      </c>
      <c r="G3375" t="s">
        <v>115</v>
      </c>
      <c r="H3375" t="s">
        <v>52</v>
      </c>
      <c r="I3375" t="s">
        <v>69</v>
      </c>
      <c r="J3375" t="s">
        <v>70</v>
      </c>
      <c r="K3375" t="s">
        <v>38</v>
      </c>
      <c r="L3375">
        <v>1</v>
      </c>
      <c r="M3375">
        <v>513</v>
      </c>
      <c r="N3375">
        <v>0</v>
      </c>
      <c r="O3375">
        <v>0</v>
      </c>
      <c r="P3375">
        <v>513</v>
      </c>
      <c r="Q3375">
        <v>513</v>
      </c>
      <c r="R3375" t="s">
        <v>39</v>
      </c>
      <c r="S3375" t="s">
        <v>91</v>
      </c>
      <c r="T3375" t="s">
        <v>40</v>
      </c>
      <c r="U3375">
        <v>37</v>
      </c>
      <c r="W3375">
        <f>Table2[[#This Row],[Quantity]]*Table2[[#This Row],[Item_Price]]</f>
        <v>513</v>
      </c>
    </row>
    <row r="3376" spans="1:23" x14ac:dyDescent="0.25">
      <c r="A3376" t="s">
        <v>3478</v>
      </c>
      <c r="B3376" s="1">
        <v>45903</v>
      </c>
      <c r="C3376" t="s">
        <v>3450</v>
      </c>
      <c r="D3376">
        <v>9</v>
      </c>
      <c r="E3376">
        <v>3</v>
      </c>
      <c r="F3376" t="s">
        <v>24</v>
      </c>
      <c r="G3376" t="s">
        <v>96</v>
      </c>
      <c r="H3376" t="s">
        <v>81</v>
      </c>
      <c r="I3376" t="s">
        <v>85</v>
      </c>
      <c r="J3376" t="s">
        <v>82</v>
      </c>
      <c r="K3376" t="s">
        <v>38</v>
      </c>
      <c r="L3376">
        <v>2</v>
      </c>
      <c r="M3376">
        <v>493</v>
      </c>
      <c r="N3376">
        <v>49.3</v>
      </c>
      <c r="O3376">
        <v>40</v>
      </c>
      <c r="P3376">
        <v>986</v>
      </c>
      <c r="Q3376">
        <v>976.7</v>
      </c>
      <c r="R3376" t="s">
        <v>39</v>
      </c>
      <c r="S3376" t="s">
        <v>91</v>
      </c>
      <c r="T3376" t="s">
        <v>40</v>
      </c>
      <c r="U3376">
        <v>42</v>
      </c>
      <c r="W3376">
        <f>Table2[[#This Row],[Quantity]]*Table2[[#This Row],[Item_Price]]</f>
        <v>986</v>
      </c>
    </row>
    <row r="3377" spans="1:23" x14ac:dyDescent="0.25">
      <c r="A3377" t="s">
        <v>3479</v>
      </c>
      <c r="B3377" s="1">
        <v>45903</v>
      </c>
      <c r="C3377" t="s">
        <v>3450</v>
      </c>
      <c r="D3377">
        <v>9</v>
      </c>
      <c r="E3377">
        <v>3</v>
      </c>
      <c r="F3377" t="s">
        <v>24</v>
      </c>
      <c r="G3377" t="s">
        <v>55</v>
      </c>
      <c r="H3377" t="s">
        <v>65</v>
      </c>
      <c r="I3377" t="s">
        <v>103</v>
      </c>
      <c r="J3377" t="s">
        <v>101</v>
      </c>
      <c r="K3377" t="s">
        <v>38</v>
      </c>
      <c r="L3377">
        <v>3</v>
      </c>
      <c r="M3377">
        <v>832</v>
      </c>
      <c r="N3377">
        <v>166.4</v>
      </c>
      <c r="O3377">
        <v>0</v>
      </c>
      <c r="P3377">
        <v>2496</v>
      </c>
      <c r="Q3377">
        <v>2329.6</v>
      </c>
      <c r="R3377" t="s">
        <v>39</v>
      </c>
      <c r="S3377" t="s">
        <v>31</v>
      </c>
      <c r="T3377" t="s">
        <v>32</v>
      </c>
      <c r="U3377">
        <v>18</v>
      </c>
      <c r="V3377">
        <v>4</v>
      </c>
      <c r="W3377">
        <f>Table2[[#This Row],[Quantity]]*Table2[[#This Row],[Item_Price]]</f>
        <v>2496</v>
      </c>
    </row>
    <row r="3378" spans="1:23" x14ac:dyDescent="0.25">
      <c r="A3378" t="s">
        <v>3480</v>
      </c>
      <c r="B3378" s="1">
        <v>45904</v>
      </c>
      <c r="C3378" t="s">
        <v>3450</v>
      </c>
      <c r="D3378">
        <v>9</v>
      </c>
      <c r="E3378">
        <v>4</v>
      </c>
      <c r="F3378" t="s">
        <v>88</v>
      </c>
      <c r="G3378" t="s">
        <v>80</v>
      </c>
      <c r="H3378" t="s">
        <v>60</v>
      </c>
      <c r="I3378" t="s">
        <v>61</v>
      </c>
      <c r="J3378" t="s">
        <v>94</v>
      </c>
      <c r="K3378" t="s">
        <v>38</v>
      </c>
      <c r="L3378">
        <v>1</v>
      </c>
      <c r="M3378">
        <v>302</v>
      </c>
      <c r="N3378">
        <v>0</v>
      </c>
      <c r="O3378">
        <v>30</v>
      </c>
      <c r="P3378">
        <v>302</v>
      </c>
      <c r="Q3378">
        <v>332</v>
      </c>
      <c r="R3378" t="s">
        <v>75</v>
      </c>
      <c r="S3378" t="s">
        <v>31</v>
      </c>
      <c r="T3378" t="s">
        <v>32</v>
      </c>
      <c r="U3378">
        <v>37</v>
      </c>
      <c r="V3378">
        <v>3.8</v>
      </c>
      <c r="W3378">
        <f>Table2[[#This Row],[Quantity]]*Table2[[#This Row],[Item_Price]]</f>
        <v>302</v>
      </c>
    </row>
    <row r="3379" spans="1:23" x14ac:dyDescent="0.25">
      <c r="A3379" t="s">
        <v>3481</v>
      </c>
      <c r="B3379" s="1">
        <v>45904</v>
      </c>
      <c r="C3379" t="s">
        <v>3450</v>
      </c>
      <c r="D3379">
        <v>9</v>
      </c>
      <c r="E3379">
        <v>4</v>
      </c>
      <c r="F3379" t="s">
        <v>88</v>
      </c>
      <c r="G3379" t="s">
        <v>34</v>
      </c>
      <c r="H3379" t="s">
        <v>139</v>
      </c>
      <c r="I3379" t="s">
        <v>36</v>
      </c>
      <c r="J3379" t="s">
        <v>82</v>
      </c>
      <c r="K3379" t="s">
        <v>58</v>
      </c>
      <c r="L3379">
        <v>1</v>
      </c>
      <c r="M3379">
        <v>848</v>
      </c>
      <c r="N3379">
        <v>127.2</v>
      </c>
      <c r="O3379">
        <v>50</v>
      </c>
      <c r="P3379">
        <v>848</v>
      </c>
      <c r="Q3379">
        <v>770.8</v>
      </c>
      <c r="R3379" t="s">
        <v>39</v>
      </c>
      <c r="S3379" t="s">
        <v>31</v>
      </c>
      <c r="T3379" t="s">
        <v>40</v>
      </c>
      <c r="U3379">
        <v>64</v>
      </c>
      <c r="V3379">
        <v>3.6</v>
      </c>
      <c r="W3379">
        <f>Table2[[#This Row],[Quantity]]*Table2[[#This Row],[Item_Price]]</f>
        <v>848</v>
      </c>
    </row>
    <row r="3380" spans="1:23" x14ac:dyDescent="0.25">
      <c r="A3380" t="s">
        <v>3482</v>
      </c>
      <c r="B3380" s="1">
        <v>45904</v>
      </c>
      <c r="C3380" t="s">
        <v>3450</v>
      </c>
      <c r="D3380">
        <v>9</v>
      </c>
      <c r="E3380">
        <v>4</v>
      </c>
      <c r="F3380" t="s">
        <v>88</v>
      </c>
      <c r="G3380" t="s">
        <v>55</v>
      </c>
      <c r="H3380" t="s">
        <v>35</v>
      </c>
      <c r="I3380" t="s">
        <v>27</v>
      </c>
      <c r="J3380" t="s">
        <v>123</v>
      </c>
      <c r="K3380" t="s">
        <v>38</v>
      </c>
      <c r="L3380">
        <v>3</v>
      </c>
      <c r="M3380">
        <v>461</v>
      </c>
      <c r="N3380">
        <v>69.150000000000006</v>
      </c>
      <c r="O3380">
        <v>50</v>
      </c>
      <c r="P3380">
        <v>1383</v>
      </c>
      <c r="Q3380">
        <v>1363.85</v>
      </c>
      <c r="R3380" t="s">
        <v>112</v>
      </c>
      <c r="S3380" t="s">
        <v>31</v>
      </c>
      <c r="T3380" t="s">
        <v>32</v>
      </c>
      <c r="U3380">
        <v>22</v>
      </c>
      <c r="V3380">
        <v>4</v>
      </c>
      <c r="W3380">
        <f>Table2[[#This Row],[Quantity]]*Table2[[#This Row],[Item_Price]]</f>
        <v>1383</v>
      </c>
    </row>
    <row r="3381" spans="1:23" x14ac:dyDescent="0.25">
      <c r="A3381" t="s">
        <v>3483</v>
      </c>
      <c r="B3381" s="1">
        <v>45904</v>
      </c>
      <c r="C3381" t="s">
        <v>3450</v>
      </c>
      <c r="D3381">
        <v>9</v>
      </c>
      <c r="E3381">
        <v>4</v>
      </c>
      <c r="F3381" t="s">
        <v>88</v>
      </c>
      <c r="G3381" t="s">
        <v>64</v>
      </c>
      <c r="H3381" t="s">
        <v>52</v>
      </c>
      <c r="I3381" t="s">
        <v>103</v>
      </c>
      <c r="J3381" t="s">
        <v>44</v>
      </c>
      <c r="K3381" t="s">
        <v>38</v>
      </c>
      <c r="L3381">
        <v>2</v>
      </c>
      <c r="M3381">
        <v>438</v>
      </c>
      <c r="N3381">
        <v>109.5</v>
      </c>
      <c r="O3381">
        <v>0</v>
      </c>
      <c r="P3381">
        <v>876</v>
      </c>
      <c r="Q3381">
        <v>766.5</v>
      </c>
      <c r="R3381" t="s">
        <v>30</v>
      </c>
      <c r="S3381" t="s">
        <v>31</v>
      </c>
      <c r="T3381" t="s">
        <v>40</v>
      </c>
      <c r="U3381">
        <v>54</v>
      </c>
      <c r="V3381">
        <v>5</v>
      </c>
      <c r="W3381">
        <f>Table2[[#This Row],[Quantity]]*Table2[[#This Row],[Item_Price]]</f>
        <v>876</v>
      </c>
    </row>
    <row r="3382" spans="1:23" x14ac:dyDescent="0.25">
      <c r="A3382" t="s">
        <v>3484</v>
      </c>
      <c r="B3382" s="1">
        <v>45904</v>
      </c>
      <c r="C3382" t="s">
        <v>3450</v>
      </c>
      <c r="D3382">
        <v>9</v>
      </c>
      <c r="E3382">
        <v>4</v>
      </c>
      <c r="F3382" t="s">
        <v>88</v>
      </c>
      <c r="G3382" t="s">
        <v>34</v>
      </c>
      <c r="H3382" t="s">
        <v>65</v>
      </c>
      <c r="I3382" t="s">
        <v>57</v>
      </c>
      <c r="J3382" t="s">
        <v>53</v>
      </c>
      <c r="K3382" t="s">
        <v>38</v>
      </c>
      <c r="L3382">
        <v>1</v>
      </c>
      <c r="M3382">
        <v>518</v>
      </c>
      <c r="N3382">
        <v>103.6</v>
      </c>
      <c r="O3382">
        <v>30</v>
      </c>
      <c r="P3382">
        <v>518</v>
      </c>
      <c r="Q3382">
        <v>444.4</v>
      </c>
      <c r="R3382" t="s">
        <v>112</v>
      </c>
      <c r="S3382" t="s">
        <v>31</v>
      </c>
      <c r="T3382" t="s">
        <v>40</v>
      </c>
      <c r="U3382">
        <v>53</v>
      </c>
      <c r="V3382">
        <v>4.9000000000000004</v>
      </c>
      <c r="W3382">
        <f>Table2[[#This Row],[Quantity]]*Table2[[#This Row],[Item_Price]]</f>
        <v>518</v>
      </c>
    </row>
    <row r="3383" spans="1:23" x14ac:dyDescent="0.25">
      <c r="A3383" t="s">
        <v>3485</v>
      </c>
      <c r="B3383" s="1">
        <v>45904</v>
      </c>
      <c r="C3383" t="s">
        <v>3450</v>
      </c>
      <c r="D3383">
        <v>9</v>
      </c>
      <c r="E3383">
        <v>4</v>
      </c>
      <c r="F3383" t="s">
        <v>88</v>
      </c>
      <c r="G3383" t="s">
        <v>34</v>
      </c>
      <c r="H3383" t="s">
        <v>81</v>
      </c>
      <c r="I3383" t="s">
        <v>69</v>
      </c>
      <c r="J3383" t="s">
        <v>53</v>
      </c>
      <c r="K3383" t="s">
        <v>38</v>
      </c>
      <c r="L3383">
        <v>3</v>
      </c>
      <c r="M3383">
        <v>222</v>
      </c>
      <c r="N3383">
        <v>44.4</v>
      </c>
      <c r="O3383">
        <v>60</v>
      </c>
      <c r="P3383">
        <v>666</v>
      </c>
      <c r="Q3383">
        <v>681.6</v>
      </c>
      <c r="R3383" t="s">
        <v>75</v>
      </c>
      <c r="S3383" t="s">
        <v>31</v>
      </c>
      <c r="T3383" t="s">
        <v>40</v>
      </c>
      <c r="U3383">
        <v>37</v>
      </c>
      <c r="V3383">
        <v>3.9</v>
      </c>
      <c r="W3383">
        <f>Table2[[#This Row],[Quantity]]*Table2[[#This Row],[Item_Price]]</f>
        <v>666</v>
      </c>
    </row>
    <row r="3384" spans="1:23" x14ac:dyDescent="0.25">
      <c r="A3384" t="s">
        <v>3486</v>
      </c>
      <c r="B3384" s="1">
        <v>45904</v>
      </c>
      <c r="C3384" t="s">
        <v>3450</v>
      </c>
      <c r="D3384">
        <v>9</v>
      </c>
      <c r="E3384">
        <v>4</v>
      </c>
      <c r="F3384" t="s">
        <v>88</v>
      </c>
      <c r="G3384" t="s">
        <v>90</v>
      </c>
      <c r="H3384" t="s">
        <v>26</v>
      </c>
      <c r="I3384" t="s">
        <v>43</v>
      </c>
      <c r="J3384" t="s">
        <v>74</v>
      </c>
      <c r="K3384" t="s">
        <v>45</v>
      </c>
      <c r="L3384">
        <v>2</v>
      </c>
      <c r="M3384">
        <v>766</v>
      </c>
      <c r="N3384">
        <v>114.9</v>
      </c>
      <c r="O3384">
        <v>20</v>
      </c>
      <c r="P3384">
        <v>1532</v>
      </c>
      <c r="Q3384">
        <v>1437.1</v>
      </c>
      <c r="R3384" t="s">
        <v>39</v>
      </c>
      <c r="S3384" t="s">
        <v>31</v>
      </c>
      <c r="T3384" t="s">
        <v>40</v>
      </c>
      <c r="U3384">
        <v>26</v>
      </c>
      <c r="V3384">
        <v>4.4000000000000004</v>
      </c>
      <c r="W3384">
        <f>Table2[[#This Row],[Quantity]]*Table2[[#This Row],[Item_Price]]</f>
        <v>1532</v>
      </c>
    </row>
    <row r="3385" spans="1:23" x14ac:dyDescent="0.25">
      <c r="A3385" t="s">
        <v>3487</v>
      </c>
      <c r="B3385" s="1">
        <v>45904</v>
      </c>
      <c r="C3385" t="s">
        <v>3450</v>
      </c>
      <c r="D3385">
        <v>9</v>
      </c>
      <c r="E3385">
        <v>4</v>
      </c>
      <c r="F3385" t="s">
        <v>88</v>
      </c>
      <c r="G3385" t="s">
        <v>84</v>
      </c>
      <c r="H3385" t="s">
        <v>77</v>
      </c>
      <c r="I3385" t="s">
        <v>49</v>
      </c>
      <c r="J3385" t="s">
        <v>70</v>
      </c>
      <c r="K3385" t="s">
        <v>38</v>
      </c>
      <c r="L3385">
        <v>1</v>
      </c>
      <c r="M3385">
        <v>173</v>
      </c>
      <c r="N3385">
        <v>17.3</v>
      </c>
      <c r="O3385">
        <v>40</v>
      </c>
      <c r="P3385">
        <v>173</v>
      </c>
      <c r="Q3385">
        <v>195.7</v>
      </c>
      <c r="R3385" t="s">
        <v>39</v>
      </c>
      <c r="S3385" t="s">
        <v>31</v>
      </c>
      <c r="T3385" t="s">
        <v>40</v>
      </c>
      <c r="U3385">
        <v>51</v>
      </c>
      <c r="V3385">
        <v>4.8</v>
      </c>
      <c r="W3385">
        <f>Table2[[#This Row],[Quantity]]*Table2[[#This Row],[Item_Price]]</f>
        <v>173</v>
      </c>
    </row>
    <row r="3386" spans="1:23" x14ac:dyDescent="0.25">
      <c r="A3386" t="s">
        <v>3488</v>
      </c>
      <c r="B3386" s="1">
        <v>45904</v>
      </c>
      <c r="C3386" t="s">
        <v>3450</v>
      </c>
      <c r="D3386">
        <v>9</v>
      </c>
      <c r="E3386">
        <v>4</v>
      </c>
      <c r="F3386" t="s">
        <v>88</v>
      </c>
      <c r="G3386" t="s">
        <v>115</v>
      </c>
      <c r="H3386" t="s">
        <v>135</v>
      </c>
      <c r="I3386" t="s">
        <v>97</v>
      </c>
      <c r="J3386" t="s">
        <v>50</v>
      </c>
      <c r="K3386" t="s">
        <v>45</v>
      </c>
      <c r="L3386">
        <v>2</v>
      </c>
      <c r="M3386">
        <v>564</v>
      </c>
      <c r="N3386">
        <v>56.4</v>
      </c>
      <c r="O3386">
        <v>40</v>
      </c>
      <c r="P3386">
        <v>1128</v>
      </c>
      <c r="Q3386">
        <v>1111.5999999999999</v>
      </c>
      <c r="R3386" t="s">
        <v>30</v>
      </c>
      <c r="S3386" t="s">
        <v>110</v>
      </c>
      <c r="T3386" t="s">
        <v>40</v>
      </c>
      <c r="U3386">
        <v>41</v>
      </c>
      <c r="W3386">
        <f>Table2[[#This Row],[Quantity]]*Table2[[#This Row],[Item_Price]]</f>
        <v>1128</v>
      </c>
    </row>
    <row r="3387" spans="1:23" x14ac:dyDescent="0.25">
      <c r="A3387" t="s">
        <v>3489</v>
      </c>
      <c r="B3387" s="1">
        <v>45904</v>
      </c>
      <c r="C3387" t="s">
        <v>3450</v>
      </c>
      <c r="D3387">
        <v>9</v>
      </c>
      <c r="E3387">
        <v>4</v>
      </c>
      <c r="F3387" t="s">
        <v>88</v>
      </c>
      <c r="G3387" t="s">
        <v>84</v>
      </c>
      <c r="H3387" t="s">
        <v>77</v>
      </c>
      <c r="I3387" t="s">
        <v>103</v>
      </c>
      <c r="J3387" t="s">
        <v>53</v>
      </c>
      <c r="K3387" t="s">
        <v>38</v>
      </c>
      <c r="L3387">
        <v>3</v>
      </c>
      <c r="M3387">
        <v>353</v>
      </c>
      <c r="N3387">
        <v>0</v>
      </c>
      <c r="O3387">
        <v>40</v>
      </c>
      <c r="P3387">
        <v>1059</v>
      </c>
      <c r="Q3387">
        <v>1099</v>
      </c>
      <c r="R3387" t="s">
        <v>30</v>
      </c>
      <c r="S3387" t="s">
        <v>31</v>
      </c>
      <c r="T3387" t="s">
        <v>40</v>
      </c>
      <c r="U3387">
        <v>30</v>
      </c>
      <c r="V3387">
        <v>4.8</v>
      </c>
      <c r="W3387">
        <f>Table2[[#This Row],[Quantity]]*Table2[[#This Row],[Item_Price]]</f>
        <v>1059</v>
      </c>
    </row>
    <row r="3388" spans="1:23" x14ac:dyDescent="0.25">
      <c r="A3388" t="s">
        <v>3490</v>
      </c>
      <c r="B3388" s="1">
        <v>45904</v>
      </c>
      <c r="C3388" t="s">
        <v>3450</v>
      </c>
      <c r="D3388">
        <v>9</v>
      </c>
      <c r="E3388">
        <v>4</v>
      </c>
      <c r="F3388" t="s">
        <v>88</v>
      </c>
      <c r="G3388" t="s">
        <v>64</v>
      </c>
      <c r="H3388" t="s">
        <v>52</v>
      </c>
      <c r="I3388" t="s">
        <v>49</v>
      </c>
      <c r="J3388" t="s">
        <v>123</v>
      </c>
      <c r="K3388" t="s">
        <v>45</v>
      </c>
      <c r="L3388">
        <v>2</v>
      </c>
      <c r="M3388">
        <v>796</v>
      </c>
      <c r="N3388">
        <v>79.599999999999994</v>
      </c>
      <c r="O3388">
        <v>20</v>
      </c>
      <c r="P3388">
        <v>1592</v>
      </c>
      <c r="Q3388">
        <v>1532.4</v>
      </c>
      <c r="R3388" t="s">
        <v>30</v>
      </c>
      <c r="S3388" t="s">
        <v>31</v>
      </c>
      <c r="T3388" t="s">
        <v>40</v>
      </c>
      <c r="U3388">
        <v>65</v>
      </c>
      <c r="V3388">
        <v>4.8</v>
      </c>
      <c r="W3388">
        <f>Table2[[#This Row],[Quantity]]*Table2[[#This Row],[Item_Price]]</f>
        <v>1592</v>
      </c>
    </row>
    <row r="3389" spans="1:23" x14ac:dyDescent="0.25">
      <c r="A3389" t="s">
        <v>3491</v>
      </c>
      <c r="B3389" s="1">
        <v>45904</v>
      </c>
      <c r="C3389" t="s">
        <v>3450</v>
      </c>
      <c r="D3389">
        <v>9</v>
      </c>
      <c r="E3389">
        <v>4</v>
      </c>
      <c r="F3389" t="s">
        <v>88</v>
      </c>
      <c r="G3389" t="s">
        <v>25</v>
      </c>
      <c r="H3389" t="s">
        <v>108</v>
      </c>
      <c r="I3389" t="s">
        <v>27</v>
      </c>
      <c r="J3389" t="s">
        <v>82</v>
      </c>
      <c r="K3389" t="s">
        <v>29</v>
      </c>
      <c r="L3389">
        <v>3</v>
      </c>
      <c r="M3389">
        <v>359</v>
      </c>
      <c r="N3389">
        <v>89.75</v>
      </c>
      <c r="O3389">
        <v>50</v>
      </c>
      <c r="P3389">
        <v>1077</v>
      </c>
      <c r="Q3389">
        <v>1037.25</v>
      </c>
      <c r="R3389" t="s">
        <v>39</v>
      </c>
      <c r="S3389" t="s">
        <v>46</v>
      </c>
      <c r="T3389" t="s">
        <v>40</v>
      </c>
      <c r="U3389">
        <v>63</v>
      </c>
      <c r="W3389">
        <f>Table2[[#This Row],[Quantity]]*Table2[[#This Row],[Item_Price]]</f>
        <v>1077</v>
      </c>
    </row>
    <row r="3390" spans="1:23" x14ac:dyDescent="0.25">
      <c r="A3390" t="s">
        <v>3492</v>
      </c>
      <c r="B3390" s="1">
        <v>45904</v>
      </c>
      <c r="C3390" t="s">
        <v>3450</v>
      </c>
      <c r="D3390">
        <v>9</v>
      </c>
      <c r="E3390">
        <v>4</v>
      </c>
      <c r="F3390" t="s">
        <v>88</v>
      </c>
      <c r="G3390" t="s">
        <v>55</v>
      </c>
      <c r="H3390" t="s">
        <v>26</v>
      </c>
      <c r="I3390" t="s">
        <v>85</v>
      </c>
      <c r="J3390" t="s">
        <v>66</v>
      </c>
      <c r="K3390" t="s">
        <v>38</v>
      </c>
      <c r="L3390">
        <v>2</v>
      </c>
      <c r="M3390">
        <v>557</v>
      </c>
      <c r="N3390">
        <v>55.7</v>
      </c>
      <c r="O3390">
        <v>30</v>
      </c>
      <c r="P3390">
        <v>1114</v>
      </c>
      <c r="Q3390">
        <v>1088.3</v>
      </c>
      <c r="R3390" t="s">
        <v>30</v>
      </c>
      <c r="S3390" t="s">
        <v>31</v>
      </c>
      <c r="T3390" t="s">
        <v>40</v>
      </c>
      <c r="U3390">
        <v>20</v>
      </c>
      <c r="V3390">
        <v>5</v>
      </c>
      <c r="W3390">
        <f>Table2[[#This Row],[Quantity]]*Table2[[#This Row],[Item_Price]]</f>
        <v>1114</v>
      </c>
    </row>
    <row r="3391" spans="1:23" x14ac:dyDescent="0.25">
      <c r="A3391" t="s">
        <v>3493</v>
      </c>
      <c r="B3391" s="1">
        <v>45904</v>
      </c>
      <c r="C3391" t="s">
        <v>3450</v>
      </c>
      <c r="D3391">
        <v>9</v>
      </c>
      <c r="E3391">
        <v>4</v>
      </c>
      <c r="F3391" t="s">
        <v>88</v>
      </c>
      <c r="G3391" t="s">
        <v>115</v>
      </c>
      <c r="H3391" t="s">
        <v>81</v>
      </c>
      <c r="I3391" t="s">
        <v>57</v>
      </c>
      <c r="J3391" t="s">
        <v>70</v>
      </c>
      <c r="K3391" t="s">
        <v>38</v>
      </c>
      <c r="L3391">
        <v>1</v>
      </c>
      <c r="M3391">
        <v>547</v>
      </c>
      <c r="N3391">
        <v>136.75</v>
      </c>
      <c r="O3391">
        <v>0</v>
      </c>
      <c r="P3391">
        <v>547</v>
      </c>
      <c r="Q3391">
        <v>410.25</v>
      </c>
      <c r="R3391" t="s">
        <v>39</v>
      </c>
      <c r="S3391" t="s">
        <v>31</v>
      </c>
      <c r="T3391" t="s">
        <v>32</v>
      </c>
      <c r="U3391">
        <v>40</v>
      </c>
      <c r="V3391">
        <v>4</v>
      </c>
      <c r="W3391">
        <f>Table2[[#This Row],[Quantity]]*Table2[[#This Row],[Item_Price]]</f>
        <v>547</v>
      </c>
    </row>
    <row r="3392" spans="1:23" x14ac:dyDescent="0.25">
      <c r="A3392" t="s">
        <v>3494</v>
      </c>
      <c r="B3392" s="1">
        <v>45904</v>
      </c>
      <c r="C3392" t="s">
        <v>3450</v>
      </c>
      <c r="D3392">
        <v>9</v>
      </c>
      <c r="E3392">
        <v>4</v>
      </c>
      <c r="F3392" t="s">
        <v>88</v>
      </c>
      <c r="G3392" t="s">
        <v>55</v>
      </c>
      <c r="H3392" t="s">
        <v>77</v>
      </c>
      <c r="I3392" t="s">
        <v>61</v>
      </c>
      <c r="J3392" t="s">
        <v>53</v>
      </c>
      <c r="K3392" t="s">
        <v>45</v>
      </c>
      <c r="L3392">
        <v>3</v>
      </c>
      <c r="M3392">
        <v>439</v>
      </c>
      <c r="N3392">
        <v>87.8</v>
      </c>
      <c r="O3392">
        <v>40</v>
      </c>
      <c r="P3392">
        <v>1317</v>
      </c>
      <c r="Q3392">
        <v>1269.2</v>
      </c>
      <c r="R3392" t="s">
        <v>98</v>
      </c>
      <c r="S3392" t="s">
        <v>46</v>
      </c>
      <c r="T3392" t="s">
        <v>32</v>
      </c>
      <c r="U3392">
        <v>54</v>
      </c>
      <c r="W3392">
        <f>Table2[[#This Row],[Quantity]]*Table2[[#This Row],[Item_Price]]</f>
        <v>1317</v>
      </c>
    </row>
    <row r="3393" spans="1:23" x14ac:dyDescent="0.25">
      <c r="A3393" t="s">
        <v>3495</v>
      </c>
      <c r="B3393" s="1">
        <v>45904</v>
      </c>
      <c r="C3393" t="s">
        <v>3450</v>
      </c>
      <c r="D3393">
        <v>9</v>
      </c>
      <c r="E3393">
        <v>4</v>
      </c>
      <c r="F3393" t="s">
        <v>88</v>
      </c>
      <c r="G3393" t="s">
        <v>80</v>
      </c>
      <c r="H3393" t="s">
        <v>81</v>
      </c>
      <c r="I3393" t="s">
        <v>69</v>
      </c>
      <c r="J3393" t="s">
        <v>44</v>
      </c>
      <c r="K3393" t="s">
        <v>38</v>
      </c>
      <c r="L3393">
        <v>1</v>
      </c>
      <c r="M3393">
        <v>664</v>
      </c>
      <c r="N3393">
        <v>66.400000000000006</v>
      </c>
      <c r="O3393">
        <v>0</v>
      </c>
      <c r="P3393">
        <v>664</v>
      </c>
      <c r="Q3393">
        <v>597.6</v>
      </c>
      <c r="R3393" t="s">
        <v>75</v>
      </c>
      <c r="S3393" t="s">
        <v>31</v>
      </c>
      <c r="T3393" t="s">
        <v>40</v>
      </c>
      <c r="U3393">
        <v>65</v>
      </c>
      <c r="V3393">
        <v>4</v>
      </c>
      <c r="W3393">
        <f>Table2[[#This Row],[Quantity]]*Table2[[#This Row],[Item_Price]]</f>
        <v>664</v>
      </c>
    </row>
    <row r="3394" spans="1:23" x14ac:dyDescent="0.25">
      <c r="A3394" t="s">
        <v>3496</v>
      </c>
      <c r="B3394" s="1">
        <v>45905</v>
      </c>
      <c r="C3394" t="s">
        <v>3450</v>
      </c>
      <c r="D3394">
        <v>9</v>
      </c>
      <c r="E3394">
        <v>5</v>
      </c>
      <c r="F3394" t="s">
        <v>114</v>
      </c>
      <c r="G3394" t="s">
        <v>115</v>
      </c>
      <c r="H3394" t="s">
        <v>65</v>
      </c>
      <c r="I3394" t="s">
        <v>103</v>
      </c>
      <c r="J3394" t="s">
        <v>172</v>
      </c>
      <c r="K3394" t="s">
        <v>38</v>
      </c>
      <c r="L3394">
        <v>1</v>
      </c>
      <c r="M3394">
        <v>166</v>
      </c>
      <c r="N3394">
        <v>41.5</v>
      </c>
      <c r="O3394">
        <v>50</v>
      </c>
      <c r="P3394">
        <v>166</v>
      </c>
      <c r="Q3394">
        <v>174.5</v>
      </c>
      <c r="R3394" t="s">
        <v>30</v>
      </c>
      <c r="S3394" t="s">
        <v>31</v>
      </c>
      <c r="T3394" t="s">
        <v>32</v>
      </c>
      <c r="U3394">
        <v>64</v>
      </c>
      <c r="V3394">
        <v>4.9000000000000004</v>
      </c>
      <c r="W3394">
        <f>Table2[[#This Row],[Quantity]]*Table2[[#This Row],[Item_Price]]</f>
        <v>166</v>
      </c>
    </row>
    <row r="3395" spans="1:23" x14ac:dyDescent="0.25">
      <c r="A3395" t="s">
        <v>3497</v>
      </c>
      <c r="B3395" s="1">
        <v>45905</v>
      </c>
      <c r="C3395" t="s">
        <v>3450</v>
      </c>
      <c r="D3395">
        <v>9</v>
      </c>
      <c r="E3395">
        <v>5</v>
      </c>
      <c r="F3395" t="s">
        <v>114</v>
      </c>
      <c r="G3395" t="s">
        <v>34</v>
      </c>
      <c r="H3395" t="s">
        <v>52</v>
      </c>
      <c r="I3395" t="s">
        <v>43</v>
      </c>
      <c r="J3395" t="s">
        <v>94</v>
      </c>
      <c r="K3395" t="s">
        <v>38</v>
      </c>
      <c r="L3395">
        <v>3</v>
      </c>
      <c r="M3395">
        <v>226</v>
      </c>
      <c r="N3395">
        <v>11.3</v>
      </c>
      <c r="O3395">
        <v>50</v>
      </c>
      <c r="P3395">
        <v>678</v>
      </c>
      <c r="Q3395">
        <v>716.7</v>
      </c>
      <c r="R3395" t="s">
        <v>39</v>
      </c>
      <c r="S3395" t="s">
        <v>31</v>
      </c>
      <c r="T3395" t="s">
        <v>40</v>
      </c>
      <c r="U3395">
        <v>56</v>
      </c>
      <c r="V3395">
        <v>2.9</v>
      </c>
      <c r="W3395">
        <f>Table2[[#This Row],[Quantity]]*Table2[[#This Row],[Item_Price]]</f>
        <v>678</v>
      </c>
    </row>
    <row r="3396" spans="1:23" x14ac:dyDescent="0.25">
      <c r="A3396" t="s">
        <v>3498</v>
      </c>
      <c r="B3396" s="1">
        <v>45905</v>
      </c>
      <c r="C3396" t="s">
        <v>3450</v>
      </c>
      <c r="D3396">
        <v>9</v>
      </c>
      <c r="E3396">
        <v>5</v>
      </c>
      <c r="F3396" t="s">
        <v>114</v>
      </c>
      <c r="G3396" t="s">
        <v>64</v>
      </c>
      <c r="H3396" t="s">
        <v>48</v>
      </c>
      <c r="I3396" t="s">
        <v>57</v>
      </c>
      <c r="J3396" t="s">
        <v>37</v>
      </c>
      <c r="K3396" t="s">
        <v>38</v>
      </c>
      <c r="L3396">
        <v>1</v>
      </c>
      <c r="M3396">
        <v>776</v>
      </c>
      <c r="N3396">
        <v>0</v>
      </c>
      <c r="O3396">
        <v>50</v>
      </c>
      <c r="P3396">
        <v>776</v>
      </c>
      <c r="Q3396">
        <v>826</v>
      </c>
      <c r="R3396" t="s">
        <v>75</v>
      </c>
      <c r="S3396" t="s">
        <v>31</v>
      </c>
      <c r="T3396" t="s">
        <v>40</v>
      </c>
      <c r="U3396">
        <v>43</v>
      </c>
      <c r="V3396">
        <v>3.6</v>
      </c>
      <c r="W3396">
        <f>Table2[[#This Row],[Quantity]]*Table2[[#This Row],[Item_Price]]</f>
        <v>776</v>
      </c>
    </row>
    <row r="3397" spans="1:23" x14ac:dyDescent="0.25">
      <c r="A3397" t="s">
        <v>3499</v>
      </c>
      <c r="B3397" s="1">
        <v>45905</v>
      </c>
      <c r="C3397" t="s">
        <v>3450</v>
      </c>
      <c r="D3397">
        <v>9</v>
      </c>
      <c r="E3397">
        <v>5</v>
      </c>
      <c r="F3397" t="s">
        <v>114</v>
      </c>
      <c r="G3397" t="s">
        <v>73</v>
      </c>
      <c r="H3397" t="s">
        <v>48</v>
      </c>
      <c r="I3397" t="s">
        <v>61</v>
      </c>
      <c r="J3397" t="s">
        <v>50</v>
      </c>
      <c r="K3397" t="s">
        <v>38</v>
      </c>
      <c r="L3397">
        <v>1</v>
      </c>
      <c r="M3397">
        <v>232</v>
      </c>
      <c r="N3397">
        <v>46.4</v>
      </c>
      <c r="O3397">
        <v>50</v>
      </c>
      <c r="P3397">
        <v>232</v>
      </c>
      <c r="Q3397">
        <v>235.6</v>
      </c>
      <c r="R3397" t="s">
        <v>39</v>
      </c>
      <c r="S3397" t="s">
        <v>31</v>
      </c>
      <c r="T3397" t="s">
        <v>40</v>
      </c>
      <c r="U3397">
        <v>23</v>
      </c>
      <c r="V3397">
        <v>3.1</v>
      </c>
      <c r="W3397">
        <f>Table2[[#This Row],[Quantity]]*Table2[[#This Row],[Item_Price]]</f>
        <v>232</v>
      </c>
    </row>
    <row r="3398" spans="1:23" x14ac:dyDescent="0.25">
      <c r="A3398" t="s">
        <v>3500</v>
      </c>
      <c r="B3398" s="1">
        <v>45905</v>
      </c>
      <c r="C3398" t="s">
        <v>3450</v>
      </c>
      <c r="D3398">
        <v>9</v>
      </c>
      <c r="E3398">
        <v>5</v>
      </c>
      <c r="F3398" t="s">
        <v>114</v>
      </c>
      <c r="G3398" t="s">
        <v>34</v>
      </c>
      <c r="H3398" t="s">
        <v>135</v>
      </c>
      <c r="I3398" t="s">
        <v>103</v>
      </c>
      <c r="J3398" t="s">
        <v>44</v>
      </c>
      <c r="K3398" t="s">
        <v>38</v>
      </c>
      <c r="L3398">
        <v>2</v>
      </c>
      <c r="M3398">
        <v>499</v>
      </c>
      <c r="N3398">
        <v>74.849999999999994</v>
      </c>
      <c r="O3398">
        <v>20</v>
      </c>
      <c r="P3398">
        <v>998</v>
      </c>
      <c r="Q3398">
        <v>943.15</v>
      </c>
      <c r="R3398" t="s">
        <v>75</v>
      </c>
      <c r="S3398" t="s">
        <v>31</v>
      </c>
      <c r="T3398" t="s">
        <v>40</v>
      </c>
      <c r="U3398">
        <v>22</v>
      </c>
      <c r="V3398">
        <v>4</v>
      </c>
      <c r="W3398">
        <f>Table2[[#This Row],[Quantity]]*Table2[[#This Row],[Item_Price]]</f>
        <v>998</v>
      </c>
    </row>
    <row r="3399" spans="1:23" x14ac:dyDescent="0.25">
      <c r="A3399" t="s">
        <v>3501</v>
      </c>
      <c r="B3399" s="1">
        <v>45905</v>
      </c>
      <c r="C3399" t="s">
        <v>3450</v>
      </c>
      <c r="D3399">
        <v>9</v>
      </c>
      <c r="E3399">
        <v>5</v>
      </c>
      <c r="F3399" t="s">
        <v>114</v>
      </c>
      <c r="G3399" t="s">
        <v>64</v>
      </c>
      <c r="H3399" t="s">
        <v>139</v>
      </c>
      <c r="I3399" t="s">
        <v>103</v>
      </c>
      <c r="J3399" t="s">
        <v>123</v>
      </c>
      <c r="K3399" t="s">
        <v>29</v>
      </c>
      <c r="L3399">
        <v>1</v>
      </c>
      <c r="M3399">
        <v>323</v>
      </c>
      <c r="N3399">
        <v>32.299999999999997</v>
      </c>
      <c r="O3399">
        <v>40</v>
      </c>
      <c r="P3399">
        <v>323</v>
      </c>
      <c r="Q3399">
        <v>330.7</v>
      </c>
      <c r="R3399" t="s">
        <v>30</v>
      </c>
      <c r="S3399" t="s">
        <v>31</v>
      </c>
      <c r="T3399" t="s">
        <v>32</v>
      </c>
      <c r="U3399">
        <v>22</v>
      </c>
      <c r="V3399">
        <v>4.5999999999999996</v>
      </c>
      <c r="W3399">
        <f>Table2[[#This Row],[Quantity]]*Table2[[#This Row],[Item_Price]]</f>
        <v>323</v>
      </c>
    </row>
    <row r="3400" spans="1:23" x14ac:dyDescent="0.25">
      <c r="A3400" t="s">
        <v>3502</v>
      </c>
      <c r="B3400" s="1">
        <v>45905</v>
      </c>
      <c r="C3400" t="s">
        <v>3450</v>
      </c>
      <c r="D3400">
        <v>9</v>
      </c>
      <c r="E3400">
        <v>5</v>
      </c>
      <c r="F3400" t="s">
        <v>114</v>
      </c>
      <c r="G3400" t="s">
        <v>115</v>
      </c>
      <c r="H3400" t="s">
        <v>26</v>
      </c>
      <c r="I3400" t="s">
        <v>97</v>
      </c>
      <c r="J3400" t="s">
        <v>82</v>
      </c>
      <c r="K3400" t="s">
        <v>58</v>
      </c>
      <c r="L3400">
        <v>1</v>
      </c>
      <c r="M3400">
        <v>737</v>
      </c>
      <c r="N3400">
        <v>0</v>
      </c>
      <c r="O3400">
        <v>50</v>
      </c>
      <c r="P3400">
        <v>737</v>
      </c>
      <c r="Q3400">
        <v>787</v>
      </c>
      <c r="R3400" t="s">
        <v>75</v>
      </c>
      <c r="S3400" t="s">
        <v>31</v>
      </c>
      <c r="T3400" t="s">
        <v>40</v>
      </c>
      <c r="U3400">
        <v>59</v>
      </c>
      <c r="V3400">
        <v>4</v>
      </c>
      <c r="W3400">
        <f>Table2[[#This Row],[Quantity]]*Table2[[#This Row],[Item_Price]]</f>
        <v>737</v>
      </c>
    </row>
    <row r="3401" spans="1:23" x14ac:dyDescent="0.25">
      <c r="A3401" t="s">
        <v>3503</v>
      </c>
      <c r="B3401" s="1">
        <v>45905</v>
      </c>
      <c r="C3401" t="s">
        <v>3450</v>
      </c>
      <c r="D3401">
        <v>9</v>
      </c>
      <c r="E3401">
        <v>5</v>
      </c>
      <c r="F3401" t="s">
        <v>114</v>
      </c>
      <c r="G3401" t="s">
        <v>34</v>
      </c>
      <c r="H3401" t="s">
        <v>26</v>
      </c>
      <c r="I3401" t="s">
        <v>85</v>
      </c>
      <c r="J3401" t="s">
        <v>74</v>
      </c>
      <c r="K3401" t="s">
        <v>38</v>
      </c>
      <c r="L3401">
        <v>2</v>
      </c>
      <c r="M3401">
        <v>887</v>
      </c>
      <c r="N3401">
        <v>44.35</v>
      </c>
      <c r="O3401">
        <v>20</v>
      </c>
      <c r="P3401">
        <v>1774</v>
      </c>
      <c r="Q3401">
        <v>1749.65</v>
      </c>
      <c r="R3401" t="s">
        <v>39</v>
      </c>
      <c r="S3401" t="s">
        <v>46</v>
      </c>
      <c r="T3401" t="s">
        <v>32</v>
      </c>
      <c r="U3401">
        <v>58</v>
      </c>
      <c r="W3401">
        <f>Table2[[#This Row],[Quantity]]*Table2[[#This Row],[Item_Price]]</f>
        <v>1774</v>
      </c>
    </row>
    <row r="3402" spans="1:23" x14ac:dyDescent="0.25">
      <c r="A3402" t="s">
        <v>3504</v>
      </c>
      <c r="B3402" s="1">
        <v>45905</v>
      </c>
      <c r="C3402" t="s">
        <v>3450</v>
      </c>
      <c r="D3402">
        <v>9</v>
      </c>
      <c r="E3402">
        <v>5</v>
      </c>
      <c r="F3402" t="s">
        <v>114</v>
      </c>
      <c r="G3402" t="s">
        <v>55</v>
      </c>
      <c r="H3402" t="s">
        <v>56</v>
      </c>
      <c r="I3402" t="s">
        <v>103</v>
      </c>
      <c r="J3402" t="s">
        <v>66</v>
      </c>
      <c r="K3402" t="s">
        <v>45</v>
      </c>
      <c r="L3402">
        <v>1</v>
      </c>
      <c r="M3402">
        <v>705</v>
      </c>
      <c r="N3402">
        <v>105.75</v>
      </c>
      <c r="O3402">
        <v>40</v>
      </c>
      <c r="P3402">
        <v>705</v>
      </c>
      <c r="Q3402">
        <v>639.25</v>
      </c>
      <c r="R3402" t="s">
        <v>75</v>
      </c>
      <c r="S3402" t="s">
        <v>31</v>
      </c>
      <c r="T3402" t="s">
        <v>40</v>
      </c>
      <c r="U3402">
        <v>33</v>
      </c>
      <c r="V3402">
        <v>4.5999999999999996</v>
      </c>
      <c r="W3402">
        <f>Table2[[#This Row],[Quantity]]*Table2[[#This Row],[Item_Price]]</f>
        <v>705</v>
      </c>
    </row>
    <row r="3403" spans="1:23" x14ac:dyDescent="0.25">
      <c r="A3403" t="s">
        <v>3505</v>
      </c>
      <c r="B3403" s="1">
        <v>45905</v>
      </c>
      <c r="C3403" t="s">
        <v>3450</v>
      </c>
      <c r="D3403">
        <v>9</v>
      </c>
      <c r="E3403">
        <v>5</v>
      </c>
      <c r="F3403" t="s">
        <v>114</v>
      </c>
      <c r="G3403" t="s">
        <v>34</v>
      </c>
      <c r="H3403" t="s">
        <v>65</v>
      </c>
      <c r="I3403" t="s">
        <v>69</v>
      </c>
      <c r="J3403" t="s">
        <v>82</v>
      </c>
      <c r="K3403" t="s">
        <v>38</v>
      </c>
      <c r="L3403">
        <v>2</v>
      </c>
      <c r="M3403">
        <v>585</v>
      </c>
      <c r="N3403">
        <v>87.75</v>
      </c>
      <c r="O3403">
        <v>60</v>
      </c>
      <c r="P3403">
        <v>1170</v>
      </c>
      <c r="Q3403">
        <v>1142.25</v>
      </c>
      <c r="R3403" t="s">
        <v>112</v>
      </c>
      <c r="S3403" t="s">
        <v>31</v>
      </c>
      <c r="T3403" t="s">
        <v>32</v>
      </c>
      <c r="U3403">
        <v>35</v>
      </c>
      <c r="V3403">
        <v>2.9</v>
      </c>
      <c r="W3403">
        <f>Table2[[#This Row],[Quantity]]*Table2[[#This Row],[Item_Price]]</f>
        <v>1170</v>
      </c>
    </row>
    <row r="3404" spans="1:23" x14ac:dyDescent="0.25">
      <c r="A3404" t="s">
        <v>3506</v>
      </c>
      <c r="B3404" s="1">
        <v>45905</v>
      </c>
      <c r="C3404" t="s">
        <v>3450</v>
      </c>
      <c r="D3404">
        <v>9</v>
      </c>
      <c r="E3404">
        <v>5</v>
      </c>
      <c r="F3404" t="s">
        <v>114</v>
      </c>
      <c r="G3404" t="s">
        <v>64</v>
      </c>
      <c r="H3404" t="s">
        <v>60</v>
      </c>
      <c r="I3404" t="s">
        <v>61</v>
      </c>
      <c r="J3404" t="s">
        <v>78</v>
      </c>
      <c r="K3404" t="s">
        <v>38</v>
      </c>
      <c r="L3404">
        <v>1</v>
      </c>
      <c r="M3404">
        <v>168</v>
      </c>
      <c r="N3404">
        <v>16.8</v>
      </c>
      <c r="O3404">
        <v>60</v>
      </c>
      <c r="P3404">
        <v>168</v>
      </c>
      <c r="Q3404">
        <v>211.2</v>
      </c>
      <c r="R3404" t="s">
        <v>98</v>
      </c>
      <c r="S3404" t="s">
        <v>31</v>
      </c>
      <c r="T3404" t="s">
        <v>40</v>
      </c>
      <c r="U3404">
        <v>59</v>
      </c>
      <c r="V3404">
        <v>3.4</v>
      </c>
      <c r="W3404">
        <f>Table2[[#This Row],[Quantity]]*Table2[[#This Row],[Item_Price]]</f>
        <v>168</v>
      </c>
    </row>
    <row r="3405" spans="1:23" x14ac:dyDescent="0.25">
      <c r="A3405" t="s">
        <v>3507</v>
      </c>
      <c r="B3405" s="1">
        <v>45905</v>
      </c>
      <c r="C3405" t="s">
        <v>3450</v>
      </c>
      <c r="D3405">
        <v>9</v>
      </c>
      <c r="E3405">
        <v>5</v>
      </c>
      <c r="F3405" t="s">
        <v>114</v>
      </c>
      <c r="G3405" t="s">
        <v>34</v>
      </c>
      <c r="H3405" t="s">
        <v>35</v>
      </c>
      <c r="I3405" t="s">
        <v>57</v>
      </c>
      <c r="J3405" t="s">
        <v>70</v>
      </c>
      <c r="K3405" t="s">
        <v>45</v>
      </c>
      <c r="L3405">
        <v>1</v>
      </c>
      <c r="M3405">
        <v>180</v>
      </c>
      <c r="N3405">
        <v>9</v>
      </c>
      <c r="O3405">
        <v>40</v>
      </c>
      <c r="P3405">
        <v>180</v>
      </c>
      <c r="Q3405">
        <v>211</v>
      </c>
      <c r="R3405" t="s">
        <v>39</v>
      </c>
      <c r="S3405" t="s">
        <v>31</v>
      </c>
      <c r="T3405" t="s">
        <v>32</v>
      </c>
      <c r="U3405">
        <v>36</v>
      </c>
      <c r="V3405">
        <v>5</v>
      </c>
      <c r="W3405">
        <f>Table2[[#This Row],[Quantity]]*Table2[[#This Row],[Item_Price]]</f>
        <v>180</v>
      </c>
    </row>
    <row r="3406" spans="1:23" x14ac:dyDescent="0.25">
      <c r="A3406" t="s">
        <v>3508</v>
      </c>
      <c r="B3406" s="1">
        <v>45906</v>
      </c>
      <c r="C3406" t="s">
        <v>3450</v>
      </c>
      <c r="D3406">
        <v>9</v>
      </c>
      <c r="E3406">
        <v>6</v>
      </c>
      <c r="F3406" t="s">
        <v>134</v>
      </c>
      <c r="G3406" t="s">
        <v>34</v>
      </c>
      <c r="H3406" t="s">
        <v>81</v>
      </c>
      <c r="I3406" t="s">
        <v>27</v>
      </c>
      <c r="J3406" t="s">
        <v>78</v>
      </c>
      <c r="K3406" t="s">
        <v>38</v>
      </c>
      <c r="L3406">
        <v>1</v>
      </c>
      <c r="M3406">
        <v>137</v>
      </c>
      <c r="N3406">
        <v>6.85</v>
      </c>
      <c r="O3406">
        <v>20</v>
      </c>
      <c r="P3406">
        <v>137</v>
      </c>
      <c r="Q3406">
        <v>150.15</v>
      </c>
      <c r="R3406" t="s">
        <v>112</v>
      </c>
      <c r="S3406" t="s">
        <v>31</v>
      </c>
      <c r="T3406" t="s">
        <v>32</v>
      </c>
      <c r="U3406">
        <v>41</v>
      </c>
      <c r="V3406">
        <v>4.4000000000000004</v>
      </c>
      <c r="W3406">
        <f>Table2[[#This Row],[Quantity]]*Table2[[#This Row],[Item_Price]]</f>
        <v>137</v>
      </c>
    </row>
    <row r="3407" spans="1:23" x14ac:dyDescent="0.25">
      <c r="A3407" t="s">
        <v>3509</v>
      </c>
      <c r="B3407" s="1">
        <v>45906</v>
      </c>
      <c r="C3407" t="s">
        <v>3450</v>
      </c>
      <c r="D3407">
        <v>9</v>
      </c>
      <c r="E3407">
        <v>6</v>
      </c>
      <c r="F3407" t="s">
        <v>134</v>
      </c>
      <c r="G3407" t="s">
        <v>55</v>
      </c>
      <c r="H3407" t="s">
        <v>135</v>
      </c>
      <c r="I3407" t="s">
        <v>103</v>
      </c>
      <c r="J3407" t="s">
        <v>50</v>
      </c>
      <c r="K3407" t="s">
        <v>38</v>
      </c>
      <c r="L3407">
        <v>1</v>
      </c>
      <c r="M3407">
        <v>347</v>
      </c>
      <c r="N3407">
        <v>0</v>
      </c>
      <c r="O3407">
        <v>50</v>
      </c>
      <c r="P3407">
        <v>347</v>
      </c>
      <c r="Q3407">
        <v>397</v>
      </c>
      <c r="R3407" t="s">
        <v>75</v>
      </c>
      <c r="S3407" t="s">
        <v>31</v>
      </c>
      <c r="T3407" t="s">
        <v>32</v>
      </c>
      <c r="U3407">
        <v>49</v>
      </c>
      <c r="V3407">
        <v>4</v>
      </c>
      <c r="W3407">
        <f>Table2[[#This Row],[Quantity]]*Table2[[#This Row],[Item_Price]]</f>
        <v>347</v>
      </c>
    </row>
    <row r="3408" spans="1:23" x14ac:dyDescent="0.25">
      <c r="A3408" t="s">
        <v>3510</v>
      </c>
      <c r="B3408" s="1">
        <v>45906</v>
      </c>
      <c r="C3408" t="s">
        <v>3450</v>
      </c>
      <c r="D3408">
        <v>9</v>
      </c>
      <c r="E3408">
        <v>6</v>
      </c>
      <c r="F3408" t="s">
        <v>134</v>
      </c>
      <c r="G3408" t="s">
        <v>34</v>
      </c>
      <c r="H3408" t="s">
        <v>35</v>
      </c>
      <c r="I3408" t="s">
        <v>43</v>
      </c>
      <c r="J3408" t="s">
        <v>82</v>
      </c>
      <c r="K3408" t="s">
        <v>38</v>
      </c>
      <c r="L3408">
        <v>1</v>
      </c>
      <c r="M3408">
        <v>239</v>
      </c>
      <c r="N3408">
        <v>11.95</v>
      </c>
      <c r="O3408">
        <v>40</v>
      </c>
      <c r="P3408">
        <v>239</v>
      </c>
      <c r="Q3408">
        <v>267.05</v>
      </c>
      <c r="R3408" t="s">
        <v>98</v>
      </c>
      <c r="S3408" t="s">
        <v>31</v>
      </c>
      <c r="T3408" t="s">
        <v>40</v>
      </c>
      <c r="U3408">
        <v>48</v>
      </c>
      <c r="V3408">
        <v>3.9</v>
      </c>
      <c r="W3408">
        <f>Table2[[#This Row],[Quantity]]*Table2[[#This Row],[Item_Price]]</f>
        <v>239</v>
      </c>
    </row>
    <row r="3409" spans="1:23" x14ac:dyDescent="0.25">
      <c r="A3409" t="s">
        <v>3511</v>
      </c>
      <c r="B3409" s="1">
        <v>45906</v>
      </c>
      <c r="C3409" t="s">
        <v>3450</v>
      </c>
      <c r="D3409">
        <v>9</v>
      </c>
      <c r="E3409">
        <v>6</v>
      </c>
      <c r="F3409" t="s">
        <v>134</v>
      </c>
      <c r="G3409" t="s">
        <v>90</v>
      </c>
      <c r="H3409" t="s">
        <v>135</v>
      </c>
      <c r="I3409" t="s">
        <v>61</v>
      </c>
      <c r="J3409" t="s">
        <v>78</v>
      </c>
      <c r="K3409" t="s">
        <v>38</v>
      </c>
      <c r="L3409">
        <v>1</v>
      </c>
      <c r="M3409">
        <v>589</v>
      </c>
      <c r="N3409">
        <v>0</v>
      </c>
      <c r="O3409">
        <v>40</v>
      </c>
      <c r="P3409">
        <v>589</v>
      </c>
      <c r="Q3409">
        <v>629</v>
      </c>
      <c r="R3409" t="s">
        <v>112</v>
      </c>
      <c r="S3409" t="s">
        <v>31</v>
      </c>
      <c r="T3409" t="s">
        <v>40</v>
      </c>
      <c r="U3409">
        <v>62</v>
      </c>
      <c r="V3409">
        <v>4.5999999999999996</v>
      </c>
      <c r="W3409">
        <f>Table2[[#This Row],[Quantity]]*Table2[[#This Row],[Item_Price]]</f>
        <v>589</v>
      </c>
    </row>
    <row r="3410" spans="1:23" x14ac:dyDescent="0.25">
      <c r="A3410" t="s">
        <v>3512</v>
      </c>
      <c r="B3410" s="1">
        <v>45906</v>
      </c>
      <c r="C3410" t="s">
        <v>3450</v>
      </c>
      <c r="D3410">
        <v>9</v>
      </c>
      <c r="E3410">
        <v>6</v>
      </c>
      <c r="F3410" t="s">
        <v>134</v>
      </c>
      <c r="G3410" t="s">
        <v>73</v>
      </c>
      <c r="H3410" t="s">
        <v>35</v>
      </c>
      <c r="I3410" t="s">
        <v>61</v>
      </c>
      <c r="J3410" t="s">
        <v>123</v>
      </c>
      <c r="K3410" t="s">
        <v>38</v>
      </c>
      <c r="L3410">
        <v>1</v>
      </c>
      <c r="M3410">
        <v>461</v>
      </c>
      <c r="N3410">
        <v>46.1</v>
      </c>
      <c r="O3410">
        <v>30</v>
      </c>
      <c r="P3410">
        <v>461</v>
      </c>
      <c r="Q3410">
        <v>444.9</v>
      </c>
      <c r="R3410" t="s">
        <v>39</v>
      </c>
      <c r="S3410" t="s">
        <v>31</v>
      </c>
      <c r="T3410" t="s">
        <v>40</v>
      </c>
      <c r="U3410">
        <v>38</v>
      </c>
      <c r="V3410">
        <v>3.7</v>
      </c>
      <c r="W3410">
        <f>Table2[[#This Row],[Quantity]]*Table2[[#This Row],[Item_Price]]</f>
        <v>461</v>
      </c>
    </row>
    <row r="3411" spans="1:23" x14ac:dyDescent="0.25">
      <c r="A3411" t="s">
        <v>3513</v>
      </c>
      <c r="B3411" s="1">
        <v>45906</v>
      </c>
      <c r="C3411" t="s">
        <v>3450</v>
      </c>
      <c r="D3411">
        <v>9</v>
      </c>
      <c r="E3411">
        <v>6</v>
      </c>
      <c r="F3411" t="s">
        <v>134</v>
      </c>
      <c r="G3411" t="s">
        <v>80</v>
      </c>
      <c r="H3411" t="s">
        <v>60</v>
      </c>
      <c r="I3411" t="s">
        <v>36</v>
      </c>
      <c r="J3411" t="s">
        <v>62</v>
      </c>
      <c r="K3411" t="s">
        <v>38</v>
      </c>
      <c r="L3411">
        <v>2</v>
      </c>
      <c r="M3411">
        <v>489</v>
      </c>
      <c r="N3411">
        <v>48.9</v>
      </c>
      <c r="O3411">
        <v>40</v>
      </c>
      <c r="P3411">
        <v>978</v>
      </c>
      <c r="Q3411">
        <v>969.1</v>
      </c>
      <c r="R3411" t="s">
        <v>39</v>
      </c>
      <c r="S3411" t="s">
        <v>31</v>
      </c>
      <c r="T3411" t="s">
        <v>32</v>
      </c>
      <c r="U3411">
        <v>69</v>
      </c>
      <c r="V3411">
        <v>4</v>
      </c>
      <c r="W3411">
        <f>Table2[[#This Row],[Quantity]]*Table2[[#This Row],[Item_Price]]</f>
        <v>978</v>
      </c>
    </row>
    <row r="3412" spans="1:23" x14ac:dyDescent="0.25">
      <c r="A3412" t="s">
        <v>3514</v>
      </c>
      <c r="B3412" s="1">
        <v>45906</v>
      </c>
      <c r="C3412" t="s">
        <v>3450</v>
      </c>
      <c r="D3412">
        <v>9</v>
      </c>
      <c r="E3412">
        <v>6</v>
      </c>
      <c r="F3412" t="s">
        <v>134</v>
      </c>
      <c r="G3412" t="s">
        <v>25</v>
      </c>
      <c r="H3412" t="s">
        <v>26</v>
      </c>
      <c r="I3412" t="s">
        <v>43</v>
      </c>
      <c r="J3412" t="s">
        <v>119</v>
      </c>
      <c r="K3412" t="s">
        <v>38</v>
      </c>
      <c r="L3412">
        <v>1</v>
      </c>
      <c r="M3412">
        <v>491</v>
      </c>
      <c r="N3412">
        <v>73.650000000000006</v>
      </c>
      <c r="O3412">
        <v>0</v>
      </c>
      <c r="P3412">
        <v>491</v>
      </c>
      <c r="Q3412">
        <v>417.35</v>
      </c>
      <c r="R3412" t="s">
        <v>98</v>
      </c>
      <c r="S3412" t="s">
        <v>91</v>
      </c>
      <c r="T3412" t="s">
        <v>40</v>
      </c>
      <c r="U3412">
        <v>45</v>
      </c>
      <c r="W3412">
        <f>Table2[[#This Row],[Quantity]]*Table2[[#This Row],[Item_Price]]</f>
        <v>491</v>
      </c>
    </row>
    <row r="3413" spans="1:23" x14ac:dyDescent="0.25">
      <c r="A3413" t="s">
        <v>3515</v>
      </c>
      <c r="B3413" s="1">
        <v>45906</v>
      </c>
      <c r="C3413" t="s">
        <v>3450</v>
      </c>
      <c r="D3413">
        <v>9</v>
      </c>
      <c r="E3413">
        <v>6</v>
      </c>
      <c r="F3413" t="s">
        <v>134</v>
      </c>
      <c r="G3413" t="s">
        <v>115</v>
      </c>
      <c r="H3413" t="s">
        <v>77</v>
      </c>
      <c r="I3413" t="s">
        <v>57</v>
      </c>
      <c r="J3413" t="s">
        <v>44</v>
      </c>
      <c r="K3413" t="s">
        <v>38</v>
      </c>
      <c r="L3413">
        <v>1</v>
      </c>
      <c r="M3413">
        <v>678</v>
      </c>
      <c r="N3413">
        <v>67.8</v>
      </c>
      <c r="O3413">
        <v>50</v>
      </c>
      <c r="P3413">
        <v>678</v>
      </c>
      <c r="Q3413">
        <v>660.2</v>
      </c>
      <c r="R3413" t="s">
        <v>75</v>
      </c>
      <c r="S3413" t="s">
        <v>31</v>
      </c>
      <c r="T3413" t="s">
        <v>40</v>
      </c>
      <c r="U3413">
        <v>27</v>
      </c>
      <c r="V3413">
        <v>4.9000000000000004</v>
      </c>
      <c r="W3413">
        <f>Table2[[#This Row],[Quantity]]*Table2[[#This Row],[Item_Price]]</f>
        <v>678</v>
      </c>
    </row>
    <row r="3414" spans="1:23" x14ac:dyDescent="0.25">
      <c r="A3414" t="s">
        <v>3516</v>
      </c>
      <c r="B3414" s="1">
        <v>45906</v>
      </c>
      <c r="C3414" t="s">
        <v>3450</v>
      </c>
      <c r="D3414">
        <v>9</v>
      </c>
      <c r="E3414">
        <v>6</v>
      </c>
      <c r="F3414" t="s">
        <v>134</v>
      </c>
      <c r="G3414" t="s">
        <v>84</v>
      </c>
      <c r="H3414" t="s">
        <v>77</v>
      </c>
      <c r="I3414" t="s">
        <v>43</v>
      </c>
      <c r="J3414" t="s">
        <v>82</v>
      </c>
      <c r="K3414" t="s">
        <v>38</v>
      </c>
      <c r="L3414">
        <v>3</v>
      </c>
      <c r="M3414">
        <v>495</v>
      </c>
      <c r="N3414">
        <v>74.25</v>
      </c>
      <c r="O3414">
        <v>0</v>
      </c>
      <c r="P3414">
        <v>1485</v>
      </c>
      <c r="Q3414">
        <v>1410.75</v>
      </c>
      <c r="R3414" t="s">
        <v>39</v>
      </c>
      <c r="S3414" t="s">
        <v>110</v>
      </c>
      <c r="T3414" t="s">
        <v>32</v>
      </c>
      <c r="U3414">
        <v>34</v>
      </c>
      <c r="W3414">
        <f>Table2[[#This Row],[Quantity]]*Table2[[#This Row],[Item_Price]]</f>
        <v>1485</v>
      </c>
    </row>
    <row r="3415" spans="1:23" x14ac:dyDescent="0.25">
      <c r="A3415" t="s">
        <v>3517</v>
      </c>
      <c r="B3415" s="1">
        <v>45906</v>
      </c>
      <c r="C3415" t="s">
        <v>3450</v>
      </c>
      <c r="D3415">
        <v>9</v>
      </c>
      <c r="E3415">
        <v>6</v>
      </c>
      <c r="F3415" t="s">
        <v>134</v>
      </c>
      <c r="G3415" t="s">
        <v>25</v>
      </c>
      <c r="H3415" t="s">
        <v>26</v>
      </c>
      <c r="I3415" t="s">
        <v>49</v>
      </c>
      <c r="J3415" t="s">
        <v>37</v>
      </c>
      <c r="K3415" t="s">
        <v>38</v>
      </c>
      <c r="L3415">
        <v>1</v>
      </c>
      <c r="M3415">
        <v>673</v>
      </c>
      <c r="N3415">
        <v>67.3</v>
      </c>
      <c r="O3415">
        <v>20</v>
      </c>
      <c r="P3415">
        <v>673</v>
      </c>
      <c r="Q3415">
        <v>625.70000000000005</v>
      </c>
      <c r="R3415" t="s">
        <v>98</v>
      </c>
      <c r="S3415" t="s">
        <v>31</v>
      </c>
      <c r="T3415" t="s">
        <v>40</v>
      </c>
      <c r="U3415">
        <v>40</v>
      </c>
      <c r="V3415">
        <v>3.9</v>
      </c>
      <c r="W3415">
        <f>Table2[[#This Row],[Quantity]]*Table2[[#This Row],[Item_Price]]</f>
        <v>673</v>
      </c>
    </row>
    <row r="3416" spans="1:23" x14ac:dyDescent="0.25">
      <c r="A3416" t="s">
        <v>3518</v>
      </c>
      <c r="B3416" s="1">
        <v>45907</v>
      </c>
      <c r="C3416" t="s">
        <v>3450</v>
      </c>
      <c r="D3416">
        <v>9</v>
      </c>
      <c r="E3416">
        <v>7</v>
      </c>
      <c r="F3416" t="s">
        <v>149</v>
      </c>
      <c r="G3416" t="s">
        <v>25</v>
      </c>
      <c r="H3416" t="s">
        <v>52</v>
      </c>
      <c r="I3416" t="s">
        <v>36</v>
      </c>
      <c r="J3416" t="s">
        <v>123</v>
      </c>
      <c r="K3416" t="s">
        <v>58</v>
      </c>
      <c r="L3416">
        <v>1</v>
      </c>
      <c r="M3416">
        <v>885</v>
      </c>
      <c r="N3416">
        <v>88.5</v>
      </c>
      <c r="O3416">
        <v>50</v>
      </c>
      <c r="P3416">
        <v>885</v>
      </c>
      <c r="Q3416">
        <v>846.5</v>
      </c>
      <c r="R3416" t="s">
        <v>30</v>
      </c>
      <c r="S3416" t="s">
        <v>46</v>
      </c>
      <c r="T3416" t="s">
        <v>32</v>
      </c>
      <c r="U3416">
        <v>20</v>
      </c>
      <c r="W3416">
        <f>Table2[[#This Row],[Quantity]]*Table2[[#This Row],[Item_Price]]</f>
        <v>885</v>
      </c>
    </row>
    <row r="3417" spans="1:23" x14ac:dyDescent="0.25">
      <c r="A3417" t="s">
        <v>3519</v>
      </c>
      <c r="B3417" s="1">
        <v>45907</v>
      </c>
      <c r="C3417" t="s">
        <v>3450</v>
      </c>
      <c r="D3417">
        <v>9</v>
      </c>
      <c r="E3417">
        <v>7</v>
      </c>
      <c r="F3417" t="s">
        <v>149</v>
      </c>
      <c r="G3417" t="s">
        <v>25</v>
      </c>
      <c r="H3417" t="s">
        <v>48</v>
      </c>
      <c r="I3417" t="s">
        <v>103</v>
      </c>
      <c r="J3417" t="s">
        <v>172</v>
      </c>
      <c r="K3417" t="s">
        <v>45</v>
      </c>
      <c r="L3417">
        <v>1</v>
      </c>
      <c r="M3417">
        <v>330</v>
      </c>
      <c r="N3417">
        <v>49.5</v>
      </c>
      <c r="O3417">
        <v>30</v>
      </c>
      <c r="P3417">
        <v>330</v>
      </c>
      <c r="Q3417">
        <v>310.5</v>
      </c>
      <c r="R3417" t="s">
        <v>98</v>
      </c>
      <c r="S3417" t="s">
        <v>31</v>
      </c>
      <c r="T3417" t="s">
        <v>32</v>
      </c>
      <c r="U3417">
        <v>20</v>
      </c>
      <c r="V3417">
        <v>4.5</v>
      </c>
      <c r="W3417">
        <f>Table2[[#This Row],[Quantity]]*Table2[[#This Row],[Item_Price]]</f>
        <v>330</v>
      </c>
    </row>
    <row r="3418" spans="1:23" x14ac:dyDescent="0.25">
      <c r="A3418" t="s">
        <v>3520</v>
      </c>
      <c r="B3418" s="1">
        <v>45907</v>
      </c>
      <c r="C3418" t="s">
        <v>3450</v>
      </c>
      <c r="D3418">
        <v>9</v>
      </c>
      <c r="E3418">
        <v>7</v>
      </c>
      <c r="F3418" t="s">
        <v>149</v>
      </c>
      <c r="G3418" t="s">
        <v>90</v>
      </c>
      <c r="H3418" t="s">
        <v>56</v>
      </c>
      <c r="I3418" t="s">
        <v>27</v>
      </c>
      <c r="J3418" t="s">
        <v>37</v>
      </c>
      <c r="K3418" t="s">
        <v>38</v>
      </c>
      <c r="L3418">
        <v>1</v>
      </c>
      <c r="M3418">
        <v>549</v>
      </c>
      <c r="N3418">
        <v>0</v>
      </c>
      <c r="O3418">
        <v>0</v>
      </c>
      <c r="P3418">
        <v>549</v>
      </c>
      <c r="Q3418">
        <v>549</v>
      </c>
      <c r="R3418" t="s">
        <v>39</v>
      </c>
      <c r="S3418" t="s">
        <v>91</v>
      </c>
      <c r="T3418" t="s">
        <v>40</v>
      </c>
      <c r="U3418">
        <v>63</v>
      </c>
      <c r="W3418">
        <f>Table2[[#This Row],[Quantity]]*Table2[[#This Row],[Item_Price]]</f>
        <v>549</v>
      </c>
    </row>
    <row r="3419" spans="1:23" x14ac:dyDescent="0.25">
      <c r="A3419" t="s">
        <v>3521</v>
      </c>
      <c r="B3419" s="1">
        <v>45907</v>
      </c>
      <c r="C3419" t="s">
        <v>3450</v>
      </c>
      <c r="D3419">
        <v>9</v>
      </c>
      <c r="E3419">
        <v>7</v>
      </c>
      <c r="F3419" t="s">
        <v>149</v>
      </c>
      <c r="G3419" t="s">
        <v>90</v>
      </c>
      <c r="H3419" t="s">
        <v>65</v>
      </c>
      <c r="I3419" t="s">
        <v>69</v>
      </c>
      <c r="J3419" t="s">
        <v>101</v>
      </c>
      <c r="K3419" t="s">
        <v>29</v>
      </c>
      <c r="L3419">
        <v>1</v>
      </c>
      <c r="M3419">
        <v>506</v>
      </c>
      <c r="N3419">
        <v>50.6</v>
      </c>
      <c r="O3419">
        <v>60</v>
      </c>
      <c r="P3419">
        <v>506</v>
      </c>
      <c r="Q3419">
        <v>515.4</v>
      </c>
      <c r="R3419" t="s">
        <v>112</v>
      </c>
      <c r="S3419" t="s">
        <v>31</v>
      </c>
      <c r="T3419" t="s">
        <v>40</v>
      </c>
      <c r="U3419">
        <v>27</v>
      </c>
      <c r="V3419">
        <v>4.5</v>
      </c>
      <c r="W3419">
        <f>Table2[[#This Row],[Quantity]]*Table2[[#This Row],[Item_Price]]</f>
        <v>506</v>
      </c>
    </row>
    <row r="3420" spans="1:23" x14ac:dyDescent="0.25">
      <c r="A3420" t="s">
        <v>3522</v>
      </c>
      <c r="B3420" s="1">
        <v>45907</v>
      </c>
      <c r="C3420" t="s">
        <v>3450</v>
      </c>
      <c r="D3420">
        <v>9</v>
      </c>
      <c r="E3420">
        <v>7</v>
      </c>
      <c r="F3420" t="s">
        <v>149</v>
      </c>
      <c r="G3420" t="s">
        <v>80</v>
      </c>
      <c r="H3420" t="s">
        <v>139</v>
      </c>
      <c r="I3420" t="s">
        <v>27</v>
      </c>
      <c r="J3420" t="s">
        <v>78</v>
      </c>
      <c r="K3420" t="s">
        <v>29</v>
      </c>
      <c r="L3420">
        <v>3</v>
      </c>
      <c r="M3420">
        <v>345</v>
      </c>
      <c r="N3420">
        <v>51.75</v>
      </c>
      <c r="O3420">
        <v>40</v>
      </c>
      <c r="P3420">
        <v>1035</v>
      </c>
      <c r="Q3420">
        <v>1023.25</v>
      </c>
      <c r="R3420" t="s">
        <v>112</v>
      </c>
      <c r="S3420" t="s">
        <v>31</v>
      </c>
      <c r="T3420" t="s">
        <v>32</v>
      </c>
      <c r="U3420">
        <v>54</v>
      </c>
      <c r="V3420">
        <v>4.5999999999999996</v>
      </c>
      <c r="W3420">
        <f>Table2[[#This Row],[Quantity]]*Table2[[#This Row],[Item_Price]]</f>
        <v>1035</v>
      </c>
    </row>
    <row r="3421" spans="1:23" x14ac:dyDescent="0.25">
      <c r="A3421" t="s">
        <v>3523</v>
      </c>
      <c r="B3421" s="1">
        <v>45907</v>
      </c>
      <c r="C3421" t="s">
        <v>3450</v>
      </c>
      <c r="D3421">
        <v>9</v>
      </c>
      <c r="E3421">
        <v>7</v>
      </c>
      <c r="F3421" t="s">
        <v>149</v>
      </c>
      <c r="G3421" t="s">
        <v>115</v>
      </c>
      <c r="H3421" t="s">
        <v>48</v>
      </c>
      <c r="I3421" t="s">
        <v>61</v>
      </c>
      <c r="J3421" t="s">
        <v>37</v>
      </c>
      <c r="K3421" t="s">
        <v>38</v>
      </c>
      <c r="L3421">
        <v>1</v>
      </c>
      <c r="M3421">
        <v>133</v>
      </c>
      <c r="N3421">
        <v>33.25</v>
      </c>
      <c r="O3421">
        <v>30</v>
      </c>
      <c r="P3421">
        <v>133</v>
      </c>
      <c r="Q3421">
        <v>129.75</v>
      </c>
      <c r="R3421" t="s">
        <v>30</v>
      </c>
      <c r="S3421" t="s">
        <v>31</v>
      </c>
      <c r="T3421" t="s">
        <v>40</v>
      </c>
      <c r="U3421">
        <v>50</v>
      </c>
      <c r="V3421">
        <v>4</v>
      </c>
      <c r="W3421">
        <f>Table2[[#This Row],[Quantity]]*Table2[[#This Row],[Item_Price]]</f>
        <v>133</v>
      </c>
    </row>
    <row r="3422" spans="1:23" x14ac:dyDescent="0.25">
      <c r="A3422" t="s">
        <v>3524</v>
      </c>
      <c r="B3422" s="1">
        <v>45907</v>
      </c>
      <c r="C3422" t="s">
        <v>3450</v>
      </c>
      <c r="D3422">
        <v>9</v>
      </c>
      <c r="E3422">
        <v>7</v>
      </c>
      <c r="F3422" t="s">
        <v>149</v>
      </c>
      <c r="G3422" t="s">
        <v>80</v>
      </c>
      <c r="H3422" t="s">
        <v>52</v>
      </c>
      <c r="I3422" t="s">
        <v>97</v>
      </c>
      <c r="J3422" t="s">
        <v>62</v>
      </c>
      <c r="K3422" t="s">
        <v>38</v>
      </c>
      <c r="L3422">
        <v>1</v>
      </c>
      <c r="M3422">
        <v>750</v>
      </c>
      <c r="N3422">
        <v>75</v>
      </c>
      <c r="O3422">
        <v>0</v>
      </c>
      <c r="P3422">
        <v>750</v>
      </c>
      <c r="Q3422">
        <v>675</v>
      </c>
      <c r="R3422" t="s">
        <v>39</v>
      </c>
      <c r="S3422" t="s">
        <v>31</v>
      </c>
      <c r="T3422" t="s">
        <v>40</v>
      </c>
      <c r="U3422">
        <v>42</v>
      </c>
      <c r="V3422">
        <v>3.5</v>
      </c>
      <c r="W3422">
        <f>Table2[[#This Row],[Quantity]]*Table2[[#This Row],[Item_Price]]</f>
        <v>750</v>
      </c>
    </row>
    <row r="3423" spans="1:23" x14ac:dyDescent="0.25">
      <c r="A3423" t="s">
        <v>3525</v>
      </c>
      <c r="B3423" s="1">
        <v>45907</v>
      </c>
      <c r="C3423" t="s">
        <v>3450</v>
      </c>
      <c r="D3423">
        <v>9</v>
      </c>
      <c r="E3423">
        <v>7</v>
      </c>
      <c r="F3423" t="s">
        <v>149</v>
      </c>
      <c r="G3423" t="s">
        <v>84</v>
      </c>
      <c r="H3423" t="s">
        <v>135</v>
      </c>
      <c r="I3423" t="s">
        <v>103</v>
      </c>
      <c r="J3423" t="s">
        <v>44</v>
      </c>
      <c r="K3423" t="s">
        <v>38</v>
      </c>
      <c r="L3423">
        <v>2</v>
      </c>
      <c r="M3423">
        <v>348</v>
      </c>
      <c r="N3423">
        <v>52.2</v>
      </c>
      <c r="O3423">
        <v>70</v>
      </c>
      <c r="P3423">
        <v>696</v>
      </c>
      <c r="Q3423">
        <v>713.8</v>
      </c>
      <c r="R3423" t="s">
        <v>112</v>
      </c>
      <c r="S3423" t="s">
        <v>31</v>
      </c>
      <c r="T3423" t="s">
        <v>40</v>
      </c>
      <c r="U3423">
        <v>59</v>
      </c>
      <c r="V3423">
        <v>3.8</v>
      </c>
      <c r="W3423">
        <f>Table2[[#This Row],[Quantity]]*Table2[[#This Row],[Item_Price]]</f>
        <v>696</v>
      </c>
    </row>
    <row r="3424" spans="1:23" x14ac:dyDescent="0.25">
      <c r="A3424" t="s">
        <v>3526</v>
      </c>
      <c r="B3424" s="1">
        <v>45907</v>
      </c>
      <c r="C3424" t="s">
        <v>3450</v>
      </c>
      <c r="D3424">
        <v>9</v>
      </c>
      <c r="E3424">
        <v>7</v>
      </c>
      <c r="F3424" t="s">
        <v>149</v>
      </c>
      <c r="G3424" t="s">
        <v>25</v>
      </c>
      <c r="H3424" t="s">
        <v>139</v>
      </c>
      <c r="I3424" t="s">
        <v>43</v>
      </c>
      <c r="J3424" t="s">
        <v>37</v>
      </c>
      <c r="K3424" t="s">
        <v>45</v>
      </c>
      <c r="L3424">
        <v>1</v>
      </c>
      <c r="M3424">
        <v>274</v>
      </c>
      <c r="N3424">
        <v>41.1</v>
      </c>
      <c r="O3424">
        <v>60</v>
      </c>
      <c r="P3424">
        <v>274</v>
      </c>
      <c r="Q3424">
        <v>292.89999999999998</v>
      </c>
      <c r="R3424" t="s">
        <v>112</v>
      </c>
      <c r="S3424" t="s">
        <v>31</v>
      </c>
      <c r="T3424" t="s">
        <v>32</v>
      </c>
      <c r="U3424">
        <v>38</v>
      </c>
      <c r="V3424">
        <v>2.8</v>
      </c>
      <c r="W3424">
        <f>Table2[[#This Row],[Quantity]]*Table2[[#This Row],[Item_Price]]</f>
        <v>274</v>
      </c>
    </row>
    <row r="3425" spans="1:23" x14ac:dyDescent="0.25">
      <c r="A3425" t="s">
        <v>3527</v>
      </c>
      <c r="B3425" s="1">
        <v>45907</v>
      </c>
      <c r="C3425" t="s">
        <v>3450</v>
      </c>
      <c r="D3425">
        <v>9</v>
      </c>
      <c r="E3425">
        <v>7</v>
      </c>
      <c r="F3425" t="s">
        <v>149</v>
      </c>
      <c r="G3425" t="s">
        <v>80</v>
      </c>
      <c r="H3425" t="s">
        <v>108</v>
      </c>
      <c r="I3425" t="s">
        <v>27</v>
      </c>
      <c r="J3425" t="s">
        <v>119</v>
      </c>
      <c r="K3425" t="s">
        <v>45</v>
      </c>
      <c r="L3425">
        <v>1</v>
      </c>
      <c r="M3425">
        <v>698</v>
      </c>
      <c r="N3425">
        <v>69.8</v>
      </c>
      <c r="O3425">
        <v>40</v>
      </c>
      <c r="P3425">
        <v>698</v>
      </c>
      <c r="Q3425">
        <v>668.2</v>
      </c>
      <c r="R3425" t="s">
        <v>75</v>
      </c>
      <c r="S3425" t="s">
        <v>31</v>
      </c>
      <c r="T3425" t="s">
        <v>32</v>
      </c>
      <c r="U3425">
        <v>55</v>
      </c>
      <c r="V3425">
        <v>5</v>
      </c>
      <c r="W3425">
        <f>Table2[[#This Row],[Quantity]]*Table2[[#This Row],[Item_Price]]</f>
        <v>698</v>
      </c>
    </row>
    <row r="3426" spans="1:23" x14ac:dyDescent="0.25">
      <c r="A3426" t="s">
        <v>3528</v>
      </c>
      <c r="B3426" s="1">
        <v>45907</v>
      </c>
      <c r="C3426" t="s">
        <v>3450</v>
      </c>
      <c r="D3426">
        <v>9</v>
      </c>
      <c r="E3426">
        <v>7</v>
      </c>
      <c r="F3426" t="s">
        <v>149</v>
      </c>
      <c r="G3426" t="s">
        <v>90</v>
      </c>
      <c r="H3426" t="s">
        <v>77</v>
      </c>
      <c r="I3426" t="s">
        <v>103</v>
      </c>
      <c r="J3426" t="s">
        <v>28</v>
      </c>
      <c r="K3426" t="s">
        <v>38</v>
      </c>
      <c r="L3426">
        <v>2</v>
      </c>
      <c r="M3426">
        <v>405</v>
      </c>
      <c r="N3426">
        <v>0</v>
      </c>
      <c r="O3426">
        <v>20</v>
      </c>
      <c r="P3426">
        <v>810</v>
      </c>
      <c r="Q3426">
        <v>830</v>
      </c>
      <c r="R3426" t="s">
        <v>98</v>
      </c>
      <c r="S3426" t="s">
        <v>31</v>
      </c>
      <c r="T3426" t="s">
        <v>32</v>
      </c>
      <c r="U3426">
        <v>47</v>
      </c>
      <c r="V3426">
        <v>5</v>
      </c>
      <c r="W3426">
        <f>Table2[[#This Row],[Quantity]]*Table2[[#This Row],[Item_Price]]</f>
        <v>810</v>
      </c>
    </row>
    <row r="3427" spans="1:23" x14ac:dyDescent="0.25">
      <c r="A3427" t="s">
        <v>3529</v>
      </c>
      <c r="B3427" s="1">
        <v>45907</v>
      </c>
      <c r="C3427" t="s">
        <v>3450</v>
      </c>
      <c r="D3427">
        <v>9</v>
      </c>
      <c r="E3427">
        <v>7</v>
      </c>
      <c r="F3427" t="s">
        <v>149</v>
      </c>
      <c r="G3427" t="s">
        <v>34</v>
      </c>
      <c r="H3427" t="s">
        <v>42</v>
      </c>
      <c r="I3427" t="s">
        <v>27</v>
      </c>
      <c r="J3427" t="s">
        <v>74</v>
      </c>
      <c r="K3427" t="s">
        <v>38</v>
      </c>
      <c r="L3427">
        <v>1</v>
      </c>
      <c r="M3427">
        <v>676</v>
      </c>
      <c r="N3427">
        <v>101.4</v>
      </c>
      <c r="O3427">
        <v>50</v>
      </c>
      <c r="P3427">
        <v>676</v>
      </c>
      <c r="Q3427">
        <v>624.6</v>
      </c>
      <c r="R3427" t="s">
        <v>39</v>
      </c>
      <c r="S3427" t="s">
        <v>31</v>
      </c>
      <c r="T3427" t="s">
        <v>32</v>
      </c>
      <c r="U3427">
        <v>30</v>
      </c>
      <c r="V3427">
        <v>3.4</v>
      </c>
      <c r="W3427">
        <f>Table2[[#This Row],[Quantity]]*Table2[[#This Row],[Item_Price]]</f>
        <v>676</v>
      </c>
    </row>
    <row r="3428" spans="1:23" x14ac:dyDescent="0.25">
      <c r="A3428" t="s">
        <v>3530</v>
      </c>
      <c r="B3428" s="1">
        <v>45908</v>
      </c>
      <c r="C3428" t="s">
        <v>3450</v>
      </c>
      <c r="D3428">
        <v>9</v>
      </c>
      <c r="E3428">
        <v>8</v>
      </c>
      <c r="F3428" t="s">
        <v>168</v>
      </c>
      <c r="G3428" t="s">
        <v>80</v>
      </c>
      <c r="H3428" t="s">
        <v>135</v>
      </c>
      <c r="I3428" t="s">
        <v>43</v>
      </c>
      <c r="J3428" t="s">
        <v>123</v>
      </c>
      <c r="K3428" t="s">
        <v>38</v>
      </c>
      <c r="L3428">
        <v>1</v>
      </c>
      <c r="M3428">
        <v>183</v>
      </c>
      <c r="N3428">
        <v>18.3</v>
      </c>
      <c r="O3428">
        <v>20</v>
      </c>
      <c r="P3428">
        <v>183</v>
      </c>
      <c r="Q3428">
        <v>184.7</v>
      </c>
      <c r="R3428" t="s">
        <v>39</v>
      </c>
      <c r="S3428" t="s">
        <v>31</v>
      </c>
      <c r="T3428" t="s">
        <v>40</v>
      </c>
      <c r="U3428">
        <v>22</v>
      </c>
      <c r="V3428">
        <v>3.7</v>
      </c>
      <c r="W3428">
        <f>Table2[[#This Row],[Quantity]]*Table2[[#This Row],[Item_Price]]</f>
        <v>183</v>
      </c>
    </row>
    <row r="3429" spans="1:23" x14ac:dyDescent="0.25">
      <c r="A3429" t="s">
        <v>3531</v>
      </c>
      <c r="B3429" s="1">
        <v>45908</v>
      </c>
      <c r="C3429" t="s">
        <v>3450</v>
      </c>
      <c r="D3429">
        <v>9</v>
      </c>
      <c r="E3429">
        <v>8</v>
      </c>
      <c r="F3429" t="s">
        <v>168</v>
      </c>
      <c r="G3429" t="s">
        <v>80</v>
      </c>
      <c r="H3429" t="s">
        <v>135</v>
      </c>
      <c r="I3429" t="s">
        <v>36</v>
      </c>
      <c r="J3429" t="s">
        <v>78</v>
      </c>
      <c r="K3429" t="s">
        <v>45</v>
      </c>
      <c r="L3429">
        <v>2</v>
      </c>
      <c r="M3429">
        <v>512</v>
      </c>
      <c r="N3429">
        <v>0</v>
      </c>
      <c r="O3429">
        <v>30</v>
      </c>
      <c r="P3429">
        <v>1024</v>
      </c>
      <c r="Q3429">
        <v>1054</v>
      </c>
      <c r="R3429" t="s">
        <v>39</v>
      </c>
      <c r="S3429" t="s">
        <v>31</v>
      </c>
      <c r="T3429" t="s">
        <v>40</v>
      </c>
      <c r="U3429">
        <v>70</v>
      </c>
      <c r="V3429">
        <v>4</v>
      </c>
      <c r="W3429">
        <f>Table2[[#This Row],[Quantity]]*Table2[[#This Row],[Item_Price]]</f>
        <v>1024</v>
      </c>
    </row>
    <row r="3430" spans="1:23" x14ac:dyDescent="0.25">
      <c r="A3430" t="s">
        <v>3532</v>
      </c>
      <c r="B3430" s="1">
        <v>45908</v>
      </c>
      <c r="C3430" t="s">
        <v>3450</v>
      </c>
      <c r="D3430">
        <v>9</v>
      </c>
      <c r="E3430">
        <v>8</v>
      </c>
      <c r="F3430" t="s">
        <v>168</v>
      </c>
      <c r="G3430" t="s">
        <v>80</v>
      </c>
      <c r="H3430" t="s">
        <v>105</v>
      </c>
      <c r="I3430" t="s">
        <v>97</v>
      </c>
      <c r="J3430" t="s">
        <v>50</v>
      </c>
      <c r="K3430" t="s">
        <v>45</v>
      </c>
      <c r="L3430">
        <v>1</v>
      </c>
      <c r="M3430">
        <v>371</v>
      </c>
      <c r="N3430">
        <v>92.75</v>
      </c>
      <c r="O3430">
        <v>50</v>
      </c>
      <c r="P3430">
        <v>371</v>
      </c>
      <c r="Q3430">
        <v>328.25</v>
      </c>
      <c r="R3430" t="s">
        <v>98</v>
      </c>
      <c r="S3430" t="s">
        <v>31</v>
      </c>
      <c r="T3430" t="s">
        <v>40</v>
      </c>
      <c r="U3430">
        <v>47</v>
      </c>
      <c r="V3430">
        <v>3.9</v>
      </c>
      <c r="W3430">
        <f>Table2[[#This Row],[Quantity]]*Table2[[#This Row],[Item_Price]]</f>
        <v>371</v>
      </c>
    </row>
    <row r="3431" spans="1:23" x14ac:dyDescent="0.25">
      <c r="A3431" t="s">
        <v>3533</v>
      </c>
      <c r="B3431" s="1">
        <v>45908</v>
      </c>
      <c r="C3431" t="s">
        <v>3450</v>
      </c>
      <c r="D3431">
        <v>9</v>
      </c>
      <c r="E3431">
        <v>8</v>
      </c>
      <c r="F3431" t="s">
        <v>168</v>
      </c>
      <c r="G3431" t="s">
        <v>80</v>
      </c>
      <c r="H3431" t="s">
        <v>139</v>
      </c>
      <c r="I3431" t="s">
        <v>43</v>
      </c>
      <c r="J3431" t="s">
        <v>74</v>
      </c>
      <c r="K3431" t="s">
        <v>29</v>
      </c>
      <c r="L3431">
        <v>2</v>
      </c>
      <c r="M3431">
        <v>194</v>
      </c>
      <c r="N3431">
        <v>19.399999999999999</v>
      </c>
      <c r="O3431">
        <v>60</v>
      </c>
      <c r="P3431">
        <v>388</v>
      </c>
      <c r="Q3431">
        <v>428.6</v>
      </c>
      <c r="R3431" t="s">
        <v>39</v>
      </c>
      <c r="S3431" t="s">
        <v>31</v>
      </c>
      <c r="T3431" t="s">
        <v>40</v>
      </c>
      <c r="U3431">
        <v>32</v>
      </c>
      <c r="V3431">
        <v>5</v>
      </c>
      <c r="W3431">
        <f>Table2[[#This Row],[Quantity]]*Table2[[#This Row],[Item_Price]]</f>
        <v>388</v>
      </c>
    </row>
    <row r="3432" spans="1:23" x14ac:dyDescent="0.25">
      <c r="A3432" t="s">
        <v>3534</v>
      </c>
      <c r="B3432" s="1">
        <v>45908</v>
      </c>
      <c r="C3432" t="s">
        <v>3450</v>
      </c>
      <c r="D3432">
        <v>9</v>
      </c>
      <c r="E3432">
        <v>8</v>
      </c>
      <c r="F3432" t="s">
        <v>168</v>
      </c>
      <c r="G3432" t="s">
        <v>90</v>
      </c>
      <c r="H3432" t="s">
        <v>48</v>
      </c>
      <c r="I3432" t="s">
        <v>49</v>
      </c>
      <c r="J3432" t="s">
        <v>101</v>
      </c>
      <c r="K3432" t="s">
        <v>38</v>
      </c>
      <c r="L3432">
        <v>1</v>
      </c>
      <c r="M3432">
        <v>345</v>
      </c>
      <c r="N3432">
        <v>0</v>
      </c>
      <c r="O3432">
        <v>0</v>
      </c>
      <c r="P3432">
        <v>345</v>
      </c>
      <c r="Q3432">
        <v>345</v>
      </c>
      <c r="R3432" t="s">
        <v>39</v>
      </c>
      <c r="S3432" t="s">
        <v>31</v>
      </c>
      <c r="T3432" t="s">
        <v>32</v>
      </c>
      <c r="U3432">
        <v>46</v>
      </c>
      <c r="V3432">
        <v>4.7</v>
      </c>
      <c r="W3432">
        <f>Table2[[#This Row],[Quantity]]*Table2[[#This Row],[Item_Price]]</f>
        <v>345</v>
      </c>
    </row>
    <row r="3433" spans="1:23" x14ac:dyDescent="0.25">
      <c r="A3433" t="s">
        <v>3535</v>
      </c>
      <c r="B3433" s="1">
        <v>45908</v>
      </c>
      <c r="C3433" t="s">
        <v>3450</v>
      </c>
      <c r="D3433">
        <v>9</v>
      </c>
      <c r="E3433">
        <v>8</v>
      </c>
      <c r="F3433" t="s">
        <v>168</v>
      </c>
      <c r="G3433" t="s">
        <v>115</v>
      </c>
      <c r="H3433" t="s">
        <v>139</v>
      </c>
      <c r="I3433" t="s">
        <v>27</v>
      </c>
      <c r="J3433" t="s">
        <v>53</v>
      </c>
      <c r="K3433" t="s">
        <v>38</v>
      </c>
      <c r="L3433">
        <v>2</v>
      </c>
      <c r="M3433">
        <v>671</v>
      </c>
      <c r="N3433">
        <v>67.099999999999994</v>
      </c>
      <c r="O3433">
        <v>50</v>
      </c>
      <c r="P3433">
        <v>1342</v>
      </c>
      <c r="Q3433">
        <v>1324.9</v>
      </c>
      <c r="R3433" t="s">
        <v>39</v>
      </c>
      <c r="S3433" t="s">
        <v>31</v>
      </c>
      <c r="T3433" t="s">
        <v>40</v>
      </c>
      <c r="U3433">
        <v>53</v>
      </c>
      <c r="V3433">
        <v>3.7</v>
      </c>
      <c r="W3433">
        <f>Table2[[#This Row],[Quantity]]*Table2[[#This Row],[Item_Price]]</f>
        <v>1342</v>
      </c>
    </row>
    <row r="3434" spans="1:23" x14ac:dyDescent="0.25">
      <c r="A3434" t="s">
        <v>3536</v>
      </c>
      <c r="B3434" s="1">
        <v>45908</v>
      </c>
      <c r="C3434" t="s">
        <v>3450</v>
      </c>
      <c r="D3434">
        <v>9</v>
      </c>
      <c r="E3434">
        <v>8</v>
      </c>
      <c r="F3434" t="s">
        <v>168</v>
      </c>
      <c r="G3434" t="s">
        <v>25</v>
      </c>
      <c r="H3434" t="s">
        <v>65</v>
      </c>
      <c r="I3434" t="s">
        <v>103</v>
      </c>
      <c r="J3434" t="s">
        <v>82</v>
      </c>
      <c r="K3434" t="s">
        <v>45</v>
      </c>
      <c r="L3434">
        <v>1</v>
      </c>
      <c r="M3434">
        <v>224</v>
      </c>
      <c r="N3434">
        <v>22.4</v>
      </c>
      <c r="O3434">
        <v>60</v>
      </c>
      <c r="P3434">
        <v>224</v>
      </c>
      <c r="Q3434">
        <v>261.60000000000002</v>
      </c>
      <c r="R3434" t="s">
        <v>39</v>
      </c>
      <c r="S3434" t="s">
        <v>31</v>
      </c>
      <c r="T3434" t="s">
        <v>32</v>
      </c>
      <c r="U3434">
        <v>29</v>
      </c>
      <c r="V3434">
        <v>4.2</v>
      </c>
      <c r="W3434">
        <f>Table2[[#This Row],[Quantity]]*Table2[[#This Row],[Item_Price]]</f>
        <v>224</v>
      </c>
    </row>
    <row r="3435" spans="1:23" x14ac:dyDescent="0.25">
      <c r="A3435" t="s">
        <v>3537</v>
      </c>
      <c r="B3435" s="1">
        <v>45908</v>
      </c>
      <c r="C3435" t="s">
        <v>3450</v>
      </c>
      <c r="D3435">
        <v>9</v>
      </c>
      <c r="E3435">
        <v>8</v>
      </c>
      <c r="F3435" t="s">
        <v>168</v>
      </c>
      <c r="G3435" t="s">
        <v>25</v>
      </c>
      <c r="H3435" t="s">
        <v>48</v>
      </c>
      <c r="I3435" t="s">
        <v>97</v>
      </c>
      <c r="J3435" t="s">
        <v>123</v>
      </c>
      <c r="K3435" t="s">
        <v>45</v>
      </c>
      <c r="L3435">
        <v>3</v>
      </c>
      <c r="M3435">
        <v>650</v>
      </c>
      <c r="N3435">
        <v>97.5</v>
      </c>
      <c r="O3435">
        <v>50</v>
      </c>
      <c r="P3435">
        <v>1950</v>
      </c>
      <c r="Q3435">
        <v>1902.5</v>
      </c>
      <c r="R3435" t="s">
        <v>75</v>
      </c>
      <c r="S3435" t="s">
        <v>31</v>
      </c>
      <c r="T3435" t="s">
        <v>40</v>
      </c>
      <c r="U3435">
        <v>53</v>
      </c>
      <c r="V3435">
        <v>4.0999999999999996</v>
      </c>
      <c r="W3435">
        <f>Table2[[#This Row],[Quantity]]*Table2[[#This Row],[Item_Price]]</f>
        <v>1950</v>
      </c>
    </row>
    <row r="3436" spans="1:23" x14ac:dyDescent="0.25">
      <c r="A3436" t="s">
        <v>3538</v>
      </c>
      <c r="B3436" s="1">
        <v>45908</v>
      </c>
      <c r="C3436" t="s">
        <v>3450</v>
      </c>
      <c r="D3436">
        <v>9</v>
      </c>
      <c r="E3436">
        <v>8</v>
      </c>
      <c r="F3436" t="s">
        <v>168</v>
      </c>
      <c r="G3436" t="s">
        <v>34</v>
      </c>
      <c r="H3436" t="s">
        <v>65</v>
      </c>
      <c r="I3436" t="s">
        <v>27</v>
      </c>
      <c r="J3436" t="s">
        <v>94</v>
      </c>
      <c r="K3436" t="s">
        <v>38</v>
      </c>
      <c r="L3436">
        <v>1</v>
      </c>
      <c r="M3436">
        <v>696</v>
      </c>
      <c r="N3436">
        <v>104.4</v>
      </c>
      <c r="O3436">
        <v>30</v>
      </c>
      <c r="P3436">
        <v>696</v>
      </c>
      <c r="Q3436">
        <v>621.6</v>
      </c>
      <c r="R3436" t="s">
        <v>75</v>
      </c>
      <c r="S3436" t="s">
        <v>91</v>
      </c>
      <c r="T3436" t="s">
        <v>40</v>
      </c>
      <c r="U3436">
        <v>53</v>
      </c>
      <c r="W3436">
        <f>Table2[[#This Row],[Quantity]]*Table2[[#This Row],[Item_Price]]</f>
        <v>696</v>
      </c>
    </row>
    <row r="3437" spans="1:23" x14ac:dyDescent="0.25">
      <c r="A3437" t="s">
        <v>3539</v>
      </c>
      <c r="B3437" s="1">
        <v>45908</v>
      </c>
      <c r="C3437" t="s">
        <v>3450</v>
      </c>
      <c r="D3437">
        <v>9</v>
      </c>
      <c r="E3437">
        <v>8</v>
      </c>
      <c r="F3437" t="s">
        <v>168</v>
      </c>
      <c r="G3437" t="s">
        <v>55</v>
      </c>
      <c r="H3437" t="s">
        <v>56</v>
      </c>
      <c r="I3437" t="s">
        <v>27</v>
      </c>
      <c r="J3437" t="s">
        <v>37</v>
      </c>
      <c r="K3437" t="s">
        <v>58</v>
      </c>
      <c r="L3437">
        <v>2</v>
      </c>
      <c r="M3437">
        <v>298</v>
      </c>
      <c r="N3437">
        <v>59.6</v>
      </c>
      <c r="O3437">
        <v>40</v>
      </c>
      <c r="P3437">
        <v>596</v>
      </c>
      <c r="Q3437">
        <v>576.4</v>
      </c>
      <c r="R3437" t="s">
        <v>75</v>
      </c>
      <c r="S3437" t="s">
        <v>31</v>
      </c>
      <c r="T3437" t="s">
        <v>32</v>
      </c>
      <c r="U3437">
        <v>39</v>
      </c>
      <c r="V3437">
        <v>3.6</v>
      </c>
      <c r="W3437">
        <f>Table2[[#This Row],[Quantity]]*Table2[[#This Row],[Item_Price]]</f>
        <v>596</v>
      </c>
    </row>
    <row r="3438" spans="1:23" x14ac:dyDescent="0.25">
      <c r="A3438" t="s">
        <v>3540</v>
      </c>
      <c r="B3438" s="1">
        <v>45908</v>
      </c>
      <c r="C3438" t="s">
        <v>3450</v>
      </c>
      <c r="D3438">
        <v>9</v>
      </c>
      <c r="E3438">
        <v>8</v>
      </c>
      <c r="F3438" t="s">
        <v>168</v>
      </c>
      <c r="G3438" t="s">
        <v>55</v>
      </c>
      <c r="H3438" t="s">
        <v>48</v>
      </c>
      <c r="I3438" t="s">
        <v>43</v>
      </c>
      <c r="J3438" t="s">
        <v>70</v>
      </c>
      <c r="K3438" t="s">
        <v>38</v>
      </c>
      <c r="L3438">
        <v>1</v>
      </c>
      <c r="M3438">
        <v>827</v>
      </c>
      <c r="N3438">
        <v>82.7</v>
      </c>
      <c r="O3438">
        <v>40</v>
      </c>
      <c r="P3438">
        <v>827</v>
      </c>
      <c r="Q3438">
        <v>784.3</v>
      </c>
      <c r="R3438" t="s">
        <v>39</v>
      </c>
      <c r="S3438" t="s">
        <v>31</v>
      </c>
      <c r="T3438" t="s">
        <v>32</v>
      </c>
      <c r="U3438">
        <v>18</v>
      </c>
      <c r="V3438">
        <v>4.8</v>
      </c>
      <c r="W3438">
        <f>Table2[[#This Row],[Quantity]]*Table2[[#This Row],[Item_Price]]</f>
        <v>827</v>
      </c>
    </row>
    <row r="3439" spans="1:23" x14ac:dyDescent="0.25">
      <c r="A3439" t="s">
        <v>3541</v>
      </c>
      <c r="B3439" s="1">
        <v>45908</v>
      </c>
      <c r="C3439" t="s">
        <v>3450</v>
      </c>
      <c r="D3439">
        <v>9</v>
      </c>
      <c r="E3439">
        <v>8</v>
      </c>
      <c r="F3439" t="s">
        <v>168</v>
      </c>
      <c r="G3439" t="s">
        <v>64</v>
      </c>
      <c r="H3439" t="s">
        <v>68</v>
      </c>
      <c r="I3439" t="s">
        <v>27</v>
      </c>
      <c r="J3439" t="s">
        <v>66</v>
      </c>
      <c r="K3439" t="s">
        <v>38</v>
      </c>
      <c r="L3439">
        <v>2</v>
      </c>
      <c r="M3439">
        <v>702</v>
      </c>
      <c r="N3439">
        <v>70.2</v>
      </c>
      <c r="O3439">
        <v>40</v>
      </c>
      <c r="P3439">
        <v>1404</v>
      </c>
      <c r="Q3439">
        <v>1373.8</v>
      </c>
      <c r="R3439" t="s">
        <v>39</v>
      </c>
      <c r="S3439" t="s">
        <v>31</v>
      </c>
      <c r="T3439" t="s">
        <v>40</v>
      </c>
      <c r="U3439">
        <v>25</v>
      </c>
      <c r="V3439">
        <v>4.4000000000000004</v>
      </c>
      <c r="W3439">
        <f>Table2[[#This Row],[Quantity]]*Table2[[#This Row],[Item_Price]]</f>
        <v>1404</v>
      </c>
    </row>
    <row r="3440" spans="1:23" x14ac:dyDescent="0.25">
      <c r="A3440" t="s">
        <v>3542</v>
      </c>
      <c r="B3440" s="1">
        <v>45908</v>
      </c>
      <c r="C3440" t="s">
        <v>3450</v>
      </c>
      <c r="D3440">
        <v>9</v>
      </c>
      <c r="E3440">
        <v>8</v>
      </c>
      <c r="F3440" t="s">
        <v>168</v>
      </c>
      <c r="G3440" t="s">
        <v>115</v>
      </c>
      <c r="H3440" t="s">
        <v>105</v>
      </c>
      <c r="I3440" t="s">
        <v>85</v>
      </c>
      <c r="J3440" t="s">
        <v>70</v>
      </c>
      <c r="K3440" t="s">
        <v>38</v>
      </c>
      <c r="L3440">
        <v>3</v>
      </c>
      <c r="M3440">
        <v>888</v>
      </c>
      <c r="N3440">
        <v>133.19999999999999</v>
      </c>
      <c r="O3440">
        <v>30</v>
      </c>
      <c r="P3440">
        <v>2664</v>
      </c>
      <c r="Q3440">
        <v>2560.8000000000002</v>
      </c>
      <c r="R3440" t="s">
        <v>30</v>
      </c>
      <c r="S3440" t="s">
        <v>31</v>
      </c>
      <c r="T3440" t="s">
        <v>40</v>
      </c>
      <c r="U3440">
        <v>29</v>
      </c>
      <c r="V3440">
        <v>4</v>
      </c>
      <c r="W3440">
        <f>Table2[[#This Row],[Quantity]]*Table2[[#This Row],[Item_Price]]</f>
        <v>2664</v>
      </c>
    </row>
    <row r="3441" spans="1:23" x14ac:dyDescent="0.25">
      <c r="A3441" t="s">
        <v>3543</v>
      </c>
      <c r="B3441" s="1">
        <v>45908</v>
      </c>
      <c r="C3441" t="s">
        <v>3450</v>
      </c>
      <c r="D3441">
        <v>9</v>
      </c>
      <c r="E3441">
        <v>8</v>
      </c>
      <c r="F3441" t="s">
        <v>168</v>
      </c>
      <c r="G3441" t="s">
        <v>84</v>
      </c>
      <c r="H3441" t="s">
        <v>65</v>
      </c>
      <c r="I3441" t="s">
        <v>97</v>
      </c>
      <c r="J3441" t="s">
        <v>94</v>
      </c>
      <c r="K3441" t="s">
        <v>38</v>
      </c>
      <c r="L3441">
        <v>2</v>
      </c>
      <c r="M3441">
        <v>675</v>
      </c>
      <c r="N3441">
        <v>0</v>
      </c>
      <c r="O3441">
        <v>20</v>
      </c>
      <c r="P3441">
        <v>1350</v>
      </c>
      <c r="Q3441">
        <v>1370</v>
      </c>
      <c r="R3441" t="s">
        <v>98</v>
      </c>
      <c r="S3441" t="s">
        <v>31</v>
      </c>
      <c r="T3441" t="s">
        <v>40</v>
      </c>
      <c r="U3441">
        <v>39</v>
      </c>
      <c r="V3441">
        <v>4.2</v>
      </c>
      <c r="W3441">
        <f>Table2[[#This Row],[Quantity]]*Table2[[#This Row],[Item_Price]]</f>
        <v>1350</v>
      </c>
    </row>
    <row r="3442" spans="1:23" x14ac:dyDescent="0.25">
      <c r="A3442" t="s">
        <v>3544</v>
      </c>
      <c r="B3442" s="1">
        <v>45908</v>
      </c>
      <c r="C3442" t="s">
        <v>3450</v>
      </c>
      <c r="D3442">
        <v>9</v>
      </c>
      <c r="E3442">
        <v>8</v>
      </c>
      <c r="F3442" t="s">
        <v>168</v>
      </c>
      <c r="G3442" t="s">
        <v>64</v>
      </c>
      <c r="H3442" t="s">
        <v>56</v>
      </c>
      <c r="I3442" t="s">
        <v>43</v>
      </c>
      <c r="J3442" t="s">
        <v>53</v>
      </c>
      <c r="K3442" t="s">
        <v>45</v>
      </c>
      <c r="L3442">
        <v>1</v>
      </c>
      <c r="M3442">
        <v>291</v>
      </c>
      <c r="N3442">
        <v>29.1</v>
      </c>
      <c r="O3442">
        <v>30</v>
      </c>
      <c r="P3442">
        <v>291</v>
      </c>
      <c r="Q3442">
        <v>291.89999999999998</v>
      </c>
      <c r="R3442" t="s">
        <v>75</v>
      </c>
      <c r="S3442" t="s">
        <v>31</v>
      </c>
      <c r="T3442" t="s">
        <v>40</v>
      </c>
      <c r="U3442">
        <v>46</v>
      </c>
      <c r="V3442">
        <v>4.2</v>
      </c>
      <c r="W3442">
        <f>Table2[[#This Row],[Quantity]]*Table2[[#This Row],[Item_Price]]</f>
        <v>291</v>
      </c>
    </row>
    <row r="3443" spans="1:23" x14ac:dyDescent="0.25">
      <c r="A3443" t="s">
        <v>3545</v>
      </c>
      <c r="B3443" s="1">
        <v>45908</v>
      </c>
      <c r="C3443" t="s">
        <v>3450</v>
      </c>
      <c r="D3443">
        <v>9</v>
      </c>
      <c r="E3443">
        <v>8</v>
      </c>
      <c r="F3443" t="s">
        <v>168</v>
      </c>
      <c r="G3443" t="s">
        <v>64</v>
      </c>
      <c r="H3443" t="s">
        <v>35</v>
      </c>
      <c r="I3443" t="s">
        <v>69</v>
      </c>
      <c r="J3443" t="s">
        <v>70</v>
      </c>
      <c r="K3443" t="s">
        <v>38</v>
      </c>
      <c r="L3443">
        <v>2</v>
      </c>
      <c r="M3443">
        <v>215</v>
      </c>
      <c r="N3443">
        <v>21.5</v>
      </c>
      <c r="O3443">
        <v>40</v>
      </c>
      <c r="P3443">
        <v>430</v>
      </c>
      <c r="Q3443">
        <v>448.5</v>
      </c>
      <c r="R3443" t="s">
        <v>112</v>
      </c>
      <c r="S3443" t="s">
        <v>31</v>
      </c>
      <c r="T3443" t="s">
        <v>40</v>
      </c>
      <c r="U3443">
        <v>20</v>
      </c>
      <c r="V3443">
        <v>3.9</v>
      </c>
      <c r="W3443">
        <f>Table2[[#This Row],[Quantity]]*Table2[[#This Row],[Item_Price]]</f>
        <v>430</v>
      </c>
    </row>
    <row r="3444" spans="1:23" x14ac:dyDescent="0.25">
      <c r="A3444" t="s">
        <v>3546</v>
      </c>
      <c r="B3444" s="1">
        <v>45909</v>
      </c>
      <c r="C3444" t="s">
        <v>3450</v>
      </c>
      <c r="D3444">
        <v>9</v>
      </c>
      <c r="E3444">
        <v>9</v>
      </c>
      <c r="F3444" t="s">
        <v>178</v>
      </c>
      <c r="G3444" t="s">
        <v>80</v>
      </c>
      <c r="H3444" t="s">
        <v>60</v>
      </c>
      <c r="I3444" t="s">
        <v>69</v>
      </c>
      <c r="J3444" t="s">
        <v>62</v>
      </c>
      <c r="K3444" t="s">
        <v>45</v>
      </c>
      <c r="L3444">
        <v>2</v>
      </c>
      <c r="M3444">
        <v>831</v>
      </c>
      <c r="N3444">
        <v>41.55</v>
      </c>
      <c r="O3444">
        <v>20</v>
      </c>
      <c r="P3444">
        <v>1662</v>
      </c>
      <c r="Q3444">
        <v>1640.45</v>
      </c>
      <c r="R3444" t="s">
        <v>39</v>
      </c>
      <c r="S3444" t="s">
        <v>110</v>
      </c>
      <c r="T3444" t="s">
        <v>32</v>
      </c>
      <c r="U3444">
        <v>55</v>
      </c>
      <c r="W3444">
        <f>Table2[[#This Row],[Quantity]]*Table2[[#This Row],[Item_Price]]</f>
        <v>1662</v>
      </c>
    </row>
    <row r="3445" spans="1:23" x14ac:dyDescent="0.25">
      <c r="A3445" t="s">
        <v>3547</v>
      </c>
      <c r="B3445" s="1">
        <v>45909</v>
      </c>
      <c r="C3445" t="s">
        <v>3450</v>
      </c>
      <c r="D3445">
        <v>9</v>
      </c>
      <c r="E3445">
        <v>9</v>
      </c>
      <c r="F3445" t="s">
        <v>178</v>
      </c>
      <c r="G3445" t="s">
        <v>64</v>
      </c>
      <c r="H3445" t="s">
        <v>108</v>
      </c>
      <c r="I3445" t="s">
        <v>97</v>
      </c>
      <c r="J3445" t="s">
        <v>101</v>
      </c>
      <c r="K3445" t="s">
        <v>38</v>
      </c>
      <c r="L3445">
        <v>1</v>
      </c>
      <c r="M3445">
        <v>377</v>
      </c>
      <c r="N3445">
        <v>56.55</v>
      </c>
      <c r="O3445">
        <v>70</v>
      </c>
      <c r="P3445">
        <v>377</v>
      </c>
      <c r="Q3445">
        <v>390.45</v>
      </c>
      <c r="R3445" t="s">
        <v>98</v>
      </c>
      <c r="S3445" t="s">
        <v>31</v>
      </c>
      <c r="T3445" t="s">
        <v>32</v>
      </c>
      <c r="U3445">
        <v>50</v>
      </c>
      <c r="V3445">
        <v>4.4000000000000004</v>
      </c>
      <c r="W3445">
        <f>Table2[[#This Row],[Quantity]]*Table2[[#This Row],[Item_Price]]</f>
        <v>377</v>
      </c>
    </row>
    <row r="3446" spans="1:23" x14ac:dyDescent="0.25">
      <c r="A3446" t="s">
        <v>3548</v>
      </c>
      <c r="B3446" s="1">
        <v>45909</v>
      </c>
      <c r="C3446" t="s">
        <v>3450</v>
      </c>
      <c r="D3446">
        <v>9</v>
      </c>
      <c r="E3446">
        <v>9</v>
      </c>
      <c r="F3446" t="s">
        <v>178</v>
      </c>
      <c r="G3446" t="s">
        <v>90</v>
      </c>
      <c r="H3446" t="s">
        <v>81</v>
      </c>
      <c r="I3446" t="s">
        <v>27</v>
      </c>
      <c r="J3446" t="s">
        <v>50</v>
      </c>
      <c r="K3446" t="s">
        <v>38</v>
      </c>
      <c r="L3446">
        <v>1</v>
      </c>
      <c r="M3446">
        <v>783</v>
      </c>
      <c r="N3446">
        <v>78.3</v>
      </c>
      <c r="O3446">
        <v>60</v>
      </c>
      <c r="P3446">
        <v>783</v>
      </c>
      <c r="Q3446">
        <v>764.7</v>
      </c>
      <c r="R3446" t="s">
        <v>30</v>
      </c>
      <c r="S3446" t="s">
        <v>31</v>
      </c>
      <c r="T3446" t="s">
        <v>40</v>
      </c>
      <c r="U3446">
        <v>67</v>
      </c>
      <c r="V3446">
        <v>4.5999999999999996</v>
      </c>
      <c r="W3446">
        <f>Table2[[#This Row],[Quantity]]*Table2[[#This Row],[Item_Price]]</f>
        <v>783</v>
      </c>
    </row>
    <row r="3447" spans="1:23" x14ac:dyDescent="0.25">
      <c r="A3447" t="s">
        <v>3549</v>
      </c>
      <c r="B3447" s="1">
        <v>45909</v>
      </c>
      <c r="C3447" t="s">
        <v>3450</v>
      </c>
      <c r="D3447">
        <v>9</v>
      </c>
      <c r="E3447">
        <v>9</v>
      </c>
      <c r="F3447" t="s">
        <v>178</v>
      </c>
      <c r="G3447" t="s">
        <v>34</v>
      </c>
      <c r="H3447" t="s">
        <v>52</v>
      </c>
      <c r="I3447" t="s">
        <v>49</v>
      </c>
      <c r="J3447" t="s">
        <v>119</v>
      </c>
      <c r="K3447" t="s">
        <v>38</v>
      </c>
      <c r="L3447">
        <v>1</v>
      </c>
      <c r="M3447">
        <v>802</v>
      </c>
      <c r="N3447">
        <v>0</v>
      </c>
      <c r="O3447">
        <v>40</v>
      </c>
      <c r="P3447">
        <v>802</v>
      </c>
      <c r="Q3447">
        <v>842</v>
      </c>
      <c r="R3447" t="s">
        <v>39</v>
      </c>
      <c r="S3447" t="s">
        <v>31</v>
      </c>
      <c r="T3447" t="s">
        <v>32</v>
      </c>
      <c r="U3447">
        <v>70</v>
      </c>
      <c r="V3447">
        <v>3.4</v>
      </c>
      <c r="W3447">
        <f>Table2[[#This Row],[Quantity]]*Table2[[#This Row],[Item_Price]]</f>
        <v>802</v>
      </c>
    </row>
    <row r="3448" spans="1:23" x14ac:dyDescent="0.25">
      <c r="A3448" t="s">
        <v>3550</v>
      </c>
      <c r="B3448" s="1">
        <v>45909</v>
      </c>
      <c r="C3448" t="s">
        <v>3450</v>
      </c>
      <c r="D3448">
        <v>9</v>
      </c>
      <c r="E3448">
        <v>9</v>
      </c>
      <c r="F3448" t="s">
        <v>178</v>
      </c>
      <c r="G3448" t="s">
        <v>84</v>
      </c>
      <c r="H3448" t="s">
        <v>68</v>
      </c>
      <c r="I3448" t="s">
        <v>36</v>
      </c>
      <c r="J3448" t="s">
        <v>74</v>
      </c>
      <c r="K3448" t="s">
        <v>38</v>
      </c>
      <c r="L3448">
        <v>1</v>
      </c>
      <c r="M3448">
        <v>853</v>
      </c>
      <c r="N3448">
        <v>127.95</v>
      </c>
      <c r="O3448">
        <v>40</v>
      </c>
      <c r="P3448">
        <v>853</v>
      </c>
      <c r="Q3448">
        <v>765.05</v>
      </c>
      <c r="R3448" t="s">
        <v>75</v>
      </c>
      <c r="S3448" t="s">
        <v>31</v>
      </c>
      <c r="T3448" t="s">
        <v>40</v>
      </c>
      <c r="U3448">
        <v>48</v>
      </c>
      <c r="V3448">
        <v>4.9000000000000004</v>
      </c>
      <c r="W3448">
        <f>Table2[[#This Row],[Quantity]]*Table2[[#This Row],[Item_Price]]</f>
        <v>853</v>
      </c>
    </row>
    <row r="3449" spans="1:23" x14ac:dyDescent="0.25">
      <c r="A3449" t="s">
        <v>3551</v>
      </c>
      <c r="B3449" s="1">
        <v>45909</v>
      </c>
      <c r="C3449" t="s">
        <v>3450</v>
      </c>
      <c r="D3449">
        <v>9</v>
      </c>
      <c r="E3449">
        <v>9</v>
      </c>
      <c r="F3449" t="s">
        <v>178</v>
      </c>
      <c r="G3449" t="s">
        <v>25</v>
      </c>
      <c r="H3449" t="s">
        <v>48</v>
      </c>
      <c r="I3449" t="s">
        <v>43</v>
      </c>
      <c r="J3449" t="s">
        <v>123</v>
      </c>
      <c r="K3449" t="s">
        <v>45</v>
      </c>
      <c r="L3449">
        <v>3</v>
      </c>
      <c r="M3449">
        <v>732</v>
      </c>
      <c r="N3449">
        <v>0</v>
      </c>
      <c r="O3449">
        <v>40</v>
      </c>
      <c r="P3449">
        <v>2196</v>
      </c>
      <c r="Q3449">
        <v>2236</v>
      </c>
      <c r="R3449" t="s">
        <v>98</v>
      </c>
      <c r="S3449" t="s">
        <v>31</v>
      </c>
      <c r="T3449" t="s">
        <v>40</v>
      </c>
      <c r="U3449">
        <v>34</v>
      </c>
      <c r="V3449">
        <v>4</v>
      </c>
      <c r="W3449">
        <f>Table2[[#This Row],[Quantity]]*Table2[[#This Row],[Item_Price]]</f>
        <v>2196</v>
      </c>
    </row>
    <row r="3450" spans="1:23" x14ac:dyDescent="0.25">
      <c r="A3450" t="s">
        <v>3552</v>
      </c>
      <c r="B3450" s="1">
        <v>45909</v>
      </c>
      <c r="C3450" t="s">
        <v>3450</v>
      </c>
      <c r="D3450">
        <v>9</v>
      </c>
      <c r="E3450">
        <v>9</v>
      </c>
      <c r="F3450" t="s">
        <v>178</v>
      </c>
      <c r="G3450" t="s">
        <v>34</v>
      </c>
      <c r="H3450" t="s">
        <v>105</v>
      </c>
      <c r="I3450" t="s">
        <v>49</v>
      </c>
      <c r="J3450" t="s">
        <v>123</v>
      </c>
      <c r="K3450" t="s">
        <v>38</v>
      </c>
      <c r="L3450">
        <v>1</v>
      </c>
      <c r="M3450">
        <v>403</v>
      </c>
      <c r="N3450">
        <v>60.45</v>
      </c>
      <c r="O3450">
        <v>60</v>
      </c>
      <c r="P3450">
        <v>403</v>
      </c>
      <c r="Q3450">
        <v>402.55</v>
      </c>
      <c r="R3450" t="s">
        <v>75</v>
      </c>
      <c r="S3450" t="s">
        <v>31</v>
      </c>
      <c r="T3450" t="s">
        <v>32</v>
      </c>
      <c r="U3450">
        <v>60</v>
      </c>
      <c r="V3450">
        <v>3.6</v>
      </c>
      <c r="W3450">
        <f>Table2[[#This Row],[Quantity]]*Table2[[#This Row],[Item_Price]]</f>
        <v>403</v>
      </c>
    </row>
    <row r="3451" spans="1:23" x14ac:dyDescent="0.25">
      <c r="A3451" t="s">
        <v>3553</v>
      </c>
      <c r="B3451" s="1">
        <v>45909</v>
      </c>
      <c r="C3451" t="s">
        <v>3450</v>
      </c>
      <c r="D3451">
        <v>9</v>
      </c>
      <c r="E3451">
        <v>9</v>
      </c>
      <c r="F3451" t="s">
        <v>178</v>
      </c>
      <c r="G3451" t="s">
        <v>73</v>
      </c>
      <c r="H3451" t="s">
        <v>52</v>
      </c>
      <c r="I3451" t="s">
        <v>85</v>
      </c>
      <c r="J3451" t="s">
        <v>53</v>
      </c>
      <c r="K3451" t="s">
        <v>38</v>
      </c>
      <c r="L3451">
        <v>2</v>
      </c>
      <c r="M3451">
        <v>265</v>
      </c>
      <c r="N3451">
        <v>53</v>
      </c>
      <c r="O3451">
        <v>0</v>
      </c>
      <c r="P3451">
        <v>530</v>
      </c>
      <c r="Q3451">
        <v>477</v>
      </c>
      <c r="R3451" t="s">
        <v>75</v>
      </c>
      <c r="S3451" t="s">
        <v>110</v>
      </c>
      <c r="T3451" t="s">
        <v>40</v>
      </c>
      <c r="U3451">
        <v>38</v>
      </c>
      <c r="W3451">
        <f>Table2[[#This Row],[Quantity]]*Table2[[#This Row],[Item_Price]]</f>
        <v>530</v>
      </c>
    </row>
    <row r="3452" spans="1:23" x14ac:dyDescent="0.25">
      <c r="A3452" t="s">
        <v>3554</v>
      </c>
      <c r="B3452" s="1">
        <v>45909</v>
      </c>
      <c r="C3452" t="s">
        <v>3450</v>
      </c>
      <c r="D3452">
        <v>9</v>
      </c>
      <c r="E3452">
        <v>9</v>
      </c>
      <c r="F3452" t="s">
        <v>178</v>
      </c>
      <c r="G3452" t="s">
        <v>64</v>
      </c>
      <c r="H3452" t="s">
        <v>139</v>
      </c>
      <c r="I3452" t="s">
        <v>49</v>
      </c>
      <c r="J3452" t="s">
        <v>94</v>
      </c>
      <c r="K3452" t="s">
        <v>45</v>
      </c>
      <c r="L3452">
        <v>1</v>
      </c>
      <c r="M3452">
        <v>613</v>
      </c>
      <c r="N3452">
        <v>30.65</v>
      </c>
      <c r="O3452">
        <v>30</v>
      </c>
      <c r="P3452">
        <v>613</v>
      </c>
      <c r="Q3452">
        <v>612.35</v>
      </c>
      <c r="R3452" t="s">
        <v>112</v>
      </c>
      <c r="S3452" t="s">
        <v>31</v>
      </c>
      <c r="T3452" t="s">
        <v>40</v>
      </c>
      <c r="U3452">
        <v>67</v>
      </c>
      <c r="V3452">
        <v>5</v>
      </c>
      <c r="W3452">
        <f>Table2[[#This Row],[Quantity]]*Table2[[#This Row],[Item_Price]]</f>
        <v>613</v>
      </c>
    </row>
    <row r="3453" spans="1:23" x14ac:dyDescent="0.25">
      <c r="A3453" t="s">
        <v>3555</v>
      </c>
      <c r="B3453" s="1">
        <v>45909</v>
      </c>
      <c r="C3453" t="s">
        <v>3450</v>
      </c>
      <c r="D3453">
        <v>9</v>
      </c>
      <c r="E3453">
        <v>9</v>
      </c>
      <c r="F3453" t="s">
        <v>178</v>
      </c>
      <c r="G3453" t="s">
        <v>25</v>
      </c>
      <c r="H3453" t="s">
        <v>60</v>
      </c>
      <c r="I3453" t="s">
        <v>85</v>
      </c>
      <c r="J3453" t="s">
        <v>66</v>
      </c>
      <c r="K3453" t="s">
        <v>38</v>
      </c>
      <c r="L3453">
        <v>1</v>
      </c>
      <c r="M3453">
        <v>185</v>
      </c>
      <c r="N3453">
        <v>0</v>
      </c>
      <c r="O3453">
        <v>40</v>
      </c>
      <c r="P3453">
        <v>185</v>
      </c>
      <c r="Q3453">
        <v>225</v>
      </c>
      <c r="R3453" t="s">
        <v>39</v>
      </c>
      <c r="S3453" t="s">
        <v>46</v>
      </c>
      <c r="T3453" t="s">
        <v>40</v>
      </c>
      <c r="U3453">
        <v>44</v>
      </c>
      <c r="W3453">
        <f>Table2[[#This Row],[Quantity]]*Table2[[#This Row],[Item_Price]]</f>
        <v>185</v>
      </c>
    </row>
    <row r="3454" spans="1:23" x14ac:dyDescent="0.25">
      <c r="A3454" t="s">
        <v>3556</v>
      </c>
      <c r="B3454" s="1">
        <v>45909</v>
      </c>
      <c r="C3454" t="s">
        <v>3450</v>
      </c>
      <c r="D3454">
        <v>9</v>
      </c>
      <c r="E3454">
        <v>9</v>
      </c>
      <c r="F3454" t="s">
        <v>178</v>
      </c>
      <c r="G3454" t="s">
        <v>34</v>
      </c>
      <c r="H3454" t="s">
        <v>68</v>
      </c>
      <c r="I3454" t="s">
        <v>103</v>
      </c>
      <c r="J3454" t="s">
        <v>94</v>
      </c>
      <c r="K3454" t="s">
        <v>38</v>
      </c>
      <c r="L3454">
        <v>1</v>
      </c>
      <c r="M3454">
        <v>381</v>
      </c>
      <c r="N3454">
        <v>57.15</v>
      </c>
      <c r="O3454">
        <v>20</v>
      </c>
      <c r="P3454">
        <v>381</v>
      </c>
      <c r="Q3454">
        <v>343.85</v>
      </c>
      <c r="R3454" t="s">
        <v>30</v>
      </c>
      <c r="S3454" t="s">
        <v>91</v>
      </c>
      <c r="T3454" t="s">
        <v>40</v>
      </c>
      <c r="U3454">
        <v>35</v>
      </c>
      <c r="W3454">
        <f>Table2[[#This Row],[Quantity]]*Table2[[#This Row],[Item_Price]]</f>
        <v>381</v>
      </c>
    </row>
    <row r="3455" spans="1:23" x14ac:dyDescent="0.25">
      <c r="A3455" t="s">
        <v>3557</v>
      </c>
      <c r="B3455" s="1">
        <v>45909</v>
      </c>
      <c r="C3455" t="s">
        <v>3450</v>
      </c>
      <c r="D3455">
        <v>9</v>
      </c>
      <c r="E3455">
        <v>9</v>
      </c>
      <c r="F3455" t="s">
        <v>178</v>
      </c>
      <c r="G3455" t="s">
        <v>80</v>
      </c>
      <c r="H3455" t="s">
        <v>77</v>
      </c>
      <c r="I3455" t="s">
        <v>57</v>
      </c>
      <c r="J3455" t="s">
        <v>94</v>
      </c>
      <c r="K3455" t="s">
        <v>38</v>
      </c>
      <c r="L3455">
        <v>2</v>
      </c>
      <c r="M3455">
        <v>665</v>
      </c>
      <c r="N3455">
        <v>66.5</v>
      </c>
      <c r="O3455">
        <v>0</v>
      </c>
      <c r="P3455">
        <v>1330</v>
      </c>
      <c r="Q3455">
        <v>1263.5</v>
      </c>
      <c r="R3455" t="s">
        <v>39</v>
      </c>
      <c r="S3455" t="s">
        <v>31</v>
      </c>
      <c r="T3455" t="s">
        <v>32</v>
      </c>
      <c r="U3455">
        <v>41</v>
      </c>
      <c r="V3455">
        <v>3.7</v>
      </c>
      <c r="W3455">
        <f>Table2[[#This Row],[Quantity]]*Table2[[#This Row],[Item_Price]]</f>
        <v>1330</v>
      </c>
    </row>
    <row r="3456" spans="1:23" x14ac:dyDescent="0.25">
      <c r="A3456" t="s">
        <v>3558</v>
      </c>
      <c r="B3456" s="1">
        <v>45909</v>
      </c>
      <c r="C3456" t="s">
        <v>3450</v>
      </c>
      <c r="D3456">
        <v>9</v>
      </c>
      <c r="E3456">
        <v>9</v>
      </c>
      <c r="F3456" t="s">
        <v>178</v>
      </c>
      <c r="G3456" t="s">
        <v>80</v>
      </c>
      <c r="H3456" t="s">
        <v>68</v>
      </c>
      <c r="I3456" t="s">
        <v>85</v>
      </c>
      <c r="J3456" t="s">
        <v>28</v>
      </c>
      <c r="K3456" t="s">
        <v>38</v>
      </c>
      <c r="L3456">
        <v>1</v>
      </c>
      <c r="M3456">
        <v>235</v>
      </c>
      <c r="N3456">
        <v>0</v>
      </c>
      <c r="O3456">
        <v>70</v>
      </c>
      <c r="P3456">
        <v>235</v>
      </c>
      <c r="Q3456">
        <v>305</v>
      </c>
      <c r="R3456" t="s">
        <v>30</v>
      </c>
      <c r="S3456" t="s">
        <v>31</v>
      </c>
      <c r="T3456" t="s">
        <v>40</v>
      </c>
      <c r="U3456">
        <v>28</v>
      </c>
      <c r="V3456">
        <v>4.9000000000000004</v>
      </c>
      <c r="W3456">
        <f>Table2[[#This Row],[Quantity]]*Table2[[#This Row],[Item_Price]]</f>
        <v>235</v>
      </c>
    </row>
    <row r="3457" spans="1:23" x14ac:dyDescent="0.25">
      <c r="A3457" t="s">
        <v>3559</v>
      </c>
      <c r="B3457" s="1">
        <v>45909</v>
      </c>
      <c r="C3457" t="s">
        <v>3450</v>
      </c>
      <c r="D3457">
        <v>9</v>
      </c>
      <c r="E3457">
        <v>9</v>
      </c>
      <c r="F3457" t="s">
        <v>178</v>
      </c>
      <c r="G3457" t="s">
        <v>80</v>
      </c>
      <c r="H3457" t="s">
        <v>52</v>
      </c>
      <c r="I3457" t="s">
        <v>57</v>
      </c>
      <c r="J3457" t="s">
        <v>28</v>
      </c>
      <c r="K3457" t="s">
        <v>45</v>
      </c>
      <c r="L3457">
        <v>1</v>
      </c>
      <c r="M3457">
        <v>324</v>
      </c>
      <c r="N3457">
        <v>0</v>
      </c>
      <c r="O3457">
        <v>50</v>
      </c>
      <c r="P3457">
        <v>324</v>
      </c>
      <c r="Q3457">
        <v>374</v>
      </c>
      <c r="R3457" t="s">
        <v>75</v>
      </c>
      <c r="S3457" t="s">
        <v>31</v>
      </c>
      <c r="T3457" t="s">
        <v>40</v>
      </c>
      <c r="U3457">
        <v>19</v>
      </c>
      <c r="V3457">
        <v>4.5999999999999996</v>
      </c>
      <c r="W3457">
        <f>Table2[[#This Row],[Quantity]]*Table2[[#This Row],[Item_Price]]</f>
        <v>324</v>
      </c>
    </row>
    <row r="3458" spans="1:23" x14ac:dyDescent="0.25">
      <c r="A3458" t="s">
        <v>3560</v>
      </c>
      <c r="B3458" s="1">
        <v>45909</v>
      </c>
      <c r="C3458" t="s">
        <v>3450</v>
      </c>
      <c r="D3458">
        <v>9</v>
      </c>
      <c r="E3458">
        <v>9</v>
      </c>
      <c r="F3458" t="s">
        <v>178</v>
      </c>
      <c r="G3458" t="s">
        <v>90</v>
      </c>
      <c r="H3458" t="s">
        <v>108</v>
      </c>
      <c r="I3458" t="s">
        <v>97</v>
      </c>
      <c r="J3458" t="s">
        <v>78</v>
      </c>
      <c r="K3458" t="s">
        <v>29</v>
      </c>
      <c r="L3458">
        <v>1</v>
      </c>
      <c r="M3458">
        <v>270</v>
      </c>
      <c r="N3458">
        <v>27</v>
      </c>
      <c r="O3458">
        <v>40</v>
      </c>
      <c r="P3458">
        <v>270</v>
      </c>
      <c r="Q3458">
        <v>283</v>
      </c>
      <c r="R3458" t="s">
        <v>98</v>
      </c>
      <c r="S3458" t="s">
        <v>31</v>
      </c>
      <c r="T3458" t="s">
        <v>40</v>
      </c>
      <c r="U3458">
        <v>18</v>
      </c>
      <c r="V3458">
        <v>3.1</v>
      </c>
      <c r="W3458">
        <f>Table2[[#This Row],[Quantity]]*Table2[[#This Row],[Item_Price]]</f>
        <v>270</v>
      </c>
    </row>
    <row r="3459" spans="1:23" x14ac:dyDescent="0.25">
      <c r="A3459" t="s">
        <v>3561</v>
      </c>
      <c r="B3459" s="1">
        <v>45910</v>
      </c>
      <c r="C3459" t="s">
        <v>3450</v>
      </c>
      <c r="D3459">
        <v>9</v>
      </c>
      <c r="E3459">
        <v>10</v>
      </c>
      <c r="F3459" t="s">
        <v>24</v>
      </c>
      <c r="G3459" t="s">
        <v>80</v>
      </c>
      <c r="H3459" t="s">
        <v>56</v>
      </c>
      <c r="I3459" t="s">
        <v>103</v>
      </c>
      <c r="J3459" t="s">
        <v>53</v>
      </c>
      <c r="K3459" t="s">
        <v>45</v>
      </c>
      <c r="L3459">
        <v>1</v>
      </c>
      <c r="M3459">
        <v>144</v>
      </c>
      <c r="N3459">
        <v>28.8</v>
      </c>
      <c r="O3459">
        <v>40</v>
      </c>
      <c r="P3459">
        <v>144</v>
      </c>
      <c r="Q3459">
        <v>155.19999999999999</v>
      </c>
      <c r="R3459" t="s">
        <v>39</v>
      </c>
      <c r="S3459" t="s">
        <v>31</v>
      </c>
      <c r="T3459" t="s">
        <v>40</v>
      </c>
      <c r="U3459">
        <v>48</v>
      </c>
      <c r="V3459">
        <v>4.2</v>
      </c>
      <c r="W3459">
        <f>Table2[[#This Row],[Quantity]]*Table2[[#This Row],[Item_Price]]</f>
        <v>144</v>
      </c>
    </row>
    <row r="3460" spans="1:23" x14ac:dyDescent="0.25">
      <c r="A3460" t="s">
        <v>3562</v>
      </c>
      <c r="B3460" s="1">
        <v>45910</v>
      </c>
      <c r="C3460" t="s">
        <v>3450</v>
      </c>
      <c r="D3460">
        <v>9</v>
      </c>
      <c r="E3460">
        <v>10</v>
      </c>
      <c r="F3460" t="s">
        <v>24</v>
      </c>
      <c r="G3460" t="s">
        <v>115</v>
      </c>
      <c r="H3460" t="s">
        <v>135</v>
      </c>
      <c r="I3460" t="s">
        <v>103</v>
      </c>
      <c r="J3460" t="s">
        <v>53</v>
      </c>
      <c r="K3460" t="s">
        <v>38</v>
      </c>
      <c r="L3460">
        <v>1</v>
      </c>
      <c r="M3460">
        <v>382</v>
      </c>
      <c r="N3460">
        <v>0</v>
      </c>
      <c r="O3460">
        <v>30</v>
      </c>
      <c r="P3460">
        <v>382</v>
      </c>
      <c r="Q3460">
        <v>412</v>
      </c>
      <c r="R3460" t="s">
        <v>112</v>
      </c>
      <c r="S3460" t="s">
        <v>31</v>
      </c>
      <c r="T3460" t="s">
        <v>40</v>
      </c>
      <c r="U3460">
        <v>60</v>
      </c>
      <c r="V3460">
        <v>3.6</v>
      </c>
      <c r="W3460">
        <f>Table2[[#This Row],[Quantity]]*Table2[[#This Row],[Item_Price]]</f>
        <v>382</v>
      </c>
    </row>
    <row r="3461" spans="1:23" x14ac:dyDescent="0.25">
      <c r="A3461" t="s">
        <v>3563</v>
      </c>
      <c r="B3461" s="1">
        <v>45910</v>
      </c>
      <c r="C3461" t="s">
        <v>3450</v>
      </c>
      <c r="D3461">
        <v>9</v>
      </c>
      <c r="E3461">
        <v>10</v>
      </c>
      <c r="F3461" t="s">
        <v>24</v>
      </c>
      <c r="G3461" t="s">
        <v>73</v>
      </c>
      <c r="H3461" t="s">
        <v>56</v>
      </c>
      <c r="I3461" t="s">
        <v>69</v>
      </c>
      <c r="J3461" t="s">
        <v>53</v>
      </c>
      <c r="K3461" t="s">
        <v>38</v>
      </c>
      <c r="L3461">
        <v>2</v>
      </c>
      <c r="M3461">
        <v>495</v>
      </c>
      <c r="N3461">
        <v>24.75</v>
      </c>
      <c r="O3461">
        <v>60</v>
      </c>
      <c r="P3461">
        <v>990</v>
      </c>
      <c r="Q3461">
        <v>1025.25</v>
      </c>
      <c r="R3461" t="s">
        <v>39</v>
      </c>
      <c r="S3461" t="s">
        <v>31</v>
      </c>
      <c r="T3461" t="s">
        <v>32</v>
      </c>
      <c r="U3461">
        <v>68</v>
      </c>
      <c r="V3461">
        <v>3.8</v>
      </c>
      <c r="W3461">
        <f>Table2[[#This Row],[Quantity]]*Table2[[#This Row],[Item_Price]]</f>
        <v>990</v>
      </c>
    </row>
    <row r="3462" spans="1:23" x14ac:dyDescent="0.25">
      <c r="A3462" t="s">
        <v>3564</v>
      </c>
      <c r="B3462" s="1">
        <v>45910</v>
      </c>
      <c r="C3462" t="s">
        <v>3450</v>
      </c>
      <c r="D3462">
        <v>9</v>
      </c>
      <c r="E3462">
        <v>10</v>
      </c>
      <c r="F3462" t="s">
        <v>24</v>
      </c>
      <c r="G3462" t="s">
        <v>80</v>
      </c>
      <c r="H3462" t="s">
        <v>52</v>
      </c>
      <c r="I3462" t="s">
        <v>36</v>
      </c>
      <c r="J3462" t="s">
        <v>82</v>
      </c>
      <c r="K3462" t="s">
        <v>38</v>
      </c>
      <c r="L3462">
        <v>2</v>
      </c>
      <c r="M3462">
        <v>826</v>
      </c>
      <c r="N3462">
        <v>82.6</v>
      </c>
      <c r="O3462">
        <v>30</v>
      </c>
      <c r="P3462">
        <v>1652</v>
      </c>
      <c r="Q3462">
        <v>1599.4</v>
      </c>
      <c r="R3462" t="s">
        <v>98</v>
      </c>
      <c r="S3462" t="s">
        <v>31</v>
      </c>
      <c r="T3462" t="s">
        <v>40</v>
      </c>
      <c r="U3462">
        <v>45</v>
      </c>
      <c r="V3462">
        <v>3.4</v>
      </c>
      <c r="W3462">
        <f>Table2[[#This Row],[Quantity]]*Table2[[#This Row],[Item_Price]]</f>
        <v>1652</v>
      </c>
    </row>
    <row r="3463" spans="1:23" x14ac:dyDescent="0.25">
      <c r="A3463" t="s">
        <v>3565</v>
      </c>
      <c r="B3463" s="1">
        <v>45910</v>
      </c>
      <c r="C3463" t="s">
        <v>3450</v>
      </c>
      <c r="D3463">
        <v>9</v>
      </c>
      <c r="E3463">
        <v>10</v>
      </c>
      <c r="F3463" t="s">
        <v>24</v>
      </c>
      <c r="G3463" t="s">
        <v>55</v>
      </c>
      <c r="H3463" t="s">
        <v>35</v>
      </c>
      <c r="I3463" t="s">
        <v>57</v>
      </c>
      <c r="J3463" t="s">
        <v>74</v>
      </c>
      <c r="K3463" t="s">
        <v>45</v>
      </c>
      <c r="L3463">
        <v>3</v>
      </c>
      <c r="M3463">
        <v>893</v>
      </c>
      <c r="N3463">
        <v>0</v>
      </c>
      <c r="O3463">
        <v>0</v>
      </c>
      <c r="P3463">
        <v>2679</v>
      </c>
      <c r="Q3463">
        <v>2679</v>
      </c>
      <c r="R3463" t="s">
        <v>39</v>
      </c>
      <c r="S3463" t="s">
        <v>31</v>
      </c>
      <c r="T3463" t="s">
        <v>32</v>
      </c>
      <c r="U3463">
        <v>38</v>
      </c>
      <c r="V3463">
        <v>4.5999999999999996</v>
      </c>
      <c r="W3463">
        <f>Table2[[#This Row],[Quantity]]*Table2[[#This Row],[Item_Price]]</f>
        <v>2679</v>
      </c>
    </row>
    <row r="3464" spans="1:23" x14ac:dyDescent="0.25">
      <c r="A3464" t="s">
        <v>3566</v>
      </c>
      <c r="B3464" s="1">
        <v>45910</v>
      </c>
      <c r="C3464" t="s">
        <v>3450</v>
      </c>
      <c r="D3464">
        <v>9</v>
      </c>
      <c r="E3464">
        <v>10</v>
      </c>
      <c r="F3464" t="s">
        <v>24</v>
      </c>
      <c r="G3464" t="s">
        <v>34</v>
      </c>
      <c r="H3464" t="s">
        <v>42</v>
      </c>
      <c r="I3464" t="s">
        <v>49</v>
      </c>
      <c r="J3464" t="s">
        <v>82</v>
      </c>
      <c r="K3464" t="s">
        <v>38</v>
      </c>
      <c r="L3464">
        <v>1</v>
      </c>
      <c r="M3464">
        <v>272</v>
      </c>
      <c r="N3464">
        <v>27.2</v>
      </c>
      <c r="O3464">
        <v>30</v>
      </c>
      <c r="P3464">
        <v>272</v>
      </c>
      <c r="Q3464">
        <v>274.8</v>
      </c>
      <c r="R3464" t="s">
        <v>112</v>
      </c>
      <c r="S3464" t="s">
        <v>31</v>
      </c>
      <c r="T3464" t="s">
        <v>40</v>
      </c>
      <c r="U3464">
        <v>56</v>
      </c>
      <c r="V3464">
        <v>4.5999999999999996</v>
      </c>
      <c r="W3464">
        <f>Table2[[#This Row],[Quantity]]*Table2[[#This Row],[Item_Price]]</f>
        <v>272</v>
      </c>
    </row>
    <row r="3465" spans="1:23" x14ac:dyDescent="0.25">
      <c r="A3465" t="s">
        <v>3567</v>
      </c>
      <c r="B3465" s="1">
        <v>45910</v>
      </c>
      <c r="C3465" t="s">
        <v>3450</v>
      </c>
      <c r="D3465">
        <v>9</v>
      </c>
      <c r="E3465">
        <v>10</v>
      </c>
      <c r="F3465" t="s">
        <v>24</v>
      </c>
      <c r="G3465" t="s">
        <v>34</v>
      </c>
      <c r="H3465" t="s">
        <v>52</v>
      </c>
      <c r="I3465" t="s">
        <v>61</v>
      </c>
      <c r="J3465" t="s">
        <v>74</v>
      </c>
      <c r="K3465" t="s">
        <v>38</v>
      </c>
      <c r="L3465">
        <v>1</v>
      </c>
      <c r="M3465">
        <v>565</v>
      </c>
      <c r="N3465">
        <v>141.25</v>
      </c>
      <c r="O3465">
        <v>20</v>
      </c>
      <c r="P3465">
        <v>565</v>
      </c>
      <c r="Q3465">
        <v>443.75</v>
      </c>
      <c r="R3465" t="s">
        <v>112</v>
      </c>
      <c r="S3465" t="s">
        <v>31</v>
      </c>
      <c r="T3465" t="s">
        <v>40</v>
      </c>
      <c r="U3465">
        <v>70</v>
      </c>
      <c r="V3465">
        <v>4.2</v>
      </c>
      <c r="W3465">
        <f>Table2[[#This Row],[Quantity]]*Table2[[#This Row],[Item_Price]]</f>
        <v>565</v>
      </c>
    </row>
    <row r="3466" spans="1:23" x14ac:dyDescent="0.25">
      <c r="A3466" t="s">
        <v>3568</v>
      </c>
      <c r="B3466" s="1">
        <v>45910</v>
      </c>
      <c r="C3466" t="s">
        <v>3450</v>
      </c>
      <c r="D3466">
        <v>9</v>
      </c>
      <c r="E3466">
        <v>10</v>
      </c>
      <c r="F3466" t="s">
        <v>24</v>
      </c>
      <c r="G3466" t="s">
        <v>64</v>
      </c>
      <c r="H3466" t="s">
        <v>108</v>
      </c>
      <c r="I3466" t="s">
        <v>69</v>
      </c>
      <c r="J3466" t="s">
        <v>119</v>
      </c>
      <c r="K3466" t="s">
        <v>38</v>
      </c>
      <c r="L3466">
        <v>1</v>
      </c>
      <c r="M3466">
        <v>532</v>
      </c>
      <c r="N3466">
        <v>79.8</v>
      </c>
      <c r="O3466">
        <v>30</v>
      </c>
      <c r="P3466">
        <v>532</v>
      </c>
      <c r="Q3466">
        <v>482.2</v>
      </c>
      <c r="R3466" t="s">
        <v>75</v>
      </c>
      <c r="S3466" t="s">
        <v>31</v>
      </c>
      <c r="T3466" t="s">
        <v>32</v>
      </c>
      <c r="U3466">
        <v>41</v>
      </c>
      <c r="V3466">
        <v>4.8</v>
      </c>
      <c r="W3466">
        <f>Table2[[#This Row],[Quantity]]*Table2[[#This Row],[Item_Price]]</f>
        <v>532</v>
      </c>
    </row>
    <row r="3467" spans="1:23" x14ac:dyDescent="0.25">
      <c r="A3467" t="s">
        <v>3569</v>
      </c>
      <c r="B3467" s="1">
        <v>45910</v>
      </c>
      <c r="C3467" t="s">
        <v>3450</v>
      </c>
      <c r="D3467">
        <v>9</v>
      </c>
      <c r="E3467">
        <v>10</v>
      </c>
      <c r="F3467" t="s">
        <v>24</v>
      </c>
      <c r="G3467" t="s">
        <v>55</v>
      </c>
      <c r="H3467" t="s">
        <v>108</v>
      </c>
      <c r="I3467" t="s">
        <v>49</v>
      </c>
      <c r="J3467" t="s">
        <v>44</v>
      </c>
      <c r="K3467" t="s">
        <v>38</v>
      </c>
      <c r="L3467">
        <v>2</v>
      </c>
      <c r="M3467">
        <v>421</v>
      </c>
      <c r="N3467">
        <v>0</v>
      </c>
      <c r="O3467">
        <v>60</v>
      </c>
      <c r="P3467">
        <v>842</v>
      </c>
      <c r="Q3467">
        <v>902</v>
      </c>
      <c r="R3467" t="s">
        <v>75</v>
      </c>
      <c r="S3467" t="s">
        <v>31</v>
      </c>
      <c r="T3467" t="s">
        <v>32</v>
      </c>
      <c r="U3467">
        <v>25</v>
      </c>
      <c r="V3467">
        <v>4.9000000000000004</v>
      </c>
      <c r="W3467">
        <f>Table2[[#This Row],[Quantity]]*Table2[[#This Row],[Item_Price]]</f>
        <v>842</v>
      </c>
    </row>
    <row r="3468" spans="1:23" x14ac:dyDescent="0.25">
      <c r="A3468" t="s">
        <v>3570</v>
      </c>
      <c r="B3468" s="1">
        <v>45910</v>
      </c>
      <c r="C3468" t="s">
        <v>3450</v>
      </c>
      <c r="D3468">
        <v>9</v>
      </c>
      <c r="E3468">
        <v>10</v>
      </c>
      <c r="F3468" t="s">
        <v>24</v>
      </c>
      <c r="G3468" t="s">
        <v>84</v>
      </c>
      <c r="H3468" t="s">
        <v>52</v>
      </c>
      <c r="I3468" t="s">
        <v>43</v>
      </c>
      <c r="J3468" t="s">
        <v>53</v>
      </c>
      <c r="K3468" t="s">
        <v>45</v>
      </c>
      <c r="L3468">
        <v>1</v>
      </c>
      <c r="M3468">
        <v>344</v>
      </c>
      <c r="N3468">
        <v>68.8</v>
      </c>
      <c r="O3468">
        <v>30</v>
      </c>
      <c r="P3468">
        <v>344</v>
      </c>
      <c r="Q3468">
        <v>305.2</v>
      </c>
      <c r="R3468" t="s">
        <v>75</v>
      </c>
      <c r="S3468" t="s">
        <v>31</v>
      </c>
      <c r="T3468" t="s">
        <v>32</v>
      </c>
      <c r="U3468">
        <v>43</v>
      </c>
      <c r="V3468">
        <v>4.3</v>
      </c>
      <c r="W3468">
        <f>Table2[[#This Row],[Quantity]]*Table2[[#This Row],[Item_Price]]</f>
        <v>344</v>
      </c>
    </row>
    <row r="3469" spans="1:23" x14ac:dyDescent="0.25">
      <c r="A3469" t="s">
        <v>3571</v>
      </c>
      <c r="B3469" s="1">
        <v>45911</v>
      </c>
      <c r="C3469" t="s">
        <v>3450</v>
      </c>
      <c r="D3469">
        <v>9</v>
      </c>
      <c r="E3469">
        <v>11</v>
      </c>
      <c r="F3469" t="s">
        <v>88</v>
      </c>
      <c r="G3469" t="s">
        <v>34</v>
      </c>
      <c r="H3469" t="s">
        <v>68</v>
      </c>
      <c r="I3469" t="s">
        <v>49</v>
      </c>
      <c r="J3469" t="s">
        <v>53</v>
      </c>
      <c r="K3469" t="s">
        <v>38</v>
      </c>
      <c r="L3469">
        <v>1</v>
      </c>
      <c r="M3469">
        <v>699</v>
      </c>
      <c r="N3469">
        <v>0</v>
      </c>
      <c r="O3469">
        <v>20</v>
      </c>
      <c r="P3469">
        <v>699</v>
      </c>
      <c r="Q3469">
        <v>719</v>
      </c>
      <c r="R3469" t="s">
        <v>39</v>
      </c>
      <c r="S3469" t="s">
        <v>31</v>
      </c>
      <c r="T3469" t="s">
        <v>40</v>
      </c>
      <c r="U3469">
        <v>70</v>
      </c>
      <c r="V3469">
        <v>3.5</v>
      </c>
      <c r="W3469">
        <f>Table2[[#This Row],[Quantity]]*Table2[[#This Row],[Item_Price]]</f>
        <v>699</v>
      </c>
    </row>
    <row r="3470" spans="1:23" x14ac:dyDescent="0.25">
      <c r="A3470" t="s">
        <v>3572</v>
      </c>
      <c r="B3470" s="1">
        <v>45911</v>
      </c>
      <c r="C3470" t="s">
        <v>3450</v>
      </c>
      <c r="D3470">
        <v>9</v>
      </c>
      <c r="E3470">
        <v>11</v>
      </c>
      <c r="F3470" t="s">
        <v>88</v>
      </c>
      <c r="G3470" t="s">
        <v>55</v>
      </c>
      <c r="H3470" t="s">
        <v>81</v>
      </c>
      <c r="I3470" t="s">
        <v>43</v>
      </c>
      <c r="J3470" t="s">
        <v>82</v>
      </c>
      <c r="K3470" t="s">
        <v>58</v>
      </c>
      <c r="L3470">
        <v>3</v>
      </c>
      <c r="M3470">
        <v>552</v>
      </c>
      <c r="N3470">
        <v>82.8</v>
      </c>
      <c r="O3470">
        <v>0</v>
      </c>
      <c r="P3470">
        <v>1656</v>
      </c>
      <c r="Q3470">
        <v>1573.2</v>
      </c>
      <c r="R3470" t="s">
        <v>98</v>
      </c>
      <c r="S3470" t="s">
        <v>31</v>
      </c>
      <c r="T3470" t="s">
        <v>40</v>
      </c>
      <c r="U3470">
        <v>52</v>
      </c>
      <c r="V3470">
        <v>3.8</v>
      </c>
      <c r="W3470">
        <f>Table2[[#This Row],[Quantity]]*Table2[[#This Row],[Item_Price]]</f>
        <v>1656</v>
      </c>
    </row>
    <row r="3471" spans="1:23" x14ac:dyDescent="0.25">
      <c r="A3471" t="s">
        <v>3573</v>
      </c>
      <c r="B3471" s="1">
        <v>45911</v>
      </c>
      <c r="C3471" t="s">
        <v>3450</v>
      </c>
      <c r="D3471">
        <v>9</v>
      </c>
      <c r="E3471">
        <v>11</v>
      </c>
      <c r="F3471" t="s">
        <v>88</v>
      </c>
      <c r="G3471" t="s">
        <v>64</v>
      </c>
      <c r="H3471" t="s">
        <v>108</v>
      </c>
      <c r="I3471" t="s">
        <v>27</v>
      </c>
      <c r="J3471" t="s">
        <v>119</v>
      </c>
      <c r="K3471" t="s">
        <v>38</v>
      </c>
      <c r="L3471">
        <v>3</v>
      </c>
      <c r="M3471">
        <v>432</v>
      </c>
      <c r="N3471">
        <v>43.2</v>
      </c>
      <c r="O3471">
        <v>0</v>
      </c>
      <c r="P3471">
        <v>1296</v>
      </c>
      <c r="Q3471">
        <v>1252.8</v>
      </c>
      <c r="R3471" t="s">
        <v>75</v>
      </c>
      <c r="S3471" t="s">
        <v>46</v>
      </c>
      <c r="T3471" t="s">
        <v>40</v>
      </c>
      <c r="U3471">
        <v>23</v>
      </c>
      <c r="W3471">
        <f>Table2[[#This Row],[Quantity]]*Table2[[#This Row],[Item_Price]]</f>
        <v>1296</v>
      </c>
    </row>
    <row r="3472" spans="1:23" x14ac:dyDescent="0.25">
      <c r="A3472" t="s">
        <v>3574</v>
      </c>
      <c r="B3472" s="1">
        <v>45911</v>
      </c>
      <c r="C3472" t="s">
        <v>3450</v>
      </c>
      <c r="D3472">
        <v>9</v>
      </c>
      <c r="E3472">
        <v>11</v>
      </c>
      <c r="F3472" t="s">
        <v>88</v>
      </c>
      <c r="G3472" t="s">
        <v>25</v>
      </c>
      <c r="H3472" t="s">
        <v>52</v>
      </c>
      <c r="I3472" t="s">
        <v>36</v>
      </c>
      <c r="J3472" t="s">
        <v>44</v>
      </c>
      <c r="K3472" t="s">
        <v>38</v>
      </c>
      <c r="L3472">
        <v>2</v>
      </c>
      <c r="M3472">
        <v>843</v>
      </c>
      <c r="N3472">
        <v>126.45</v>
      </c>
      <c r="O3472">
        <v>20</v>
      </c>
      <c r="P3472">
        <v>1686</v>
      </c>
      <c r="Q3472">
        <v>1579.55</v>
      </c>
      <c r="R3472" t="s">
        <v>39</v>
      </c>
      <c r="S3472" t="s">
        <v>31</v>
      </c>
      <c r="T3472" t="s">
        <v>40</v>
      </c>
      <c r="U3472">
        <v>55</v>
      </c>
      <c r="V3472">
        <v>3.7</v>
      </c>
      <c r="W3472">
        <f>Table2[[#This Row],[Quantity]]*Table2[[#This Row],[Item_Price]]</f>
        <v>1686</v>
      </c>
    </row>
    <row r="3473" spans="1:23" x14ac:dyDescent="0.25">
      <c r="A3473" t="s">
        <v>3575</v>
      </c>
      <c r="B3473" s="1">
        <v>45911</v>
      </c>
      <c r="C3473" t="s">
        <v>3450</v>
      </c>
      <c r="D3473">
        <v>9</v>
      </c>
      <c r="E3473">
        <v>11</v>
      </c>
      <c r="F3473" t="s">
        <v>88</v>
      </c>
      <c r="G3473" t="s">
        <v>84</v>
      </c>
      <c r="H3473" t="s">
        <v>56</v>
      </c>
      <c r="I3473" t="s">
        <v>103</v>
      </c>
      <c r="J3473" t="s">
        <v>94</v>
      </c>
      <c r="K3473" t="s">
        <v>45</v>
      </c>
      <c r="L3473">
        <v>1</v>
      </c>
      <c r="M3473">
        <v>184</v>
      </c>
      <c r="N3473">
        <v>18.399999999999999</v>
      </c>
      <c r="O3473">
        <v>50</v>
      </c>
      <c r="P3473">
        <v>184</v>
      </c>
      <c r="Q3473">
        <v>215.6</v>
      </c>
      <c r="R3473" t="s">
        <v>112</v>
      </c>
      <c r="S3473" t="s">
        <v>31</v>
      </c>
      <c r="T3473" t="s">
        <v>40</v>
      </c>
      <c r="U3473">
        <v>54</v>
      </c>
      <c r="V3473">
        <v>3.7</v>
      </c>
      <c r="W3473">
        <f>Table2[[#This Row],[Quantity]]*Table2[[#This Row],[Item_Price]]</f>
        <v>184</v>
      </c>
    </row>
    <row r="3474" spans="1:23" x14ac:dyDescent="0.25">
      <c r="A3474" t="s">
        <v>3576</v>
      </c>
      <c r="B3474" s="1">
        <v>45911</v>
      </c>
      <c r="C3474" t="s">
        <v>3450</v>
      </c>
      <c r="D3474">
        <v>9</v>
      </c>
      <c r="E3474">
        <v>11</v>
      </c>
      <c r="F3474" t="s">
        <v>88</v>
      </c>
      <c r="G3474" t="s">
        <v>25</v>
      </c>
      <c r="H3474" t="s">
        <v>65</v>
      </c>
      <c r="I3474" t="s">
        <v>49</v>
      </c>
      <c r="J3474" t="s">
        <v>53</v>
      </c>
      <c r="K3474" t="s">
        <v>45</v>
      </c>
      <c r="L3474">
        <v>2</v>
      </c>
      <c r="M3474">
        <v>535</v>
      </c>
      <c r="N3474">
        <v>80.25</v>
      </c>
      <c r="O3474">
        <v>70</v>
      </c>
      <c r="P3474">
        <v>1070</v>
      </c>
      <c r="Q3474">
        <v>1059.75</v>
      </c>
      <c r="R3474" t="s">
        <v>98</v>
      </c>
      <c r="S3474" t="s">
        <v>31</v>
      </c>
      <c r="T3474" t="s">
        <v>32</v>
      </c>
      <c r="U3474">
        <v>19</v>
      </c>
      <c r="V3474">
        <v>3.8</v>
      </c>
      <c r="W3474">
        <f>Table2[[#This Row],[Quantity]]*Table2[[#This Row],[Item_Price]]</f>
        <v>1070</v>
      </c>
    </row>
    <row r="3475" spans="1:23" x14ac:dyDescent="0.25">
      <c r="A3475" t="s">
        <v>3577</v>
      </c>
      <c r="B3475" s="1">
        <v>45911</v>
      </c>
      <c r="C3475" t="s">
        <v>3450</v>
      </c>
      <c r="D3475">
        <v>9</v>
      </c>
      <c r="E3475">
        <v>11</v>
      </c>
      <c r="F3475" t="s">
        <v>88</v>
      </c>
      <c r="G3475" t="s">
        <v>80</v>
      </c>
      <c r="H3475" t="s">
        <v>35</v>
      </c>
      <c r="I3475" t="s">
        <v>85</v>
      </c>
      <c r="J3475" t="s">
        <v>119</v>
      </c>
      <c r="K3475" t="s">
        <v>38</v>
      </c>
      <c r="L3475">
        <v>1</v>
      </c>
      <c r="M3475">
        <v>467</v>
      </c>
      <c r="N3475">
        <v>0</v>
      </c>
      <c r="O3475">
        <v>0</v>
      </c>
      <c r="P3475">
        <v>467</v>
      </c>
      <c r="Q3475">
        <v>467</v>
      </c>
      <c r="R3475" t="s">
        <v>112</v>
      </c>
      <c r="S3475" t="s">
        <v>31</v>
      </c>
      <c r="T3475" t="s">
        <v>40</v>
      </c>
      <c r="U3475">
        <v>49</v>
      </c>
      <c r="V3475">
        <v>3.8</v>
      </c>
      <c r="W3475">
        <f>Table2[[#This Row],[Quantity]]*Table2[[#This Row],[Item_Price]]</f>
        <v>467</v>
      </c>
    </row>
    <row r="3476" spans="1:23" x14ac:dyDescent="0.25">
      <c r="A3476" t="s">
        <v>3578</v>
      </c>
      <c r="B3476" s="1">
        <v>45911</v>
      </c>
      <c r="C3476" t="s">
        <v>3450</v>
      </c>
      <c r="D3476">
        <v>9</v>
      </c>
      <c r="E3476">
        <v>11</v>
      </c>
      <c r="F3476" t="s">
        <v>88</v>
      </c>
      <c r="G3476" t="s">
        <v>90</v>
      </c>
      <c r="H3476" t="s">
        <v>65</v>
      </c>
      <c r="I3476" t="s">
        <v>97</v>
      </c>
      <c r="J3476" t="s">
        <v>74</v>
      </c>
      <c r="K3476" t="s">
        <v>38</v>
      </c>
      <c r="L3476">
        <v>1</v>
      </c>
      <c r="M3476">
        <v>323</v>
      </c>
      <c r="N3476">
        <v>48.45</v>
      </c>
      <c r="O3476">
        <v>0</v>
      </c>
      <c r="P3476">
        <v>323</v>
      </c>
      <c r="Q3476">
        <v>274.55</v>
      </c>
      <c r="R3476" t="s">
        <v>39</v>
      </c>
      <c r="S3476" t="s">
        <v>31</v>
      </c>
      <c r="T3476" t="s">
        <v>40</v>
      </c>
      <c r="U3476">
        <v>66</v>
      </c>
      <c r="V3476">
        <v>4.5</v>
      </c>
      <c r="W3476">
        <f>Table2[[#This Row],[Quantity]]*Table2[[#This Row],[Item_Price]]</f>
        <v>323</v>
      </c>
    </row>
    <row r="3477" spans="1:23" x14ac:dyDescent="0.25">
      <c r="A3477" t="s">
        <v>3579</v>
      </c>
      <c r="B3477" s="1">
        <v>45911</v>
      </c>
      <c r="C3477" t="s">
        <v>3450</v>
      </c>
      <c r="D3477">
        <v>9</v>
      </c>
      <c r="E3477">
        <v>11</v>
      </c>
      <c r="F3477" t="s">
        <v>88</v>
      </c>
      <c r="G3477" t="s">
        <v>73</v>
      </c>
      <c r="H3477" t="s">
        <v>77</v>
      </c>
      <c r="I3477" t="s">
        <v>97</v>
      </c>
      <c r="J3477" t="s">
        <v>53</v>
      </c>
      <c r="K3477" t="s">
        <v>38</v>
      </c>
      <c r="L3477">
        <v>1</v>
      </c>
      <c r="M3477">
        <v>568</v>
      </c>
      <c r="N3477">
        <v>85.2</v>
      </c>
      <c r="O3477">
        <v>0</v>
      </c>
      <c r="P3477">
        <v>568</v>
      </c>
      <c r="Q3477">
        <v>482.8</v>
      </c>
      <c r="R3477" t="s">
        <v>30</v>
      </c>
      <c r="S3477" t="s">
        <v>31</v>
      </c>
      <c r="T3477" t="s">
        <v>40</v>
      </c>
      <c r="U3477">
        <v>18</v>
      </c>
      <c r="V3477">
        <v>4.5999999999999996</v>
      </c>
      <c r="W3477">
        <f>Table2[[#This Row],[Quantity]]*Table2[[#This Row],[Item_Price]]</f>
        <v>568</v>
      </c>
    </row>
    <row r="3478" spans="1:23" x14ac:dyDescent="0.25">
      <c r="A3478" t="s">
        <v>3580</v>
      </c>
      <c r="B3478" s="1">
        <v>45911</v>
      </c>
      <c r="C3478" t="s">
        <v>3450</v>
      </c>
      <c r="D3478">
        <v>9</v>
      </c>
      <c r="E3478">
        <v>11</v>
      </c>
      <c r="F3478" t="s">
        <v>88</v>
      </c>
      <c r="G3478" t="s">
        <v>55</v>
      </c>
      <c r="H3478" t="s">
        <v>135</v>
      </c>
      <c r="I3478" t="s">
        <v>103</v>
      </c>
      <c r="J3478" t="s">
        <v>119</v>
      </c>
      <c r="K3478" t="s">
        <v>38</v>
      </c>
      <c r="L3478">
        <v>2</v>
      </c>
      <c r="M3478">
        <v>627</v>
      </c>
      <c r="N3478">
        <v>31.35</v>
      </c>
      <c r="O3478">
        <v>0</v>
      </c>
      <c r="P3478">
        <v>1254</v>
      </c>
      <c r="Q3478">
        <v>1222.6500000000001</v>
      </c>
      <c r="R3478" t="s">
        <v>98</v>
      </c>
      <c r="S3478" t="s">
        <v>31</v>
      </c>
      <c r="T3478" t="s">
        <v>32</v>
      </c>
      <c r="U3478">
        <v>52</v>
      </c>
      <c r="V3478">
        <v>4.4000000000000004</v>
      </c>
      <c r="W3478">
        <f>Table2[[#This Row],[Quantity]]*Table2[[#This Row],[Item_Price]]</f>
        <v>1254</v>
      </c>
    </row>
    <row r="3479" spans="1:23" x14ac:dyDescent="0.25">
      <c r="A3479" t="s">
        <v>3581</v>
      </c>
      <c r="B3479" s="1">
        <v>45911</v>
      </c>
      <c r="C3479" t="s">
        <v>3450</v>
      </c>
      <c r="D3479">
        <v>9</v>
      </c>
      <c r="E3479">
        <v>11</v>
      </c>
      <c r="F3479" t="s">
        <v>88</v>
      </c>
      <c r="G3479" t="s">
        <v>80</v>
      </c>
      <c r="H3479" t="s">
        <v>105</v>
      </c>
      <c r="I3479" t="s">
        <v>36</v>
      </c>
      <c r="J3479" t="s">
        <v>70</v>
      </c>
      <c r="K3479" t="s">
        <v>38</v>
      </c>
      <c r="L3479">
        <v>2</v>
      </c>
      <c r="M3479">
        <v>134</v>
      </c>
      <c r="N3479">
        <v>26.8</v>
      </c>
      <c r="O3479">
        <v>30</v>
      </c>
      <c r="P3479">
        <v>268</v>
      </c>
      <c r="Q3479">
        <v>271.2</v>
      </c>
      <c r="R3479" t="s">
        <v>39</v>
      </c>
      <c r="S3479" t="s">
        <v>31</v>
      </c>
      <c r="T3479" t="s">
        <v>32</v>
      </c>
      <c r="U3479">
        <v>69</v>
      </c>
      <c r="V3479">
        <v>4.8</v>
      </c>
      <c r="W3479">
        <f>Table2[[#This Row],[Quantity]]*Table2[[#This Row],[Item_Price]]</f>
        <v>268</v>
      </c>
    </row>
    <row r="3480" spans="1:23" x14ac:dyDescent="0.25">
      <c r="A3480" t="s">
        <v>3582</v>
      </c>
      <c r="B3480" s="1">
        <v>45911</v>
      </c>
      <c r="C3480" t="s">
        <v>3450</v>
      </c>
      <c r="D3480">
        <v>9</v>
      </c>
      <c r="E3480">
        <v>11</v>
      </c>
      <c r="F3480" t="s">
        <v>88</v>
      </c>
      <c r="G3480" t="s">
        <v>80</v>
      </c>
      <c r="H3480" t="s">
        <v>135</v>
      </c>
      <c r="I3480" t="s">
        <v>97</v>
      </c>
      <c r="J3480" t="s">
        <v>78</v>
      </c>
      <c r="K3480" t="s">
        <v>45</v>
      </c>
      <c r="L3480">
        <v>3</v>
      </c>
      <c r="M3480">
        <v>439</v>
      </c>
      <c r="N3480">
        <v>109.75</v>
      </c>
      <c r="O3480">
        <v>0</v>
      </c>
      <c r="P3480">
        <v>1317</v>
      </c>
      <c r="Q3480">
        <v>1207.25</v>
      </c>
      <c r="R3480" t="s">
        <v>39</v>
      </c>
      <c r="S3480" t="s">
        <v>31</v>
      </c>
      <c r="T3480" t="s">
        <v>32</v>
      </c>
      <c r="U3480">
        <v>34</v>
      </c>
      <c r="V3480">
        <v>3.7</v>
      </c>
      <c r="W3480">
        <f>Table2[[#This Row],[Quantity]]*Table2[[#This Row],[Item_Price]]</f>
        <v>1317</v>
      </c>
    </row>
    <row r="3481" spans="1:23" x14ac:dyDescent="0.25">
      <c r="A3481" t="s">
        <v>3583</v>
      </c>
      <c r="B3481" s="1">
        <v>45912</v>
      </c>
      <c r="C3481" t="s">
        <v>3450</v>
      </c>
      <c r="D3481">
        <v>9</v>
      </c>
      <c r="E3481">
        <v>12</v>
      </c>
      <c r="F3481" t="s">
        <v>114</v>
      </c>
      <c r="G3481" t="s">
        <v>84</v>
      </c>
      <c r="H3481" t="s">
        <v>108</v>
      </c>
      <c r="I3481" t="s">
        <v>36</v>
      </c>
      <c r="J3481" t="s">
        <v>101</v>
      </c>
      <c r="K3481" t="s">
        <v>45</v>
      </c>
      <c r="L3481">
        <v>1</v>
      </c>
      <c r="M3481">
        <v>534</v>
      </c>
      <c r="N3481">
        <v>80.099999999999994</v>
      </c>
      <c r="O3481">
        <v>60</v>
      </c>
      <c r="P3481">
        <v>534</v>
      </c>
      <c r="Q3481">
        <v>513.9</v>
      </c>
      <c r="R3481" t="s">
        <v>112</v>
      </c>
      <c r="S3481" t="s">
        <v>31</v>
      </c>
      <c r="T3481" t="s">
        <v>40</v>
      </c>
      <c r="U3481">
        <v>40</v>
      </c>
      <c r="V3481">
        <v>3.9</v>
      </c>
      <c r="W3481">
        <f>Table2[[#This Row],[Quantity]]*Table2[[#This Row],[Item_Price]]</f>
        <v>534</v>
      </c>
    </row>
    <row r="3482" spans="1:23" x14ac:dyDescent="0.25">
      <c r="A3482" t="s">
        <v>3584</v>
      </c>
      <c r="B3482" s="1">
        <v>45912</v>
      </c>
      <c r="C3482" t="s">
        <v>3450</v>
      </c>
      <c r="D3482">
        <v>9</v>
      </c>
      <c r="E3482">
        <v>12</v>
      </c>
      <c r="F3482" t="s">
        <v>114</v>
      </c>
      <c r="G3482" t="s">
        <v>25</v>
      </c>
      <c r="H3482" t="s">
        <v>135</v>
      </c>
      <c r="I3482" t="s">
        <v>69</v>
      </c>
      <c r="J3482" t="s">
        <v>70</v>
      </c>
      <c r="K3482" t="s">
        <v>38</v>
      </c>
      <c r="L3482">
        <v>3</v>
      </c>
      <c r="M3482">
        <v>756</v>
      </c>
      <c r="N3482">
        <v>37.799999999999997</v>
      </c>
      <c r="O3482">
        <v>0</v>
      </c>
      <c r="P3482">
        <v>2268</v>
      </c>
      <c r="Q3482">
        <v>2230.1999999999998</v>
      </c>
      <c r="R3482" t="s">
        <v>98</v>
      </c>
      <c r="S3482" t="s">
        <v>31</v>
      </c>
      <c r="T3482" t="s">
        <v>32</v>
      </c>
      <c r="U3482">
        <v>34</v>
      </c>
      <c r="V3482">
        <v>4.7</v>
      </c>
      <c r="W3482">
        <f>Table2[[#This Row],[Quantity]]*Table2[[#This Row],[Item_Price]]</f>
        <v>2268</v>
      </c>
    </row>
    <row r="3483" spans="1:23" x14ac:dyDescent="0.25">
      <c r="A3483" t="s">
        <v>3585</v>
      </c>
      <c r="B3483" s="1">
        <v>45912</v>
      </c>
      <c r="C3483" t="s">
        <v>3450</v>
      </c>
      <c r="D3483">
        <v>9</v>
      </c>
      <c r="E3483">
        <v>12</v>
      </c>
      <c r="F3483" t="s">
        <v>114</v>
      </c>
      <c r="G3483" t="s">
        <v>25</v>
      </c>
      <c r="H3483" t="s">
        <v>26</v>
      </c>
      <c r="I3483" t="s">
        <v>57</v>
      </c>
      <c r="J3483" t="s">
        <v>94</v>
      </c>
      <c r="K3483" t="s">
        <v>38</v>
      </c>
      <c r="L3483">
        <v>3</v>
      </c>
      <c r="M3483">
        <v>508</v>
      </c>
      <c r="N3483">
        <v>0</v>
      </c>
      <c r="O3483">
        <v>20</v>
      </c>
      <c r="P3483">
        <v>1524</v>
      </c>
      <c r="Q3483">
        <v>1544</v>
      </c>
      <c r="R3483" t="s">
        <v>30</v>
      </c>
      <c r="S3483" t="s">
        <v>46</v>
      </c>
      <c r="T3483" t="s">
        <v>40</v>
      </c>
      <c r="U3483">
        <v>63</v>
      </c>
      <c r="W3483">
        <f>Table2[[#This Row],[Quantity]]*Table2[[#This Row],[Item_Price]]</f>
        <v>1524</v>
      </c>
    </row>
    <row r="3484" spans="1:23" x14ac:dyDescent="0.25">
      <c r="A3484" t="s">
        <v>3586</v>
      </c>
      <c r="B3484" s="1">
        <v>45912</v>
      </c>
      <c r="C3484" t="s">
        <v>3450</v>
      </c>
      <c r="D3484">
        <v>9</v>
      </c>
      <c r="E3484">
        <v>12</v>
      </c>
      <c r="F3484" t="s">
        <v>114</v>
      </c>
      <c r="G3484" t="s">
        <v>80</v>
      </c>
      <c r="H3484" t="s">
        <v>35</v>
      </c>
      <c r="I3484" t="s">
        <v>69</v>
      </c>
      <c r="J3484" t="s">
        <v>74</v>
      </c>
      <c r="K3484" t="s">
        <v>45</v>
      </c>
      <c r="L3484">
        <v>1</v>
      </c>
      <c r="M3484">
        <v>407</v>
      </c>
      <c r="N3484">
        <v>61.05</v>
      </c>
      <c r="O3484">
        <v>40</v>
      </c>
      <c r="P3484">
        <v>407</v>
      </c>
      <c r="Q3484">
        <v>385.95</v>
      </c>
      <c r="R3484" t="s">
        <v>30</v>
      </c>
      <c r="S3484" t="s">
        <v>31</v>
      </c>
      <c r="T3484" t="s">
        <v>40</v>
      </c>
      <c r="U3484">
        <v>30</v>
      </c>
      <c r="V3484">
        <v>2.8</v>
      </c>
      <c r="W3484">
        <f>Table2[[#This Row],[Quantity]]*Table2[[#This Row],[Item_Price]]</f>
        <v>407</v>
      </c>
    </row>
    <row r="3485" spans="1:23" x14ac:dyDescent="0.25">
      <c r="A3485" t="s">
        <v>3587</v>
      </c>
      <c r="B3485" s="1">
        <v>45912</v>
      </c>
      <c r="C3485" t="s">
        <v>3450</v>
      </c>
      <c r="D3485">
        <v>9</v>
      </c>
      <c r="E3485">
        <v>12</v>
      </c>
      <c r="F3485" t="s">
        <v>114</v>
      </c>
      <c r="G3485" t="s">
        <v>73</v>
      </c>
      <c r="H3485" t="s">
        <v>139</v>
      </c>
      <c r="I3485" t="s">
        <v>103</v>
      </c>
      <c r="J3485" t="s">
        <v>94</v>
      </c>
      <c r="K3485" t="s">
        <v>38</v>
      </c>
      <c r="L3485">
        <v>1</v>
      </c>
      <c r="M3485">
        <v>830</v>
      </c>
      <c r="N3485">
        <v>83</v>
      </c>
      <c r="O3485">
        <v>20</v>
      </c>
      <c r="P3485">
        <v>830</v>
      </c>
      <c r="Q3485">
        <v>767</v>
      </c>
      <c r="R3485" t="s">
        <v>39</v>
      </c>
      <c r="S3485" t="s">
        <v>31</v>
      </c>
      <c r="T3485" t="s">
        <v>32</v>
      </c>
      <c r="U3485">
        <v>65</v>
      </c>
      <c r="V3485">
        <v>2.8</v>
      </c>
      <c r="W3485">
        <f>Table2[[#This Row],[Quantity]]*Table2[[#This Row],[Item_Price]]</f>
        <v>830</v>
      </c>
    </row>
    <row r="3486" spans="1:23" x14ac:dyDescent="0.25">
      <c r="A3486" t="s">
        <v>3588</v>
      </c>
      <c r="B3486" s="1">
        <v>45912</v>
      </c>
      <c r="C3486" t="s">
        <v>3450</v>
      </c>
      <c r="D3486">
        <v>9</v>
      </c>
      <c r="E3486">
        <v>12</v>
      </c>
      <c r="F3486" t="s">
        <v>114</v>
      </c>
      <c r="G3486" t="s">
        <v>25</v>
      </c>
      <c r="H3486" t="s">
        <v>48</v>
      </c>
      <c r="I3486" t="s">
        <v>97</v>
      </c>
      <c r="J3486" t="s">
        <v>82</v>
      </c>
      <c r="K3486" t="s">
        <v>38</v>
      </c>
      <c r="L3486">
        <v>1</v>
      </c>
      <c r="M3486">
        <v>767</v>
      </c>
      <c r="N3486">
        <v>115.05</v>
      </c>
      <c r="O3486">
        <v>40</v>
      </c>
      <c r="P3486">
        <v>767</v>
      </c>
      <c r="Q3486">
        <v>691.95</v>
      </c>
      <c r="R3486" t="s">
        <v>39</v>
      </c>
      <c r="S3486" t="s">
        <v>31</v>
      </c>
      <c r="T3486" t="s">
        <v>40</v>
      </c>
      <c r="U3486">
        <v>46</v>
      </c>
      <c r="V3486">
        <v>4.5</v>
      </c>
      <c r="W3486">
        <f>Table2[[#This Row],[Quantity]]*Table2[[#This Row],[Item_Price]]</f>
        <v>767</v>
      </c>
    </row>
    <row r="3487" spans="1:23" x14ac:dyDescent="0.25">
      <c r="A3487" t="s">
        <v>3589</v>
      </c>
      <c r="B3487" s="1">
        <v>45912</v>
      </c>
      <c r="C3487" t="s">
        <v>3450</v>
      </c>
      <c r="D3487">
        <v>9</v>
      </c>
      <c r="E3487">
        <v>12</v>
      </c>
      <c r="F3487" t="s">
        <v>114</v>
      </c>
      <c r="G3487" t="s">
        <v>80</v>
      </c>
      <c r="H3487" t="s">
        <v>105</v>
      </c>
      <c r="I3487" t="s">
        <v>57</v>
      </c>
      <c r="J3487" t="s">
        <v>37</v>
      </c>
      <c r="K3487" t="s">
        <v>45</v>
      </c>
      <c r="L3487">
        <v>2</v>
      </c>
      <c r="M3487">
        <v>231</v>
      </c>
      <c r="N3487">
        <v>46.2</v>
      </c>
      <c r="O3487">
        <v>40</v>
      </c>
      <c r="P3487">
        <v>462</v>
      </c>
      <c r="Q3487">
        <v>455.8</v>
      </c>
      <c r="R3487" t="s">
        <v>39</v>
      </c>
      <c r="S3487" t="s">
        <v>31</v>
      </c>
      <c r="T3487" t="s">
        <v>40</v>
      </c>
      <c r="U3487">
        <v>62</v>
      </c>
      <c r="V3487">
        <v>3.7</v>
      </c>
      <c r="W3487">
        <f>Table2[[#This Row],[Quantity]]*Table2[[#This Row],[Item_Price]]</f>
        <v>462</v>
      </c>
    </row>
    <row r="3488" spans="1:23" x14ac:dyDescent="0.25">
      <c r="A3488" t="s">
        <v>3590</v>
      </c>
      <c r="B3488" s="1">
        <v>45912</v>
      </c>
      <c r="C3488" t="s">
        <v>3450</v>
      </c>
      <c r="D3488">
        <v>9</v>
      </c>
      <c r="E3488">
        <v>12</v>
      </c>
      <c r="F3488" t="s">
        <v>114</v>
      </c>
      <c r="G3488" t="s">
        <v>84</v>
      </c>
      <c r="H3488" t="s">
        <v>139</v>
      </c>
      <c r="I3488" t="s">
        <v>69</v>
      </c>
      <c r="J3488" t="s">
        <v>78</v>
      </c>
      <c r="K3488" t="s">
        <v>58</v>
      </c>
      <c r="L3488">
        <v>2</v>
      </c>
      <c r="M3488">
        <v>240</v>
      </c>
      <c r="N3488">
        <v>36</v>
      </c>
      <c r="O3488">
        <v>20</v>
      </c>
      <c r="P3488">
        <v>480</v>
      </c>
      <c r="Q3488">
        <v>464</v>
      </c>
      <c r="R3488" t="s">
        <v>112</v>
      </c>
      <c r="S3488" t="s">
        <v>31</v>
      </c>
      <c r="T3488" t="s">
        <v>40</v>
      </c>
      <c r="U3488">
        <v>27</v>
      </c>
      <c r="V3488">
        <v>4</v>
      </c>
      <c r="W3488">
        <f>Table2[[#This Row],[Quantity]]*Table2[[#This Row],[Item_Price]]</f>
        <v>480</v>
      </c>
    </row>
    <row r="3489" spans="1:23" x14ac:dyDescent="0.25">
      <c r="A3489" t="s">
        <v>3591</v>
      </c>
      <c r="B3489" s="1">
        <v>45912</v>
      </c>
      <c r="C3489" t="s">
        <v>3450</v>
      </c>
      <c r="D3489">
        <v>9</v>
      </c>
      <c r="E3489">
        <v>12</v>
      </c>
      <c r="F3489" t="s">
        <v>114</v>
      </c>
      <c r="G3489" t="s">
        <v>80</v>
      </c>
      <c r="H3489" t="s">
        <v>52</v>
      </c>
      <c r="I3489" t="s">
        <v>49</v>
      </c>
      <c r="J3489" t="s">
        <v>66</v>
      </c>
      <c r="K3489" t="s">
        <v>45</v>
      </c>
      <c r="L3489">
        <v>2</v>
      </c>
      <c r="M3489">
        <v>173</v>
      </c>
      <c r="N3489">
        <v>43.25</v>
      </c>
      <c r="O3489">
        <v>30</v>
      </c>
      <c r="P3489">
        <v>346</v>
      </c>
      <c r="Q3489">
        <v>332.75</v>
      </c>
      <c r="R3489" t="s">
        <v>30</v>
      </c>
      <c r="S3489" t="s">
        <v>31</v>
      </c>
      <c r="T3489" t="s">
        <v>40</v>
      </c>
      <c r="U3489">
        <v>32</v>
      </c>
      <c r="V3489">
        <v>3.3</v>
      </c>
      <c r="W3489">
        <f>Table2[[#This Row],[Quantity]]*Table2[[#This Row],[Item_Price]]</f>
        <v>346</v>
      </c>
    </row>
    <row r="3490" spans="1:23" x14ac:dyDescent="0.25">
      <c r="A3490" t="s">
        <v>3592</v>
      </c>
      <c r="B3490" s="1">
        <v>45912</v>
      </c>
      <c r="C3490" t="s">
        <v>3450</v>
      </c>
      <c r="D3490">
        <v>9</v>
      </c>
      <c r="E3490">
        <v>12</v>
      </c>
      <c r="F3490" t="s">
        <v>114</v>
      </c>
      <c r="G3490" t="s">
        <v>84</v>
      </c>
      <c r="H3490" t="s">
        <v>108</v>
      </c>
      <c r="I3490" t="s">
        <v>57</v>
      </c>
      <c r="J3490" t="s">
        <v>74</v>
      </c>
      <c r="K3490" t="s">
        <v>45</v>
      </c>
      <c r="L3490">
        <v>3</v>
      </c>
      <c r="M3490">
        <v>556</v>
      </c>
      <c r="N3490">
        <v>139</v>
      </c>
      <c r="O3490">
        <v>40</v>
      </c>
      <c r="P3490">
        <v>1668</v>
      </c>
      <c r="Q3490">
        <v>1569</v>
      </c>
      <c r="R3490" t="s">
        <v>98</v>
      </c>
      <c r="S3490" t="s">
        <v>110</v>
      </c>
      <c r="T3490" t="s">
        <v>40</v>
      </c>
      <c r="U3490">
        <v>46</v>
      </c>
      <c r="W3490">
        <f>Table2[[#This Row],[Quantity]]*Table2[[#This Row],[Item_Price]]</f>
        <v>1668</v>
      </c>
    </row>
    <row r="3491" spans="1:23" x14ac:dyDescent="0.25">
      <c r="A3491" t="s">
        <v>3593</v>
      </c>
      <c r="B3491" s="1">
        <v>45913</v>
      </c>
      <c r="C3491" t="s">
        <v>3450</v>
      </c>
      <c r="D3491">
        <v>9</v>
      </c>
      <c r="E3491">
        <v>13</v>
      </c>
      <c r="F3491" t="s">
        <v>134</v>
      </c>
      <c r="G3491" t="s">
        <v>64</v>
      </c>
      <c r="H3491" t="s">
        <v>135</v>
      </c>
      <c r="I3491" t="s">
        <v>43</v>
      </c>
      <c r="J3491" t="s">
        <v>78</v>
      </c>
      <c r="K3491" t="s">
        <v>45</v>
      </c>
      <c r="L3491">
        <v>1</v>
      </c>
      <c r="M3491">
        <v>795</v>
      </c>
      <c r="N3491">
        <v>119.25</v>
      </c>
      <c r="O3491">
        <v>20</v>
      </c>
      <c r="P3491">
        <v>795</v>
      </c>
      <c r="Q3491">
        <v>695.75</v>
      </c>
      <c r="R3491" t="s">
        <v>39</v>
      </c>
      <c r="S3491" t="s">
        <v>31</v>
      </c>
      <c r="T3491" t="s">
        <v>32</v>
      </c>
      <c r="U3491">
        <v>42</v>
      </c>
      <c r="V3491">
        <v>3.6</v>
      </c>
      <c r="W3491">
        <f>Table2[[#This Row],[Quantity]]*Table2[[#This Row],[Item_Price]]</f>
        <v>795</v>
      </c>
    </row>
    <row r="3492" spans="1:23" x14ac:dyDescent="0.25">
      <c r="A3492" t="s">
        <v>3594</v>
      </c>
      <c r="B3492" s="1">
        <v>45913</v>
      </c>
      <c r="C3492" t="s">
        <v>3450</v>
      </c>
      <c r="D3492">
        <v>9</v>
      </c>
      <c r="E3492">
        <v>13</v>
      </c>
      <c r="F3492" t="s">
        <v>134</v>
      </c>
      <c r="G3492" t="s">
        <v>90</v>
      </c>
      <c r="H3492" t="s">
        <v>108</v>
      </c>
      <c r="I3492" t="s">
        <v>49</v>
      </c>
      <c r="J3492" t="s">
        <v>78</v>
      </c>
      <c r="K3492" t="s">
        <v>38</v>
      </c>
      <c r="L3492">
        <v>2</v>
      </c>
      <c r="M3492">
        <v>266</v>
      </c>
      <c r="N3492">
        <v>13.3</v>
      </c>
      <c r="O3492">
        <v>20</v>
      </c>
      <c r="P3492">
        <v>532</v>
      </c>
      <c r="Q3492">
        <v>538.70000000000005</v>
      </c>
      <c r="R3492" t="s">
        <v>112</v>
      </c>
      <c r="S3492" t="s">
        <v>31</v>
      </c>
      <c r="T3492" t="s">
        <v>40</v>
      </c>
      <c r="U3492">
        <v>44</v>
      </c>
      <c r="V3492">
        <v>4.2</v>
      </c>
      <c r="W3492">
        <f>Table2[[#This Row],[Quantity]]*Table2[[#This Row],[Item_Price]]</f>
        <v>532</v>
      </c>
    </row>
    <row r="3493" spans="1:23" x14ac:dyDescent="0.25">
      <c r="A3493" t="s">
        <v>3595</v>
      </c>
      <c r="B3493" s="1">
        <v>45913</v>
      </c>
      <c r="C3493" t="s">
        <v>3450</v>
      </c>
      <c r="D3493">
        <v>9</v>
      </c>
      <c r="E3493">
        <v>13</v>
      </c>
      <c r="F3493" t="s">
        <v>134</v>
      </c>
      <c r="G3493" t="s">
        <v>64</v>
      </c>
      <c r="H3493" t="s">
        <v>65</v>
      </c>
      <c r="I3493" t="s">
        <v>49</v>
      </c>
      <c r="J3493" t="s">
        <v>37</v>
      </c>
      <c r="K3493" t="s">
        <v>38</v>
      </c>
      <c r="L3493">
        <v>2</v>
      </c>
      <c r="M3493">
        <v>581</v>
      </c>
      <c r="N3493">
        <v>87.15</v>
      </c>
      <c r="O3493">
        <v>20</v>
      </c>
      <c r="P3493">
        <v>1162</v>
      </c>
      <c r="Q3493">
        <v>1094.8499999999999</v>
      </c>
      <c r="R3493" t="s">
        <v>75</v>
      </c>
      <c r="S3493" t="s">
        <v>31</v>
      </c>
      <c r="T3493" t="s">
        <v>40</v>
      </c>
      <c r="U3493">
        <v>23</v>
      </c>
      <c r="V3493">
        <v>4.5</v>
      </c>
      <c r="W3493">
        <f>Table2[[#This Row],[Quantity]]*Table2[[#This Row],[Item_Price]]</f>
        <v>1162</v>
      </c>
    </row>
    <row r="3494" spans="1:23" x14ac:dyDescent="0.25">
      <c r="A3494" t="s">
        <v>3596</v>
      </c>
      <c r="B3494" s="1">
        <v>45913</v>
      </c>
      <c r="C3494" t="s">
        <v>3450</v>
      </c>
      <c r="D3494">
        <v>9</v>
      </c>
      <c r="E3494">
        <v>13</v>
      </c>
      <c r="F3494" t="s">
        <v>134</v>
      </c>
      <c r="G3494" t="s">
        <v>64</v>
      </c>
      <c r="H3494" t="s">
        <v>56</v>
      </c>
      <c r="I3494" t="s">
        <v>27</v>
      </c>
      <c r="J3494" t="s">
        <v>28</v>
      </c>
      <c r="K3494" t="s">
        <v>38</v>
      </c>
      <c r="L3494">
        <v>1</v>
      </c>
      <c r="M3494">
        <v>136</v>
      </c>
      <c r="N3494">
        <v>6.8</v>
      </c>
      <c r="O3494">
        <v>70</v>
      </c>
      <c r="P3494">
        <v>136</v>
      </c>
      <c r="Q3494">
        <v>199.2</v>
      </c>
      <c r="R3494" t="s">
        <v>39</v>
      </c>
      <c r="S3494" t="s">
        <v>31</v>
      </c>
      <c r="T3494" t="s">
        <v>40</v>
      </c>
      <c r="U3494">
        <v>64</v>
      </c>
      <c r="V3494">
        <v>4.7</v>
      </c>
      <c r="W3494">
        <f>Table2[[#This Row],[Quantity]]*Table2[[#This Row],[Item_Price]]</f>
        <v>136</v>
      </c>
    </row>
    <row r="3495" spans="1:23" x14ac:dyDescent="0.25">
      <c r="A3495" t="s">
        <v>3597</v>
      </c>
      <c r="B3495" s="1">
        <v>45913</v>
      </c>
      <c r="C3495" t="s">
        <v>3450</v>
      </c>
      <c r="D3495">
        <v>9</v>
      </c>
      <c r="E3495">
        <v>13</v>
      </c>
      <c r="F3495" t="s">
        <v>134</v>
      </c>
      <c r="G3495" t="s">
        <v>34</v>
      </c>
      <c r="H3495" t="s">
        <v>42</v>
      </c>
      <c r="I3495" t="s">
        <v>69</v>
      </c>
      <c r="J3495" t="s">
        <v>119</v>
      </c>
      <c r="K3495" t="s">
        <v>38</v>
      </c>
      <c r="L3495">
        <v>1</v>
      </c>
      <c r="M3495">
        <v>768</v>
      </c>
      <c r="N3495">
        <v>0</v>
      </c>
      <c r="O3495">
        <v>40</v>
      </c>
      <c r="P3495">
        <v>768</v>
      </c>
      <c r="Q3495">
        <v>808</v>
      </c>
      <c r="R3495" t="s">
        <v>39</v>
      </c>
      <c r="S3495" t="s">
        <v>31</v>
      </c>
      <c r="T3495" t="s">
        <v>40</v>
      </c>
      <c r="U3495">
        <v>70</v>
      </c>
      <c r="V3495">
        <v>4.7</v>
      </c>
      <c r="W3495">
        <f>Table2[[#This Row],[Quantity]]*Table2[[#This Row],[Item_Price]]</f>
        <v>768</v>
      </c>
    </row>
    <row r="3496" spans="1:23" x14ac:dyDescent="0.25">
      <c r="A3496" t="s">
        <v>3598</v>
      </c>
      <c r="B3496" s="1">
        <v>45913</v>
      </c>
      <c r="C3496" t="s">
        <v>3450</v>
      </c>
      <c r="D3496">
        <v>9</v>
      </c>
      <c r="E3496">
        <v>13</v>
      </c>
      <c r="F3496" t="s">
        <v>134</v>
      </c>
      <c r="G3496" t="s">
        <v>34</v>
      </c>
      <c r="H3496" t="s">
        <v>81</v>
      </c>
      <c r="I3496" t="s">
        <v>43</v>
      </c>
      <c r="J3496" t="s">
        <v>101</v>
      </c>
      <c r="K3496" t="s">
        <v>38</v>
      </c>
      <c r="L3496">
        <v>2</v>
      </c>
      <c r="M3496">
        <v>890</v>
      </c>
      <c r="N3496">
        <v>89</v>
      </c>
      <c r="O3496">
        <v>20</v>
      </c>
      <c r="P3496">
        <v>1780</v>
      </c>
      <c r="Q3496">
        <v>1711</v>
      </c>
      <c r="R3496" t="s">
        <v>39</v>
      </c>
      <c r="S3496" t="s">
        <v>31</v>
      </c>
      <c r="T3496" t="s">
        <v>32</v>
      </c>
      <c r="U3496">
        <v>44</v>
      </c>
      <c r="V3496">
        <v>3.8</v>
      </c>
      <c r="W3496">
        <f>Table2[[#This Row],[Quantity]]*Table2[[#This Row],[Item_Price]]</f>
        <v>1780</v>
      </c>
    </row>
    <row r="3497" spans="1:23" x14ac:dyDescent="0.25">
      <c r="A3497" t="s">
        <v>3599</v>
      </c>
      <c r="B3497" s="1">
        <v>45913</v>
      </c>
      <c r="C3497" t="s">
        <v>3450</v>
      </c>
      <c r="D3497">
        <v>9</v>
      </c>
      <c r="E3497">
        <v>13</v>
      </c>
      <c r="F3497" t="s">
        <v>134</v>
      </c>
      <c r="G3497" t="s">
        <v>64</v>
      </c>
      <c r="H3497" t="s">
        <v>135</v>
      </c>
      <c r="I3497" t="s">
        <v>85</v>
      </c>
      <c r="J3497" t="s">
        <v>94</v>
      </c>
      <c r="K3497" t="s">
        <v>38</v>
      </c>
      <c r="L3497">
        <v>1</v>
      </c>
      <c r="M3497">
        <v>850</v>
      </c>
      <c r="N3497">
        <v>212.5</v>
      </c>
      <c r="O3497">
        <v>40</v>
      </c>
      <c r="P3497">
        <v>850</v>
      </c>
      <c r="Q3497">
        <v>677.5</v>
      </c>
      <c r="R3497" t="s">
        <v>30</v>
      </c>
      <c r="S3497" t="s">
        <v>31</v>
      </c>
      <c r="T3497" t="s">
        <v>40</v>
      </c>
      <c r="U3497">
        <v>62</v>
      </c>
      <c r="V3497">
        <v>3.8</v>
      </c>
      <c r="W3497">
        <f>Table2[[#This Row],[Quantity]]*Table2[[#This Row],[Item_Price]]</f>
        <v>850</v>
      </c>
    </row>
    <row r="3498" spans="1:23" x14ac:dyDescent="0.25">
      <c r="A3498" t="s">
        <v>3600</v>
      </c>
      <c r="B3498" s="1">
        <v>45913</v>
      </c>
      <c r="C3498" t="s">
        <v>3450</v>
      </c>
      <c r="D3498">
        <v>9</v>
      </c>
      <c r="E3498">
        <v>13</v>
      </c>
      <c r="F3498" t="s">
        <v>134</v>
      </c>
      <c r="G3498" t="s">
        <v>64</v>
      </c>
      <c r="H3498" t="s">
        <v>42</v>
      </c>
      <c r="I3498" t="s">
        <v>27</v>
      </c>
      <c r="J3498" t="s">
        <v>82</v>
      </c>
      <c r="K3498" t="s">
        <v>38</v>
      </c>
      <c r="L3498">
        <v>1</v>
      </c>
      <c r="M3498">
        <v>710</v>
      </c>
      <c r="N3498">
        <v>71</v>
      </c>
      <c r="O3498">
        <v>30</v>
      </c>
      <c r="P3498">
        <v>710</v>
      </c>
      <c r="Q3498">
        <v>669</v>
      </c>
      <c r="R3498" t="s">
        <v>75</v>
      </c>
      <c r="S3498" t="s">
        <v>46</v>
      </c>
      <c r="T3498" t="s">
        <v>32</v>
      </c>
      <c r="U3498">
        <v>39</v>
      </c>
      <c r="W3498">
        <f>Table2[[#This Row],[Quantity]]*Table2[[#This Row],[Item_Price]]</f>
        <v>710</v>
      </c>
    </row>
    <row r="3499" spans="1:23" x14ac:dyDescent="0.25">
      <c r="A3499" t="s">
        <v>3601</v>
      </c>
      <c r="B3499" s="1">
        <v>45913</v>
      </c>
      <c r="C3499" t="s">
        <v>3450</v>
      </c>
      <c r="D3499">
        <v>9</v>
      </c>
      <c r="E3499">
        <v>13</v>
      </c>
      <c r="F3499" t="s">
        <v>134</v>
      </c>
      <c r="G3499" t="s">
        <v>115</v>
      </c>
      <c r="H3499" t="s">
        <v>52</v>
      </c>
      <c r="I3499" t="s">
        <v>69</v>
      </c>
      <c r="J3499" t="s">
        <v>70</v>
      </c>
      <c r="K3499" t="s">
        <v>38</v>
      </c>
      <c r="L3499">
        <v>1</v>
      </c>
      <c r="M3499">
        <v>245</v>
      </c>
      <c r="N3499">
        <v>49</v>
      </c>
      <c r="O3499">
        <v>50</v>
      </c>
      <c r="P3499">
        <v>245</v>
      </c>
      <c r="Q3499">
        <v>246</v>
      </c>
      <c r="R3499" t="s">
        <v>75</v>
      </c>
      <c r="S3499" t="s">
        <v>31</v>
      </c>
      <c r="T3499" t="s">
        <v>40</v>
      </c>
      <c r="U3499">
        <v>37</v>
      </c>
      <c r="V3499">
        <v>3.7</v>
      </c>
      <c r="W3499">
        <f>Table2[[#This Row],[Quantity]]*Table2[[#This Row],[Item_Price]]</f>
        <v>245</v>
      </c>
    </row>
    <row r="3500" spans="1:23" x14ac:dyDescent="0.25">
      <c r="A3500" t="s">
        <v>3602</v>
      </c>
      <c r="B3500" s="1">
        <v>45913</v>
      </c>
      <c r="C3500" t="s">
        <v>3450</v>
      </c>
      <c r="D3500">
        <v>9</v>
      </c>
      <c r="E3500">
        <v>13</v>
      </c>
      <c r="F3500" t="s">
        <v>134</v>
      </c>
      <c r="G3500" t="s">
        <v>34</v>
      </c>
      <c r="H3500" t="s">
        <v>56</v>
      </c>
      <c r="I3500" t="s">
        <v>57</v>
      </c>
      <c r="J3500" t="s">
        <v>44</v>
      </c>
      <c r="K3500" t="s">
        <v>38</v>
      </c>
      <c r="L3500">
        <v>3</v>
      </c>
      <c r="M3500">
        <v>211</v>
      </c>
      <c r="N3500">
        <v>0</v>
      </c>
      <c r="O3500">
        <v>30</v>
      </c>
      <c r="P3500">
        <v>633</v>
      </c>
      <c r="Q3500">
        <v>663</v>
      </c>
      <c r="R3500" t="s">
        <v>39</v>
      </c>
      <c r="S3500" t="s">
        <v>46</v>
      </c>
      <c r="T3500" t="s">
        <v>40</v>
      </c>
      <c r="U3500">
        <v>62</v>
      </c>
      <c r="W3500">
        <f>Table2[[#This Row],[Quantity]]*Table2[[#This Row],[Item_Price]]</f>
        <v>633</v>
      </c>
    </row>
    <row r="3501" spans="1:23" x14ac:dyDescent="0.25">
      <c r="A3501" t="s">
        <v>3603</v>
      </c>
      <c r="B3501" s="1">
        <v>45913</v>
      </c>
      <c r="C3501" t="s">
        <v>3450</v>
      </c>
      <c r="D3501">
        <v>9</v>
      </c>
      <c r="E3501">
        <v>13</v>
      </c>
      <c r="F3501" t="s">
        <v>134</v>
      </c>
      <c r="G3501" t="s">
        <v>64</v>
      </c>
      <c r="H3501" t="s">
        <v>68</v>
      </c>
      <c r="I3501" t="s">
        <v>103</v>
      </c>
      <c r="J3501" t="s">
        <v>94</v>
      </c>
      <c r="K3501" t="s">
        <v>45</v>
      </c>
      <c r="L3501">
        <v>1</v>
      </c>
      <c r="M3501">
        <v>124</v>
      </c>
      <c r="N3501">
        <v>12.4</v>
      </c>
      <c r="O3501">
        <v>30</v>
      </c>
      <c r="P3501">
        <v>124</v>
      </c>
      <c r="Q3501">
        <v>141.6</v>
      </c>
      <c r="R3501" t="s">
        <v>30</v>
      </c>
      <c r="S3501" t="s">
        <v>31</v>
      </c>
      <c r="T3501" t="s">
        <v>40</v>
      </c>
      <c r="U3501">
        <v>30</v>
      </c>
      <c r="V3501">
        <v>4.3</v>
      </c>
      <c r="W3501">
        <f>Table2[[#This Row],[Quantity]]*Table2[[#This Row],[Item_Price]]</f>
        <v>124</v>
      </c>
    </row>
    <row r="3502" spans="1:23" x14ac:dyDescent="0.25">
      <c r="A3502" t="s">
        <v>3604</v>
      </c>
      <c r="B3502" s="1">
        <v>45913</v>
      </c>
      <c r="C3502" t="s">
        <v>3450</v>
      </c>
      <c r="D3502">
        <v>9</v>
      </c>
      <c r="E3502">
        <v>13</v>
      </c>
      <c r="F3502" t="s">
        <v>134</v>
      </c>
      <c r="G3502" t="s">
        <v>115</v>
      </c>
      <c r="H3502" t="s">
        <v>108</v>
      </c>
      <c r="I3502" t="s">
        <v>43</v>
      </c>
      <c r="J3502" t="s">
        <v>78</v>
      </c>
      <c r="K3502" t="s">
        <v>38</v>
      </c>
      <c r="L3502">
        <v>2</v>
      </c>
      <c r="M3502">
        <v>301</v>
      </c>
      <c r="N3502">
        <v>30.1</v>
      </c>
      <c r="O3502">
        <v>30</v>
      </c>
      <c r="P3502">
        <v>602</v>
      </c>
      <c r="Q3502">
        <v>601.9</v>
      </c>
      <c r="R3502" t="s">
        <v>39</v>
      </c>
      <c r="S3502" t="s">
        <v>31</v>
      </c>
      <c r="T3502" t="s">
        <v>40</v>
      </c>
      <c r="U3502">
        <v>38</v>
      </c>
      <c r="V3502">
        <v>3.8</v>
      </c>
      <c r="W3502">
        <f>Table2[[#This Row],[Quantity]]*Table2[[#This Row],[Item_Price]]</f>
        <v>602</v>
      </c>
    </row>
    <row r="3503" spans="1:23" x14ac:dyDescent="0.25">
      <c r="A3503" t="s">
        <v>3605</v>
      </c>
      <c r="B3503" s="1">
        <v>45913</v>
      </c>
      <c r="C3503" t="s">
        <v>3450</v>
      </c>
      <c r="D3503">
        <v>9</v>
      </c>
      <c r="E3503">
        <v>13</v>
      </c>
      <c r="F3503" t="s">
        <v>134</v>
      </c>
      <c r="G3503" t="s">
        <v>34</v>
      </c>
      <c r="H3503" t="s">
        <v>60</v>
      </c>
      <c r="I3503" t="s">
        <v>69</v>
      </c>
      <c r="J3503" t="s">
        <v>44</v>
      </c>
      <c r="K3503" t="s">
        <v>38</v>
      </c>
      <c r="L3503">
        <v>1</v>
      </c>
      <c r="M3503">
        <v>382</v>
      </c>
      <c r="N3503">
        <v>76.400000000000006</v>
      </c>
      <c r="O3503">
        <v>30</v>
      </c>
      <c r="P3503">
        <v>382</v>
      </c>
      <c r="Q3503">
        <v>335.6</v>
      </c>
      <c r="R3503" t="s">
        <v>112</v>
      </c>
      <c r="S3503" t="s">
        <v>31</v>
      </c>
      <c r="T3503" t="s">
        <v>40</v>
      </c>
      <c r="U3503">
        <v>21</v>
      </c>
      <c r="V3503">
        <v>3.6</v>
      </c>
      <c r="W3503">
        <f>Table2[[#This Row],[Quantity]]*Table2[[#This Row],[Item_Price]]</f>
        <v>382</v>
      </c>
    </row>
    <row r="3504" spans="1:23" x14ac:dyDescent="0.25">
      <c r="A3504" t="s">
        <v>3606</v>
      </c>
      <c r="B3504" s="1">
        <v>45913</v>
      </c>
      <c r="C3504" t="s">
        <v>3450</v>
      </c>
      <c r="D3504">
        <v>9</v>
      </c>
      <c r="E3504">
        <v>13</v>
      </c>
      <c r="F3504" t="s">
        <v>134</v>
      </c>
      <c r="G3504" t="s">
        <v>64</v>
      </c>
      <c r="H3504" t="s">
        <v>108</v>
      </c>
      <c r="I3504" t="s">
        <v>57</v>
      </c>
      <c r="J3504" t="s">
        <v>74</v>
      </c>
      <c r="K3504" t="s">
        <v>38</v>
      </c>
      <c r="L3504">
        <v>2</v>
      </c>
      <c r="M3504">
        <v>423</v>
      </c>
      <c r="N3504">
        <v>63.45</v>
      </c>
      <c r="O3504">
        <v>60</v>
      </c>
      <c r="P3504">
        <v>846</v>
      </c>
      <c r="Q3504">
        <v>842.55</v>
      </c>
      <c r="R3504" t="s">
        <v>39</v>
      </c>
      <c r="S3504" t="s">
        <v>31</v>
      </c>
      <c r="T3504" t="s">
        <v>40</v>
      </c>
      <c r="U3504">
        <v>59</v>
      </c>
      <c r="V3504">
        <v>4.2</v>
      </c>
      <c r="W3504">
        <f>Table2[[#This Row],[Quantity]]*Table2[[#This Row],[Item_Price]]</f>
        <v>846</v>
      </c>
    </row>
    <row r="3505" spans="1:23" x14ac:dyDescent="0.25">
      <c r="A3505" t="s">
        <v>3607</v>
      </c>
      <c r="B3505" s="1">
        <v>45913</v>
      </c>
      <c r="C3505" t="s">
        <v>3450</v>
      </c>
      <c r="D3505">
        <v>9</v>
      </c>
      <c r="E3505">
        <v>13</v>
      </c>
      <c r="F3505" t="s">
        <v>134</v>
      </c>
      <c r="G3505" t="s">
        <v>73</v>
      </c>
      <c r="H3505" t="s">
        <v>65</v>
      </c>
      <c r="I3505" t="s">
        <v>57</v>
      </c>
      <c r="J3505" t="s">
        <v>119</v>
      </c>
      <c r="K3505" t="s">
        <v>45</v>
      </c>
      <c r="L3505">
        <v>1</v>
      </c>
      <c r="M3505">
        <v>220</v>
      </c>
      <c r="N3505">
        <v>22</v>
      </c>
      <c r="O3505">
        <v>70</v>
      </c>
      <c r="P3505">
        <v>220</v>
      </c>
      <c r="Q3505">
        <v>268</v>
      </c>
      <c r="R3505" t="s">
        <v>39</v>
      </c>
      <c r="S3505" t="s">
        <v>91</v>
      </c>
      <c r="T3505" t="s">
        <v>40</v>
      </c>
      <c r="U3505">
        <v>39</v>
      </c>
      <c r="W3505">
        <f>Table2[[#This Row],[Quantity]]*Table2[[#This Row],[Item_Price]]</f>
        <v>220</v>
      </c>
    </row>
    <row r="3506" spans="1:23" x14ac:dyDescent="0.25">
      <c r="A3506" t="s">
        <v>3608</v>
      </c>
      <c r="B3506" s="1">
        <v>45914</v>
      </c>
      <c r="C3506" t="s">
        <v>3450</v>
      </c>
      <c r="D3506">
        <v>9</v>
      </c>
      <c r="E3506">
        <v>14</v>
      </c>
      <c r="F3506" t="s">
        <v>149</v>
      </c>
      <c r="G3506" t="s">
        <v>84</v>
      </c>
      <c r="H3506" t="s">
        <v>108</v>
      </c>
      <c r="I3506" t="s">
        <v>97</v>
      </c>
      <c r="J3506" t="s">
        <v>50</v>
      </c>
      <c r="K3506" t="s">
        <v>29</v>
      </c>
      <c r="L3506">
        <v>2</v>
      </c>
      <c r="M3506">
        <v>661</v>
      </c>
      <c r="N3506">
        <v>99.15</v>
      </c>
      <c r="O3506">
        <v>30</v>
      </c>
      <c r="P3506">
        <v>1322</v>
      </c>
      <c r="Q3506">
        <v>1252.8499999999999</v>
      </c>
      <c r="R3506" t="s">
        <v>112</v>
      </c>
      <c r="S3506" t="s">
        <v>31</v>
      </c>
      <c r="T3506" t="s">
        <v>40</v>
      </c>
      <c r="U3506">
        <v>35</v>
      </c>
      <c r="V3506">
        <v>4.3</v>
      </c>
      <c r="W3506">
        <f>Table2[[#This Row],[Quantity]]*Table2[[#This Row],[Item_Price]]</f>
        <v>1322</v>
      </c>
    </row>
    <row r="3507" spans="1:23" x14ac:dyDescent="0.25">
      <c r="A3507" t="s">
        <v>3609</v>
      </c>
      <c r="B3507" s="1">
        <v>45914</v>
      </c>
      <c r="C3507" t="s">
        <v>3450</v>
      </c>
      <c r="D3507">
        <v>9</v>
      </c>
      <c r="E3507">
        <v>14</v>
      </c>
      <c r="F3507" t="s">
        <v>149</v>
      </c>
      <c r="G3507" t="s">
        <v>115</v>
      </c>
      <c r="H3507" t="s">
        <v>42</v>
      </c>
      <c r="I3507" t="s">
        <v>61</v>
      </c>
      <c r="J3507" t="s">
        <v>74</v>
      </c>
      <c r="K3507" t="s">
        <v>45</v>
      </c>
      <c r="L3507">
        <v>2</v>
      </c>
      <c r="M3507">
        <v>838</v>
      </c>
      <c r="N3507">
        <v>167.6</v>
      </c>
      <c r="O3507">
        <v>30</v>
      </c>
      <c r="P3507">
        <v>1676</v>
      </c>
      <c r="Q3507">
        <v>1538.4</v>
      </c>
      <c r="R3507" t="s">
        <v>75</v>
      </c>
      <c r="S3507" t="s">
        <v>31</v>
      </c>
      <c r="T3507" t="s">
        <v>40</v>
      </c>
      <c r="U3507">
        <v>68</v>
      </c>
      <c r="V3507">
        <v>3.8</v>
      </c>
      <c r="W3507">
        <f>Table2[[#This Row],[Quantity]]*Table2[[#This Row],[Item_Price]]</f>
        <v>1676</v>
      </c>
    </row>
    <row r="3508" spans="1:23" x14ac:dyDescent="0.25">
      <c r="A3508" t="s">
        <v>3610</v>
      </c>
      <c r="B3508" s="1">
        <v>45914</v>
      </c>
      <c r="C3508" t="s">
        <v>3450</v>
      </c>
      <c r="D3508">
        <v>9</v>
      </c>
      <c r="E3508">
        <v>14</v>
      </c>
      <c r="F3508" t="s">
        <v>149</v>
      </c>
      <c r="G3508" t="s">
        <v>80</v>
      </c>
      <c r="H3508" t="s">
        <v>135</v>
      </c>
      <c r="I3508" t="s">
        <v>103</v>
      </c>
      <c r="J3508" t="s">
        <v>50</v>
      </c>
      <c r="K3508" t="s">
        <v>38</v>
      </c>
      <c r="L3508">
        <v>3</v>
      </c>
      <c r="M3508">
        <v>472</v>
      </c>
      <c r="N3508">
        <v>94.4</v>
      </c>
      <c r="O3508">
        <v>20</v>
      </c>
      <c r="P3508">
        <v>1416</v>
      </c>
      <c r="Q3508">
        <v>1341.6</v>
      </c>
      <c r="R3508" t="s">
        <v>39</v>
      </c>
      <c r="S3508" t="s">
        <v>31</v>
      </c>
      <c r="T3508" t="s">
        <v>40</v>
      </c>
      <c r="U3508">
        <v>37</v>
      </c>
      <c r="V3508">
        <v>3.9</v>
      </c>
      <c r="W3508">
        <f>Table2[[#This Row],[Quantity]]*Table2[[#This Row],[Item_Price]]</f>
        <v>1416</v>
      </c>
    </row>
    <row r="3509" spans="1:23" x14ac:dyDescent="0.25">
      <c r="A3509" t="s">
        <v>3611</v>
      </c>
      <c r="B3509" s="1">
        <v>45914</v>
      </c>
      <c r="C3509" t="s">
        <v>3450</v>
      </c>
      <c r="D3509">
        <v>9</v>
      </c>
      <c r="E3509">
        <v>14</v>
      </c>
      <c r="F3509" t="s">
        <v>149</v>
      </c>
      <c r="G3509" t="s">
        <v>80</v>
      </c>
      <c r="H3509" t="s">
        <v>105</v>
      </c>
      <c r="I3509" t="s">
        <v>97</v>
      </c>
      <c r="J3509" t="s">
        <v>62</v>
      </c>
      <c r="K3509" t="s">
        <v>45</v>
      </c>
      <c r="L3509">
        <v>2</v>
      </c>
      <c r="M3509">
        <v>760</v>
      </c>
      <c r="N3509">
        <v>114</v>
      </c>
      <c r="O3509">
        <v>50</v>
      </c>
      <c r="P3509">
        <v>1520</v>
      </c>
      <c r="Q3509">
        <v>1456</v>
      </c>
      <c r="R3509" t="s">
        <v>98</v>
      </c>
      <c r="S3509" t="s">
        <v>31</v>
      </c>
      <c r="T3509" t="s">
        <v>40</v>
      </c>
      <c r="U3509">
        <v>25</v>
      </c>
      <c r="V3509">
        <v>4</v>
      </c>
      <c r="W3509">
        <f>Table2[[#This Row],[Quantity]]*Table2[[#This Row],[Item_Price]]</f>
        <v>1520</v>
      </c>
    </row>
    <row r="3510" spans="1:23" x14ac:dyDescent="0.25">
      <c r="A3510" t="s">
        <v>3612</v>
      </c>
      <c r="B3510" s="1">
        <v>45914</v>
      </c>
      <c r="C3510" t="s">
        <v>3450</v>
      </c>
      <c r="D3510">
        <v>9</v>
      </c>
      <c r="E3510">
        <v>14</v>
      </c>
      <c r="F3510" t="s">
        <v>149</v>
      </c>
      <c r="G3510" t="s">
        <v>80</v>
      </c>
      <c r="H3510" t="s">
        <v>48</v>
      </c>
      <c r="I3510" t="s">
        <v>69</v>
      </c>
      <c r="J3510" t="s">
        <v>74</v>
      </c>
      <c r="K3510" t="s">
        <v>45</v>
      </c>
      <c r="L3510">
        <v>2</v>
      </c>
      <c r="M3510">
        <v>374</v>
      </c>
      <c r="N3510">
        <v>74.8</v>
      </c>
      <c r="O3510">
        <v>50</v>
      </c>
      <c r="P3510">
        <v>748</v>
      </c>
      <c r="Q3510">
        <v>723.2</v>
      </c>
      <c r="R3510" t="s">
        <v>39</v>
      </c>
      <c r="S3510" t="s">
        <v>31</v>
      </c>
      <c r="T3510" t="s">
        <v>32</v>
      </c>
      <c r="U3510">
        <v>25</v>
      </c>
      <c r="V3510">
        <v>4.5999999999999996</v>
      </c>
      <c r="W3510">
        <f>Table2[[#This Row],[Quantity]]*Table2[[#This Row],[Item_Price]]</f>
        <v>748</v>
      </c>
    </row>
    <row r="3511" spans="1:23" x14ac:dyDescent="0.25">
      <c r="A3511" t="s">
        <v>3613</v>
      </c>
      <c r="B3511" s="1">
        <v>45914</v>
      </c>
      <c r="C3511" t="s">
        <v>3450</v>
      </c>
      <c r="D3511">
        <v>9</v>
      </c>
      <c r="E3511">
        <v>14</v>
      </c>
      <c r="F3511" t="s">
        <v>149</v>
      </c>
      <c r="G3511" t="s">
        <v>115</v>
      </c>
      <c r="H3511" t="s">
        <v>77</v>
      </c>
      <c r="I3511" t="s">
        <v>69</v>
      </c>
      <c r="J3511" t="s">
        <v>62</v>
      </c>
      <c r="K3511" t="s">
        <v>38</v>
      </c>
      <c r="L3511">
        <v>2</v>
      </c>
      <c r="M3511">
        <v>442</v>
      </c>
      <c r="N3511">
        <v>110.5</v>
      </c>
      <c r="O3511">
        <v>60</v>
      </c>
      <c r="P3511">
        <v>884</v>
      </c>
      <c r="Q3511">
        <v>833.5</v>
      </c>
      <c r="R3511" t="s">
        <v>39</v>
      </c>
      <c r="S3511" t="s">
        <v>31</v>
      </c>
      <c r="T3511" t="s">
        <v>40</v>
      </c>
      <c r="U3511">
        <v>69</v>
      </c>
      <c r="V3511">
        <v>4.8</v>
      </c>
      <c r="W3511">
        <f>Table2[[#This Row],[Quantity]]*Table2[[#This Row],[Item_Price]]</f>
        <v>884</v>
      </c>
    </row>
    <row r="3512" spans="1:23" x14ac:dyDescent="0.25">
      <c r="A3512" t="s">
        <v>3614</v>
      </c>
      <c r="B3512" s="1">
        <v>45914</v>
      </c>
      <c r="C3512" t="s">
        <v>3450</v>
      </c>
      <c r="D3512">
        <v>9</v>
      </c>
      <c r="E3512">
        <v>14</v>
      </c>
      <c r="F3512" t="s">
        <v>149</v>
      </c>
      <c r="G3512" t="s">
        <v>96</v>
      </c>
      <c r="H3512" t="s">
        <v>56</v>
      </c>
      <c r="I3512" t="s">
        <v>57</v>
      </c>
      <c r="J3512" t="s">
        <v>123</v>
      </c>
      <c r="K3512" t="s">
        <v>38</v>
      </c>
      <c r="L3512">
        <v>3</v>
      </c>
      <c r="M3512">
        <v>783</v>
      </c>
      <c r="N3512">
        <v>156.6</v>
      </c>
      <c r="O3512">
        <v>30</v>
      </c>
      <c r="P3512">
        <v>2349</v>
      </c>
      <c r="Q3512">
        <v>2222.4</v>
      </c>
      <c r="R3512" t="s">
        <v>39</v>
      </c>
      <c r="S3512" t="s">
        <v>91</v>
      </c>
      <c r="T3512" t="s">
        <v>40</v>
      </c>
      <c r="U3512">
        <v>57</v>
      </c>
      <c r="W3512">
        <f>Table2[[#This Row],[Quantity]]*Table2[[#This Row],[Item_Price]]</f>
        <v>2349</v>
      </c>
    </row>
    <row r="3513" spans="1:23" x14ac:dyDescent="0.25">
      <c r="A3513" t="s">
        <v>3615</v>
      </c>
      <c r="B3513" s="1">
        <v>45914</v>
      </c>
      <c r="C3513" t="s">
        <v>3450</v>
      </c>
      <c r="D3513">
        <v>9</v>
      </c>
      <c r="E3513">
        <v>14</v>
      </c>
      <c r="F3513" t="s">
        <v>149</v>
      </c>
      <c r="G3513" t="s">
        <v>25</v>
      </c>
      <c r="H3513" t="s">
        <v>77</v>
      </c>
      <c r="I3513" t="s">
        <v>97</v>
      </c>
      <c r="J3513" t="s">
        <v>44</v>
      </c>
      <c r="K3513" t="s">
        <v>38</v>
      </c>
      <c r="L3513">
        <v>2</v>
      </c>
      <c r="M3513">
        <v>525</v>
      </c>
      <c r="N3513">
        <v>78.75</v>
      </c>
      <c r="O3513">
        <v>60</v>
      </c>
      <c r="P3513">
        <v>1050</v>
      </c>
      <c r="Q3513">
        <v>1031.25</v>
      </c>
      <c r="R3513" t="s">
        <v>39</v>
      </c>
      <c r="S3513" t="s">
        <v>31</v>
      </c>
      <c r="T3513" t="s">
        <v>40</v>
      </c>
      <c r="U3513">
        <v>40</v>
      </c>
      <c r="V3513">
        <v>4.4000000000000004</v>
      </c>
      <c r="W3513">
        <f>Table2[[#This Row],[Quantity]]*Table2[[#This Row],[Item_Price]]</f>
        <v>1050</v>
      </c>
    </row>
    <row r="3514" spans="1:23" x14ac:dyDescent="0.25">
      <c r="A3514" t="s">
        <v>3616</v>
      </c>
      <c r="B3514" s="1">
        <v>45914</v>
      </c>
      <c r="C3514" t="s">
        <v>3450</v>
      </c>
      <c r="D3514">
        <v>9</v>
      </c>
      <c r="E3514">
        <v>14</v>
      </c>
      <c r="F3514" t="s">
        <v>149</v>
      </c>
      <c r="G3514" t="s">
        <v>73</v>
      </c>
      <c r="H3514" t="s">
        <v>139</v>
      </c>
      <c r="I3514" t="s">
        <v>36</v>
      </c>
      <c r="J3514" t="s">
        <v>119</v>
      </c>
      <c r="K3514" t="s">
        <v>38</v>
      </c>
      <c r="L3514">
        <v>1</v>
      </c>
      <c r="M3514">
        <v>460</v>
      </c>
      <c r="N3514">
        <v>23</v>
      </c>
      <c r="O3514">
        <v>50</v>
      </c>
      <c r="P3514">
        <v>460</v>
      </c>
      <c r="Q3514">
        <v>487</v>
      </c>
      <c r="R3514" t="s">
        <v>75</v>
      </c>
      <c r="S3514" t="s">
        <v>31</v>
      </c>
      <c r="T3514" t="s">
        <v>40</v>
      </c>
      <c r="U3514">
        <v>45</v>
      </c>
      <c r="V3514">
        <v>3.3</v>
      </c>
      <c r="W3514">
        <f>Table2[[#This Row],[Quantity]]*Table2[[#This Row],[Item_Price]]</f>
        <v>460</v>
      </c>
    </row>
    <row r="3515" spans="1:23" x14ac:dyDescent="0.25">
      <c r="A3515" t="s">
        <v>3617</v>
      </c>
      <c r="B3515" s="1">
        <v>45914</v>
      </c>
      <c r="C3515" t="s">
        <v>3450</v>
      </c>
      <c r="D3515">
        <v>9</v>
      </c>
      <c r="E3515">
        <v>14</v>
      </c>
      <c r="F3515" t="s">
        <v>149</v>
      </c>
      <c r="G3515" t="s">
        <v>25</v>
      </c>
      <c r="H3515" t="s">
        <v>105</v>
      </c>
      <c r="I3515" t="s">
        <v>85</v>
      </c>
      <c r="J3515" t="s">
        <v>66</v>
      </c>
      <c r="K3515" t="s">
        <v>58</v>
      </c>
      <c r="L3515">
        <v>2</v>
      </c>
      <c r="M3515">
        <v>205</v>
      </c>
      <c r="N3515">
        <v>10.25</v>
      </c>
      <c r="O3515">
        <v>0</v>
      </c>
      <c r="P3515">
        <v>410</v>
      </c>
      <c r="Q3515">
        <v>399.75</v>
      </c>
      <c r="R3515" t="s">
        <v>98</v>
      </c>
      <c r="S3515" t="s">
        <v>31</v>
      </c>
      <c r="T3515" t="s">
        <v>32</v>
      </c>
      <c r="U3515">
        <v>37</v>
      </c>
      <c r="V3515">
        <v>4.5999999999999996</v>
      </c>
      <c r="W3515">
        <f>Table2[[#This Row],[Quantity]]*Table2[[#This Row],[Item_Price]]</f>
        <v>410</v>
      </c>
    </row>
    <row r="3516" spans="1:23" x14ac:dyDescent="0.25">
      <c r="A3516" t="s">
        <v>3618</v>
      </c>
      <c r="B3516" s="1">
        <v>45914</v>
      </c>
      <c r="C3516" t="s">
        <v>3450</v>
      </c>
      <c r="D3516">
        <v>9</v>
      </c>
      <c r="E3516">
        <v>14</v>
      </c>
      <c r="F3516" t="s">
        <v>149</v>
      </c>
      <c r="G3516" t="s">
        <v>73</v>
      </c>
      <c r="H3516" t="s">
        <v>77</v>
      </c>
      <c r="I3516" t="s">
        <v>57</v>
      </c>
      <c r="J3516" t="s">
        <v>66</v>
      </c>
      <c r="K3516" t="s">
        <v>38</v>
      </c>
      <c r="L3516">
        <v>3</v>
      </c>
      <c r="M3516">
        <v>718</v>
      </c>
      <c r="N3516">
        <v>107.7</v>
      </c>
      <c r="O3516">
        <v>30</v>
      </c>
      <c r="P3516">
        <v>2154</v>
      </c>
      <c r="Q3516">
        <v>2076.3000000000002</v>
      </c>
      <c r="R3516" t="s">
        <v>39</v>
      </c>
      <c r="S3516" t="s">
        <v>31</v>
      </c>
      <c r="T3516" t="s">
        <v>40</v>
      </c>
      <c r="U3516">
        <v>24</v>
      </c>
      <c r="V3516">
        <v>4.5999999999999996</v>
      </c>
      <c r="W3516">
        <f>Table2[[#This Row],[Quantity]]*Table2[[#This Row],[Item_Price]]</f>
        <v>2154</v>
      </c>
    </row>
    <row r="3517" spans="1:23" x14ac:dyDescent="0.25">
      <c r="A3517" t="s">
        <v>3619</v>
      </c>
      <c r="B3517" s="1">
        <v>45914</v>
      </c>
      <c r="C3517" t="s">
        <v>3450</v>
      </c>
      <c r="D3517">
        <v>9</v>
      </c>
      <c r="E3517">
        <v>14</v>
      </c>
      <c r="F3517" t="s">
        <v>149</v>
      </c>
      <c r="G3517" t="s">
        <v>55</v>
      </c>
      <c r="H3517" t="s">
        <v>52</v>
      </c>
      <c r="I3517" t="s">
        <v>43</v>
      </c>
      <c r="J3517" t="s">
        <v>78</v>
      </c>
      <c r="K3517" t="s">
        <v>38</v>
      </c>
      <c r="L3517">
        <v>1</v>
      </c>
      <c r="M3517">
        <v>385</v>
      </c>
      <c r="N3517">
        <v>77</v>
      </c>
      <c r="O3517">
        <v>70</v>
      </c>
      <c r="P3517">
        <v>385</v>
      </c>
      <c r="Q3517">
        <v>378</v>
      </c>
      <c r="R3517" t="s">
        <v>39</v>
      </c>
      <c r="S3517" t="s">
        <v>31</v>
      </c>
      <c r="T3517" t="s">
        <v>40</v>
      </c>
      <c r="U3517">
        <v>63</v>
      </c>
      <c r="V3517">
        <v>4.8</v>
      </c>
      <c r="W3517">
        <f>Table2[[#This Row],[Quantity]]*Table2[[#This Row],[Item_Price]]</f>
        <v>385</v>
      </c>
    </row>
    <row r="3518" spans="1:23" x14ac:dyDescent="0.25">
      <c r="A3518" t="s">
        <v>3620</v>
      </c>
      <c r="B3518" s="1">
        <v>45915</v>
      </c>
      <c r="C3518" t="s">
        <v>3450</v>
      </c>
      <c r="D3518">
        <v>9</v>
      </c>
      <c r="E3518">
        <v>15</v>
      </c>
      <c r="F3518" t="s">
        <v>168</v>
      </c>
      <c r="G3518" t="s">
        <v>34</v>
      </c>
      <c r="H3518" t="s">
        <v>139</v>
      </c>
      <c r="I3518" t="s">
        <v>69</v>
      </c>
      <c r="J3518" t="s">
        <v>94</v>
      </c>
      <c r="K3518" t="s">
        <v>45</v>
      </c>
      <c r="L3518">
        <v>2</v>
      </c>
      <c r="M3518">
        <v>886</v>
      </c>
      <c r="N3518">
        <v>132.9</v>
      </c>
      <c r="O3518">
        <v>0</v>
      </c>
      <c r="P3518">
        <v>1772</v>
      </c>
      <c r="Q3518">
        <v>1639.1</v>
      </c>
      <c r="R3518" t="s">
        <v>39</v>
      </c>
      <c r="S3518" t="s">
        <v>31</v>
      </c>
      <c r="T3518" t="s">
        <v>40</v>
      </c>
      <c r="U3518">
        <v>22</v>
      </c>
      <c r="V3518">
        <v>3.8</v>
      </c>
      <c r="W3518">
        <f>Table2[[#This Row],[Quantity]]*Table2[[#This Row],[Item_Price]]</f>
        <v>1772</v>
      </c>
    </row>
    <row r="3519" spans="1:23" x14ac:dyDescent="0.25">
      <c r="A3519" t="s">
        <v>3621</v>
      </c>
      <c r="B3519" s="1">
        <v>45915</v>
      </c>
      <c r="C3519" t="s">
        <v>3450</v>
      </c>
      <c r="D3519">
        <v>9</v>
      </c>
      <c r="E3519">
        <v>15</v>
      </c>
      <c r="F3519" t="s">
        <v>168</v>
      </c>
      <c r="G3519" t="s">
        <v>96</v>
      </c>
      <c r="H3519" t="s">
        <v>135</v>
      </c>
      <c r="I3519" t="s">
        <v>85</v>
      </c>
      <c r="J3519" t="s">
        <v>74</v>
      </c>
      <c r="K3519" t="s">
        <v>38</v>
      </c>
      <c r="L3519">
        <v>1</v>
      </c>
      <c r="M3519">
        <v>461</v>
      </c>
      <c r="N3519">
        <v>46.1</v>
      </c>
      <c r="O3519">
        <v>50</v>
      </c>
      <c r="P3519">
        <v>461</v>
      </c>
      <c r="Q3519">
        <v>464.9</v>
      </c>
      <c r="R3519" t="s">
        <v>39</v>
      </c>
      <c r="S3519" t="s">
        <v>46</v>
      </c>
      <c r="T3519" t="s">
        <v>40</v>
      </c>
      <c r="U3519">
        <v>21</v>
      </c>
      <c r="W3519">
        <f>Table2[[#This Row],[Quantity]]*Table2[[#This Row],[Item_Price]]</f>
        <v>461</v>
      </c>
    </row>
    <row r="3520" spans="1:23" x14ac:dyDescent="0.25">
      <c r="A3520" t="s">
        <v>3622</v>
      </c>
      <c r="B3520" s="1">
        <v>45915</v>
      </c>
      <c r="C3520" t="s">
        <v>3450</v>
      </c>
      <c r="D3520">
        <v>9</v>
      </c>
      <c r="E3520">
        <v>15</v>
      </c>
      <c r="F3520" t="s">
        <v>168</v>
      </c>
      <c r="G3520" t="s">
        <v>80</v>
      </c>
      <c r="H3520" t="s">
        <v>68</v>
      </c>
      <c r="I3520" t="s">
        <v>36</v>
      </c>
      <c r="J3520" t="s">
        <v>37</v>
      </c>
      <c r="K3520" t="s">
        <v>38</v>
      </c>
      <c r="L3520">
        <v>3</v>
      </c>
      <c r="M3520">
        <v>777</v>
      </c>
      <c r="N3520">
        <v>77.7</v>
      </c>
      <c r="O3520">
        <v>50</v>
      </c>
      <c r="P3520">
        <v>2331</v>
      </c>
      <c r="Q3520">
        <v>2303.3000000000002</v>
      </c>
      <c r="R3520" t="s">
        <v>39</v>
      </c>
      <c r="S3520" t="s">
        <v>31</v>
      </c>
      <c r="T3520" t="s">
        <v>40</v>
      </c>
      <c r="U3520">
        <v>62</v>
      </c>
      <c r="V3520">
        <v>3.9</v>
      </c>
      <c r="W3520">
        <f>Table2[[#This Row],[Quantity]]*Table2[[#This Row],[Item_Price]]</f>
        <v>2331</v>
      </c>
    </row>
    <row r="3521" spans="1:23" x14ac:dyDescent="0.25">
      <c r="A3521" t="s">
        <v>3623</v>
      </c>
      <c r="B3521" s="1">
        <v>45915</v>
      </c>
      <c r="C3521" t="s">
        <v>3450</v>
      </c>
      <c r="D3521">
        <v>9</v>
      </c>
      <c r="E3521">
        <v>15</v>
      </c>
      <c r="F3521" t="s">
        <v>168</v>
      </c>
      <c r="G3521" t="s">
        <v>64</v>
      </c>
      <c r="H3521" t="s">
        <v>42</v>
      </c>
      <c r="I3521" t="s">
        <v>97</v>
      </c>
      <c r="J3521" t="s">
        <v>44</v>
      </c>
      <c r="K3521" t="s">
        <v>45</v>
      </c>
      <c r="L3521">
        <v>1</v>
      </c>
      <c r="M3521">
        <v>289</v>
      </c>
      <c r="N3521">
        <v>72.25</v>
      </c>
      <c r="O3521">
        <v>20</v>
      </c>
      <c r="P3521">
        <v>289</v>
      </c>
      <c r="Q3521">
        <v>236.75</v>
      </c>
      <c r="R3521" t="s">
        <v>112</v>
      </c>
      <c r="S3521" t="s">
        <v>31</v>
      </c>
      <c r="T3521" t="s">
        <v>40</v>
      </c>
      <c r="U3521">
        <v>60</v>
      </c>
      <c r="V3521">
        <v>3.6</v>
      </c>
      <c r="W3521">
        <f>Table2[[#This Row],[Quantity]]*Table2[[#This Row],[Item_Price]]</f>
        <v>289</v>
      </c>
    </row>
    <row r="3522" spans="1:23" x14ac:dyDescent="0.25">
      <c r="A3522" t="s">
        <v>3624</v>
      </c>
      <c r="B3522" s="1">
        <v>45915</v>
      </c>
      <c r="C3522" t="s">
        <v>3450</v>
      </c>
      <c r="D3522">
        <v>9</v>
      </c>
      <c r="E3522">
        <v>15</v>
      </c>
      <c r="F3522" t="s">
        <v>168</v>
      </c>
      <c r="G3522" t="s">
        <v>25</v>
      </c>
      <c r="H3522" t="s">
        <v>56</v>
      </c>
      <c r="I3522" t="s">
        <v>97</v>
      </c>
      <c r="J3522" t="s">
        <v>44</v>
      </c>
      <c r="K3522" t="s">
        <v>38</v>
      </c>
      <c r="L3522">
        <v>1</v>
      </c>
      <c r="M3522">
        <v>125</v>
      </c>
      <c r="N3522">
        <v>0</v>
      </c>
      <c r="O3522">
        <v>20</v>
      </c>
      <c r="P3522">
        <v>125</v>
      </c>
      <c r="Q3522">
        <v>145</v>
      </c>
      <c r="R3522" t="s">
        <v>30</v>
      </c>
      <c r="S3522" t="s">
        <v>31</v>
      </c>
      <c r="T3522" t="s">
        <v>40</v>
      </c>
      <c r="U3522">
        <v>66</v>
      </c>
      <c r="V3522">
        <v>5</v>
      </c>
      <c r="W3522">
        <f>Table2[[#This Row],[Quantity]]*Table2[[#This Row],[Item_Price]]</f>
        <v>125</v>
      </c>
    </row>
    <row r="3523" spans="1:23" x14ac:dyDescent="0.25">
      <c r="A3523" t="s">
        <v>3625</v>
      </c>
      <c r="B3523" s="1">
        <v>45915</v>
      </c>
      <c r="C3523" t="s">
        <v>3450</v>
      </c>
      <c r="D3523">
        <v>9</v>
      </c>
      <c r="E3523">
        <v>15</v>
      </c>
      <c r="F3523" t="s">
        <v>168</v>
      </c>
      <c r="G3523" t="s">
        <v>90</v>
      </c>
      <c r="H3523" t="s">
        <v>135</v>
      </c>
      <c r="I3523" t="s">
        <v>57</v>
      </c>
      <c r="J3523" t="s">
        <v>28</v>
      </c>
      <c r="K3523" t="s">
        <v>38</v>
      </c>
      <c r="L3523">
        <v>3</v>
      </c>
      <c r="M3523">
        <v>591</v>
      </c>
      <c r="N3523">
        <v>118.2</v>
      </c>
      <c r="O3523">
        <v>0</v>
      </c>
      <c r="P3523">
        <v>1773</v>
      </c>
      <c r="Q3523">
        <v>1654.8</v>
      </c>
      <c r="R3523" t="s">
        <v>39</v>
      </c>
      <c r="S3523" t="s">
        <v>31</v>
      </c>
      <c r="T3523" t="s">
        <v>40</v>
      </c>
      <c r="U3523">
        <v>62</v>
      </c>
      <c r="V3523">
        <v>3.7</v>
      </c>
      <c r="W3523">
        <f>Table2[[#This Row],[Quantity]]*Table2[[#This Row],[Item_Price]]</f>
        <v>1773</v>
      </c>
    </row>
    <row r="3524" spans="1:23" x14ac:dyDescent="0.25">
      <c r="A3524" t="s">
        <v>3626</v>
      </c>
      <c r="B3524" s="1">
        <v>45915</v>
      </c>
      <c r="C3524" t="s">
        <v>3450</v>
      </c>
      <c r="D3524">
        <v>9</v>
      </c>
      <c r="E3524">
        <v>15</v>
      </c>
      <c r="F3524" t="s">
        <v>168</v>
      </c>
      <c r="G3524" t="s">
        <v>84</v>
      </c>
      <c r="H3524" t="s">
        <v>65</v>
      </c>
      <c r="I3524" t="s">
        <v>49</v>
      </c>
      <c r="J3524" t="s">
        <v>28</v>
      </c>
      <c r="K3524" t="s">
        <v>58</v>
      </c>
      <c r="L3524">
        <v>2</v>
      </c>
      <c r="M3524">
        <v>639</v>
      </c>
      <c r="N3524">
        <v>95.85</v>
      </c>
      <c r="O3524">
        <v>60</v>
      </c>
      <c r="P3524">
        <v>1278</v>
      </c>
      <c r="Q3524">
        <v>1242.1500000000001</v>
      </c>
      <c r="R3524" t="s">
        <v>75</v>
      </c>
      <c r="S3524" t="s">
        <v>31</v>
      </c>
      <c r="T3524" t="s">
        <v>40</v>
      </c>
      <c r="U3524">
        <v>55</v>
      </c>
      <c r="V3524">
        <v>4.2</v>
      </c>
      <c r="W3524">
        <f>Table2[[#This Row],[Quantity]]*Table2[[#This Row],[Item_Price]]</f>
        <v>1278</v>
      </c>
    </row>
    <row r="3525" spans="1:23" x14ac:dyDescent="0.25">
      <c r="A3525" t="s">
        <v>3627</v>
      </c>
      <c r="B3525" s="1">
        <v>45915</v>
      </c>
      <c r="C3525" t="s">
        <v>3450</v>
      </c>
      <c r="D3525">
        <v>9</v>
      </c>
      <c r="E3525">
        <v>15</v>
      </c>
      <c r="F3525" t="s">
        <v>168</v>
      </c>
      <c r="G3525" t="s">
        <v>64</v>
      </c>
      <c r="H3525" t="s">
        <v>108</v>
      </c>
      <c r="I3525" t="s">
        <v>27</v>
      </c>
      <c r="J3525" t="s">
        <v>62</v>
      </c>
      <c r="K3525" t="s">
        <v>45</v>
      </c>
      <c r="L3525">
        <v>1</v>
      </c>
      <c r="M3525">
        <v>236</v>
      </c>
      <c r="N3525">
        <v>47.2</v>
      </c>
      <c r="O3525">
        <v>60</v>
      </c>
      <c r="P3525">
        <v>236</v>
      </c>
      <c r="Q3525">
        <v>248.8</v>
      </c>
      <c r="R3525" t="s">
        <v>30</v>
      </c>
      <c r="S3525" t="s">
        <v>31</v>
      </c>
      <c r="T3525" t="s">
        <v>32</v>
      </c>
      <c r="U3525">
        <v>41</v>
      </c>
      <c r="V3525">
        <v>5</v>
      </c>
      <c r="W3525">
        <f>Table2[[#This Row],[Quantity]]*Table2[[#This Row],[Item_Price]]</f>
        <v>236</v>
      </c>
    </row>
    <row r="3526" spans="1:23" x14ac:dyDescent="0.25">
      <c r="A3526" t="s">
        <v>3628</v>
      </c>
      <c r="B3526" s="1">
        <v>45915</v>
      </c>
      <c r="C3526" t="s">
        <v>3450</v>
      </c>
      <c r="D3526">
        <v>9</v>
      </c>
      <c r="E3526">
        <v>15</v>
      </c>
      <c r="F3526" t="s">
        <v>168</v>
      </c>
      <c r="G3526" t="s">
        <v>55</v>
      </c>
      <c r="H3526" t="s">
        <v>68</v>
      </c>
      <c r="I3526" t="s">
        <v>61</v>
      </c>
      <c r="J3526" t="s">
        <v>62</v>
      </c>
      <c r="K3526" t="s">
        <v>45</v>
      </c>
      <c r="L3526">
        <v>1</v>
      </c>
      <c r="M3526">
        <v>186</v>
      </c>
      <c r="N3526">
        <v>27.9</v>
      </c>
      <c r="O3526">
        <v>30</v>
      </c>
      <c r="P3526">
        <v>186</v>
      </c>
      <c r="Q3526">
        <v>188.1</v>
      </c>
      <c r="R3526" t="s">
        <v>98</v>
      </c>
      <c r="S3526" t="s">
        <v>91</v>
      </c>
      <c r="T3526" t="s">
        <v>40</v>
      </c>
      <c r="U3526">
        <v>37</v>
      </c>
      <c r="W3526">
        <f>Table2[[#This Row],[Quantity]]*Table2[[#This Row],[Item_Price]]</f>
        <v>186</v>
      </c>
    </row>
    <row r="3527" spans="1:23" x14ac:dyDescent="0.25">
      <c r="A3527" t="s">
        <v>3629</v>
      </c>
      <c r="B3527" s="1">
        <v>45915</v>
      </c>
      <c r="C3527" t="s">
        <v>3450</v>
      </c>
      <c r="D3527">
        <v>9</v>
      </c>
      <c r="E3527">
        <v>15</v>
      </c>
      <c r="F3527" t="s">
        <v>168</v>
      </c>
      <c r="G3527" t="s">
        <v>90</v>
      </c>
      <c r="H3527" t="s">
        <v>35</v>
      </c>
      <c r="I3527" t="s">
        <v>69</v>
      </c>
      <c r="J3527" t="s">
        <v>44</v>
      </c>
      <c r="K3527" t="s">
        <v>38</v>
      </c>
      <c r="L3527">
        <v>1</v>
      </c>
      <c r="M3527">
        <v>488</v>
      </c>
      <c r="N3527">
        <v>73.2</v>
      </c>
      <c r="O3527">
        <v>60</v>
      </c>
      <c r="P3527">
        <v>488</v>
      </c>
      <c r="Q3527">
        <v>474.8</v>
      </c>
      <c r="R3527" t="s">
        <v>39</v>
      </c>
      <c r="S3527" t="s">
        <v>31</v>
      </c>
      <c r="T3527" t="s">
        <v>40</v>
      </c>
      <c r="U3527">
        <v>27</v>
      </c>
      <c r="V3527">
        <v>4.9000000000000004</v>
      </c>
      <c r="W3527">
        <f>Table2[[#This Row],[Quantity]]*Table2[[#This Row],[Item_Price]]</f>
        <v>488</v>
      </c>
    </row>
    <row r="3528" spans="1:23" x14ac:dyDescent="0.25">
      <c r="A3528" t="s">
        <v>3630</v>
      </c>
      <c r="B3528" s="1">
        <v>45915</v>
      </c>
      <c r="C3528" t="s">
        <v>3450</v>
      </c>
      <c r="D3528">
        <v>9</v>
      </c>
      <c r="E3528">
        <v>15</v>
      </c>
      <c r="F3528" t="s">
        <v>168</v>
      </c>
      <c r="G3528" t="s">
        <v>25</v>
      </c>
      <c r="H3528" t="s">
        <v>65</v>
      </c>
      <c r="I3528" t="s">
        <v>61</v>
      </c>
      <c r="J3528" t="s">
        <v>44</v>
      </c>
      <c r="K3528" t="s">
        <v>58</v>
      </c>
      <c r="L3528">
        <v>2</v>
      </c>
      <c r="M3528">
        <v>807</v>
      </c>
      <c r="N3528">
        <v>121.05</v>
      </c>
      <c r="O3528">
        <v>40</v>
      </c>
      <c r="P3528">
        <v>1614</v>
      </c>
      <c r="Q3528">
        <v>1532.95</v>
      </c>
      <c r="R3528" t="s">
        <v>112</v>
      </c>
      <c r="S3528" t="s">
        <v>31</v>
      </c>
      <c r="T3528" t="s">
        <v>40</v>
      </c>
      <c r="U3528">
        <v>30</v>
      </c>
      <c r="V3528">
        <v>3.4</v>
      </c>
      <c r="W3528">
        <f>Table2[[#This Row],[Quantity]]*Table2[[#This Row],[Item_Price]]</f>
        <v>1614</v>
      </c>
    </row>
    <row r="3529" spans="1:23" x14ac:dyDescent="0.25">
      <c r="A3529" t="s">
        <v>3631</v>
      </c>
      <c r="B3529" s="1">
        <v>45915</v>
      </c>
      <c r="C3529" t="s">
        <v>3450</v>
      </c>
      <c r="D3529">
        <v>9</v>
      </c>
      <c r="E3529">
        <v>15</v>
      </c>
      <c r="F3529" t="s">
        <v>168</v>
      </c>
      <c r="G3529" t="s">
        <v>80</v>
      </c>
      <c r="H3529" t="s">
        <v>48</v>
      </c>
      <c r="I3529" t="s">
        <v>85</v>
      </c>
      <c r="J3529" t="s">
        <v>94</v>
      </c>
      <c r="K3529" t="s">
        <v>29</v>
      </c>
      <c r="L3529">
        <v>1</v>
      </c>
      <c r="M3529">
        <v>206</v>
      </c>
      <c r="N3529">
        <v>51.5</v>
      </c>
      <c r="O3529">
        <v>40</v>
      </c>
      <c r="P3529">
        <v>206</v>
      </c>
      <c r="Q3529">
        <v>194.5</v>
      </c>
      <c r="R3529" t="s">
        <v>39</v>
      </c>
      <c r="S3529" t="s">
        <v>31</v>
      </c>
      <c r="T3529" t="s">
        <v>32</v>
      </c>
      <c r="U3529">
        <v>30</v>
      </c>
      <c r="V3529">
        <v>3.1</v>
      </c>
      <c r="W3529">
        <f>Table2[[#This Row],[Quantity]]*Table2[[#This Row],[Item_Price]]</f>
        <v>206</v>
      </c>
    </row>
    <row r="3530" spans="1:23" x14ac:dyDescent="0.25">
      <c r="A3530" t="s">
        <v>3632</v>
      </c>
      <c r="B3530" s="1">
        <v>45915</v>
      </c>
      <c r="C3530" t="s">
        <v>3450</v>
      </c>
      <c r="D3530">
        <v>9</v>
      </c>
      <c r="E3530">
        <v>15</v>
      </c>
      <c r="F3530" t="s">
        <v>168</v>
      </c>
      <c r="G3530" t="s">
        <v>34</v>
      </c>
      <c r="H3530" t="s">
        <v>42</v>
      </c>
      <c r="I3530" t="s">
        <v>49</v>
      </c>
      <c r="J3530" t="s">
        <v>62</v>
      </c>
      <c r="K3530" t="s">
        <v>38</v>
      </c>
      <c r="L3530">
        <v>2</v>
      </c>
      <c r="M3530">
        <v>708</v>
      </c>
      <c r="N3530">
        <v>35.4</v>
      </c>
      <c r="O3530">
        <v>50</v>
      </c>
      <c r="P3530">
        <v>1416</v>
      </c>
      <c r="Q3530">
        <v>1430.6</v>
      </c>
      <c r="R3530" t="s">
        <v>75</v>
      </c>
      <c r="S3530" t="s">
        <v>31</v>
      </c>
      <c r="T3530" t="s">
        <v>40</v>
      </c>
      <c r="U3530">
        <v>21</v>
      </c>
      <c r="V3530">
        <v>5</v>
      </c>
      <c r="W3530">
        <f>Table2[[#This Row],[Quantity]]*Table2[[#This Row],[Item_Price]]</f>
        <v>1416</v>
      </c>
    </row>
    <row r="3531" spans="1:23" x14ac:dyDescent="0.25">
      <c r="A3531" t="s">
        <v>3633</v>
      </c>
      <c r="B3531" s="1">
        <v>45915</v>
      </c>
      <c r="C3531" t="s">
        <v>3450</v>
      </c>
      <c r="D3531">
        <v>9</v>
      </c>
      <c r="E3531">
        <v>15</v>
      </c>
      <c r="F3531" t="s">
        <v>168</v>
      </c>
      <c r="G3531" t="s">
        <v>115</v>
      </c>
      <c r="H3531" t="s">
        <v>108</v>
      </c>
      <c r="I3531" t="s">
        <v>69</v>
      </c>
      <c r="J3531" t="s">
        <v>53</v>
      </c>
      <c r="K3531" t="s">
        <v>38</v>
      </c>
      <c r="L3531">
        <v>2</v>
      </c>
      <c r="M3531">
        <v>696</v>
      </c>
      <c r="N3531">
        <v>69.599999999999994</v>
      </c>
      <c r="O3531">
        <v>0</v>
      </c>
      <c r="P3531">
        <v>1392</v>
      </c>
      <c r="Q3531">
        <v>1322.4</v>
      </c>
      <c r="R3531" t="s">
        <v>30</v>
      </c>
      <c r="S3531" t="s">
        <v>31</v>
      </c>
      <c r="T3531" t="s">
        <v>40</v>
      </c>
      <c r="U3531">
        <v>22</v>
      </c>
      <c r="V3531">
        <v>3.2</v>
      </c>
      <c r="W3531">
        <f>Table2[[#This Row],[Quantity]]*Table2[[#This Row],[Item_Price]]</f>
        <v>1392</v>
      </c>
    </row>
    <row r="3532" spans="1:23" x14ac:dyDescent="0.25">
      <c r="A3532" t="s">
        <v>3634</v>
      </c>
      <c r="B3532" s="1">
        <v>45916</v>
      </c>
      <c r="C3532" t="s">
        <v>3450</v>
      </c>
      <c r="D3532">
        <v>9</v>
      </c>
      <c r="E3532">
        <v>16</v>
      </c>
      <c r="F3532" t="s">
        <v>178</v>
      </c>
      <c r="G3532" t="s">
        <v>34</v>
      </c>
      <c r="H3532" t="s">
        <v>135</v>
      </c>
      <c r="I3532" t="s">
        <v>103</v>
      </c>
      <c r="J3532" t="s">
        <v>78</v>
      </c>
      <c r="K3532" t="s">
        <v>38</v>
      </c>
      <c r="L3532">
        <v>1</v>
      </c>
      <c r="M3532">
        <v>261</v>
      </c>
      <c r="N3532">
        <v>39.15</v>
      </c>
      <c r="O3532">
        <v>40</v>
      </c>
      <c r="P3532">
        <v>261</v>
      </c>
      <c r="Q3532">
        <v>261.85000000000002</v>
      </c>
      <c r="R3532" t="s">
        <v>30</v>
      </c>
      <c r="S3532" t="s">
        <v>31</v>
      </c>
      <c r="T3532" t="s">
        <v>32</v>
      </c>
      <c r="U3532">
        <v>35</v>
      </c>
      <c r="V3532">
        <v>4.5999999999999996</v>
      </c>
      <c r="W3532">
        <f>Table2[[#This Row],[Quantity]]*Table2[[#This Row],[Item_Price]]</f>
        <v>261</v>
      </c>
    </row>
    <row r="3533" spans="1:23" x14ac:dyDescent="0.25">
      <c r="A3533" t="s">
        <v>3635</v>
      </c>
      <c r="B3533" s="1">
        <v>45916</v>
      </c>
      <c r="C3533" t="s">
        <v>3450</v>
      </c>
      <c r="D3533">
        <v>9</v>
      </c>
      <c r="E3533">
        <v>16</v>
      </c>
      <c r="F3533" t="s">
        <v>178</v>
      </c>
      <c r="G3533" t="s">
        <v>115</v>
      </c>
      <c r="H3533" t="s">
        <v>52</v>
      </c>
      <c r="I3533" t="s">
        <v>49</v>
      </c>
      <c r="J3533" t="s">
        <v>119</v>
      </c>
      <c r="K3533" t="s">
        <v>29</v>
      </c>
      <c r="L3533">
        <v>2</v>
      </c>
      <c r="M3533">
        <v>827</v>
      </c>
      <c r="N3533">
        <v>165.4</v>
      </c>
      <c r="O3533">
        <v>50</v>
      </c>
      <c r="P3533">
        <v>1654</v>
      </c>
      <c r="Q3533">
        <v>1538.6</v>
      </c>
      <c r="R3533" t="s">
        <v>39</v>
      </c>
      <c r="S3533" t="s">
        <v>31</v>
      </c>
      <c r="T3533" t="s">
        <v>32</v>
      </c>
      <c r="U3533">
        <v>69</v>
      </c>
      <c r="V3533">
        <v>4.3</v>
      </c>
      <c r="W3533">
        <f>Table2[[#This Row],[Quantity]]*Table2[[#This Row],[Item_Price]]</f>
        <v>1654</v>
      </c>
    </row>
    <row r="3534" spans="1:23" x14ac:dyDescent="0.25">
      <c r="A3534" t="s">
        <v>3636</v>
      </c>
      <c r="B3534" s="1">
        <v>45916</v>
      </c>
      <c r="C3534" t="s">
        <v>3450</v>
      </c>
      <c r="D3534">
        <v>9</v>
      </c>
      <c r="E3534">
        <v>16</v>
      </c>
      <c r="F3534" t="s">
        <v>178</v>
      </c>
      <c r="G3534" t="s">
        <v>64</v>
      </c>
      <c r="H3534" t="s">
        <v>48</v>
      </c>
      <c r="I3534" t="s">
        <v>57</v>
      </c>
      <c r="J3534" t="s">
        <v>74</v>
      </c>
      <c r="K3534" t="s">
        <v>38</v>
      </c>
      <c r="L3534">
        <v>1</v>
      </c>
      <c r="M3534">
        <v>139</v>
      </c>
      <c r="N3534">
        <v>13.9</v>
      </c>
      <c r="O3534">
        <v>60</v>
      </c>
      <c r="P3534">
        <v>139</v>
      </c>
      <c r="Q3534">
        <v>185.1</v>
      </c>
      <c r="R3534" t="s">
        <v>30</v>
      </c>
      <c r="S3534" t="s">
        <v>46</v>
      </c>
      <c r="T3534" t="s">
        <v>40</v>
      </c>
      <c r="U3534">
        <v>64</v>
      </c>
      <c r="W3534">
        <f>Table2[[#This Row],[Quantity]]*Table2[[#This Row],[Item_Price]]</f>
        <v>139</v>
      </c>
    </row>
    <row r="3535" spans="1:23" x14ac:dyDescent="0.25">
      <c r="A3535" t="s">
        <v>3637</v>
      </c>
      <c r="B3535" s="1">
        <v>45916</v>
      </c>
      <c r="C3535" t="s">
        <v>3450</v>
      </c>
      <c r="D3535">
        <v>9</v>
      </c>
      <c r="E3535">
        <v>16</v>
      </c>
      <c r="F3535" t="s">
        <v>178</v>
      </c>
      <c r="G3535" t="s">
        <v>64</v>
      </c>
      <c r="H3535" t="s">
        <v>81</v>
      </c>
      <c r="I3535" t="s">
        <v>69</v>
      </c>
      <c r="J3535" t="s">
        <v>172</v>
      </c>
      <c r="K3535" t="s">
        <v>38</v>
      </c>
      <c r="L3535">
        <v>2</v>
      </c>
      <c r="M3535">
        <v>819</v>
      </c>
      <c r="N3535">
        <v>81.900000000000006</v>
      </c>
      <c r="O3535">
        <v>40</v>
      </c>
      <c r="P3535">
        <v>1638</v>
      </c>
      <c r="Q3535">
        <v>1596.1</v>
      </c>
      <c r="R3535" t="s">
        <v>75</v>
      </c>
      <c r="S3535" t="s">
        <v>31</v>
      </c>
      <c r="T3535" t="s">
        <v>32</v>
      </c>
      <c r="U3535">
        <v>29</v>
      </c>
      <c r="V3535">
        <v>4.0999999999999996</v>
      </c>
      <c r="W3535">
        <f>Table2[[#This Row],[Quantity]]*Table2[[#This Row],[Item_Price]]</f>
        <v>1638</v>
      </c>
    </row>
    <row r="3536" spans="1:23" x14ac:dyDescent="0.25">
      <c r="A3536" t="s">
        <v>3638</v>
      </c>
      <c r="B3536" s="1">
        <v>45916</v>
      </c>
      <c r="C3536" t="s">
        <v>3450</v>
      </c>
      <c r="D3536">
        <v>9</v>
      </c>
      <c r="E3536">
        <v>16</v>
      </c>
      <c r="F3536" t="s">
        <v>178</v>
      </c>
      <c r="G3536" t="s">
        <v>25</v>
      </c>
      <c r="H3536" t="s">
        <v>56</v>
      </c>
      <c r="I3536" t="s">
        <v>97</v>
      </c>
      <c r="J3536" t="s">
        <v>53</v>
      </c>
      <c r="K3536" t="s">
        <v>38</v>
      </c>
      <c r="L3536">
        <v>1</v>
      </c>
      <c r="M3536">
        <v>580</v>
      </c>
      <c r="N3536">
        <v>29</v>
      </c>
      <c r="O3536">
        <v>40</v>
      </c>
      <c r="P3536">
        <v>580</v>
      </c>
      <c r="Q3536">
        <v>591</v>
      </c>
      <c r="R3536" t="s">
        <v>75</v>
      </c>
      <c r="S3536" t="s">
        <v>31</v>
      </c>
      <c r="T3536" t="s">
        <v>40</v>
      </c>
      <c r="U3536">
        <v>52</v>
      </c>
      <c r="V3536">
        <v>4.3</v>
      </c>
      <c r="W3536">
        <f>Table2[[#This Row],[Quantity]]*Table2[[#This Row],[Item_Price]]</f>
        <v>580</v>
      </c>
    </row>
    <row r="3537" spans="1:23" x14ac:dyDescent="0.25">
      <c r="A3537" t="s">
        <v>3639</v>
      </c>
      <c r="B3537" s="1">
        <v>45916</v>
      </c>
      <c r="C3537" t="s">
        <v>3450</v>
      </c>
      <c r="D3537">
        <v>9</v>
      </c>
      <c r="E3537">
        <v>16</v>
      </c>
      <c r="F3537" t="s">
        <v>178</v>
      </c>
      <c r="G3537" t="s">
        <v>84</v>
      </c>
      <c r="H3537" t="s">
        <v>42</v>
      </c>
      <c r="I3537" t="s">
        <v>36</v>
      </c>
      <c r="J3537" t="s">
        <v>70</v>
      </c>
      <c r="K3537" t="s">
        <v>45</v>
      </c>
      <c r="L3537">
        <v>2</v>
      </c>
      <c r="M3537">
        <v>377</v>
      </c>
      <c r="N3537">
        <v>0</v>
      </c>
      <c r="O3537">
        <v>60</v>
      </c>
      <c r="P3537">
        <v>754</v>
      </c>
      <c r="Q3537">
        <v>814</v>
      </c>
      <c r="R3537" t="s">
        <v>98</v>
      </c>
      <c r="S3537" t="s">
        <v>31</v>
      </c>
      <c r="T3537" t="s">
        <v>40</v>
      </c>
      <c r="U3537">
        <v>19</v>
      </c>
      <c r="V3537">
        <v>4.7</v>
      </c>
      <c r="W3537">
        <f>Table2[[#This Row],[Quantity]]*Table2[[#This Row],[Item_Price]]</f>
        <v>754</v>
      </c>
    </row>
    <row r="3538" spans="1:23" x14ac:dyDescent="0.25">
      <c r="A3538" t="s">
        <v>3640</v>
      </c>
      <c r="B3538" s="1">
        <v>45916</v>
      </c>
      <c r="C3538" t="s">
        <v>3450</v>
      </c>
      <c r="D3538">
        <v>9</v>
      </c>
      <c r="E3538">
        <v>16</v>
      </c>
      <c r="F3538" t="s">
        <v>178</v>
      </c>
      <c r="G3538" t="s">
        <v>73</v>
      </c>
      <c r="H3538" t="s">
        <v>42</v>
      </c>
      <c r="I3538" t="s">
        <v>97</v>
      </c>
      <c r="J3538" t="s">
        <v>101</v>
      </c>
      <c r="K3538" t="s">
        <v>58</v>
      </c>
      <c r="L3538">
        <v>1</v>
      </c>
      <c r="M3538">
        <v>494</v>
      </c>
      <c r="N3538">
        <v>123.5</v>
      </c>
      <c r="O3538">
        <v>40</v>
      </c>
      <c r="P3538">
        <v>494</v>
      </c>
      <c r="Q3538">
        <v>410.5</v>
      </c>
      <c r="R3538" t="s">
        <v>112</v>
      </c>
      <c r="S3538" t="s">
        <v>31</v>
      </c>
      <c r="T3538" t="s">
        <v>32</v>
      </c>
      <c r="U3538">
        <v>26</v>
      </c>
      <c r="V3538">
        <v>3.7</v>
      </c>
      <c r="W3538">
        <f>Table2[[#This Row],[Quantity]]*Table2[[#This Row],[Item_Price]]</f>
        <v>494</v>
      </c>
    </row>
    <row r="3539" spans="1:23" x14ac:dyDescent="0.25">
      <c r="A3539" t="s">
        <v>3641</v>
      </c>
      <c r="B3539" s="1">
        <v>45916</v>
      </c>
      <c r="C3539" t="s">
        <v>3450</v>
      </c>
      <c r="D3539">
        <v>9</v>
      </c>
      <c r="E3539">
        <v>16</v>
      </c>
      <c r="F3539" t="s">
        <v>178</v>
      </c>
      <c r="G3539" t="s">
        <v>34</v>
      </c>
      <c r="H3539" t="s">
        <v>65</v>
      </c>
      <c r="I3539" t="s">
        <v>69</v>
      </c>
      <c r="J3539" t="s">
        <v>82</v>
      </c>
      <c r="K3539" t="s">
        <v>38</v>
      </c>
      <c r="L3539">
        <v>2</v>
      </c>
      <c r="M3539">
        <v>793</v>
      </c>
      <c r="N3539">
        <v>118.95</v>
      </c>
      <c r="O3539">
        <v>30</v>
      </c>
      <c r="P3539">
        <v>1586</v>
      </c>
      <c r="Q3539">
        <v>1497.05</v>
      </c>
      <c r="R3539" t="s">
        <v>30</v>
      </c>
      <c r="S3539" t="s">
        <v>31</v>
      </c>
      <c r="T3539" t="s">
        <v>40</v>
      </c>
      <c r="U3539">
        <v>27</v>
      </c>
      <c r="V3539">
        <v>4.2</v>
      </c>
      <c r="W3539">
        <f>Table2[[#This Row],[Quantity]]*Table2[[#This Row],[Item_Price]]</f>
        <v>1586</v>
      </c>
    </row>
    <row r="3540" spans="1:23" x14ac:dyDescent="0.25">
      <c r="A3540" t="s">
        <v>3642</v>
      </c>
      <c r="B3540" s="1">
        <v>45916</v>
      </c>
      <c r="C3540" t="s">
        <v>3450</v>
      </c>
      <c r="D3540">
        <v>9</v>
      </c>
      <c r="E3540">
        <v>16</v>
      </c>
      <c r="F3540" t="s">
        <v>178</v>
      </c>
      <c r="G3540" t="s">
        <v>64</v>
      </c>
      <c r="H3540" t="s">
        <v>52</v>
      </c>
      <c r="I3540" t="s">
        <v>43</v>
      </c>
      <c r="J3540" t="s">
        <v>78</v>
      </c>
      <c r="K3540" t="s">
        <v>38</v>
      </c>
      <c r="L3540">
        <v>2</v>
      </c>
      <c r="M3540">
        <v>773</v>
      </c>
      <c r="N3540">
        <v>193.25</v>
      </c>
      <c r="O3540">
        <v>20</v>
      </c>
      <c r="P3540">
        <v>1546</v>
      </c>
      <c r="Q3540">
        <v>1372.75</v>
      </c>
      <c r="R3540" t="s">
        <v>98</v>
      </c>
      <c r="S3540" t="s">
        <v>31</v>
      </c>
      <c r="T3540" t="s">
        <v>40</v>
      </c>
      <c r="U3540">
        <v>35</v>
      </c>
      <c r="V3540">
        <v>4.5999999999999996</v>
      </c>
      <c r="W3540">
        <f>Table2[[#This Row],[Quantity]]*Table2[[#This Row],[Item_Price]]</f>
        <v>1546</v>
      </c>
    </row>
    <row r="3541" spans="1:23" x14ac:dyDescent="0.25">
      <c r="A3541" t="s">
        <v>3643</v>
      </c>
      <c r="B3541" s="1">
        <v>45916</v>
      </c>
      <c r="C3541" t="s">
        <v>3450</v>
      </c>
      <c r="D3541">
        <v>9</v>
      </c>
      <c r="E3541">
        <v>16</v>
      </c>
      <c r="F3541" t="s">
        <v>178</v>
      </c>
      <c r="G3541" t="s">
        <v>25</v>
      </c>
      <c r="H3541" t="s">
        <v>48</v>
      </c>
      <c r="I3541" t="s">
        <v>27</v>
      </c>
      <c r="J3541" t="s">
        <v>37</v>
      </c>
      <c r="K3541" t="s">
        <v>38</v>
      </c>
      <c r="L3541">
        <v>1</v>
      </c>
      <c r="M3541">
        <v>642</v>
      </c>
      <c r="N3541">
        <v>32.1</v>
      </c>
      <c r="O3541">
        <v>40</v>
      </c>
      <c r="P3541">
        <v>642</v>
      </c>
      <c r="Q3541">
        <v>649.9</v>
      </c>
      <c r="R3541" t="s">
        <v>112</v>
      </c>
      <c r="S3541" t="s">
        <v>91</v>
      </c>
      <c r="T3541" t="s">
        <v>40</v>
      </c>
      <c r="U3541">
        <v>42</v>
      </c>
      <c r="W3541">
        <f>Table2[[#This Row],[Quantity]]*Table2[[#This Row],[Item_Price]]</f>
        <v>642</v>
      </c>
    </row>
    <row r="3542" spans="1:23" x14ac:dyDescent="0.25">
      <c r="A3542" t="s">
        <v>3644</v>
      </c>
      <c r="B3542" s="1">
        <v>45916</v>
      </c>
      <c r="C3542" t="s">
        <v>3450</v>
      </c>
      <c r="D3542">
        <v>9</v>
      </c>
      <c r="E3542">
        <v>16</v>
      </c>
      <c r="F3542" t="s">
        <v>178</v>
      </c>
      <c r="G3542" t="s">
        <v>73</v>
      </c>
      <c r="H3542" t="s">
        <v>60</v>
      </c>
      <c r="I3542" t="s">
        <v>85</v>
      </c>
      <c r="J3542" t="s">
        <v>82</v>
      </c>
      <c r="K3542" t="s">
        <v>45</v>
      </c>
      <c r="L3542">
        <v>3</v>
      </c>
      <c r="M3542">
        <v>460</v>
      </c>
      <c r="N3542">
        <v>0</v>
      </c>
      <c r="O3542">
        <v>20</v>
      </c>
      <c r="P3542">
        <v>1380</v>
      </c>
      <c r="Q3542">
        <v>1400</v>
      </c>
      <c r="R3542" t="s">
        <v>39</v>
      </c>
      <c r="S3542" t="s">
        <v>31</v>
      </c>
      <c r="T3542" t="s">
        <v>32</v>
      </c>
      <c r="U3542">
        <v>35</v>
      </c>
      <c r="V3542">
        <v>3.6</v>
      </c>
      <c r="W3542">
        <f>Table2[[#This Row],[Quantity]]*Table2[[#This Row],[Item_Price]]</f>
        <v>1380</v>
      </c>
    </row>
    <row r="3543" spans="1:23" x14ac:dyDescent="0.25">
      <c r="A3543" t="s">
        <v>3645</v>
      </c>
      <c r="B3543" s="1">
        <v>45916</v>
      </c>
      <c r="C3543" t="s">
        <v>3450</v>
      </c>
      <c r="D3543">
        <v>9</v>
      </c>
      <c r="E3543">
        <v>16</v>
      </c>
      <c r="F3543" t="s">
        <v>178</v>
      </c>
      <c r="G3543" t="s">
        <v>34</v>
      </c>
      <c r="H3543" t="s">
        <v>56</v>
      </c>
      <c r="I3543" t="s">
        <v>49</v>
      </c>
      <c r="J3543" t="s">
        <v>66</v>
      </c>
      <c r="K3543" t="s">
        <v>38</v>
      </c>
      <c r="L3543">
        <v>3</v>
      </c>
      <c r="M3543">
        <v>858</v>
      </c>
      <c r="N3543">
        <v>85.8</v>
      </c>
      <c r="O3543">
        <v>40</v>
      </c>
      <c r="P3543">
        <v>2574</v>
      </c>
      <c r="Q3543">
        <v>2528.1999999999998</v>
      </c>
      <c r="R3543" t="s">
        <v>30</v>
      </c>
      <c r="S3543" t="s">
        <v>31</v>
      </c>
      <c r="T3543" t="s">
        <v>32</v>
      </c>
      <c r="U3543">
        <v>44</v>
      </c>
      <c r="V3543">
        <v>3.9</v>
      </c>
      <c r="W3543">
        <f>Table2[[#This Row],[Quantity]]*Table2[[#This Row],[Item_Price]]</f>
        <v>2574</v>
      </c>
    </row>
    <row r="3544" spans="1:23" x14ac:dyDescent="0.25">
      <c r="A3544" t="s">
        <v>3646</v>
      </c>
      <c r="B3544" s="1">
        <v>45917</v>
      </c>
      <c r="C3544" t="s">
        <v>3450</v>
      </c>
      <c r="D3544">
        <v>9</v>
      </c>
      <c r="E3544">
        <v>17</v>
      </c>
      <c r="F3544" t="s">
        <v>24</v>
      </c>
      <c r="G3544" t="s">
        <v>64</v>
      </c>
      <c r="H3544" t="s">
        <v>42</v>
      </c>
      <c r="I3544" t="s">
        <v>69</v>
      </c>
      <c r="J3544" t="s">
        <v>70</v>
      </c>
      <c r="K3544" t="s">
        <v>45</v>
      </c>
      <c r="L3544">
        <v>1</v>
      </c>
      <c r="M3544">
        <v>220</v>
      </c>
      <c r="N3544">
        <v>0</v>
      </c>
      <c r="O3544">
        <v>20</v>
      </c>
      <c r="P3544">
        <v>220</v>
      </c>
      <c r="Q3544">
        <v>240</v>
      </c>
      <c r="R3544" t="s">
        <v>75</v>
      </c>
      <c r="S3544" t="s">
        <v>31</v>
      </c>
      <c r="T3544" t="s">
        <v>32</v>
      </c>
      <c r="U3544">
        <v>65</v>
      </c>
      <c r="V3544">
        <v>5</v>
      </c>
      <c r="W3544">
        <f>Table2[[#This Row],[Quantity]]*Table2[[#This Row],[Item_Price]]</f>
        <v>220</v>
      </c>
    </row>
    <row r="3545" spans="1:23" x14ac:dyDescent="0.25">
      <c r="A3545" t="s">
        <v>3647</v>
      </c>
      <c r="B3545" s="1">
        <v>45917</v>
      </c>
      <c r="C3545" t="s">
        <v>3450</v>
      </c>
      <c r="D3545">
        <v>9</v>
      </c>
      <c r="E3545">
        <v>17</v>
      </c>
      <c r="F3545" t="s">
        <v>24</v>
      </c>
      <c r="G3545" t="s">
        <v>90</v>
      </c>
      <c r="H3545" t="s">
        <v>135</v>
      </c>
      <c r="I3545" t="s">
        <v>36</v>
      </c>
      <c r="J3545" t="s">
        <v>119</v>
      </c>
      <c r="K3545" t="s">
        <v>38</v>
      </c>
      <c r="L3545">
        <v>1</v>
      </c>
      <c r="M3545">
        <v>465</v>
      </c>
      <c r="N3545">
        <v>23.25</v>
      </c>
      <c r="O3545">
        <v>40</v>
      </c>
      <c r="P3545">
        <v>465</v>
      </c>
      <c r="Q3545">
        <v>481.75</v>
      </c>
      <c r="R3545" t="s">
        <v>39</v>
      </c>
      <c r="S3545" t="s">
        <v>31</v>
      </c>
      <c r="T3545" t="s">
        <v>32</v>
      </c>
      <c r="U3545">
        <v>45</v>
      </c>
      <c r="V3545">
        <v>5</v>
      </c>
      <c r="W3545">
        <f>Table2[[#This Row],[Quantity]]*Table2[[#This Row],[Item_Price]]</f>
        <v>465</v>
      </c>
    </row>
    <row r="3546" spans="1:23" x14ac:dyDescent="0.25">
      <c r="A3546" t="s">
        <v>3648</v>
      </c>
      <c r="B3546" s="1">
        <v>45917</v>
      </c>
      <c r="C3546" t="s">
        <v>3450</v>
      </c>
      <c r="D3546">
        <v>9</v>
      </c>
      <c r="E3546">
        <v>17</v>
      </c>
      <c r="F3546" t="s">
        <v>24</v>
      </c>
      <c r="G3546" t="s">
        <v>55</v>
      </c>
      <c r="H3546" t="s">
        <v>42</v>
      </c>
      <c r="I3546" t="s">
        <v>69</v>
      </c>
      <c r="J3546" t="s">
        <v>37</v>
      </c>
      <c r="K3546" t="s">
        <v>38</v>
      </c>
      <c r="L3546">
        <v>1</v>
      </c>
      <c r="M3546">
        <v>235</v>
      </c>
      <c r="N3546">
        <v>23.5</v>
      </c>
      <c r="O3546">
        <v>40</v>
      </c>
      <c r="P3546">
        <v>235</v>
      </c>
      <c r="Q3546">
        <v>251.5</v>
      </c>
      <c r="R3546" t="s">
        <v>75</v>
      </c>
      <c r="S3546" t="s">
        <v>110</v>
      </c>
      <c r="T3546" t="s">
        <v>32</v>
      </c>
      <c r="U3546">
        <v>26</v>
      </c>
      <c r="W3546">
        <f>Table2[[#This Row],[Quantity]]*Table2[[#This Row],[Item_Price]]</f>
        <v>235</v>
      </c>
    </row>
    <row r="3547" spans="1:23" x14ac:dyDescent="0.25">
      <c r="A3547" t="s">
        <v>3649</v>
      </c>
      <c r="B3547" s="1">
        <v>45917</v>
      </c>
      <c r="C3547" t="s">
        <v>3450</v>
      </c>
      <c r="D3547">
        <v>9</v>
      </c>
      <c r="E3547">
        <v>17</v>
      </c>
      <c r="F3547" t="s">
        <v>24</v>
      </c>
      <c r="G3547" t="s">
        <v>73</v>
      </c>
      <c r="H3547" t="s">
        <v>68</v>
      </c>
      <c r="I3547" t="s">
        <v>49</v>
      </c>
      <c r="J3547" t="s">
        <v>82</v>
      </c>
      <c r="K3547" t="s">
        <v>38</v>
      </c>
      <c r="L3547">
        <v>1</v>
      </c>
      <c r="M3547">
        <v>560</v>
      </c>
      <c r="N3547">
        <v>84</v>
      </c>
      <c r="O3547">
        <v>20</v>
      </c>
      <c r="P3547">
        <v>560</v>
      </c>
      <c r="Q3547">
        <v>496</v>
      </c>
      <c r="R3547" t="s">
        <v>30</v>
      </c>
      <c r="S3547" t="s">
        <v>31</v>
      </c>
      <c r="T3547" t="s">
        <v>40</v>
      </c>
      <c r="U3547">
        <v>59</v>
      </c>
      <c r="V3547">
        <v>3.6</v>
      </c>
      <c r="W3547">
        <f>Table2[[#This Row],[Quantity]]*Table2[[#This Row],[Item_Price]]</f>
        <v>560</v>
      </c>
    </row>
    <row r="3548" spans="1:23" x14ac:dyDescent="0.25">
      <c r="A3548" t="s">
        <v>3650</v>
      </c>
      <c r="B3548" s="1">
        <v>45917</v>
      </c>
      <c r="C3548" t="s">
        <v>3450</v>
      </c>
      <c r="D3548">
        <v>9</v>
      </c>
      <c r="E3548">
        <v>17</v>
      </c>
      <c r="F3548" t="s">
        <v>24</v>
      </c>
      <c r="G3548" t="s">
        <v>64</v>
      </c>
      <c r="H3548" t="s">
        <v>135</v>
      </c>
      <c r="I3548" t="s">
        <v>36</v>
      </c>
      <c r="J3548" t="s">
        <v>82</v>
      </c>
      <c r="K3548" t="s">
        <v>38</v>
      </c>
      <c r="L3548">
        <v>2</v>
      </c>
      <c r="M3548">
        <v>574</v>
      </c>
      <c r="N3548">
        <v>57.4</v>
      </c>
      <c r="O3548">
        <v>30</v>
      </c>
      <c r="P3548">
        <v>1148</v>
      </c>
      <c r="Q3548">
        <v>1120.5999999999999</v>
      </c>
      <c r="R3548" t="s">
        <v>30</v>
      </c>
      <c r="S3548" t="s">
        <v>31</v>
      </c>
      <c r="T3548" t="s">
        <v>40</v>
      </c>
      <c r="U3548">
        <v>58</v>
      </c>
      <c r="V3548">
        <v>4.3</v>
      </c>
      <c r="W3548">
        <f>Table2[[#This Row],[Quantity]]*Table2[[#This Row],[Item_Price]]</f>
        <v>1148</v>
      </c>
    </row>
    <row r="3549" spans="1:23" x14ac:dyDescent="0.25">
      <c r="A3549" t="s">
        <v>3651</v>
      </c>
      <c r="B3549" s="1">
        <v>45917</v>
      </c>
      <c r="C3549" t="s">
        <v>3450</v>
      </c>
      <c r="D3549">
        <v>9</v>
      </c>
      <c r="E3549">
        <v>17</v>
      </c>
      <c r="F3549" t="s">
        <v>24</v>
      </c>
      <c r="G3549" t="s">
        <v>84</v>
      </c>
      <c r="H3549" t="s">
        <v>68</v>
      </c>
      <c r="I3549" t="s">
        <v>97</v>
      </c>
      <c r="J3549" t="s">
        <v>62</v>
      </c>
      <c r="K3549" t="s">
        <v>38</v>
      </c>
      <c r="L3549">
        <v>1</v>
      </c>
      <c r="M3549">
        <v>638</v>
      </c>
      <c r="N3549">
        <v>63.8</v>
      </c>
      <c r="O3549">
        <v>0</v>
      </c>
      <c r="P3549">
        <v>638</v>
      </c>
      <c r="Q3549">
        <v>574.20000000000005</v>
      </c>
      <c r="R3549" t="s">
        <v>75</v>
      </c>
      <c r="S3549" t="s">
        <v>31</v>
      </c>
      <c r="T3549" t="s">
        <v>40</v>
      </c>
      <c r="U3549">
        <v>58</v>
      </c>
      <c r="V3549">
        <v>3.6</v>
      </c>
      <c r="W3549">
        <f>Table2[[#This Row],[Quantity]]*Table2[[#This Row],[Item_Price]]</f>
        <v>638</v>
      </c>
    </row>
    <row r="3550" spans="1:23" x14ac:dyDescent="0.25">
      <c r="A3550" t="s">
        <v>3652</v>
      </c>
      <c r="B3550" s="1">
        <v>45917</v>
      </c>
      <c r="C3550" t="s">
        <v>3450</v>
      </c>
      <c r="D3550">
        <v>9</v>
      </c>
      <c r="E3550">
        <v>17</v>
      </c>
      <c r="F3550" t="s">
        <v>24</v>
      </c>
      <c r="G3550" t="s">
        <v>25</v>
      </c>
      <c r="H3550" t="s">
        <v>65</v>
      </c>
      <c r="I3550" t="s">
        <v>49</v>
      </c>
      <c r="J3550" t="s">
        <v>74</v>
      </c>
      <c r="K3550" t="s">
        <v>38</v>
      </c>
      <c r="L3550">
        <v>2</v>
      </c>
      <c r="M3550">
        <v>650</v>
      </c>
      <c r="N3550">
        <v>97.5</v>
      </c>
      <c r="O3550">
        <v>60</v>
      </c>
      <c r="P3550">
        <v>1300</v>
      </c>
      <c r="Q3550">
        <v>1262.5</v>
      </c>
      <c r="R3550" t="s">
        <v>39</v>
      </c>
      <c r="S3550" t="s">
        <v>31</v>
      </c>
      <c r="T3550" t="s">
        <v>32</v>
      </c>
      <c r="U3550">
        <v>57</v>
      </c>
      <c r="V3550">
        <v>3.8</v>
      </c>
      <c r="W3550">
        <f>Table2[[#This Row],[Quantity]]*Table2[[#This Row],[Item_Price]]</f>
        <v>1300</v>
      </c>
    </row>
    <row r="3551" spans="1:23" x14ac:dyDescent="0.25">
      <c r="A3551" t="s">
        <v>3653</v>
      </c>
      <c r="B3551" s="1">
        <v>45917</v>
      </c>
      <c r="C3551" t="s">
        <v>3450</v>
      </c>
      <c r="D3551">
        <v>9</v>
      </c>
      <c r="E3551">
        <v>17</v>
      </c>
      <c r="F3551" t="s">
        <v>24</v>
      </c>
      <c r="G3551" t="s">
        <v>34</v>
      </c>
      <c r="H3551" t="s">
        <v>52</v>
      </c>
      <c r="I3551" t="s">
        <v>85</v>
      </c>
      <c r="J3551" t="s">
        <v>74</v>
      </c>
      <c r="K3551" t="s">
        <v>38</v>
      </c>
      <c r="L3551">
        <v>1</v>
      </c>
      <c r="M3551">
        <v>260</v>
      </c>
      <c r="N3551">
        <v>26</v>
      </c>
      <c r="O3551">
        <v>40</v>
      </c>
      <c r="P3551">
        <v>260</v>
      </c>
      <c r="Q3551">
        <v>274</v>
      </c>
      <c r="R3551" t="s">
        <v>30</v>
      </c>
      <c r="S3551" t="s">
        <v>110</v>
      </c>
      <c r="T3551" t="s">
        <v>40</v>
      </c>
      <c r="U3551">
        <v>18</v>
      </c>
      <c r="W3551">
        <f>Table2[[#This Row],[Quantity]]*Table2[[#This Row],[Item_Price]]</f>
        <v>260</v>
      </c>
    </row>
    <row r="3552" spans="1:23" x14ac:dyDescent="0.25">
      <c r="A3552" t="s">
        <v>3654</v>
      </c>
      <c r="B3552" s="1">
        <v>45917</v>
      </c>
      <c r="C3552" t="s">
        <v>3450</v>
      </c>
      <c r="D3552">
        <v>9</v>
      </c>
      <c r="E3552">
        <v>17</v>
      </c>
      <c r="F3552" t="s">
        <v>24</v>
      </c>
      <c r="G3552" t="s">
        <v>80</v>
      </c>
      <c r="H3552" t="s">
        <v>60</v>
      </c>
      <c r="I3552" t="s">
        <v>61</v>
      </c>
      <c r="J3552" t="s">
        <v>123</v>
      </c>
      <c r="K3552" t="s">
        <v>58</v>
      </c>
      <c r="L3552">
        <v>2</v>
      </c>
      <c r="M3552">
        <v>144</v>
      </c>
      <c r="N3552">
        <v>21.6</v>
      </c>
      <c r="O3552">
        <v>30</v>
      </c>
      <c r="P3552">
        <v>288</v>
      </c>
      <c r="Q3552">
        <v>296.39999999999998</v>
      </c>
      <c r="R3552" t="s">
        <v>30</v>
      </c>
      <c r="S3552" t="s">
        <v>31</v>
      </c>
      <c r="T3552" t="s">
        <v>40</v>
      </c>
      <c r="U3552">
        <v>60</v>
      </c>
      <c r="V3552">
        <v>4.3</v>
      </c>
      <c r="W3552">
        <f>Table2[[#This Row],[Quantity]]*Table2[[#This Row],[Item_Price]]</f>
        <v>288</v>
      </c>
    </row>
    <row r="3553" spans="1:23" x14ac:dyDescent="0.25">
      <c r="A3553" t="s">
        <v>3655</v>
      </c>
      <c r="B3553" s="1">
        <v>45917</v>
      </c>
      <c r="C3553" t="s">
        <v>3450</v>
      </c>
      <c r="D3553">
        <v>9</v>
      </c>
      <c r="E3553">
        <v>17</v>
      </c>
      <c r="F3553" t="s">
        <v>24</v>
      </c>
      <c r="G3553" t="s">
        <v>80</v>
      </c>
      <c r="H3553" t="s">
        <v>56</v>
      </c>
      <c r="I3553" t="s">
        <v>97</v>
      </c>
      <c r="J3553" t="s">
        <v>172</v>
      </c>
      <c r="K3553" t="s">
        <v>58</v>
      </c>
      <c r="L3553">
        <v>1</v>
      </c>
      <c r="M3553">
        <v>316</v>
      </c>
      <c r="N3553">
        <v>47.4</v>
      </c>
      <c r="O3553">
        <v>20</v>
      </c>
      <c r="P3553">
        <v>316</v>
      </c>
      <c r="Q3553">
        <v>288.60000000000002</v>
      </c>
      <c r="R3553" t="s">
        <v>75</v>
      </c>
      <c r="S3553" t="s">
        <v>31</v>
      </c>
      <c r="T3553" t="s">
        <v>40</v>
      </c>
      <c r="U3553">
        <v>61</v>
      </c>
      <c r="V3553">
        <v>3.9</v>
      </c>
      <c r="W3553">
        <f>Table2[[#This Row],[Quantity]]*Table2[[#This Row],[Item_Price]]</f>
        <v>316</v>
      </c>
    </row>
    <row r="3554" spans="1:23" x14ac:dyDescent="0.25">
      <c r="A3554" t="s">
        <v>3656</v>
      </c>
      <c r="B3554" s="1">
        <v>45917</v>
      </c>
      <c r="C3554" t="s">
        <v>3450</v>
      </c>
      <c r="D3554">
        <v>9</v>
      </c>
      <c r="E3554">
        <v>17</v>
      </c>
      <c r="F3554" t="s">
        <v>24</v>
      </c>
      <c r="G3554" t="s">
        <v>90</v>
      </c>
      <c r="H3554" t="s">
        <v>68</v>
      </c>
      <c r="I3554" t="s">
        <v>36</v>
      </c>
      <c r="J3554" t="s">
        <v>123</v>
      </c>
      <c r="K3554" t="s">
        <v>38</v>
      </c>
      <c r="L3554">
        <v>1</v>
      </c>
      <c r="M3554">
        <v>797</v>
      </c>
      <c r="N3554">
        <v>159.4</v>
      </c>
      <c r="O3554">
        <v>40</v>
      </c>
      <c r="P3554">
        <v>797</v>
      </c>
      <c r="Q3554">
        <v>677.6</v>
      </c>
      <c r="R3554" t="s">
        <v>39</v>
      </c>
      <c r="S3554" t="s">
        <v>46</v>
      </c>
      <c r="T3554" t="s">
        <v>40</v>
      </c>
      <c r="U3554">
        <v>56</v>
      </c>
      <c r="W3554">
        <f>Table2[[#This Row],[Quantity]]*Table2[[#This Row],[Item_Price]]</f>
        <v>797</v>
      </c>
    </row>
    <row r="3555" spans="1:23" x14ac:dyDescent="0.25">
      <c r="A3555" t="s">
        <v>3657</v>
      </c>
      <c r="B3555" s="1">
        <v>45917</v>
      </c>
      <c r="C3555" t="s">
        <v>3450</v>
      </c>
      <c r="D3555">
        <v>9</v>
      </c>
      <c r="E3555">
        <v>17</v>
      </c>
      <c r="F3555" t="s">
        <v>24</v>
      </c>
      <c r="G3555" t="s">
        <v>25</v>
      </c>
      <c r="H3555" t="s">
        <v>35</v>
      </c>
      <c r="I3555" t="s">
        <v>103</v>
      </c>
      <c r="J3555" t="s">
        <v>101</v>
      </c>
      <c r="K3555" t="s">
        <v>45</v>
      </c>
      <c r="L3555">
        <v>3</v>
      </c>
      <c r="M3555">
        <v>319</v>
      </c>
      <c r="N3555">
        <v>31.9</v>
      </c>
      <c r="O3555">
        <v>20</v>
      </c>
      <c r="P3555">
        <v>957</v>
      </c>
      <c r="Q3555">
        <v>945.1</v>
      </c>
      <c r="R3555" t="s">
        <v>75</v>
      </c>
      <c r="S3555" t="s">
        <v>31</v>
      </c>
      <c r="T3555" t="s">
        <v>40</v>
      </c>
      <c r="U3555">
        <v>41</v>
      </c>
      <c r="V3555">
        <v>4.4000000000000004</v>
      </c>
      <c r="W3555">
        <f>Table2[[#This Row],[Quantity]]*Table2[[#This Row],[Item_Price]]</f>
        <v>957</v>
      </c>
    </row>
    <row r="3556" spans="1:23" x14ac:dyDescent="0.25">
      <c r="A3556" t="s">
        <v>3658</v>
      </c>
      <c r="B3556" s="1">
        <v>45917</v>
      </c>
      <c r="C3556" t="s">
        <v>3450</v>
      </c>
      <c r="D3556">
        <v>9</v>
      </c>
      <c r="E3556">
        <v>17</v>
      </c>
      <c r="F3556" t="s">
        <v>24</v>
      </c>
      <c r="G3556" t="s">
        <v>90</v>
      </c>
      <c r="H3556" t="s">
        <v>108</v>
      </c>
      <c r="I3556" t="s">
        <v>27</v>
      </c>
      <c r="J3556" t="s">
        <v>172</v>
      </c>
      <c r="K3556" t="s">
        <v>45</v>
      </c>
      <c r="L3556">
        <v>1</v>
      </c>
      <c r="M3556">
        <v>557</v>
      </c>
      <c r="N3556">
        <v>27.85</v>
      </c>
      <c r="O3556">
        <v>30</v>
      </c>
      <c r="P3556">
        <v>557</v>
      </c>
      <c r="Q3556">
        <v>559.15</v>
      </c>
      <c r="R3556" t="s">
        <v>39</v>
      </c>
      <c r="S3556" t="s">
        <v>31</v>
      </c>
      <c r="T3556" t="s">
        <v>32</v>
      </c>
      <c r="U3556">
        <v>25</v>
      </c>
      <c r="V3556">
        <v>3.2</v>
      </c>
      <c r="W3556">
        <f>Table2[[#This Row],[Quantity]]*Table2[[#This Row],[Item_Price]]</f>
        <v>557</v>
      </c>
    </row>
    <row r="3557" spans="1:23" x14ac:dyDescent="0.25">
      <c r="A3557" t="s">
        <v>3659</v>
      </c>
      <c r="B3557" s="1">
        <v>45917</v>
      </c>
      <c r="C3557" t="s">
        <v>3450</v>
      </c>
      <c r="D3557">
        <v>9</v>
      </c>
      <c r="E3557">
        <v>17</v>
      </c>
      <c r="F3557" t="s">
        <v>24</v>
      </c>
      <c r="G3557" t="s">
        <v>34</v>
      </c>
      <c r="H3557" t="s">
        <v>60</v>
      </c>
      <c r="I3557" t="s">
        <v>97</v>
      </c>
      <c r="J3557" t="s">
        <v>70</v>
      </c>
      <c r="K3557" t="s">
        <v>38</v>
      </c>
      <c r="L3557">
        <v>2</v>
      </c>
      <c r="M3557">
        <v>255</v>
      </c>
      <c r="N3557">
        <v>38.25</v>
      </c>
      <c r="O3557">
        <v>20</v>
      </c>
      <c r="P3557">
        <v>510</v>
      </c>
      <c r="Q3557">
        <v>491.75</v>
      </c>
      <c r="R3557" t="s">
        <v>39</v>
      </c>
      <c r="S3557" t="s">
        <v>31</v>
      </c>
      <c r="T3557" t="s">
        <v>40</v>
      </c>
      <c r="U3557">
        <v>19</v>
      </c>
      <c r="V3557">
        <v>3.4</v>
      </c>
      <c r="W3557">
        <f>Table2[[#This Row],[Quantity]]*Table2[[#This Row],[Item_Price]]</f>
        <v>510</v>
      </c>
    </row>
    <row r="3558" spans="1:23" x14ac:dyDescent="0.25">
      <c r="A3558" t="s">
        <v>3660</v>
      </c>
      <c r="B3558" s="1">
        <v>45917</v>
      </c>
      <c r="C3558" t="s">
        <v>3450</v>
      </c>
      <c r="D3558">
        <v>9</v>
      </c>
      <c r="E3558">
        <v>17</v>
      </c>
      <c r="F3558" t="s">
        <v>24</v>
      </c>
      <c r="G3558" t="s">
        <v>115</v>
      </c>
      <c r="H3558" t="s">
        <v>139</v>
      </c>
      <c r="I3558" t="s">
        <v>49</v>
      </c>
      <c r="J3558" t="s">
        <v>94</v>
      </c>
      <c r="K3558" t="s">
        <v>58</v>
      </c>
      <c r="L3558">
        <v>2</v>
      </c>
      <c r="M3558">
        <v>176</v>
      </c>
      <c r="N3558">
        <v>8.8000000000000007</v>
      </c>
      <c r="O3558">
        <v>20</v>
      </c>
      <c r="P3558">
        <v>352</v>
      </c>
      <c r="Q3558">
        <v>363.2</v>
      </c>
      <c r="R3558" t="s">
        <v>39</v>
      </c>
      <c r="S3558" t="s">
        <v>31</v>
      </c>
      <c r="T3558" t="s">
        <v>40</v>
      </c>
      <c r="U3558">
        <v>42</v>
      </c>
      <c r="V3558">
        <v>3.9</v>
      </c>
      <c r="W3558">
        <f>Table2[[#This Row],[Quantity]]*Table2[[#This Row],[Item_Price]]</f>
        <v>352</v>
      </c>
    </row>
    <row r="3559" spans="1:23" x14ac:dyDescent="0.25">
      <c r="A3559" t="s">
        <v>3661</v>
      </c>
      <c r="B3559" s="1">
        <v>45917</v>
      </c>
      <c r="C3559" t="s">
        <v>3450</v>
      </c>
      <c r="D3559">
        <v>9</v>
      </c>
      <c r="E3559">
        <v>17</v>
      </c>
      <c r="F3559" t="s">
        <v>24</v>
      </c>
      <c r="G3559" t="s">
        <v>34</v>
      </c>
      <c r="H3559" t="s">
        <v>135</v>
      </c>
      <c r="I3559" t="s">
        <v>85</v>
      </c>
      <c r="J3559" t="s">
        <v>44</v>
      </c>
      <c r="K3559" t="s">
        <v>29</v>
      </c>
      <c r="L3559">
        <v>1</v>
      </c>
      <c r="M3559">
        <v>674</v>
      </c>
      <c r="N3559">
        <v>134.80000000000001</v>
      </c>
      <c r="O3559">
        <v>30</v>
      </c>
      <c r="P3559">
        <v>674</v>
      </c>
      <c r="Q3559">
        <v>569.20000000000005</v>
      </c>
      <c r="R3559" t="s">
        <v>39</v>
      </c>
      <c r="S3559" t="s">
        <v>31</v>
      </c>
      <c r="T3559" t="s">
        <v>32</v>
      </c>
      <c r="U3559">
        <v>44</v>
      </c>
      <c r="V3559">
        <v>3</v>
      </c>
      <c r="W3559">
        <f>Table2[[#This Row],[Quantity]]*Table2[[#This Row],[Item_Price]]</f>
        <v>674</v>
      </c>
    </row>
    <row r="3560" spans="1:23" x14ac:dyDescent="0.25">
      <c r="A3560" t="s">
        <v>3662</v>
      </c>
      <c r="B3560" s="1">
        <v>45917</v>
      </c>
      <c r="C3560" t="s">
        <v>3450</v>
      </c>
      <c r="D3560">
        <v>9</v>
      </c>
      <c r="E3560">
        <v>17</v>
      </c>
      <c r="F3560" t="s">
        <v>24</v>
      </c>
      <c r="G3560" t="s">
        <v>55</v>
      </c>
      <c r="H3560" t="s">
        <v>105</v>
      </c>
      <c r="I3560" t="s">
        <v>97</v>
      </c>
      <c r="J3560" t="s">
        <v>37</v>
      </c>
      <c r="K3560" t="s">
        <v>38</v>
      </c>
      <c r="L3560">
        <v>2</v>
      </c>
      <c r="M3560">
        <v>269</v>
      </c>
      <c r="N3560">
        <v>26.9</v>
      </c>
      <c r="O3560">
        <v>40</v>
      </c>
      <c r="P3560">
        <v>538</v>
      </c>
      <c r="Q3560">
        <v>551.1</v>
      </c>
      <c r="R3560" t="s">
        <v>30</v>
      </c>
      <c r="S3560" t="s">
        <v>91</v>
      </c>
      <c r="T3560" t="s">
        <v>32</v>
      </c>
      <c r="U3560">
        <v>49</v>
      </c>
      <c r="W3560">
        <f>Table2[[#This Row],[Quantity]]*Table2[[#This Row],[Item_Price]]</f>
        <v>538</v>
      </c>
    </row>
    <row r="3561" spans="1:23" x14ac:dyDescent="0.25">
      <c r="A3561" t="s">
        <v>3663</v>
      </c>
      <c r="B3561" s="1">
        <v>45917</v>
      </c>
      <c r="C3561" t="s">
        <v>3450</v>
      </c>
      <c r="D3561">
        <v>9</v>
      </c>
      <c r="E3561">
        <v>17</v>
      </c>
      <c r="F3561" t="s">
        <v>24</v>
      </c>
      <c r="G3561" t="s">
        <v>25</v>
      </c>
      <c r="H3561" t="s">
        <v>77</v>
      </c>
      <c r="I3561" t="s">
        <v>43</v>
      </c>
      <c r="J3561" t="s">
        <v>123</v>
      </c>
      <c r="K3561" t="s">
        <v>29</v>
      </c>
      <c r="L3561">
        <v>1</v>
      </c>
      <c r="M3561">
        <v>269</v>
      </c>
      <c r="N3561">
        <v>53.8</v>
      </c>
      <c r="O3561">
        <v>40</v>
      </c>
      <c r="P3561">
        <v>269</v>
      </c>
      <c r="Q3561">
        <v>255.2</v>
      </c>
      <c r="R3561" t="s">
        <v>112</v>
      </c>
      <c r="S3561" t="s">
        <v>91</v>
      </c>
      <c r="T3561" t="s">
        <v>40</v>
      </c>
      <c r="U3561">
        <v>68</v>
      </c>
      <c r="W3561">
        <f>Table2[[#This Row],[Quantity]]*Table2[[#This Row],[Item_Price]]</f>
        <v>269</v>
      </c>
    </row>
    <row r="3562" spans="1:23" x14ac:dyDescent="0.25">
      <c r="A3562" t="s">
        <v>3664</v>
      </c>
      <c r="B3562" s="1">
        <v>45918</v>
      </c>
      <c r="C3562" t="s">
        <v>3450</v>
      </c>
      <c r="D3562">
        <v>9</v>
      </c>
      <c r="E3562">
        <v>18</v>
      </c>
      <c r="F3562" t="s">
        <v>88</v>
      </c>
      <c r="G3562" t="s">
        <v>64</v>
      </c>
      <c r="H3562" t="s">
        <v>52</v>
      </c>
      <c r="I3562" t="s">
        <v>61</v>
      </c>
      <c r="J3562" t="s">
        <v>37</v>
      </c>
      <c r="K3562" t="s">
        <v>45</v>
      </c>
      <c r="L3562">
        <v>2</v>
      </c>
      <c r="M3562">
        <v>594</v>
      </c>
      <c r="N3562">
        <v>29.7</v>
      </c>
      <c r="O3562">
        <v>30</v>
      </c>
      <c r="P3562">
        <v>1188</v>
      </c>
      <c r="Q3562">
        <v>1188.3</v>
      </c>
      <c r="R3562" t="s">
        <v>39</v>
      </c>
      <c r="S3562" t="s">
        <v>110</v>
      </c>
      <c r="T3562" t="s">
        <v>40</v>
      </c>
      <c r="U3562">
        <v>64</v>
      </c>
      <c r="W3562">
        <f>Table2[[#This Row],[Quantity]]*Table2[[#This Row],[Item_Price]]</f>
        <v>1188</v>
      </c>
    </row>
    <row r="3563" spans="1:23" x14ac:dyDescent="0.25">
      <c r="A3563" t="s">
        <v>3665</v>
      </c>
      <c r="B3563" s="1">
        <v>45918</v>
      </c>
      <c r="C3563" t="s">
        <v>3450</v>
      </c>
      <c r="D3563">
        <v>9</v>
      </c>
      <c r="E3563">
        <v>18</v>
      </c>
      <c r="F3563" t="s">
        <v>88</v>
      </c>
      <c r="G3563" t="s">
        <v>73</v>
      </c>
      <c r="H3563" t="s">
        <v>105</v>
      </c>
      <c r="I3563" t="s">
        <v>103</v>
      </c>
      <c r="J3563" t="s">
        <v>74</v>
      </c>
      <c r="K3563" t="s">
        <v>38</v>
      </c>
      <c r="L3563">
        <v>1</v>
      </c>
      <c r="M3563">
        <v>407</v>
      </c>
      <c r="N3563">
        <v>20.350000000000001</v>
      </c>
      <c r="O3563">
        <v>40</v>
      </c>
      <c r="P3563">
        <v>407</v>
      </c>
      <c r="Q3563">
        <v>426.65</v>
      </c>
      <c r="R3563" t="s">
        <v>30</v>
      </c>
      <c r="S3563" t="s">
        <v>31</v>
      </c>
      <c r="T3563" t="s">
        <v>32</v>
      </c>
      <c r="U3563">
        <v>48</v>
      </c>
      <c r="V3563">
        <v>3.8</v>
      </c>
      <c r="W3563">
        <f>Table2[[#This Row],[Quantity]]*Table2[[#This Row],[Item_Price]]</f>
        <v>407</v>
      </c>
    </row>
    <row r="3564" spans="1:23" x14ac:dyDescent="0.25">
      <c r="A3564" t="s">
        <v>3666</v>
      </c>
      <c r="B3564" s="1">
        <v>45918</v>
      </c>
      <c r="C3564" t="s">
        <v>3450</v>
      </c>
      <c r="D3564">
        <v>9</v>
      </c>
      <c r="E3564">
        <v>18</v>
      </c>
      <c r="F3564" t="s">
        <v>88</v>
      </c>
      <c r="G3564" t="s">
        <v>90</v>
      </c>
      <c r="H3564" t="s">
        <v>48</v>
      </c>
      <c r="I3564" t="s">
        <v>97</v>
      </c>
      <c r="J3564" t="s">
        <v>82</v>
      </c>
      <c r="K3564" t="s">
        <v>45</v>
      </c>
      <c r="L3564">
        <v>2</v>
      </c>
      <c r="M3564">
        <v>512</v>
      </c>
      <c r="N3564">
        <v>76.8</v>
      </c>
      <c r="O3564">
        <v>30</v>
      </c>
      <c r="P3564">
        <v>1024</v>
      </c>
      <c r="Q3564">
        <v>977.2</v>
      </c>
      <c r="R3564" t="s">
        <v>39</v>
      </c>
      <c r="S3564" t="s">
        <v>31</v>
      </c>
      <c r="T3564" t="s">
        <v>40</v>
      </c>
      <c r="U3564">
        <v>28</v>
      </c>
      <c r="V3564">
        <v>4.2</v>
      </c>
      <c r="W3564">
        <f>Table2[[#This Row],[Quantity]]*Table2[[#This Row],[Item_Price]]</f>
        <v>1024</v>
      </c>
    </row>
    <row r="3565" spans="1:23" x14ac:dyDescent="0.25">
      <c r="A3565" t="s">
        <v>3667</v>
      </c>
      <c r="B3565" s="1">
        <v>45918</v>
      </c>
      <c r="C3565" t="s">
        <v>3450</v>
      </c>
      <c r="D3565">
        <v>9</v>
      </c>
      <c r="E3565">
        <v>18</v>
      </c>
      <c r="F3565" t="s">
        <v>88</v>
      </c>
      <c r="G3565" t="s">
        <v>115</v>
      </c>
      <c r="H3565" t="s">
        <v>139</v>
      </c>
      <c r="I3565" t="s">
        <v>97</v>
      </c>
      <c r="J3565" t="s">
        <v>66</v>
      </c>
      <c r="K3565" t="s">
        <v>45</v>
      </c>
      <c r="L3565">
        <v>1</v>
      </c>
      <c r="M3565">
        <v>131</v>
      </c>
      <c r="N3565">
        <v>0</v>
      </c>
      <c r="O3565">
        <v>30</v>
      </c>
      <c r="P3565">
        <v>131</v>
      </c>
      <c r="Q3565">
        <v>161</v>
      </c>
      <c r="R3565" t="s">
        <v>39</v>
      </c>
      <c r="S3565" t="s">
        <v>31</v>
      </c>
      <c r="T3565" t="s">
        <v>32</v>
      </c>
      <c r="U3565">
        <v>53</v>
      </c>
      <c r="V3565">
        <v>3.8</v>
      </c>
      <c r="W3565">
        <f>Table2[[#This Row],[Quantity]]*Table2[[#This Row],[Item_Price]]</f>
        <v>131</v>
      </c>
    </row>
    <row r="3566" spans="1:23" x14ac:dyDescent="0.25">
      <c r="A3566" t="s">
        <v>3668</v>
      </c>
      <c r="B3566" s="1">
        <v>45918</v>
      </c>
      <c r="C3566" t="s">
        <v>3450</v>
      </c>
      <c r="D3566">
        <v>9</v>
      </c>
      <c r="E3566">
        <v>18</v>
      </c>
      <c r="F3566" t="s">
        <v>88</v>
      </c>
      <c r="G3566" t="s">
        <v>25</v>
      </c>
      <c r="H3566" t="s">
        <v>139</v>
      </c>
      <c r="I3566" t="s">
        <v>97</v>
      </c>
      <c r="J3566" t="s">
        <v>101</v>
      </c>
      <c r="K3566" t="s">
        <v>45</v>
      </c>
      <c r="L3566">
        <v>3</v>
      </c>
      <c r="M3566">
        <v>415</v>
      </c>
      <c r="N3566">
        <v>41.5</v>
      </c>
      <c r="O3566">
        <v>30</v>
      </c>
      <c r="P3566">
        <v>1245</v>
      </c>
      <c r="Q3566">
        <v>1233.5</v>
      </c>
      <c r="R3566" t="s">
        <v>39</v>
      </c>
      <c r="S3566" t="s">
        <v>31</v>
      </c>
      <c r="T3566" t="s">
        <v>40</v>
      </c>
      <c r="U3566">
        <v>19</v>
      </c>
      <c r="V3566">
        <v>5</v>
      </c>
      <c r="W3566">
        <f>Table2[[#This Row],[Quantity]]*Table2[[#This Row],[Item_Price]]</f>
        <v>1245</v>
      </c>
    </row>
    <row r="3567" spans="1:23" x14ac:dyDescent="0.25">
      <c r="A3567" t="s">
        <v>3669</v>
      </c>
      <c r="B3567" s="1">
        <v>45918</v>
      </c>
      <c r="C3567" t="s">
        <v>3450</v>
      </c>
      <c r="D3567">
        <v>9</v>
      </c>
      <c r="E3567">
        <v>18</v>
      </c>
      <c r="F3567" t="s">
        <v>88</v>
      </c>
      <c r="G3567" t="s">
        <v>96</v>
      </c>
      <c r="H3567" t="s">
        <v>35</v>
      </c>
      <c r="I3567" t="s">
        <v>57</v>
      </c>
      <c r="J3567" t="s">
        <v>66</v>
      </c>
      <c r="K3567" t="s">
        <v>38</v>
      </c>
      <c r="L3567">
        <v>2</v>
      </c>
      <c r="M3567">
        <v>148</v>
      </c>
      <c r="N3567">
        <v>29.6</v>
      </c>
      <c r="O3567">
        <v>0</v>
      </c>
      <c r="P3567">
        <v>296</v>
      </c>
      <c r="Q3567">
        <v>266.39999999999998</v>
      </c>
      <c r="R3567" t="s">
        <v>98</v>
      </c>
      <c r="S3567" t="s">
        <v>31</v>
      </c>
      <c r="T3567" t="s">
        <v>40</v>
      </c>
      <c r="U3567">
        <v>20</v>
      </c>
      <c r="V3567">
        <v>2.9</v>
      </c>
      <c r="W3567">
        <f>Table2[[#This Row],[Quantity]]*Table2[[#This Row],[Item_Price]]</f>
        <v>296</v>
      </c>
    </row>
    <row r="3568" spans="1:23" x14ac:dyDescent="0.25">
      <c r="A3568" t="s">
        <v>3670</v>
      </c>
      <c r="B3568" s="1">
        <v>45918</v>
      </c>
      <c r="C3568" t="s">
        <v>3450</v>
      </c>
      <c r="D3568">
        <v>9</v>
      </c>
      <c r="E3568">
        <v>18</v>
      </c>
      <c r="F3568" t="s">
        <v>88</v>
      </c>
      <c r="G3568" t="s">
        <v>73</v>
      </c>
      <c r="H3568" t="s">
        <v>26</v>
      </c>
      <c r="I3568" t="s">
        <v>36</v>
      </c>
      <c r="J3568" t="s">
        <v>53</v>
      </c>
      <c r="K3568" t="s">
        <v>45</v>
      </c>
      <c r="L3568">
        <v>1</v>
      </c>
      <c r="M3568">
        <v>855</v>
      </c>
      <c r="N3568">
        <v>42.75</v>
      </c>
      <c r="O3568">
        <v>20</v>
      </c>
      <c r="P3568">
        <v>855</v>
      </c>
      <c r="Q3568">
        <v>832.25</v>
      </c>
      <c r="R3568" t="s">
        <v>75</v>
      </c>
      <c r="S3568" t="s">
        <v>31</v>
      </c>
      <c r="T3568" t="s">
        <v>40</v>
      </c>
      <c r="U3568">
        <v>47</v>
      </c>
      <c r="V3568">
        <v>4.3</v>
      </c>
      <c r="W3568">
        <f>Table2[[#This Row],[Quantity]]*Table2[[#This Row],[Item_Price]]</f>
        <v>855</v>
      </c>
    </row>
    <row r="3569" spans="1:23" x14ac:dyDescent="0.25">
      <c r="A3569" t="s">
        <v>3671</v>
      </c>
      <c r="B3569" s="1">
        <v>45918</v>
      </c>
      <c r="C3569" t="s">
        <v>3450</v>
      </c>
      <c r="D3569">
        <v>9</v>
      </c>
      <c r="E3569">
        <v>18</v>
      </c>
      <c r="F3569" t="s">
        <v>88</v>
      </c>
      <c r="G3569" t="s">
        <v>115</v>
      </c>
      <c r="H3569" t="s">
        <v>56</v>
      </c>
      <c r="I3569" t="s">
        <v>27</v>
      </c>
      <c r="J3569" t="s">
        <v>50</v>
      </c>
      <c r="K3569" t="s">
        <v>38</v>
      </c>
      <c r="L3569">
        <v>1</v>
      </c>
      <c r="M3569">
        <v>434</v>
      </c>
      <c r="N3569">
        <v>86.8</v>
      </c>
      <c r="O3569">
        <v>20</v>
      </c>
      <c r="P3569">
        <v>434</v>
      </c>
      <c r="Q3569">
        <v>367.2</v>
      </c>
      <c r="R3569" t="s">
        <v>98</v>
      </c>
      <c r="S3569" t="s">
        <v>31</v>
      </c>
      <c r="T3569" t="s">
        <v>40</v>
      </c>
      <c r="U3569">
        <v>57</v>
      </c>
      <c r="V3569">
        <v>5</v>
      </c>
      <c r="W3569">
        <f>Table2[[#This Row],[Quantity]]*Table2[[#This Row],[Item_Price]]</f>
        <v>434</v>
      </c>
    </row>
    <row r="3570" spans="1:23" x14ac:dyDescent="0.25">
      <c r="A3570" t="s">
        <v>3672</v>
      </c>
      <c r="B3570" s="1">
        <v>45918</v>
      </c>
      <c r="C3570" t="s">
        <v>3450</v>
      </c>
      <c r="D3570">
        <v>9</v>
      </c>
      <c r="E3570">
        <v>18</v>
      </c>
      <c r="F3570" t="s">
        <v>88</v>
      </c>
      <c r="G3570" t="s">
        <v>73</v>
      </c>
      <c r="H3570" t="s">
        <v>26</v>
      </c>
      <c r="I3570" t="s">
        <v>97</v>
      </c>
      <c r="J3570" t="s">
        <v>119</v>
      </c>
      <c r="K3570" t="s">
        <v>38</v>
      </c>
      <c r="L3570">
        <v>2</v>
      </c>
      <c r="M3570">
        <v>385</v>
      </c>
      <c r="N3570">
        <v>38.5</v>
      </c>
      <c r="O3570">
        <v>70</v>
      </c>
      <c r="P3570">
        <v>770</v>
      </c>
      <c r="Q3570">
        <v>801.5</v>
      </c>
      <c r="R3570" t="s">
        <v>39</v>
      </c>
      <c r="S3570" t="s">
        <v>31</v>
      </c>
      <c r="T3570" t="s">
        <v>40</v>
      </c>
      <c r="U3570">
        <v>18</v>
      </c>
      <c r="V3570">
        <v>5</v>
      </c>
      <c r="W3570">
        <f>Table2[[#This Row],[Quantity]]*Table2[[#This Row],[Item_Price]]</f>
        <v>770</v>
      </c>
    </row>
    <row r="3571" spans="1:23" x14ac:dyDescent="0.25">
      <c r="A3571" t="s">
        <v>3673</v>
      </c>
      <c r="B3571" s="1">
        <v>45918</v>
      </c>
      <c r="C3571" t="s">
        <v>3450</v>
      </c>
      <c r="D3571">
        <v>9</v>
      </c>
      <c r="E3571">
        <v>18</v>
      </c>
      <c r="F3571" t="s">
        <v>88</v>
      </c>
      <c r="G3571" t="s">
        <v>55</v>
      </c>
      <c r="H3571" t="s">
        <v>42</v>
      </c>
      <c r="I3571" t="s">
        <v>27</v>
      </c>
      <c r="J3571" t="s">
        <v>28</v>
      </c>
      <c r="K3571" t="s">
        <v>58</v>
      </c>
      <c r="L3571">
        <v>3</v>
      </c>
      <c r="M3571">
        <v>351</v>
      </c>
      <c r="N3571">
        <v>17.55</v>
      </c>
      <c r="O3571">
        <v>40</v>
      </c>
      <c r="P3571">
        <v>1053</v>
      </c>
      <c r="Q3571">
        <v>1075.45</v>
      </c>
      <c r="R3571" t="s">
        <v>30</v>
      </c>
      <c r="S3571" t="s">
        <v>31</v>
      </c>
      <c r="T3571" t="s">
        <v>40</v>
      </c>
      <c r="U3571">
        <v>38</v>
      </c>
      <c r="V3571">
        <v>3.9</v>
      </c>
      <c r="W3571">
        <f>Table2[[#This Row],[Quantity]]*Table2[[#This Row],[Item_Price]]</f>
        <v>1053</v>
      </c>
    </row>
    <row r="3572" spans="1:23" x14ac:dyDescent="0.25">
      <c r="A3572" t="s">
        <v>3674</v>
      </c>
      <c r="B3572" s="1">
        <v>45918</v>
      </c>
      <c r="C3572" t="s">
        <v>3450</v>
      </c>
      <c r="D3572">
        <v>9</v>
      </c>
      <c r="E3572">
        <v>18</v>
      </c>
      <c r="F3572" t="s">
        <v>88</v>
      </c>
      <c r="G3572" t="s">
        <v>80</v>
      </c>
      <c r="H3572" t="s">
        <v>139</v>
      </c>
      <c r="I3572" t="s">
        <v>27</v>
      </c>
      <c r="J3572" t="s">
        <v>66</v>
      </c>
      <c r="K3572" t="s">
        <v>38</v>
      </c>
      <c r="L3572">
        <v>1</v>
      </c>
      <c r="M3572">
        <v>122</v>
      </c>
      <c r="N3572">
        <v>0</v>
      </c>
      <c r="O3572">
        <v>0</v>
      </c>
      <c r="P3572">
        <v>122</v>
      </c>
      <c r="Q3572">
        <v>122</v>
      </c>
      <c r="R3572" t="s">
        <v>112</v>
      </c>
      <c r="S3572" t="s">
        <v>31</v>
      </c>
      <c r="T3572" t="s">
        <v>40</v>
      </c>
      <c r="U3572">
        <v>43</v>
      </c>
      <c r="V3572">
        <v>4.9000000000000004</v>
      </c>
      <c r="W3572">
        <f>Table2[[#This Row],[Quantity]]*Table2[[#This Row],[Item_Price]]</f>
        <v>122</v>
      </c>
    </row>
    <row r="3573" spans="1:23" x14ac:dyDescent="0.25">
      <c r="A3573" t="s">
        <v>3675</v>
      </c>
      <c r="B3573" s="1">
        <v>45918</v>
      </c>
      <c r="C3573" t="s">
        <v>3450</v>
      </c>
      <c r="D3573">
        <v>9</v>
      </c>
      <c r="E3573">
        <v>18</v>
      </c>
      <c r="F3573" t="s">
        <v>88</v>
      </c>
      <c r="G3573" t="s">
        <v>34</v>
      </c>
      <c r="H3573" t="s">
        <v>56</v>
      </c>
      <c r="I3573" t="s">
        <v>61</v>
      </c>
      <c r="J3573" t="s">
        <v>74</v>
      </c>
      <c r="K3573" t="s">
        <v>38</v>
      </c>
      <c r="L3573">
        <v>2</v>
      </c>
      <c r="M3573">
        <v>681</v>
      </c>
      <c r="N3573">
        <v>68.099999999999994</v>
      </c>
      <c r="O3573">
        <v>50</v>
      </c>
      <c r="P3573">
        <v>1362</v>
      </c>
      <c r="Q3573">
        <v>1343.9</v>
      </c>
      <c r="R3573" t="s">
        <v>39</v>
      </c>
      <c r="S3573" t="s">
        <v>31</v>
      </c>
      <c r="T3573" t="s">
        <v>32</v>
      </c>
      <c r="U3573">
        <v>40</v>
      </c>
      <c r="V3573">
        <v>4.3</v>
      </c>
      <c r="W3573">
        <f>Table2[[#This Row],[Quantity]]*Table2[[#This Row],[Item_Price]]</f>
        <v>1362</v>
      </c>
    </row>
    <row r="3574" spans="1:23" x14ac:dyDescent="0.25">
      <c r="A3574" t="s">
        <v>3676</v>
      </c>
      <c r="B3574" s="1">
        <v>45919</v>
      </c>
      <c r="C3574" t="s">
        <v>3450</v>
      </c>
      <c r="D3574">
        <v>9</v>
      </c>
      <c r="E3574">
        <v>19</v>
      </c>
      <c r="F3574" t="s">
        <v>114</v>
      </c>
      <c r="G3574" t="s">
        <v>96</v>
      </c>
      <c r="H3574" t="s">
        <v>81</v>
      </c>
      <c r="I3574" t="s">
        <v>27</v>
      </c>
      <c r="J3574" t="s">
        <v>123</v>
      </c>
      <c r="K3574" t="s">
        <v>38</v>
      </c>
      <c r="L3574">
        <v>1</v>
      </c>
      <c r="M3574">
        <v>783</v>
      </c>
      <c r="N3574">
        <v>0</v>
      </c>
      <c r="O3574">
        <v>30</v>
      </c>
      <c r="P3574">
        <v>783</v>
      </c>
      <c r="Q3574">
        <v>813</v>
      </c>
      <c r="R3574" t="s">
        <v>39</v>
      </c>
      <c r="S3574" t="s">
        <v>46</v>
      </c>
      <c r="T3574" t="s">
        <v>40</v>
      </c>
      <c r="U3574">
        <v>20</v>
      </c>
      <c r="W3574">
        <f>Table2[[#This Row],[Quantity]]*Table2[[#This Row],[Item_Price]]</f>
        <v>783</v>
      </c>
    </row>
    <row r="3575" spans="1:23" x14ac:dyDescent="0.25">
      <c r="A3575" t="s">
        <v>3677</v>
      </c>
      <c r="B3575" s="1">
        <v>45919</v>
      </c>
      <c r="C3575" t="s">
        <v>3450</v>
      </c>
      <c r="D3575">
        <v>9</v>
      </c>
      <c r="E3575">
        <v>19</v>
      </c>
      <c r="F3575" t="s">
        <v>114</v>
      </c>
      <c r="G3575" t="s">
        <v>34</v>
      </c>
      <c r="H3575" t="s">
        <v>139</v>
      </c>
      <c r="I3575" t="s">
        <v>43</v>
      </c>
      <c r="J3575" t="s">
        <v>78</v>
      </c>
      <c r="K3575" t="s">
        <v>58</v>
      </c>
      <c r="L3575">
        <v>3</v>
      </c>
      <c r="M3575">
        <v>154</v>
      </c>
      <c r="N3575">
        <v>23.1</v>
      </c>
      <c r="O3575">
        <v>40</v>
      </c>
      <c r="P3575">
        <v>462</v>
      </c>
      <c r="Q3575">
        <v>478.9</v>
      </c>
      <c r="R3575" t="s">
        <v>39</v>
      </c>
      <c r="S3575" t="s">
        <v>31</v>
      </c>
      <c r="T3575" t="s">
        <v>40</v>
      </c>
      <c r="U3575">
        <v>29</v>
      </c>
      <c r="V3575">
        <v>4.2</v>
      </c>
      <c r="W3575">
        <f>Table2[[#This Row],[Quantity]]*Table2[[#This Row],[Item_Price]]</f>
        <v>462</v>
      </c>
    </row>
    <row r="3576" spans="1:23" x14ac:dyDescent="0.25">
      <c r="A3576" t="s">
        <v>3678</v>
      </c>
      <c r="B3576" s="1">
        <v>45919</v>
      </c>
      <c r="C3576" t="s">
        <v>3450</v>
      </c>
      <c r="D3576">
        <v>9</v>
      </c>
      <c r="E3576">
        <v>19</v>
      </c>
      <c r="F3576" t="s">
        <v>114</v>
      </c>
      <c r="G3576" t="s">
        <v>73</v>
      </c>
      <c r="H3576" t="s">
        <v>108</v>
      </c>
      <c r="I3576" t="s">
        <v>103</v>
      </c>
      <c r="J3576" t="s">
        <v>62</v>
      </c>
      <c r="K3576" t="s">
        <v>38</v>
      </c>
      <c r="L3576">
        <v>2</v>
      </c>
      <c r="M3576">
        <v>417</v>
      </c>
      <c r="N3576">
        <v>20.85</v>
      </c>
      <c r="O3576">
        <v>40</v>
      </c>
      <c r="P3576">
        <v>834</v>
      </c>
      <c r="Q3576">
        <v>853.15</v>
      </c>
      <c r="R3576" t="s">
        <v>39</v>
      </c>
      <c r="S3576" t="s">
        <v>31</v>
      </c>
      <c r="T3576" t="s">
        <v>40</v>
      </c>
      <c r="U3576">
        <v>37</v>
      </c>
      <c r="V3576">
        <v>4.9000000000000004</v>
      </c>
      <c r="W3576">
        <f>Table2[[#This Row],[Quantity]]*Table2[[#This Row],[Item_Price]]</f>
        <v>834</v>
      </c>
    </row>
    <row r="3577" spans="1:23" x14ac:dyDescent="0.25">
      <c r="A3577" t="s">
        <v>3679</v>
      </c>
      <c r="B3577" s="1">
        <v>45919</v>
      </c>
      <c r="C3577" t="s">
        <v>3450</v>
      </c>
      <c r="D3577">
        <v>9</v>
      </c>
      <c r="E3577">
        <v>19</v>
      </c>
      <c r="F3577" t="s">
        <v>114</v>
      </c>
      <c r="G3577" t="s">
        <v>55</v>
      </c>
      <c r="H3577" t="s">
        <v>81</v>
      </c>
      <c r="I3577" t="s">
        <v>97</v>
      </c>
      <c r="J3577" t="s">
        <v>119</v>
      </c>
      <c r="K3577" t="s">
        <v>45</v>
      </c>
      <c r="L3577">
        <v>1</v>
      </c>
      <c r="M3577">
        <v>501</v>
      </c>
      <c r="N3577">
        <v>75.150000000000006</v>
      </c>
      <c r="O3577">
        <v>0</v>
      </c>
      <c r="P3577">
        <v>501</v>
      </c>
      <c r="Q3577">
        <v>425.85</v>
      </c>
      <c r="R3577" t="s">
        <v>39</v>
      </c>
      <c r="S3577" t="s">
        <v>31</v>
      </c>
      <c r="T3577" t="s">
        <v>32</v>
      </c>
      <c r="U3577">
        <v>19</v>
      </c>
      <c r="V3577">
        <v>3.2</v>
      </c>
      <c r="W3577">
        <f>Table2[[#This Row],[Quantity]]*Table2[[#This Row],[Item_Price]]</f>
        <v>501</v>
      </c>
    </row>
    <row r="3578" spans="1:23" x14ac:dyDescent="0.25">
      <c r="A3578" t="s">
        <v>3680</v>
      </c>
      <c r="B3578" s="1">
        <v>45919</v>
      </c>
      <c r="C3578" t="s">
        <v>3450</v>
      </c>
      <c r="D3578">
        <v>9</v>
      </c>
      <c r="E3578">
        <v>19</v>
      </c>
      <c r="F3578" t="s">
        <v>114</v>
      </c>
      <c r="G3578" t="s">
        <v>90</v>
      </c>
      <c r="H3578" t="s">
        <v>139</v>
      </c>
      <c r="I3578" t="s">
        <v>27</v>
      </c>
      <c r="J3578" t="s">
        <v>82</v>
      </c>
      <c r="K3578" t="s">
        <v>45</v>
      </c>
      <c r="L3578">
        <v>3</v>
      </c>
      <c r="M3578">
        <v>192</v>
      </c>
      <c r="N3578">
        <v>19.2</v>
      </c>
      <c r="O3578">
        <v>40</v>
      </c>
      <c r="P3578">
        <v>576</v>
      </c>
      <c r="Q3578">
        <v>596.79999999999995</v>
      </c>
      <c r="R3578" t="s">
        <v>30</v>
      </c>
      <c r="S3578" t="s">
        <v>110</v>
      </c>
      <c r="T3578" t="s">
        <v>40</v>
      </c>
      <c r="U3578">
        <v>67</v>
      </c>
      <c r="W3578">
        <f>Table2[[#This Row],[Quantity]]*Table2[[#This Row],[Item_Price]]</f>
        <v>576</v>
      </c>
    </row>
    <row r="3579" spans="1:23" x14ac:dyDescent="0.25">
      <c r="A3579" t="s">
        <v>3681</v>
      </c>
      <c r="B3579" s="1">
        <v>45919</v>
      </c>
      <c r="C3579" t="s">
        <v>3450</v>
      </c>
      <c r="D3579">
        <v>9</v>
      </c>
      <c r="E3579">
        <v>19</v>
      </c>
      <c r="F3579" t="s">
        <v>114</v>
      </c>
      <c r="G3579" t="s">
        <v>25</v>
      </c>
      <c r="H3579" t="s">
        <v>65</v>
      </c>
      <c r="I3579" t="s">
        <v>49</v>
      </c>
      <c r="J3579" t="s">
        <v>119</v>
      </c>
      <c r="K3579" t="s">
        <v>38</v>
      </c>
      <c r="L3579">
        <v>3</v>
      </c>
      <c r="M3579">
        <v>704</v>
      </c>
      <c r="N3579">
        <v>176</v>
      </c>
      <c r="O3579">
        <v>30</v>
      </c>
      <c r="P3579">
        <v>2112</v>
      </c>
      <c r="Q3579">
        <v>1966</v>
      </c>
      <c r="R3579" t="s">
        <v>30</v>
      </c>
      <c r="S3579" t="s">
        <v>31</v>
      </c>
      <c r="T3579" t="s">
        <v>40</v>
      </c>
      <c r="U3579">
        <v>64</v>
      </c>
      <c r="V3579">
        <v>3.6</v>
      </c>
      <c r="W3579">
        <f>Table2[[#This Row],[Quantity]]*Table2[[#This Row],[Item_Price]]</f>
        <v>2112</v>
      </c>
    </row>
    <row r="3580" spans="1:23" x14ac:dyDescent="0.25">
      <c r="A3580" t="s">
        <v>3682</v>
      </c>
      <c r="B3580" s="1">
        <v>45919</v>
      </c>
      <c r="C3580" t="s">
        <v>3450</v>
      </c>
      <c r="D3580">
        <v>9</v>
      </c>
      <c r="E3580">
        <v>19</v>
      </c>
      <c r="F3580" t="s">
        <v>114</v>
      </c>
      <c r="G3580" t="s">
        <v>25</v>
      </c>
      <c r="H3580" t="s">
        <v>139</v>
      </c>
      <c r="I3580" t="s">
        <v>97</v>
      </c>
      <c r="J3580" t="s">
        <v>28</v>
      </c>
      <c r="K3580" t="s">
        <v>38</v>
      </c>
      <c r="L3580">
        <v>3</v>
      </c>
      <c r="M3580">
        <v>871</v>
      </c>
      <c r="N3580">
        <v>0</v>
      </c>
      <c r="O3580">
        <v>50</v>
      </c>
      <c r="P3580">
        <v>2613</v>
      </c>
      <c r="Q3580">
        <v>2663</v>
      </c>
      <c r="R3580" t="s">
        <v>39</v>
      </c>
      <c r="S3580" t="s">
        <v>31</v>
      </c>
      <c r="T3580" t="s">
        <v>40</v>
      </c>
      <c r="U3580">
        <v>66</v>
      </c>
      <c r="V3580">
        <v>4.0999999999999996</v>
      </c>
      <c r="W3580">
        <f>Table2[[#This Row],[Quantity]]*Table2[[#This Row],[Item_Price]]</f>
        <v>2613</v>
      </c>
    </row>
    <row r="3581" spans="1:23" x14ac:dyDescent="0.25">
      <c r="A3581" t="s">
        <v>3683</v>
      </c>
      <c r="B3581" s="1">
        <v>45919</v>
      </c>
      <c r="C3581" t="s">
        <v>3450</v>
      </c>
      <c r="D3581">
        <v>9</v>
      </c>
      <c r="E3581">
        <v>19</v>
      </c>
      <c r="F3581" t="s">
        <v>114</v>
      </c>
      <c r="G3581" t="s">
        <v>90</v>
      </c>
      <c r="H3581" t="s">
        <v>35</v>
      </c>
      <c r="I3581" t="s">
        <v>61</v>
      </c>
      <c r="J3581" t="s">
        <v>37</v>
      </c>
      <c r="K3581" t="s">
        <v>38</v>
      </c>
      <c r="L3581">
        <v>3</v>
      </c>
      <c r="M3581">
        <v>222</v>
      </c>
      <c r="N3581">
        <v>0</v>
      </c>
      <c r="O3581">
        <v>40</v>
      </c>
      <c r="P3581">
        <v>666</v>
      </c>
      <c r="Q3581">
        <v>706</v>
      </c>
      <c r="R3581" t="s">
        <v>39</v>
      </c>
      <c r="S3581" t="s">
        <v>31</v>
      </c>
      <c r="T3581" t="s">
        <v>32</v>
      </c>
      <c r="U3581">
        <v>67</v>
      </c>
      <c r="V3581">
        <v>3.9</v>
      </c>
      <c r="W3581">
        <f>Table2[[#This Row],[Quantity]]*Table2[[#This Row],[Item_Price]]</f>
        <v>666</v>
      </c>
    </row>
    <row r="3582" spans="1:23" x14ac:dyDescent="0.25">
      <c r="A3582" t="s">
        <v>3684</v>
      </c>
      <c r="B3582" s="1">
        <v>45919</v>
      </c>
      <c r="C3582" t="s">
        <v>3450</v>
      </c>
      <c r="D3582">
        <v>9</v>
      </c>
      <c r="E3582">
        <v>19</v>
      </c>
      <c r="F3582" t="s">
        <v>114</v>
      </c>
      <c r="G3582" t="s">
        <v>34</v>
      </c>
      <c r="H3582" t="s">
        <v>81</v>
      </c>
      <c r="I3582" t="s">
        <v>57</v>
      </c>
      <c r="J3582" t="s">
        <v>123</v>
      </c>
      <c r="K3582" t="s">
        <v>38</v>
      </c>
      <c r="L3582">
        <v>1</v>
      </c>
      <c r="M3582">
        <v>165</v>
      </c>
      <c r="N3582">
        <v>24.75</v>
      </c>
      <c r="O3582">
        <v>30</v>
      </c>
      <c r="P3582">
        <v>165</v>
      </c>
      <c r="Q3582">
        <v>170.25</v>
      </c>
      <c r="R3582" t="s">
        <v>39</v>
      </c>
      <c r="S3582" t="s">
        <v>31</v>
      </c>
      <c r="T3582" t="s">
        <v>32</v>
      </c>
      <c r="U3582">
        <v>48</v>
      </c>
      <c r="V3582">
        <v>3.2</v>
      </c>
      <c r="W3582">
        <f>Table2[[#This Row],[Quantity]]*Table2[[#This Row],[Item_Price]]</f>
        <v>165</v>
      </c>
    </row>
    <row r="3583" spans="1:23" x14ac:dyDescent="0.25">
      <c r="A3583" t="s">
        <v>3685</v>
      </c>
      <c r="B3583" s="1">
        <v>45919</v>
      </c>
      <c r="C3583" t="s">
        <v>3450</v>
      </c>
      <c r="D3583">
        <v>9</v>
      </c>
      <c r="E3583">
        <v>19</v>
      </c>
      <c r="F3583" t="s">
        <v>114</v>
      </c>
      <c r="G3583" t="s">
        <v>80</v>
      </c>
      <c r="H3583" t="s">
        <v>105</v>
      </c>
      <c r="I3583" t="s">
        <v>36</v>
      </c>
      <c r="J3583" t="s">
        <v>172</v>
      </c>
      <c r="K3583" t="s">
        <v>38</v>
      </c>
      <c r="L3583">
        <v>1</v>
      </c>
      <c r="M3583">
        <v>469</v>
      </c>
      <c r="N3583">
        <v>70.349999999999994</v>
      </c>
      <c r="O3583">
        <v>20</v>
      </c>
      <c r="P3583">
        <v>469</v>
      </c>
      <c r="Q3583">
        <v>418.65</v>
      </c>
      <c r="R3583" t="s">
        <v>98</v>
      </c>
      <c r="S3583" t="s">
        <v>46</v>
      </c>
      <c r="T3583" t="s">
        <v>40</v>
      </c>
      <c r="U3583">
        <v>25</v>
      </c>
      <c r="W3583">
        <f>Table2[[#This Row],[Quantity]]*Table2[[#This Row],[Item_Price]]</f>
        <v>469</v>
      </c>
    </row>
    <row r="3584" spans="1:23" x14ac:dyDescent="0.25">
      <c r="A3584" t="s">
        <v>3686</v>
      </c>
      <c r="B3584" s="1">
        <v>45919</v>
      </c>
      <c r="C3584" t="s">
        <v>3450</v>
      </c>
      <c r="D3584">
        <v>9</v>
      </c>
      <c r="E3584">
        <v>19</v>
      </c>
      <c r="F3584" t="s">
        <v>114</v>
      </c>
      <c r="G3584" t="s">
        <v>25</v>
      </c>
      <c r="H3584" t="s">
        <v>81</v>
      </c>
      <c r="I3584" t="s">
        <v>61</v>
      </c>
      <c r="J3584" t="s">
        <v>70</v>
      </c>
      <c r="K3584" t="s">
        <v>38</v>
      </c>
      <c r="L3584">
        <v>2</v>
      </c>
      <c r="M3584">
        <v>729</v>
      </c>
      <c r="N3584">
        <v>0</v>
      </c>
      <c r="O3584">
        <v>40</v>
      </c>
      <c r="P3584">
        <v>1458</v>
      </c>
      <c r="Q3584">
        <v>1498</v>
      </c>
      <c r="R3584" t="s">
        <v>30</v>
      </c>
      <c r="S3584" t="s">
        <v>31</v>
      </c>
      <c r="T3584" t="s">
        <v>40</v>
      </c>
      <c r="U3584">
        <v>70</v>
      </c>
      <c r="V3584">
        <v>4.3</v>
      </c>
      <c r="W3584">
        <f>Table2[[#This Row],[Quantity]]*Table2[[#This Row],[Item_Price]]</f>
        <v>1458</v>
      </c>
    </row>
    <row r="3585" spans="1:23" x14ac:dyDescent="0.25">
      <c r="A3585" t="s">
        <v>3687</v>
      </c>
      <c r="B3585" s="1">
        <v>45919</v>
      </c>
      <c r="C3585" t="s">
        <v>3450</v>
      </c>
      <c r="D3585">
        <v>9</v>
      </c>
      <c r="E3585">
        <v>19</v>
      </c>
      <c r="F3585" t="s">
        <v>114</v>
      </c>
      <c r="G3585" t="s">
        <v>64</v>
      </c>
      <c r="H3585" t="s">
        <v>26</v>
      </c>
      <c r="I3585" t="s">
        <v>69</v>
      </c>
      <c r="J3585" t="s">
        <v>82</v>
      </c>
      <c r="K3585" t="s">
        <v>45</v>
      </c>
      <c r="L3585">
        <v>1</v>
      </c>
      <c r="M3585">
        <v>447</v>
      </c>
      <c r="N3585">
        <v>22.35</v>
      </c>
      <c r="O3585">
        <v>40</v>
      </c>
      <c r="P3585">
        <v>447</v>
      </c>
      <c r="Q3585">
        <v>464.65</v>
      </c>
      <c r="R3585" t="s">
        <v>39</v>
      </c>
      <c r="S3585" t="s">
        <v>31</v>
      </c>
      <c r="T3585" t="s">
        <v>32</v>
      </c>
      <c r="U3585">
        <v>25</v>
      </c>
      <c r="V3585">
        <v>5</v>
      </c>
      <c r="W3585">
        <f>Table2[[#This Row],[Quantity]]*Table2[[#This Row],[Item_Price]]</f>
        <v>447</v>
      </c>
    </row>
    <row r="3586" spans="1:23" x14ac:dyDescent="0.25">
      <c r="A3586" t="s">
        <v>3688</v>
      </c>
      <c r="B3586" s="1">
        <v>45919</v>
      </c>
      <c r="C3586" t="s">
        <v>3450</v>
      </c>
      <c r="D3586">
        <v>9</v>
      </c>
      <c r="E3586">
        <v>19</v>
      </c>
      <c r="F3586" t="s">
        <v>114</v>
      </c>
      <c r="G3586" t="s">
        <v>34</v>
      </c>
      <c r="H3586" t="s">
        <v>108</v>
      </c>
      <c r="I3586" t="s">
        <v>85</v>
      </c>
      <c r="J3586" t="s">
        <v>94</v>
      </c>
      <c r="K3586" t="s">
        <v>38</v>
      </c>
      <c r="L3586">
        <v>2</v>
      </c>
      <c r="M3586">
        <v>285</v>
      </c>
      <c r="N3586">
        <v>42.75</v>
      </c>
      <c r="O3586">
        <v>30</v>
      </c>
      <c r="P3586">
        <v>570</v>
      </c>
      <c r="Q3586">
        <v>557.25</v>
      </c>
      <c r="R3586" t="s">
        <v>30</v>
      </c>
      <c r="S3586" t="s">
        <v>31</v>
      </c>
      <c r="T3586" t="s">
        <v>40</v>
      </c>
      <c r="U3586">
        <v>26</v>
      </c>
      <c r="V3586">
        <v>3.8</v>
      </c>
      <c r="W3586">
        <f>Table2[[#This Row],[Quantity]]*Table2[[#This Row],[Item_Price]]</f>
        <v>570</v>
      </c>
    </row>
    <row r="3587" spans="1:23" x14ac:dyDescent="0.25">
      <c r="A3587" t="s">
        <v>3689</v>
      </c>
      <c r="B3587" s="1">
        <v>45919</v>
      </c>
      <c r="C3587" t="s">
        <v>3450</v>
      </c>
      <c r="D3587">
        <v>9</v>
      </c>
      <c r="E3587">
        <v>19</v>
      </c>
      <c r="F3587" t="s">
        <v>114</v>
      </c>
      <c r="G3587" t="s">
        <v>64</v>
      </c>
      <c r="H3587" t="s">
        <v>52</v>
      </c>
      <c r="I3587" t="s">
        <v>43</v>
      </c>
      <c r="J3587" t="s">
        <v>44</v>
      </c>
      <c r="K3587" t="s">
        <v>58</v>
      </c>
      <c r="L3587">
        <v>2</v>
      </c>
      <c r="M3587">
        <v>365</v>
      </c>
      <c r="N3587">
        <v>73</v>
      </c>
      <c r="O3587">
        <v>30</v>
      </c>
      <c r="P3587">
        <v>730</v>
      </c>
      <c r="Q3587">
        <v>687</v>
      </c>
      <c r="R3587" t="s">
        <v>112</v>
      </c>
      <c r="S3587" t="s">
        <v>31</v>
      </c>
      <c r="T3587" t="s">
        <v>40</v>
      </c>
      <c r="U3587">
        <v>47</v>
      </c>
      <c r="V3587">
        <v>4.4000000000000004</v>
      </c>
      <c r="W3587">
        <f>Table2[[#This Row],[Quantity]]*Table2[[#This Row],[Item_Price]]</f>
        <v>730</v>
      </c>
    </row>
    <row r="3588" spans="1:23" x14ac:dyDescent="0.25">
      <c r="A3588" t="s">
        <v>3690</v>
      </c>
      <c r="B3588" s="1">
        <v>45920</v>
      </c>
      <c r="C3588" t="s">
        <v>3450</v>
      </c>
      <c r="D3588">
        <v>9</v>
      </c>
      <c r="E3588">
        <v>20</v>
      </c>
      <c r="F3588" t="s">
        <v>134</v>
      </c>
      <c r="G3588" t="s">
        <v>73</v>
      </c>
      <c r="H3588" t="s">
        <v>35</v>
      </c>
      <c r="I3588" t="s">
        <v>43</v>
      </c>
      <c r="J3588" t="s">
        <v>44</v>
      </c>
      <c r="K3588" t="s">
        <v>38</v>
      </c>
      <c r="L3588">
        <v>2</v>
      </c>
      <c r="M3588">
        <v>543</v>
      </c>
      <c r="N3588">
        <v>81.45</v>
      </c>
      <c r="O3588">
        <v>70</v>
      </c>
      <c r="P3588">
        <v>1086</v>
      </c>
      <c r="Q3588">
        <v>1074.55</v>
      </c>
      <c r="R3588" t="s">
        <v>30</v>
      </c>
      <c r="S3588" t="s">
        <v>91</v>
      </c>
      <c r="T3588" t="s">
        <v>40</v>
      </c>
      <c r="U3588">
        <v>66</v>
      </c>
      <c r="W3588">
        <f>Table2[[#This Row],[Quantity]]*Table2[[#This Row],[Item_Price]]</f>
        <v>1086</v>
      </c>
    </row>
    <row r="3589" spans="1:23" x14ac:dyDescent="0.25">
      <c r="A3589" t="s">
        <v>3691</v>
      </c>
      <c r="B3589" s="1">
        <v>45920</v>
      </c>
      <c r="C3589" t="s">
        <v>3450</v>
      </c>
      <c r="D3589">
        <v>9</v>
      </c>
      <c r="E3589">
        <v>20</v>
      </c>
      <c r="F3589" t="s">
        <v>134</v>
      </c>
      <c r="G3589" t="s">
        <v>84</v>
      </c>
      <c r="H3589" t="s">
        <v>105</v>
      </c>
      <c r="I3589" t="s">
        <v>85</v>
      </c>
      <c r="J3589" t="s">
        <v>82</v>
      </c>
      <c r="K3589" t="s">
        <v>58</v>
      </c>
      <c r="L3589">
        <v>3</v>
      </c>
      <c r="M3589">
        <v>512</v>
      </c>
      <c r="N3589">
        <v>0</v>
      </c>
      <c r="O3589">
        <v>0</v>
      </c>
      <c r="P3589">
        <v>1536</v>
      </c>
      <c r="Q3589">
        <v>1536</v>
      </c>
      <c r="R3589" t="s">
        <v>75</v>
      </c>
      <c r="S3589" t="s">
        <v>31</v>
      </c>
      <c r="T3589" t="s">
        <v>32</v>
      </c>
      <c r="U3589">
        <v>57</v>
      </c>
      <c r="V3589">
        <v>5</v>
      </c>
      <c r="W3589">
        <f>Table2[[#This Row],[Quantity]]*Table2[[#This Row],[Item_Price]]</f>
        <v>1536</v>
      </c>
    </row>
    <row r="3590" spans="1:23" x14ac:dyDescent="0.25">
      <c r="A3590" t="s">
        <v>3692</v>
      </c>
      <c r="B3590" s="1">
        <v>45920</v>
      </c>
      <c r="C3590" t="s">
        <v>3450</v>
      </c>
      <c r="D3590">
        <v>9</v>
      </c>
      <c r="E3590">
        <v>20</v>
      </c>
      <c r="F3590" t="s">
        <v>134</v>
      </c>
      <c r="G3590" t="s">
        <v>90</v>
      </c>
      <c r="H3590" t="s">
        <v>77</v>
      </c>
      <c r="I3590" t="s">
        <v>57</v>
      </c>
      <c r="J3590" t="s">
        <v>101</v>
      </c>
      <c r="K3590" t="s">
        <v>29</v>
      </c>
      <c r="L3590">
        <v>2</v>
      </c>
      <c r="M3590">
        <v>420</v>
      </c>
      <c r="N3590">
        <v>63</v>
      </c>
      <c r="O3590">
        <v>0</v>
      </c>
      <c r="P3590">
        <v>840</v>
      </c>
      <c r="Q3590">
        <v>777</v>
      </c>
      <c r="R3590" t="s">
        <v>98</v>
      </c>
      <c r="S3590" t="s">
        <v>110</v>
      </c>
      <c r="T3590" t="s">
        <v>40</v>
      </c>
      <c r="U3590">
        <v>47</v>
      </c>
      <c r="W3590">
        <f>Table2[[#This Row],[Quantity]]*Table2[[#This Row],[Item_Price]]</f>
        <v>840</v>
      </c>
    </row>
    <row r="3591" spans="1:23" x14ac:dyDescent="0.25">
      <c r="A3591" t="s">
        <v>3693</v>
      </c>
      <c r="B3591" s="1">
        <v>45920</v>
      </c>
      <c r="C3591" t="s">
        <v>3450</v>
      </c>
      <c r="D3591">
        <v>9</v>
      </c>
      <c r="E3591">
        <v>20</v>
      </c>
      <c r="F3591" t="s">
        <v>134</v>
      </c>
      <c r="G3591" t="s">
        <v>34</v>
      </c>
      <c r="H3591" t="s">
        <v>48</v>
      </c>
      <c r="I3591" t="s">
        <v>57</v>
      </c>
      <c r="J3591" t="s">
        <v>28</v>
      </c>
      <c r="K3591" t="s">
        <v>45</v>
      </c>
      <c r="L3591">
        <v>1</v>
      </c>
      <c r="M3591">
        <v>569</v>
      </c>
      <c r="N3591">
        <v>113.8</v>
      </c>
      <c r="O3591">
        <v>40</v>
      </c>
      <c r="P3591">
        <v>569</v>
      </c>
      <c r="Q3591">
        <v>495.2</v>
      </c>
      <c r="R3591" t="s">
        <v>39</v>
      </c>
      <c r="S3591" t="s">
        <v>91</v>
      </c>
      <c r="T3591" t="s">
        <v>32</v>
      </c>
      <c r="U3591">
        <v>37</v>
      </c>
      <c r="W3591">
        <f>Table2[[#This Row],[Quantity]]*Table2[[#This Row],[Item_Price]]</f>
        <v>569</v>
      </c>
    </row>
    <row r="3592" spans="1:23" x14ac:dyDescent="0.25">
      <c r="A3592" t="s">
        <v>3694</v>
      </c>
      <c r="B3592" s="1">
        <v>45920</v>
      </c>
      <c r="C3592" t="s">
        <v>3450</v>
      </c>
      <c r="D3592">
        <v>9</v>
      </c>
      <c r="E3592">
        <v>20</v>
      </c>
      <c r="F3592" t="s">
        <v>134</v>
      </c>
      <c r="G3592" t="s">
        <v>34</v>
      </c>
      <c r="H3592" t="s">
        <v>42</v>
      </c>
      <c r="I3592" t="s">
        <v>49</v>
      </c>
      <c r="J3592" t="s">
        <v>123</v>
      </c>
      <c r="K3592" t="s">
        <v>45</v>
      </c>
      <c r="L3592">
        <v>1</v>
      </c>
      <c r="M3592">
        <v>739</v>
      </c>
      <c r="N3592">
        <v>0</v>
      </c>
      <c r="O3592">
        <v>60</v>
      </c>
      <c r="P3592">
        <v>739</v>
      </c>
      <c r="Q3592">
        <v>799</v>
      </c>
      <c r="R3592" t="s">
        <v>75</v>
      </c>
      <c r="S3592" t="s">
        <v>31</v>
      </c>
      <c r="T3592" t="s">
        <v>32</v>
      </c>
      <c r="U3592">
        <v>31</v>
      </c>
      <c r="V3592">
        <v>4.0999999999999996</v>
      </c>
      <c r="W3592">
        <f>Table2[[#This Row],[Quantity]]*Table2[[#This Row],[Item_Price]]</f>
        <v>739</v>
      </c>
    </row>
    <row r="3593" spans="1:23" x14ac:dyDescent="0.25">
      <c r="A3593" t="s">
        <v>3695</v>
      </c>
      <c r="B3593" s="1">
        <v>45920</v>
      </c>
      <c r="C3593" t="s">
        <v>3450</v>
      </c>
      <c r="D3593">
        <v>9</v>
      </c>
      <c r="E3593">
        <v>20</v>
      </c>
      <c r="F3593" t="s">
        <v>134</v>
      </c>
      <c r="G3593" t="s">
        <v>34</v>
      </c>
      <c r="H3593" t="s">
        <v>65</v>
      </c>
      <c r="I3593" t="s">
        <v>69</v>
      </c>
      <c r="J3593" t="s">
        <v>70</v>
      </c>
      <c r="K3593" t="s">
        <v>38</v>
      </c>
      <c r="L3593">
        <v>3</v>
      </c>
      <c r="M3593">
        <v>882</v>
      </c>
      <c r="N3593">
        <v>176.4</v>
      </c>
      <c r="O3593">
        <v>30</v>
      </c>
      <c r="P3593">
        <v>2646</v>
      </c>
      <c r="Q3593">
        <v>2499.6</v>
      </c>
      <c r="R3593" t="s">
        <v>39</v>
      </c>
      <c r="S3593" t="s">
        <v>31</v>
      </c>
      <c r="T3593" t="s">
        <v>40</v>
      </c>
      <c r="U3593">
        <v>32</v>
      </c>
      <c r="V3593">
        <v>4.3</v>
      </c>
      <c r="W3593">
        <f>Table2[[#This Row],[Quantity]]*Table2[[#This Row],[Item_Price]]</f>
        <v>2646</v>
      </c>
    </row>
    <row r="3594" spans="1:23" x14ac:dyDescent="0.25">
      <c r="A3594" t="s">
        <v>3696</v>
      </c>
      <c r="B3594" s="1">
        <v>45920</v>
      </c>
      <c r="C3594" t="s">
        <v>3450</v>
      </c>
      <c r="D3594">
        <v>9</v>
      </c>
      <c r="E3594">
        <v>20</v>
      </c>
      <c r="F3594" t="s">
        <v>134</v>
      </c>
      <c r="G3594" t="s">
        <v>115</v>
      </c>
      <c r="H3594" t="s">
        <v>77</v>
      </c>
      <c r="I3594" t="s">
        <v>36</v>
      </c>
      <c r="J3594" t="s">
        <v>82</v>
      </c>
      <c r="K3594" t="s">
        <v>38</v>
      </c>
      <c r="L3594">
        <v>1</v>
      </c>
      <c r="M3594">
        <v>420</v>
      </c>
      <c r="N3594">
        <v>105</v>
      </c>
      <c r="O3594">
        <v>30</v>
      </c>
      <c r="P3594">
        <v>420</v>
      </c>
      <c r="Q3594">
        <v>345</v>
      </c>
      <c r="R3594" t="s">
        <v>75</v>
      </c>
      <c r="S3594" t="s">
        <v>46</v>
      </c>
      <c r="T3594" t="s">
        <v>40</v>
      </c>
      <c r="U3594">
        <v>35</v>
      </c>
      <c r="W3594">
        <f>Table2[[#This Row],[Quantity]]*Table2[[#This Row],[Item_Price]]</f>
        <v>420</v>
      </c>
    </row>
    <row r="3595" spans="1:23" x14ac:dyDescent="0.25">
      <c r="A3595" t="s">
        <v>3697</v>
      </c>
      <c r="B3595" s="1">
        <v>45920</v>
      </c>
      <c r="C3595" t="s">
        <v>3450</v>
      </c>
      <c r="D3595">
        <v>9</v>
      </c>
      <c r="E3595">
        <v>20</v>
      </c>
      <c r="F3595" t="s">
        <v>134</v>
      </c>
      <c r="G3595" t="s">
        <v>64</v>
      </c>
      <c r="H3595" t="s">
        <v>52</v>
      </c>
      <c r="I3595" t="s">
        <v>61</v>
      </c>
      <c r="J3595" t="s">
        <v>101</v>
      </c>
      <c r="K3595" t="s">
        <v>38</v>
      </c>
      <c r="L3595">
        <v>3</v>
      </c>
      <c r="M3595">
        <v>300</v>
      </c>
      <c r="N3595">
        <v>60</v>
      </c>
      <c r="O3595">
        <v>70</v>
      </c>
      <c r="P3595">
        <v>900</v>
      </c>
      <c r="Q3595">
        <v>910</v>
      </c>
      <c r="R3595" t="s">
        <v>75</v>
      </c>
      <c r="S3595" t="s">
        <v>31</v>
      </c>
      <c r="T3595" t="s">
        <v>32</v>
      </c>
      <c r="U3595">
        <v>38</v>
      </c>
      <c r="V3595">
        <v>4.0999999999999996</v>
      </c>
      <c r="W3595">
        <f>Table2[[#This Row],[Quantity]]*Table2[[#This Row],[Item_Price]]</f>
        <v>900</v>
      </c>
    </row>
    <row r="3596" spans="1:23" x14ac:dyDescent="0.25">
      <c r="A3596" t="s">
        <v>3698</v>
      </c>
      <c r="B3596" s="1">
        <v>45921</v>
      </c>
      <c r="C3596" t="s">
        <v>3450</v>
      </c>
      <c r="D3596">
        <v>9</v>
      </c>
      <c r="E3596">
        <v>21</v>
      </c>
      <c r="F3596" t="s">
        <v>149</v>
      </c>
      <c r="G3596" t="s">
        <v>64</v>
      </c>
      <c r="H3596" t="s">
        <v>139</v>
      </c>
      <c r="I3596" t="s">
        <v>49</v>
      </c>
      <c r="J3596" t="s">
        <v>62</v>
      </c>
      <c r="K3596" t="s">
        <v>58</v>
      </c>
      <c r="L3596">
        <v>1</v>
      </c>
      <c r="M3596">
        <v>463</v>
      </c>
      <c r="N3596">
        <v>0</v>
      </c>
      <c r="O3596">
        <v>50</v>
      </c>
      <c r="P3596">
        <v>463</v>
      </c>
      <c r="Q3596">
        <v>513</v>
      </c>
      <c r="R3596" t="s">
        <v>98</v>
      </c>
      <c r="S3596" t="s">
        <v>31</v>
      </c>
      <c r="T3596" t="s">
        <v>32</v>
      </c>
      <c r="U3596">
        <v>52</v>
      </c>
      <c r="V3596">
        <v>3.7</v>
      </c>
      <c r="W3596">
        <f>Table2[[#This Row],[Quantity]]*Table2[[#This Row],[Item_Price]]</f>
        <v>463</v>
      </c>
    </row>
    <row r="3597" spans="1:23" x14ac:dyDescent="0.25">
      <c r="A3597" t="s">
        <v>3699</v>
      </c>
      <c r="B3597" s="1">
        <v>45921</v>
      </c>
      <c r="C3597" t="s">
        <v>3450</v>
      </c>
      <c r="D3597">
        <v>9</v>
      </c>
      <c r="E3597">
        <v>21</v>
      </c>
      <c r="F3597" t="s">
        <v>149</v>
      </c>
      <c r="G3597" t="s">
        <v>115</v>
      </c>
      <c r="H3597" t="s">
        <v>135</v>
      </c>
      <c r="I3597" t="s">
        <v>27</v>
      </c>
      <c r="J3597" t="s">
        <v>28</v>
      </c>
      <c r="K3597" t="s">
        <v>38</v>
      </c>
      <c r="L3597">
        <v>2</v>
      </c>
      <c r="M3597">
        <v>173</v>
      </c>
      <c r="N3597">
        <v>34.6</v>
      </c>
      <c r="O3597">
        <v>0</v>
      </c>
      <c r="P3597">
        <v>346</v>
      </c>
      <c r="Q3597">
        <v>311.39999999999998</v>
      </c>
      <c r="R3597" t="s">
        <v>39</v>
      </c>
      <c r="S3597" t="s">
        <v>31</v>
      </c>
      <c r="T3597" t="s">
        <v>40</v>
      </c>
      <c r="U3597">
        <v>38</v>
      </c>
      <c r="V3597">
        <v>4.4000000000000004</v>
      </c>
      <c r="W3597">
        <f>Table2[[#This Row],[Quantity]]*Table2[[#This Row],[Item_Price]]</f>
        <v>346</v>
      </c>
    </row>
    <row r="3598" spans="1:23" x14ac:dyDescent="0.25">
      <c r="A3598" t="s">
        <v>3700</v>
      </c>
      <c r="B3598" s="1">
        <v>45921</v>
      </c>
      <c r="C3598" t="s">
        <v>3450</v>
      </c>
      <c r="D3598">
        <v>9</v>
      </c>
      <c r="E3598">
        <v>21</v>
      </c>
      <c r="F3598" t="s">
        <v>149</v>
      </c>
      <c r="G3598" t="s">
        <v>25</v>
      </c>
      <c r="H3598" t="s">
        <v>65</v>
      </c>
      <c r="I3598" t="s">
        <v>85</v>
      </c>
      <c r="J3598" t="s">
        <v>62</v>
      </c>
      <c r="K3598" t="s">
        <v>38</v>
      </c>
      <c r="L3598">
        <v>1</v>
      </c>
      <c r="M3598">
        <v>179</v>
      </c>
      <c r="N3598">
        <v>0</v>
      </c>
      <c r="O3598">
        <v>50</v>
      </c>
      <c r="P3598">
        <v>179</v>
      </c>
      <c r="Q3598">
        <v>229</v>
      </c>
      <c r="R3598" t="s">
        <v>98</v>
      </c>
      <c r="S3598" t="s">
        <v>110</v>
      </c>
      <c r="T3598" t="s">
        <v>40</v>
      </c>
      <c r="U3598">
        <v>70</v>
      </c>
      <c r="W3598">
        <f>Table2[[#This Row],[Quantity]]*Table2[[#This Row],[Item_Price]]</f>
        <v>179</v>
      </c>
    </row>
    <row r="3599" spans="1:23" x14ac:dyDescent="0.25">
      <c r="A3599" t="s">
        <v>3701</v>
      </c>
      <c r="B3599" s="1">
        <v>45921</v>
      </c>
      <c r="C3599" t="s">
        <v>3450</v>
      </c>
      <c r="D3599">
        <v>9</v>
      </c>
      <c r="E3599">
        <v>21</v>
      </c>
      <c r="F3599" t="s">
        <v>149</v>
      </c>
      <c r="G3599" t="s">
        <v>73</v>
      </c>
      <c r="H3599" t="s">
        <v>135</v>
      </c>
      <c r="I3599" t="s">
        <v>49</v>
      </c>
      <c r="J3599" t="s">
        <v>119</v>
      </c>
      <c r="K3599" t="s">
        <v>45</v>
      </c>
      <c r="L3599">
        <v>1</v>
      </c>
      <c r="M3599">
        <v>774</v>
      </c>
      <c r="N3599">
        <v>77.400000000000006</v>
      </c>
      <c r="O3599">
        <v>40</v>
      </c>
      <c r="P3599">
        <v>774</v>
      </c>
      <c r="Q3599">
        <v>736.6</v>
      </c>
      <c r="R3599" t="s">
        <v>75</v>
      </c>
      <c r="S3599" t="s">
        <v>31</v>
      </c>
      <c r="T3599" t="s">
        <v>40</v>
      </c>
      <c r="U3599">
        <v>28</v>
      </c>
      <c r="V3599">
        <v>4.0999999999999996</v>
      </c>
      <c r="W3599">
        <f>Table2[[#This Row],[Quantity]]*Table2[[#This Row],[Item_Price]]</f>
        <v>774</v>
      </c>
    </row>
    <row r="3600" spans="1:23" x14ac:dyDescent="0.25">
      <c r="A3600" t="s">
        <v>3702</v>
      </c>
      <c r="B3600" s="1">
        <v>45921</v>
      </c>
      <c r="C3600" t="s">
        <v>3450</v>
      </c>
      <c r="D3600">
        <v>9</v>
      </c>
      <c r="E3600">
        <v>21</v>
      </c>
      <c r="F3600" t="s">
        <v>149</v>
      </c>
      <c r="G3600" t="s">
        <v>64</v>
      </c>
      <c r="H3600" t="s">
        <v>26</v>
      </c>
      <c r="I3600" t="s">
        <v>27</v>
      </c>
      <c r="J3600" t="s">
        <v>94</v>
      </c>
      <c r="K3600" t="s">
        <v>38</v>
      </c>
      <c r="L3600">
        <v>1</v>
      </c>
      <c r="M3600">
        <v>426</v>
      </c>
      <c r="N3600">
        <v>85.2</v>
      </c>
      <c r="O3600">
        <v>30</v>
      </c>
      <c r="P3600">
        <v>426</v>
      </c>
      <c r="Q3600">
        <v>370.8</v>
      </c>
      <c r="R3600" t="s">
        <v>112</v>
      </c>
      <c r="S3600" t="s">
        <v>91</v>
      </c>
      <c r="T3600" t="s">
        <v>40</v>
      </c>
      <c r="U3600">
        <v>24</v>
      </c>
      <c r="W3600">
        <f>Table2[[#This Row],[Quantity]]*Table2[[#This Row],[Item_Price]]</f>
        <v>426</v>
      </c>
    </row>
    <row r="3601" spans="1:23" x14ac:dyDescent="0.25">
      <c r="A3601" t="s">
        <v>3703</v>
      </c>
      <c r="B3601" s="1">
        <v>45921</v>
      </c>
      <c r="C3601" t="s">
        <v>3450</v>
      </c>
      <c r="D3601">
        <v>9</v>
      </c>
      <c r="E3601">
        <v>21</v>
      </c>
      <c r="F3601" t="s">
        <v>149</v>
      </c>
      <c r="G3601" t="s">
        <v>64</v>
      </c>
      <c r="H3601" t="s">
        <v>68</v>
      </c>
      <c r="I3601" t="s">
        <v>36</v>
      </c>
      <c r="J3601" t="s">
        <v>78</v>
      </c>
      <c r="K3601" t="s">
        <v>38</v>
      </c>
      <c r="L3601">
        <v>2</v>
      </c>
      <c r="M3601">
        <v>207</v>
      </c>
      <c r="N3601">
        <v>31.05</v>
      </c>
      <c r="O3601">
        <v>0</v>
      </c>
      <c r="P3601">
        <v>414</v>
      </c>
      <c r="Q3601">
        <v>382.95</v>
      </c>
      <c r="R3601" t="s">
        <v>98</v>
      </c>
      <c r="S3601" t="s">
        <v>31</v>
      </c>
      <c r="T3601" t="s">
        <v>32</v>
      </c>
      <c r="U3601">
        <v>34</v>
      </c>
      <c r="V3601">
        <v>3.1</v>
      </c>
      <c r="W3601">
        <f>Table2[[#This Row],[Quantity]]*Table2[[#This Row],[Item_Price]]</f>
        <v>414</v>
      </c>
    </row>
    <row r="3602" spans="1:23" x14ac:dyDescent="0.25">
      <c r="A3602" t="s">
        <v>3704</v>
      </c>
      <c r="B3602" s="1">
        <v>45921</v>
      </c>
      <c r="C3602" t="s">
        <v>3450</v>
      </c>
      <c r="D3602">
        <v>9</v>
      </c>
      <c r="E3602">
        <v>21</v>
      </c>
      <c r="F3602" t="s">
        <v>149</v>
      </c>
      <c r="G3602" t="s">
        <v>64</v>
      </c>
      <c r="H3602" t="s">
        <v>135</v>
      </c>
      <c r="I3602" t="s">
        <v>103</v>
      </c>
      <c r="J3602" t="s">
        <v>119</v>
      </c>
      <c r="K3602" t="s">
        <v>45</v>
      </c>
      <c r="L3602">
        <v>1</v>
      </c>
      <c r="M3602">
        <v>242</v>
      </c>
      <c r="N3602">
        <v>60.5</v>
      </c>
      <c r="O3602">
        <v>20</v>
      </c>
      <c r="P3602">
        <v>242</v>
      </c>
      <c r="Q3602">
        <v>201.5</v>
      </c>
      <c r="R3602" t="s">
        <v>39</v>
      </c>
      <c r="S3602" t="s">
        <v>46</v>
      </c>
      <c r="T3602" t="s">
        <v>40</v>
      </c>
      <c r="U3602">
        <v>21</v>
      </c>
      <c r="W3602">
        <f>Table2[[#This Row],[Quantity]]*Table2[[#This Row],[Item_Price]]</f>
        <v>242</v>
      </c>
    </row>
    <row r="3603" spans="1:23" x14ac:dyDescent="0.25">
      <c r="A3603" t="s">
        <v>3705</v>
      </c>
      <c r="B3603" s="1">
        <v>45921</v>
      </c>
      <c r="C3603" t="s">
        <v>3450</v>
      </c>
      <c r="D3603">
        <v>9</v>
      </c>
      <c r="E3603">
        <v>21</v>
      </c>
      <c r="F3603" t="s">
        <v>149</v>
      </c>
      <c r="G3603" t="s">
        <v>34</v>
      </c>
      <c r="H3603" t="s">
        <v>108</v>
      </c>
      <c r="I3603" t="s">
        <v>61</v>
      </c>
      <c r="J3603" t="s">
        <v>66</v>
      </c>
      <c r="K3603" t="s">
        <v>38</v>
      </c>
      <c r="L3603">
        <v>3</v>
      </c>
      <c r="M3603">
        <v>889</v>
      </c>
      <c r="N3603">
        <v>44.45</v>
      </c>
      <c r="O3603">
        <v>40</v>
      </c>
      <c r="P3603">
        <v>2667</v>
      </c>
      <c r="Q3603">
        <v>2662.55</v>
      </c>
      <c r="R3603" t="s">
        <v>39</v>
      </c>
      <c r="S3603" t="s">
        <v>31</v>
      </c>
      <c r="T3603" t="s">
        <v>40</v>
      </c>
      <c r="U3603">
        <v>57</v>
      </c>
      <c r="V3603">
        <v>3.6</v>
      </c>
      <c r="W3603">
        <f>Table2[[#This Row],[Quantity]]*Table2[[#This Row],[Item_Price]]</f>
        <v>2667</v>
      </c>
    </row>
    <row r="3604" spans="1:23" x14ac:dyDescent="0.25">
      <c r="A3604" t="s">
        <v>3706</v>
      </c>
      <c r="B3604" s="1">
        <v>45921</v>
      </c>
      <c r="C3604" t="s">
        <v>3450</v>
      </c>
      <c r="D3604">
        <v>9</v>
      </c>
      <c r="E3604">
        <v>21</v>
      </c>
      <c r="F3604" t="s">
        <v>149</v>
      </c>
      <c r="G3604" t="s">
        <v>84</v>
      </c>
      <c r="H3604" t="s">
        <v>135</v>
      </c>
      <c r="I3604" t="s">
        <v>43</v>
      </c>
      <c r="J3604" t="s">
        <v>123</v>
      </c>
      <c r="K3604" t="s">
        <v>38</v>
      </c>
      <c r="L3604">
        <v>2</v>
      </c>
      <c r="M3604">
        <v>501</v>
      </c>
      <c r="N3604">
        <v>25.05</v>
      </c>
      <c r="O3604">
        <v>0</v>
      </c>
      <c r="P3604">
        <v>1002</v>
      </c>
      <c r="Q3604">
        <v>976.95</v>
      </c>
      <c r="R3604" t="s">
        <v>112</v>
      </c>
      <c r="S3604" t="s">
        <v>91</v>
      </c>
      <c r="T3604" t="s">
        <v>32</v>
      </c>
      <c r="U3604">
        <v>36</v>
      </c>
      <c r="W3604">
        <f>Table2[[#This Row],[Quantity]]*Table2[[#This Row],[Item_Price]]</f>
        <v>1002</v>
      </c>
    </row>
    <row r="3605" spans="1:23" x14ac:dyDescent="0.25">
      <c r="A3605" t="s">
        <v>3707</v>
      </c>
      <c r="B3605" s="1">
        <v>45921</v>
      </c>
      <c r="C3605" t="s">
        <v>3450</v>
      </c>
      <c r="D3605">
        <v>9</v>
      </c>
      <c r="E3605">
        <v>21</v>
      </c>
      <c r="F3605" t="s">
        <v>149</v>
      </c>
      <c r="G3605" t="s">
        <v>34</v>
      </c>
      <c r="H3605" t="s">
        <v>77</v>
      </c>
      <c r="I3605" t="s">
        <v>36</v>
      </c>
      <c r="J3605" t="s">
        <v>53</v>
      </c>
      <c r="K3605" t="s">
        <v>38</v>
      </c>
      <c r="L3605">
        <v>3</v>
      </c>
      <c r="M3605">
        <v>166</v>
      </c>
      <c r="N3605">
        <v>24.9</v>
      </c>
      <c r="O3605">
        <v>0</v>
      </c>
      <c r="P3605">
        <v>498</v>
      </c>
      <c r="Q3605">
        <v>473.1</v>
      </c>
      <c r="R3605" t="s">
        <v>39</v>
      </c>
      <c r="S3605" t="s">
        <v>31</v>
      </c>
      <c r="T3605" t="s">
        <v>40</v>
      </c>
      <c r="U3605">
        <v>34</v>
      </c>
      <c r="V3605">
        <v>4</v>
      </c>
      <c r="W3605">
        <f>Table2[[#This Row],[Quantity]]*Table2[[#This Row],[Item_Price]]</f>
        <v>498</v>
      </c>
    </row>
    <row r="3606" spans="1:23" x14ac:dyDescent="0.25">
      <c r="A3606" t="s">
        <v>3708</v>
      </c>
      <c r="B3606" s="1">
        <v>45921</v>
      </c>
      <c r="C3606" t="s">
        <v>3450</v>
      </c>
      <c r="D3606">
        <v>9</v>
      </c>
      <c r="E3606">
        <v>21</v>
      </c>
      <c r="F3606" t="s">
        <v>149</v>
      </c>
      <c r="G3606" t="s">
        <v>34</v>
      </c>
      <c r="H3606" t="s">
        <v>105</v>
      </c>
      <c r="I3606" t="s">
        <v>27</v>
      </c>
      <c r="J3606" t="s">
        <v>82</v>
      </c>
      <c r="K3606" t="s">
        <v>38</v>
      </c>
      <c r="L3606">
        <v>1</v>
      </c>
      <c r="M3606">
        <v>386</v>
      </c>
      <c r="N3606">
        <v>38.6</v>
      </c>
      <c r="O3606">
        <v>30</v>
      </c>
      <c r="P3606">
        <v>386</v>
      </c>
      <c r="Q3606">
        <v>377.4</v>
      </c>
      <c r="R3606" t="s">
        <v>39</v>
      </c>
      <c r="S3606" t="s">
        <v>46</v>
      </c>
      <c r="T3606" t="s">
        <v>32</v>
      </c>
      <c r="U3606">
        <v>50</v>
      </c>
      <c r="W3606">
        <f>Table2[[#This Row],[Quantity]]*Table2[[#This Row],[Item_Price]]</f>
        <v>386</v>
      </c>
    </row>
    <row r="3607" spans="1:23" x14ac:dyDescent="0.25">
      <c r="A3607" t="s">
        <v>3709</v>
      </c>
      <c r="B3607" s="1">
        <v>45921</v>
      </c>
      <c r="C3607" t="s">
        <v>3450</v>
      </c>
      <c r="D3607">
        <v>9</v>
      </c>
      <c r="E3607">
        <v>21</v>
      </c>
      <c r="F3607" t="s">
        <v>149</v>
      </c>
      <c r="G3607" t="s">
        <v>80</v>
      </c>
      <c r="H3607" t="s">
        <v>52</v>
      </c>
      <c r="I3607" t="s">
        <v>27</v>
      </c>
      <c r="J3607" t="s">
        <v>66</v>
      </c>
      <c r="K3607" t="s">
        <v>38</v>
      </c>
      <c r="L3607">
        <v>1</v>
      </c>
      <c r="M3607">
        <v>594</v>
      </c>
      <c r="N3607">
        <v>118.8</v>
      </c>
      <c r="O3607">
        <v>30</v>
      </c>
      <c r="P3607">
        <v>594</v>
      </c>
      <c r="Q3607">
        <v>505.2</v>
      </c>
      <c r="R3607" t="s">
        <v>112</v>
      </c>
      <c r="S3607" t="s">
        <v>31</v>
      </c>
      <c r="T3607" t="s">
        <v>40</v>
      </c>
      <c r="U3607">
        <v>39</v>
      </c>
      <c r="V3607">
        <v>3.9</v>
      </c>
      <c r="W3607">
        <f>Table2[[#This Row],[Quantity]]*Table2[[#This Row],[Item_Price]]</f>
        <v>594</v>
      </c>
    </row>
    <row r="3608" spans="1:23" x14ac:dyDescent="0.25">
      <c r="A3608" t="s">
        <v>3710</v>
      </c>
      <c r="B3608" s="1">
        <v>45921</v>
      </c>
      <c r="C3608" t="s">
        <v>3450</v>
      </c>
      <c r="D3608">
        <v>9</v>
      </c>
      <c r="E3608">
        <v>21</v>
      </c>
      <c r="F3608" t="s">
        <v>149</v>
      </c>
      <c r="G3608" t="s">
        <v>55</v>
      </c>
      <c r="H3608" t="s">
        <v>60</v>
      </c>
      <c r="I3608" t="s">
        <v>61</v>
      </c>
      <c r="J3608" t="s">
        <v>101</v>
      </c>
      <c r="K3608" t="s">
        <v>38</v>
      </c>
      <c r="L3608">
        <v>2</v>
      </c>
      <c r="M3608">
        <v>716</v>
      </c>
      <c r="N3608">
        <v>107.4</v>
      </c>
      <c r="O3608">
        <v>30</v>
      </c>
      <c r="P3608">
        <v>1432</v>
      </c>
      <c r="Q3608">
        <v>1354.6</v>
      </c>
      <c r="R3608" t="s">
        <v>30</v>
      </c>
      <c r="S3608" t="s">
        <v>91</v>
      </c>
      <c r="T3608" t="s">
        <v>40</v>
      </c>
      <c r="U3608">
        <v>31</v>
      </c>
      <c r="W3608">
        <f>Table2[[#This Row],[Quantity]]*Table2[[#This Row],[Item_Price]]</f>
        <v>1432</v>
      </c>
    </row>
    <row r="3609" spans="1:23" x14ac:dyDescent="0.25">
      <c r="A3609" t="s">
        <v>3711</v>
      </c>
      <c r="B3609" s="1">
        <v>45921</v>
      </c>
      <c r="C3609" t="s">
        <v>3450</v>
      </c>
      <c r="D3609">
        <v>9</v>
      </c>
      <c r="E3609">
        <v>21</v>
      </c>
      <c r="F3609" t="s">
        <v>149</v>
      </c>
      <c r="G3609" t="s">
        <v>34</v>
      </c>
      <c r="H3609" t="s">
        <v>68</v>
      </c>
      <c r="I3609" t="s">
        <v>103</v>
      </c>
      <c r="J3609" t="s">
        <v>78</v>
      </c>
      <c r="K3609" t="s">
        <v>38</v>
      </c>
      <c r="L3609">
        <v>1</v>
      </c>
      <c r="M3609">
        <v>379</v>
      </c>
      <c r="N3609">
        <v>37.9</v>
      </c>
      <c r="O3609">
        <v>60</v>
      </c>
      <c r="P3609">
        <v>379</v>
      </c>
      <c r="Q3609">
        <v>401.1</v>
      </c>
      <c r="R3609" t="s">
        <v>98</v>
      </c>
      <c r="S3609" t="s">
        <v>46</v>
      </c>
      <c r="T3609" t="s">
        <v>40</v>
      </c>
      <c r="U3609">
        <v>57</v>
      </c>
      <c r="W3609">
        <f>Table2[[#This Row],[Quantity]]*Table2[[#This Row],[Item_Price]]</f>
        <v>379</v>
      </c>
    </row>
    <row r="3610" spans="1:23" x14ac:dyDescent="0.25">
      <c r="A3610" t="s">
        <v>3712</v>
      </c>
      <c r="B3610" s="1">
        <v>45921</v>
      </c>
      <c r="C3610" t="s">
        <v>3450</v>
      </c>
      <c r="D3610">
        <v>9</v>
      </c>
      <c r="E3610">
        <v>21</v>
      </c>
      <c r="F3610" t="s">
        <v>149</v>
      </c>
      <c r="G3610" t="s">
        <v>80</v>
      </c>
      <c r="H3610" t="s">
        <v>77</v>
      </c>
      <c r="I3610" t="s">
        <v>57</v>
      </c>
      <c r="J3610" t="s">
        <v>101</v>
      </c>
      <c r="K3610" t="s">
        <v>58</v>
      </c>
      <c r="L3610">
        <v>1</v>
      </c>
      <c r="M3610">
        <v>655</v>
      </c>
      <c r="N3610">
        <v>0</v>
      </c>
      <c r="O3610">
        <v>50</v>
      </c>
      <c r="P3610">
        <v>655</v>
      </c>
      <c r="Q3610">
        <v>705</v>
      </c>
      <c r="R3610" t="s">
        <v>112</v>
      </c>
      <c r="S3610" t="s">
        <v>31</v>
      </c>
      <c r="T3610" t="s">
        <v>40</v>
      </c>
      <c r="U3610">
        <v>21</v>
      </c>
      <c r="V3610">
        <v>3.6</v>
      </c>
      <c r="W3610">
        <f>Table2[[#This Row],[Quantity]]*Table2[[#This Row],[Item_Price]]</f>
        <v>655</v>
      </c>
    </row>
    <row r="3611" spans="1:23" x14ac:dyDescent="0.25">
      <c r="A3611" t="s">
        <v>3713</v>
      </c>
      <c r="B3611" s="1">
        <v>45921</v>
      </c>
      <c r="C3611" t="s">
        <v>3450</v>
      </c>
      <c r="D3611">
        <v>9</v>
      </c>
      <c r="E3611">
        <v>21</v>
      </c>
      <c r="F3611" t="s">
        <v>149</v>
      </c>
      <c r="G3611" t="s">
        <v>73</v>
      </c>
      <c r="H3611" t="s">
        <v>68</v>
      </c>
      <c r="I3611" t="s">
        <v>57</v>
      </c>
      <c r="J3611" t="s">
        <v>94</v>
      </c>
      <c r="K3611" t="s">
        <v>45</v>
      </c>
      <c r="L3611">
        <v>1</v>
      </c>
      <c r="M3611">
        <v>846</v>
      </c>
      <c r="N3611">
        <v>0</v>
      </c>
      <c r="O3611">
        <v>0</v>
      </c>
      <c r="P3611">
        <v>846</v>
      </c>
      <c r="Q3611">
        <v>846</v>
      </c>
      <c r="R3611" t="s">
        <v>30</v>
      </c>
      <c r="S3611" t="s">
        <v>110</v>
      </c>
      <c r="T3611" t="s">
        <v>40</v>
      </c>
      <c r="U3611">
        <v>68</v>
      </c>
      <c r="W3611">
        <f>Table2[[#This Row],[Quantity]]*Table2[[#This Row],[Item_Price]]</f>
        <v>846</v>
      </c>
    </row>
    <row r="3612" spans="1:23" x14ac:dyDescent="0.25">
      <c r="A3612" t="s">
        <v>3714</v>
      </c>
      <c r="B3612" s="1">
        <v>45921</v>
      </c>
      <c r="C3612" t="s">
        <v>3450</v>
      </c>
      <c r="D3612">
        <v>9</v>
      </c>
      <c r="E3612">
        <v>21</v>
      </c>
      <c r="F3612" t="s">
        <v>149</v>
      </c>
      <c r="G3612" t="s">
        <v>34</v>
      </c>
      <c r="H3612" t="s">
        <v>139</v>
      </c>
      <c r="I3612" t="s">
        <v>57</v>
      </c>
      <c r="J3612" t="s">
        <v>28</v>
      </c>
      <c r="K3612" t="s">
        <v>58</v>
      </c>
      <c r="L3612">
        <v>1</v>
      </c>
      <c r="M3612">
        <v>759</v>
      </c>
      <c r="N3612">
        <v>0</v>
      </c>
      <c r="O3612">
        <v>50</v>
      </c>
      <c r="P3612">
        <v>759</v>
      </c>
      <c r="Q3612">
        <v>809</v>
      </c>
      <c r="R3612" t="s">
        <v>39</v>
      </c>
      <c r="S3612" t="s">
        <v>31</v>
      </c>
      <c r="T3612" t="s">
        <v>32</v>
      </c>
      <c r="U3612">
        <v>30</v>
      </c>
      <c r="V3612">
        <v>4.9000000000000004</v>
      </c>
      <c r="W3612">
        <f>Table2[[#This Row],[Quantity]]*Table2[[#This Row],[Item_Price]]</f>
        <v>759</v>
      </c>
    </row>
    <row r="3613" spans="1:23" x14ac:dyDescent="0.25">
      <c r="A3613" t="s">
        <v>3715</v>
      </c>
      <c r="B3613" s="1">
        <v>45921</v>
      </c>
      <c r="C3613" t="s">
        <v>3450</v>
      </c>
      <c r="D3613">
        <v>9</v>
      </c>
      <c r="E3613">
        <v>21</v>
      </c>
      <c r="F3613" t="s">
        <v>149</v>
      </c>
      <c r="G3613" t="s">
        <v>80</v>
      </c>
      <c r="H3613" t="s">
        <v>68</v>
      </c>
      <c r="I3613" t="s">
        <v>27</v>
      </c>
      <c r="J3613" t="s">
        <v>82</v>
      </c>
      <c r="K3613" t="s">
        <v>38</v>
      </c>
      <c r="L3613">
        <v>2</v>
      </c>
      <c r="M3613">
        <v>852</v>
      </c>
      <c r="N3613">
        <v>127.8</v>
      </c>
      <c r="O3613">
        <v>30</v>
      </c>
      <c r="P3613">
        <v>1704</v>
      </c>
      <c r="Q3613">
        <v>1606.2</v>
      </c>
      <c r="R3613" t="s">
        <v>39</v>
      </c>
      <c r="S3613" t="s">
        <v>31</v>
      </c>
      <c r="T3613" t="s">
        <v>32</v>
      </c>
      <c r="U3613">
        <v>39</v>
      </c>
      <c r="V3613">
        <v>4.7</v>
      </c>
      <c r="W3613">
        <f>Table2[[#This Row],[Quantity]]*Table2[[#This Row],[Item_Price]]</f>
        <v>1704</v>
      </c>
    </row>
    <row r="3614" spans="1:23" x14ac:dyDescent="0.25">
      <c r="A3614" t="s">
        <v>3716</v>
      </c>
      <c r="B3614" s="1">
        <v>45921</v>
      </c>
      <c r="C3614" t="s">
        <v>3450</v>
      </c>
      <c r="D3614">
        <v>9</v>
      </c>
      <c r="E3614">
        <v>21</v>
      </c>
      <c r="F3614" t="s">
        <v>149</v>
      </c>
      <c r="G3614" t="s">
        <v>25</v>
      </c>
      <c r="H3614" t="s">
        <v>48</v>
      </c>
      <c r="I3614" t="s">
        <v>36</v>
      </c>
      <c r="J3614" t="s">
        <v>101</v>
      </c>
      <c r="K3614" t="s">
        <v>45</v>
      </c>
      <c r="L3614">
        <v>2</v>
      </c>
      <c r="M3614">
        <v>475</v>
      </c>
      <c r="N3614">
        <v>0</v>
      </c>
      <c r="O3614">
        <v>70</v>
      </c>
      <c r="P3614">
        <v>950</v>
      </c>
      <c r="Q3614">
        <v>1020</v>
      </c>
      <c r="R3614" t="s">
        <v>39</v>
      </c>
      <c r="S3614" t="s">
        <v>31</v>
      </c>
      <c r="T3614" t="s">
        <v>40</v>
      </c>
      <c r="U3614">
        <v>18</v>
      </c>
      <c r="V3614">
        <v>3.4</v>
      </c>
      <c r="W3614">
        <f>Table2[[#This Row],[Quantity]]*Table2[[#This Row],[Item_Price]]</f>
        <v>950</v>
      </c>
    </row>
    <row r="3615" spans="1:23" x14ac:dyDescent="0.25">
      <c r="A3615" t="s">
        <v>3717</v>
      </c>
      <c r="B3615" s="1">
        <v>45921</v>
      </c>
      <c r="C3615" t="s">
        <v>3450</v>
      </c>
      <c r="D3615">
        <v>9</v>
      </c>
      <c r="E3615">
        <v>21</v>
      </c>
      <c r="F3615" t="s">
        <v>149</v>
      </c>
      <c r="G3615" t="s">
        <v>34</v>
      </c>
      <c r="H3615" t="s">
        <v>81</v>
      </c>
      <c r="I3615" t="s">
        <v>61</v>
      </c>
      <c r="J3615" t="s">
        <v>94</v>
      </c>
      <c r="K3615" t="s">
        <v>29</v>
      </c>
      <c r="L3615">
        <v>1</v>
      </c>
      <c r="M3615">
        <v>374</v>
      </c>
      <c r="N3615">
        <v>0</v>
      </c>
      <c r="O3615">
        <v>30</v>
      </c>
      <c r="P3615">
        <v>374</v>
      </c>
      <c r="Q3615">
        <v>404</v>
      </c>
      <c r="R3615" t="s">
        <v>112</v>
      </c>
      <c r="S3615" t="s">
        <v>31</v>
      </c>
      <c r="T3615" t="s">
        <v>32</v>
      </c>
      <c r="U3615">
        <v>50</v>
      </c>
      <c r="V3615">
        <v>3.8</v>
      </c>
      <c r="W3615">
        <f>Table2[[#This Row],[Quantity]]*Table2[[#This Row],[Item_Price]]</f>
        <v>374</v>
      </c>
    </row>
    <row r="3616" spans="1:23" x14ac:dyDescent="0.25">
      <c r="A3616" t="s">
        <v>3718</v>
      </c>
      <c r="B3616" s="1">
        <v>45921</v>
      </c>
      <c r="C3616" t="s">
        <v>3450</v>
      </c>
      <c r="D3616">
        <v>9</v>
      </c>
      <c r="E3616">
        <v>21</v>
      </c>
      <c r="F3616" t="s">
        <v>149</v>
      </c>
      <c r="G3616" t="s">
        <v>34</v>
      </c>
      <c r="H3616" t="s">
        <v>65</v>
      </c>
      <c r="I3616" t="s">
        <v>61</v>
      </c>
      <c r="J3616" t="s">
        <v>62</v>
      </c>
      <c r="K3616" t="s">
        <v>38</v>
      </c>
      <c r="L3616">
        <v>1</v>
      </c>
      <c r="M3616">
        <v>880</v>
      </c>
      <c r="N3616">
        <v>132</v>
      </c>
      <c r="O3616">
        <v>30</v>
      </c>
      <c r="P3616">
        <v>880</v>
      </c>
      <c r="Q3616">
        <v>778</v>
      </c>
      <c r="R3616" t="s">
        <v>39</v>
      </c>
      <c r="S3616" t="s">
        <v>46</v>
      </c>
      <c r="T3616" t="s">
        <v>40</v>
      </c>
      <c r="U3616">
        <v>65</v>
      </c>
      <c r="W3616">
        <f>Table2[[#This Row],[Quantity]]*Table2[[#This Row],[Item_Price]]</f>
        <v>880</v>
      </c>
    </row>
    <row r="3617" spans="1:23" x14ac:dyDescent="0.25">
      <c r="A3617" t="s">
        <v>3719</v>
      </c>
      <c r="B3617" s="1">
        <v>45921</v>
      </c>
      <c r="C3617" t="s">
        <v>3450</v>
      </c>
      <c r="D3617">
        <v>9</v>
      </c>
      <c r="E3617">
        <v>21</v>
      </c>
      <c r="F3617" t="s">
        <v>149</v>
      </c>
      <c r="G3617" t="s">
        <v>84</v>
      </c>
      <c r="H3617" t="s">
        <v>68</v>
      </c>
      <c r="I3617" t="s">
        <v>49</v>
      </c>
      <c r="J3617" t="s">
        <v>50</v>
      </c>
      <c r="K3617" t="s">
        <v>45</v>
      </c>
      <c r="L3617">
        <v>2</v>
      </c>
      <c r="M3617">
        <v>761</v>
      </c>
      <c r="N3617">
        <v>38.049999999999997</v>
      </c>
      <c r="O3617">
        <v>40</v>
      </c>
      <c r="P3617">
        <v>1522</v>
      </c>
      <c r="Q3617">
        <v>1523.95</v>
      </c>
      <c r="R3617" t="s">
        <v>39</v>
      </c>
      <c r="S3617" t="s">
        <v>91</v>
      </c>
      <c r="T3617" t="s">
        <v>40</v>
      </c>
      <c r="U3617">
        <v>24</v>
      </c>
      <c r="W3617">
        <f>Table2[[#This Row],[Quantity]]*Table2[[#This Row],[Item_Price]]</f>
        <v>1522</v>
      </c>
    </row>
    <row r="3618" spans="1:23" x14ac:dyDescent="0.25">
      <c r="A3618" t="s">
        <v>3720</v>
      </c>
      <c r="B3618" s="1">
        <v>45921</v>
      </c>
      <c r="C3618" t="s">
        <v>3450</v>
      </c>
      <c r="D3618">
        <v>9</v>
      </c>
      <c r="E3618">
        <v>21</v>
      </c>
      <c r="F3618" t="s">
        <v>149</v>
      </c>
      <c r="G3618" t="s">
        <v>25</v>
      </c>
      <c r="H3618" t="s">
        <v>26</v>
      </c>
      <c r="I3618" t="s">
        <v>49</v>
      </c>
      <c r="J3618" t="s">
        <v>62</v>
      </c>
      <c r="K3618" t="s">
        <v>38</v>
      </c>
      <c r="L3618">
        <v>1</v>
      </c>
      <c r="M3618">
        <v>829</v>
      </c>
      <c r="N3618">
        <v>41.45</v>
      </c>
      <c r="O3618">
        <v>0</v>
      </c>
      <c r="P3618">
        <v>829</v>
      </c>
      <c r="Q3618">
        <v>787.55</v>
      </c>
      <c r="R3618" t="s">
        <v>75</v>
      </c>
      <c r="S3618" t="s">
        <v>31</v>
      </c>
      <c r="T3618" t="s">
        <v>32</v>
      </c>
      <c r="U3618">
        <v>47</v>
      </c>
      <c r="V3618">
        <v>4</v>
      </c>
      <c r="W3618">
        <f>Table2[[#This Row],[Quantity]]*Table2[[#This Row],[Item_Price]]</f>
        <v>829</v>
      </c>
    </row>
    <row r="3619" spans="1:23" x14ac:dyDescent="0.25">
      <c r="A3619" t="s">
        <v>3721</v>
      </c>
      <c r="B3619" s="1">
        <v>45921</v>
      </c>
      <c r="C3619" t="s">
        <v>3450</v>
      </c>
      <c r="D3619">
        <v>9</v>
      </c>
      <c r="E3619">
        <v>21</v>
      </c>
      <c r="F3619" t="s">
        <v>149</v>
      </c>
      <c r="G3619" t="s">
        <v>96</v>
      </c>
      <c r="H3619" t="s">
        <v>135</v>
      </c>
      <c r="I3619" t="s">
        <v>61</v>
      </c>
      <c r="J3619" t="s">
        <v>37</v>
      </c>
      <c r="K3619" t="s">
        <v>38</v>
      </c>
      <c r="L3619">
        <v>3</v>
      </c>
      <c r="M3619">
        <v>580</v>
      </c>
      <c r="N3619">
        <v>116</v>
      </c>
      <c r="O3619">
        <v>60</v>
      </c>
      <c r="P3619">
        <v>1740</v>
      </c>
      <c r="Q3619">
        <v>1684</v>
      </c>
      <c r="R3619" t="s">
        <v>112</v>
      </c>
      <c r="S3619" t="s">
        <v>31</v>
      </c>
      <c r="T3619" t="s">
        <v>32</v>
      </c>
      <c r="U3619">
        <v>45</v>
      </c>
      <c r="V3619">
        <v>3.6</v>
      </c>
      <c r="W3619">
        <f>Table2[[#This Row],[Quantity]]*Table2[[#This Row],[Item_Price]]</f>
        <v>1740</v>
      </c>
    </row>
    <row r="3620" spans="1:23" x14ac:dyDescent="0.25">
      <c r="A3620" t="s">
        <v>3722</v>
      </c>
      <c r="B3620" s="1">
        <v>45922</v>
      </c>
      <c r="C3620" t="s">
        <v>3450</v>
      </c>
      <c r="D3620">
        <v>9</v>
      </c>
      <c r="E3620">
        <v>22</v>
      </c>
      <c r="F3620" t="s">
        <v>168</v>
      </c>
      <c r="G3620" t="s">
        <v>55</v>
      </c>
      <c r="H3620" t="s">
        <v>65</v>
      </c>
      <c r="I3620" t="s">
        <v>61</v>
      </c>
      <c r="J3620" t="s">
        <v>53</v>
      </c>
      <c r="K3620" t="s">
        <v>45</v>
      </c>
      <c r="L3620">
        <v>1</v>
      </c>
      <c r="M3620">
        <v>248</v>
      </c>
      <c r="N3620">
        <v>24.8</v>
      </c>
      <c r="O3620">
        <v>30</v>
      </c>
      <c r="P3620">
        <v>248</v>
      </c>
      <c r="Q3620">
        <v>253.2</v>
      </c>
      <c r="R3620" t="s">
        <v>75</v>
      </c>
      <c r="S3620" t="s">
        <v>31</v>
      </c>
      <c r="T3620" t="s">
        <v>40</v>
      </c>
      <c r="U3620">
        <v>59</v>
      </c>
      <c r="V3620">
        <v>4.2</v>
      </c>
      <c r="W3620">
        <f>Table2[[#This Row],[Quantity]]*Table2[[#This Row],[Item_Price]]</f>
        <v>248</v>
      </c>
    </row>
    <row r="3621" spans="1:23" x14ac:dyDescent="0.25">
      <c r="A3621" t="s">
        <v>3723</v>
      </c>
      <c r="B3621" s="1">
        <v>45922</v>
      </c>
      <c r="C3621" t="s">
        <v>3450</v>
      </c>
      <c r="D3621">
        <v>9</v>
      </c>
      <c r="E3621">
        <v>22</v>
      </c>
      <c r="F3621" t="s">
        <v>168</v>
      </c>
      <c r="G3621" t="s">
        <v>34</v>
      </c>
      <c r="H3621" t="s">
        <v>77</v>
      </c>
      <c r="I3621" t="s">
        <v>103</v>
      </c>
      <c r="J3621" t="s">
        <v>53</v>
      </c>
      <c r="K3621" t="s">
        <v>38</v>
      </c>
      <c r="L3621">
        <v>1</v>
      </c>
      <c r="M3621">
        <v>447</v>
      </c>
      <c r="N3621">
        <v>44.7</v>
      </c>
      <c r="O3621">
        <v>60</v>
      </c>
      <c r="P3621">
        <v>447</v>
      </c>
      <c r="Q3621">
        <v>462.3</v>
      </c>
      <c r="R3621" t="s">
        <v>112</v>
      </c>
      <c r="S3621" t="s">
        <v>31</v>
      </c>
      <c r="T3621" t="s">
        <v>40</v>
      </c>
      <c r="U3621">
        <v>67</v>
      </c>
      <c r="V3621">
        <v>4.8</v>
      </c>
      <c r="W3621">
        <f>Table2[[#This Row],[Quantity]]*Table2[[#This Row],[Item_Price]]</f>
        <v>447</v>
      </c>
    </row>
    <row r="3622" spans="1:23" x14ac:dyDescent="0.25">
      <c r="A3622" t="s">
        <v>3724</v>
      </c>
      <c r="B3622" s="1">
        <v>45922</v>
      </c>
      <c r="C3622" t="s">
        <v>3450</v>
      </c>
      <c r="D3622">
        <v>9</v>
      </c>
      <c r="E3622">
        <v>22</v>
      </c>
      <c r="F3622" t="s">
        <v>168</v>
      </c>
      <c r="G3622" t="s">
        <v>90</v>
      </c>
      <c r="H3622" t="s">
        <v>26</v>
      </c>
      <c r="I3622" t="s">
        <v>97</v>
      </c>
      <c r="J3622" t="s">
        <v>70</v>
      </c>
      <c r="K3622" t="s">
        <v>45</v>
      </c>
      <c r="L3622">
        <v>1</v>
      </c>
      <c r="M3622">
        <v>652</v>
      </c>
      <c r="N3622">
        <v>32.6</v>
      </c>
      <c r="O3622">
        <v>40</v>
      </c>
      <c r="P3622">
        <v>652</v>
      </c>
      <c r="Q3622">
        <v>659.4</v>
      </c>
      <c r="R3622" t="s">
        <v>75</v>
      </c>
      <c r="S3622" t="s">
        <v>31</v>
      </c>
      <c r="T3622" t="s">
        <v>40</v>
      </c>
      <c r="U3622">
        <v>60</v>
      </c>
      <c r="V3622">
        <v>4.0999999999999996</v>
      </c>
      <c r="W3622">
        <f>Table2[[#This Row],[Quantity]]*Table2[[#This Row],[Item_Price]]</f>
        <v>652</v>
      </c>
    </row>
    <row r="3623" spans="1:23" x14ac:dyDescent="0.25">
      <c r="A3623" t="s">
        <v>3725</v>
      </c>
      <c r="B3623" s="1">
        <v>45922</v>
      </c>
      <c r="C3623" t="s">
        <v>3450</v>
      </c>
      <c r="D3623">
        <v>9</v>
      </c>
      <c r="E3623">
        <v>22</v>
      </c>
      <c r="F3623" t="s">
        <v>168</v>
      </c>
      <c r="G3623" t="s">
        <v>25</v>
      </c>
      <c r="H3623" t="s">
        <v>81</v>
      </c>
      <c r="I3623" t="s">
        <v>27</v>
      </c>
      <c r="J3623" t="s">
        <v>62</v>
      </c>
      <c r="K3623" t="s">
        <v>58</v>
      </c>
      <c r="L3623">
        <v>2</v>
      </c>
      <c r="M3623">
        <v>589</v>
      </c>
      <c r="N3623">
        <v>147.25</v>
      </c>
      <c r="O3623">
        <v>50</v>
      </c>
      <c r="P3623">
        <v>1178</v>
      </c>
      <c r="Q3623">
        <v>1080.75</v>
      </c>
      <c r="R3623" t="s">
        <v>39</v>
      </c>
      <c r="S3623" t="s">
        <v>31</v>
      </c>
      <c r="T3623" t="s">
        <v>40</v>
      </c>
      <c r="U3623">
        <v>44</v>
      </c>
      <c r="V3623">
        <v>3.5</v>
      </c>
      <c r="W3623">
        <f>Table2[[#This Row],[Quantity]]*Table2[[#This Row],[Item_Price]]</f>
        <v>1178</v>
      </c>
    </row>
    <row r="3624" spans="1:23" x14ac:dyDescent="0.25">
      <c r="A3624" t="s">
        <v>3726</v>
      </c>
      <c r="B3624" s="1">
        <v>45922</v>
      </c>
      <c r="C3624" t="s">
        <v>3450</v>
      </c>
      <c r="D3624">
        <v>9</v>
      </c>
      <c r="E3624">
        <v>22</v>
      </c>
      <c r="F3624" t="s">
        <v>168</v>
      </c>
      <c r="G3624" t="s">
        <v>64</v>
      </c>
      <c r="H3624" t="s">
        <v>105</v>
      </c>
      <c r="I3624" t="s">
        <v>43</v>
      </c>
      <c r="J3624" t="s">
        <v>70</v>
      </c>
      <c r="K3624" t="s">
        <v>45</v>
      </c>
      <c r="L3624">
        <v>2</v>
      </c>
      <c r="M3624">
        <v>649</v>
      </c>
      <c r="N3624">
        <v>32.450000000000003</v>
      </c>
      <c r="O3624">
        <v>60</v>
      </c>
      <c r="P3624">
        <v>1298</v>
      </c>
      <c r="Q3624">
        <v>1325.55</v>
      </c>
      <c r="R3624" t="s">
        <v>112</v>
      </c>
      <c r="S3624" t="s">
        <v>31</v>
      </c>
      <c r="T3624" t="s">
        <v>40</v>
      </c>
      <c r="U3624">
        <v>30</v>
      </c>
      <c r="V3624">
        <v>4.2</v>
      </c>
      <c r="W3624">
        <f>Table2[[#This Row],[Quantity]]*Table2[[#This Row],[Item_Price]]</f>
        <v>1298</v>
      </c>
    </row>
    <row r="3625" spans="1:23" x14ac:dyDescent="0.25">
      <c r="A3625" t="s">
        <v>3727</v>
      </c>
      <c r="B3625" s="1">
        <v>45922</v>
      </c>
      <c r="C3625" t="s">
        <v>3450</v>
      </c>
      <c r="D3625">
        <v>9</v>
      </c>
      <c r="E3625">
        <v>22</v>
      </c>
      <c r="F3625" t="s">
        <v>168</v>
      </c>
      <c r="G3625" t="s">
        <v>25</v>
      </c>
      <c r="H3625" t="s">
        <v>108</v>
      </c>
      <c r="I3625" t="s">
        <v>97</v>
      </c>
      <c r="J3625" t="s">
        <v>66</v>
      </c>
      <c r="K3625" t="s">
        <v>38</v>
      </c>
      <c r="L3625">
        <v>1</v>
      </c>
      <c r="M3625">
        <v>551</v>
      </c>
      <c r="N3625">
        <v>137.75</v>
      </c>
      <c r="O3625">
        <v>20</v>
      </c>
      <c r="P3625">
        <v>551</v>
      </c>
      <c r="Q3625">
        <v>433.25</v>
      </c>
      <c r="R3625" t="s">
        <v>39</v>
      </c>
      <c r="S3625" t="s">
        <v>31</v>
      </c>
      <c r="T3625" t="s">
        <v>32</v>
      </c>
      <c r="U3625">
        <v>54</v>
      </c>
      <c r="V3625">
        <v>4.2</v>
      </c>
      <c r="W3625">
        <f>Table2[[#This Row],[Quantity]]*Table2[[#This Row],[Item_Price]]</f>
        <v>551</v>
      </c>
    </row>
    <row r="3626" spans="1:23" x14ac:dyDescent="0.25">
      <c r="A3626" t="s">
        <v>3728</v>
      </c>
      <c r="B3626" s="1">
        <v>45922</v>
      </c>
      <c r="C3626" t="s">
        <v>3450</v>
      </c>
      <c r="D3626">
        <v>9</v>
      </c>
      <c r="E3626">
        <v>22</v>
      </c>
      <c r="F3626" t="s">
        <v>168</v>
      </c>
      <c r="G3626" t="s">
        <v>84</v>
      </c>
      <c r="H3626" t="s">
        <v>42</v>
      </c>
      <c r="I3626" t="s">
        <v>49</v>
      </c>
      <c r="J3626" t="s">
        <v>172</v>
      </c>
      <c r="K3626" t="s">
        <v>38</v>
      </c>
      <c r="L3626">
        <v>1</v>
      </c>
      <c r="M3626">
        <v>458</v>
      </c>
      <c r="N3626">
        <v>91.6</v>
      </c>
      <c r="O3626">
        <v>50</v>
      </c>
      <c r="P3626">
        <v>458</v>
      </c>
      <c r="Q3626">
        <v>416.4</v>
      </c>
      <c r="R3626" t="s">
        <v>98</v>
      </c>
      <c r="S3626" t="s">
        <v>31</v>
      </c>
      <c r="T3626" t="s">
        <v>32</v>
      </c>
      <c r="U3626">
        <v>26</v>
      </c>
      <c r="V3626">
        <v>4.4000000000000004</v>
      </c>
      <c r="W3626">
        <f>Table2[[#This Row],[Quantity]]*Table2[[#This Row],[Item_Price]]</f>
        <v>458</v>
      </c>
    </row>
    <row r="3627" spans="1:23" x14ac:dyDescent="0.25">
      <c r="A3627" t="s">
        <v>3729</v>
      </c>
      <c r="B3627" s="1">
        <v>45922</v>
      </c>
      <c r="C3627" t="s">
        <v>3450</v>
      </c>
      <c r="D3627">
        <v>9</v>
      </c>
      <c r="E3627">
        <v>22</v>
      </c>
      <c r="F3627" t="s">
        <v>168</v>
      </c>
      <c r="G3627" t="s">
        <v>80</v>
      </c>
      <c r="H3627" t="s">
        <v>42</v>
      </c>
      <c r="I3627" t="s">
        <v>85</v>
      </c>
      <c r="J3627" t="s">
        <v>119</v>
      </c>
      <c r="K3627" t="s">
        <v>45</v>
      </c>
      <c r="L3627">
        <v>2</v>
      </c>
      <c r="M3627">
        <v>250</v>
      </c>
      <c r="N3627">
        <v>37.5</v>
      </c>
      <c r="O3627">
        <v>50</v>
      </c>
      <c r="P3627">
        <v>500</v>
      </c>
      <c r="Q3627">
        <v>512.5</v>
      </c>
      <c r="R3627" t="s">
        <v>30</v>
      </c>
      <c r="S3627" t="s">
        <v>46</v>
      </c>
      <c r="T3627" t="s">
        <v>40</v>
      </c>
      <c r="U3627">
        <v>34</v>
      </c>
      <c r="W3627">
        <f>Table2[[#This Row],[Quantity]]*Table2[[#This Row],[Item_Price]]</f>
        <v>500</v>
      </c>
    </row>
    <row r="3628" spans="1:23" x14ac:dyDescent="0.25">
      <c r="A3628" t="s">
        <v>3730</v>
      </c>
      <c r="B3628" s="1">
        <v>45922</v>
      </c>
      <c r="C3628" t="s">
        <v>3450</v>
      </c>
      <c r="D3628">
        <v>9</v>
      </c>
      <c r="E3628">
        <v>22</v>
      </c>
      <c r="F3628" t="s">
        <v>168</v>
      </c>
      <c r="G3628" t="s">
        <v>80</v>
      </c>
      <c r="H3628" t="s">
        <v>81</v>
      </c>
      <c r="I3628" t="s">
        <v>61</v>
      </c>
      <c r="J3628" t="s">
        <v>50</v>
      </c>
      <c r="K3628" t="s">
        <v>38</v>
      </c>
      <c r="L3628">
        <v>1</v>
      </c>
      <c r="M3628">
        <v>629</v>
      </c>
      <c r="N3628">
        <v>31.45</v>
      </c>
      <c r="O3628">
        <v>60</v>
      </c>
      <c r="P3628">
        <v>629</v>
      </c>
      <c r="Q3628">
        <v>657.55</v>
      </c>
      <c r="R3628" t="s">
        <v>39</v>
      </c>
      <c r="S3628" t="s">
        <v>110</v>
      </c>
      <c r="T3628" t="s">
        <v>32</v>
      </c>
      <c r="U3628">
        <v>33</v>
      </c>
      <c r="W3628">
        <f>Table2[[#This Row],[Quantity]]*Table2[[#This Row],[Item_Price]]</f>
        <v>629</v>
      </c>
    </row>
    <row r="3629" spans="1:23" x14ac:dyDescent="0.25">
      <c r="A3629" t="s">
        <v>3731</v>
      </c>
      <c r="B3629" s="1">
        <v>45922</v>
      </c>
      <c r="C3629" t="s">
        <v>3450</v>
      </c>
      <c r="D3629">
        <v>9</v>
      </c>
      <c r="E3629">
        <v>22</v>
      </c>
      <c r="F3629" t="s">
        <v>168</v>
      </c>
      <c r="G3629" t="s">
        <v>115</v>
      </c>
      <c r="H3629" t="s">
        <v>56</v>
      </c>
      <c r="I3629" t="s">
        <v>43</v>
      </c>
      <c r="J3629" t="s">
        <v>94</v>
      </c>
      <c r="K3629" t="s">
        <v>58</v>
      </c>
      <c r="L3629">
        <v>2</v>
      </c>
      <c r="M3629">
        <v>436</v>
      </c>
      <c r="N3629">
        <v>21.8</v>
      </c>
      <c r="O3629">
        <v>0</v>
      </c>
      <c r="P3629">
        <v>872</v>
      </c>
      <c r="Q3629">
        <v>850.2</v>
      </c>
      <c r="R3629" t="s">
        <v>39</v>
      </c>
      <c r="S3629" t="s">
        <v>31</v>
      </c>
      <c r="T3629" t="s">
        <v>32</v>
      </c>
      <c r="U3629">
        <v>18</v>
      </c>
      <c r="V3629">
        <v>5</v>
      </c>
      <c r="W3629">
        <f>Table2[[#This Row],[Quantity]]*Table2[[#This Row],[Item_Price]]</f>
        <v>872</v>
      </c>
    </row>
    <row r="3630" spans="1:23" x14ac:dyDescent="0.25">
      <c r="A3630" t="s">
        <v>3732</v>
      </c>
      <c r="B3630" s="1">
        <v>45923</v>
      </c>
      <c r="C3630" t="s">
        <v>3450</v>
      </c>
      <c r="D3630">
        <v>9</v>
      </c>
      <c r="E3630">
        <v>23</v>
      </c>
      <c r="F3630" t="s">
        <v>178</v>
      </c>
      <c r="G3630" t="s">
        <v>80</v>
      </c>
      <c r="H3630" t="s">
        <v>26</v>
      </c>
      <c r="I3630" t="s">
        <v>85</v>
      </c>
      <c r="J3630" t="s">
        <v>70</v>
      </c>
      <c r="K3630" t="s">
        <v>38</v>
      </c>
      <c r="L3630">
        <v>1</v>
      </c>
      <c r="M3630">
        <v>638</v>
      </c>
      <c r="N3630">
        <v>63.8</v>
      </c>
      <c r="O3630">
        <v>40</v>
      </c>
      <c r="P3630">
        <v>638</v>
      </c>
      <c r="Q3630">
        <v>614.20000000000005</v>
      </c>
      <c r="R3630" t="s">
        <v>39</v>
      </c>
      <c r="S3630" t="s">
        <v>31</v>
      </c>
      <c r="T3630" t="s">
        <v>40</v>
      </c>
      <c r="U3630">
        <v>32</v>
      </c>
      <c r="V3630">
        <v>4.9000000000000004</v>
      </c>
      <c r="W3630">
        <f>Table2[[#This Row],[Quantity]]*Table2[[#This Row],[Item_Price]]</f>
        <v>638</v>
      </c>
    </row>
    <row r="3631" spans="1:23" x14ac:dyDescent="0.25">
      <c r="A3631" t="s">
        <v>3733</v>
      </c>
      <c r="B3631" s="1">
        <v>45923</v>
      </c>
      <c r="C3631" t="s">
        <v>3450</v>
      </c>
      <c r="D3631">
        <v>9</v>
      </c>
      <c r="E3631">
        <v>23</v>
      </c>
      <c r="F3631" t="s">
        <v>178</v>
      </c>
      <c r="G3631" t="s">
        <v>34</v>
      </c>
      <c r="H3631" t="s">
        <v>139</v>
      </c>
      <c r="I3631" t="s">
        <v>69</v>
      </c>
      <c r="J3631" t="s">
        <v>94</v>
      </c>
      <c r="K3631" t="s">
        <v>38</v>
      </c>
      <c r="L3631">
        <v>1</v>
      </c>
      <c r="M3631">
        <v>821</v>
      </c>
      <c r="N3631">
        <v>82.1</v>
      </c>
      <c r="O3631">
        <v>0</v>
      </c>
      <c r="P3631">
        <v>821</v>
      </c>
      <c r="Q3631">
        <v>738.9</v>
      </c>
      <c r="R3631" t="s">
        <v>39</v>
      </c>
      <c r="S3631" t="s">
        <v>31</v>
      </c>
      <c r="T3631" t="s">
        <v>40</v>
      </c>
      <c r="U3631">
        <v>60</v>
      </c>
      <c r="V3631">
        <v>4.4000000000000004</v>
      </c>
      <c r="W3631">
        <f>Table2[[#This Row],[Quantity]]*Table2[[#This Row],[Item_Price]]</f>
        <v>821</v>
      </c>
    </row>
    <row r="3632" spans="1:23" x14ac:dyDescent="0.25">
      <c r="A3632" t="s">
        <v>3734</v>
      </c>
      <c r="B3632" s="1">
        <v>45923</v>
      </c>
      <c r="C3632" t="s">
        <v>3450</v>
      </c>
      <c r="D3632">
        <v>9</v>
      </c>
      <c r="E3632">
        <v>23</v>
      </c>
      <c r="F3632" t="s">
        <v>178</v>
      </c>
      <c r="G3632" t="s">
        <v>84</v>
      </c>
      <c r="H3632" t="s">
        <v>52</v>
      </c>
      <c r="I3632" t="s">
        <v>61</v>
      </c>
      <c r="J3632" t="s">
        <v>101</v>
      </c>
      <c r="K3632" t="s">
        <v>38</v>
      </c>
      <c r="L3632">
        <v>2</v>
      </c>
      <c r="M3632">
        <v>744</v>
      </c>
      <c r="N3632">
        <v>111.6</v>
      </c>
      <c r="O3632">
        <v>60</v>
      </c>
      <c r="P3632">
        <v>1488</v>
      </c>
      <c r="Q3632">
        <v>1436.4</v>
      </c>
      <c r="R3632" t="s">
        <v>39</v>
      </c>
      <c r="S3632" t="s">
        <v>31</v>
      </c>
      <c r="T3632" t="s">
        <v>40</v>
      </c>
      <c r="U3632">
        <v>59</v>
      </c>
      <c r="V3632">
        <v>5</v>
      </c>
      <c r="W3632">
        <f>Table2[[#This Row],[Quantity]]*Table2[[#This Row],[Item_Price]]</f>
        <v>1488</v>
      </c>
    </row>
    <row r="3633" spans="1:23" x14ac:dyDescent="0.25">
      <c r="A3633" t="s">
        <v>3735</v>
      </c>
      <c r="B3633" s="1">
        <v>45923</v>
      </c>
      <c r="C3633" t="s">
        <v>3450</v>
      </c>
      <c r="D3633">
        <v>9</v>
      </c>
      <c r="E3633">
        <v>23</v>
      </c>
      <c r="F3633" t="s">
        <v>178</v>
      </c>
      <c r="G3633" t="s">
        <v>25</v>
      </c>
      <c r="H3633" t="s">
        <v>139</v>
      </c>
      <c r="I3633" t="s">
        <v>61</v>
      </c>
      <c r="J3633" t="s">
        <v>94</v>
      </c>
      <c r="K3633" t="s">
        <v>38</v>
      </c>
      <c r="L3633">
        <v>2</v>
      </c>
      <c r="M3633">
        <v>403</v>
      </c>
      <c r="N3633">
        <v>80.599999999999994</v>
      </c>
      <c r="O3633">
        <v>40</v>
      </c>
      <c r="P3633">
        <v>806</v>
      </c>
      <c r="Q3633">
        <v>765.4</v>
      </c>
      <c r="R3633" t="s">
        <v>30</v>
      </c>
      <c r="S3633" t="s">
        <v>91</v>
      </c>
      <c r="T3633" t="s">
        <v>40</v>
      </c>
      <c r="U3633">
        <v>18</v>
      </c>
      <c r="W3633">
        <f>Table2[[#This Row],[Quantity]]*Table2[[#This Row],[Item_Price]]</f>
        <v>806</v>
      </c>
    </row>
    <row r="3634" spans="1:23" x14ac:dyDescent="0.25">
      <c r="A3634" t="s">
        <v>3736</v>
      </c>
      <c r="B3634" s="1">
        <v>45923</v>
      </c>
      <c r="C3634" t="s">
        <v>3450</v>
      </c>
      <c r="D3634">
        <v>9</v>
      </c>
      <c r="E3634">
        <v>23</v>
      </c>
      <c r="F3634" t="s">
        <v>178</v>
      </c>
      <c r="G3634" t="s">
        <v>115</v>
      </c>
      <c r="H3634" t="s">
        <v>56</v>
      </c>
      <c r="I3634" t="s">
        <v>43</v>
      </c>
      <c r="J3634" t="s">
        <v>82</v>
      </c>
      <c r="K3634" t="s">
        <v>58</v>
      </c>
      <c r="L3634">
        <v>3</v>
      </c>
      <c r="M3634">
        <v>423</v>
      </c>
      <c r="N3634">
        <v>105.75</v>
      </c>
      <c r="O3634">
        <v>60</v>
      </c>
      <c r="P3634">
        <v>1269</v>
      </c>
      <c r="Q3634">
        <v>1223.25</v>
      </c>
      <c r="R3634" t="s">
        <v>39</v>
      </c>
      <c r="S3634" t="s">
        <v>31</v>
      </c>
      <c r="T3634" t="s">
        <v>40</v>
      </c>
      <c r="U3634">
        <v>34</v>
      </c>
      <c r="V3634">
        <v>2.9</v>
      </c>
      <c r="W3634">
        <f>Table2[[#This Row],[Quantity]]*Table2[[#This Row],[Item_Price]]</f>
        <v>1269</v>
      </c>
    </row>
    <row r="3635" spans="1:23" x14ac:dyDescent="0.25">
      <c r="A3635" t="s">
        <v>3737</v>
      </c>
      <c r="B3635" s="1">
        <v>45923</v>
      </c>
      <c r="C3635" t="s">
        <v>3450</v>
      </c>
      <c r="D3635">
        <v>9</v>
      </c>
      <c r="E3635">
        <v>23</v>
      </c>
      <c r="F3635" t="s">
        <v>178</v>
      </c>
      <c r="G3635" t="s">
        <v>90</v>
      </c>
      <c r="H3635" t="s">
        <v>52</v>
      </c>
      <c r="I3635" t="s">
        <v>49</v>
      </c>
      <c r="J3635" t="s">
        <v>28</v>
      </c>
      <c r="K3635" t="s">
        <v>38</v>
      </c>
      <c r="L3635">
        <v>1</v>
      </c>
      <c r="M3635">
        <v>538</v>
      </c>
      <c r="N3635">
        <v>53.8</v>
      </c>
      <c r="O3635">
        <v>50</v>
      </c>
      <c r="P3635">
        <v>538</v>
      </c>
      <c r="Q3635">
        <v>534.20000000000005</v>
      </c>
      <c r="R3635" t="s">
        <v>39</v>
      </c>
      <c r="S3635" t="s">
        <v>31</v>
      </c>
      <c r="T3635" t="s">
        <v>40</v>
      </c>
      <c r="U3635">
        <v>70</v>
      </c>
      <c r="V3635">
        <v>4.0999999999999996</v>
      </c>
      <c r="W3635">
        <f>Table2[[#This Row],[Quantity]]*Table2[[#This Row],[Item_Price]]</f>
        <v>538</v>
      </c>
    </row>
    <row r="3636" spans="1:23" x14ac:dyDescent="0.25">
      <c r="A3636" t="s">
        <v>3738</v>
      </c>
      <c r="B3636" s="1">
        <v>45923</v>
      </c>
      <c r="C3636" t="s">
        <v>3450</v>
      </c>
      <c r="D3636">
        <v>9</v>
      </c>
      <c r="E3636">
        <v>23</v>
      </c>
      <c r="F3636" t="s">
        <v>178</v>
      </c>
      <c r="G3636" t="s">
        <v>73</v>
      </c>
      <c r="H3636" t="s">
        <v>52</v>
      </c>
      <c r="I3636" t="s">
        <v>103</v>
      </c>
      <c r="J3636" t="s">
        <v>37</v>
      </c>
      <c r="K3636" t="s">
        <v>29</v>
      </c>
      <c r="L3636">
        <v>2</v>
      </c>
      <c r="M3636">
        <v>209</v>
      </c>
      <c r="N3636">
        <v>10.45</v>
      </c>
      <c r="O3636">
        <v>20</v>
      </c>
      <c r="P3636">
        <v>418</v>
      </c>
      <c r="Q3636">
        <v>427.55</v>
      </c>
      <c r="R3636" t="s">
        <v>75</v>
      </c>
      <c r="S3636" t="s">
        <v>31</v>
      </c>
      <c r="T3636" t="s">
        <v>32</v>
      </c>
      <c r="U3636">
        <v>54</v>
      </c>
      <c r="V3636">
        <v>4.7</v>
      </c>
      <c r="W3636">
        <f>Table2[[#This Row],[Quantity]]*Table2[[#This Row],[Item_Price]]</f>
        <v>418</v>
      </c>
    </row>
    <row r="3637" spans="1:23" x14ac:dyDescent="0.25">
      <c r="A3637" t="s">
        <v>3739</v>
      </c>
      <c r="B3637" s="1">
        <v>45923</v>
      </c>
      <c r="C3637" t="s">
        <v>3450</v>
      </c>
      <c r="D3637">
        <v>9</v>
      </c>
      <c r="E3637">
        <v>23</v>
      </c>
      <c r="F3637" t="s">
        <v>178</v>
      </c>
      <c r="G3637" t="s">
        <v>115</v>
      </c>
      <c r="H3637" t="s">
        <v>48</v>
      </c>
      <c r="I3637" t="s">
        <v>57</v>
      </c>
      <c r="J3637" t="s">
        <v>172</v>
      </c>
      <c r="K3637" t="s">
        <v>45</v>
      </c>
      <c r="L3637">
        <v>1</v>
      </c>
      <c r="M3637">
        <v>684</v>
      </c>
      <c r="N3637">
        <v>171</v>
      </c>
      <c r="O3637">
        <v>30</v>
      </c>
      <c r="P3637">
        <v>684</v>
      </c>
      <c r="Q3637">
        <v>543</v>
      </c>
      <c r="R3637" t="s">
        <v>98</v>
      </c>
      <c r="S3637" t="s">
        <v>31</v>
      </c>
      <c r="T3637" t="s">
        <v>40</v>
      </c>
      <c r="U3637">
        <v>18</v>
      </c>
      <c r="V3637">
        <v>4.4000000000000004</v>
      </c>
      <c r="W3637">
        <f>Table2[[#This Row],[Quantity]]*Table2[[#This Row],[Item_Price]]</f>
        <v>684</v>
      </c>
    </row>
    <row r="3638" spans="1:23" x14ac:dyDescent="0.25">
      <c r="A3638" t="s">
        <v>3740</v>
      </c>
      <c r="B3638" s="1">
        <v>45923</v>
      </c>
      <c r="C3638" t="s">
        <v>3450</v>
      </c>
      <c r="D3638">
        <v>9</v>
      </c>
      <c r="E3638">
        <v>23</v>
      </c>
      <c r="F3638" t="s">
        <v>178</v>
      </c>
      <c r="G3638" t="s">
        <v>84</v>
      </c>
      <c r="H3638" t="s">
        <v>35</v>
      </c>
      <c r="I3638" t="s">
        <v>103</v>
      </c>
      <c r="J3638" t="s">
        <v>172</v>
      </c>
      <c r="K3638" t="s">
        <v>29</v>
      </c>
      <c r="L3638">
        <v>1</v>
      </c>
      <c r="M3638">
        <v>885</v>
      </c>
      <c r="N3638">
        <v>221.25</v>
      </c>
      <c r="O3638">
        <v>40</v>
      </c>
      <c r="P3638">
        <v>885</v>
      </c>
      <c r="Q3638">
        <v>703.75</v>
      </c>
      <c r="R3638" t="s">
        <v>39</v>
      </c>
      <c r="S3638" t="s">
        <v>46</v>
      </c>
      <c r="T3638" t="s">
        <v>32</v>
      </c>
      <c r="U3638">
        <v>22</v>
      </c>
      <c r="W3638">
        <f>Table2[[#This Row],[Quantity]]*Table2[[#This Row],[Item_Price]]</f>
        <v>885</v>
      </c>
    </row>
    <row r="3639" spans="1:23" x14ac:dyDescent="0.25">
      <c r="A3639" t="s">
        <v>3741</v>
      </c>
      <c r="B3639" s="1">
        <v>45923</v>
      </c>
      <c r="C3639" t="s">
        <v>3450</v>
      </c>
      <c r="D3639">
        <v>9</v>
      </c>
      <c r="E3639">
        <v>23</v>
      </c>
      <c r="F3639" t="s">
        <v>178</v>
      </c>
      <c r="G3639" t="s">
        <v>115</v>
      </c>
      <c r="H3639" t="s">
        <v>42</v>
      </c>
      <c r="I3639" t="s">
        <v>69</v>
      </c>
      <c r="J3639" t="s">
        <v>78</v>
      </c>
      <c r="K3639" t="s">
        <v>38</v>
      </c>
      <c r="L3639">
        <v>3</v>
      </c>
      <c r="M3639">
        <v>194</v>
      </c>
      <c r="N3639">
        <v>19.399999999999999</v>
      </c>
      <c r="O3639">
        <v>60</v>
      </c>
      <c r="P3639">
        <v>582</v>
      </c>
      <c r="Q3639">
        <v>622.6</v>
      </c>
      <c r="R3639" t="s">
        <v>75</v>
      </c>
      <c r="S3639" t="s">
        <v>31</v>
      </c>
      <c r="T3639" t="s">
        <v>40</v>
      </c>
      <c r="U3639">
        <v>22</v>
      </c>
      <c r="V3639">
        <v>3.4</v>
      </c>
      <c r="W3639">
        <f>Table2[[#This Row],[Quantity]]*Table2[[#This Row],[Item_Price]]</f>
        <v>582</v>
      </c>
    </row>
    <row r="3640" spans="1:23" x14ac:dyDescent="0.25">
      <c r="A3640" t="s">
        <v>3742</v>
      </c>
      <c r="B3640" s="1">
        <v>45923</v>
      </c>
      <c r="C3640" t="s">
        <v>3450</v>
      </c>
      <c r="D3640">
        <v>9</v>
      </c>
      <c r="E3640">
        <v>23</v>
      </c>
      <c r="F3640" t="s">
        <v>178</v>
      </c>
      <c r="G3640" t="s">
        <v>73</v>
      </c>
      <c r="H3640" t="s">
        <v>135</v>
      </c>
      <c r="I3640" t="s">
        <v>49</v>
      </c>
      <c r="J3640" t="s">
        <v>101</v>
      </c>
      <c r="K3640" t="s">
        <v>45</v>
      </c>
      <c r="L3640">
        <v>1</v>
      </c>
      <c r="M3640">
        <v>715</v>
      </c>
      <c r="N3640">
        <v>178.75</v>
      </c>
      <c r="O3640">
        <v>30</v>
      </c>
      <c r="P3640">
        <v>715</v>
      </c>
      <c r="Q3640">
        <v>566.25</v>
      </c>
      <c r="R3640" t="s">
        <v>39</v>
      </c>
      <c r="S3640" t="s">
        <v>31</v>
      </c>
      <c r="T3640" t="s">
        <v>32</v>
      </c>
      <c r="U3640">
        <v>32</v>
      </c>
      <c r="V3640">
        <v>3.6</v>
      </c>
      <c r="W3640">
        <f>Table2[[#This Row],[Quantity]]*Table2[[#This Row],[Item_Price]]</f>
        <v>715</v>
      </c>
    </row>
    <row r="3641" spans="1:23" x14ac:dyDescent="0.25">
      <c r="A3641" t="s">
        <v>3743</v>
      </c>
      <c r="B3641" s="1">
        <v>45923</v>
      </c>
      <c r="C3641" t="s">
        <v>3450</v>
      </c>
      <c r="D3641">
        <v>9</v>
      </c>
      <c r="E3641">
        <v>23</v>
      </c>
      <c r="F3641" t="s">
        <v>178</v>
      </c>
      <c r="G3641" t="s">
        <v>25</v>
      </c>
      <c r="H3641" t="s">
        <v>42</v>
      </c>
      <c r="I3641" t="s">
        <v>103</v>
      </c>
      <c r="J3641" t="s">
        <v>44</v>
      </c>
      <c r="K3641" t="s">
        <v>58</v>
      </c>
      <c r="L3641">
        <v>1</v>
      </c>
      <c r="M3641">
        <v>548</v>
      </c>
      <c r="N3641">
        <v>54.8</v>
      </c>
      <c r="O3641">
        <v>60</v>
      </c>
      <c r="P3641">
        <v>548</v>
      </c>
      <c r="Q3641">
        <v>553.20000000000005</v>
      </c>
      <c r="R3641" t="s">
        <v>39</v>
      </c>
      <c r="S3641" t="s">
        <v>31</v>
      </c>
      <c r="T3641" t="s">
        <v>32</v>
      </c>
      <c r="U3641">
        <v>54</v>
      </c>
      <c r="V3641">
        <v>3.4</v>
      </c>
      <c r="W3641">
        <f>Table2[[#This Row],[Quantity]]*Table2[[#This Row],[Item_Price]]</f>
        <v>548</v>
      </c>
    </row>
    <row r="3642" spans="1:23" x14ac:dyDescent="0.25">
      <c r="A3642" t="s">
        <v>3744</v>
      </c>
      <c r="B3642" s="1">
        <v>45924</v>
      </c>
      <c r="C3642" t="s">
        <v>3450</v>
      </c>
      <c r="D3642">
        <v>9</v>
      </c>
      <c r="E3642">
        <v>24</v>
      </c>
      <c r="F3642" t="s">
        <v>24</v>
      </c>
      <c r="G3642" t="s">
        <v>55</v>
      </c>
      <c r="H3642" t="s">
        <v>42</v>
      </c>
      <c r="I3642" t="s">
        <v>36</v>
      </c>
      <c r="J3642" t="s">
        <v>119</v>
      </c>
      <c r="K3642" t="s">
        <v>29</v>
      </c>
      <c r="L3642">
        <v>1</v>
      </c>
      <c r="M3642">
        <v>719</v>
      </c>
      <c r="N3642">
        <v>0</v>
      </c>
      <c r="O3642">
        <v>30</v>
      </c>
      <c r="P3642">
        <v>719</v>
      </c>
      <c r="Q3642">
        <v>749</v>
      </c>
      <c r="R3642" t="s">
        <v>39</v>
      </c>
      <c r="S3642" t="s">
        <v>110</v>
      </c>
      <c r="T3642" t="s">
        <v>32</v>
      </c>
      <c r="U3642">
        <v>49</v>
      </c>
      <c r="W3642">
        <f>Table2[[#This Row],[Quantity]]*Table2[[#This Row],[Item_Price]]</f>
        <v>719</v>
      </c>
    </row>
    <row r="3643" spans="1:23" x14ac:dyDescent="0.25">
      <c r="A3643" t="s">
        <v>3745</v>
      </c>
      <c r="B3643" s="1">
        <v>45924</v>
      </c>
      <c r="C3643" t="s">
        <v>3450</v>
      </c>
      <c r="D3643">
        <v>9</v>
      </c>
      <c r="E3643">
        <v>24</v>
      </c>
      <c r="F3643" t="s">
        <v>24</v>
      </c>
      <c r="G3643" t="s">
        <v>80</v>
      </c>
      <c r="H3643" t="s">
        <v>65</v>
      </c>
      <c r="I3643" t="s">
        <v>49</v>
      </c>
      <c r="J3643" t="s">
        <v>78</v>
      </c>
      <c r="K3643" t="s">
        <v>38</v>
      </c>
      <c r="L3643">
        <v>1</v>
      </c>
      <c r="M3643">
        <v>251</v>
      </c>
      <c r="N3643">
        <v>25.1</v>
      </c>
      <c r="O3643">
        <v>0</v>
      </c>
      <c r="P3643">
        <v>251</v>
      </c>
      <c r="Q3643">
        <v>225.9</v>
      </c>
      <c r="R3643" t="s">
        <v>30</v>
      </c>
      <c r="S3643" t="s">
        <v>31</v>
      </c>
      <c r="T3643" t="s">
        <v>40</v>
      </c>
      <c r="U3643">
        <v>64</v>
      </c>
      <c r="V3643">
        <v>4.2</v>
      </c>
      <c r="W3643">
        <f>Table2[[#This Row],[Quantity]]*Table2[[#This Row],[Item_Price]]</f>
        <v>251</v>
      </c>
    </row>
    <row r="3644" spans="1:23" x14ac:dyDescent="0.25">
      <c r="A3644" t="s">
        <v>3746</v>
      </c>
      <c r="B3644" s="1">
        <v>45924</v>
      </c>
      <c r="C3644" t="s">
        <v>3450</v>
      </c>
      <c r="D3644">
        <v>9</v>
      </c>
      <c r="E3644">
        <v>24</v>
      </c>
      <c r="F3644" t="s">
        <v>24</v>
      </c>
      <c r="G3644" t="s">
        <v>25</v>
      </c>
      <c r="H3644" t="s">
        <v>60</v>
      </c>
      <c r="I3644" t="s">
        <v>49</v>
      </c>
      <c r="J3644" t="s">
        <v>172</v>
      </c>
      <c r="K3644" t="s">
        <v>38</v>
      </c>
      <c r="L3644">
        <v>3</v>
      </c>
      <c r="M3644">
        <v>584</v>
      </c>
      <c r="N3644">
        <v>29.2</v>
      </c>
      <c r="O3644">
        <v>20</v>
      </c>
      <c r="P3644">
        <v>1752</v>
      </c>
      <c r="Q3644">
        <v>1742.8</v>
      </c>
      <c r="R3644" t="s">
        <v>39</v>
      </c>
      <c r="S3644" t="s">
        <v>31</v>
      </c>
      <c r="T3644" t="s">
        <v>40</v>
      </c>
      <c r="U3644">
        <v>46</v>
      </c>
      <c r="V3644">
        <v>4.5999999999999996</v>
      </c>
      <c r="W3644">
        <f>Table2[[#This Row],[Quantity]]*Table2[[#This Row],[Item_Price]]</f>
        <v>1752</v>
      </c>
    </row>
    <row r="3645" spans="1:23" x14ac:dyDescent="0.25">
      <c r="A3645" t="s">
        <v>3747</v>
      </c>
      <c r="B3645" s="1">
        <v>45924</v>
      </c>
      <c r="C3645" t="s">
        <v>3450</v>
      </c>
      <c r="D3645">
        <v>9</v>
      </c>
      <c r="E3645">
        <v>24</v>
      </c>
      <c r="F3645" t="s">
        <v>24</v>
      </c>
      <c r="G3645" t="s">
        <v>80</v>
      </c>
      <c r="H3645" t="s">
        <v>77</v>
      </c>
      <c r="I3645" t="s">
        <v>43</v>
      </c>
      <c r="J3645" t="s">
        <v>172</v>
      </c>
      <c r="K3645" t="s">
        <v>38</v>
      </c>
      <c r="L3645">
        <v>2</v>
      </c>
      <c r="M3645">
        <v>604</v>
      </c>
      <c r="N3645">
        <v>60.4</v>
      </c>
      <c r="O3645">
        <v>60</v>
      </c>
      <c r="P3645">
        <v>1208</v>
      </c>
      <c r="Q3645">
        <v>1207.5999999999999</v>
      </c>
      <c r="R3645" t="s">
        <v>75</v>
      </c>
      <c r="S3645" t="s">
        <v>91</v>
      </c>
      <c r="T3645" t="s">
        <v>40</v>
      </c>
      <c r="U3645">
        <v>47</v>
      </c>
      <c r="W3645">
        <f>Table2[[#This Row],[Quantity]]*Table2[[#This Row],[Item_Price]]</f>
        <v>1208</v>
      </c>
    </row>
    <row r="3646" spans="1:23" x14ac:dyDescent="0.25">
      <c r="A3646" t="s">
        <v>3748</v>
      </c>
      <c r="B3646" s="1">
        <v>45924</v>
      </c>
      <c r="C3646" t="s">
        <v>3450</v>
      </c>
      <c r="D3646">
        <v>9</v>
      </c>
      <c r="E3646">
        <v>24</v>
      </c>
      <c r="F3646" t="s">
        <v>24</v>
      </c>
      <c r="G3646" t="s">
        <v>84</v>
      </c>
      <c r="H3646" t="s">
        <v>42</v>
      </c>
      <c r="I3646" t="s">
        <v>43</v>
      </c>
      <c r="J3646" t="s">
        <v>78</v>
      </c>
      <c r="K3646" t="s">
        <v>38</v>
      </c>
      <c r="L3646">
        <v>1</v>
      </c>
      <c r="M3646">
        <v>328</v>
      </c>
      <c r="N3646">
        <v>65.599999999999994</v>
      </c>
      <c r="O3646">
        <v>60</v>
      </c>
      <c r="P3646">
        <v>328</v>
      </c>
      <c r="Q3646">
        <v>322.39999999999998</v>
      </c>
      <c r="R3646" t="s">
        <v>75</v>
      </c>
      <c r="S3646" t="s">
        <v>91</v>
      </c>
      <c r="T3646" t="s">
        <v>40</v>
      </c>
      <c r="U3646">
        <v>61</v>
      </c>
      <c r="W3646">
        <f>Table2[[#This Row],[Quantity]]*Table2[[#This Row],[Item_Price]]</f>
        <v>328</v>
      </c>
    </row>
    <row r="3647" spans="1:23" x14ac:dyDescent="0.25">
      <c r="A3647" t="s">
        <v>3749</v>
      </c>
      <c r="B3647" s="1">
        <v>45924</v>
      </c>
      <c r="C3647" t="s">
        <v>3450</v>
      </c>
      <c r="D3647">
        <v>9</v>
      </c>
      <c r="E3647">
        <v>24</v>
      </c>
      <c r="F3647" t="s">
        <v>24</v>
      </c>
      <c r="G3647" t="s">
        <v>90</v>
      </c>
      <c r="H3647" t="s">
        <v>56</v>
      </c>
      <c r="I3647" t="s">
        <v>103</v>
      </c>
      <c r="J3647" t="s">
        <v>172</v>
      </c>
      <c r="K3647" t="s">
        <v>38</v>
      </c>
      <c r="L3647">
        <v>2</v>
      </c>
      <c r="M3647">
        <v>697</v>
      </c>
      <c r="N3647">
        <v>174.25</v>
      </c>
      <c r="O3647">
        <v>60</v>
      </c>
      <c r="P3647">
        <v>1394</v>
      </c>
      <c r="Q3647">
        <v>1279.75</v>
      </c>
      <c r="R3647" t="s">
        <v>30</v>
      </c>
      <c r="S3647" t="s">
        <v>31</v>
      </c>
      <c r="T3647" t="s">
        <v>40</v>
      </c>
      <c r="U3647">
        <v>19</v>
      </c>
      <c r="V3647">
        <v>4.9000000000000004</v>
      </c>
      <c r="W3647">
        <f>Table2[[#This Row],[Quantity]]*Table2[[#This Row],[Item_Price]]</f>
        <v>1394</v>
      </c>
    </row>
    <row r="3648" spans="1:23" x14ac:dyDescent="0.25">
      <c r="A3648" t="s">
        <v>3750</v>
      </c>
      <c r="B3648" s="1">
        <v>45924</v>
      </c>
      <c r="C3648" t="s">
        <v>3450</v>
      </c>
      <c r="D3648">
        <v>9</v>
      </c>
      <c r="E3648">
        <v>24</v>
      </c>
      <c r="F3648" t="s">
        <v>24</v>
      </c>
      <c r="G3648" t="s">
        <v>25</v>
      </c>
      <c r="H3648" t="s">
        <v>81</v>
      </c>
      <c r="I3648" t="s">
        <v>36</v>
      </c>
      <c r="J3648" t="s">
        <v>50</v>
      </c>
      <c r="K3648" t="s">
        <v>45</v>
      </c>
      <c r="L3648">
        <v>1</v>
      </c>
      <c r="M3648">
        <v>733</v>
      </c>
      <c r="N3648">
        <v>73.3</v>
      </c>
      <c r="O3648">
        <v>40</v>
      </c>
      <c r="P3648">
        <v>733</v>
      </c>
      <c r="Q3648">
        <v>699.7</v>
      </c>
      <c r="R3648" t="s">
        <v>112</v>
      </c>
      <c r="S3648" t="s">
        <v>91</v>
      </c>
      <c r="T3648" t="s">
        <v>40</v>
      </c>
      <c r="U3648">
        <v>27</v>
      </c>
      <c r="W3648">
        <f>Table2[[#This Row],[Quantity]]*Table2[[#This Row],[Item_Price]]</f>
        <v>733</v>
      </c>
    </row>
    <row r="3649" spans="1:23" x14ac:dyDescent="0.25">
      <c r="A3649" t="s">
        <v>3751</v>
      </c>
      <c r="B3649" s="1">
        <v>45924</v>
      </c>
      <c r="C3649" t="s">
        <v>3450</v>
      </c>
      <c r="D3649">
        <v>9</v>
      </c>
      <c r="E3649">
        <v>24</v>
      </c>
      <c r="F3649" t="s">
        <v>24</v>
      </c>
      <c r="G3649" t="s">
        <v>80</v>
      </c>
      <c r="H3649" t="s">
        <v>52</v>
      </c>
      <c r="I3649" t="s">
        <v>57</v>
      </c>
      <c r="J3649" t="s">
        <v>74</v>
      </c>
      <c r="K3649" t="s">
        <v>38</v>
      </c>
      <c r="L3649">
        <v>2</v>
      </c>
      <c r="M3649">
        <v>792</v>
      </c>
      <c r="N3649">
        <v>198</v>
      </c>
      <c r="O3649">
        <v>60</v>
      </c>
      <c r="P3649">
        <v>1584</v>
      </c>
      <c r="Q3649">
        <v>1446</v>
      </c>
      <c r="R3649" t="s">
        <v>39</v>
      </c>
      <c r="S3649" t="s">
        <v>31</v>
      </c>
      <c r="T3649" t="s">
        <v>40</v>
      </c>
      <c r="U3649">
        <v>63</v>
      </c>
      <c r="V3649">
        <v>3.4</v>
      </c>
      <c r="W3649">
        <f>Table2[[#This Row],[Quantity]]*Table2[[#This Row],[Item_Price]]</f>
        <v>1584</v>
      </c>
    </row>
    <row r="3650" spans="1:23" x14ac:dyDescent="0.25">
      <c r="A3650" t="s">
        <v>3752</v>
      </c>
      <c r="B3650" s="1">
        <v>45924</v>
      </c>
      <c r="C3650" t="s">
        <v>3450</v>
      </c>
      <c r="D3650">
        <v>9</v>
      </c>
      <c r="E3650">
        <v>24</v>
      </c>
      <c r="F3650" t="s">
        <v>24</v>
      </c>
      <c r="G3650" t="s">
        <v>25</v>
      </c>
      <c r="H3650" t="s">
        <v>35</v>
      </c>
      <c r="I3650" t="s">
        <v>61</v>
      </c>
      <c r="J3650" t="s">
        <v>37</v>
      </c>
      <c r="K3650" t="s">
        <v>38</v>
      </c>
      <c r="L3650">
        <v>2</v>
      </c>
      <c r="M3650">
        <v>199</v>
      </c>
      <c r="N3650">
        <v>0</v>
      </c>
      <c r="O3650">
        <v>50</v>
      </c>
      <c r="P3650">
        <v>398</v>
      </c>
      <c r="Q3650">
        <v>448</v>
      </c>
      <c r="R3650" t="s">
        <v>39</v>
      </c>
      <c r="S3650" t="s">
        <v>31</v>
      </c>
      <c r="T3650" t="s">
        <v>40</v>
      </c>
      <c r="U3650">
        <v>47</v>
      </c>
      <c r="V3650">
        <v>4.2</v>
      </c>
      <c r="W3650">
        <f>Table2[[#This Row],[Quantity]]*Table2[[#This Row],[Item_Price]]</f>
        <v>398</v>
      </c>
    </row>
    <row r="3651" spans="1:23" x14ac:dyDescent="0.25">
      <c r="A3651" t="s">
        <v>3753</v>
      </c>
      <c r="B3651" s="1">
        <v>45924</v>
      </c>
      <c r="C3651" t="s">
        <v>3450</v>
      </c>
      <c r="D3651">
        <v>9</v>
      </c>
      <c r="E3651">
        <v>24</v>
      </c>
      <c r="F3651" t="s">
        <v>24</v>
      </c>
      <c r="G3651" t="s">
        <v>73</v>
      </c>
      <c r="H3651" t="s">
        <v>48</v>
      </c>
      <c r="I3651" t="s">
        <v>61</v>
      </c>
      <c r="J3651" t="s">
        <v>44</v>
      </c>
      <c r="K3651" t="s">
        <v>45</v>
      </c>
      <c r="L3651">
        <v>1</v>
      </c>
      <c r="M3651">
        <v>896</v>
      </c>
      <c r="N3651">
        <v>89.6</v>
      </c>
      <c r="O3651">
        <v>0</v>
      </c>
      <c r="P3651">
        <v>896</v>
      </c>
      <c r="Q3651">
        <v>806.4</v>
      </c>
      <c r="R3651" t="s">
        <v>39</v>
      </c>
      <c r="S3651" t="s">
        <v>31</v>
      </c>
      <c r="T3651" t="s">
        <v>32</v>
      </c>
      <c r="U3651">
        <v>35</v>
      </c>
      <c r="V3651">
        <v>4.5</v>
      </c>
      <c r="W3651">
        <f>Table2[[#This Row],[Quantity]]*Table2[[#This Row],[Item_Price]]</f>
        <v>896</v>
      </c>
    </row>
    <row r="3652" spans="1:23" x14ac:dyDescent="0.25">
      <c r="A3652" t="s">
        <v>3754</v>
      </c>
      <c r="B3652" s="1">
        <v>45924</v>
      </c>
      <c r="C3652" t="s">
        <v>3450</v>
      </c>
      <c r="D3652">
        <v>9</v>
      </c>
      <c r="E3652">
        <v>24</v>
      </c>
      <c r="F3652" t="s">
        <v>24</v>
      </c>
      <c r="G3652" t="s">
        <v>34</v>
      </c>
      <c r="H3652" t="s">
        <v>105</v>
      </c>
      <c r="I3652" t="s">
        <v>49</v>
      </c>
      <c r="J3652" t="s">
        <v>172</v>
      </c>
      <c r="K3652" t="s">
        <v>38</v>
      </c>
      <c r="L3652">
        <v>1</v>
      </c>
      <c r="M3652">
        <v>209</v>
      </c>
      <c r="N3652">
        <v>52.25</v>
      </c>
      <c r="O3652">
        <v>20</v>
      </c>
      <c r="P3652">
        <v>209</v>
      </c>
      <c r="Q3652">
        <v>176.75</v>
      </c>
      <c r="R3652" t="s">
        <v>30</v>
      </c>
      <c r="S3652" t="s">
        <v>91</v>
      </c>
      <c r="T3652" t="s">
        <v>32</v>
      </c>
      <c r="U3652">
        <v>52</v>
      </c>
      <c r="W3652">
        <f>Table2[[#This Row],[Quantity]]*Table2[[#This Row],[Item_Price]]</f>
        <v>209</v>
      </c>
    </row>
    <row r="3653" spans="1:23" x14ac:dyDescent="0.25">
      <c r="A3653" t="s">
        <v>3755</v>
      </c>
      <c r="B3653" s="1">
        <v>45924</v>
      </c>
      <c r="C3653" t="s">
        <v>3450</v>
      </c>
      <c r="D3653">
        <v>9</v>
      </c>
      <c r="E3653">
        <v>24</v>
      </c>
      <c r="F3653" t="s">
        <v>24</v>
      </c>
      <c r="G3653" t="s">
        <v>55</v>
      </c>
      <c r="H3653" t="s">
        <v>35</v>
      </c>
      <c r="I3653" t="s">
        <v>85</v>
      </c>
      <c r="J3653" t="s">
        <v>82</v>
      </c>
      <c r="K3653" t="s">
        <v>38</v>
      </c>
      <c r="L3653">
        <v>1</v>
      </c>
      <c r="M3653">
        <v>411</v>
      </c>
      <c r="N3653">
        <v>0</v>
      </c>
      <c r="O3653">
        <v>30</v>
      </c>
      <c r="P3653">
        <v>411</v>
      </c>
      <c r="Q3653">
        <v>441</v>
      </c>
      <c r="R3653" t="s">
        <v>75</v>
      </c>
      <c r="S3653" t="s">
        <v>31</v>
      </c>
      <c r="T3653" t="s">
        <v>40</v>
      </c>
      <c r="U3653">
        <v>59</v>
      </c>
      <c r="V3653">
        <v>4.9000000000000004</v>
      </c>
      <c r="W3653">
        <f>Table2[[#This Row],[Quantity]]*Table2[[#This Row],[Item_Price]]</f>
        <v>411</v>
      </c>
    </row>
    <row r="3654" spans="1:23" x14ac:dyDescent="0.25">
      <c r="A3654" t="s">
        <v>3756</v>
      </c>
      <c r="B3654" s="1">
        <v>45924</v>
      </c>
      <c r="C3654" t="s">
        <v>3450</v>
      </c>
      <c r="D3654">
        <v>9</v>
      </c>
      <c r="E3654">
        <v>24</v>
      </c>
      <c r="F3654" t="s">
        <v>24</v>
      </c>
      <c r="G3654" t="s">
        <v>84</v>
      </c>
      <c r="H3654" t="s">
        <v>139</v>
      </c>
      <c r="I3654" t="s">
        <v>85</v>
      </c>
      <c r="J3654" t="s">
        <v>44</v>
      </c>
      <c r="K3654" t="s">
        <v>45</v>
      </c>
      <c r="L3654">
        <v>1</v>
      </c>
      <c r="M3654">
        <v>371</v>
      </c>
      <c r="N3654">
        <v>18.55</v>
      </c>
      <c r="O3654">
        <v>40</v>
      </c>
      <c r="P3654">
        <v>371</v>
      </c>
      <c r="Q3654">
        <v>392.45</v>
      </c>
      <c r="R3654" t="s">
        <v>39</v>
      </c>
      <c r="S3654" t="s">
        <v>31</v>
      </c>
      <c r="T3654" t="s">
        <v>40</v>
      </c>
      <c r="U3654">
        <v>54</v>
      </c>
      <c r="V3654">
        <v>3</v>
      </c>
      <c r="W3654">
        <f>Table2[[#This Row],[Quantity]]*Table2[[#This Row],[Item_Price]]</f>
        <v>371</v>
      </c>
    </row>
    <row r="3655" spans="1:23" x14ac:dyDescent="0.25">
      <c r="A3655" t="s">
        <v>3757</v>
      </c>
      <c r="B3655" s="1">
        <v>45924</v>
      </c>
      <c r="C3655" t="s">
        <v>3450</v>
      </c>
      <c r="D3655">
        <v>9</v>
      </c>
      <c r="E3655">
        <v>24</v>
      </c>
      <c r="F3655" t="s">
        <v>24</v>
      </c>
      <c r="G3655" t="s">
        <v>80</v>
      </c>
      <c r="H3655" t="s">
        <v>60</v>
      </c>
      <c r="I3655" t="s">
        <v>27</v>
      </c>
      <c r="J3655" t="s">
        <v>74</v>
      </c>
      <c r="K3655" t="s">
        <v>38</v>
      </c>
      <c r="L3655">
        <v>1</v>
      </c>
      <c r="M3655">
        <v>302</v>
      </c>
      <c r="N3655">
        <v>15.1</v>
      </c>
      <c r="O3655">
        <v>40</v>
      </c>
      <c r="P3655">
        <v>302</v>
      </c>
      <c r="Q3655">
        <v>326.89999999999998</v>
      </c>
      <c r="R3655" t="s">
        <v>112</v>
      </c>
      <c r="S3655" t="s">
        <v>31</v>
      </c>
      <c r="T3655" t="s">
        <v>40</v>
      </c>
      <c r="U3655">
        <v>35</v>
      </c>
      <c r="V3655">
        <v>5</v>
      </c>
      <c r="W3655">
        <f>Table2[[#This Row],[Quantity]]*Table2[[#This Row],[Item_Price]]</f>
        <v>302</v>
      </c>
    </row>
    <row r="3656" spans="1:23" x14ac:dyDescent="0.25">
      <c r="A3656" t="s">
        <v>3758</v>
      </c>
      <c r="B3656" s="1">
        <v>45924</v>
      </c>
      <c r="C3656" t="s">
        <v>3450</v>
      </c>
      <c r="D3656">
        <v>9</v>
      </c>
      <c r="E3656">
        <v>24</v>
      </c>
      <c r="F3656" t="s">
        <v>24</v>
      </c>
      <c r="G3656" t="s">
        <v>84</v>
      </c>
      <c r="H3656" t="s">
        <v>35</v>
      </c>
      <c r="I3656" t="s">
        <v>27</v>
      </c>
      <c r="J3656" t="s">
        <v>62</v>
      </c>
      <c r="K3656" t="s">
        <v>29</v>
      </c>
      <c r="L3656">
        <v>2</v>
      </c>
      <c r="M3656">
        <v>595</v>
      </c>
      <c r="N3656">
        <v>29.75</v>
      </c>
      <c r="O3656">
        <v>50</v>
      </c>
      <c r="P3656">
        <v>1190</v>
      </c>
      <c r="Q3656">
        <v>1210.25</v>
      </c>
      <c r="R3656" t="s">
        <v>75</v>
      </c>
      <c r="S3656" t="s">
        <v>31</v>
      </c>
      <c r="T3656" t="s">
        <v>32</v>
      </c>
      <c r="U3656">
        <v>60</v>
      </c>
      <c r="V3656">
        <v>3.3</v>
      </c>
      <c r="W3656">
        <f>Table2[[#This Row],[Quantity]]*Table2[[#This Row],[Item_Price]]</f>
        <v>1190</v>
      </c>
    </row>
    <row r="3657" spans="1:23" x14ac:dyDescent="0.25">
      <c r="A3657" t="s">
        <v>3759</v>
      </c>
      <c r="B3657" s="1">
        <v>45925</v>
      </c>
      <c r="C3657" t="s">
        <v>3450</v>
      </c>
      <c r="D3657">
        <v>9</v>
      </c>
      <c r="E3657">
        <v>25</v>
      </c>
      <c r="F3657" t="s">
        <v>88</v>
      </c>
      <c r="G3657" t="s">
        <v>55</v>
      </c>
      <c r="H3657" t="s">
        <v>42</v>
      </c>
      <c r="I3657" t="s">
        <v>69</v>
      </c>
      <c r="J3657" t="s">
        <v>66</v>
      </c>
      <c r="K3657" t="s">
        <v>38</v>
      </c>
      <c r="L3657">
        <v>2</v>
      </c>
      <c r="M3657">
        <v>448</v>
      </c>
      <c r="N3657">
        <v>89.6</v>
      </c>
      <c r="O3657">
        <v>30</v>
      </c>
      <c r="P3657">
        <v>896</v>
      </c>
      <c r="Q3657">
        <v>836.4</v>
      </c>
      <c r="R3657" t="s">
        <v>75</v>
      </c>
      <c r="S3657" t="s">
        <v>91</v>
      </c>
      <c r="T3657" t="s">
        <v>40</v>
      </c>
      <c r="U3657">
        <v>18</v>
      </c>
      <c r="W3657">
        <f>Table2[[#This Row],[Quantity]]*Table2[[#This Row],[Item_Price]]</f>
        <v>896</v>
      </c>
    </row>
    <row r="3658" spans="1:23" x14ac:dyDescent="0.25">
      <c r="A3658" t="s">
        <v>3760</v>
      </c>
      <c r="B3658" s="1">
        <v>45925</v>
      </c>
      <c r="C3658" t="s">
        <v>3450</v>
      </c>
      <c r="D3658">
        <v>9</v>
      </c>
      <c r="E3658">
        <v>25</v>
      </c>
      <c r="F3658" t="s">
        <v>88</v>
      </c>
      <c r="G3658" t="s">
        <v>55</v>
      </c>
      <c r="H3658" t="s">
        <v>139</v>
      </c>
      <c r="I3658" t="s">
        <v>97</v>
      </c>
      <c r="J3658" t="s">
        <v>82</v>
      </c>
      <c r="K3658" t="s">
        <v>38</v>
      </c>
      <c r="L3658">
        <v>1</v>
      </c>
      <c r="M3658">
        <v>171</v>
      </c>
      <c r="N3658">
        <v>17.100000000000001</v>
      </c>
      <c r="O3658">
        <v>0</v>
      </c>
      <c r="P3658">
        <v>171</v>
      </c>
      <c r="Q3658">
        <v>153.9</v>
      </c>
      <c r="R3658" t="s">
        <v>98</v>
      </c>
      <c r="S3658" t="s">
        <v>31</v>
      </c>
      <c r="T3658" t="s">
        <v>40</v>
      </c>
      <c r="U3658">
        <v>40</v>
      </c>
      <c r="V3658">
        <v>4</v>
      </c>
      <c r="W3658">
        <f>Table2[[#This Row],[Quantity]]*Table2[[#This Row],[Item_Price]]</f>
        <v>171</v>
      </c>
    </row>
    <row r="3659" spans="1:23" x14ac:dyDescent="0.25">
      <c r="A3659" t="s">
        <v>3761</v>
      </c>
      <c r="B3659" s="1">
        <v>45925</v>
      </c>
      <c r="C3659" t="s">
        <v>3450</v>
      </c>
      <c r="D3659">
        <v>9</v>
      </c>
      <c r="E3659">
        <v>25</v>
      </c>
      <c r="F3659" t="s">
        <v>88</v>
      </c>
      <c r="G3659" t="s">
        <v>80</v>
      </c>
      <c r="H3659" t="s">
        <v>48</v>
      </c>
      <c r="I3659" t="s">
        <v>85</v>
      </c>
      <c r="J3659" t="s">
        <v>62</v>
      </c>
      <c r="K3659" t="s">
        <v>45</v>
      </c>
      <c r="L3659">
        <v>1</v>
      </c>
      <c r="M3659">
        <v>305</v>
      </c>
      <c r="N3659">
        <v>30.5</v>
      </c>
      <c r="O3659">
        <v>30</v>
      </c>
      <c r="P3659">
        <v>305</v>
      </c>
      <c r="Q3659">
        <v>304.5</v>
      </c>
      <c r="R3659" t="s">
        <v>30</v>
      </c>
      <c r="S3659" t="s">
        <v>31</v>
      </c>
      <c r="T3659" t="s">
        <v>40</v>
      </c>
      <c r="U3659">
        <v>25</v>
      </c>
      <c r="V3659">
        <v>4.2</v>
      </c>
      <c r="W3659">
        <f>Table2[[#This Row],[Quantity]]*Table2[[#This Row],[Item_Price]]</f>
        <v>305</v>
      </c>
    </row>
    <row r="3660" spans="1:23" x14ac:dyDescent="0.25">
      <c r="A3660" t="s">
        <v>3762</v>
      </c>
      <c r="B3660" s="1">
        <v>45925</v>
      </c>
      <c r="C3660" t="s">
        <v>3450</v>
      </c>
      <c r="D3660">
        <v>9</v>
      </c>
      <c r="E3660">
        <v>25</v>
      </c>
      <c r="F3660" t="s">
        <v>88</v>
      </c>
      <c r="G3660" t="s">
        <v>64</v>
      </c>
      <c r="H3660" t="s">
        <v>60</v>
      </c>
      <c r="I3660" t="s">
        <v>57</v>
      </c>
      <c r="J3660" t="s">
        <v>28</v>
      </c>
      <c r="K3660" t="s">
        <v>58</v>
      </c>
      <c r="L3660">
        <v>3</v>
      </c>
      <c r="M3660">
        <v>680</v>
      </c>
      <c r="N3660">
        <v>102</v>
      </c>
      <c r="O3660">
        <v>20</v>
      </c>
      <c r="P3660">
        <v>2040</v>
      </c>
      <c r="Q3660">
        <v>1958</v>
      </c>
      <c r="R3660" t="s">
        <v>75</v>
      </c>
      <c r="S3660" t="s">
        <v>31</v>
      </c>
      <c r="T3660" t="s">
        <v>40</v>
      </c>
      <c r="U3660">
        <v>33</v>
      </c>
      <c r="V3660">
        <v>3.2</v>
      </c>
      <c r="W3660">
        <f>Table2[[#This Row],[Quantity]]*Table2[[#This Row],[Item_Price]]</f>
        <v>2040</v>
      </c>
    </row>
    <row r="3661" spans="1:23" x14ac:dyDescent="0.25">
      <c r="A3661" t="s">
        <v>3763</v>
      </c>
      <c r="B3661" s="1">
        <v>45925</v>
      </c>
      <c r="C3661" t="s">
        <v>3450</v>
      </c>
      <c r="D3661">
        <v>9</v>
      </c>
      <c r="E3661">
        <v>25</v>
      </c>
      <c r="F3661" t="s">
        <v>88</v>
      </c>
      <c r="G3661" t="s">
        <v>55</v>
      </c>
      <c r="H3661" t="s">
        <v>81</v>
      </c>
      <c r="I3661" t="s">
        <v>69</v>
      </c>
      <c r="J3661" t="s">
        <v>119</v>
      </c>
      <c r="K3661" t="s">
        <v>58</v>
      </c>
      <c r="L3661">
        <v>2</v>
      </c>
      <c r="M3661">
        <v>740</v>
      </c>
      <c r="N3661">
        <v>74</v>
      </c>
      <c r="O3661">
        <v>30</v>
      </c>
      <c r="P3661">
        <v>1480</v>
      </c>
      <c r="Q3661">
        <v>1436</v>
      </c>
      <c r="R3661" t="s">
        <v>39</v>
      </c>
      <c r="S3661" t="s">
        <v>31</v>
      </c>
      <c r="T3661" t="s">
        <v>40</v>
      </c>
      <c r="U3661">
        <v>49</v>
      </c>
      <c r="V3661">
        <v>4.9000000000000004</v>
      </c>
      <c r="W3661">
        <f>Table2[[#This Row],[Quantity]]*Table2[[#This Row],[Item_Price]]</f>
        <v>1480</v>
      </c>
    </row>
    <row r="3662" spans="1:23" x14ac:dyDescent="0.25">
      <c r="A3662" t="s">
        <v>3764</v>
      </c>
      <c r="B3662" s="1">
        <v>45925</v>
      </c>
      <c r="C3662" t="s">
        <v>3450</v>
      </c>
      <c r="D3662">
        <v>9</v>
      </c>
      <c r="E3662">
        <v>25</v>
      </c>
      <c r="F3662" t="s">
        <v>88</v>
      </c>
      <c r="G3662" t="s">
        <v>64</v>
      </c>
      <c r="H3662" t="s">
        <v>42</v>
      </c>
      <c r="I3662" t="s">
        <v>49</v>
      </c>
      <c r="J3662" t="s">
        <v>62</v>
      </c>
      <c r="K3662" t="s">
        <v>58</v>
      </c>
      <c r="L3662">
        <v>1</v>
      </c>
      <c r="M3662">
        <v>691</v>
      </c>
      <c r="N3662">
        <v>138.19999999999999</v>
      </c>
      <c r="O3662">
        <v>20</v>
      </c>
      <c r="P3662">
        <v>691</v>
      </c>
      <c r="Q3662">
        <v>572.79999999999995</v>
      </c>
      <c r="R3662" t="s">
        <v>39</v>
      </c>
      <c r="S3662" t="s">
        <v>31</v>
      </c>
      <c r="T3662" t="s">
        <v>40</v>
      </c>
      <c r="U3662">
        <v>26</v>
      </c>
      <c r="V3662">
        <v>3.2</v>
      </c>
      <c r="W3662">
        <f>Table2[[#This Row],[Quantity]]*Table2[[#This Row],[Item_Price]]</f>
        <v>691</v>
      </c>
    </row>
    <row r="3663" spans="1:23" x14ac:dyDescent="0.25">
      <c r="A3663" t="s">
        <v>3765</v>
      </c>
      <c r="B3663" s="1">
        <v>45925</v>
      </c>
      <c r="C3663" t="s">
        <v>3450</v>
      </c>
      <c r="D3663">
        <v>9</v>
      </c>
      <c r="E3663">
        <v>25</v>
      </c>
      <c r="F3663" t="s">
        <v>88</v>
      </c>
      <c r="G3663" t="s">
        <v>96</v>
      </c>
      <c r="H3663" t="s">
        <v>139</v>
      </c>
      <c r="I3663" t="s">
        <v>69</v>
      </c>
      <c r="J3663" t="s">
        <v>94</v>
      </c>
      <c r="K3663" t="s">
        <v>29</v>
      </c>
      <c r="L3663">
        <v>1</v>
      </c>
      <c r="M3663">
        <v>889</v>
      </c>
      <c r="N3663">
        <v>222.25</v>
      </c>
      <c r="O3663">
        <v>40</v>
      </c>
      <c r="P3663">
        <v>889</v>
      </c>
      <c r="Q3663">
        <v>706.75</v>
      </c>
      <c r="R3663" t="s">
        <v>75</v>
      </c>
      <c r="S3663" t="s">
        <v>31</v>
      </c>
      <c r="T3663" t="s">
        <v>32</v>
      </c>
      <c r="U3663">
        <v>30</v>
      </c>
      <c r="V3663">
        <v>3</v>
      </c>
      <c r="W3663">
        <f>Table2[[#This Row],[Quantity]]*Table2[[#This Row],[Item_Price]]</f>
        <v>889</v>
      </c>
    </row>
    <row r="3664" spans="1:23" x14ac:dyDescent="0.25">
      <c r="A3664" t="s">
        <v>3766</v>
      </c>
      <c r="B3664" s="1">
        <v>45925</v>
      </c>
      <c r="C3664" t="s">
        <v>3450</v>
      </c>
      <c r="D3664">
        <v>9</v>
      </c>
      <c r="E3664">
        <v>25</v>
      </c>
      <c r="F3664" t="s">
        <v>88</v>
      </c>
      <c r="G3664" t="s">
        <v>115</v>
      </c>
      <c r="H3664" t="s">
        <v>81</v>
      </c>
      <c r="I3664" t="s">
        <v>36</v>
      </c>
      <c r="J3664" t="s">
        <v>66</v>
      </c>
      <c r="K3664" t="s">
        <v>38</v>
      </c>
      <c r="L3664">
        <v>1</v>
      </c>
      <c r="M3664">
        <v>398</v>
      </c>
      <c r="N3664">
        <v>59.7</v>
      </c>
      <c r="O3664">
        <v>20</v>
      </c>
      <c r="P3664">
        <v>398</v>
      </c>
      <c r="Q3664">
        <v>358.3</v>
      </c>
      <c r="R3664" t="s">
        <v>39</v>
      </c>
      <c r="S3664" t="s">
        <v>46</v>
      </c>
      <c r="T3664" t="s">
        <v>40</v>
      </c>
      <c r="U3664">
        <v>33</v>
      </c>
      <c r="W3664">
        <f>Table2[[#This Row],[Quantity]]*Table2[[#This Row],[Item_Price]]</f>
        <v>398</v>
      </c>
    </row>
    <row r="3665" spans="1:23" x14ac:dyDescent="0.25">
      <c r="A3665" t="s">
        <v>3767</v>
      </c>
      <c r="B3665" s="1">
        <v>45925</v>
      </c>
      <c r="C3665" t="s">
        <v>3450</v>
      </c>
      <c r="D3665">
        <v>9</v>
      </c>
      <c r="E3665">
        <v>25</v>
      </c>
      <c r="F3665" t="s">
        <v>88</v>
      </c>
      <c r="G3665" t="s">
        <v>73</v>
      </c>
      <c r="H3665" t="s">
        <v>42</v>
      </c>
      <c r="I3665" t="s">
        <v>36</v>
      </c>
      <c r="J3665" t="s">
        <v>94</v>
      </c>
      <c r="K3665" t="s">
        <v>29</v>
      </c>
      <c r="L3665">
        <v>2</v>
      </c>
      <c r="M3665">
        <v>236</v>
      </c>
      <c r="N3665">
        <v>59</v>
      </c>
      <c r="O3665">
        <v>50</v>
      </c>
      <c r="P3665">
        <v>472</v>
      </c>
      <c r="Q3665">
        <v>463</v>
      </c>
      <c r="R3665" t="s">
        <v>39</v>
      </c>
      <c r="S3665" t="s">
        <v>31</v>
      </c>
      <c r="T3665" t="s">
        <v>40</v>
      </c>
      <c r="U3665">
        <v>41</v>
      </c>
      <c r="V3665">
        <v>5</v>
      </c>
      <c r="W3665">
        <f>Table2[[#This Row],[Quantity]]*Table2[[#This Row],[Item_Price]]</f>
        <v>472</v>
      </c>
    </row>
    <row r="3666" spans="1:23" x14ac:dyDescent="0.25">
      <c r="A3666" t="s">
        <v>3768</v>
      </c>
      <c r="B3666" s="1">
        <v>45925</v>
      </c>
      <c r="C3666" t="s">
        <v>3450</v>
      </c>
      <c r="D3666">
        <v>9</v>
      </c>
      <c r="E3666">
        <v>25</v>
      </c>
      <c r="F3666" t="s">
        <v>88</v>
      </c>
      <c r="G3666" t="s">
        <v>64</v>
      </c>
      <c r="H3666" t="s">
        <v>68</v>
      </c>
      <c r="I3666" t="s">
        <v>97</v>
      </c>
      <c r="J3666" t="s">
        <v>70</v>
      </c>
      <c r="K3666" t="s">
        <v>45</v>
      </c>
      <c r="L3666">
        <v>1</v>
      </c>
      <c r="M3666">
        <v>535</v>
      </c>
      <c r="N3666">
        <v>80.25</v>
      </c>
      <c r="O3666">
        <v>50</v>
      </c>
      <c r="P3666">
        <v>535</v>
      </c>
      <c r="Q3666">
        <v>504.75</v>
      </c>
      <c r="R3666" t="s">
        <v>30</v>
      </c>
      <c r="S3666" t="s">
        <v>91</v>
      </c>
      <c r="T3666" t="s">
        <v>40</v>
      </c>
      <c r="U3666">
        <v>59</v>
      </c>
      <c r="W3666">
        <f>Table2[[#This Row],[Quantity]]*Table2[[#This Row],[Item_Price]]</f>
        <v>535</v>
      </c>
    </row>
    <row r="3667" spans="1:23" x14ac:dyDescent="0.25">
      <c r="A3667" t="s">
        <v>3769</v>
      </c>
      <c r="B3667" s="1">
        <v>45925</v>
      </c>
      <c r="C3667" t="s">
        <v>3450</v>
      </c>
      <c r="D3667">
        <v>9</v>
      </c>
      <c r="E3667">
        <v>25</v>
      </c>
      <c r="F3667" t="s">
        <v>88</v>
      </c>
      <c r="G3667" t="s">
        <v>25</v>
      </c>
      <c r="H3667" t="s">
        <v>135</v>
      </c>
      <c r="I3667" t="s">
        <v>57</v>
      </c>
      <c r="J3667" t="s">
        <v>78</v>
      </c>
      <c r="K3667" t="s">
        <v>38</v>
      </c>
      <c r="L3667">
        <v>1</v>
      </c>
      <c r="M3667">
        <v>622</v>
      </c>
      <c r="N3667">
        <v>31.1</v>
      </c>
      <c r="O3667">
        <v>40</v>
      </c>
      <c r="P3667">
        <v>622</v>
      </c>
      <c r="Q3667">
        <v>630.9</v>
      </c>
      <c r="R3667" t="s">
        <v>75</v>
      </c>
      <c r="S3667" t="s">
        <v>31</v>
      </c>
      <c r="T3667" t="s">
        <v>32</v>
      </c>
      <c r="U3667">
        <v>37</v>
      </c>
      <c r="V3667">
        <v>3.9</v>
      </c>
      <c r="W3667">
        <f>Table2[[#This Row],[Quantity]]*Table2[[#This Row],[Item_Price]]</f>
        <v>622</v>
      </c>
    </row>
    <row r="3668" spans="1:23" x14ac:dyDescent="0.25">
      <c r="A3668" t="s">
        <v>3770</v>
      </c>
      <c r="B3668" s="1">
        <v>45925</v>
      </c>
      <c r="C3668" t="s">
        <v>3450</v>
      </c>
      <c r="D3668">
        <v>9</v>
      </c>
      <c r="E3668">
        <v>25</v>
      </c>
      <c r="F3668" t="s">
        <v>88</v>
      </c>
      <c r="G3668" t="s">
        <v>25</v>
      </c>
      <c r="H3668" t="s">
        <v>81</v>
      </c>
      <c r="I3668" t="s">
        <v>103</v>
      </c>
      <c r="J3668" t="s">
        <v>62</v>
      </c>
      <c r="K3668" t="s">
        <v>38</v>
      </c>
      <c r="L3668">
        <v>1</v>
      </c>
      <c r="M3668">
        <v>752</v>
      </c>
      <c r="N3668">
        <v>150.4</v>
      </c>
      <c r="O3668">
        <v>0</v>
      </c>
      <c r="P3668">
        <v>752</v>
      </c>
      <c r="Q3668">
        <v>601.6</v>
      </c>
      <c r="R3668" t="s">
        <v>75</v>
      </c>
      <c r="S3668" t="s">
        <v>91</v>
      </c>
      <c r="T3668" t="s">
        <v>40</v>
      </c>
      <c r="U3668">
        <v>31</v>
      </c>
      <c r="W3668">
        <f>Table2[[#This Row],[Quantity]]*Table2[[#This Row],[Item_Price]]</f>
        <v>752</v>
      </c>
    </row>
    <row r="3669" spans="1:23" x14ac:dyDescent="0.25">
      <c r="A3669" t="s">
        <v>3771</v>
      </c>
      <c r="B3669" s="1">
        <v>45925</v>
      </c>
      <c r="C3669" t="s">
        <v>3450</v>
      </c>
      <c r="D3669">
        <v>9</v>
      </c>
      <c r="E3669">
        <v>25</v>
      </c>
      <c r="F3669" t="s">
        <v>88</v>
      </c>
      <c r="G3669" t="s">
        <v>55</v>
      </c>
      <c r="H3669" t="s">
        <v>139</v>
      </c>
      <c r="I3669" t="s">
        <v>27</v>
      </c>
      <c r="J3669" t="s">
        <v>123</v>
      </c>
      <c r="K3669" t="s">
        <v>38</v>
      </c>
      <c r="L3669">
        <v>1</v>
      </c>
      <c r="M3669">
        <v>718</v>
      </c>
      <c r="N3669">
        <v>143.6</v>
      </c>
      <c r="O3669">
        <v>40</v>
      </c>
      <c r="P3669">
        <v>718</v>
      </c>
      <c r="Q3669">
        <v>614.4</v>
      </c>
      <c r="R3669" t="s">
        <v>39</v>
      </c>
      <c r="S3669" t="s">
        <v>31</v>
      </c>
      <c r="T3669" t="s">
        <v>40</v>
      </c>
      <c r="U3669">
        <v>64</v>
      </c>
      <c r="V3669">
        <v>3.3</v>
      </c>
      <c r="W3669">
        <f>Table2[[#This Row],[Quantity]]*Table2[[#This Row],[Item_Price]]</f>
        <v>718</v>
      </c>
    </row>
    <row r="3670" spans="1:23" x14ac:dyDescent="0.25">
      <c r="A3670" t="s">
        <v>3772</v>
      </c>
      <c r="B3670" s="1">
        <v>45925</v>
      </c>
      <c r="C3670" t="s">
        <v>3450</v>
      </c>
      <c r="D3670">
        <v>9</v>
      </c>
      <c r="E3670">
        <v>25</v>
      </c>
      <c r="F3670" t="s">
        <v>88</v>
      </c>
      <c r="G3670" t="s">
        <v>64</v>
      </c>
      <c r="H3670" t="s">
        <v>60</v>
      </c>
      <c r="I3670" t="s">
        <v>49</v>
      </c>
      <c r="J3670" t="s">
        <v>123</v>
      </c>
      <c r="K3670" t="s">
        <v>38</v>
      </c>
      <c r="L3670">
        <v>2</v>
      </c>
      <c r="M3670">
        <v>467</v>
      </c>
      <c r="N3670">
        <v>23.35</v>
      </c>
      <c r="O3670">
        <v>40</v>
      </c>
      <c r="P3670">
        <v>934</v>
      </c>
      <c r="Q3670">
        <v>950.65</v>
      </c>
      <c r="R3670" t="s">
        <v>39</v>
      </c>
      <c r="S3670" t="s">
        <v>91</v>
      </c>
      <c r="T3670" t="s">
        <v>32</v>
      </c>
      <c r="U3670">
        <v>62</v>
      </c>
      <c r="W3670">
        <f>Table2[[#This Row],[Quantity]]*Table2[[#This Row],[Item_Price]]</f>
        <v>934</v>
      </c>
    </row>
    <row r="3671" spans="1:23" x14ac:dyDescent="0.25">
      <c r="A3671" t="s">
        <v>3773</v>
      </c>
      <c r="B3671" s="1">
        <v>45925</v>
      </c>
      <c r="C3671" t="s">
        <v>3450</v>
      </c>
      <c r="D3671">
        <v>9</v>
      </c>
      <c r="E3671">
        <v>25</v>
      </c>
      <c r="F3671" t="s">
        <v>88</v>
      </c>
      <c r="G3671" t="s">
        <v>73</v>
      </c>
      <c r="H3671" t="s">
        <v>81</v>
      </c>
      <c r="I3671" t="s">
        <v>36</v>
      </c>
      <c r="J3671" t="s">
        <v>62</v>
      </c>
      <c r="K3671" t="s">
        <v>38</v>
      </c>
      <c r="L3671">
        <v>2</v>
      </c>
      <c r="M3671">
        <v>201</v>
      </c>
      <c r="N3671">
        <v>20.100000000000001</v>
      </c>
      <c r="O3671">
        <v>30</v>
      </c>
      <c r="P3671">
        <v>402</v>
      </c>
      <c r="Q3671">
        <v>411.9</v>
      </c>
      <c r="R3671" t="s">
        <v>39</v>
      </c>
      <c r="S3671" t="s">
        <v>31</v>
      </c>
      <c r="T3671" t="s">
        <v>40</v>
      </c>
      <c r="U3671">
        <v>20</v>
      </c>
      <c r="V3671">
        <v>4.3</v>
      </c>
      <c r="W3671">
        <f>Table2[[#This Row],[Quantity]]*Table2[[#This Row],[Item_Price]]</f>
        <v>402</v>
      </c>
    </row>
    <row r="3672" spans="1:23" x14ac:dyDescent="0.25">
      <c r="A3672" t="s">
        <v>3774</v>
      </c>
      <c r="B3672" s="1">
        <v>45925</v>
      </c>
      <c r="C3672" t="s">
        <v>3450</v>
      </c>
      <c r="D3672">
        <v>9</v>
      </c>
      <c r="E3672">
        <v>25</v>
      </c>
      <c r="F3672" t="s">
        <v>88</v>
      </c>
      <c r="G3672" t="s">
        <v>84</v>
      </c>
      <c r="H3672" t="s">
        <v>68</v>
      </c>
      <c r="I3672" t="s">
        <v>36</v>
      </c>
      <c r="J3672" t="s">
        <v>28</v>
      </c>
      <c r="K3672" t="s">
        <v>38</v>
      </c>
      <c r="L3672">
        <v>1</v>
      </c>
      <c r="M3672">
        <v>156</v>
      </c>
      <c r="N3672">
        <v>39</v>
      </c>
      <c r="O3672">
        <v>30</v>
      </c>
      <c r="P3672">
        <v>156</v>
      </c>
      <c r="Q3672">
        <v>147</v>
      </c>
      <c r="R3672" t="s">
        <v>75</v>
      </c>
      <c r="S3672" t="s">
        <v>31</v>
      </c>
      <c r="T3672" t="s">
        <v>40</v>
      </c>
      <c r="U3672">
        <v>33</v>
      </c>
      <c r="V3672">
        <v>4.0999999999999996</v>
      </c>
      <c r="W3672">
        <f>Table2[[#This Row],[Quantity]]*Table2[[#This Row],[Item_Price]]</f>
        <v>156</v>
      </c>
    </row>
    <row r="3673" spans="1:23" x14ac:dyDescent="0.25">
      <c r="A3673" t="s">
        <v>3775</v>
      </c>
      <c r="B3673" s="1">
        <v>45925</v>
      </c>
      <c r="C3673" t="s">
        <v>3450</v>
      </c>
      <c r="D3673">
        <v>9</v>
      </c>
      <c r="E3673">
        <v>25</v>
      </c>
      <c r="F3673" t="s">
        <v>88</v>
      </c>
      <c r="G3673" t="s">
        <v>84</v>
      </c>
      <c r="H3673" t="s">
        <v>26</v>
      </c>
      <c r="I3673" t="s">
        <v>69</v>
      </c>
      <c r="J3673" t="s">
        <v>53</v>
      </c>
      <c r="K3673" t="s">
        <v>38</v>
      </c>
      <c r="L3673">
        <v>3</v>
      </c>
      <c r="M3673">
        <v>366</v>
      </c>
      <c r="N3673">
        <v>73.2</v>
      </c>
      <c r="O3673">
        <v>20</v>
      </c>
      <c r="P3673">
        <v>1098</v>
      </c>
      <c r="Q3673">
        <v>1044.8</v>
      </c>
      <c r="R3673" t="s">
        <v>39</v>
      </c>
      <c r="S3673" t="s">
        <v>31</v>
      </c>
      <c r="T3673" t="s">
        <v>32</v>
      </c>
      <c r="U3673">
        <v>55</v>
      </c>
      <c r="V3673">
        <v>4.4000000000000004</v>
      </c>
      <c r="W3673">
        <f>Table2[[#This Row],[Quantity]]*Table2[[#This Row],[Item_Price]]</f>
        <v>1098</v>
      </c>
    </row>
    <row r="3674" spans="1:23" x14ac:dyDescent="0.25">
      <c r="A3674" t="s">
        <v>3776</v>
      </c>
      <c r="B3674" s="1">
        <v>45925</v>
      </c>
      <c r="C3674" t="s">
        <v>3450</v>
      </c>
      <c r="D3674">
        <v>9</v>
      </c>
      <c r="E3674">
        <v>25</v>
      </c>
      <c r="F3674" t="s">
        <v>88</v>
      </c>
      <c r="G3674" t="s">
        <v>34</v>
      </c>
      <c r="H3674" t="s">
        <v>60</v>
      </c>
      <c r="I3674" t="s">
        <v>49</v>
      </c>
      <c r="J3674" t="s">
        <v>53</v>
      </c>
      <c r="K3674" t="s">
        <v>38</v>
      </c>
      <c r="L3674">
        <v>3</v>
      </c>
      <c r="M3674">
        <v>217</v>
      </c>
      <c r="N3674">
        <v>21.7</v>
      </c>
      <c r="O3674">
        <v>30</v>
      </c>
      <c r="P3674">
        <v>651</v>
      </c>
      <c r="Q3674">
        <v>659.3</v>
      </c>
      <c r="R3674" t="s">
        <v>39</v>
      </c>
      <c r="S3674" t="s">
        <v>31</v>
      </c>
      <c r="T3674" t="s">
        <v>32</v>
      </c>
      <c r="U3674">
        <v>53</v>
      </c>
      <c r="V3674">
        <v>4.4000000000000004</v>
      </c>
      <c r="W3674">
        <f>Table2[[#This Row],[Quantity]]*Table2[[#This Row],[Item_Price]]</f>
        <v>651</v>
      </c>
    </row>
    <row r="3675" spans="1:23" x14ac:dyDescent="0.25">
      <c r="A3675" t="s">
        <v>3777</v>
      </c>
      <c r="B3675" s="1">
        <v>45925</v>
      </c>
      <c r="C3675" t="s">
        <v>3450</v>
      </c>
      <c r="D3675">
        <v>9</v>
      </c>
      <c r="E3675">
        <v>25</v>
      </c>
      <c r="F3675" t="s">
        <v>88</v>
      </c>
      <c r="G3675" t="s">
        <v>64</v>
      </c>
      <c r="H3675" t="s">
        <v>48</v>
      </c>
      <c r="I3675" t="s">
        <v>61</v>
      </c>
      <c r="J3675" t="s">
        <v>119</v>
      </c>
      <c r="K3675" t="s">
        <v>38</v>
      </c>
      <c r="L3675">
        <v>2</v>
      </c>
      <c r="M3675">
        <v>532</v>
      </c>
      <c r="N3675">
        <v>133</v>
      </c>
      <c r="O3675">
        <v>50</v>
      </c>
      <c r="P3675">
        <v>1064</v>
      </c>
      <c r="Q3675">
        <v>981</v>
      </c>
      <c r="R3675" t="s">
        <v>98</v>
      </c>
      <c r="S3675" t="s">
        <v>31</v>
      </c>
      <c r="T3675" t="s">
        <v>40</v>
      </c>
      <c r="U3675">
        <v>59</v>
      </c>
      <c r="V3675">
        <v>4.7</v>
      </c>
      <c r="W3675">
        <f>Table2[[#This Row],[Quantity]]*Table2[[#This Row],[Item_Price]]</f>
        <v>1064</v>
      </c>
    </row>
    <row r="3676" spans="1:23" x14ac:dyDescent="0.25">
      <c r="A3676" t="s">
        <v>3778</v>
      </c>
      <c r="B3676" s="1">
        <v>45926</v>
      </c>
      <c r="C3676" t="s">
        <v>3450</v>
      </c>
      <c r="D3676">
        <v>9</v>
      </c>
      <c r="E3676">
        <v>26</v>
      </c>
      <c r="F3676" t="s">
        <v>114</v>
      </c>
      <c r="G3676" t="s">
        <v>34</v>
      </c>
      <c r="H3676" t="s">
        <v>81</v>
      </c>
      <c r="I3676" t="s">
        <v>69</v>
      </c>
      <c r="J3676" t="s">
        <v>74</v>
      </c>
      <c r="K3676" t="s">
        <v>38</v>
      </c>
      <c r="L3676">
        <v>2</v>
      </c>
      <c r="M3676">
        <v>848</v>
      </c>
      <c r="N3676">
        <v>0</v>
      </c>
      <c r="O3676">
        <v>0</v>
      </c>
      <c r="P3676">
        <v>1696</v>
      </c>
      <c r="Q3676">
        <v>1696</v>
      </c>
      <c r="R3676" t="s">
        <v>39</v>
      </c>
      <c r="S3676" t="s">
        <v>31</v>
      </c>
      <c r="T3676" t="s">
        <v>40</v>
      </c>
      <c r="U3676">
        <v>60</v>
      </c>
      <c r="V3676">
        <v>4.2</v>
      </c>
      <c r="W3676">
        <f>Table2[[#This Row],[Quantity]]*Table2[[#This Row],[Item_Price]]</f>
        <v>1696</v>
      </c>
    </row>
    <row r="3677" spans="1:23" x14ac:dyDescent="0.25">
      <c r="A3677" t="s">
        <v>3779</v>
      </c>
      <c r="B3677" s="1">
        <v>45926</v>
      </c>
      <c r="C3677" t="s">
        <v>3450</v>
      </c>
      <c r="D3677">
        <v>9</v>
      </c>
      <c r="E3677">
        <v>26</v>
      </c>
      <c r="F3677" t="s">
        <v>114</v>
      </c>
      <c r="G3677" t="s">
        <v>34</v>
      </c>
      <c r="H3677" t="s">
        <v>48</v>
      </c>
      <c r="I3677" t="s">
        <v>49</v>
      </c>
      <c r="J3677" t="s">
        <v>44</v>
      </c>
      <c r="K3677" t="s">
        <v>38</v>
      </c>
      <c r="L3677">
        <v>1</v>
      </c>
      <c r="M3677">
        <v>440</v>
      </c>
      <c r="N3677">
        <v>66</v>
      </c>
      <c r="O3677">
        <v>70</v>
      </c>
      <c r="P3677">
        <v>440</v>
      </c>
      <c r="Q3677">
        <v>444</v>
      </c>
      <c r="R3677" t="s">
        <v>39</v>
      </c>
      <c r="S3677" t="s">
        <v>31</v>
      </c>
      <c r="T3677" t="s">
        <v>32</v>
      </c>
      <c r="U3677">
        <v>67</v>
      </c>
      <c r="V3677">
        <v>3.6</v>
      </c>
      <c r="W3677">
        <f>Table2[[#This Row],[Quantity]]*Table2[[#This Row],[Item_Price]]</f>
        <v>440</v>
      </c>
    </row>
    <row r="3678" spans="1:23" x14ac:dyDescent="0.25">
      <c r="A3678" t="s">
        <v>3780</v>
      </c>
      <c r="B3678" s="1">
        <v>45926</v>
      </c>
      <c r="C3678" t="s">
        <v>3450</v>
      </c>
      <c r="D3678">
        <v>9</v>
      </c>
      <c r="E3678">
        <v>26</v>
      </c>
      <c r="F3678" t="s">
        <v>114</v>
      </c>
      <c r="G3678" t="s">
        <v>80</v>
      </c>
      <c r="H3678" t="s">
        <v>77</v>
      </c>
      <c r="I3678" t="s">
        <v>49</v>
      </c>
      <c r="J3678" t="s">
        <v>74</v>
      </c>
      <c r="K3678" t="s">
        <v>45</v>
      </c>
      <c r="L3678">
        <v>1</v>
      </c>
      <c r="M3678">
        <v>343</v>
      </c>
      <c r="N3678">
        <v>0</v>
      </c>
      <c r="O3678">
        <v>30</v>
      </c>
      <c r="P3678">
        <v>343</v>
      </c>
      <c r="Q3678">
        <v>373</v>
      </c>
      <c r="R3678" t="s">
        <v>98</v>
      </c>
      <c r="S3678" t="s">
        <v>31</v>
      </c>
      <c r="T3678" t="s">
        <v>40</v>
      </c>
      <c r="U3678">
        <v>64</v>
      </c>
      <c r="V3678">
        <v>4.5</v>
      </c>
      <c r="W3678">
        <f>Table2[[#This Row],[Quantity]]*Table2[[#This Row],[Item_Price]]</f>
        <v>343</v>
      </c>
    </row>
    <row r="3679" spans="1:23" x14ac:dyDescent="0.25">
      <c r="A3679" t="s">
        <v>3781</v>
      </c>
      <c r="B3679" s="1">
        <v>45926</v>
      </c>
      <c r="C3679" t="s">
        <v>3450</v>
      </c>
      <c r="D3679">
        <v>9</v>
      </c>
      <c r="E3679">
        <v>26</v>
      </c>
      <c r="F3679" t="s">
        <v>114</v>
      </c>
      <c r="G3679" t="s">
        <v>55</v>
      </c>
      <c r="H3679" t="s">
        <v>68</v>
      </c>
      <c r="I3679" t="s">
        <v>69</v>
      </c>
      <c r="J3679" t="s">
        <v>53</v>
      </c>
      <c r="K3679" t="s">
        <v>38</v>
      </c>
      <c r="L3679">
        <v>2</v>
      </c>
      <c r="M3679">
        <v>708</v>
      </c>
      <c r="N3679">
        <v>106.2</v>
      </c>
      <c r="O3679">
        <v>20</v>
      </c>
      <c r="P3679">
        <v>1416</v>
      </c>
      <c r="Q3679">
        <v>1329.8</v>
      </c>
      <c r="R3679" t="s">
        <v>75</v>
      </c>
      <c r="S3679" t="s">
        <v>31</v>
      </c>
      <c r="T3679" t="s">
        <v>40</v>
      </c>
      <c r="U3679">
        <v>62</v>
      </c>
      <c r="V3679">
        <v>3.5</v>
      </c>
      <c r="W3679">
        <f>Table2[[#This Row],[Quantity]]*Table2[[#This Row],[Item_Price]]</f>
        <v>1416</v>
      </c>
    </row>
    <row r="3680" spans="1:23" x14ac:dyDescent="0.25">
      <c r="A3680" t="s">
        <v>3782</v>
      </c>
      <c r="B3680" s="1">
        <v>45926</v>
      </c>
      <c r="C3680" t="s">
        <v>3450</v>
      </c>
      <c r="D3680">
        <v>9</v>
      </c>
      <c r="E3680">
        <v>26</v>
      </c>
      <c r="F3680" t="s">
        <v>114</v>
      </c>
      <c r="G3680" t="s">
        <v>90</v>
      </c>
      <c r="H3680" t="s">
        <v>42</v>
      </c>
      <c r="I3680" t="s">
        <v>69</v>
      </c>
      <c r="J3680" t="s">
        <v>101</v>
      </c>
      <c r="K3680" t="s">
        <v>38</v>
      </c>
      <c r="L3680">
        <v>2</v>
      </c>
      <c r="M3680">
        <v>142</v>
      </c>
      <c r="N3680">
        <v>0</v>
      </c>
      <c r="O3680">
        <v>0</v>
      </c>
      <c r="P3680">
        <v>284</v>
      </c>
      <c r="Q3680">
        <v>284</v>
      </c>
      <c r="R3680" t="s">
        <v>39</v>
      </c>
      <c r="S3680" t="s">
        <v>31</v>
      </c>
      <c r="T3680" t="s">
        <v>32</v>
      </c>
      <c r="U3680">
        <v>31</v>
      </c>
      <c r="V3680">
        <v>5</v>
      </c>
      <c r="W3680">
        <f>Table2[[#This Row],[Quantity]]*Table2[[#This Row],[Item_Price]]</f>
        <v>284</v>
      </c>
    </row>
    <row r="3681" spans="1:23" x14ac:dyDescent="0.25">
      <c r="A3681" t="s">
        <v>3783</v>
      </c>
      <c r="B3681" s="1">
        <v>45926</v>
      </c>
      <c r="C3681" t="s">
        <v>3450</v>
      </c>
      <c r="D3681">
        <v>9</v>
      </c>
      <c r="E3681">
        <v>26</v>
      </c>
      <c r="F3681" t="s">
        <v>114</v>
      </c>
      <c r="G3681" t="s">
        <v>96</v>
      </c>
      <c r="H3681" t="s">
        <v>135</v>
      </c>
      <c r="I3681" t="s">
        <v>85</v>
      </c>
      <c r="J3681" t="s">
        <v>53</v>
      </c>
      <c r="K3681" t="s">
        <v>45</v>
      </c>
      <c r="L3681">
        <v>2</v>
      </c>
      <c r="M3681">
        <v>587</v>
      </c>
      <c r="N3681">
        <v>58.7</v>
      </c>
      <c r="O3681">
        <v>40</v>
      </c>
      <c r="P3681">
        <v>1174</v>
      </c>
      <c r="Q3681">
        <v>1155.3</v>
      </c>
      <c r="R3681" t="s">
        <v>98</v>
      </c>
      <c r="S3681" t="s">
        <v>46</v>
      </c>
      <c r="T3681" t="s">
        <v>40</v>
      </c>
      <c r="U3681">
        <v>21</v>
      </c>
      <c r="W3681">
        <f>Table2[[#This Row],[Quantity]]*Table2[[#This Row],[Item_Price]]</f>
        <v>1174</v>
      </c>
    </row>
    <row r="3682" spans="1:23" x14ac:dyDescent="0.25">
      <c r="A3682" t="s">
        <v>3784</v>
      </c>
      <c r="B3682" s="1">
        <v>45926</v>
      </c>
      <c r="C3682" t="s">
        <v>3450</v>
      </c>
      <c r="D3682">
        <v>9</v>
      </c>
      <c r="E3682">
        <v>26</v>
      </c>
      <c r="F3682" t="s">
        <v>114</v>
      </c>
      <c r="G3682" t="s">
        <v>80</v>
      </c>
      <c r="H3682" t="s">
        <v>42</v>
      </c>
      <c r="I3682" t="s">
        <v>57</v>
      </c>
      <c r="J3682" t="s">
        <v>53</v>
      </c>
      <c r="K3682" t="s">
        <v>58</v>
      </c>
      <c r="L3682">
        <v>3</v>
      </c>
      <c r="M3682">
        <v>511</v>
      </c>
      <c r="N3682">
        <v>76.650000000000006</v>
      </c>
      <c r="O3682">
        <v>30</v>
      </c>
      <c r="P3682">
        <v>1533</v>
      </c>
      <c r="Q3682">
        <v>1486.35</v>
      </c>
      <c r="R3682" t="s">
        <v>30</v>
      </c>
      <c r="S3682" t="s">
        <v>31</v>
      </c>
      <c r="T3682" t="s">
        <v>32</v>
      </c>
      <c r="U3682">
        <v>19</v>
      </c>
      <c r="V3682">
        <v>4.2</v>
      </c>
      <c r="W3682">
        <f>Table2[[#This Row],[Quantity]]*Table2[[#This Row],[Item_Price]]</f>
        <v>1533</v>
      </c>
    </row>
    <row r="3683" spans="1:23" x14ac:dyDescent="0.25">
      <c r="A3683" t="s">
        <v>3785</v>
      </c>
      <c r="B3683" s="1">
        <v>45926</v>
      </c>
      <c r="C3683" t="s">
        <v>3450</v>
      </c>
      <c r="D3683">
        <v>9</v>
      </c>
      <c r="E3683">
        <v>26</v>
      </c>
      <c r="F3683" t="s">
        <v>114</v>
      </c>
      <c r="G3683" t="s">
        <v>64</v>
      </c>
      <c r="H3683" t="s">
        <v>108</v>
      </c>
      <c r="I3683" t="s">
        <v>36</v>
      </c>
      <c r="J3683" t="s">
        <v>62</v>
      </c>
      <c r="K3683" t="s">
        <v>38</v>
      </c>
      <c r="L3683">
        <v>1</v>
      </c>
      <c r="M3683">
        <v>180</v>
      </c>
      <c r="N3683">
        <v>36</v>
      </c>
      <c r="O3683">
        <v>20</v>
      </c>
      <c r="P3683">
        <v>180</v>
      </c>
      <c r="Q3683">
        <v>164</v>
      </c>
      <c r="R3683" t="s">
        <v>112</v>
      </c>
      <c r="S3683" t="s">
        <v>91</v>
      </c>
      <c r="T3683" t="s">
        <v>40</v>
      </c>
      <c r="U3683">
        <v>52</v>
      </c>
      <c r="W3683">
        <f>Table2[[#This Row],[Quantity]]*Table2[[#This Row],[Item_Price]]</f>
        <v>180</v>
      </c>
    </row>
    <row r="3684" spans="1:23" x14ac:dyDescent="0.25">
      <c r="A3684" t="s">
        <v>3786</v>
      </c>
      <c r="B3684" s="1">
        <v>45926</v>
      </c>
      <c r="C3684" t="s">
        <v>3450</v>
      </c>
      <c r="D3684">
        <v>9</v>
      </c>
      <c r="E3684">
        <v>26</v>
      </c>
      <c r="F3684" t="s">
        <v>114</v>
      </c>
      <c r="G3684" t="s">
        <v>25</v>
      </c>
      <c r="H3684" t="s">
        <v>60</v>
      </c>
      <c r="I3684" t="s">
        <v>43</v>
      </c>
      <c r="J3684" t="s">
        <v>119</v>
      </c>
      <c r="K3684" t="s">
        <v>38</v>
      </c>
      <c r="L3684">
        <v>1</v>
      </c>
      <c r="M3684">
        <v>536</v>
      </c>
      <c r="N3684">
        <v>80.400000000000006</v>
      </c>
      <c r="O3684">
        <v>40</v>
      </c>
      <c r="P3684">
        <v>536</v>
      </c>
      <c r="Q3684">
        <v>495.6</v>
      </c>
      <c r="R3684" t="s">
        <v>39</v>
      </c>
      <c r="S3684" t="s">
        <v>31</v>
      </c>
      <c r="T3684" t="s">
        <v>40</v>
      </c>
      <c r="U3684">
        <v>25</v>
      </c>
      <c r="V3684">
        <v>4.2</v>
      </c>
      <c r="W3684">
        <f>Table2[[#This Row],[Quantity]]*Table2[[#This Row],[Item_Price]]</f>
        <v>536</v>
      </c>
    </row>
    <row r="3685" spans="1:23" x14ac:dyDescent="0.25">
      <c r="A3685" t="s">
        <v>3787</v>
      </c>
      <c r="B3685" s="1">
        <v>45926</v>
      </c>
      <c r="C3685" t="s">
        <v>3450</v>
      </c>
      <c r="D3685">
        <v>9</v>
      </c>
      <c r="E3685">
        <v>26</v>
      </c>
      <c r="F3685" t="s">
        <v>114</v>
      </c>
      <c r="G3685" t="s">
        <v>80</v>
      </c>
      <c r="H3685" t="s">
        <v>56</v>
      </c>
      <c r="I3685" t="s">
        <v>103</v>
      </c>
      <c r="J3685" t="s">
        <v>172</v>
      </c>
      <c r="K3685" t="s">
        <v>38</v>
      </c>
      <c r="L3685">
        <v>1</v>
      </c>
      <c r="M3685">
        <v>475</v>
      </c>
      <c r="N3685">
        <v>47.5</v>
      </c>
      <c r="O3685">
        <v>0</v>
      </c>
      <c r="P3685">
        <v>475</v>
      </c>
      <c r="Q3685">
        <v>427.5</v>
      </c>
      <c r="R3685" t="s">
        <v>39</v>
      </c>
      <c r="S3685" t="s">
        <v>31</v>
      </c>
      <c r="T3685" t="s">
        <v>40</v>
      </c>
      <c r="U3685">
        <v>62</v>
      </c>
      <c r="V3685">
        <v>4.7</v>
      </c>
      <c r="W3685">
        <f>Table2[[#This Row],[Quantity]]*Table2[[#This Row],[Item_Price]]</f>
        <v>475</v>
      </c>
    </row>
    <row r="3686" spans="1:23" x14ac:dyDescent="0.25">
      <c r="A3686" t="s">
        <v>3788</v>
      </c>
      <c r="B3686" s="1">
        <v>45926</v>
      </c>
      <c r="C3686" t="s">
        <v>3450</v>
      </c>
      <c r="D3686">
        <v>9</v>
      </c>
      <c r="E3686">
        <v>26</v>
      </c>
      <c r="F3686" t="s">
        <v>114</v>
      </c>
      <c r="G3686" t="s">
        <v>80</v>
      </c>
      <c r="H3686" t="s">
        <v>139</v>
      </c>
      <c r="I3686" t="s">
        <v>85</v>
      </c>
      <c r="J3686" t="s">
        <v>28</v>
      </c>
      <c r="K3686" t="s">
        <v>45</v>
      </c>
      <c r="L3686">
        <v>1</v>
      </c>
      <c r="M3686">
        <v>591</v>
      </c>
      <c r="N3686">
        <v>59.1</v>
      </c>
      <c r="O3686">
        <v>60</v>
      </c>
      <c r="P3686">
        <v>591</v>
      </c>
      <c r="Q3686">
        <v>591.9</v>
      </c>
      <c r="R3686" t="s">
        <v>39</v>
      </c>
      <c r="S3686" t="s">
        <v>110</v>
      </c>
      <c r="T3686" t="s">
        <v>40</v>
      </c>
      <c r="U3686">
        <v>23</v>
      </c>
      <c r="W3686">
        <f>Table2[[#This Row],[Quantity]]*Table2[[#This Row],[Item_Price]]</f>
        <v>591</v>
      </c>
    </row>
    <row r="3687" spans="1:23" x14ac:dyDescent="0.25">
      <c r="A3687" t="s">
        <v>3789</v>
      </c>
      <c r="B3687" s="1">
        <v>45926</v>
      </c>
      <c r="C3687" t="s">
        <v>3450</v>
      </c>
      <c r="D3687">
        <v>9</v>
      </c>
      <c r="E3687">
        <v>26</v>
      </c>
      <c r="F3687" t="s">
        <v>114</v>
      </c>
      <c r="G3687" t="s">
        <v>34</v>
      </c>
      <c r="H3687" t="s">
        <v>68</v>
      </c>
      <c r="I3687" t="s">
        <v>27</v>
      </c>
      <c r="J3687" t="s">
        <v>70</v>
      </c>
      <c r="K3687" t="s">
        <v>38</v>
      </c>
      <c r="L3687">
        <v>2</v>
      </c>
      <c r="M3687">
        <v>846</v>
      </c>
      <c r="N3687">
        <v>84.6</v>
      </c>
      <c r="O3687">
        <v>60</v>
      </c>
      <c r="P3687">
        <v>1692</v>
      </c>
      <c r="Q3687">
        <v>1667.4</v>
      </c>
      <c r="R3687" t="s">
        <v>39</v>
      </c>
      <c r="S3687" t="s">
        <v>31</v>
      </c>
      <c r="T3687" t="s">
        <v>40</v>
      </c>
      <c r="U3687">
        <v>36</v>
      </c>
      <c r="V3687">
        <v>4.2</v>
      </c>
      <c r="W3687">
        <f>Table2[[#This Row],[Quantity]]*Table2[[#This Row],[Item_Price]]</f>
        <v>1692</v>
      </c>
    </row>
    <row r="3688" spans="1:23" x14ac:dyDescent="0.25">
      <c r="A3688" t="s">
        <v>3790</v>
      </c>
      <c r="B3688" s="1">
        <v>45926</v>
      </c>
      <c r="C3688" t="s">
        <v>3450</v>
      </c>
      <c r="D3688">
        <v>9</v>
      </c>
      <c r="E3688">
        <v>26</v>
      </c>
      <c r="F3688" t="s">
        <v>114</v>
      </c>
      <c r="G3688" t="s">
        <v>55</v>
      </c>
      <c r="H3688" t="s">
        <v>105</v>
      </c>
      <c r="I3688" t="s">
        <v>49</v>
      </c>
      <c r="J3688" t="s">
        <v>82</v>
      </c>
      <c r="K3688" t="s">
        <v>38</v>
      </c>
      <c r="L3688">
        <v>1</v>
      </c>
      <c r="M3688">
        <v>254</v>
      </c>
      <c r="N3688">
        <v>0</v>
      </c>
      <c r="O3688">
        <v>0</v>
      </c>
      <c r="P3688">
        <v>254</v>
      </c>
      <c r="Q3688">
        <v>254</v>
      </c>
      <c r="R3688" t="s">
        <v>98</v>
      </c>
      <c r="S3688" t="s">
        <v>31</v>
      </c>
      <c r="T3688" t="s">
        <v>40</v>
      </c>
      <c r="U3688">
        <v>62</v>
      </c>
      <c r="V3688">
        <v>4.5</v>
      </c>
      <c r="W3688">
        <f>Table2[[#This Row],[Quantity]]*Table2[[#This Row],[Item_Price]]</f>
        <v>254</v>
      </c>
    </row>
    <row r="3689" spans="1:23" x14ac:dyDescent="0.25">
      <c r="A3689" t="s">
        <v>3791</v>
      </c>
      <c r="B3689" s="1">
        <v>45926</v>
      </c>
      <c r="C3689" t="s">
        <v>3450</v>
      </c>
      <c r="D3689">
        <v>9</v>
      </c>
      <c r="E3689">
        <v>26</v>
      </c>
      <c r="F3689" t="s">
        <v>114</v>
      </c>
      <c r="G3689" t="s">
        <v>115</v>
      </c>
      <c r="H3689" t="s">
        <v>60</v>
      </c>
      <c r="I3689" t="s">
        <v>103</v>
      </c>
      <c r="J3689" t="s">
        <v>62</v>
      </c>
      <c r="K3689" t="s">
        <v>38</v>
      </c>
      <c r="L3689">
        <v>2</v>
      </c>
      <c r="M3689">
        <v>398</v>
      </c>
      <c r="N3689">
        <v>0</v>
      </c>
      <c r="O3689">
        <v>0</v>
      </c>
      <c r="P3689">
        <v>796</v>
      </c>
      <c r="Q3689">
        <v>796</v>
      </c>
      <c r="R3689" t="s">
        <v>30</v>
      </c>
      <c r="S3689" t="s">
        <v>31</v>
      </c>
      <c r="T3689" t="s">
        <v>40</v>
      </c>
      <c r="U3689">
        <v>63</v>
      </c>
      <c r="V3689">
        <v>4.7</v>
      </c>
      <c r="W3689">
        <f>Table2[[#This Row],[Quantity]]*Table2[[#This Row],[Item_Price]]</f>
        <v>796</v>
      </c>
    </row>
    <row r="3690" spans="1:23" x14ac:dyDescent="0.25">
      <c r="A3690" t="s">
        <v>3792</v>
      </c>
      <c r="B3690" s="1">
        <v>45927</v>
      </c>
      <c r="C3690" t="s">
        <v>3450</v>
      </c>
      <c r="D3690">
        <v>9</v>
      </c>
      <c r="E3690">
        <v>27</v>
      </c>
      <c r="F3690" t="s">
        <v>134</v>
      </c>
      <c r="G3690" t="s">
        <v>80</v>
      </c>
      <c r="H3690" t="s">
        <v>42</v>
      </c>
      <c r="I3690" t="s">
        <v>49</v>
      </c>
      <c r="J3690" t="s">
        <v>101</v>
      </c>
      <c r="K3690" t="s">
        <v>38</v>
      </c>
      <c r="L3690">
        <v>3</v>
      </c>
      <c r="M3690">
        <v>571</v>
      </c>
      <c r="N3690">
        <v>0</v>
      </c>
      <c r="O3690">
        <v>40</v>
      </c>
      <c r="P3690">
        <v>1713</v>
      </c>
      <c r="Q3690">
        <v>1753</v>
      </c>
      <c r="R3690" t="s">
        <v>30</v>
      </c>
      <c r="S3690" t="s">
        <v>31</v>
      </c>
      <c r="T3690" t="s">
        <v>40</v>
      </c>
      <c r="U3690">
        <v>36</v>
      </c>
      <c r="V3690">
        <v>3.3</v>
      </c>
      <c r="W3690">
        <f>Table2[[#This Row],[Quantity]]*Table2[[#This Row],[Item_Price]]</f>
        <v>1713</v>
      </c>
    </row>
    <row r="3691" spans="1:23" x14ac:dyDescent="0.25">
      <c r="A3691" t="s">
        <v>3793</v>
      </c>
      <c r="B3691" s="1">
        <v>45927</v>
      </c>
      <c r="C3691" t="s">
        <v>3450</v>
      </c>
      <c r="D3691">
        <v>9</v>
      </c>
      <c r="E3691">
        <v>27</v>
      </c>
      <c r="F3691" t="s">
        <v>134</v>
      </c>
      <c r="G3691" t="s">
        <v>64</v>
      </c>
      <c r="H3691" t="s">
        <v>68</v>
      </c>
      <c r="I3691" t="s">
        <v>103</v>
      </c>
      <c r="J3691" t="s">
        <v>62</v>
      </c>
      <c r="K3691" t="s">
        <v>38</v>
      </c>
      <c r="L3691">
        <v>3</v>
      </c>
      <c r="M3691">
        <v>317</v>
      </c>
      <c r="N3691">
        <v>0</v>
      </c>
      <c r="O3691">
        <v>70</v>
      </c>
      <c r="P3691">
        <v>951</v>
      </c>
      <c r="Q3691">
        <v>1021</v>
      </c>
      <c r="R3691" t="s">
        <v>39</v>
      </c>
      <c r="S3691" t="s">
        <v>31</v>
      </c>
      <c r="T3691" t="s">
        <v>40</v>
      </c>
      <c r="U3691">
        <v>58</v>
      </c>
      <c r="V3691">
        <v>4.9000000000000004</v>
      </c>
      <c r="W3691">
        <f>Table2[[#This Row],[Quantity]]*Table2[[#This Row],[Item_Price]]</f>
        <v>951</v>
      </c>
    </row>
    <row r="3692" spans="1:23" x14ac:dyDescent="0.25">
      <c r="A3692" t="s">
        <v>3794</v>
      </c>
      <c r="B3692" s="1">
        <v>45927</v>
      </c>
      <c r="C3692" t="s">
        <v>3450</v>
      </c>
      <c r="D3692">
        <v>9</v>
      </c>
      <c r="E3692">
        <v>27</v>
      </c>
      <c r="F3692" t="s">
        <v>134</v>
      </c>
      <c r="G3692" t="s">
        <v>34</v>
      </c>
      <c r="H3692" t="s">
        <v>105</v>
      </c>
      <c r="I3692" t="s">
        <v>57</v>
      </c>
      <c r="J3692" t="s">
        <v>101</v>
      </c>
      <c r="K3692" t="s">
        <v>58</v>
      </c>
      <c r="L3692">
        <v>2</v>
      </c>
      <c r="M3692">
        <v>725</v>
      </c>
      <c r="N3692">
        <v>181.25</v>
      </c>
      <c r="O3692">
        <v>30</v>
      </c>
      <c r="P3692">
        <v>1450</v>
      </c>
      <c r="Q3692">
        <v>1298.75</v>
      </c>
      <c r="R3692" t="s">
        <v>75</v>
      </c>
      <c r="S3692" t="s">
        <v>31</v>
      </c>
      <c r="T3692" t="s">
        <v>40</v>
      </c>
      <c r="U3692">
        <v>18</v>
      </c>
      <c r="V3692">
        <v>4.8</v>
      </c>
      <c r="W3692">
        <f>Table2[[#This Row],[Quantity]]*Table2[[#This Row],[Item_Price]]</f>
        <v>1450</v>
      </c>
    </row>
    <row r="3693" spans="1:23" x14ac:dyDescent="0.25">
      <c r="A3693" t="s">
        <v>3795</v>
      </c>
      <c r="B3693" s="1">
        <v>45927</v>
      </c>
      <c r="C3693" t="s">
        <v>3450</v>
      </c>
      <c r="D3693">
        <v>9</v>
      </c>
      <c r="E3693">
        <v>27</v>
      </c>
      <c r="F3693" t="s">
        <v>134</v>
      </c>
      <c r="G3693" t="s">
        <v>96</v>
      </c>
      <c r="H3693" t="s">
        <v>105</v>
      </c>
      <c r="I3693" t="s">
        <v>69</v>
      </c>
      <c r="J3693" t="s">
        <v>66</v>
      </c>
      <c r="K3693" t="s">
        <v>38</v>
      </c>
      <c r="L3693">
        <v>3</v>
      </c>
      <c r="M3693">
        <v>893</v>
      </c>
      <c r="N3693">
        <v>89.3</v>
      </c>
      <c r="O3693">
        <v>50</v>
      </c>
      <c r="P3693">
        <v>2679</v>
      </c>
      <c r="Q3693">
        <v>2639.7</v>
      </c>
      <c r="R3693" t="s">
        <v>39</v>
      </c>
      <c r="S3693" t="s">
        <v>31</v>
      </c>
      <c r="T3693" t="s">
        <v>40</v>
      </c>
      <c r="U3693">
        <v>44</v>
      </c>
      <c r="V3693">
        <v>4</v>
      </c>
      <c r="W3693">
        <f>Table2[[#This Row],[Quantity]]*Table2[[#This Row],[Item_Price]]</f>
        <v>2679</v>
      </c>
    </row>
    <row r="3694" spans="1:23" x14ac:dyDescent="0.25">
      <c r="A3694" t="s">
        <v>3796</v>
      </c>
      <c r="B3694" s="1">
        <v>45927</v>
      </c>
      <c r="C3694" t="s">
        <v>3450</v>
      </c>
      <c r="D3694">
        <v>9</v>
      </c>
      <c r="E3694">
        <v>27</v>
      </c>
      <c r="F3694" t="s">
        <v>134</v>
      </c>
      <c r="G3694" t="s">
        <v>55</v>
      </c>
      <c r="H3694" t="s">
        <v>35</v>
      </c>
      <c r="I3694" t="s">
        <v>97</v>
      </c>
      <c r="J3694" t="s">
        <v>74</v>
      </c>
      <c r="K3694" t="s">
        <v>58</v>
      </c>
      <c r="L3694">
        <v>1</v>
      </c>
      <c r="M3694">
        <v>366</v>
      </c>
      <c r="N3694">
        <v>0</v>
      </c>
      <c r="O3694">
        <v>0</v>
      </c>
      <c r="P3694">
        <v>366</v>
      </c>
      <c r="Q3694">
        <v>366</v>
      </c>
      <c r="R3694" t="s">
        <v>39</v>
      </c>
      <c r="S3694" t="s">
        <v>31</v>
      </c>
      <c r="T3694" t="s">
        <v>40</v>
      </c>
      <c r="U3694">
        <v>41</v>
      </c>
      <c r="V3694">
        <v>3.6</v>
      </c>
      <c r="W3694">
        <f>Table2[[#This Row],[Quantity]]*Table2[[#This Row],[Item_Price]]</f>
        <v>366</v>
      </c>
    </row>
    <row r="3695" spans="1:23" x14ac:dyDescent="0.25">
      <c r="A3695" t="s">
        <v>3797</v>
      </c>
      <c r="B3695" s="1">
        <v>45927</v>
      </c>
      <c r="C3695" t="s">
        <v>3450</v>
      </c>
      <c r="D3695">
        <v>9</v>
      </c>
      <c r="E3695">
        <v>27</v>
      </c>
      <c r="F3695" t="s">
        <v>134</v>
      </c>
      <c r="G3695" t="s">
        <v>96</v>
      </c>
      <c r="H3695" t="s">
        <v>42</v>
      </c>
      <c r="I3695" t="s">
        <v>61</v>
      </c>
      <c r="J3695" t="s">
        <v>74</v>
      </c>
      <c r="K3695" t="s">
        <v>38</v>
      </c>
      <c r="L3695">
        <v>2</v>
      </c>
      <c r="M3695">
        <v>216</v>
      </c>
      <c r="N3695">
        <v>0</v>
      </c>
      <c r="O3695">
        <v>50</v>
      </c>
      <c r="P3695">
        <v>432</v>
      </c>
      <c r="Q3695">
        <v>482</v>
      </c>
      <c r="R3695" t="s">
        <v>30</v>
      </c>
      <c r="S3695" t="s">
        <v>31</v>
      </c>
      <c r="T3695" t="s">
        <v>40</v>
      </c>
      <c r="U3695">
        <v>22</v>
      </c>
      <c r="V3695">
        <v>4.0999999999999996</v>
      </c>
      <c r="W3695">
        <f>Table2[[#This Row],[Quantity]]*Table2[[#This Row],[Item_Price]]</f>
        <v>432</v>
      </c>
    </row>
    <row r="3696" spans="1:23" x14ac:dyDescent="0.25">
      <c r="A3696" t="s">
        <v>3798</v>
      </c>
      <c r="B3696" s="1">
        <v>45927</v>
      </c>
      <c r="C3696" t="s">
        <v>3450</v>
      </c>
      <c r="D3696">
        <v>9</v>
      </c>
      <c r="E3696">
        <v>27</v>
      </c>
      <c r="F3696" t="s">
        <v>134</v>
      </c>
      <c r="G3696" t="s">
        <v>73</v>
      </c>
      <c r="H3696" t="s">
        <v>56</v>
      </c>
      <c r="I3696" t="s">
        <v>97</v>
      </c>
      <c r="J3696" t="s">
        <v>78</v>
      </c>
      <c r="K3696" t="s">
        <v>38</v>
      </c>
      <c r="L3696">
        <v>1</v>
      </c>
      <c r="M3696">
        <v>422</v>
      </c>
      <c r="N3696">
        <v>21.1</v>
      </c>
      <c r="O3696">
        <v>20</v>
      </c>
      <c r="P3696">
        <v>422</v>
      </c>
      <c r="Q3696">
        <v>420.9</v>
      </c>
      <c r="R3696" t="s">
        <v>39</v>
      </c>
      <c r="S3696" t="s">
        <v>31</v>
      </c>
      <c r="T3696" t="s">
        <v>40</v>
      </c>
      <c r="U3696">
        <v>44</v>
      </c>
      <c r="V3696">
        <v>4.5999999999999996</v>
      </c>
      <c r="W3696">
        <f>Table2[[#This Row],[Quantity]]*Table2[[#This Row],[Item_Price]]</f>
        <v>422</v>
      </c>
    </row>
    <row r="3697" spans="1:23" x14ac:dyDescent="0.25">
      <c r="A3697" t="s">
        <v>3799</v>
      </c>
      <c r="B3697" s="1">
        <v>45927</v>
      </c>
      <c r="C3697" t="s">
        <v>3450</v>
      </c>
      <c r="D3697">
        <v>9</v>
      </c>
      <c r="E3697">
        <v>27</v>
      </c>
      <c r="F3697" t="s">
        <v>134</v>
      </c>
      <c r="G3697" t="s">
        <v>84</v>
      </c>
      <c r="H3697" t="s">
        <v>56</v>
      </c>
      <c r="I3697" t="s">
        <v>97</v>
      </c>
      <c r="J3697" t="s">
        <v>28</v>
      </c>
      <c r="K3697" t="s">
        <v>38</v>
      </c>
      <c r="L3697">
        <v>2</v>
      </c>
      <c r="M3697">
        <v>434</v>
      </c>
      <c r="N3697">
        <v>65.099999999999994</v>
      </c>
      <c r="O3697">
        <v>30</v>
      </c>
      <c r="P3697">
        <v>868</v>
      </c>
      <c r="Q3697">
        <v>832.9</v>
      </c>
      <c r="R3697" t="s">
        <v>30</v>
      </c>
      <c r="S3697" t="s">
        <v>31</v>
      </c>
      <c r="T3697" t="s">
        <v>32</v>
      </c>
      <c r="U3697">
        <v>61</v>
      </c>
      <c r="V3697">
        <v>3.8</v>
      </c>
      <c r="W3697">
        <f>Table2[[#This Row],[Quantity]]*Table2[[#This Row],[Item_Price]]</f>
        <v>868</v>
      </c>
    </row>
    <row r="3698" spans="1:23" x14ac:dyDescent="0.25">
      <c r="A3698" t="s">
        <v>3800</v>
      </c>
      <c r="B3698" s="1">
        <v>45927</v>
      </c>
      <c r="C3698" t="s">
        <v>3450</v>
      </c>
      <c r="D3698">
        <v>9</v>
      </c>
      <c r="E3698">
        <v>27</v>
      </c>
      <c r="F3698" t="s">
        <v>134</v>
      </c>
      <c r="G3698" t="s">
        <v>34</v>
      </c>
      <c r="H3698" t="s">
        <v>60</v>
      </c>
      <c r="I3698" t="s">
        <v>27</v>
      </c>
      <c r="J3698" t="s">
        <v>37</v>
      </c>
      <c r="K3698" t="s">
        <v>45</v>
      </c>
      <c r="L3698">
        <v>1</v>
      </c>
      <c r="M3698">
        <v>346</v>
      </c>
      <c r="N3698">
        <v>86.5</v>
      </c>
      <c r="O3698">
        <v>30</v>
      </c>
      <c r="P3698">
        <v>346</v>
      </c>
      <c r="Q3698">
        <v>289.5</v>
      </c>
      <c r="R3698" t="s">
        <v>39</v>
      </c>
      <c r="S3698" t="s">
        <v>31</v>
      </c>
      <c r="T3698" t="s">
        <v>40</v>
      </c>
      <c r="U3698">
        <v>33</v>
      </c>
      <c r="V3698">
        <v>4.5999999999999996</v>
      </c>
      <c r="W3698">
        <f>Table2[[#This Row],[Quantity]]*Table2[[#This Row],[Item_Price]]</f>
        <v>346</v>
      </c>
    </row>
    <row r="3699" spans="1:23" x14ac:dyDescent="0.25">
      <c r="A3699" t="s">
        <v>3801</v>
      </c>
      <c r="B3699" s="1">
        <v>45927</v>
      </c>
      <c r="C3699" t="s">
        <v>3450</v>
      </c>
      <c r="D3699">
        <v>9</v>
      </c>
      <c r="E3699">
        <v>27</v>
      </c>
      <c r="F3699" t="s">
        <v>134</v>
      </c>
      <c r="G3699" t="s">
        <v>34</v>
      </c>
      <c r="H3699" t="s">
        <v>35</v>
      </c>
      <c r="I3699" t="s">
        <v>69</v>
      </c>
      <c r="J3699" t="s">
        <v>74</v>
      </c>
      <c r="K3699" t="s">
        <v>38</v>
      </c>
      <c r="L3699">
        <v>1</v>
      </c>
      <c r="M3699">
        <v>441</v>
      </c>
      <c r="N3699">
        <v>88.2</v>
      </c>
      <c r="O3699">
        <v>20</v>
      </c>
      <c r="P3699">
        <v>441</v>
      </c>
      <c r="Q3699">
        <v>372.8</v>
      </c>
      <c r="R3699" t="s">
        <v>75</v>
      </c>
      <c r="S3699" t="s">
        <v>31</v>
      </c>
      <c r="T3699" t="s">
        <v>32</v>
      </c>
      <c r="U3699">
        <v>51</v>
      </c>
      <c r="V3699">
        <v>3.3</v>
      </c>
      <c r="W3699">
        <f>Table2[[#This Row],[Quantity]]*Table2[[#This Row],[Item_Price]]</f>
        <v>441</v>
      </c>
    </row>
    <row r="3700" spans="1:23" x14ac:dyDescent="0.25">
      <c r="A3700" t="s">
        <v>3802</v>
      </c>
      <c r="B3700" s="1">
        <v>45928</v>
      </c>
      <c r="C3700" t="s">
        <v>3450</v>
      </c>
      <c r="D3700">
        <v>9</v>
      </c>
      <c r="E3700">
        <v>28</v>
      </c>
      <c r="F3700" t="s">
        <v>149</v>
      </c>
      <c r="G3700" t="s">
        <v>64</v>
      </c>
      <c r="H3700" t="s">
        <v>42</v>
      </c>
      <c r="I3700" t="s">
        <v>36</v>
      </c>
      <c r="J3700" t="s">
        <v>62</v>
      </c>
      <c r="K3700" t="s">
        <v>38</v>
      </c>
      <c r="L3700">
        <v>1</v>
      </c>
      <c r="M3700">
        <v>844</v>
      </c>
      <c r="N3700">
        <v>84.4</v>
      </c>
      <c r="O3700">
        <v>0</v>
      </c>
      <c r="P3700">
        <v>844</v>
      </c>
      <c r="Q3700">
        <v>759.6</v>
      </c>
      <c r="R3700" t="s">
        <v>39</v>
      </c>
      <c r="S3700" t="s">
        <v>31</v>
      </c>
      <c r="T3700" t="s">
        <v>40</v>
      </c>
      <c r="U3700">
        <v>43</v>
      </c>
      <c r="V3700">
        <v>4.8</v>
      </c>
      <c r="W3700">
        <f>Table2[[#This Row],[Quantity]]*Table2[[#This Row],[Item_Price]]</f>
        <v>844</v>
      </c>
    </row>
    <row r="3701" spans="1:23" x14ac:dyDescent="0.25">
      <c r="A3701" t="s">
        <v>3803</v>
      </c>
      <c r="B3701" s="1">
        <v>45928</v>
      </c>
      <c r="C3701" t="s">
        <v>3450</v>
      </c>
      <c r="D3701">
        <v>9</v>
      </c>
      <c r="E3701">
        <v>28</v>
      </c>
      <c r="F3701" t="s">
        <v>149</v>
      </c>
      <c r="G3701" t="s">
        <v>34</v>
      </c>
      <c r="H3701" t="s">
        <v>139</v>
      </c>
      <c r="I3701" t="s">
        <v>61</v>
      </c>
      <c r="J3701" t="s">
        <v>37</v>
      </c>
      <c r="K3701" t="s">
        <v>38</v>
      </c>
      <c r="L3701">
        <v>1</v>
      </c>
      <c r="M3701">
        <v>399</v>
      </c>
      <c r="N3701">
        <v>0</v>
      </c>
      <c r="O3701">
        <v>0</v>
      </c>
      <c r="P3701">
        <v>399</v>
      </c>
      <c r="Q3701">
        <v>399</v>
      </c>
      <c r="R3701" t="s">
        <v>30</v>
      </c>
      <c r="S3701" t="s">
        <v>31</v>
      </c>
      <c r="T3701" t="s">
        <v>32</v>
      </c>
      <c r="U3701">
        <v>48</v>
      </c>
      <c r="V3701">
        <v>3.9</v>
      </c>
      <c r="W3701">
        <f>Table2[[#This Row],[Quantity]]*Table2[[#This Row],[Item_Price]]</f>
        <v>399</v>
      </c>
    </row>
    <row r="3702" spans="1:23" x14ac:dyDescent="0.25">
      <c r="A3702" t="s">
        <v>3804</v>
      </c>
      <c r="B3702" s="1">
        <v>45928</v>
      </c>
      <c r="C3702" t="s">
        <v>3450</v>
      </c>
      <c r="D3702">
        <v>9</v>
      </c>
      <c r="E3702">
        <v>28</v>
      </c>
      <c r="F3702" t="s">
        <v>149</v>
      </c>
      <c r="G3702" t="s">
        <v>34</v>
      </c>
      <c r="H3702" t="s">
        <v>52</v>
      </c>
      <c r="I3702" t="s">
        <v>27</v>
      </c>
      <c r="J3702" t="s">
        <v>62</v>
      </c>
      <c r="K3702" t="s">
        <v>38</v>
      </c>
      <c r="L3702">
        <v>1</v>
      </c>
      <c r="M3702">
        <v>222</v>
      </c>
      <c r="N3702">
        <v>44.4</v>
      </c>
      <c r="O3702">
        <v>70</v>
      </c>
      <c r="P3702">
        <v>222</v>
      </c>
      <c r="Q3702">
        <v>247.6</v>
      </c>
      <c r="R3702" t="s">
        <v>75</v>
      </c>
      <c r="S3702" t="s">
        <v>46</v>
      </c>
      <c r="T3702" t="s">
        <v>32</v>
      </c>
      <c r="U3702">
        <v>66</v>
      </c>
      <c r="W3702">
        <f>Table2[[#This Row],[Quantity]]*Table2[[#This Row],[Item_Price]]</f>
        <v>222</v>
      </c>
    </row>
    <row r="3703" spans="1:23" x14ac:dyDescent="0.25">
      <c r="A3703" t="s">
        <v>3805</v>
      </c>
      <c r="B3703" s="1">
        <v>45928</v>
      </c>
      <c r="C3703" t="s">
        <v>3450</v>
      </c>
      <c r="D3703">
        <v>9</v>
      </c>
      <c r="E3703">
        <v>28</v>
      </c>
      <c r="F3703" t="s">
        <v>149</v>
      </c>
      <c r="G3703" t="s">
        <v>73</v>
      </c>
      <c r="H3703" t="s">
        <v>42</v>
      </c>
      <c r="I3703" t="s">
        <v>27</v>
      </c>
      <c r="J3703" t="s">
        <v>37</v>
      </c>
      <c r="K3703" t="s">
        <v>38</v>
      </c>
      <c r="L3703">
        <v>1</v>
      </c>
      <c r="M3703">
        <v>443</v>
      </c>
      <c r="N3703">
        <v>0</v>
      </c>
      <c r="O3703">
        <v>30</v>
      </c>
      <c r="P3703">
        <v>443</v>
      </c>
      <c r="Q3703">
        <v>473</v>
      </c>
      <c r="R3703" t="s">
        <v>39</v>
      </c>
      <c r="S3703" t="s">
        <v>46</v>
      </c>
      <c r="T3703" t="s">
        <v>40</v>
      </c>
      <c r="U3703">
        <v>56</v>
      </c>
      <c r="W3703">
        <f>Table2[[#This Row],[Quantity]]*Table2[[#This Row],[Item_Price]]</f>
        <v>443</v>
      </c>
    </row>
    <row r="3704" spans="1:23" x14ac:dyDescent="0.25">
      <c r="A3704" t="s">
        <v>3806</v>
      </c>
      <c r="B3704" s="1">
        <v>45928</v>
      </c>
      <c r="C3704" t="s">
        <v>3450</v>
      </c>
      <c r="D3704">
        <v>9</v>
      </c>
      <c r="E3704">
        <v>28</v>
      </c>
      <c r="F3704" t="s">
        <v>149</v>
      </c>
      <c r="G3704" t="s">
        <v>64</v>
      </c>
      <c r="H3704" t="s">
        <v>26</v>
      </c>
      <c r="I3704" t="s">
        <v>36</v>
      </c>
      <c r="J3704" t="s">
        <v>44</v>
      </c>
      <c r="K3704" t="s">
        <v>45</v>
      </c>
      <c r="L3704">
        <v>2</v>
      </c>
      <c r="M3704">
        <v>716</v>
      </c>
      <c r="N3704">
        <v>35.799999999999997</v>
      </c>
      <c r="O3704">
        <v>0</v>
      </c>
      <c r="P3704">
        <v>1432</v>
      </c>
      <c r="Q3704">
        <v>1396.2</v>
      </c>
      <c r="R3704" t="s">
        <v>112</v>
      </c>
      <c r="S3704" t="s">
        <v>31</v>
      </c>
      <c r="T3704" t="s">
        <v>40</v>
      </c>
      <c r="U3704">
        <v>44</v>
      </c>
      <c r="V3704">
        <v>5</v>
      </c>
      <c r="W3704">
        <f>Table2[[#This Row],[Quantity]]*Table2[[#This Row],[Item_Price]]</f>
        <v>1432</v>
      </c>
    </row>
    <row r="3705" spans="1:23" x14ac:dyDescent="0.25">
      <c r="A3705" t="s">
        <v>3807</v>
      </c>
      <c r="B3705" s="1">
        <v>45928</v>
      </c>
      <c r="C3705" t="s">
        <v>3450</v>
      </c>
      <c r="D3705">
        <v>9</v>
      </c>
      <c r="E3705">
        <v>28</v>
      </c>
      <c r="F3705" t="s">
        <v>149</v>
      </c>
      <c r="G3705" t="s">
        <v>80</v>
      </c>
      <c r="H3705" t="s">
        <v>135</v>
      </c>
      <c r="I3705" t="s">
        <v>49</v>
      </c>
      <c r="J3705" t="s">
        <v>37</v>
      </c>
      <c r="K3705" t="s">
        <v>58</v>
      </c>
      <c r="L3705">
        <v>1</v>
      </c>
      <c r="M3705">
        <v>585</v>
      </c>
      <c r="N3705">
        <v>58.5</v>
      </c>
      <c r="O3705">
        <v>30</v>
      </c>
      <c r="P3705">
        <v>585</v>
      </c>
      <c r="Q3705">
        <v>556.5</v>
      </c>
      <c r="R3705" t="s">
        <v>98</v>
      </c>
      <c r="S3705" t="s">
        <v>31</v>
      </c>
      <c r="T3705" t="s">
        <v>40</v>
      </c>
      <c r="U3705">
        <v>34</v>
      </c>
      <c r="V3705">
        <v>2.9</v>
      </c>
      <c r="W3705">
        <f>Table2[[#This Row],[Quantity]]*Table2[[#This Row],[Item_Price]]</f>
        <v>585</v>
      </c>
    </row>
    <row r="3706" spans="1:23" x14ac:dyDescent="0.25">
      <c r="A3706" t="s">
        <v>3808</v>
      </c>
      <c r="B3706" s="1">
        <v>45928</v>
      </c>
      <c r="C3706" t="s">
        <v>3450</v>
      </c>
      <c r="D3706">
        <v>9</v>
      </c>
      <c r="E3706">
        <v>28</v>
      </c>
      <c r="F3706" t="s">
        <v>149</v>
      </c>
      <c r="G3706" t="s">
        <v>80</v>
      </c>
      <c r="H3706" t="s">
        <v>77</v>
      </c>
      <c r="I3706" t="s">
        <v>49</v>
      </c>
      <c r="J3706" t="s">
        <v>74</v>
      </c>
      <c r="K3706" t="s">
        <v>38</v>
      </c>
      <c r="L3706">
        <v>2</v>
      </c>
      <c r="M3706">
        <v>603</v>
      </c>
      <c r="N3706">
        <v>150.75</v>
      </c>
      <c r="O3706">
        <v>70</v>
      </c>
      <c r="P3706">
        <v>1206</v>
      </c>
      <c r="Q3706">
        <v>1125.25</v>
      </c>
      <c r="R3706" t="s">
        <v>75</v>
      </c>
      <c r="S3706" t="s">
        <v>31</v>
      </c>
      <c r="T3706" t="s">
        <v>32</v>
      </c>
      <c r="U3706">
        <v>49</v>
      </c>
      <c r="V3706">
        <v>3.1</v>
      </c>
      <c r="W3706">
        <f>Table2[[#This Row],[Quantity]]*Table2[[#This Row],[Item_Price]]</f>
        <v>1206</v>
      </c>
    </row>
    <row r="3707" spans="1:23" x14ac:dyDescent="0.25">
      <c r="A3707" t="s">
        <v>3809</v>
      </c>
      <c r="B3707" s="1">
        <v>45928</v>
      </c>
      <c r="C3707" t="s">
        <v>3450</v>
      </c>
      <c r="D3707">
        <v>9</v>
      </c>
      <c r="E3707">
        <v>28</v>
      </c>
      <c r="F3707" t="s">
        <v>149</v>
      </c>
      <c r="G3707" t="s">
        <v>34</v>
      </c>
      <c r="H3707" t="s">
        <v>26</v>
      </c>
      <c r="I3707" t="s">
        <v>103</v>
      </c>
      <c r="J3707" t="s">
        <v>78</v>
      </c>
      <c r="K3707" t="s">
        <v>38</v>
      </c>
      <c r="L3707">
        <v>2</v>
      </c>
      <c r="M3707">
        <v>384</v>
      </c>
      <c r="N3707">
        <v>38.4</v>
      </c>
      <c r="O3707">
        <v>20</v>
      </c>
      <c r="P3707">
        <v>768</v>
      </c>
      <c r="Q3707">
        <v>749.6</v>
      </c>
      <c r="R3707" t="s">
        <v>75</v>
      </c>
      <c r="S3707" t="s">
        <v>31</v>
      </c>
      <c r="T3707" t="s">
        <v>40</v>
      </c>
      <c r="U3707">
        <v>40</v>
      </c>
      <c r="V3707">
        <v>4</v>
      </c>
      <c r="W3707">
        <f>Table2[[#This Row],[Quantity]]*Table2[[#This Row],[Item_Price]]</f>
        <v>768</v>
      </c>
    </row>
    <row r="3708" spans="1:23" x14ac:dyDescent="0.25">
      <c r="A3708" t="s">
        <v>3810</v>
      </c>
      <c r="B3708" s="1">
        <v>45928</v>
      </c>
      <c r="C3708" t="s">
        <v>3450</v>
      </c>
      <c r="D3708">
        <v>9</v>
      </c>
      <c r="E3708">
        <v>28</v>
      </c>
      <c r="F3708" t="s">
        <v>149</v>
      </c>
      <c r="G3708" t="s">
        <v>73</v>
      </c>
      <c r="H3708" t="s">
        <v>81</v>
      </c>
      <c r="I3708" t="s">
        <v>27</v>
      </c>
      <c r="J3708" t="s">
        <v>70</v>
      </c>
      <c r="K3708" t="s">
        <v>45</v>
      </c>
      <c r="L3708">
        <v>1</v>
      </c>
      <c r="M3708">
        <v>243</v>
      </c>
      <c r="N3708">
        <v>36.450000000000003</v>
      </c>
      <c r="O3708">
        <v>30</v>
      </c>
      <c r="P3708">
        <v>243</v>
      </c>
      <c r="Q3708">
        <v>236.55</v>
      </c>
      <c r="R3708" t="s">
        <v>112</v>
      </c>
      <c r="S3708" t="s">
        <v>31</v>
      </c>
      <c r="T3708" t="s">
        <v>40</v>
      </c>
      <c r="U3708">
        <v>55</v>
      </c>
      <c r="V3708">
        <v>3.8</v>
      </c>
      <c r="W3708">
        <f>Table2[[#This Row],[Quantity]]*Table2[[#This Row],[Item_Price]]</f>
        <v>243</v>
      </c>
    </row>
    <row r="3709" spans="1:23" x14ac:dyDescent="0.25">
      <c r="A3709" t="s">
        <v>3811</v>
      </c>
      <c r="B3709" s="1">
        <v>45928</v>
      </c>
      <c r="C3709" t="s">
        <v>3450</v>
      </c>
      <c r="D3709">
        <v>9</v>
      </c>
      <c r="E3709">
        <v>28</v>
      </c>
      <c r="F3709" t="s">
        <v>149</v>
      </c>
      <c r="G3709" t="s">
        <v>80</v>
      </c>
      <c r="H3709" t="s">
        <v>42</v>
      </c>
      <c r="I3709" t="s">
        <v>61</v>
      </c>
      <c r="J3709" t="s">
        <v>101</v>
      </c>
      <c r="K3709" t="s">
        <v>58</v>
      </c>
      <c r="L3709">
        <v>3</v>
      </c>
      <c r="M3709">
        <v>628</v>
      </c>
      <c r="N3709">
        <v>31.4</v>
      </c>
      <c r="O3709">
        <v>70</v>
      </c>
      <c r="P3709">
        <v>1884</v>
      </c>
      <c r="Q3709">
        <v>1922.6</v>
      </c>
      <c r="R3709" t="s">
        <v>30</v>
      </c>
      <c r="S3709" t="s">
        <v>31</v>
      </c>
      <c r="T3709" t="s">
        <v>40</v>
      </c>
      <c r="U3709">
        <v>52</v>
      </c>
      <c r="V3709">
        <v>5</v>
      </c>
      <c r="W3709">
        <f>Table2[[#This Row],[Quantity]]*Table2[[#This Row],[Item_Price]]</f>
        <v>1884</v>
      </c>
    </row>
    <row r="3710" spans="1:23" x14ac:dyDescent="0.25">
      <c r="A3710" t="s">
        <v>3812</v>
      </c>
      <c r="B3710" s="1">
        <v>45928</v>
      </c>
      <c r="C3710" t="s">
        <v>3450</v>
      </c>
      <c r="D3710">
        <v>9</v>
      </c>
      <c r="E3710">
        <v>28</v>
      </c>
      <c r="F3710" t="s">
        <v>149</v>
      </c>
      <c r="G3710" t="s">
        <v>25</v>
      </c>
      <c r="H3710" t="s">
        <v>81</v>
      </c>
      <c r="I3710" t="s">
        <v>85</v>
      </c>
      <c r="J3710" t="s">
        <v>101</v>
      </c>
      <c r="K3710" t="s">
        <v>38</v>
      </c>
      <c r="L3710">
        <v>2</v>
      </c>
      <c r="M3710">
        <v>567</v>
      </c>
      <c r="N3710">
        <v>113.4</v>
      </c>
      <c r="O3710">
        <v>40</v>
      </c>
      <c r="P3710">
        <v>1134</v>
      </c>
      <c r="Q3710">
        <v>1060.5999999999999</v>
      </c>
      <c r="R3710" t="s">
        <v>112</v>
      </c>
      <c r="S3710" t="s">
        <v>31</v>
      </c>
      <c r="T3710" t="s">
        <v>32</v>
      </c>
      <c r="U3710">
        <v>62</v>
      </c>
      <c r="V3710">
        <v>4.5</v>
      </c>
      <c r="W3710">
        <f>Table2[[#This Row],[Quantity]]*Table2[[#This Row],[Item_Price]]</f>
        <v>1134</v>
      </c>
    </row>
    <row r="3711" spans="1:23" x14ac:dyDescent="0.25">
      <c r="A3711" t="s">
        <v>3813</v>
      </c>
      <c r="B3711" s="1">
        <v>45928</v>
      </c>
      <c r="C3711" t="s">
        <v>3450</v>
      </c>
      <c r="D3711">
        <v>9</v>
      </c>
      <c r="E3711">
        <v>28</v>
      </c>
      <c r="F3711" t="s">
        <v>149</v>
      </c>
      <c r="G3711" t="s">
        <v>115</v>
      </c>
      <c r="H3711" t="s">
        <v>105</v>
      </c>
      <c r="I3711" t="s">
        <v>57</v>
      </c>
      <c r="J3711" t="s">
        <v>172</v>
      </c>
      <c r="K3711" t="s">
        <v>38</v>
      </c>
      <c r="L3711">
        <v>2</v>
      </c>
      <c r="M3711">
        <v>438</v>
      </c>
      <c r="N3711">
        <v>65.7</v>
      </c>
      <c r="O3711">
        <v>30</v>
      </c>
      <c r="P3711">
        <v>876</v>
      </c>
      <c r="Q3711">
        <v>840.3</v>
      </c>
      <c r="R3711" t="s">
        <v>112</v>
      </c>
      <c r="S3711" t="s">
        <v>31</v>
      </c>
      <c r="T3711" t="s">
        <v>40</v>
      </c>
      <c r="U3711">
        <v>42</v>
      </c>
      <c r="V3711">
        <v>3.6</v>
      </c>
      <c r="W3711">
        <f>Table2[[#This Row],[Quantity]]*Table2[[#This Row],[Item_Price]]</f>
        <v>876</v>
      </c>
    </row>
    <row r="3712" spans="1:23" x14ac:dyDescent="0.25">
      <c r="A3712" t="s">
        <v>3814</v>
      </c>
      <c r="B3712" s="1">
        <v>45928</v>
      </c>
      <c r="C3712" t="s">
        <v>3450</v>
      </c>
      <c r="D3712">
        <v>9</v>
      </c>
      <c r="E3712">
        <v>28</v>
      </c>
      <c r="F3712" t="s">
        <v>149</v>
      </c>
      <c r="G3712" t="s">
        <v>73</v>
      </c>
      <c r="H3712" t="s">
        <v>105</v>
      </c>
      <c r="I3712" t="s">
        <v>43</v>
      </c>
      <c r="J3712" t="s">
        <v>62</v>
      </c>
      <c r="K3712" t="s">
        <v>58</v>
      </c>
      <c r="L3712">
        <v>2</v>
      </c>
      <c r="M3712">
        <v>241</v>
      </c>
      <c r="N3712">
        <v>36.15</v>
      </c>
      <c r="O3712">
        <v>40</v>
      </c>
      <c r="P3712">
        <v>482</v>
      </c>
      <c r="Q3712">
        <v>485.85</v>
      </c>
      <c r="R3712" t="s">
        <v>39</v>
      </c>
      <c r="S3712" t="s">
        <v>31</v>
      </c>
      <c r="T3712" t="s">
        <v>32</v>
      </c>
      <c r="U3712">
        <v>29</v>
      </c>
      <c r="V3712">
        <v>3.2</v>
      </c>
      <c r="W3712">
        <f>Table2[[#This Row],[Quantity]]*Table2[[#This Row],[Item_Price]]</f>
        <v>482</v>
      </c>
    </row>
    <row r="3713" spans="1:23" x14ac:dyDescent="0.25">
      <c r="A3713" t="s">
        <v>3815</v>
      </c>
      <c r="B3713" s="1">
        <v>45928</v>
      </c>
      <c r="C3713" t="s">
        <v>3450</v>
      </c>
      <c r="D3713">
        <v>9</v>
      </c>
      <c r="E3713">
        <v>28</v>
      </c>
      <c r="F3713" t="s">
        <v>149</v>
      </c>
      <c r="G3713" t="s">
        <v>64</v>
      </c>
      <c r="H3713" t="s">
        <v>139</v>
      </c>
      <c r="I3713" t="s">
        <v>85</v>
      </c>
      <c r="J3713" t="s">
        <v>123</v>
      </c>
      <c r="K3713" t="s">
        <v>38</v>
      </c>
      <c r="L3713">
        <v>2</v>
      </c>
      <c r="M3713">
        <v>186</v>
      </c>
      <c r="N3713">
        <v>46.5</v>
      </c>
      <c r="O3713">
        <v>50</v>
      </c>
      <c r="P3713">
        <v>372</v>
      </c>
      <c r="Q3713">
        <v>375.5</v>
      </c>
      <c r="R3713" t="s">
        <v>75</v>
      </c>
      <c r="S3713" t="s">
        <v>91</v>
      </c>
      <c r="T3713" t="s">
        <v>32</v>
      </c>
      <c r="U3713">
        <v>35</v>
      </c>
      <c r="W3713">
        <f>Table2[[#This Row],[Quantity]]*Table2[[#This Row],[Item_Price]]</f>
        <v>372</v>
      </c>
    </row>
    <row r="3714" spans="1:23" x14ac:dyDescent="0.25">
      <c r="A3714" t="s">
        <v>3816</v>
      </c>
      <c r="B3714" s="1">
        <v>45928</v>
      </c>
      <c r="C3714" t="s">
        <v>3450</v>
      </c>
      <c r="D3714">
        <v>9</v>
      </c>
      <c r="E3714">
        <v>28</v>
      </c>
      <c r="F3714" t="s">
        <v>149</v>
      </c>
      <c r="G3714" t="s">
        <v>115</v>
      </c>
      <c r="H3714" t="s">
        <v>105</v>
      </c>
      <c r="I3714" t="s">
        <v>69</v>
      </c>
      <c r="J3714" t="s">
        <v>94</v>
      </c>
      <c r="K3714" t="s">
        <v>38</v>
      </c>
      <c r="L3714">
        <v>2</v>
      </c>
      <c r="M3714">
        <v>664</v>
      </c>
      <c r="N3714">
        <v>0</v>
      </c>
      <c r="O3714">
        <v>0</v>
      </c>
      <c r="P3714">
        <v>1328</v>
      </c>
      <c r="Q3714">
        <v>1328</v>
      </c>
      <c r="R3714" t="s">
        <v>39</v>
      </c>
      <c r="S3714" t="s">
        <v>31</v>
      </c>
      <c r="T3714" t="s">
        <v>40</v>
      </c>
      <c r="U3714">
        <v>53</v>
      </c>
      <c r="V3714">
        <v>3.4</v>
      </c>
      <c r="W3714">
        <f>Table2[[#This Row],[Quantity]]*Table2[[#This Row],[Item_Price]]</f>
        <v>1328</v>
      </c>
    </row>
    <row r="3715" spans="1:23" x14ac:dyDescent="0.25">
      <c r="A3715" t="s">
        <v>3817</v>
      </c>
      <c r="B3715" s="1">
        <v>45928</v>
      </c>
      <c r="C3715" t="s">
        <v>3450</v>
      </c>
      <c r="D3715">
        <v>9</v>
      </c>
      <c r="E3715">
        <v>28</v>
      </c>
      <c r="F3715" t="s">
        <v>149</v>
      </c>
      <c r="G3715" t="s">
        <v>64</v>
      </c>
      <c r="H3715" t="s">
        <v>42</v>
      </c>
      <c r="I3715" t="s">
        <v>69</v>
      </c>
      <c r="J3715" t="s">
        <v>28</v>
      </c>
      <c r="K3715" t="s">
        <v>38</v>
      </c>
      <c r="L3715">
        <v>2</v>
      </c>
      <c r="M3715">
        <v>301</v>
      </c>
      <c r="N3715">
        <v>45.15</v>
      </c>
      <c r="O3715">
        <v>30</v>
      </c>
      <c r="P3715">
        <v>602</v>
      </c>
      <c r="Q3715">
        <v>586.85</v>
      </c>
      <c r="R3715" t="s">
        <v>39</v>
      </c>
      <c r="S3715" t="s">
        <v>91</v>
      </c>
      <c r="T3715" t="s">
        <v>40</v>
      </c>
      <c r="U3715">
        <v>36</v>
      </c>
      <c r="W3715">
        <f>Table2[[#This Row],[Quantity]]*Table2[[#This Row],[Item_Price]]</f>
        <v>602</v>
      </c>
    </row>
    <row r="3716" spans="1:23" x14ac:dyDescent="0.25">
      <c r="A3716" t="s">
        <v>3818</v>
      </c>
      <c r="B3716" s="1">
        <v>45928</v>
      </c>
      <c r="C3716" t="s">
        <v>3450</v>
      </c>
      <c r="D3716">
        <v>9</v>
      </c>
      <c r="E3716">
        <v>28</v>
      </c>
      <c r="F3716" t="s">
        <v>149</v>
      </c>
      <c r="G3716" t="s">
        <v>55</v>
      </c>
      <c r="H3716" t="s">
        <v>65</v>
      </c>
      <c r="I3716" t="s">
        <v>27</v>
      </c>
      <c r="J3716" t="s">
        <v>123</v>
      </c>
      <c r="K3716" t="s">
        <v>45</v>
      </c>
      <c r="L3716">
        <v>1</v>
      </c>
      <c r="M3716">
        <v>387</v>
      </c>
      <c r="N3716">
        <v>19.350000000000001</v>
      </c>
      <c r="O3716">
        <v>60</v>
      </c>
      <c r="P3716">
        <v>387</v>
      </c>
      <c r="Q3716">
        <v>427.65</v>
      </c>
      <c r="R3716" t="s">
        <v>30</v>
      </c>
      <c r="S3716" t="s">
        <v>31</v>
      </c>
      <c r="T3716" t="s">
        <v>40</v>
      </c>
      <c r="U3716">
        <v>18</v>
      </c>
      <c r="V3716">
        <v>3.6</v>
      </c>
      <c r="W3716">
        <f>Table2[[#This Row],[Quantity]]*Table2[[#This Row],[Item_Price]]</f>
        <v>387</v>
      </c>
    </row>
    <row r="3717" spans="1:23" x14ac:dyDescent="0.25">
      <c r="A3717" t="s">
        <v>3819</v>
      </c>
      <c r="B3717" s="1">
        <v>45929</v>
      </c>
      <c r="C3717" t="s">
        <v>3450</v>
      </c>
      <c r="D3717">
        <v>9</v>
      </c>
      <c r="E3717">
        <v>29</v>
      </c>
      <c r="F3717" t="s">
        <v>168</v>
      </c>
      <c r="G3717" t="s">
        <v>25</v>
      </c>
      <c r="H3717" t="s">
        <v>56</v>
      </c>
      <c r="I3717" t="s">
        <v>57</v>
      </c>
      <c r="J3717" t="s">
        <v>78</v>
      </c>
      <c r="K3717" t="s">
        <v>38</v>
      </c>
      <c r="L3717">
        <v>1</v>
      </c>
      <c r="M3717">
        <v>239</v>
      </c>
      <c r="N3717">
        <v>23.9</v>
      </c>
      <c r="O3717">
        <v>50</v>
      </c>
      <c r="P3717">
        <v>239</v>
      </c>
      <c r="Q3717">
        <v>265.10000000000002</v>
      </c>
      <c r="R3717" t="s">
        <v>39</v>
      </c>
      <c r="S3717" t="s">
        <v>31</v>
      </c>
      <c r="T3717" t="s">
        <v>40</v>
      </c>
      <c r="U3717">
        <v>25</v>
      </c>
      <c r="V3717">
        <v>4</v>
      </c>
      <c r="W3717">
        <f>Table2[[#This Row],[Quantity]]*Table2[[#This Row],[Item_Price]]</f>
        <v>239</v>
      </c>
    </row>
    <row r="3718" spans="1:23" x14ac:dyDescent="0.25">
      <c r="A3718" t="s">
        <v>3820</v>
      </c>
      <c r="B3718" s="1">
        <v>45929</v>
      </c>
      <c r="C3718" t="s">
        <v>3450</v>
      </c>
      <c r="D3718">
        <v>9</v>
      </c>
      <c r="E3718">
        <v>29</v>
      </c>
      <c r="F3718" t="s">
        <v>168</v>
      </c>
      <c r="G3718" t="s">
        <v>34</v>
      </c>
      <c r="H3718" t="s">
        <v>56</v>
      </c>
      <c r="I3718" t="s">
        <v>97</v>
      </c>
      <c r="J3718" t="s">
        <v>66</v>
      </c>
      <c r="K3718" t="s">
        <v>38</v>
      </c>
      <c r="L3718">
        <v>3</v>
      </c>
      <c r="M3718">
        <v>171</v>
      </c>
      <c r="N3718">
        <v>42.75</v>
      </c>
      <c r="O3718">
        <v>40</v>
      </c>
      <c r="P3718">
        <v>513</v>
      </c>
      <c r="Q3718">
        <v>510.25</v>
      </c>
      <c r="R3718" t="s">
        <v>30</v>
      </c>
      <c r="S3718" t="s">
        <v>91</v>
      </c>
      <c r="T3718" t="s">
        <v>32</v>
      </c>
      <c r="U3718">
        <v>45</v>
      </c>
      <c r="W3718">
        <f>Table2[[#This Row],[Quantity]]*Table2[[#This Row],[Item_Price]]</f>
        <v>513</v>
      </c>
    </row>
    <row r="3719" spans="1:23" x14ac:dyDescent="0.25">
      <c r="A3719" t="s">
        <v>3821</v>
      </c>
      <c r="B3719" s="1">
        <v>45929</v>
      </c>
      <c r="C3719" t="s">
        <v>3450</v>
      </c>
      <c r="D3719">
        <v>9</v>
      </c>
      <c r="E3719">
        <v>29</v>
      </c>
      <c r="F3719" t="s">
        <v>168</v>
      </c>
      <c r="G3719" t="s">
        <v>34</v>
      </c>
      <c r="H3719" t="s">
        <v>65</v>
      </c>
      <c r="I3719" t="s">
        <v>36</v>
      </c>
      <c r="J3719" t="s">
        <v>78</v>
      </c>
      <c r="K3719" t="s">
        <v>38</v>
      </c>
      <c r="L3719">
        <v>1</v>
      </c>
      <c r="M3719">
        <v>220</v>
      </c>
      <c r="N3719">
        <v>0</v>
      </c>
      <c r="O3719">
        <v>30</v>
      </c>
      <c r="P3719">
        <v>220</v>
      </c>
      <c r="Q3719">
        <v>250</v>
      </c>
      <c r="R3719" t="s">
        <v>98</v>
      </c>
      <c r="S3719" t="s">
        <v>31</v>
      </c>
      <c r="T3719" t="s">
        <v>40</v>
      </c>
      <c r="U3719">
        <v>61</v>
      </c>
      <c r="V3719">
        <v>3.9</v>
      </c>
      <c r="W3719">
        <f>Table2[[#This Row],[Quantity]]*Table2[[#This Row],[Item_Price]]</f>
        <v>220</v>
      </c>
    </row>
    <row r="3720" spans="1:23" x14ac:dyDescent="0.25">
      <c r="A3720" t="s">
        <v>3822</v>
      </c>
      <c r="B3720" s="1">
        <v>45929</v>
      </c>
      <c r="C3720" t="s">
        <v>3450</v>
      </c>
      <c r="D3720">
        <v>9</v>
      </c>
      <c r="E3720">
        <v>29</v>
      </c>
      <c r="F3720" t="s">
        <v>168</v>
      </c>
      <c r="G3720" t="s">
        <v>25</v>
      </c>
      <c r="H3720" t="s">
        <v>26</v>
      </c>
      <c r="I3720" t="s">
        <v>49</v>
      </c>
      <c r="J3720" t="s">
        <v>37</v>
      </c>
      <c r="K3720" t="s">
        <v>38</v>
      </c>
      <c r="L3720">
        <v>1</v>
      </c>
      <c r="M3720">
        <v>505</v>
      </c>
      <c r="N3720">
        <v>101</v>
      </c>
      <c r="O3720">
        <v>0</v>
      </c>
      <c r="P3720">
        <v>505</v>
      </c>
      <c r="Q3720">
        <v>404</v>
      </c>
      <c r="R3720" t="s">
        <v>39</v>
      </c>
      <c r="S3720" t="s">
        <v>31</v>
      </c>
      <c r="T3720" t="s">
        <v>32</v>
      </c>
      <c r="U3720">
        <v>58</v>
      </c>
      <c r="V3720">
        <v>4.3</v>
      </c>
      <c r="W3720">
        <f>Table2[[#This Row],[Quantity]]*Table2[[#This Row],[Item_Price]]</f>
        <v>505</v>
      </c>
    </row>
    <row r="3721" spans="1:23" x14ac:dyDescent="0.25">
      <c r="A3721" t="s">
        <v>3823</v>
      </c>
      <c r="B3721" s="1">
        <v>45929</v>
      </c>
      <c r="C3721" t="s">
        <v>3450</v>
      </c>
      <c r="D3721">
        <v>9</v>
      </c>
      <c r="E3721">
        <v>29</v>
      </c>
      <c r="F3721" t="s">
        <v>168</v>
      </c>
      <c r="G3721" t="s">
        <v>64</v>
      </c>
      <c r="H3721" t="s">
        <v>56</v>
      </c>
      <c r="I3721" t="s">
        <v>85</v>
      </c>
      <c r="J3721" t="s">
        <v>53</v>
      </c>
      <c r="K3721" t="s">
        <v>38</v>
      </c>
      <c r="L3721">
        <v>3</v>
      </c>
      <c r="M3721">
        <v>616</v>
      </c>
      <c r="N3721">
        <v>61.6</v>
      </c>
      <c r="O3721">
        <v>50</v>
      </c>
      <c r="P3721">
        <v>1848</v>
      </c>
      <c r="Q3721">
        <v>1836.4</v>
      </c>
      <c r="R3721" t="s">
        <v>75</v>
      </c>
      <c r="S3721" t="s">
        <v>31</v>
      </c>
      <c r="T3721" t="s">
        <v>40</v>
      </c>
      <c r="U3721">
        <v>61</v>
      </c>
      <c r="V3721">
        <v>4.0999999999999996</v>
      </c>
      <c r="W3721">
        <f>Table2[[#This Row],[Quantity]]*Table2[[#This Row],[Item_Price]]</f>
        <v>1848</v>
      </c>
    </row>
    <row r="3722" spans="1:23" x14ac:dyDescent="0.25">
      <c r="A3722" t="s">
        <v>3824</v>
      </c>
      <c r="B3722" s="1">
        <v>45929</v>
      </c>
      <c r="C3722" t="s">
        <v>3450</v>
      </c>
      <c r="D3722">
        <v>9</v>
      </c>
      <c r="E3722">
        <v>29</v>
      </c>
      <c r="F3722" t="s">
        <v>168</v>
      </c>
      <c r="G3722" t="s">
        <v>55</v>
      </c>
      <c r="H3722" t="s">
        <v>135</v>
      </c>
      <c r="I3722" t="s">
        <v>69</v>
      </c>
      <c r="J3722" t="s">
        <v>66</v>
      </c>
      <c r="K3722" t="s">
        <v>38</v>
      </c>
      <c r="L3722">
        <v>1</v>
      </c>
      <c r="M3722">
        <v>871</v>
      </c>
      <c r="N3722">
        <v>43.55</v>
      </c>
      <c r="O3722">
        <v>20</v>
      </c>
      <c r="P3722">
        <v>871</v>
      </c>
      <c r="Q3722">
        <v>847.45</v>
      </c>
      <c r="R3722" t="s">
        <v>75</v>
      </c>
      <c r="S3722" t="s">
        <v>31</v>
      </c>
      <c r="T3722" t="s">
        <v>40</v>
      </c>
      <c r="U3722">
        <v>39</v>
      </c>
      <c r="V3722">
        <v>2.7</v>
      </c>
      <c r="W3722">
        <f>Table2[[#This Row],[Quantity]]*Table2[[#This Row],[Item_Price]]</f>
        <v>871</v>
      </c>
    </row>
    <row r="3723" spans="1:23" x14ac:dyDescent="0.25">
      <c r="A3723" t="s">
        <v>3825</v>
      </c>
      <c r="B3723" s="1">
        <v>45929</v>
      </c>
      <c r="C3723" t="s">
        <v>3450</v>
      </c>
      <c r="D3723">
        <v>9</v>
      </c>
      <c r="E3723">
        <v>29</v>
      </c>
      <c r="F3723" t="s">
        <v>168</v>
      </c>
      <c r="G3723" t="s">
        <v>64</v>
      </c>
      <c r="H3723" t="s">
        <v>135</v>
      </c>
      <c r="I3723" t="s">
        <v>49</v>
      </c>
      <c r="J3723" t="s">
        <v>66</v>
      </c>
      <c r="K3723" t="s">
        <v>38</v>
      </c>
      <c r="L3723">
        <v>1</v>
      </c>
      <c r="M3723">
        <v>600</v>
      </c>
      <c r="N3723">
        <v>90</v>
      </c>
      <c r="O3723">
        <v>30</v>
      </c>
      <c r="P3723">
        <v>600</v>
      </c>
      <c r="Q3723">
        <v>540</v>
      </c>
      <c r="R3723" t="s">
        <v>75</v>
      </c>
      <c r="S3723" t="s">
        <v>31</v>
      </c>
      <c r="T3723" t="s">
        <v>40</v>
      </c>
      <c r="U3723">
        <v>51</v>
      </c>
      <c r="V3723">
        <v>4</v>
      </c>
      <c r="W3723">
        <f>Table2[[#This Row],[Quantity]]*Table2[[#This Row],[Item_Price]]</f>
        <v>600</v>
      </c>
    </row>
    <row r="3724" spans="1:23" x14ac:dyDescent="0.25">
      <c r="A3724" t="s">
        <v>3826</v>
      </c>
      <c r="B3724" s="1">
        <v>45929</v>
      </c>
      <c r="C3724" t="s">
        <v>3450</v>
      </c>
      <c r="D3724">
        <v>9</v>
      </c>
      <c r="E3724">
        <v>29</v>
      </c>
      <c r="F3724" t="s">
        <v>168</v>
      </c>
      <c r="G3724" t="s">
        <v>64</v>
      </c>
      <c r="H3724" t="s">
        <v>60</v>
      </c>
      <c r="I3724" t="s">
        <v>43</v>
      </c>
      <c r="J3724" t="s">
        <v>82</v>
      </c>
      <c r="K3724" t="s">
        <v>58</v>
      </c>
      <c r="L3724">
        <v>2</v>
      </c>
      <c r="M3724">
        <v>407</v>
      </c>
      <c r="N3724">
        <v>20.350000000000001</v>
      </c>
      <c r="O3724">
        <v>60</v>
      </c>
      <c r="P3724">
        <v>814</v>
      </c>
      <c r="Q3724">
        <v>853.65</v>
      </c>
      <c r="R3724" t="s">
        <v>39</v>
      </c>
      <c r="S3724" t="s">
        <v>31</v>
      </c>
      <c r="T3724" t="s">
        <v>32</v>
      </c>
      <c r="U3724">
        <v>55</v>
      </c>
      <c r="V3724">
        <v>4.3</v>
      </c>
      <c r="W3724">
        <f>Table2[[#This Row],[Quantity]]*Table2[[#This Row],[Item_Price]]</f>
        <v>814</v>
      </c>
    </row>
    <row r="3725" spans="1:23" x14ac:dyDescent="0.25">
      <c r="A3725" t="s">
        <v>3827</v>
      </c>
      <c r="B3725" s="1">
        <v>45929</v>
      </c>
      <c r="C3725" t="s">
        <v>3450</v>
      </c>
      <c r="D3725">
        <v>9</v>
      </c>
      <c r="E3725">
        <v>29</v>
      </c>
      <c r="F3725" t="s">
        <v>168</v>
      </c>
      <c r="G3725" t="s">
        <v>84</v>
      </c>
      <c r="H3725" t="s">
        <v>56</v>
      </c>
      <c r="I3725" t="s">
        <v>61</v>
      </c>
      <c r="J3725" t="s">
        <v>44</v>
      </c>
      <c r="K3725" t="s">
        <v>38</v>
      </c>
      <c r="L3725">
        <v>1</v>
      </c>
      <c r="M3725">
        <v>188</v>
      </c>
      <c r="N3725">
        <v>18.8</v>
      </c>
      <c r="O3725">
        <v>20</v>
      </c>
      <c r="P3725">
        <v>188</v>
      </c>
      <c r="Q3725">
        <v>189.2</v>
      </c>
      <c r="R3725" t="s">
        <v>75</v>
      </c>
      <c r="S3725" t="s">
        <v>31</v>
      </c>
      <c r="T3725" t="s">
        <v>32</v>
      </c>
      <c r="U3725">
        <v>36</v>
      </c>
      <c r="V3725">
        <v>4.5</v>
      </c>
      <c r="W3725">
        <f>Table2[[#This Row],[Quantity]]*Table2[[#This Row],[Item_Price]]</f>
        <v>188</v>
      </c>
    </row>
    <row r="3726" spans="1:23" x14ac:dyDescent="0.25">
      <c r="A3726" t="s">
        <v>3828</v>
      </c>
      <c r="B3726" s="1">
        <v>45930</v>
      </c>
      <c r="C3726" t="s">
        <v>3450</v>
      </c>
      <c r="D3726">
        <v>9</v>
      </c>
      <c r="E3726">
        <v>30</v>
      </c>
      <c r="F3726" t="s">
        <v>178</v>
      </c>
      <c r="G3726" t="s">
        <v>80</v>
      </c>
      <c r="H3726" t="s">
        <v>77</v>
      </c>
      <c r="I3726" t="s">
        <v>61</v>
      </c>
      <c r="J3726" t="s">
        <v>94</v>
      </c>
      <c r="K3726" t="s">
        <v>38</v>
      </c>
      <c r="L3726">
        <v>1</v>
      </c>
      <c r="M3726">
        <v>339</v>
      </c>
      <c r="N3726">
        <v>50.85</v>
      </c>
      <c r="O3726">
        <v>20</v>
      </c>
      <c r="P3726">
        <v>339</v>
      </c>
      <c r="Q3726">
        <v>308.14999999999998</v>
      </c>
      <c r="R3726" t="s">
        <v>39</v>
      </c>
      <c r="S3726" t="s">
        <v>31</v>
      </c>
      <c r="T3726" t="s">
        <v>40</v>
      </c>
      <c r="U3726">
        <v>60</v>
      </c>
      <c r="V3726">
        <v>3.3</v>
      </c>
      <c r="W3726">
        <f>Table2[[#This Row],[Quantity]]*Table2[[#This Row],[Item_Price]]</f>
        <v>339</v>
      </c>
    </row>
    <row r="3727" spans="1:23" x14ac:dyDescent="0.25">
      <c r="A3727" t="s">
        <v>3829</v>
      </c>
      <c r="B3727" s="1">
        <v>45930</v>
      </c>
      <c r="C3727" t="s">
        <v>3450</v>
      </c>
      <c r="D3727">
        <v>9</v>
      </c>
      <c r="E3727">
        <v>30</v>
      </c>
      <c r="F3727" t="s">
        <v>178</v>
      </c>
      <c r="G3727" t="s">
        <v>80</v>
      </c>
      <c r="H3727" t="s">
        <v>42</v>
      </c>
      <c r="I3727" t="s">
        <v>49</v>
      </c>
      <c r="J3727" t="s">
        <v>50</v>
      </c>
      <c r="K3727" t="s">
        <v>38</v>
      </c>
      <c r="L3727">
        <v>3</v>
      </c>
      <c r="M3727">
        <v>771</v>
      </c>
      <c r="N3727">
        <v>0</v>
      </c>
      <c r="O3727">
        <v>70</v>
      </c>
      <c r="P3727">
        <v>2313</v>
      </c>
      <c r="Q3727">
        <v>2383</v>
      </c>
      <c r="R3727" t="s">
        <v>30</v>
      </c>
      <c r="S3727" t="s">
        <v>31</v>
      </c>
      <c r="T3727" t="s">
        <v>40</v>
      </c>
      <c r="U3727">
        <v>62</v>
      </c>
      <c r="V3727">
        <v>3.7</v>
      </c>
      <c r="W3727">
        <f>Table2[[#This Row],[Quantity]]*Table2[[#This Row],[Item_Price]]</f>
        <v>2313</v>
      </c>
    </row>
    <row r="3728" spans="1:23" x14ac:dyDescent="0.25">
      <c r="A3728" t="s">
        <v>3830</v>
      </c>
      <c r="B3728" s="1">
        <v>45930</v>
      </c>
      <c r="C3728" t="s">
        <v>3450</v>
      </c>
      <c r="D3728">
        <v>9</v>
      </c>
      <c r="E3728">
        <v>30</v>
      </c>
      <c r="F3728" t="s">
        <v>178</v>
      </c>
      <c r="G3728" t="s">
        <v>80</v>
      </c>
      <c r="H3728" t="s">
        <v>65</v>
      </c>
      <c r="I3728" t="s">
        <v>36</v>
      </c>
      <c r="J3728" t="s">
        <v>28</v>
      </c>
      <c r="K3728" t="s">
        <v>38</v>
      </c>
      <c r="L3728">
        <v>2</v>
      </c>
      <c r="M3728">
        <v>327</v>
      </c>
      <c r="N3728">
        <v>0</v>
      </c>
      <c r="O3728">
        <v>30</v>
      </c>
      <c r="P3728">
        <v>654</v>
      </c>
      <c r="Q3728">
        <v>684</v>
      </c>
      <c r="R3728" t="s">
        <v>39</v>
      </c>
      <c r="S3728" t="s">
        <v>31</v>
      </c>
      <c r="T3728" t="s">
        <v>40</v>
      </c>
      <c r="U3728">
        <v>42</v>
      </c>
      <c r="V3728">
        <v>4.8</v>
      </c>
      <c r="W3728">
        <f>Table2[[#This Row],[Quantity]]*Table2[[#This Row],[Item_Price]]</f>
        <v>654</v>
      </c>
    </row>
    <row r="3729" spans="1:23" x14ac:dyDescent="0.25">
      <c r="A3729" t="s">
        <v>3831</v>
      </c>
      <c r="B3729" s="1">
        <v>45930</v>
      </c>
      <c r="C3729" t="s">
        <v>3450</v>
      </c>
      <c r="D3729">
        <v>9</v>
      </c>
      <c r="E3729">
        <v>30</v>
      </c>
      <c r="F3729" t="s">
        <v>178</v>
      </c>
      <c r="G3729" t="s">
        <v>80</v>
      </c>
      <c r="H3729" t="s">
        <v>108</v>
      </c>
      <c r="I3729" t="s">
        <v>97</v>
      </c>
      <c r="J3729" t="s">
        <v>50</v>
      </c>
      <c r="K3729" t="s">
        <v>29</v>
      </c>
      <c r="L3729">
        <v>1</v>
      </c>
      <c r="M3729">
        <v>804</v>
      </c>
      <c r="N3729">
        <v>0</v>
      </c>
      <c r="O3729">
        <v>40</v>
      </c>
      <c r="P3729">
        <v>804</v>
      </c>
      <c r="Q3729">
        <v>844</v>
      </c>
      <c r="R3729" t="s">
        <v>39</v>
      </c>
      <c r="S3729" t="s">
        <v>31</v>
      </c>
      <c r="T3729" t="s">
        <v>40</v>
      </c>
      <c r="U3729">
        <v>61</v>
      </c>
      <c r="V3729">
        <v>4.5999999999999996</v>
      </c>
      <c r="W3729">
        <f>Table2[[#This Row],[Quantity]]*Table2[[#This Row],[Item_Price]]</f>
        <v>804</v>
      </c>
    </row>
    <row r="3730" spans="1:23" x14ac:dyDescent="0.25">
      <c r="A3730" t="s">
        <v>3832</v>
      </c>
      <c r="B3730" s="1">
        <v>45930</v>
      </c>
      <c r="C3730" t="s">
        <v>3450</v>
      </c>
      <c r="D3730">
        <v>9</v>
      </c>
      <c r="E3730">
        <v>30</v>
      </c>
      <c r="F3730" t="s">
        <v>178</v>
      </c>
      <c r="G3730" t="s">
        <v>115</v>
      </c>
      <c r="H3730" t="s">
        <v>42</v>
      </c>
      <c r="I3730" t="s">
        <v>69</v>
      </c>
      <c r="J3730" t="s">
        <v>82</v>
      </c>
      <c r="K3730" t="s">
        <v>38</v>
      </c>
      <c r="L3730">
        <v>1</v>
      </c>
      <c r="M3730">
        <v>132</v>
      </c>
      <c r="N3730">
        <v>19.8</v>
      </c>
      <c r="O3730">
        <v>0</v>
      </c>
      <c r="P3730">
        <v>132</v>
      </c>
      <c r="Q3730">
        <v>112.2</v>
      </c>
      <c r="R3730" t="s">
        <v>39</v>
      </c>
      <c r="S3730" t="s">
        <v>31</v>
      </c>
      <c r="T3730" t="s">
        <v>40</v>
      </c>
      <c r="U3730">
        <v>40</v>
      </c>
      <c r="V3730">
        <v>2.2999999999999998</v>
      </c>
      <c r="W3730">
        <f>Table2[[#This Row],[Quantity]]*Table2[[#This Row],[Item_Price]]</f>
        <v>132</v>
      </c>
    </row>
    <row r="3731" spans="1:23" x14ac:dyDescent="0.25">
      <c r="A3731" t="s">
        <v>3833</v>
      </c>
      <c r="B3731" s="1">
        <v>45930</v>
      </c>
      <c r="C3731" t="s">
        <v>3450</v>
      </c>
      <c r="D3731">
        <v>9</v>
      </c>
      <c r="E3731">
        <v>30</v>
      </c>
      <c r="F3731" t="s">
        <v>178</v>
      </c>
      <c r="G3731" t="s">
        <v>73</v>
      </c>
      <c r="H3731" t="s">
        <v>26</v>
      </c>
      <c r="I3731" t="s">
        <v>57</v>
      </c>
      <c r="J3731" t="s">
        <v>123</v>
      </c>
      <c r="K3731" t="s">
        <v>38</v>
      </c>
      <c r="L3731">
        <v>1</v>
      </c>
      <c r="M3731">
        <v>137</v>
      </c>
      <c r="N3731">
        <v>0</v>
      </c>
      <c r="O3731">
        <v>50</v>
      </c>
      <c r="P3731">
        <v>137</v>
      </c>
      <c r="Q3731">
        <v>187</v>
      </c>
      <c r="R3731" t="s">
        <v>75</v>
      </c>
      <c r="S3731" t="s">
        <v>31</v>
      </c>
      <c r="T3731" t="s">
        <v>40</v>
      </c>
      <c r="U3731">
        <v>60</v>
      </c>
      <c r="V3731">
        <v>5</v>
      </c>
      <c r="W3731">
        <f>Table2[[#This Row],[Quantity]]*Table2[[#This Row],[Item_Price]]</f>
        <v>137</v>
      </c>
    </row>
    <row r="3732" spans="1:23" x14ac:dyDescent="0.25">
      <c r="A3732" t="s">
        <v>3834</v>
      </c>
      <c r="B3732" s="1">
        <v>45930</v>
      </c>
      <c r="C3732" t="s">
        <v>3450</v>
      </c>
      <c r="D3732">
        <v>9</v>
      </c>
      <c r="E3732">
        <v>30</v>
      </c>
      <c r="F3732" t="s">
        <v>178</v>
      </c>
      <c r="G3732" t="s">
        <v>96</v>
      </c>
      <c r="H3732" t="s">
        <v>139</v>
      </c>
      <c r="I3732" t="s">
        <v>49</v>
      </c>
      <c r="J3732" t="s">
        <v>101</v>
      </c>
      <c r="K3732" t="s">
        <v>38</v>
      </c>
      <c r="L3732">
        <v>2</v>
      </c>
      <c r="M3732">
        <v>534</v>
      </c>
      <c r="N3732">
        <v>26.7</v>
      </c>
      <c r="O3732">
        <v>20</v>
      </c>
      <c r="P3732">
        <v>1068</v>
      </c>
      <c r="Q3732">
        <v>1061.3</v>
      </c>
      <c r="R3732" t="s">
        <v>112</v>
      </c>
      <c r="S3732" t="s">
        <v>31</v>
      </c>
      <c r="T3732" t="s">
        <v>40</v>
      </c>
      <c r="U3732">
        <v>55</v>
      </c>
      <c r="V3732">
        <v>4.9000000000000004</v>
      </c>
      <c r="W3732">
        <f>Table2[[#This Row],[Quantity]]*Table2[[#This Row],[Item_Price]]</f>
        <v>1068</v>
      </c>
    </row>
    <row r="3733" spans="1:23" x14ac:dyDescent="0.25">
      <c r="A3733" t="s">
        <v>3835</v>
      </c>
      <c r="B3733" s="1">
        <v>45930</v>
      </c>
      <c r="C3733" t="s">
        <v>3450</v>
      </c>
      <c r="D3733">
        <v>9</v>
      </c>
      <c r="E3733">
        <v>30</v>
      </c>
      <c r="F3733" t="s">
        <v>178</v>
      </c>
      <c r="G3733" t="s">
        <v>90</v>
      </c>
      <c r="H3733" t="s">
        <v>81</v>
      </c>
      <c r="I3733" t="s">
        <v>27</v>
      </c>
      <c r="J3733" t="s">
        <v>119</v>
      </c>
      <c r="K3733" t="s">
        <v>45</v>
      </c>
      <c r="L3733">
        <v>2</v>
      </c>
      <c r="M3733">
        <v>552</v>
      </c>
      <c r="N3733">
        <v>0</v>
      </c>
      <c r="O3733">
        <v>0</v>
      </c>
      <c r="P3733">
        <v>1104</v>
      </c>
      <c r="Q3733">
        <v>1104</v>
      </c>
      <c r="R3733" t="s">
        <v>98</v>
      </c>
      <c r="S3733" t="s">
        <v>31</v>
      </c>
      <c r="T3733" t="s">
        <v>32</v>
      </c>
      <c r="U3733">
        <v>22</v>
      </c>
      <c r="V3733">
        <v>3.8</v>
      </c>
      <c r="W3733">
        <f>Table2[[#This Row],[Quantity]]*Table2[[#This Row],[Item_Price]]</f>
        <v>1104</v>
      </c>
    </row>
    <row r="3734" spans="1:23" x14ac:dyDescent="0.25">
      <c r="A3734" t="s">
        <v>3836</v>
      </c>
      <c r="B3734" s="1">
        <v>45930</v>
      </c>
      <c r="C3734" t="s">
        <v>3450</v>
      </c>
      <c r="D3734">
        <v>9</v>
      </c>
      <c r="E3734">
        <v>30</v>
      </c>
      <c r="F3734" t="s">
        <v>178</v>
      </c>
      <c r="G3734" t="s">
        <v>90</v>
      </c>
      <c r="H3734" t="s">
        <v>56</v>
      </c>
      <c r="I3734" t="s">
        <v>61</v>
      </c>
      <c r="J3734" t="s">
        <v>53</v>
      </c>
      <c r="K3734" t="s">
        <v>45</v>
      </c>
      <c r="L3734">
        <v>1</v>
      </c>
      <c r="M3734">
        <v>175</v>
      </c>
      <c r="N3734">
        <v>17.5</v>
      </c>
      <c r="O3734">
        <v>20</v>
      </c>
      <c r="P3734">
        <v>175</v>
      </c>
      <c r="Q3734">
        <v>177.5</v>
      </c>
      <c r="R3734" t="s">
        <v>98</v>
      </c>
      <c r="S3734" t="s">
        <v>31</v>
      </c>
      <c r="T3734" t="s">
        <v>32</v>
      </c>
      <c r="U3734">
        <v>30</v>
      </c>
      <c r="V3734">
        <v>3.9</v>
      </c>
      <c r="W3734">
        <f>Table2[[#This Row],[Quantity]]*Table2[[#This Row],[Item_Price]]</f>
        <v>175</v>
      </c>
    </row>
    <row r="3735" spans="1:23" x14ac:dyDescent="0.25">
      <c r="A3735" t="s">
        <v>3837</v>
      </c>
      <c r="B3735" s="1">
        <v>45930</v>
      </c>
      <c r="C3735" t="s">
        <v>3450</v>
      </c>
      <c r="D3735">
        <v>9</v>
      </c>
      <c r="E3735">
        <v>30</v>
      </c>
      <c r="F3735" t="s">
        <v>178</v>
      </c>
      <c r="G3735" t="s">
        <v>64</v>
      </c>
      <c r="H3735" t="s">
        <v>48</v>
      </c>
      <c r="I3735" t="s">
        <v>36</v>
      </c>
      <c r="J3735" t="s">
        <v>172</v>
      </c>
      <c r="K3735" t="s">
        <v>38</v>
      </c>
      <c r="L3735">
        <v>2</v>
      </c>
      <c r="M3735">
        <v>557</v>
      </c>
      <c r="N3735">
        <v>0</v>
      </c>
      <c r="O3735">
        <v>40</v>
      </c>
      <c r="P3735">
        <v>1114</v>
      </c>
      <c r="Q3735">
        <v>1154</v>
      </c>
      <c r="R3735" t="s">
        <v>39</v>
      </c>
      <c r="S3735" t="s">
        <v>31</v>
      </c>
      <c r="T3735" t="s">
        <v>40</v>
      </c>
      <c r="U3735">
        <v>26</v>
      </c>
      <c r="V3735">
        <v>4.4000000000000004</v>
      </c>
      <c r="W3735">
        <f>Table2[[#This Row],[Quantity]]*Table2[[#This Row],[Item_Price]]</f>
        <v>1114</v>
      </c>
    </row>
    <row r="3736" spans="1:23" x14ac:dyDescent="0.25">
      <c r="A3736" t="s">
        <v>3838</v>
      </c>
      <c r="B3736" s="1">
        <v>45930</v>
      </c>
      <c r="C3736" t="s">
        <v>3450</v>
      </c>
      <c r="D3736">
        <v>9</v>
      </c>
      <c r="E3736">
        <v>30</v>
      </c>
      <c r="F3736" t="s">
        <v>178</v>
      </c>
      <c r="G3736" t="s">
        <v>64</v>
      </c>
      <c r="H3736" t="s">
        <v>68</v>
      </c>
      <c r="I3736" t="s">
        <v>49</v>
      </c>
      <c r="J3736" t="s">
        <v>28</v>
      </c>
      <c r="K3736" t="s">
        <v>38</v>
      </c>
      <c r="L3736">
        <v>2</v>
      </c>
      <c r="M3736">
        <v>567</v>
      </c>
      <c r="N3736">
        <v>56.7</v>
      </c>
      <c r="O3736">
        <v>40</v>
      </c>
      <c r="P3736">
        <v>1134</v>
      </c>
      <c r="Q3736">
        <v>1117.3</v>
      </c>
      <c r="R3736" t="s">
        <v>39</v>
      </c>
      <c r="S3736" t="s">
        <v>31</v>
      </c>
      <c r="T3736" t="s">
        <v>40</v>
      </c>
      <c r="U3736">
        <v>29</v>
      </c>
      <c r="V3736">
        <v>4.0999999999999996</v>
      </c>
      <c r="W3736">
        <f>Table2[[#This Row],[Quantity]]*Table2[[#This Row],[Item_Price]]</f>
        <v>1134</v>
      </c>
    </row>
    <row r="3737" spans="1:23" x14ac:dyDescent="0.25">
      <c r="A3737" t="s">
        <v>3839</v>
      </c>
      <c r="B3737" s="1">
        <v>45930</v>
      </c>
      <c r="C3737" t="s">
        <v>3450</v>
      </c>
      <c r="D3737">
        <v>9</v>
      </c>
      <c r="E3737">
        <v>30</v>
      </c>
      <c r="F3737" t="s">
        <v>178</v>
      </c>
      <c r="G3737" t="s">
        <v>90</v>
      </c>
      <c r="H3737" t="s">
        <v>65</v>
      </c>
      <c r="I3737" t="s">
        <v>97</v>
      </c>
      <c r="J3737" t="s">
        <v>50</v>
      </c>
      <c r="K3737" t="s">
        <v>38</v>
      </c>
      <c r="L3737">
        <v>3</v>
      </c>
      <c r="M3737">
        <v>407</v>
      </c>
      <c r="N3737">
        <v>61.05</v>
      </c>
      <c r="O3737">
        <v>40</v>
      </c>
      <c r="P3737">
        <v>1221</v>
      </c>
      <c r="Q3737">
        <v>1199.95</v>
      </c>
      <c r="R3737" t="s">
        <v>39</v>
      </c>
      <c r="S3737" t="s">
        <v>46</v>
      </c>
      <c r="T3737" t="s">
        <v>32</v>
      </c>
      <c r="U3737">
        <v>35</v>
      </c>
      <c r="W3737">
        <f>Table2[[#This Row],[Quantity]]*Table2[[#This Row],[Item_Price]]</f>
        <v>1221</v>
      </c>
    </row>
    <row r="3738" spans="1:23" x14ac:dyDescent="0.25">
      <c r="A3738" t="s">
        <v>3840</v>
      </c>
      <c r="B3738" s="1">
        <v>45930</v>
      </c>
      <c r="C3738" t="s">
        <v>3450</v>
      </c>
      <c r="D3738">
        <v>9</v>
      </c>
      <c r="E3738">
        <v>30</v>
      </c>
      <c r="F3738" t="s">
        <v>178</v>
      </c>
      <c r="G3738" t="s">
        <v>64</v>
      </c>
      <c r="H3738" t="s">
        <v>139</v>
      </c>
      <c r="I3738" t="s">
        <v>57</v>
      </c>
      <c r="J3738" t="s">
        <v>66</v>
      </c>
      <c r="K3738" t="s">
        <v>38</v>
      </c>
      <c r="L3738">
        <v>1</v>
      </c>
      <c r="M3738">
        <v>543</v>
      </c>
      <c r="N3738">
        <v>108.6</v>
      </c>
      <c r="O3738">
        <v>50</v>
      </c>
      <c r="P3738">
        <v>543</v>
      </c>
      <c r="Q3738">
        <v>484.4</v>
      </c>
      <c r="R3738" t="s">
        <v>30</v>
      </c>
      <c r="S3738" t="s">
        <v>31</v>
      </c>
      <c r="T3738" t="s">
        <v>40</v>
      </c>
      <c r="U3738">
        <v>46</v>
      </c>
      <c r="V3738">
        <v>3.7</v>
      </c>
      <c r="W3738">
        <f>Table2[[#This Row],[Quantity]]*Table2[[#This Row],[Item_Price]]</f>
        <v>543</v>
      </c>
    </row>
    <row r="3739" spans="1:23" x14ac:dyDescent="0.25">
      <c r="A3739" t="s">
        <v>3841</v>
      </c>
      <c r="B3739" s="1">
        <v>45930</v>
      </c>
      <c r="C3739" t="s">
        <v>3450</v>
      </c>
      <c r="D3739">
        <v>9</v>
      </c>
      <c r="E3739">
        <v>30</v>
      </c>
      <c r="F3739" t="s">
        <v>178</v>
      </c>
      <c r="G3739" t="s">
        <v>90</v>
      </c>
      <c r="H3739" t="s">
        <v>105</v>
      </c>
      <c r="I3739" t="s">
        <v>27</v>
      </c>
      <c r="J3739" t="s">
        <v>28</v>
      </c>
      <c r="K3739" t="s">
        <v>38</v>
      </c>
      <c r="L3739">
        <v>1</v>
      </c>
      <c r="M3739">
        <v>323</v>
      </c>
      <c r="N3739">
        <v>48.45</v>
      </c>
      <c r="O3739">
        <v>30</v>
      </c>
      <c r="P3739">
        <v>323</v>
      </c>
      <c r="Q3739">
        <v>304.55</v>
      </c>
      <c r="R3739" t="s">
        <v>39</v>
      </c>
      <c r="S3739" t="s">
        <v>31</v>
      </c>
      <c r="T3739" t="s">
        <v>40</v>
      </c>
      <c r="U3739">
        <v>21</v>
      </c>
      <c r="V3739">
        <v>3.9</v>
      </c>
      <c r="W3739">
        <f>Table2[[#This Row],[Quantity]]*Table2[[#This Row],[Item_Price]]</f>
        <v>323</v>
      </c>
    </row>
    <row r="3740" spans="1:23" x14ac:dyDescent="0.25">
      <c r="A3740" t="s">
        <v>3842</v>
      </c>
      <c r="B3740" s="1">
        <v>45930</v>
      </c>
      <c r="C3740" t="s">
        <v>3450</v>
      </c>
      <c r="D3740">
        <v>9</v>
      </c>
      <c r="E3740">
        <v>30</v>
      </c>
      <c r="F3740" t="s">
        <v>178</v>
      </c>
      <c r="G3740" t="s">
        <v>73</v>
      </c>
      <c r="H3740" t="s">
        <v>65</v>
      </c>
      <c r="I3740" t="s">
        <v>49</v>
      </c>
      <c r="J3740" t="s">
        <v>74</v>
      </c>
      <c r="K3740" t="s">
        <v>38</v>
      </c>
      <c r="L3740">
        <v>1</v>
      </c>
      <c r="M3740">
        <v>340</v>
      </c>
      <c r="N3740">
        <v>85</v>
      </c>
      <c r="O3740">
        <v>20</v>
      </c>
      <c r="P3740">
        <v>340</v>
      </c>
      <c r="Q3740">
        <v>275</v>
      </c>
      <c r="R3740" t="s">
        <v>39</v>
      </c>
      <c r="S3740" t="s">
        <v>31</v>
      </c>
      <c r="T3740" t="s">
        <v>40</v>
      </c>
      <c r="U3740">
        <v>47</v>
      </c>
      <c r="V3740">
        <v>4.5999999999999996</v>
      </c>
      <c r="W3740">
        <f>Table2[[#This Row],[Quantity]]*Table2[[#This Row],[Item_Price]]</f>
        <v>340</v>
      </c>
    </row>
    <row r="3741" spans="1:23" x14ac:dyDescent="0.25">
      <c r="A3741" t="s">
        <v>3843</v>
      </c>
      <c r="B3741" s="1">
        <v>45930</v>
      </c>
      <c r="C3741" t="s">
        <v>3450</v>
      </c>
      <c r="D3741">
        <v>9</v>
      </c>
      <c r="E3741">
        <v>30</v>
      </c>
      <c r="F3741" t="s">
        <v>178</v>
      </c>
      <c r="G3741" t="s">
        <v>80</v>
      </c>
      <c r="H3741" t="s">
        <v>81</v>
      </c>
      <c r="I3741" t="s">
        <v>85</v>
      </c>
      <c r="J3741" t="s">
        <v>119</v>
      </c>
      <c r="K3741" t="s">
        <v>38</v>
      </c>
      <c r="L3741">
        <v>3</v>
      </c>
      <c r="M3741">
        <v>880</v>
      </c>
      <c r="N3741">
        <v>220</v>
      </c>
      <c r="O3741">
        <v>30</v>
      </c>
      <c r="P3741">
        <v>2640</v>
      </c>
      <c r="Q3741">
        <v>2450</v>
      </c>
      <c r="R3741" t="s">
        <v>30</v>
      </c>
      <c r="S3741" t="s">
        <v>31</v>
      </c>
      <c r="T3741" t="s">
        <v>32</v>
      </c>
      <c r="U3741">
        <v>70</v>
      </c>
      <c r="V3741">
        <v>3.7</v>
      </c>
      <c r="W3741">
        <f>Table2[[#This Row],[Quantity]]*Table2[[#This Row],[Item_Price]]</f>
        <v>2640</v>
      </c>
    </row>
    <row r="3742" spans="1:23" x14ac:dyDescent="0.25">
      <c r="A3742" t="s">
        <v>3844</v>
      </c>
      <c r="B3742" s="1">
        <v>45930</v>
      </c>
      <c r="C3742" t="s">
        <v>3450</v>
      </c>
      <c r="D3742">
        <v>9</v>
      </c>
      <c r="E3742">
        <v>30</v>
      </c>
      <c r="F3742" t="s">
        <v>178</v>
      </c>
      <c r="G3742" t="s">
        <v>115</v>
      </c>
      <c r="H3742" t="s">
        <v>42</v>
      </c>
      <c r="I3742" t="s">
        <v>57</v>
      </c>
      <c r="J3742" t="s">
        <v>37</v>
      </c>
      <c r="K3742" t="s">
        <v>45</v>
      </c>
      <c r="L3742">
        <v>1</v>
      </c>
      <c r="M3742">
        <v>247</v>
      </c>
      <c r="N3742">
        <v>37.049999999999997</v>
      </c>
      <c r="O3742">
        <v>70</v>
      </c>
      <c r="P3742">
        <v>247</v>
      </c>
      <c r="Q3742">
        <v>279.95</v>
      </c>
      <c r="R3742" t="s">
        <v>39</v>
      </c>
      <c r="S3742" t="s">
        <v>31</v>
      </c>
      <c r="T3742" t="s">
        <v>40</v>
      </c>
      <c r="U3742">
        <v>38</v>
      </c>
      <c r="V3742">
        <v>4.0999999999999996</v>
      </c>
      <c r="W3742">
        <f>Table2[[#This Row],[Quantity]]*Table2[[#This Row],[Item_Price]]</f>
        <v>247</v>
      </c>
    </row>
    <row r="3743" spans="1:23" x14ac:dyDescent="0.25">
      <c r="A3743" t="s">
        <v>3845</v>
      </c>
      <c r="B3743" s="1">
        <v>45931</v>
      </c>
      <c r="C3743" t="s">
        <v>3846</v>
      </c>
      <c r="D3743">
        <v>10</v>
      </c>
      <c r="E3743">
        <v>1</v>
      </c>
      <c r="F3743" t="s">
        <v>24</v>
      </c>
      <c r="G3743" t="s">
        <v>25</v>
      </c>
      <c r="H3743" t="s">
        <v>105</v>
      </c>
      <c r="I3743" t="s">
        <v>43</v>
      </c>
      <c r="J3743" t="s">
        <v>28</v>
      </c>
      <c r="K3743" t="s">
        <v>38</v>
      </c>
      <c r="L3743">
        <v>1</v>
      </c>
      <c r="M3743">
        <v>595</v>
      </c>
      <c r="N3743">
        <v>29.75</v>
      </c>
      <c r="O3743">
        <v>0</v>
      </c>
      <c r="P3743">
        <v>595</v>
      </c>
      <c r="Q3743">
        <v>565.25</v>
      </c>
      <c r="R3743" t="s">
        <v>39</v>
      </c>
      <c r="S3743" t="s">
        <v>31</v>
      </c>
      <c r="T3743" t="s">
        <v>32</v>
      </c>
      <c r="U3743">
        <v>30</v>
      </c>
      <c r="V3743">
        <v>4.4000000000000004</v>
      </c>
      <c r="W3743">
        <f>Table2[[#This Row],[Quantity]]*Table2[[#This Row],[Item_Price]]</f>
        <v>595</v>
      </c>
    </row>
    <row r="3744" spans="1:23" x14ac:dyDescent="0.25">
      <c r="A3744" t="s">
        <v>3847</v>
      </c>
      <c r="B3744" s="1">
        <v>45931</v>
      </c>
      <c r="C3744" t="s">
        <v>3846</v>
      </c>
      <c r="D3744">
        <v>10</v>
      </c>
      <c r="E3744">
        <v>1</v>
      </c>
      <c r="F3744" t="s">
        <v>24</v>
      </c>
      <c r="G3744" t="s">
        <v>73</v>
      </c>
      <c r="H3744" t="s">
        <v>139</v>
      </c>
      <c r="I3744" t="s">
        <v>36</v>
      </c>
      <c r="J3744" t="s">
        <v>50</v>
      </c>
      <c r="K3744" t="s">
        <v>38</v>
      </c>
      <c r="L3744">
        <v>1</v>
      </c>
      <c r="M3744">
        <v>274</v>
      </c>
      <c r="N3744">
        <v>13.7</v>
      </c>
      <c r="O3744">
        <v>50</v>
      </c>
      <c r="P3744">
        <v>274</v>
      </c>
      <c r="Q3744">
        <v>310.3</v>
      </c>
      <c r="R3744" t="s">
        <v>30</v>
      </c>
      <c r="S3744" t="s">
        <v>31</v>
      </c>
      <c r="T3744" t="s">
        <v>32</v>
      </c>
      <c r="U3744">
        <v>24</v>
      </c>
      <c r="V3744">
        <v>3.5</v>
      </c>
      <c r="W3744">
        <f>Table2[[#This Row],[Quantity]]*Table2[[#This Row],[Item_Price]]</f>
        <v>274</v>
      </c>
    </row>
    <row r="3745" spans="1:23" x14ac:dyDescent="0.25">
      <c r="A3745" t="s">
        <v>3848</v>
      </c>
      <c r="B3745" s="1">
        <v>45931</v>
      </c>
      <c r="C3745" t="s">
        <v>3846</v>
      </c>
      <c r="D3745">
        <v>10</v>
      </c>
      <c r="E3745">
        <v>1</v>
      </c>
      <c r="F3745" t="s">
        <v>24</v>
      </c>
      <c r="G3745" t="s">
        <v>64</v>
      </c>
      <c r="H3745" t="s">
        <v>139</v>
      </c>
      <c r="I3745" t="s">
        <v>43</v>
      </c>
      <c r="J3745" t="s">
        <v>74</v>
      </c>
      <c r="K3745" t="s">
        <v>58</v>
      </c>
      <c r="L3745">
        <v>2</v>
      </c>
      <c r="M3745">
        <v>879</v>
      </c>
      <c r="N3745">
        <v>175.8</v>
      </c>
      <c r="O3745">
        <v>0</v>
      </c>
      <c r="P3745">
        <v>1758</v>
      </c>
      <c r="Q3745">
        <v>1582.2</v>
      </c>
      <c r="R3745" t="s">
        <v>75</v>
      </c>
      <c r="S3745" t="s">
        <v>31</v>
      </c>
      <c r="T3745" t="s">
        <v>40</v>
      </c>
      <c r="U3745">
        <v>38</v>
      </c>
      <c r="V3745">
        <v>4.2</v>
      </c>
      <c r="W3745">
        <f>Table2[[#This Row],[Quantity]]*Table2[[#This Row],[Item_Price]]</f>
        <v>1758</v>
      </c>
    </row>
    <row r="3746" spans="1:23" x14ac:dyDescent="0.25">
      <c r="A3746" t="s">
        <v>3849</v>
      </c>
      <c r="B3746" s="1">
        <v>45931</v>
      </c>
      <c r="C3746" t="s">
        <v>3846</v>
      </c>
      <c r="D3746">
        <v>10</v>
      </c>
      <c r="E3746">
        <v>1</v>
      </c>
      <c r="F3746" t="s">
        <v>24</v>
      </c>
      <c r="G3746" t="s">
        <v>115</v>
      </c>
      <c r="H3746" t="s">
        <v>48</v>
      </c>
      <c r="I3746" t="s">
        <v>103</v>
      </c>
      <c r="J3746" t="s">
        <v>44</v>
      </c>
      <c r="K3746" t="s">
        <v>45</v>
      </c>
      <c r="L3746">
        <v>2</v>
      </c>
      <c r="M3746">
        <v>718</v>
      </c>
      <c r="N3746">
        <v>107.7</v>
      </c>
      <c r="O3746">
        <v>0</v>
      </c>
      <c r="P3746">
        <v>1436</v>
      </c>
      <c r="Q3746">
        <v>1328.3</v>
      </c>
      <c r="R3746" t="s">
        <v>98</v>
      </c>
      <c r="S3746" t="s">
        <v>91</v>
      </c>
      <c r="T3746" t="s">
        <v>40</v>
      </c>
      <c r="U3746">
        <v>69</v>
      </c>
      <c r="W3746">
        <f>Table2[[#This Row],[Quantity]]*Table2[[#This Row],[Item_Price]]</f>
        <v>1436</v>
      </c>
    </row>
    <row r="3747" spans="1:23" x14ac:dyDescent="0.25">
      <c r="A3747" t="s">
        <v>3850</v>
      </c>
      <c r="B3747" s="1">
        <v>45931</v>
      </c>
      <c r="C3747" t="s">
        <v>3846</v>
      </c>
      <c r="D3747">
        <v>10</v>
      </c>
      <c r="E3747">
        <v>1</v>
      </c>
      <c r="F3747" t="s">
        <v>24</v>
      </c>
      <c r="G3747" t="s">
        <v>84</v>
      </c>
      <c r="H3747" t="s">
        <v>35</v>
      </c>
      <c r="I3747" t="s">
        <v>103</v>
      </c>
      <c r="J3747" t="s">
        <v>37</v>
      </c>
      <c r="K3747" t="s">
        <v>38</v>
      </c>
      <c r="L3747">
        <v>2</v>
      </c>
      <c r="M3747">
        <v>538</v>
      </c>
      <c r="N3747">
        <v>107.6</v>
      </c>
      <c r="O3747">
        <v>30</v>
      </c>
      <c r="P3747">
        <v>1076</v>
      </c>
      <c r="Q3747">
        <v>998.4</v>
      </c>
      <c r="R3747" t="s">
        <v>39</v>
      </c>
      <c r="S3747" t="s">
        <v>31</v>
      </c>
      <c r="T3747" t="s">
        <v>32</v>
      </c>
      <c r="U3747">
        <v>48</v>
      </c>
      <c r="V3747">
        <v>3.6</v>
      </c>
      <c r="W3747">
        <f>Table2[[#This Row],[Quantity]]*Table2[[#This Row],[Item_Price]]</f>
        <v>1076</v>
      </c>
    </row>
    <row r="3748" spans="1:23" x14ac:dyDescent="0.25">
      <c r="A3748" t="s">
        <v>3851</v>
      </c>
      <c r="B3748" s="1">
        <v>45931</v>
      </c>
      <c r="C3748" t="s">
        <v>3846</v>
      </c>
      <c r="D3748">
        <v>10</v>
      </c>
      <c r="E3748">
        <v>1</v>
      </c>
      <c r="F3748" t="s">
        <v>24</v>
      </c>
      <c r="G3748" t="s">
        <v>90</v>
      </c>
      <c r="H3748" t="s">
        <v>81</v>
      </c>
      <c r="I3748" t="s">
        <v>36</v>
      </c>
      <c r="J3748" t="s">
        <v>78</v>
      </c>
      <c r="K3748" t="s">
        <v>38</v>
      </c>
      <c r="L3748">
        <v>2</v>
      </c>
      <c r="M3748">
        <v>219</v>
      </c>
      <c r="N3748">
        <v>54.75</v>
      </c>
      <c r="O3748">
        <v>30</v>
      </c>
      <c r="P3748">
        <v>438</v>
      </c>
      <c r="Q3748">
        <v>413.25</v>
      </c>
      <c r="R3748" t="s">
        <v>30</v>
      </c>
      <c r="S3748" t="s">
        <v>31</v>
      </c>
      <c r="T3748" t="s">
        <v>40</v>
      </c>
      <c r="U3748">
        <v>35</v>
      </c>
      <c r="V3748">
        <v>3.2</v>
      </c>
      <c r="W3748">
        <f>Table2[[#This Row],[Quantity]]*Table2[[#This Row],[Item_Price]]</f>
        <v>438</v>
      </c>
    </row>
    <row r="3749" spans="1:23" x14ac:dyDescent="0.25">
      <c r="A3749" t="s">
        <v>3852</v>
      </c>
      <c r="B3749" s="1">
        <v>45931</v>
      </c>
      <c r="C3749" t="s">
        <v>3846</v>
      </c>
      <c r="D3749">
        <v>10</v>
      </c>
      <c r="E3749">
        <v>1</v>
      </c>
      <c r="F3749" t="s">
        <v>24</v>
      </c>
      <c r="G3749" t="s">
        <v>34</v>
      </c>
      <c r="H3749" t="s">
        <v>65</v>
      </c>
      <c r="I3749" t="s">
        <v>85</v>
      </c>
      <c r="J3749" t="s">
        <v>37</v>
      </c>
      <c r="K3749" t="s">
        <v>38</v>
      </c>
      <c r="L3749">
        <v>1</v>
      </c>
      <c r="M3749">
        <v>572</v>
      </c>
      <c r="N3749">
        <v>85.8</v>
      </c>
      <c r="O3749">
        <v>60</v>
      </c>
      <c r="P3749">
        <v>572</v>
      </c>
      <c r="Q3749">
        <v>546.20000000000005</v>
      </c>
      <c r="R3749" t="s">
        <v>75</v>
      </c>
      <c r="S3749" t="s">
        <v>31</v>
      </c>
      <c r="T3749" t="s">
        <v>32</v>
      </c>
      <c r="U3749">
        <v>44</v>
      </c>
      <c r="V3749">
        <v>3.5</v>
      </c>
      <c r="W3749">
        <f>Table2[[#This Row],[Quantity]]*Table2[[#This Row],[Item_Price]]</f>
        <v>572</v>
      </c>
    </row>
    <row r="3750" spans="1:23" x14ac:dyDescent="0.25">
      <c r="A3750" t="s">
        <v>3853</v>
      </c>
      <c r="B3750" s="1">
        <v>45931</v>
      </c>
      <c r="C3750" t="s">
        <v>3846</v>
      </c>
      <c r="D3750">
        <v>10</v>
      </c>
      <c r="E3750">
        <v>1</v>
      </c>
      <c r="F3750" t="s">
        <v>24</v>
      </c>
      <c r="G3750" t="s">
        <v>80</v>
      </c>
      <c r="H3750" t="s">
        <v>56</v>
      </c>
      <c r="I3750" t="s">
        <v>49</v>
      </c>
      <c r="J3750" t="s">
        <v>119</v>
      </c>
      <c r="K3750" t="s">
        <v>38</v>
      </c>
      <c r="L3750">
        <v>1</v>
      </c>
      <c r="M3750">
        <v>850</v>
      </c>
      <c r="N3750">
        <v>42.5</v>
      </c>
      <c r="O3750">
        <v>50</v>
      </c>
      <c r="P3750">
        <v>850</v>
      </c>
      <c r="Q3750">
        <v>857.5</v>
      </c>
      <c r="R3750" t="s">
        <v>98</v>
      </c>
      <c r="S3750" t="s">
        <v>31</v>
      </c>
      <c r="T3750" t="s">
        <v>40</v>
      </c>
      <c r="U3750">
        <v>59</v>
      </c>
      <c r="V3750">
        <v>4.8</v>
      </c>
      <c r="W3750">
        <f>Table2[[#This Row],[Quantity]]*Table2[[#This Row],[Item_Price]]</f>
        <v>850</v>
      </c>
    </row>
    <row r="3751" spans="1:23" x14ac:dyDescent="0.25">
      <c r="A3751" t="s">
        <v>3854</v>
      </c>
      <c r="B3751" s="1">
        <v>45931</v>
      </c>
      <c r="C3751" t="s">
        <v>3846</v>
      </c>
      <c r="D3751">
        <v>10</v>
      </c>
      <c r="E3751">
        <v>1</v>
      </c>
      <c r="F3751" t="s">
        <v>24</v>
      </c>
      <c r="G3751" t="s">
        <v>25</v>
      </c>
      <c r="H3751" t="s">
        <v>56</v>
      </c>
      <c r="I3751" t="s">
        <v>97</v>
      </c>
      <c r="J3751" t="s">
        <v>44</v>
      </c>
      <c r="K3751" t="s">
        <v>38</v>
      </c>
      <c r="L3751">
        <v>1</v>
      </c>
      <c r="M3751">
        <v>734</v>
      </c>
      <c r="N3751">
        <v>0</v>
      </c>
      <c r="O3751">
        <v>30</v>
      </c>
      <c r="P3751">
        <v>734</v>
      </c>
      <c r="Q3751">
        <v>764</v>
      </c>
      <c r="R3751" t="s">
        <v>98</v>
      </c>
      <c r="S3751" t="s">
        <v>46</v>
      </c>
      <c r="T3751" t="s">
        <v>32</v>
      </c>
      <c r="U3751">
        <v>45</v>
      </c>
      <c r="W3751">
        <f>Table2[[#This Row],[Quantity]]*Table2[[#This Row],[Item_Price]]</f>
        <v>734</v>
      </c>
    </row>
    <row r="3752" spans="1:23" x14ac:dyDescent="0.25">
      <c r="A3752" t="s">
        <v>3855</v>
      </c>
      <c r="B3752" s="1">
        <v>45931</v>
      </c>
      <c r="C3752" t="s">
        <v>3846</v>
      </c>
      <c r="D3752">
        <v>10</v>
      </c>
      <c r="E3752">
        <v>1</v>
      </c>
      <c r="F3752" t="s">
        <v>24</v>
      </c>
      <c r="G3752" t="s">
        <v>115</v>
      </c>
      <c r="H3752" t="s">
        <v>48</v>
      </c>
      <c r="I3752" t="s">
        <v>61</v>
      </c>
      <c r="J3752" t="s">
        <v>50</v>
      </c>
      <c r="K3752" t="s">
        <v>45</v>
      </c>
      <c r="L3752">
        <v>3</v>
      </c>
      <c r="M3752">
        <v>776</v>
      </c>
      <c r="N3752">
        <v>116.4</v>
      </c>
      <c r="O3752">
        <v>60</v>
      </c>
      <c r="P3752">
        <v>2328</v>
      </c>
      <c r="Q3752">
        <v>2271.6</v>
      </c>
      <c r="R3752" t="s">
        <v>75</v>
      </c>
      <c r="S3752" t="s">
        <v>110</v>
      </c>
      <c r="T3752" t="s">
        <v>40</v>
      </c>
      <c r="U3752">
        <v>51</v>
      </c>
      <c r="W3752">
        <f>Table2[[#This Row],[Quantity]]*Table2[[#This Row],[Item_Price]]</f>
        <v>2328</v>
      </c>
    </row>
    <row r="3753" spans="1:23" x14ac:dyDescent="0.25">
      <c r="A3753" t="s">
        <v>3856</v>
      </c>
      <c r="B3753" s="1">
        <v>45932</v>
      </c>
      <c r="C3753" t="s">
        <v>3846</v>
      </c>
      <c r="D3753">
        <v>10</v>
      </c>
      <c r="E3753">
        <v>2</v>
      </c>
      <c r="F3753" t="s">
        <v>88</v>
      </c>
      <c r="G3753" t="s">
        <v>34</v>
      </c>
      <c r="H3753" t="s">
        <v>65</v>
      </c>
      <c r="I3753" t="s">
        <v>57</v>
      </c>
      <c r="J3753" t="s">
        <v>82</v>
      </c>
      <c r="K3753" t="s">
        <v>38</v>
      </c>
      <c r="L3753">
        <v>2</v>
      </c>
      <c r="M3753">
        <v>553</v>
      </c>
      <c r="N3753">
        <v>0</v>
      </c>
      <c r="O3753">
        <v>30</v>
      </c>
      <c r="P3753">
        <v>1106</v>
      </c>
      <c r="Q3753">
        <v>1136</v>
      </c>
      <c r="R3753" t="s">
        <v>39</v>
      </c>
      <c r="S3753" t="s">
        <v>31</v>
      </c>
      <c r="T3753" t="s">
        <v>32</v>
      </c>
      <c r="U3753">
        <v>67</v>
      </c>
      <c r="V3753">
        <v>4.0999999999999996</v>
      </c>
      <c r="W3753">
        <f>Table2[[#This Row],[Quantity]]*Table2[[#This Row],[Item_Price]]</f>
        <v>1106</v>
      </c>
    </row>
    <row r="3754" spans="1:23" x14ac:dyDescent="0.25">
      <c r="A3754" t="s">
        <v>3857</v>
      </c>
      <c r="B3754" s="1">
        <v>45932</v>
      </c>
      <c r="C3754" t="s">
        <v>3846</v>
      </c>
      <c r="D3754">
        <v>10</v>
      </c>
      <c r="E3754">
        <v>2</v>
      </c>
      <c r="F3754" t="s">
        <v>88</v>
      </c>
      <c r="G3754" t="s">
        <v>80</v>
      </c>
      <c r="H3754" t="s">
        <v>52</v>
      </c>
      <c r="I3754" t="s">
        <v>36</v>
      </c>
      <c r="J3754" t="s">
        <v>62</v>
      </c>
      <c r="K3754" t="s">
        <v>38</v>
      </c>
      <c r="L3754">
        <v>1</v>
      </c>
      <c r="M3754">
        <v>528</v>
      </c>
      <c r="N3754">
        <v>105.6</v>
      </c>
      <c r="O3754">
        <v>40</v>
      </c>
      <c r="P3754">
        <v>528</v>
      </c>
      <c r="Q3754">
        <v>462.4</v>
      </c>
      <c r="R3754" t="s">
        <v>112</v>
      </c>
      <c r="S3754" t="s">
        <v>91</v>
      </c>
      <c r="T3754" t="s">
        <v>40</v>
      </c>
      <c r="U3754">
        <v>25</v>
      </c>
      <c r="W3754">
        <f>Table2[[#This Row],[Quantity]]*Table2[[#This Row],[Item_Price]]</f>
        <v>528</v>
      </c>
    </row>
    <row r="3755" spans="1:23" x14ac:dyDescent="0.25">
      <c r="A3755" t="s">
        <v>3858</v>
      </c>
      <c r="B3755" s="1">
        <v>45932</v>
      </c>
      <c r="C3755" t="s">
        <v>3846</v>
      </c>
      <c r="D3755">
        <v>10</v>
      </c>
      <c r="E3755">
        <v>2</v>
      </c>
      <c r="F3755" t="s">
        <v>88</v>
      </c>
      <c r="G3755" t="s">
        <v>64</v>
      </c>
      <c r="H3755" t="s">
        <v>56</v>
      </c>
      <c r="I3755" t="s">
        <v>49</v>
      </c>
      <c r="J3755" t="s">
        <v>62</v>
      </c>
      <c r="K3755" t="s">
        <v>45</v>
      </c>
      <c r="L3755">
        <v>1</v>
      </c>
      <c r="M3755">
        <v>380</v>
      </c>
      <c r="N3755">
        <v>95</v>
      </c>
      <c r="O3755">
        <v>30</v>
      </c>
      <c r="P3755">
        <v>380</v>
      </c>
      <c r="Q3755">
        <v>315</v>
      </c>
      <c r="R3755" t="s">
        <v>39</v>
      </c>
      <c r="S3755" t="s">
        <v>46</v>
      </c>
      <c r="T3755" t="s">
        <v>32</v>
      </c>
      <c r="U3755">
        <v>32</v>
      </c>
      <c r="W3755">
        <f>Table2[[#This Row],[Quantity]]*Table2[[#This Row],[Item_Price]]</f>
        <v>380</v>
      </c>
    </row>
    <row r="3756" spans="1:23" x14ac:dyDescent="0.25">
      <c r="A3756" t="s">
        <v>3859</v>
      </c>
      <c r="B3756" s="1">
        <v>45932</v>
      </c>
      <c r="C3756" t="s">
        <v>3846</v>
      </c>
      <c r="D3756">
        <v>10</v>
      </c>
      <c r="E3756">
        <v>2</v>
      </c>
      <c r="F3756" t="s">
        <v>88</v>
      </c>
      <c r="G3756" t="s">
        <v>64</v>
      </c>
      <c r="H3756" t="s">
        <v>77</v>
      </c>
      <c r="I3756" t="s">
        <v>69</v>
      </c>
      <c r="J3756" t="s">
        <v>66</v>
      </c>
      <c r="K3756" t="s">
        <v>45</v>
      </c>
      <c r="L3756">
        <v>2</v>
      </c>
      <c r="M3756">
        <v>298</v>
      </c>
      <c r="N3756">
        <v>0</v>
      </c>
      <c r="O3756">
        <v>30</v>
      </c>
      <c r="P3756">
        <v>596</v>
      </c>
      <c r="Q3756">
        <v>626</v>
      </c>
      <c r="R3756" t="s">
        <v>75</v>
      </c>
      <c r="S3756" t="s">
        <v>31</v>
      </c>
      <c r="T3756" t="s">
        <v>40</v>
      </c>
      <c r="U3756">
        <v>21</v>
      </c>
      <c r="V3756">
        <v>4</v>
      </c>
      <c r="W3756">
        <f>Table2[[#This Row],[Quantity]]*Table2[[#This Row],[Item_Price]]</f>
        <v>596</v>
      </c>
    </row>
    <row r="3757" spans="1:23" x14ac:dyDescent="0.25">
      <c r="A3757" t="s">
        <v>3860</v>
      </c>
      <c r="B3757" s="1">
        <v>45932</v>
      </c>
      <c r="C3757" t="s">
        <v>3846</v>
      </c>
      <c r="D3757">
        <v>10</v>
      </c>
      <c r="E3757">
        <v>2</v>
      </c>
      <c r="F3757" t="s">
        <v>88</v>
      </c>
      <c r="G3757" t="s">
        <v>34</v>
      </c>
      <c r="H3757" t="s">
        <v>105</v>
      </c>
      <c r="I3757" t="s">
        <v>27</v>
      </c>
      <c r="J3757" t="s">
        <v>44</v>
      </c>
      <c r="K3757" t="s">
        <v>45</v>
      </c>
      <c r="L3757">
        <v>2</v>
      </c>
      <c r="M3757">
        <v>579</v>
      </c>
      <c r="N3757">
        <v>28.95</v>
      </c>
      <c r="O3757">
        <v>50</v>
      </c>
      <c r="P3757">
        <v>1158</v>
      </c>
      <c r="Q3757">
        <v>1179.05</v>
      </c>
      <c r="R3757" t="s">
        <v>112</v>
      </c>
      <c r="S3757" t="s">
        <v>110</v>
      </c>
      <c r="T3757" t="s">
        <v>40</v>
      </c>
      <c r="U3757">
        <v>52</v>
      </c>
      <c r="W3757">
        <f>Table2[[#This Row],[Quantity]]*Table2[[#This Row],[Item_Price]]</f>
        <v>1158</v>
      </c>
    </row>
    <row r="3758" spans="1:23" x14ac:dyDescent="0.25">
      <c r="A3758" t="s">
        <v>3861</v>
      </c>
      <c r="B3758" s="1">
        <v>45932</v>
      </c>
      <c r="C3758" t="s">
        <v>3846</v>
      </c>
      <c r="D3758">
        <v>10</v>
      </c>
      <c r="E3758">
        <v>2</v>
      </c>
      <c r="F3758" t="s">
        <v>88</v>
      </c>
      <c r="G3758" t="s">
        <v>84</v>
      </c>
      <c r="H3758" t="s">
        <v>105</v>
      </c>
      <c r="I3758" t="s">
        <v>85</v>
      </c>
      <c r="J3758" t="s">
        <v>50</v>
      </c>
      <c r="K3758" t="s">
        <v>58</v>
      </c>
      <c r="L3758">
        <v>2</v>
      </c>
      <c r="M3758">
        <v>703</v>
      </c>
      <c r="N3758">
        <v>140.6</v>
      </c>
      <c r="O3758">
        <v>30</v>
      </c>
      <c r="P3758">
        <v>1406</v>
      </c>
      <c r="Q3758">
        <v>1295.4000000000001</v>
      </c>
      <c r="R3758" t="s">
        <v>30</v>
      </c>
      <c r="S3758" t="s">
        <v>31</v>
      </c>
      <c r="T3758" t="s">
        <v>32</v>
      </c>
      <c r="U3758">
        <v>43</v>
      </c>
      <c r="V3758">
        <v>4</v>
      </c>
      <c r="W3758">
        <f>Table2[[#This Row],[Quantity]]*Table2[[#This Row],[Item_Price]]</f>
        <v>1406</v>
      </c>
    </row>
    <row r="3759" spans="1:23" x14ac:dyDescent="0.25">
      <c r="A3759" t="s">
        <v>3862</v>
      </c>
      <c r="B3759" s="1">
        <v>45932</v>
      </c>
      <c r="C3759" t="s">
        <v>3846</v>
      </c>
      <c r="D3759">
        <v>10</v>
      </c>
      <c r="E3759">
        <v>2</v>
      </c>
      <c r="F3759" t="s">
        <v>88</v>
      </c>
      <c r="G3759" t="s">
        <v>80</v>
      </c>
      <c r="H3759" t="s">
        <v>56</v>
      </c>
      <c r="I3759" t="s">
        <v>97</v>
      </c>
      <c r="J3759" t="s">
        <v>101</v>
      </c>
      <c r="K3759" t="s">
        <v>38</v>
      </c>
      <c r="L3759">
        <v>2</v>
      </c>
      <c r="M3759">
        <v>347</v>
      </c>
      <c r="N3759">
        <v>52.05</v>
      </c>
      <c r="O3759">
        <v>0</v>
      </c>
      <c r="P3759">
        <v>694</v>
      </c>
      <c r="Q3759">
        <v>641.95000000000005</v>
      </c>
      <c r="R3759" t="s">
        <v>39</v>
      </c>
      <c r="S3759" t="s">
        <v>31</v>
      </c>
      <c r="T3759" t="s">
        <v>40</v>
      </c>
      <c r="U3759">
        <v>66</v>
      </c>
      <c r="V3759">
        <v>4.3</v>
      </c>
      <c r="W3759">
        <f>Table2[[#This Row],[Quantity]]*Table2[[#This Row],[Item_Price]]</f>
        <v>694</v>
      </c>
    </row>
    <row r="3760" spans="1:23" x14ac:dyDescent="0.25">
      <c r="A3760" t="s">
        <v>3863</v>
      </c>
      <c r="B3760" s="1">
        <v>45932</v>
      </c>
      <c r="C3760" t="s">
        <v>3846</v>
      </c>
      <c r="D3760">
        <v>10</v>
      </c>
      <c r="E3760">
        <v>2</v>
      </c>
      <c r="F3760" t="s">
        <v>88</v>
      </c>
      <c r="G3760" t="s">
        <v>80</v>
      </c>
      <c r="H3760" t="s">
        <v>26</v>
      </c>
      <c r="I3760" t="s">
        <v>27</v>
      </c>
      <c r="J3760" t="s">
        <v>62</v>
      </c>
      <c r="K3760" t="s">
        <v>45</v>
      </c>
      <c r="L3760">
        <v>2</v>
      </c>
      <c r="M3760">
        <v>287</v>
      </c>
      <c r="N3760">
        <v>0</v>
      </c>
      <c r="O3760">
        <v>50</v>
      </c>
      <c r="P3760">
        <v>574</v>
      </c>
      <c r="Q3760">
        <v>624</v>
      </c>
      <c r="R3760" t="s">
        <v>112</v>
      </c>
      <c r="S3760" t="s">
        <v>31</v>
      </c>
      <c r="T3760" t="s">
        <v>32</v>
      </c>
      <c r="U3760">
        <v>57</v>
      </c>
      <c r="V3760">
        <v>5</v>
      </c>
      <c r="W3760">
        <f>Table2[[#This Row],[Quantity]]*Table2[[#This Row],[Item_Price]]</f>
        <v>574</v>
      </c>
    </row>
    <row r="3761" spans="1:23" x14ac:dyDescent="0.25">
      <c r="A3761" t="s">
        <v>3864</v>
      </c>
      <c r="B3761" s="1">
        <v>45932</v>
      </c>
      <c r="C3761" t="s">
        <v>3846</v>
      </c>
      <c r="D3761">
        <v>10</v>
      </c>
      <c r="E3761">
        <v>2</v>
      </c>
      <c r="F3761" t="s">
        <v>88</v>
      </c>
      <c r="G3761" t="s">
        <v>90</v>
      </c>
      <c r="H3761" t="s">
        <v>77</v>
      </c>
      <c r="I3761" t="s">
        <v>61</v>
      </c>
      <c r="J3761" t="s">
        <v>66</v>
      </c>
      <c r="K3761" t="s">
        <v>38</v>
      </c>
      <c r="L3761">
        <v>1</v>
      </c>
      <c r="M3761">
        <v>440</v>
      </c>
      <c r="N3761">
        <v>0</v>
      </c>
      <c r="O3761">
        <v>30</v>
      </c>
      <c r="P3761">
        <v>440</v>
      </c>
      <c r="Q3761">
        <v>470</v>
      </c>
      <c r="R3761" t="s">
        <v>30</v>
      </c>
      <c r="S3761" t="s">
        <v>31</v>
      </c>
      <c r="T3761" t="s">
        <v>32</v>
      </c>
      <c r="U3761">
        <v>50</v>
      </c>
      <c r="V3761">
        <v>4.0999999999999996</v>
      </c>
      <c r="W3761">
        <f>Table2[[#This Row],[Quantity]]*Table2[[#This Row],[Item_Price]]</f>
        <v>440</v>
      </c>
    </row>
    <row r="3762" spans="1:23" x14ac:dyDescent="0.25">
      <c r="A3762" t="s">
        <v>3865</v>
      </c>
      <c r="B3762" s="1">
        <v>45932</v>
      </c>
      <c r="C3762" t="s">
        <v>3846</v>
      </c>
      <c r="D3762">
        <v>10</v>
      </c>
      <c r="E3762">
        <v>2</v>
      </c>
      <c r="F3762" t="s">
        <v>88</v>
      </c>
      <c r="G3762" t="s">
        <v>84</v>
      </c>
      <c r="H3762" t="s">
        <v>52</v>
      </c>
      <c r="I3762" t="s">
        <v>27</v>
      </c>
      <c r="J3762" t="s">
        <v>53</v>
      </c>
      <c r="K3762" t="s">
        <v>38</v>
      </c>
      <c r="L3762">
        <v>2</v>
      </c>
      <c r="M3762">
        <v>814</v>
      </c>
      <c r="N3762">
        <v>81.400000000000006</v>
      </c>
      <c r="O3762">
        <v>30</v>
      </c>
      <c r="P3762">
        <v>1628</v>
      </c>
      <c r="Q3762">
        <v>1576.6</v>
      </c>
      <c r="R3762" t="s">
        <v>112</v>
      </c>
      <c r="S3762" t="s">
        <v>31</v>
      </c>
      <c r="T3762" t="s">
        <v>40</v>
      </c>
      <c r="U3762">
        <v>58</v>
      </c>
      <c r="V3762">
        <v>4.8</v>
      </c>
      <c r="W3762">
        <f>Table2[[#This Row],[Quantity]]*Table2[[#This Row],[Item_Price]]</f>
        <v>1628</v>
      </c>
    </row>
    <row r="3763" spans="1:23" x14ac:dyDescent="0.25">
      <c r="A3763" t="s">
        <v>3866</v>
      </c>
      <c r="B3763" s="1">
        <v>45932</v>
      </c>
      <c r="C3763" t="s">
        <v>3846</v>
      </c>
      <c r="D3763">
        <v>10</v>
      </c>
      <c r="E3763">
        <v>2</v>
      </c>
      <c r="F3763" t="s">
        <v>88</v>
      </c>
      <c r="G3763" t="s">
        <v>55</v>
      </c>
      <c r="H3763" t="s">
        <v>139</v>
      </c>
      <c r="I3763" t="s">
        <v>97</v>
      </c>
      <c r="J3763" t="s">
        <v>70</v>
      </c>
      <c r="K3763" t="s">
        <v>38</v>
      </c>
      <c r="L3763">
        <v>1</v>
      </c>
      <c r="M3763">
        <v>577</v>
      </c>
      <c r="N3763">
        <v>0</v>
      </c>
      <c r="O3763">
        <v>20</v>
      </c>
      <c r="P3763">
        <v>577</v>
      </c>
      <c r="Q3763">
        <v>597</v>
      </c>
      <c r="R3763" t="s">
        <v>39</v>
      </c>
      <c r="S3763" t="s">
        <v>31</v>
      </c>
      <c r="T3763" t="s">
        <v>32</v>
      </c>
      <c r="U3763">
        <v>21</v>
      </c>
      <c r="V3763">
        <v>4.4000000000000004</v>
      </c>
      <c r="W3763">
        <f>Table2[[#This Row],[Quantity]]*Table2[[#This Row],[Item_Price]]</f>
        <v>577</v>
      </c>
    </row>
    <row r="3764" spans="1:23" x14ac:dyDescent="0.25">
      <c r="A3764" t="s">
        <v>3867</v>
      </c>
      <c r="B3764" s="1">
        <v>45932</v>
      </c>
      <c r="C3764" t="s">
        <v>3846</v>
      </c>
      <c r="D3764">
        <v>10</v>
      </c>
      <c r="E3764">
        <v>2</v>
      </c>
      <c r="F3764" t="s">
        <v>88</v>
      </c>
      <c r="G3764" t="s">
        <v>73</v>
      </c>
      <c r="H3764" t="s">
        <v>56</v>
      </c>
      <c r="I3764" t="s">
        <v>69</v>
      </c>
      <c r="J3764" t="s">
        <v>101</v>
      </c>
      <c r="K3764" t="s">
        <v>45</v>
      </c>
      <c r="L3764">
        <v>3</v>
      </c>
      <c r="M3764">
        <v>625</v>
      </c>
      <c r="N3764">
        <v>125</v>
      </c>
      <c r="O3764">
        <v>0</v>
      </c>
      <c r="P3764">
        <v>1875</v>
      </c>
      <c r="Q3764">
        <v>1750</v>
      </c>
      <c r="R3764" t="s">
        <v>98</v>
      </c>
      <c r="S3764" t="s">
        <v>91</v>
      </c>
      <c r="T3764" t="s">
        <v>40</v>
      </c>
      <c r="U3764">
        <v>44</v>
      </c>
      <c r="W3764">
        <f>Table2[[#This Row],[Quantity]]*Table2[[#This Row],[Item_Price]]</f>
        <v>1875</v>
      </c>
    </row>
    <row r="3765" spans="1:23" x14ac:dyDescent="0.25">
      <c r="A3765" t="s">
        <v>3868</v>
      </c>
      <c r="B3765" s="1">
        <v>45933</v>
      </c>
      <c r="C3765" t="s">
        <v>3846</v>
      </c>
      <c r="D3765">
        <v>10</v>
      </c>
      <c r="E3765">
        <v>3</v>
      </c>
      <c r="F3765" t="s">
        <v>114</v>
      </c>
      <c r="G3765" t="s">
        <v>73</v>
      </c>
      <c r="H3765" t="s">
        <v>48</v>
      </c>
      <c r="I3765" t="s">
        <v>103</v>
      </c>
      <c r="J3765" t="s">
        <v>28</v>
      </c>
      <c r="K3765" t="s">
        <v>38</v>
      </c>
      <c r="L3765">
        <v>1</v>
      </c>
      <c r="M3765">
        <v>278</v>
      </c>
      <c r="N3765">
        <v>0</v>
      </c>
      <c r="O3765">
        <v>20</v>
      </c>
      <c r="P3765">
        <v>278</v>
      </c>
      <c r="Q3765">
        <v>298</v>
      </c>
      <c r="R3765" t="s">
        <v>39</v>
      </c>
      <c r="S3765" t="s">
        <v>31</v>
      </c>
      <c r="T3765" t="s">
        <v>40</v>
      </c>
      <c r="U3765">
        <v>27</v>
      </c>
      <c r="V3765">
        <v>4.8</v>
      </c>
      <c r="W3765">
        <f>Table2[[#This Row],[Quantity]]*Table2[[#This Row],[Item_Price]]</f>
        <v>278</v>
      </c>
    </row>
    <row r="3766" spans="1:23" x14ac:dyDescent="0.25">
      <c r="A3766" t="s">
        <v>3869</v>
      </c>
      <c r="B3766" s="1">
        <v>45933</v>
      </c>
      <c r="C3766" t="s">
        <v>3846</v>
      </c>
      <c r="D3766">
        <v>10</v>
      </c>
      <c r="E3766">
        <v>3</v>
      </c>
      <c r="F3766" t="s">
        <v>114</v>
      </c>
      <c r="G3766" t="s">
        <v>115</v>
      </c>
      <c r="H3766" t="s">
        <v>60</v>
      </c>
      <c r="I3766" t="s">
        <v>43</v>
      </c>
      <c r="J3766" t="s">
        <v>78</v>
      </c>
      <c r="K3766" t="s">
        <v>38</v>
      </c>
      <c r="L3766">
        <v>1</v>
      </c>
      <c r="M3766">
        <v>510</v>
      </c>
      <c r="N3766">
        <v>127.5</v>
      </c>
      <c r="O3766">
        <v>60</v>
      </c>
      <c r="P3766">
        <v>510</v>
      </c>
      <c r="Q3766">
        <v>442.5</v>
      </c>
      <c r="R3766" t="s">
        <v>39</v>
      </c>
      <c r="S3766" t="s">
        <v>31</v>
      </c>
      <c r="T3766" t="s">
        <v>40</v>
      </c>
      <c r="U3766">
        <v>29</v>
      </c>
      <c r="V3766">
        <v>4.5999999999999996</v>
      </c>
      <c r="W3766">
        <f>Table2[[#This Row],[Quantity]]*Table2[[#This Row],[Item_Price]]</f>
        <v>510</v>
      </c>
    </row>
    <row r="3767" spans="1:23" x14ac:dyDescent="0.25">
      <c r="A3767" t="s">
        <v>3870</v>
      </c>
      <c r="B3767" s="1">
        <v>45933</v>
      </c>
      <c r="C3767" t="s">
        <v>3846</v>
      </c>
      <c r="D3767">
        <v>10</v>
      </c>
      <c r="E3767">
        <v>3</v>
      </c>
      <c r="F3767" t="s">
        <v>114</v>
      </c>
      <c r="G3767" t="s">
        <v>34</v>
      </c>
      <c r="H3767" t="s">
        <v>60</v>
      </c>
      <c r="I3767" t="s">
        <v>43</v>
      </c>
      <c r="J3767" t="s">
        <v>82</v>
      </c>
      <c r="K3767" t="s">
        <v>38</v>
      </c>
      <c r="L3767">
        <v>2</v>
      </c>
      <c r="M3767">
        <v>366</v>
      </c>
      <c r="N3767">
        <v>54.9</v>
      </c>
      <c r="O3767">
        <v>40</v>
      </c>
      <c r="P3767">
        <v>732</v>
      </c>
      <c r="Q3767">
        <v>717.1</v>
      </c>
      <c r="R3767" t="s">
        <v>75</v>
      </c>
      <c r="S3767" t="s">
        <v>31</v>
      </c>
      <c r="T3767" t="s">
        <v>32</v>
      </c>
      <c r="U3767">
        <v>45</v>
      </c>
      <c r="V3767">
        <v>3.8</v>
      </c>
      <c r="W3767">
        <f>Table2[[#This Row],[Quantity]]*Table2[[#This Row],[Item_Price]]</f>
        <v>732</v>
      </c>
    </row>
    <row r="3768" spans="1:23" x14ac:dyDescent="0.25">
      <c r="A3768" t="s">
        <v>3871</v>
      </c>
      <c r="B3768" s="1">
        <v>45933</v>
      </c>
      <c r="C3768" t="s">
        <v>3846</v>
      </c>
      <c r="D3768">
        <v>10</v>
      </c>
      <c r="E3768">
        <v>3</v>
      </c>
      <c r="F3768" t="s">
        <v>114</v>
      </c>
      <c r="G3768" t="s">
        <v>84</v>
      </c>
      <c r="H3768" t="s">
        <v>65</v>
      </c>
      <c r="I3768" t="s">
        <v>61</v>
      </c>
      <c r="J3768" t="s">
        <v>66</v>
      </c>
      <c r="K3768" t="s">
        <v>38</v>
      </c>
      <c r="L3768">
        <v>1</v>
      </c>
      <c r="M3768">
        <v>262</v>
      </c>
      <c r="N3768">
        <v>0</v>
      </c>
      <c r="O3768">
        <v>30</v>
      </c>
      <c r="P3768">
        <v>262</v>
      </c>
      <c r="Q3768">
        <v>292</v>
      </c>
      <c r="R3768" t="s">
        <v>98</v>
      </c>
      <c r="S3768" t="s">
        <v>31</v>
      </c>
      <c r="T3768" t="s">
        <v>32</v>
      </c>
      <c r="U3768">
        <v>27</v>
      </c>
      <c r="V3768">
        <v>4.0999999999999996</v>
      </c>
      <c r="W3768">
        <f>Table2[[#This Row],[Quantity]]*Table2[[#This Row],[Item_Price]]</f>
        <v>262</v>
      </c>
    </row>
    <row r="3769" spans="1:23" x14ac:dyDescent="0.25">
      <c r="A3769" t="s">
        <v>3872</v>
      </c>
      <c r="B3769" s="1">
        <v>45933</v>
      </c>
      <c r="C3769" t="s">
        <v>3846</v>
      </c>
      <c r="D3769">
        <v>10</v>
      </c>
      <c r="E3769">
        <v>3</v>
      </c>
      <c r="F3769" t="s">
        <v>114</v>
      </c>
      <c r="G3769" t="s">
        <v>90</v>
      </c>
      <c r="H3769" t="s">
        <v>48</v>
      </c>
      <c r="I3769" t="s">
        <v>97</v>
      </c>
      <c r="J3769" t="s">
        <v>172</v>
      </c>
      <c r="K3769" t="s">
        <v>45</v>
      </c>
      <c r="L3769">
        <v>1</v>
      </c>
      <c r="M3769">
        <v>181</v>
      </c>
      <c r="N3769">
        <v>18.100000000000001</v>
      </c>
      <c r="O3769">
        <v>30</v>
      </c>
      <c r="P3769">
        <v>181</v>
      </c>
      <c r="Q3769">
        <v>192.9</v>
      </c>
      <c r="R3769" t="s">
        <v>112</v>
      </c>
      <c r="S3769" t="s">
        <v>31</v>
      </c>
      <c r="T3769" t="s">
        <v>32</v>
      </c>
      <c r="U3769">
        <v>21</v>
      </c>
      <c r="V3769">
        <v>4.9000000000000004</v>
      </c>
      <c r="W3769">
        <f>Table2[[#This Row],[Quantity]]*Table2[[#This Row],[Item_Price]]</f>
        <v>181</v>
      </c>
    </row>
    <row r="3770" spans="1:23" x14ac:dyDescent="0.25">
      <c r="A3770" t="s">
        <v>3873</v>
      </c>
      <c r="B3770" s="1">
        <v>45933</v>
      </c>
      <c r="C3770" t="s">
        <v>3846</v>
      </c>
      <c r="D3770">
        <v>10</v>
      </c>
      <c r="E3770">
        <v>3</v>
      </c>
      <c r="F3770" t="s">
        <v>114</v>
      </c>
      <c r="G3770" t="s">
        <v>84</v>
      </c>
      <c r="H3770" t="s">
        <v>105</v>
      </c>
      <c r="I3770" t="s">
        <v>61</v>
      </c>
      <c r="J3770" t="s">
        <v>123</v>
      </c>
      <c r="K3770" t="s">
        <v>38</v>
      </c>
      <c r="L3770">
        <v>2</v>
      </c>
      <c r="M3770">
        <v>639</v>
      </c>
      <c r="N3770">
        <v>63.9</v>
      </c>
      <c r="O3770">
        <v>0</v>
      </c>
      <c r="P3770">
        <v>1278</v>
      </c>
      <c r="Q3770">
        <v>1214.0999999999999</v>
      </c>
      <c r="R3770" t="s">
        <v>39</v>
      </c>
      <c r="S3770" t="s">
        <v>31</v>
      </c>
      <c r="T3770" t="s">
        <v>40</v>
      </c>
      <c r="U3770">
        <v>70</v>
      </c>
      <c r="V3770">
        <v>4.0999999999999996</v>
      </c>
      <c r="W3770">
        <f>Table2[[#This Row],[Quantity]]*Table2[[#This Row],[Item_Price]]</f>
        <v>1278</v>
      </c>
    </row>
    <row r="3771" spans="1:23" x14ac:dyDescent="0.25">
      <c r="A3771" t="s">
        <v>3874</v>
      </c>
      <c r="B3771" s="1">
        <v>45933</v>
      </c>
      <c r="C3771" t="s">
        <v>3846</v>
      </c>
      <c r="D3771">
        <v>10</v>
      </c>
      <c r="E3771">
        <v>3</v>
      </c>
      <c r="F3771" t="s">
        <v>114</v>
      </c>
      <c r="G3771" t="s">
        <v>115</v>
      </c>
      <c r="H3771" t="s">
        <v>108</v>
      </c>
      <c r="I3771" t="s">
        <v>85</v>
      </c>
      <c r="J3771" t="s">
        <v>123</v>
      </c>
      <c r="K3771" t="s">
        <v>45</v>
      </c>
      <c r="L3771">
        <v>1</v>
      </c>
      <c r="M3771">
        <v>287</v>
      </c>
      <c r="N3771">
        <v>57.4</v>
      </c>
      <c r="O3771">
        <v>20</v>
      </c>
      <c r="P3771">
        <v>287</v>
      </c>
      <c r="Q3771">
        <v>249.6</v>
      </c>
      <c r="R3771" t="s">
        <v>39</v>
      </c>
      <c r="S3771" t="s">
        <v>31</v>
      </c>
      <c r="T3771" t="s">
        <v>32</v>
      </c>
      <c r="U3771">
        <v>54</v>
      </c>
      <c r="V3771">
        <v>3.8</v>
      </c>
      <c r="W3771">
        <f>Table2[[#This Row],[Quantity]]*Table2[[#This Row],[Item_Price]]</f>
        <v>287</v>
      </c>
    </row>
    <row r="3772" spans="1:23" x14ac:dyDescent="0.25">
      <c r="A3772" t="s">
        <v>3875</v>
      </c>
      <c r="B3772" s="1">
        <v>45933</v>
      </c>
      <c r="C3772" t="s">
        <v>3846</v>
      </c>
      <c r="D3772">
        <v>10</v>
      </c>
      <c r="E3772">
        <v>3</v>
      </c>
      <c r="F3772" t="s">
        <v>114</v>
      </c>
      <c r="G3772" t="s">
        <v>55</v>
      </c>
      <c r="H3772" t="s">
        <v>60</v>
      </c>
      <c r="I3772" t="s">
        <v>61</v>
      </c>
      <c r="J3772" t="s">
        <v>37</v>
      </c>
      <c r="K3772" t="s">
        <v>38</v>
      </c>
      <c r="L3772">
        <v>1</v>
      </c>
      <c r="M3772">
        <v>377</v>
      </c>
      <c r="N3772">
        <v>94.25</v>
      </c>
      <c r="O3772">
        <v>30</v>
      </c>
      <c r="P3772">
        <v>377</v>
      </c>
      <c r="Q3772">
        <v>312.75</v>
      </c>
      <c r="R3772" t="s">
        <v>112</v>
      </c>
      <c r="S3772" t="s">
        <v>31</v>
      </c>
      <c r="T3772" t="s">
        <v>40</v>
      </c>
      <c r="U3772">
        <v>26</v>
      </c>
      <c r="V3772">
        <v>4.8</v>
      </c>
      <c r="W3772">
        <f>Table2[[#This Row],[Quantity]]*Table2[[#This Row],[Item_Price]]</f>
        <v>377</v>
      </c>
    </row>
    <row r="3773" spans="1:23" x14ac:dyDescent="0.25">
      <c r="A3773" t="s">
        <v>3876</v>
      </c>
      <c r="B3773" s="1">
        <v>45933</v>
      </c>
      <c r="C3773" t="s">
        <v>3846</v>
      </c>
      <c r="D3773">
        <v>10</v>
      </c>
      <c r="E3773">
        <v>3</v>
      </c>
      <c r="F3773" t="s">
        <v>114</v>
      </c>
      <c r="G3773" t="s">
        <v>90</v>
      </c>
      <c r="H3773" t="s">
        <v>60</v>
      </c>
      <c r="I3773" t="s">
        <v>49</v>
      </c>
      <c r="J3773" t="s">
        <v>94</v>
      </c>
      <c r="K3773" t="s">
        <v>38</v>
      </c>
      <c r="L3773">
        <v>3</v>
      </c>
      <c r="M3773">
        <v>544</v>
      </c>
      <c r="N3773">
        <v>27.2</v>
      </c>
      <c r="O3773">
        <v>40</v>
      </c>
      <c r="P3773">
        <v>1632</v>
      </c>
      <c r="Q3773">
        <v>1644.8</v>
      </c>
      <c r="R3773" t="s">
        <v>30</v>
      </c>
      <c r="S3773" t="s">
        <v>110</v>
      </c>
      <c r="T3773" t="s">
        <v>40</v>
      </c>
      <c r="U3773">
        <v>53</v>
      </c>
      <c r="W3773">
        <f>Table2[[#This Row],[Quantity]]*Table2[[#This Row],[Item_Price]]</f>
        <v>1632</v>
      </c>
    </row>
    <row r="3774" spans="1:23" x14ac:dyDescent="0.25">
      <c r="A3774" t="s">
        <v>3877</v>
      </c>
      <c r="B3774" s="1">
        <v>45934</v>
      </c>
      <c r="C3774" t="s">
        <v>3846</v>
      </c>
      <c r="D3774">
        <v>10</v>
      </c>
      <c r="E3774">
        <v>4</v>
      </c>
      <c r="F3774" t="s">
        <v>134</v>
      </c>
      <c r="G3774" t="s">
        <v>80</v>
      </c>
      <c r="H3774" t="s">
        <v>81</v>
      </c>
      <c r="I3774" t="s">
        <v>69</v>
      </c>
      <c r="J3774" t="s">
        <v>66</v>
      </c>
      <c r="K3774" t="s">
        <v>58</v>
      </c>
      <c r="L3774">
        <v>2</v>
      </c>
      <c r="M3774">
        <v>382</v>
      </c>
      <c r="N3774">
        <v>57.3</v>
      </c>
      <c r="O3774">
        <v>40</v>
      </c>
      <c r="P3774">
        <v>764</v>
      </c>
      <c r="Q3774">
        <v>746.7</v>
      </c>
      <c r="R3774" t="s">
        <v>30</v>
      </c>
      <c r="S3774" t="s">
        <v>31</v>
      </c>
      <c r="T3774" t="s">
        <v>32</v>
      </c>
      <c r="U3774">
        <v>24</v>
      </c>
      <c r="V3774">
        <v>3.6</v>
      </c>
      <c r="W3774">
        <f>Table2[[#This Row],[Quantity]]*Table2[[#This Row],[Item_Price]]</f>
        <v>764</v>
      </c>
    </row>
    <row r="3775" spans="1:23" x14ac:dyDescent="0.25">
      <c r="A3775" t="s">
        <v>3878</v>
      </c>
      <c r="B3775" s="1">
        <v>45934</v>
      </c>
      <c r="C3775" t="s">
        <v>3846</v>
      </c>
      <c r="D3775">
        <v>10</v>
      </c>
      <c r="E3775">
        <v>4</v>
      </c>
      <c r="F3775" t="s">
        <v>134</v>
      </c>
      <c r="G3775" t="s">
        <v>55</v>
      </c>
      <c r="H3775" t="s">
        <v>26</v>
      </c>
      <c r="I3775" t="s">
        <v>85</v>
      </c>
      <c r="J3775" t="s">
        <v>82</v>
      </c>
      <c r="K3775" t="s">
        <v>45</v>
      </c>
      <c r="L3775">
        <v>1</v>
      </c>
      <c r="M3775">
        <v>519</v>
      </c>
      <c r="N3775">
        <v>51.9</v>
      </c>
      <c r="O3775">
        <v>60</v>
      </c>
      <c r="P3775">
        <v>519</v>
      </c>
      <c r="Q3775">
        <v>527.1</v>
      </c>
      <c r="R3775" t="s">
        <v>75</v>
      </c>
      <c r="S3775" t="s">
        <v>110</v>
      </c>
      <c r="T3775" t="s">
        <v>32</v>
      </c>
      <c r="U3775">
        <v>45</v>
      </c>
      <c r="W3775">
        <f>Table2[[#This Row],[Quantity]]*Table2[[#This Row],[Item_Price]]</f>
        <v>519</v>
      </c>
    </row>
    <row r="3776" spans="1:23" x14ac:dyDescent="0.25">
      <c r="A3776" t="s">
        <v>3879</v>
      </c>
      <c r="B3776" s="1">
        <v>45934</v>
      </c>
      <c r="C3776" t="s">
        <v>3846</v>
      </c>
      <c r="D3776">
        <v>10</v>
      </c>
      <c r="E3776">
        <v>4</v>
      </c>
      <c r="F3776" t="s">
        <v>134</v>
      </c>
      <c r="G3776" t="s">
        <v>34</v>
      </c>
      <c r="H3776" t="s">
        <v>65</v>
      </c>
      <c r="I3776" t="s">
        <v>61</v>
      </c>
      <c r="J3776" t="s">
        <v>172</v>
      </c>
      <c r="K3776" t="s">
        <v>38</v>
      </c>
      <c r="L3776">
        <v>1</v>
      </c>
      <c r="M3776">
        <v>216</v>
      </c>
      <c r="N3776">
        <v>0</v>
      </c>
      <c r="O3776">
        <v>40</v>
      </c>
      <c r="P3776">
        <v>216</v>
      </c>
      <c r="Q3776">
        <v>256</v>
      </c>
      <c r="R3776" t="s">
        <v>112</v>
      </c>
      <c r="S3776" t="s">
        <v>31</v>
      </c>
      <c r="T3776" t="s">
        <v>40</v>
      </c>
      <c r="U3776">
        <v>46</v>
      </c>
      <c r="V3776">
        <v>4.9000000000000004</v>
      </c>
      <c r="W3776">
        <f>Table2[[#This Row],[Quantity]]*Table2[[#This Row],[Item_Price]]</f>
        <v>216</v>
      </c>
    </row>
    <row r="3777" spans="1:23" x14ac:dyDescent="0.25">
      <c r="A3777" t="s">
        <v>3880</v>
      </c>
      <c r="B3777" s="1">
        <v>45934</v>
      </c>
      <c r="C3777" t="s">
        <v>3846</v>
      </c>
      <c r="D3777">
        <v>10</v>
      </c>
      <c r="E3777">
        <v>4</v>
      </c>
      <c r="F3777" t="s">
        <v>134</v>
      </c>
      <c r="G3777" t="s">
        <v>34</v>
      </c>
      <c r="H3777" t="s">
        <v>48</v>
      </c>
      <c r="I3777" t="s">
        <v>69</v>
      </c>
      <c r="J3777" t="s">
        <v>82</v>
      </c>
      <c r="K3777" t="s">
        <v>38</v>
      </c>
      <c r="L3777">
        <v>1</v>
      </c>
      <c r="M3777">
        <v>413</v>
      </c>
      <c r="N3777">
        <v>61.95</v>
      </c>
      <c r="O3777">
        <v>40</v>
      </c>
      <c r="P3777">
        <v>413</v>
      </c>
      <c r="Q3777">
        <v>391.05</v>
      </c>
      <c r="R3777" t="s">
        <v>30</v>
      </c>
      <c r="S3777" t="s">
        <v>31</v>
      </c>
      <c r="T3777" t="s">
        <v>40</v>
      </c>
      <c r="U3777">
        <v>51</v>
      </c>
      <c r="V3777">
        <v>3.9</v>
      </c>
      <c r="W3777">
        <f>Table2[[#This Row],[Quantity]]*Table2[[#This Row],[Item_Price]]</f>
        <v>413</v>
      </c>
    </row>
    <row r="3778" spans="1:23" x14ac:dyDescent="0.25">
      <c r="A3778" t="s">
        <v>3881</v>
      </c>
      <c r="B3778" s="1">
        <v>45934</v>
      </c>
      <c r="C3778" t="s">
        <v>3846</v>
      </c>
      <c r="D3778">
        <v>10</v>
      </c>
      <c r="E3778">
        <v>4</v>
      </c>
      <c r="F3778" t="s">
        <v>134</v>
      </c>
      <c r="G3778" t="s">
        <v>55</v>
      </c>
      <c r="H3778" t="s">
        <v>108</v>
      </c>
      <c r="I3778" t="s">
        <v>97</v>
      </c>
      <c r="J3778" t="s">
        <v>50</v>
      </c>
      <c r="K3778" t="s">
        <v>38</v>
      </c>
      <c r="L3778">
        <v>2</v>
      </c>
      <c r="M3778">
        <v>749</v>
      </c>
      <c r="N3778">
        <v>112.35</v>
      </c>
      <c r="O3778">
        <v>40</v>
      </c>
      <c r="P3778">
        <v>1498</v>
      </c>
      <c r="Q3778">
        <v>1425.65</v>
      </c>
      <c r="R3778" t="s">
        <v>39</v>
      </c>
      <c r="S3778" t="s">
        <v>31</v>
      </c>
      <c r="T3778" t="s">
        <v>40</v>
      </c>
      <c r="U3778">
        <v>43</v>
      </c>
      <c r="V3778">
        <v>3.9</v>
      </c>
      <c r="W3778">
        <f>Table2[[#This Row],[Quantity]]*Table2[[#This Row],[Item_Price]]</f>
        <v>1498</v>
      </c>
    </row>
    <row r="3779" spans="1:23" x14ac:dyDescent="0.25">
      <c r="A3779" t="s">
        <v>3882</v>
      </c>
      <c r="B3779" s="1">
        <v>45934</v>
      </c>
      <c r="C3779" t="s">
        <v>3846</v>
      </c>
      <c r="D3779">
        <v>10</v>
      </c>
      <c r="E3779">
        <v>4</v>
      </c>
      <c r="F3779" t="s">
        <v>134</v>
      </c>
      <c r="G3779" t="s">
        <v>34</v>
      </c>
      <c r="H3779" t="s">
        <v>105</v>
      </c>
      <c r="I3779" t="s">
        <v>36</v>
      </c>
      <c r="J3779" t="s">
        <v>119</v>
      </c>
      <c r="K3779" t="s">
        <v>45</v>
      </c>
      <c r="L3779">
        <v>1</v>
      </c>
      <c r="M3779">
        <v>734</v>
      </c>
      <c r="N3779">
        <v>146.80000000000001</v>
      </c>
      <c r="O3779">
        <v>0</v>
      </c>
      <c r="P3779">
        <v>734</v>
      </c>
      <c r="Q3779">
        <v>587.20000000000005</v>
      </c>
      <c r="R3779" t="s">
        <v>39</v>
      </c>
      <c r="S3779" t="s">
        <v>31</v>
      </c>
      <c r="T3779" t="s">
        <v>32</v>
      </c>
      <c r="U3779">
        <v>29</v>
      </c>
      <c r="V3779">
        <v>5</v>
      </c>
      <c r="W3779">
        <f>Table2[[#This Row],[Quantity]]*Table2[[#This Row],[Item_Price]]</f>
        <v>734</v>
      </c>
    </row>
    <row r="3780" spans="1:23" x14ac:dyDescent="0.25">
      <c r="A3780" t="s">
        <v>3883</v>
      </c>
      <c r="B3780" s="1">
        <v>45934</v>
      </c>
      <c r="C3780" t="s">
        <v>3846</v>
      </c>
      <c r="D3780">
        <v>10</v>
      </c>
      <c r="E3780">
        <v>4</v>
      </c>
      <c r="F3780" t="s">
        <v>134</v>
      </c>
      <c r="G3780" t="s">
        <v>55</v>
      </c>
      <c r="H3780" t="s">
        <v>81</v>
      </c>
      <c r="I3780" t="s">
        <v>57</v>
      </c>
      <c r="J3780" t="s">
        <v>74</v>
      </c>
      <c r="K3780" t="s">
        <v>45</v>
      </c>
      <c r="L3780">
        <v>2</v>
      </c>
      <c r="M3780">
        <v>254</v>
      </c>
      <c r="N3780">
        <v>12.7</v>
      </c>
      <c r="O3780">
        <v>40</v>
      </c>
      <c r="P3780">
        <v>508</v>
      </c>
      <c r="Q3780">
        <v>535.29999999999995</v>
      </c>
      <c r="R3780" t="s">
        <v>30</v>
      </c>
      <c r="S3780" t="s">
        <v>31</v>
      </c>
      <c r="T3780" t="s">
        <v>32</v>
      </c>
      <c r="U3780">
        <v>51</v>
      </c>
      <c r="V3780">
        <v>3.3</v>
      </c>
      <c r="W3780">
        <f>Table2[[#This Row],[Quantity]]*Table2[[#This Row],[Item_Price]]</f>
        <v>508</v>
      </c>
    </row>
    <row r="3781" spans="1:23" x14ac:dyDescent="0.25">
      <c r="A3781" t="s">
        <v>3884</v>
      </c>
      <c r="B3781" s="1">
        <v>45934</v>
      </c>
      <c r="C3781" t="s">
        <v>3846</v>
      </c>
      <c r="D3781">
        <v>10</v>
      </c>
      <c r="E3781">
        <v>4</v>
      </c>
      <c r="F3781" t="s">
        <v>134</v>
      </c>
      <c r="G3781" t="s">
        <v>64</v>
      </c>
      <c r="H3781" t="s">
        <v>35</v>
      </c>
      <c r="I3781" t="s">
        <v>57</v>
      </c>
      <c r="J3781" t="s">
        <v>74</v>
      </c>
      <c r="K3781" t="s">
        <v>38</v>
      </c>
      <c r="L3781">
        <v>3</v>
      </c>
      <c r="M3781">
        <v>600</v>
      </c>
      <c r="N3781">
        <v>90</v>
      </c>
      <c r="O3781">
        <v>0</v>
      </c>
      <c r="P3781">
        <v>1800</v>
      </c>
      <c r="Q3781">
        <v>1710</v>
      </c>
      <c r="R3781" t="s">
        <v>112</v>
      </c>
      <c r="S3781" t="s">
        <v>31</v>
      </c>
      <c r="T3781" t="s">
        <v>32</v>
      </c>
      <c r="U3781">
        <v>32</v>
      </c>
      <c r="V3781">
        <v>3.8</v>
      </c>
      <c r="W3781">
        <f>Table2[[#This Row],[Quantity]]*Table2[[#This Row],[Item_Price]]</f>
        <v>1800</v>
      </c>
    </row>
    <row r="3782" spans="1:23" x14ac:dyDescent="0.25">
      <c r="A3782" t="s">
        <v>3885</v>
      </c>
      <c r="B3782" s="1">
        <v>45934</v>
      </c>
      <c r="C3782" t="s">
        <v>3846</v>
      </c>
      <c r="D3782">
        <v>10</v>
      </c>
      <c r="E3782">
        <v>4</v>
      </c>
      <c r="F3782" t="s">
        <v>134</v>
      </c>
      <c r="G3782" t="s">
        <v>84</v>
      </c>
      <c r="H3782" t="s">
        <v>48</v>
      </c>
      <c r="I3782" t="s">
        <v>103</v>
      </c>
      <c r="J3782" t="s">
        <v>119</v>
      </c>
      <c r="K3782" t="s">
        <v>38</v>
      </c>
      <c r="L3782">
        <v>3</v>
      </c>
      <c r="M3782">
        <v>346</v>
      </c>
      <c r="N3782">
        <v>17.3</v>
      </c>
      <c r="O3782">
        <v>60</v>
      </c>
      <c r="P3782">
        <v>1038</v>
      </c>
      <c r="Q3782">
        <v>1080.7</v>
      </c>
      <c r="R3782" t="s">
        <v>112</v>
      </c>
      <c r="S3782" t="s">
        <v>31</v>
      </c>
      <c r="T3782" t="s">
        <v>32</v>
      </c>
      <c r="U3782">
        <v>48</v>
      </c>
      <c r="V3782">
        <v>3.8</v>
      </c>
      <c r="W3782">
        <f>Table2[[#This Row],[Quantity]]*Table2[[#This Row],[Item_Price]]</f>
        <v>1038</v>
      </c>
    </row>
    <row r="3783" spans="1:23" x14ac:dyDescent="0.25">
      <c r="A3783" t="s">
        <v>3886</v>
      </c>
      <c r="B3783" s="1">
        <v>45934</v>
      </c>
      <c r="C3783" t="s">
        <v>3846</v>
      </c>
      <c r="D3783">
        <v>10</v>
      </c>
      <c r="E3783">
        <v>4</v>
      </c>
      <c r="F3783" t="s">
        <v>134</v>
      </c>
      <c r="G3783" t="s">
        <v>55</v>
      </c>
      <c r="H3783" t="s">
        <v>48</v>
      </c>
      <c r="I3783" t="s">
        <v>27</v>
      </c>
      <c r="J3783" t="s">
        <v>50</v>
      </c>
      <c r="K3783" t="s">
        <v>38</v>
      </c>
      <c r="L3783">
        <v>1</v>
      </c>
      <c r="M3783">
        <v>265</v>
      </c>
      <c r="N3783">
        <v>0</v>
      </c>
      <c r="O3783">
        <v>20</v>
      </c>
      <c r="P3783">
        <v>265</v>
      </c>
      <c r="Q3783">
        <v>285</v>
      </c>
      <c r="R3783" t="s">
        <v>98</v>
      </c>
      <c r="S3783" t="s">
        <v>91</v>
      </c>
      <c r="T3783" t="s">
        <v>40</v>
      </c>
      <c r="U3783">
        <v>30</v>
      </c>
      <c r="W3783">
        <f>Table2[[#This Row],[Quantity]]*Table2[[#This Row],[Item_Price]]</f>
        <v>265</v>
      </c>
    </row>
    <row r="3784" spans="1:23" x14ac:dyDescent="0.25">
      <c r="A3784" t="s">
        <v>3887</v>
      </c>
      <c r="B3784" s="1">
        <v>45934</v>
      </c>
      <c r="C3784" t="s">
        <v>3846</v>
      </c>
      <c r="D3784">
        <v>10</v>
      </c>
      <c r="E3784">
        <v>4</v>
      </c>
      <c r="F3784" t="s">
        <v>134</v>
      </c>
      <c r="G3784" t="s">
        <v>64</v>
      </c>
      <c r="H3784" t="s">
        <v>52</v>
      </c>
      <c r="I3784" t="s">
        <v>69</v>
      </c>
      <c r="J3784" t="s">
        <v>172</v>
      </c>
      <c r="K3784" t="s">
        <v>58</v>
      </c>
      <c r="L3784">
        <v>2</v>
      </c>
      <c r="M3784">
        <v>525</v>
      </c>
      <c r="N3784">
        <v>52.5</v>
      </c>
      <c r="O3784">
        <v>0</v>
      </c>
      <c r="P3784">
        <v>1050</v>
      </c>
      <c r="Q3784">
        <v>997.5</v>
      </c>
      <c r="R3784" t="s">
        <v>39</v>
      </c>
      <c r="S3784" t="s">
        <v>31</v>
      </c>
      <c r="T3784" t="s">
        <v>32</v>
      </c>
      <c r="U3784">
        <v>23</v>
      </c>
      <c r="V3784">
        <v>3.1</v>
      </c>
      <c r="W3784">
        <f>Table2[[#This Row],[Quantity]]*Table2[[#This Row],[Item_Price]]</f>
        <v>1050</v>
      </c>
    </row>
    <row r="3785" spans="1:23" x14ac:dyDescent="0.25">
      <c r="A3785" t="s">
        <v>3888</v>
      </c>
      <c r="B3785" s="1">
        <v>45934</v>
      </c>
      <c r="C3785" t="s">
        <v>3846</v>
      </c>
      <c r="D3785">
        <v>10</v>
      </c>
      <c r="E3785">
        <v>4</v>
      </c>
      <c r="F3785" t="s">
        <v>134</v>
      </c>
      <c r="G3785" t="s">
        <v>84</v>
      </c>
      <c r="H3785" t="s">
        <v>26</v>
      </c>
      <c r="I3785" t="s">
        <v>27</v>
      </c>
      <c r="J3785" t="s">
        <v>44</v>
      </c>
      <c r="K3785" t="s">
        <v>45</v>
      </c>
      <c r="L3785">
        <v>1</v>
      </c>
      <c r="M3785">
        <v>353</v>
      </c>
      <c r="N3785">
        <v>17.649999999999999</v>
      </c>
      <c r="O3785">
        <v>0</v>
      </c>
      <c r="P3785">
        <v>353</v>
      </c>
      <c r="Q3785">
        <v>335.35</v>
      </c>
      <c r="R3785" t="s">
        <v>30</v>
      </c>
      <c r="S3785" t="s">
        <v>31</v>
      </c>
      <c r="T3785" t="s">
        <v>32</v>
      </c>
      <c r="U3785">
        <v>22</v>
      </c>
      <c r="V3785">
        <v>2.2999999999999998</v>
      </c>
      <c r="W3785">
        <f>Table2[[#This Row],[Quantity]]*Table2[[#This Row],[Item_Price]]</f>
        <v>353</v>
      </c>
    </row>
    <row r="3786" spans="1:23" x14ac:dyDescent="0.25">
      <c r="A3786" t="s">
        <v>3889</v>
      </c>
      <c r="B3786" s="1">
        <v>45934</v>
      </c>
      <c r="C3786" t="s">
        <v>3846</v>
      </c>
      <c r="D3786">
        <v>10</v>
      </c>
      <c r="E3786">
        <v>4</v>
      </c>
      <c r="F3786" t="s">
        <v>134</v>
      </c>
      <c r="G3786" t="s">
        <v>73</v>
      </c>
      <c r="H3786" t="s">
        <v>26</v>
      </c>
      <c r="I3786" t="s">
        <v>57</v>
      </c>
      <c r="J3786" t="s">
        <v>53</v>
      </c>
      <c r="K3786" t="s">
        <v>38</v>
      </c>
      <c r="L3786">
        <v>1</v>
      </c>
      <c r="M3786">
        <v>872</v>
      </c>
      <c r="N3786">
        <v>87.2</v>
      </c>
      <c r="O3786">
        <v>20</v>
      </c>
      <c r="P3786">
        <v>872</v>
      </c>
      <c r="Q3786">
        <v>804.8</v>
      </c>
      <c r="R3786" t="s">
        <v>39</v>
      </c>
      <c r="S3786" t="s">
        <v>91</v>
      </c>
      <c r="T3786" t="s">
        <v>40</v>
      </c>
      <c r="U3786">
        <v>53</v>
      </c>
      <c r="W3786">
        <f>Table2[[#This Row],[Quantity]]*Table2[[#This Row],[Item_Price]]</f>
        <v>872</v>
      </c>
    </row>
    <row r="3787" spans="1:23" x14ac:dyDescent="0.25">
      <c r="A3787" t="s">
        <v>3890</v>
      </c>
      <c r="B3787" s="1">
        <v>45934</v>
      </c>
      <c r="C3787" t="s">
        <v>3846</v>
      </c>
      <c r="D3787">
        <v>10</v>
      </c>
      <c r="E3787">
        <v>4</v>
      </c>
      <c r="F3787" t="s">
        <v>134</v>
      </c>
      <c r="G3787" t="s">
        <v>96</v>
      </c>
      <c r="H3787" t="s">
        <v>26</v>
      </c>
      <c r="I3787" t="s">
        <v>57</v>
      </c>
      <c r="J3787" t="s">
        <v>123</v>
      </c>
      <c r="K3787" t="s">
        <v>38</v>
      </c>
      <c r="L3787">
        <v>1</v>
      </c>
      <c r="M3787">
        <v>598</v>
      </c>
      <c r="N3787">
        <v>89.7</v>
      </c>
      <c r="O3787">
        <v>60</v>
      </c>
      <c r="P3787">
        <v>598</v>
      </c>
      <c r="Q3787">
        <v>568.29999999999995</v>
      </c>
      <c r="R3787" t="s">
        <v>75</v>
      </c>
      <c r="S3787" t="s">
        <v>31</v>
      </c>
      <c r="T3787" t="s">
        <v>40</v>
      </c>
      <c r="U3787">
        <v>52</v>
      </c>
      <c r="V3787">
        <v>3.1</v>
      </c>
      <c r="W3787">
        <f>Table2[[#This Row],[Quantity]]*Table2[[#This Row],[Item_Price]]</f>
        <v>598</v>
      </c>
    </row>
    <row r="3788" spans="1:23" x14ac:dyDescent="0.25">
      <c r="A3788" t="s">
        <v>3891</v>
      </c>
      <c r="B3788" s="1">
        <v>45934</v>
      </c>
      <c r="C3788" t="s">
        <v>3846</v>
      </c>
      <c r="D3788">
        <v>10</v>
      </c>
      <c r="E3788">
        <v>4</v>
      </c>
      <c r="F3788" t="s">
        <v>134</v>
      </c>
      <c r="G3788" t="s">
        <v>90</v>
      </c>
      <c r="H3788" t="s">
        <v>108</v>
      </c>
      <c r="I3788" t="s">
        <v>61</v>
      </c>
      <c r="J3788" t="s">
        <v>70</v>
      </c>
      <c r="K3788" t="s">
        <v>45</v>
      </c>
      <c r="L3788">
        <v>2</v>
      </c>
      <c r="M3788">
        <v>495</v>
      </c>
      <c r="N3788">
        <v>74.25</v>
      </c>
      <c r="O3788">
        <v>20</v>
      </c>
      <c r="P3788">
        <v>990</v>
      </c>
      <c r="Q3788">
        <v>935.75</v>
      </c>
      <c r="R3788" t="s">
        <v>39</v>
      </c>
      <c r="S3788" t="s">
        <v>31</v>
      </c>
      <c r="T3788" t="s">
        <v>40</v>
      </c>
      <c r="U3788">
        <v>31</v>
      </c>
      <c r="V3788">
        <v>4.9000000000000004</v>
      </c>
      <c r="W3788">
        <f>Table2[[#This Row],[Quantity]]*Table2[[#This Row],[Item_Price]]</f>
        <v>990</v>
      </c>
    </row>
    <row r="3789" spans="1:23" x14ac:dyDescent="0.25">
      <c r="A3789" t="s">
        <v>3892</v>
      </c>
      <c r="B3789" s="1">
        <v>45934</v>
      </c>
      <c r="C3789" t="s">
        <v>3846</v>
      </c>
      <c r="D3789">
        <v>10</v>
      </c>
      <c r="E3789">
        <v>4</v>
      </c>
      <c r="F3789" t="s">
        <v>134</v>
      </c>
      <c r="G3789" t="s">
        <v>73</v>
      </c>
      <c r="H3789" t="s">
        <v>77</v>
      </c>
      <c r="I3789" t="s">
        <v>27</v>
      </c>
      <c r="J3789" t="s">
        <v>78</v>
      </c>
      <c r="K3789" t="s">
        <v>58</v>
      </c>
      <c r="L3789">
        <v>1</v>
      </c>
      <c r="M3789">
        <v>245</v>
      </c>
      <c r="N3789">
        <v>12.25</v>
      </c>
      <c r="O3789">
        <v>60</v>
      </c>
      <c r="P3789">
        <v>245</v>
      </c>
      <c r="Q3789">
        <v>292.75</v>
      </c>
      <c r="R3789" t="s">
        <v>30</v>
      </c>
      <c r="S3789" t="s">
        <v>31</v>
      </c>
      <c r="T3789" t="s">
        <v>32</v>
      </c>
      <c r="U3789">
        <v>24</v>
      </c>
      <c r="V3789">
        <v>4.5999999999999996</v>
      </c>
      <c r="W3789">
        <f>Table2[[#This Row],[Quantity]]*Table2[[#This Row],[Item_Price]]</f>
        <v>245</v>
      </c>
    </row>
    <row r="3790" spans="1:23" x14ac:dyDescent="0.25">
      <c r="A3790" t="s">
        <v>3893</v>
      </c>
      <c r="B3790" s="1">
        <v>45934</v>
      </c>
      <c r="C3790" t="s">
        <v>3846</v>
      </c>
      <c r="D3790">
        <v>10</v>
      </c>
      <c r="E3790">
        <v>4</v>
      </c>
      <c r="F3790" t="s">
        <v>134</v>
      </c>
      <c r="G3790" t="s">
        <v>34</v>
      </c>
      <c r="H3790" t="s">
        <v>42</v>
      </c>
      <c r="I3790" t="s">
        <v>27</v>
      </c>
      <c r="J3790" t="s">
        <v>62</v>
      </c>
      <c r="K3790" t="s">
        <v>38</v>
      </c>
      <c r="L3790">
        <v>1</v>
      </c>
      <c r="M3790">
        <v>754</v>
      </c>
      <c r="N3790">
        <v>188.5</v>
      </c>
      <c r="O3790">
        <v>30</v>
      </c>
      <c r="P3790">
        <v>754</v>
      </c>
      <c r="Q3790">
        <v>595.5</v>
      </c>
      <c r="R3790" t="s">
        <v>112</v>
      </c>
      <c r="S3790" t="s">
        <v>31</v>
      </c>
      <c r="T3790" t="s">
        <v>32</v>
      </c>
      <c r="U3790">
        <v>22</v>
      </c>
      <c r="V3790">
        <v>4.8</v>
      </c>
      <c r="W3790">
        <f>Table2[[#This Row],[Quantity]]*Table2[[#This Row],[Item_Price]]</f>
        <v>754</v>
      </c>
    </row>
    <row r="3791" spans="1:23" x14ac:dyDescent="0.25">
      <c r="A3791" t="s">
        <v>3894</v>
      </c>
      <c r="B3791" s="1">
        <v>45934</v>
      </c>
      <c r="C3791" t="s">
        <v>3846</v>
      </c>
      <c r="D3791">
        <v>10</v>
      </c>
      <c r="E3791">
        <v>4</v>
      </c>
      <c r="F3791" t="s">
        <v>134</v>
      </c>
      <c r="G3791" t="s">
        <v>25</v>
      </c>
      <c r="H3791" t="s">
        <v>52</v>
      </c>
      <c r="I3791" t="s">
        <v>69</v>
      </c>
      <c r="J3791" t="s">
        <v>82</v>
      </c>
      <c r="K3791" t="s">
        <v>38</v>
      </c>
      <c r="L3791">
        <v>1</v>
      </c>
      <c r="M3791">
        <v>724</v>
      </c>
      <c r="N3791">
        <v>72.400000000000006</v>
      </c>
      <c r="O3791">
        <v>30</v>
      </c>
      <c r="P3791">
        <v>724</v>
      </c>
      <c r="Q3791">
        <v>681.6</v>
      </c>
      <c r="R3791" t="s">
        <v>30</v>
      </c>
      <c r="S3791" t="s">
        <v>31</v>
      </c>
      <c r="T3791" t="s">
        <v>40</v>
      </c>
      <c r="U3791">
        <v>69</v>
      </c>
      <c r="V3791">
        <v>3.9</v>
      </c>
      <c r="W3791">
        <f>Table2[[#This Row],[Quantity]]*Table2[[#This Row],[Item_Price]]</f>
        <v>724</v>
      </c>
    </row>
    <row r="3792" spans="1:23" x14ac:dyDescent="0.25">
      <c r="A3792" t="s">
        <v>3895</v>
      </c>
      <c r="B3792" s="1">
        <v>45934</v>
      </c>
      <c r="C3792" t="s">
        <v>3846</v>
      </c>
      <c r="D3792">
        <v>10</v>
      </c>
      <c r="E3792">
        <v>4</v>
      </c>
      <c r="F3792" t="s">
        <v>134</v>
      </c>
      <c r="G3792" t="s">
        <v>73</v>
      </c>
      <c r="H3792" t="s">
        <v>139</v>
      </c>
      <c r="I3792" t="s">
        <v>61</v>
      </c>
      <c r="J3792" t="s">
        <v>53</v>
      </c>
      <c r="K3792" t="s">
        <v>38</v>
      </c>
      <c r="L3792">
        <v>2</v>
      </c>
      <c r="M3792">
        <v>491</v>
      </c>
      <c r="N3792">
        <v>49.1</v>
      </c>
      <c r="O3792">
        <v>60</v>
      </c>
      <c r="P3792">
        <v>982</v>
      </c>
      <c r="Q3792">
        <v>992.9</v>
      </c>
      <c r="R3792" t="s">
        <v>39</v>
      </c>
      <c r="S3792" t="s">
        <v>31</v>
      </c>
      <c r="T3792" t="s">
        <v>40</v>
      </c>
      <c r="U3792">
        <v>58</v>
      </c>
      <c r="V3792">
        <v>4.5999999999999996</v>
      </c>
      <c r="W3792">
        <f>Table2[[#This Row],[Quantity]]*Table2[[#This Row],[Item_Price]]</f>
        <v>982</v>
      </c>
    </row>
    <row r="3793" spans="1:23" x14ac:dyDescent="0.25">
      <c r="A3793" t="s">
        <v>3896</v>
      </c>
      <c r="B3793" s="1">
        <v>45934</v>
      </c>
      <c r="C3793" t="s">
        <v>3846</v>
      </c>
      <c r="D3793">
        <v>10</v>
      </c>
      <c r="E3793">
        <v>4</v>
      </c>
      <c r="F3793" t="s">
        <v>134</v>
      </c>
      <c r="G3793" t="s">
        <v>73</v>
      </c>
      <c r="H3793" t="s">
        <v>52</v>
      </c>
      <c r="I3793" t="s">
        <v>27</v>
      </c>
      <c r="J3793" t="s">
        <v>74</v>
      </c>
      <c r="K3793" t="s">
        <v>38</v>
      </c>
      <c r="L3793">
        <v>1</v>
      </c>
      <c r="M3793">
        <v>846</v>
      </c>
      <c r="N3793">
        <v>126.9</v>
      </c>
      <c r="O3793">
        <v>30</v>
      </c>
      <c r="P3793">
        <v>846</v>
      </c>
      <c r="Q3793">
        <v>749.1</v>
      </c>
      <c r="R3793" t="s">
        <v>98</v>
      </c>
      <c r="S3793" t="s">
        <v>31</v>
      </c>
      <c r="T3793" t="s">
        <v>32</v>
      </c>
      <c r="U3793">
        <v>42</v>
      </c>
      <c r="V3793">
        <v>3.8</v>
      </c>
      <c r="W3793">
        <f>Table2[[#This Row],[Quantity]]*Table2[[#This Row],[Item_Price]]</f>
        <v>846</v>
      </c>
    </row>
    <row r="3794" spans="1:23" x14ac:dyDescent="0.25">
      <c r="A3794" t="s">
        <v>3897</v>
      </c>
      <c r="B3794" s="1">
        <v>45935</v>
      </c>
      <c r="C3794" t="s">
        <v>3846</v>
      </c>
      <c r="D3794">
        <v>10</v>
      </c>
      <c r="E3794">
        <v>5</v>
      </c>
      <c r="F3794" t="s">
        <v>149</v>
      </c>
      <c r="G3794" t="s">
        <v>73</v>
      </c>
      <c r="H3794" t="s">
        <v>60</v>
      </c>
      <c r="I3794" t="s">
        <v>61</v>
      </c>
      <c r="J3794" t="s">
        <v>44</v>
      </c>
      <c r="K3794" t="s">
        <v>58</v>
      </c>
      <c r="L3794">
        <v>2</v>
      </c>
      <c r="M3794">
        <v>539</v>
      </c>
      <c r="N3794">
        <v>53.9</v>
      </c>
      <c r="O3794">
        <v>40</v>
      </c>
      <c r="P3794">
        <v>1078</v>
      </c>
      <c r="Q3794">
        <v>1064.0999999999999</v>
      </c>
      <c r="R3794" t="s">
        <v>112</v>
      </c>
      <c r="S3794" t="s">
        <v>31</v>
      </c>
      <c r="T3794" t="s">
        <v>32</v>
      </c>
      <c r="U3794">
        <v>52</v>
      </c>
      <c r="V3794">
        <v>4</v>
      </c>
      <c r="W3794">
        <f>Table2[[#This Row],[Quantity]]*Table2[[#This Row],[Item_Price]]</f>
        <v>1078</v>
      </c>
    </row>
    <row r="3795" spans="1:23" x14ac:dyDescent="0.25">
      <c r="A3795" t="s">
        <v>3898</v>
      </c>
      <c r="B3795" s="1">
        <v>45935</v>
      </c>
      <c r="C3795" t="s">
        <v>3846</v>
      </c>
      <c r="D3795">
        <v>10</v>
      </c>
      <c r="E3795">
        <v>5</v>
      </c>
      <c r="F3795" t="s">
        <v>149</v>
      </c>
      <c r="G3795" t="s">
        <v>34</v>
      </c>
      <c r="H3795" t="s">
        <v>35</v>
      </c>
      <c r="I3795" t="s">
        <v>43</v>
      </c>
      <c r="J3795" t="s">
        <v>172</v>
      </c>
      <c r="K3795" t="s">
        <v>38</v>
      </c>
      <c r="L3795">
        <v>2</v>
      </c>
      <c r="M3795">
        <v>512</v>
      </c>
      <c r="N3795">
        <v>25.6</v>
      </c>
      <c r="O3795">
        <v>70</v>
      </c>
      <c r="P3795">
        <v>1024</v>
      </c>
      <c r="Q3795">
        <v>1068.4000000000001</v>
      </c>
      <c r="R3795" t="s">
        <v>39</v>
      </c>
      <c r="S3795" t="s">
        <v>31</v>
      </c>
      <c r="T3795" t="s">
        <v>40</v>
      </c>
      <c r="U3795">
        <v>28</v>
      </c>
      <c r="V3795">
        <v>4.4000000000000004</v>
      </c>
      <c r="W3795">
        <f>Table2[[#This Row],[Quantity]]*Table2[[#This Row],[Item_Price]]</f>
        <v>1024</v>
      </c>
    </row>
    <row r="3796" spans="1:23" x14ac:dyDescent="0.25">
      <c r="A3796" t="s">
        <v>3899</v>
      </c>
      <c r="B3796" s="1">
        <v>45935</v>
      </c>
      <c r="C3796" t="s">
        <v>3846</v>
      </c>
      <c r="D3796">
        <v>10</v>
      </c>
      <c r="E3796">
        <v>5</v>
      </c>
      <c r="F3796" t="s">
        <v>149</v>
      </c>
      <c r="G3796" t="s">
        <v>34</v>
      </c>
      <c r="H3796" t="s">
        <v>108</v>
      </c>
      <c r="I3796" t="s">
        <v>69</v>
      </c>
      <c r="J3796" t="s">
        <v>78</v>
      </c>
      <c r="K3796" t="s">
        <v>38</v>
      </c>
      <c r="L3796">
        <v>2</v>
      </c>
      <c r="M3796">
        <v>177</v>
      </c>
      <c r="N3796">
        <v>17.7</v>
      </c>
      <c r="O3796">
        <v>30</v>
      </c>
      <c r="P3796">
        <v>354</v>
      </c>
      <c r="Q3796">
        <v>366.3</v>
      </c>
      <c r="R3796" t="s">
        <v>39</v>
      </c>
      <c r="S3796" t="s">
        <v>31</v>
      </c>
      <c r="T3796" t="s">
        <v>32</v>
      </c>
      <c r="U3796">
        <v>18</v>
      </c>
      <c r="V3796">
        <v>4.8</v>
      </c>
      <c r="W3796">
        <f>Table2[[#This Row],[Quantity]]*Table2[[#This Row],[Item_Price]]</f>
        <v>354</v>
      </c>
    </row>
    <row r="3797" spans="1:23" x14ac:dyDescent="0.25">
      <c r="A3797" t="s">
        <v>3900</v>
      </c>
      <c r="B3797" s="1">
        <v>45935</v>
      </c>
      <c r="C3797" t="s">
        <v>3846</v>
      </c>
      <c r="D3797">
        <v>10</v>
      </c>
      <c r="E3797">
        <v>5</v>
      </c>
      <c r="F3797" t="s">
        <v>149</v>
      </c>
      <c r="G3797" t="s">
        <v>115</v>
      </c>
      <c r="H3797" t="s">
        <v>105</v>
      </c>
      <c r="I3797" t="s">
        <v>27</v>
      </c>
      <c r="J3797" t="s">
        <v>82</v>
      </c>
      <c r="K3797" t="s">
        <v>38</v>
      </c>
      <c r="L3797">
        <v>1</v>
      </c>
      <c r="M3797">
        <v>199</v>
      </c>
      <c r="N3797">
        <v>0</v>
      </c>
      <c r="O3797">
        <v>30</v>
      </c>
      <c r="P3797">
        <v>199</v>
      </c>
      <c r="Q3797">
        <v>229</v>
      </c>
      <c r="R3797" t="s">
        <v>39</v>
      </c>
      <c r="S3797" t="s">
        <v>31</v>
      </c>
      <c r="T3797" t="s">
        <v>32</v>
      </c>
      <c r="U3797">
        <v>29</v>
      </c>
      <c r="V3797">
        <v>3.6</v>
      </c>
      <c r="W3797">
        <f>Table2[[#This Row],[Quantity]]*Table2[[#This Row],[Item_Price]]</f>
        <v>199</v>
      </c>
    </row>
    <row r="3798" spans="1:23" x14ac:dyDescent="0.25">
      <c r="A3798" t="s">
        <v>3901</v>
      </c>
      <c r="B3798" s="1">
        <v>45935</v>
      </c>
      <c r="C3798" t="s">
        <v>3846</v>
      </c>
      <c r="D3798">
        <v>10</v>
      </c>
      <c r="E3798">
        <v>5</v>
      </c>
      <c r="F3798" t="s">
        <v>149</v>
      </c>
      <c r="G3798" t="s">
        <v>115</v>
      </c>
      <c r="H3798" t="s">
        <v>68</v>
      </c>
      <c r="I3798" t="s">
        <v>49</v>
      </c>
      <c r="J3798" t="s">
        <v>78</v>
      </c>
      <c r="K3798" t="s">
        <v>38</v>
      </c>
      <c r="L3798">
        <v>1</v>
      </c>
      <c r="M3798">
        <v>832</v>
      </c>
      <c r="N3798">
        <v>208</v>
      </c>
      <c r="O3798">
        <v>30</v>
      </c>
      <c r="P3798">
        <v>832</v>
      </c>
      <c r="Q3798">
        <v>654</v>
      </c>
      <c r="R3798" t="s">
        <v>39</v>
      </c>
      <c r="S3798" t="s">
        <v>31</v>
      </c>
      <c r="T3798" t="s">
        <v>32</v>
      </c>
      <c r="U3798">
        <v>46</v>
      </c>
      <c r="V3798">
        <v>3.7</v>
      </c>
      <c r="W3798">
        <f>Table2[[#This Row],[Quantity]]*Table2[[#This Row],[Item_Price]]</f>
        <v>832</v>
      </c>
    </row>
    <row r="3799" spans="1:23" x14ac:dyDescent="0.25">
      <c r="A3799" t="s">
        <v>3902</v>
      </c>
      <c r="B3799" s="1">
        <v>45935</v>
      </c>
      <c r="C3799" t="s">
        <v>3846</v>
      </c>
      <c r="D3799">
        <v>10</v>
      </c>
      <c r="E3799">
        <v>5</v>
      </c>
      <c r="F3799" t="s">
        <v>149</v>
      </c>
      <c r="G3799" t="s">
        <v>64</v>
      </c>
      <c r="H3799" t="s">
        <v>52</v>
      </c>
      <c r="I3799" t="s">
        <v>61</v>
      </c>
      <c r="J3799" t="s">
        <v>70</v>
      </c>
      <c r="K3799" t="s">
        <v>45</v>
      </c>
      <c r="L3799">
        <v>1</v>
      </c>
      <c r="M3799">
        <v>840</v>
      </c>
      <c r="N3799">
        <v>210</v>
      </c>
      <c r="O3799">
        <v>40</v>
      </c>
      <c r="P3799">
        <v>840</v>
      </c>
      <c r="Q3799">
        <v>670</v>
      </c>
      <c r="R3799" t="s">
        <v>39</v>
      </c>
      <c r="S3799" t="s">
        <v>46</v>
      </c>
      <c r="T3799" t="s">
        <v>40</v>
      </c>
      <c r="U3799">
        <v>23</v>
      </c>
      <c r="W3799">
        <f>Table2[[#This Row],[Quantity]]*Table2[[#This Row],[Item_Price]]</f>
        <v>840</v>
      </c>
    </row>
    <row r="3800" spans="1:23" x14ac:dyDescent="0.25">
      <c r="A3800" t="s">
        <v>3903</v>
      </c>
      <c r="B3800" s="1">
        <v>45935</v>
      </c>
      <c r="C3800" t="s">
        <v>3846</v>
      </c>
      <c r="D3800">
        <v>10</v>
      </c>
      <c r="E3800">
        <v>5</v>
      </c>
      <c r="F3800" t="s">
        <v>149</v>
      </c>
      <c r="G3800" t="s">
        <v>55</v>
      </c>
      <c r="H3800" t="s">
        <v>35</v>
      </c>
      <c r="I3800" t="s">
        <v>43</v>
      </c>
      <c r="J3800" t="s">
        <v>82</v>
      </c>
      <c r="K3800" t="s">
        <v>38</v>
      </c>
      <c r="L3800">
        <v>1</v>
      </c>
      <c r="M3800">
        <v>431</v>
      </c>
      <c r="N3800">
        <v>64.650000000000006</v>
      </c>
      <c r="O3800">
        <v>70</v>
      </c>
      <c r="P3800">
        <v>431</v>
      </c>
      <c r="Q3800">
        <v>436.35</v>
      </c>
      <c r="R3800" t="s">
        <v>39</v>
      </c>
      <c r="S3800" t="s">
        <v>31</v>
      </c>
      <c r="T3800" t="s">
        <v>40</v>
      </c>
      <c r="U3800">
        <v>54</v>
      </c>
      <c r="V3800">
        <v>4.8</v>
      </c>
      <c r="W3800">
        <f>Table2[[#This Row],[Quantity]]*Table2[[#This Row],[Item_Price]]</f>
        <v>431</v>
      </c>
    </row>
    <row r="3801" spans="1:23" x14ac:dyDescent="0.25">
      <c r="A3801" t="s">
        <v>3904</v>
      </c>
      <c r="B3801" s="1">
        <v>45935</v>
      </c>
      <c r="C3801" t="s">
        <v>3846</v>
      </c>
      <c r="D3801">
        <v>10</v>
      </c>
      <c r="E3801">
        <v>5</v>
      </c>
      <c r="F3801" t="s">
        <v>149</v>
      </c>
      <c r="G3801" t="s">
        <v>34</v>
      </c>
      <c r="H3801" t="s">
        <v>48</v>
      </c>
      <c r="I3801" t="s">
        <v>61</v>
      </c>
      <c r="J3801" t="s">
        <v>44</v>
      </c>
      <c r="K3801" t="s">
        <v>38</v>
      </c>
      <c r="L3801">
        <v>2</v>
      </c>
      <c r="M3801">
        <v>497</v>
      </c>
      <c r="N3801">
        <v>49.7</v>
      </c>
      <c r="O3801">
        <v>30</v>
      </c>
      <c r="P3801">
        <v>994</v>
      </c>
      <c r="Q3801">
        <v>974.3</v>
      </c>
      <c r="R3801" t="s">
        <v>39</v>
      </c>
      <c r="S3801" t="s">
        <v>31</v>
      </c>
      <c r="T3801" t="s">
        <v>40</v>
      </c>
      <c r="U3801">
        <v>60</v>
      </c>
      <c r="V3801">
        <v>4.4000000000000004</v>
      </c>
      <c r="W3801">
        <f>Table2[[#This Row],[Quantity]]*Table2[[#This Row],[Item_Price]]</f>
        <v>994</v>
      </c>
    </row>
    <row r="3802" spans="1:23" x14ac:dyDescent="0.25">
      <c r="A3802" t="s">
        <v>3905</v>
      </c>
      <c r="B3802" s="1">
        <v>45935</v>
      </c>
      <c r="C3802" t="s">
        <v>3846</v>
      </c>
      <c r="D3802">
        <v>10</v>
      </c>
      <c r="E3802">
        <v>5</v>
      </c>
      <c r="F3802" t="s">
        <v>149</v>
      </c>
      <c r="G3802" t="s">
        <v>73</v>
      </c>
      <c r="H3802" t="s">
        <v>68</v>
      </c>
      <c r="I3802" t="s">
        <v>69</v>
      </c>
      <c r="J3802" t="s">
        <v>28</v>
      </c>
      <c r="K3802" t="s">
        <v>38</v>
      </c>
      <c r="L3802">
        <v>3</v>
      </c>
      <c r="M3802">
        <v>273</v>
      </c>
      <c r="N3802">
        <v>0</v>
      </c>
      <c r="O3802">
        <v>20</v>
      </c>
      <c r="P3802">
        <v>819</v>
      </c>
      <c r="Q3802">
        <v>839</v>
      </c>
      <c r="R3802" t="s">
        <v>75</v>
      </c>
      <c r="S3802" t="s">
        <v>31</v>
      </c>
      <c r="T3802" t="s">
        <v>40</v>
      </c>
      <c r="U3802">
        <v>54</v>
      </c>
      <c r="V3802">
        <v>4.2</v>
      </c>
      <c r="W3802">
        <f>Table2[[#This Row],[Quantity]]*Table2[[#This Row],[Item_Price]]</f>
        <v>819</v>
      </c>
    </row>
    <row r="3803" spans="1:23" x14ac:dyDescent="0.25">
      <c r="A3803" t="s">
        <v>3906</v>
      </c>
      <c r="B3803" s="1">
        <v>45935</v>
      </c>
      <c r="C3803" t="s">
        <v>3846</v>
      </c>
      <c r="D3803">
        <v>10</v>
      </c>
      <c r="E3803">
        <v>5</v>
      </c>
      <c r="F3803" t="s">
        <v>149</v>
      </c>
      <c r="G3803" t="s">
        <v>25</v>
      </c>
      <c r="H3803" t="s">
        <v>60</v>
      </c>
      <c r="I3803" t="s">
        <v>69</v>
      </c>
      <c r="J3803" t="s">
        <v>74</v>
      </c>
      <c r="K3803" t="s">
        <v>38</v>
      </c>
      <c r="L3803">
        <v>2</v>
      </c>
      <c r="M3803">
        <v>287</v>
      </c>
      <c r="N3803">
        <v>28.7</v>
      </c>
      <c r="O3803">
        <v>30</v>
      </c>
      <c r="P3803">
        <v>574</v>
      </c>
      <c r="Q3803">
        <v>575.29999999999995</v>
      </c>
      <c r="R3803" t="s">
        <v>98</v>
      </c>
      <c r="S3803" t="s">
        <v>31</v>
      </c>
      <c r="T3803" t="s">
        <v>32</v>
      </c>
      <c r="U3803">
        <v>50</v>
      </c>
      <c r="V3803">
        <v>5</v>
      </c>
      <c r="W3803">
        <f>Table2[[#This Row],[Quantity]]*Table2[[#This Row],[Item_Price]]</f>
        <v>574</v>
      </c>
    </row>
    <row r="3804" spans="1:23" x14ac:dyDescent="0.25">
      <c r="A3804" t="s">
        <v>3907</v>
      </c>
      <c r="B3804" s="1">
        <v>45935</v>
      </c>
      <c r="C3804" t="s">
        <v>3846</v>
      </c>
      <c r="D3804">
        <v>10</v>
      </c>
      <c r="E3804">
        <v>5</v>
      </c>
      <c r="F3804" t="s">
        <v>149</v>
      </c>
      <c r="G3804" t="s">
        <v>73</v>
      </c>
      <c r="H3804" t="s">
        <v>35</v>
      </c>
      <c r="I3804" t="s">
        <v>43</v>
      </c>
      <c r="J3804" t="s">
        <v>101</v>
      </c>
      <c r="K3804" t="s">
        <v>58</v>
      </c>
      <c r="L3804">
        <v>3</v>
      </c>
      <c r="M3804">
        <v>424</v>
      </c>
      <c r="N3804">
        <v>42.4</v>
      </c>
      <c r="O3804">
        <v>0</v>
      </c>
      <c r="P3804">
        <v>1272</v>
      </c>
      <c r="Q3804">
        <v>1229.5999999999999</v>
      </c>
      <c r="R3804" t="s">
        <v>75</v>
      </c>
      <c r="S3804" t="s">
        <v>31</v>
      </c>
      <c r="T3804" t="s">
        <v>32</v>
      </c>
      <c r="U3804">
        <v>21</v>
      </c>
      <c r="V3804">
        <v>3.8</v>
      </c>
      <c r="W3804">
        <f>Table2[[#This Row],[Quantity]]*Table2[[#This Row],[Item_Price]]</f>
        <v>1272</v>
      </c>
    </row>
    <row r="3805" spans="1:23" x14ac:dyDescent="0.25">
      <c r="A3805" t="s">
        <v>3908</v>
      </c>
      <c r="B3805" s="1">
        <v>45936</v>
      </c>
      <c r="C3805" t="s">
        <v>3846</v>
      </c>
      <c r="D3805">
        <v>10</v>
      </c>
      <c r="E3805">
        <v>6</v>
      </c>
      <c r="F3805" t="s">
        <v>168</v>
      </c>
      <c r="G3805" t="s">
        <v>90</v>
      </c>
      <c r="H3805" t="s">
        <v>60</v>
      </c>
      <c r="I3805" t="s">
        <v>27</v>
      </c>
      <c r="J3805" t="s">
        <v>66</v>
      </c>
      <c r="K3805" t="s">
        <v>38</v>
      </c>
      <c r="L3805">
        <v>2</v>
      </c>
      <c r="M3805">
        <v>287</v>
      </c>
      <c r="N3805">
        <v>57.4</v>
      </c>
      <c r="O3805">
        <v>0</v>
      </c>
      <c r="P3805">
        <v>574</v>
      </c>
      <c r="Q3805">
        <v>516.6</v>
      </c>
      <c r="R3805" t="s">
        <v>75</v>
      </c>
      <c r="S3805" t="s">
        <v>31</v>
      </c>
      <c r="T3805" t="s">
        <v>32</v>
      </c>
      <c r="U3805">
        <v>23</v>
      </c>
      <c r="V3805">
        <v>3.9</v>
      </c>
      <c r="W3805">
        <f>Table2[[#This Row],[Quantity]]*Table2[[#This Row],[Item_Price]]</f>
        <v>574</v>
      </c>
    </row>
    <row r="3806" spans="1:23" x14ac:dyDescent="0.25">
      <c r="A3806" t="s">
        <v>3909</v>
      </c>
      <c r="B3806" s="1">
        <v>45936</v>
      </c>
      <c r="C3806" t="s">
        <v>3846</v>
      </c>
      <c r="D3806">
        <v>10</v>
      </c>
      <c r="E3806">
        <v>6</v>
      </c>
      <c r="F3806" t="s">
        <v>168</v>
      </c>
      <c r="G3806" t="s">
        <v>73</v>
      </c>
      <c r="H3806" t="s">
        <v>48</v>
      </c>
      <c r="I3806" t="s">
        <v>57</v>
      </c>
      <c r="J3806" t="s">
        <v>82</v>
      </c>
      <c r="K3806" t="s">
        <v>38</v>
      </c>
      <c r="L3806">
        <v>2</v>
      </c>
      <c r="M3806">
        <v>404</v>
      </c>
      <c r="N3806">
        <v>80.8</v>
      </c>
      <c r="O3806">
        <v>30</v>
      </c>
      <c r="P3806">
        <v>808</v>
      </c>
      <c r="Q3806">
        <v>757.2</v>
      </c>
      <c r="R3806" t="s">
        <v>39</v>
      </c>
      <c r="S3806" t="s">
        <v>31</v>
      </c>
      <c r="T3806" t="s">
        <v>40</v>
      </c>
      <c r="U3806">
        <v>18</v>
      </c>
      <c r="V3806">
        <v>4.3</v>
      </c>
      <c r="W3806">
        <f>Table2[[#This Row],[Quantity]]*Table2[[#This Row],[Item_Price]]</f>
        <v>808</v>
      </c>
    </row>
    <row r="3807" spans="1:23" x14ac:dyDescent="0.25">
      <c r="A3807" t="s">
        <v>3910</v>
      </c>
      <c r="B3807" s="1">
        <v>45936</v>
      </c>
      <c r="C3807" t="s">
        <v>3846</v>
      </c>
      <c r="D3807">
        <v>10</v>
      </c>
      <c r="E3807">
        <v>6</v>
      </c>
      <c r="F3807" t="s">
        <v>168</v>
      </c>
      <c r="G3807" t="s">
        <v>64</v>
      </c>
      <c r="H3807" t="s">
        <v>77</v>
      </c>
      <c r="I3807" t="s">
        <v>85</v>
      </c>
      <c r="J3807" t="s">
        <v>74</v>
      </c>
      <c r="K3807" t="s">
        <v>38</v>
      </c>
      <c r="L3807">
        <v>3</v>
      </c>
      <c r="M3807">
        <v>592</v>
      </c>
      <c r="N3807">
        <v>0</v>
      </c>
      <c r="O3807">
        <v>30</v>
      </c>
      <c r="P3807">
        <v>1776</v>
      </c>
      <c r="Q3807">
        <v>1806</v>
      </c>
      <c r="R3807" t="s">
        <v>39</v>
      </c>
      <c r="S3807" t="s">
        <v>31</v>
      </c>
      <c r="T3807" t="s">
        <v>32</v>
      </c>
      <c r="U3807">
        <v>29</v>
      </c>
      <c r="V3807">
        <v>3.8</v>
      </c>
      <c r="W3807">
        <f>Table2[[#This Row],[Quantity]]*Table2[[#This Row],[Item_Price]]</f>
        <v>1776</v>
      </c>
    </row>
    <row r="3808" spans="1:23" x14ac:dyDescent="0.25">
      <c r="A3808" t="s">
        <v>3911</v>
      </c>
      <c r="B3808" s="1">
        <v>45936</v>
      </c>
      <c r="C3808" t="s">
        <v>3846</v>
      </c>
      <c r="D3808">
        <v>10</v>
      </c>
      <c r="E3808">
        <v>6</v>
      </c>
      <c r="F3808" t="s">
        <v>168</v>
      </c>
      <c r="G3808" t="s">
        <v>34</v>
      </c>
      <c r="H3808" t="s">
        <v>26</v>
      </c>
      <c r="I3808" t="s">
        <v>97</v>
      </c>
      <c r="J3808" t="s">
        <v>44</v>
      </c>
      <c r="K3808" t="s">
        <v>38</v>
      </c>
      <c r="L3808">
        <v>1</v>
      </c>
      <c r="M3808">
        <v>222</v>
      </c>
      <c r="N3808">
        <v>33.299999999999997</v>
      </c>
      <c r="O3808">
        <v>40</v>
      </c>
      <c r="P3808">
        <v>222</v>
      </c>
      <c r="Q3808">
        <v>228.7</v>
      </c>
      <c r="R3808" t="s">
        <v>39</v>
      </c>
      <c r="S3808" t="s">
        <v>31</v>
      </c>
      <c r="T3808" t="s">
        <v>32</v>
      </c>
      <c r="U3808">
        <v>70</v>
      </c>
      <c r="V3808">
        <v>3.7</v>
      </c>
      <c r="W3808">
        <f>Table2[[#This Row],[Quantity]]*Table2[[#This Row],[Item_Price]]</f>
        <v>222</v>
      </c>
    </row>
    <row r="3809" spans="1:23" x14ac:dyDescent="0.25">
      <c r="A3809" t="s">
        <v>3912</v>
      </c>
      <c r="B3809" s="1">
        <v>45936</v>
      </c>
      <c r="C3809" t="s">
        <v>3846</v>
      </c>
      <c r="D3809">
        <v>10</v>
      </c>
      <c r="E3809">
        <v>6</v>
      </c>
      <c r="F3809" t="s">
        <v>168</v>
      </c>
      <c r="G3809" t="s">
        <v>80</v>
      </c>
      <c r="H3809" t="s">
        <v>139</v>
      </c>
      <c r="I3809" t="s">
        <v>49</v>
      </c>
      <c r="J3809" t="s">
        <v>70</v>
      </c>
      <c r="K3809" t="s">
        <v>45</v>
      </c>
      <c r="L3809">
        <v>2</v>
      </c>
      <c r="M3809">
        <v>321</v>
      </c>
      <c r="N3809">
        <v>0</v>
      </c>
      <c r="O3809">
        <v>30</v>
      </c>
      <c r="P3809">
        <v>642</v>
      </c>
      <c r="Q3809">
        <v>672</v>
      </c>
      <c r="R3809" t="s">
        <v>39</v>
      </c>
      <c r="S3809" t="s">
        <v>31</v>
      </c>
      <c r="T3809" t="s">
        <v>40</v>
      </c>
      <c r="U3809">
        <v>60</v>
      </c>
      <c r="V3809">
        <v>4.5999999999999996</v>
      </c>
      <c r="W3809">
        <f>Table2[[#This Row],[Quantity]]*Table2[[#This Row],[Item_Price]]</f>
        <v>642</v>
      </c>
    </row>
    <row r="3810" spans="1:23" x14ac:dyDescent="0.25">
      <c r="A3810" t="s">
        <v>3913</v>
      </c>
      <c r="B3810" s="1">
        <v>45936</v>
      </c>
      <c r="C3810" t="s">
        <v>3846</v>
      </c>
      <c r="D3810">
        <v>10</v>
      </c>
      <c r="E3810">
        <v>6</v>
      </c>
      <c r="F3810" t="s">
        <v>168</v>
      </c>
      <c r="G3810" t="s">
        <v>80</v>
      </c>
      <c r="H3810" t="s">
        <v>52</v>
      </c>
      <c r="I3810" t="s">
        <v>57</v>
      </c>
      <c r="J3810" t="s">
        <v>44</v>
      </c>
      <c r="K3810" t="s">
        <v>38</v>
      </c>
      <c r="L3810">
        <v>1</v>
      </c>
      <c r="M3810">
        <v>500</v>
      </c>
      <c r="N3810">
        <v>50</v>
      </c>
      <c r="O3810">
        <v>50</v>
      </c>
      <c r="P3810">
        <v>500</v>
      </c>
      <c r="Q3810">
        <v>500</v>
      </c>
      <c r="R3810" t="s">
        <v>39</v>
      </c>
      <c r="S3810" t="s">
        <v>31</v>
      </c>
      <c r="T3810" t="s">
        <v>40</v>
      </c>
      <c r="U3810">
        <v>60</v>
      </c>
      <c r="V3810">
        <v>4</v>
      </c>
      <c r="W3810">
        <f>Table2[[#This Row],[Quantity]]*Table2[[#This Row],[Item_Price]]</f>
        <v>500</v>
      </c>
    </row>
    <row r="3811" spans="1:23" x14ac:dyDescent="0.25">
      <c r="A3811" t="s">
        <v>3914</v>
      </c>
      <c r="B3811" s="1">
        <v>45936</v>
      </c>
      <c r="C3811" t="s">
        <v>3846</v>
      </c>
      <c r="D3811">
        <v>10</v>
      </c>
      <c r="E3811">
        <v>6</v>
      </c>
      <c r="F3811" t="s">
        <v>168</v>
      </c>
      <c r="G3811" t="s">
        <v>80</v>
      </c>
      <c r="H3811" t="s">
        <v>68</v>
      </c>
      <c r="I3811" t="s">
        <v>27</v>
      </c>
      <c r="J3811" t="s">
        <v>66</v>
      </c>
      <c r="K3811" t="s">
        <v>45</v>
      </c>
      <c r="L3811">
        <v>1</v>
      </c>
      <c r="M3811">
        <v>801</v>
      </c>
      <c r="N3811">
        <v>120.15</v>
      </c>
      <c r="O3811">
        <v>0</v>
      </c>
      <c r="P3811">
        <v>801</v>
      </c>
      <c r="Q3811">
        <v>680.85</v>
      </c>
      <c r="R3811" t="s">
        <v>75</v>
      </c>
      <c r="S3811" t="s">
        <v>31</v>
      </c>
      <c r="T3811" t="s">
        <v>32</v>
      </c>
      <c r="U3811">
        <v>59</v>
      </c>
      <c r="V3811">
        <v>4.4000000000000004</v>
      </c>
      <c r="W3811">
        <f>Table2[[#This Row],[Quantity]]*Table2[[#This Row],[Item_Price]]</f>
        <v>801</v>
      </c>
    </row>
    <row r="3812" spans="1:23" x14ac:dyDescent="0.25">
      <c r="A3812" t="s">
        <v>3915</v>
      </c>
      <c r="B3812" s="1">
        <v>45936</v>
      </c>
      <c r="C3812" t="s">
        <v>3846</v>
      </c>
      <c r="D3812">
        <v>10</v>
      </c>
      <c r="E3812">
        <v>6</v>
      </c>
      <c r="F3812" t="s">
        <v>168</v>
      </c>
      <c r="G3812" t="s">
        <v>80</v>
      </c>
      <c r="H3812" t="s">
        <v>42</v>
      </c>
      <c r="I3812" t="s">
        <v>43</v>
      </c>
      <c r="J3812" t="s">
        <v>74</v>
      </c>
      <c r="K3812" t="s">
        <v>38</v>
      </c>
      <c r="L3812">
        <v>3</v>
      </c>
      <c r="M3812">
        <v>541</v>
      </c>
      <c r="N3812">
        <v>108.2</v>
      </c>
      <c r="O3812">
        <v>40</v>
      </c>
      <c r="P3812">
        <v>1623</v>
      </c>
      <c r="Q3812">
        <v>1554.8</v>
      </c>
      <c r="R3812" t="s">
        <v>112</v>
      </c>
      <c r="S3812" t="s">
        <v>31</v>
      </c>
      <c r="T3812" t="s">
        <v>32</v>
      </c>
      <c r="U3812">
        <v>64</v>
      </c>
      <c r="V3812">
        <v>4.2</v>
      </c>
      <c r="W3812">
        <f>Table2[[#This Row],[Quantity]]*Table2[[#This Row],[Item_Price]]</f>
        <v>1623</v>
      </c>
    </row>
    <row r="3813" spans="1:23" x14ac:dyDescent="0.25">
      <c r="A3813" t="s">
        <v>3916</v>
      </c>
      <c r="B3813" s="1">
        <v>45936</v>
      </c>
      <c r="C3813" t="s">
        <v>3846</v>
      </c>
      <c r="D3813">
        <v>10</v>
      </c>
      <c r="E3813">
        <v>6</v>
      </c>
      <c r="F3813" t="s">
        <v>168</v>
      </c>
      <c r="G3813" t="s">
        <v>64</v>
      </c>
      <c r="H3813" t="s">
        <v>68</v>
      </c>
      <c r="I3813" t="s">
        <v>61</v>
      </c>
      <c r="J3813" t="s">
        <v>28</v>
      </c>
      <c r="K3813" t="s">
        <v>38</v>
      </c>
      <c r="L3813">
        <v>1</v>
      </c>
      <c r="M3813">
        <v>663</v>
      </c>
      <c r="N3813">
        <v>33.15</v>
      </c>
      <c r="O3813">
        <v>30</v>
      </c>
      <c r="P3813">
        <v>663</v>
      </c>
      <c r="Q3813">
        <v>659.85</v>
      </c>
      <c r="R3813" t="s">
        <v>39</v>
      </c>
      <c r="S3813" t="s">
        <v>31</v>
      </c>
      <c r="T3813" t="s">
        <v>40</v>
      </c>
      <c r="U3813">
        <v>51</v>
      </c>
      <c r="V3813">
        <v>2.8</v>
      </c>
      <c r="W3813">
        <f>Table2[[#This Row],[Quantity]]*Table2[[#This Row],[Item_Price]]</f>
        <v>663</v>
      </c>
    </row>
    <row r="3814" spans="1:23" x14ac:dyDescent="0.25">
      <c r="A3814" t="s">
        <v>3917</v>
      </c>
      <c r="B3814" s="1">
        <v>45936</v>
      </c>
      <c r="C3814" t="s">
        <v>3846</v>
      </c>
      <c r="D3814">
        <v>10</v>
      </c>
      <c r="E3814">
        <v>6</v>
      </c>
      <c r="F3814" t="s">
        <v>168</v>
      </c>
      <c r="G3814" t="s">
        <v>25</v>
      </c>
      <c r="H3814" t="s">
        <v>81</v>
      </c>
      <c r="I3814" t="s">
        <v>49</v>
      </c>
      <c r="J3814" t="s">
        <v>172</v>
      </c>
      <c r="K3814" t="s">
        <v>38</v>
      </c>
      <c r="L3814">
        <v>1</v>
      </c>
      <c r="M3814">
        <v>667</v>
      </c>
      <c r="N3814">
        <v>66.7</v>
      </c>
      <c r="O3814">
        <v>40</v>
      </c>
      <c r="P3814">
        <v>667</v>
      </c>
      <c r="Q3814">
        <v>640.29999999999995</v>
      </c>
      <c r="R3814" t="s">
        <v>30</v>
      </c>
      <c r="S3814" t="s">
        <v>31</v>
      </c>
      <c r="T3814" t="s">
        <v>40</v>
      </c>
      <c r="U3814">
        <v>65</v>
      </c>
      <c r="V3814">
        <v>4.9000000000000004</v>
      </c>
      <c r="W3814">
        <f>Table2[[#This Row],[Quantity]]*Table2[[#This Row],[Item_Price]]</f>
        <v>667</v>
      </c>
    </row>
    <row r="3815" spans="1:23" x14ac:dyDescent="0.25">
      <c r="A3815" t="s">
        <v>3918</v>
      </c>
      <c r="B3815" s="1">
        <v>45936</v>
      </c>
      <c r="C3815" t="s">
        <v>3846</v>
      </c>
      <c r="D3815">
        <v>10</v>
      </c>
      <c r="E3815">
        <v>6</v>
      </c>
      <c r="F3815" t="s">
        <v>168</v>
      </c>
      <c r="G3815" t="s">
        <v>80</v>
      </c>
      <c r="H3815" t="s">
        <v>42</v>
      </c>
      <c r="I3815" t="s">
        <v>27</v>
      </c>
      <c r="J3815" t="s">
        <v>94</v>
      </c>
      <c r="K3815" t="s">
        <v>38</v>
      </c>
      <c r="L3815">
        <v>1</v>
      </c>
      <c r="M3815">
        <v>399</v>
      </c>
      <c r="N3815">
        <v>0</v>
      </c>
      <c r="O3815">
        <v>60</v>
      </c>
      <c r="P3815">
        <v>399</v>
      </c>
      <c r="Q3815">
        <v>459</v>
      </c>
      <c r="R3815" t="s">
        <v>75</v>
      </c>
      <c r="S3815" t="s">
        <v>31</v>
      </c>
      <c r="T3815" t="s">
        <v>32</v>
      </c>
      <c r="U3815">
        <v>18</v>
      </c>
      <c r="V3815">
        <v>5</v>
      </c>
      <c r="W3815">
        <f>Table2[[#This Row],[Quantity]]*Table2[[#This Row],[Item_Price]]</f>
        <v>399</v>
      </c>
    </row>
    <row r="3816" spans="1:23" x14ac:dyDescent="0.25">
      <c r="A3816" t="s">
        <v>3919</v>
      </c>
      <c r="B3816" s="1">
        <v>45937</v>
      </c>
      <c r="C3816" t="s">
        <v>3846</v>
      </c>
      <c r="D3816">
        <v>10</v>
      </c>
      <c r="E3816">
        <v>7</v>
      </c>
      <c r="F3816" t="s">
        <v>178</v>
      </c>
      <c r="G3816" t="s">
        <v>34</v>
      </c>
      <c r="H3816" t="s">
        <v>77</v>
      </c>
      <c r="I3816" t="s">
        <v>36</v>
      </c>
      <c r="J3816" t="s">
        <v>70</v>
      </c>
      <c r="K3816" t="s">
        <v>38</v>
      </c>
      <c r="L3816">
        <v>2</v>
      </c>
      <c r="M3816">
        <v>297</v>
      </c>
      <c r="N3816">
        <v>29.7</v>
      </c>
      <c r="O3816">
        <v>40</v>
      </c>
      <c r="P3816">
        <v>594</v>
      </c>
      <c r="Q3816">
        <v>604.29999999999995</v>
      </c>
      <c r="R3816" t="s">
        <v>39</v>
      </c>
      <c r="S3816" t="s">
        <v>31</v>
      </c>
      <c r="T3816" t="s">
        <v>32</v>
      </c>
      <c r="U3816">
        <v>27</v>
      </c>
      <c r="V3816">
        <v>3.5</v>
      </c>
      <c r="W3816">
        <f>Table2[[#This Row],[Quantity]]*Table2[[#This Row],[Item_Price]]</f>
        <v>594</v>
      </c>
    </row>
    <row r="3817" spans="1:23" x14ac:dyDescent="0.25">
      <c r="A3817" t="s">
        <v>3920</v>
      </c>
      <c r="B3817" s="1">
        <v>45937</v>
      </c>
      <c r="C3817" t="s">
        <v>3846</v>
      </c>
      <c r="D3817">
        <v>10</v>
      </c>
      <c r="E3817">
        <v>7</v>
      </c>
      <c r="F3817" t="s">
        <v>178</v>
      </c>
      <c r="G3817" t="s">
        <v>115</v>
      </c>
      <c r="H3817" t="s">
        <v>35</v>
      </c>
      <c r="I3817" t="s">
        <v>85</v>
      </c>
      <c r="J3817" t="s">
        <v>44</v>
      </c>
      <c r="K3817" t="s">
        <v>38</v>
      </c>
      <c r="L3817">
        <v>3</v>
      </c>
      <c r="M3817">
        <v>430</v>
      </c>
      <c r="N3817">
        <v>64.5</v>
      </c>
      <c r="O3817">
        <v>0</v>
      </c>
      <c r="P3817">
        <v>1290</v>
      </c>
      <c r="Q3817">
        <v>1225.5</v>
      </c>
      <c r="R3817" t="s">
        <v>39</v>
      </c>
      <c r="S3817" t="s">
        <v>31</v>
      </c>
      <c r="T3817" t="s">
        <v>40</v>
      </c>
      <c r="U3817">
        <v>58</v>
      </c>
      <c r="V3817">
        <v>3.7</v>
      </c>
      <c r="W3817">
        <f>Table2[[#This Row],[Quantity]]*Table2[[#This Row],[Item_Price]]</f>
        <v>1290</v>
      </c>
    </row>
    <row r="3818" spans="1:23" x14ac:dyDescent="0.25">
      <c r="A3818" t="s">
        <v>3921</v>
      </c>
      <c r="B3818" s="1">
        <v>45937</v>
      </c>
      <c r="C3818" t="s">
        <v>3846</v>
      </c>
      <c r="D3818">
        <v>10</v>
      </c>
      <c r="E3818">
        <v>7</v>
      </c>
      <c r="F3818" t="s">
        <v>178</v>
      </c>
      <c r="G3818" t="s">
        <v>64</v>
      </c>
      <c r="H3818" t="s">
        <v>68</v>
      </c>
      <c r="I3818" t="s">
        <v>69</v>
      </c>
      <c r="J3818" t="s">
        <v>50</v>
      </c>
      <c r="K3818" t="s">
        <v>38</v>
      </c>
      <c r="L3818">
        <v>2</v>
      </c>
      <c r="M3818">
        <v>197</v>
      </c>
      <c r="N3818">
        <v>0</v>
      </c>
      <c r="O3818">
        <v>20</v>
      </c>
      <c r="P3818">
        <v>394</v>
      </c>
      <c r="Q3818">
        <v>414</v>
      </c>
      <c r="R3818" t="s">
        <v>39</v>
      </c>
      <c r="S3818" t="s">
        <v>31</v>
      </c>
      <c r="T3818" t="s">
        <v>40</v>
      </c>
      <c r="U3818">
        <v>33</v>
      </c>
      <c r="V3818">
        <v>3.6</v>
      </c>
      <c r="W3818">
        <f>Table2[[#This Row],[Quantity]]*Table2[[#This Row],[Item_Price]]</f>
        <v>394</v>
      </c>
    </row>
    <row r="3819" spans="1:23" x14ac:dyDescent="0.25">
      <c r="A3819" t="s">
        <v>3922</v>
      </c>
      <c r="B3819" s="1">
        <v>45937</v>
      </c>
      <c r="C3819" t="s">
        <v>3846</v>
      </c>
      <c r="D3819">
        <v>10</v>
      </c>
      <c r="E3819">
        <v>7</v>
      </c>
      <c r="F3819" t="s">
        <v>178</v>
      </c>
      <c r="G3819" t="s">
        <v>115</v>
      </c>
      <c r="H3819" t="s">
        <v>35</v>
      </c>
      <c r="I3819" t="s">
        <v>69</v>
      </c>
      <c r="J3819" t="s">
        <v>119</v>
      </c>
      <c r="K3819" t="s">
        <v>38</v>
      </c>
      <c r="L3819">
        <v>1</v>
      </c>
      <c r="M3819">
        <v>846</v>
      </c>
      <c r="N3819">
        <v>42.3</v>
      </c>
      <c r="O3819">
        <v>50</v>
      </c>
      <c r="P3819">
        <v>846</v>
      </c>
      <c r="Q3819">
        <v>853.7</v>
      </c>
      <c r="R3819" t="s">
        <v>39</v>
      </c>
      <c r="S3819" t="s">
        <v>31</v>
      </c>
      <c r="T3819" t="s">
        <v>40</v>
      </c>
      <c r="U3819">
        <v>27</v>
      </c>
      <c r="V3819">
        <v>2</v>
      </c>
      <c r="W3819">
        <f>Table2[[#This Row],[Quantity]]*Table2[[#This Row],[Item_Price]]</f>
        <v>846</v>
      </c>
    </row>
    <row r="3820" spans="1:23" x14ac:dyDescent="0.25">
      <c r="A3820" t="s">
        <v>3923</v>
      </c>
      <c r="B3820" s="1">
        <v>45937</v>
      </c>
      <c r="C3820" t="s">
        <v>3846</v>
      </c>
      <c r="D3820">
        <v>10</v>
      </c>
      <c r="E3820">
        <v>7</v>
      </c>
      <c r="F3820" t="s">
        <v>178</v>
      </c>
      <c r="G3820" t="s">
        <v>73</v>
      </c>
      <c r="H3820" t="s">
        <v>105</v>
      </c>
      <c r="I3820" t="s">
        <v>57</v>
      </c>
      <c r="J3820" t="s">
        <v>82</v>
      </c>
      <c r="K3820" t="s">
        <v>38</v>
      </c>
      <c r="L3820">
        <v>1</v>
      </c>
      <c r="M3820">
        <v>464</v>
      </c>
      <c r="N3820">
        <v>46.4</v>
      </c>
      <c r="O3820">
        <v>30</v>
      </c>
      <c r="P3820">
        <v>464</v>
      </c>
      <c r="Q3820">
        <v>447.6</v>
      </c>
      <c r="R3820" t="s">
        <v>112</v>
      </c>
      <c r="S3820" t="s">
        <v>110</v>
      </c>
      <c r="T3820" t="s">
        <v>40</v>
      </c>
      <c r="U3820">
        <v>58</v>
      </c>
      <c r="W3820">
        <f>Table2[[#This Row],[Quantity]]*Table2[[#This Row],[Item_Price]]</f>
        <v>464</v>
      </c>
    </row>
    <row r="3821" spans="1:23" x14ac:dyDescent="0.25">
      <c r="A3821" t="s">
        <v>3924</v>
      </c>
      <c r="B3821" s="1">
        <v>45937</v>
      </c>
      <c r="C3821" t="s">
        <v>3846</v>
      </c>
      <c r="D3821">
        <v>10</v>
      </c>
      <c r="E3821">
        <v>7</v>
      </c>
      <c r="F3821" t="s">
        <v>178</v>
      </c>
      <c r="G3821" t="s">
        <v>90</v>
      </c>
      <c r="H3821" t="s">
        <v>52</v>
      </c>
      <c r="I3821" t="s">
        <v>85</v>
      </c>
      <c r="J3821" t="s">
        <v>123</v>
      </c>
      <c r="K3821" t="s">
        <v>38</v>
      </c>
      <c r="L3821">
        <v>1</v>
      </c>
      <c r="M3821">
        <v>666</v>
      </c>
      <c r="N3821">
        <v>133.19999999999999</v>
      </c>
      <c r="O3821">
        <v>40</v>
      </c>
      <c r="P3821">
        <v>666</v>
      </c>
      <c r="Q3821">
        <v>572.79999999999995</v>
      </c>
      <c r="R3821" t="s">
        <v>30</v>
      </c>
      <c r="S3821" t="s">
        <v>46</v>
      </c>
      <c r="T3821" t="s">
        <v>40</v>
      </c>
      <c r="U3821">
        <v>50</v>
      </c>
      <c r="W3821">
        <f>Table2[[#This Row],[Quantity]]*Table2[[#This Row],[Item_Price]]</f>
        <v>666</v>
      </c>
    </row>
    <row r="3822" spans="1:23" x14ac:dyDescent="0.25">
      <c r="A3822" t="s">
        <v>3925</v>
      </c>
      <c r="B3822" s="1">
        <v>45937</v>
      </c>
      <c r="C3822" t="s">
        <v>3846</v>
      </c>
      <c r="D3822">
        <v>10</v>
      </c>
      <c r="E3822">
        <v>7</v>
      </c>
      <c r="F3822" t="s">
        <v>178</v>
      </c>
      <c r="G3822" t="s">
        <v>73</v>
      </c>
      <c r="H3822" t="s">
        <v>42</v>
      </c>
      <c r="I3822" t="s">
        <v>61</v>
      </c>
      <c r="J3822" t="s">
        <v>44</v>
      </c>
      <c r="K3822" t="s">
        <v>45</v>
      </c>
      <c r="L3822">
        <v>1</v>
      </c>
      <c r="M3822">
        <v>135</v>
      </c>
      <c r="N3822">
        <v>27</v>
      </c>
      <c r="O3822">
        <v>0</v>
      </c>
      <c r="P3822">
        <v>135</v>
      </c>
      <c r="Q3822">
        <v>108</v>
      </c>
      <c r="R3822" t="s">
        <v>39</v>
      </c>
      <c r="S3822" t="s">
        <v>31</v>
      </c>
      <c r="T3822" t="s">
        <v>40</v>
      </c>
      <c r="U3822">
        <v>34</v>
      </c>
      <c r="V3822">
        <v>3.3</v>
      </c>
      <c r="W3822">
        <f>Table2[[#This Row],[Quantity]]*Table2[[#This Row],[Item_Price]]</f>
        <v>135</v>
      </c>
    </row>
    <row r="3823" spans="1:23" x14ac:dyDescent="0.25">
      <c r="A3823" t="s">
        <v>3926</v>
      </c>
      <c r="B3823" s="1">
        <v>45937</v>
      </c>
      <c r="C3823" t="s">
        <v>3846</v>
      </c>
      <c r="D3823">
        <v>10</v>
      </c>
      <c r="E3823">
        <v>7</v>
      </c>
      <c r="F3823" t="s">
        <v>178</v>
      </c>
      <c r="G3823" t="s">
        <v>80</v>
      </c>
      <c r="H3823" t="s">
        <v>60</v>
      </c>
      <c r="I3823" t="s">
        <v>97</v>
      </c>
      <c r="J3823" t="s">
        <v>62</v>
      </c>
      <c r="K3823" t="s">
        <v>38</v>
      </c>
      <c r="L3823">
        <v>1</v>
      </c>
      <c r="M3823">
        <v>521</v>
      </c>
      <c r="N3823">
        <v>26.05</v>
      </c>
      <c r="O3823">
        <v>30</v>
      </c>
      <c r="P3823">
        <v>521</v>
      </c>
      <c r="Q3823">
        <v>524.95000000000005</v>
      </c>
      <c r="R3823" t="s">
        <v>39</v>
      </c>
      <c r="S3823" t="s">
        <v>31</v>
      </c>
      <c r="T3823" t="s">
        <v>40</v>
      </c>
      <c r="U3823">
        <v>46</v>
      </c>
      <c r="V3823">
        <v>3.4</v>
      </c>
      <c r="W3823">
        <f>Table2[[#This Row],[Quantity]]*Table2[[#This Row],[Item_Price]]</f>
        <v>521</v>
      </c>
    </row>
    <row r="3824" spans="1:23" x14ac:dyDescent="0.25">
      <c r="A3824" t="s">
        <v>3927</v>
      </c>
      <c r="B3824" s="1">
        <v>45937</v>
      </c>
      <c r="C3824" t="s">
        <v>3846</v>
      </c>
      <c r="D3824">
        <v>10</v>
      </c>
      <c r="E3824">
        <v>7</v>
      </c>
      <c r="F3824" t="s">
        <v>178</v>
      </c>
      <c r="G3824" t="s">
        <v>34</v>
      </c>
      <c r="H3824" t="s">
        <v>65</v>
      </c>
      <c r="I3824" t="s">
        <v>103</v>
      </c>
      <c r="J3824" t="s">
        <v>37</v>
      </c>
      <c r="K3824" t="s">
        <v>38</v>
      </c>
      <c r="L3824">
        <v>3</v>
      </c>
      <c r="M3824">
        <v>822</v>
      </c>
      <c r="N3824">
        <v>164.4</v>
      </c>
      <c r="O3824">
        <v>20</v>
      </c>
      <c r="P3824">
        <v>2466</v>
      </c>
      <c r="Q3824">
        <v>2321.6</v>
      </c>
      <c r="R3824" t="s">
        <v>39</v>
      </c>
      <c r="S3824" t="s">
        <v>31</v>
      </c>
      <c r="T3824" t="s">
        <v>40</v>
      </c>
      <c r="U3824">
        <v>57</v>
      </c>
      <c r="V3824">
        <v>3.7</v>
      </c>
      <c r="W3824">
        <f>Table2[[#This Row],[Quantity]]*Table2[[#This Row],[Item_Price]]</f>
        <v>2466</v>
      </c>
    </row>
    <row r="3825" spans="1:23" x14ac:dyDescent="0.25">
      <c r="A3825" t="s">
        <v>3928</v>
      </c>
      <c r="B3825" s="1">
        <v>45937</v>
      </c>
      <c r="C3825" t="s">
        <v>3846</v>
      </c>
      <c r="D3825">
        <v>10</v>
      </c>
      <c r="E3825">
        <v>7</v>
      </c>
      <c r="F3825" t="s">
        <v>178</v>
      </c>
      <c r="G3825" t="s">
        <v>64</v>
      </c>
      <c r="H3825" t="s">
        <v>135</v>
      </c>
      <c r="I3825" t="s">
        <v>49</v>
      </c>
      <c r="J3825" t="s">
        <v>44</v>
      </c>
      <c r="K3825" t="s">
        <v>29</v>
      </c>
      <c r="L3825">
        <v>1</v>
      </c>
      <c r="M3825">
        <v>551</v>
      </c>
      <c r="N3825">
        <v>110.2</v>
      </c>
      <c r="O3825">
        <v>70</v>
      </c>
      <c r="P3825">
        <v>551</v>
      </c>
      <c r="Q3825">
        <v>510.8</v>
      </c>
      <c r="R3825" t="s">
        <v>39</v>
      </c>
      <c r="S3825" t="s">
        <v>31</v>
      </c>
      <c r="T3825" t="s">
        <v>40</v>
      </c>
      <c r="U3825">
        <v>64</v>
      </c>
      <c r="V3825">
        <v>3.6</v>
      </c>
      <c r="W3825">
        <f>Table2[[#This Row],[Quantity]]*Table2[[#This Row],[Item_Price]]</f>
        <v>551</v>
      </c>
    </row>
    <row r="3826" spans="1:23" x14ac:dyDescent="0.25">
      <c r="A3826" t="s">
        <v>3929</v>
      </c>
      <c r="B3826" s="1">
        <v>45937</v>
      </c>
      <c r="C3826" t="s">
        <v>3846</v>
      </c>
      <c r="D3826">
        <v>10</v>
      </c>
      <c r="E3826">
        <v>7</v>
      </c>
      <c r="F3826" t="s">
        <v>178</v>
      </c>
      <c r="G3826" t="s">
        <v>64</v>
      </c>
      <c r="H3826" t="s">
        <v>105</v>
      </c>
      <c r="I3826" t="s">
        <v>61</v>
      </c>
      <c r="J3826" t="s">
        <v>44</v>
      </c>
      <c r="K3826" t="s">
        <v>45</v>
      </c>
      <c r="L3826">
        <v>2</v>
      </c>
      <c r="M3826">
        <v>527</v>
      </c>
      <c r="N3826">
        <v>131.75</v>
      </c>
      <c r="O3826">
        <v>0</v>
      </c>
      <c r="P3826">
        <v>1054</v>
      </c>
      <c r="Q3826">
        <v>922.25</v>
      </c>
      <c r="R3826" t="s">
        <v>39</v>
      </c>
      <c r="S3826" t="s">
        <v>31</v>
      </c>
      <c r="T3826" t="s">
        <v>32</v>
      </c>
      <c r="U3826">
        <v>43</v>
      </c>
      <c r="V3826">
        <v>2.9</v>
      </c>
      <c r="W3826">
        <f>Table2[[#This Row],[Quantity]]*Table2[[#This Row],[Item_Price]]</f>
        <v>1054</v>
      </c>
    </row>
    <row r="3827" spans="1:23" x14ac:dyDescent="0.25">
      <c r="A3827" t="s">
        <v>3930</v>
      </c>
      <c r="B3827" s="1">
        <v>45937</v>
      </c>
      <c r="C3827" t="s">
        <v>3846</v>
      </c>
      <c r="D3827">
        <v>10</v>
      </c>
      <c r="E3827">
        <v>7</v>
      </c>
      <c r="F3827" t="s">
        <v>178</v>
      </c>
      <c r="G3827" t="s">
        <v>34</v>
      </c>
      <c r="H3827" t="s">
        <v>139</v>
      </c>
      <c r="I3827" t="s">
        <v>97</v>
      </c>
      <c r="J3827" t="s">
        <v>28</v>
      </c>
      <c r="K3827" t="s">
        <v>38</v>
      </c>
      <c r="L3827">
        <v>2</v>
      </c>
      <c r="M3827">
        <v>650</v>
      </c>
      <c r="N3827">
        <v>32.5</v>
      </c>
      <c r="O3827">
        <v>20</v>
      </c>
      <c r="P3827">
        <v>1300</v>
      </c>
      <c r="Q3827">
        <v>1287.5</v>
      </c>
      <c r="R3827" t="s">
        <v>30</v>
      </c>
      <c r="S3827" t="s">
        <v>31</v>
      </c>
      <c r="T3827" t="s">
        <v>40</v>
      </c>
      <c r="U3827">
        <v>66</v>
      </c>
      <c r="V3827">
        <v>4.8</v>
      </c>
      <c r="W3827">
        <f>Table2[[#This Row],[Quantity]]*Table2[[#This Row],[Item_Price]]</f>
        <v>1300</v>
      </c>
    </row>
    <row r="3828" spans="1:23" x14ac:dyDescent="0.25">
      <c r="A3828" t="s">
        <v>3931</v>
      </c>
      <c r="B3828" s="1">
        <v>45937</v>
      </c>
      <c r="C3828" t="s">
        <v>3846</v>
      </c>
      <c r="D3828">
        <v>10</v>
      </c>
      <c r="E3828">
        <v>7</v>
      </c>
      <c r="F3828" t="s">
        <v>178</v>
      </c>
      <c r="G3828" t="s">
        <v>64</v>
      </c>
      <c r="H3828" t="s">
        <v>56</v>
      </c>
      <c r="I3828" t="s">
        <v>36</v>
      </c>
      <c r="J3828" t="s">
        <v>44</v>
      </c>
      <c r="K3828" t="s">
        <v>38</v>
      </c>
      <c r="L3828">
        <v>2</v>
      </c>
      <c r="M3828">
        <v>520</v>
      </c>
      <c r="N3828">
        <v>130</v>
      </c>
      <c r="O3828">
        <v>60</v>
      </c>
      <c r="P3828">
        <v>1040</v>
      </c>
      <c r="Q3828">
        <v>970</v>
      </c>
      <c r="R3828" t="s">
        <v>39</v>
      </c>
      <c r="S3828" t="s">
        <v>31</v>
      </c>
      <c r="T3828" t="s">
        <v>40</v>
      </c>
      <c r="U3828">
        <v>42</v>
      </c>
      <c r="V3828">
        <v>4</v>
      </c>
      <c r="W3828">
        <f>Table2[[#This Row],[Quantity]]*Table2[[#This Row],[Item_Price]]</f>
        <v>1040</v>
      </c>
    </row>
    <row r="3829" spans="1:23" x14ac:dyDescent="0.25">
      <c r="A3829" t="s">
        <v>3932</v>
      </c>
      <c r="B3829" s="1">
        <v>45937</v>
      </c>
      <c r="C3829" t="s">
        <v>3846</v>
      </c>
      <c r="D3829">
        <v>10</v>
      </c>
      <c r="E3829">
        <v>7</v>
      </c>
      <c r="F3829" t="s">
        <v>178</v>
      </c>
      <c r="G3829" t="s">
        <v>64</v>
      </c>
      <c r="H3829" t="s">
        <v>60</v>
      </c>
      <c r="I3829" t="s">
        <v>43</v>
      </c>
      <c r="J3829" t="s">
        <v>70</v>
      </c>
      <c r="K3829" t="s">
        <v>38</v>
      </c>
      <c r="L3829">
        <v>1</v>
      </c>
      <c r="M3829">
        <v>836</v>
      </c>
      <c r="N3829">
        <v>83.6</v>
      </c>
      <c r="O3829">
        <v>40</v>
      </c>
      <c r="P3829">
        <v>836</v>
      </c>
      <c r="Q3829">
        <v>792.4</v>
      </c>
      <c r="R3829" t="s">
        <v>75</v>
      </c>
      <c r="S3829" t="s">
        <v>31</v>
      </c>
      <c r="T3829" t="s">
        <v>40</v>
      </c>
      <c r="U3829">
        <v>52</v>
      </c>
      <c r="V3829">
        <v>4.7</v>
      </c>
      <c r="W3829">
        <f>Table2[[#This Row],[Quantity]]*Table2[[#This Row],[Item_Price]]</f>
        <v>836</v>
      </c>
    </row>
    <row r="3830" spans="1:23" x14ac:dyDescent="0.25">
      <c r="A3830" t="s">
        <v>3933</v>
      </c>
      <c r="B3830" s="1">
        <v>45938</v>
      </c>
      <c r="C3830" t="s">
        <v>3846</v>
      </c>
      <c r="D3830">
        <v>10</v>
      </c>
      <c r="E3830">
        <v>8</v>
      </c>
      <c r="F3830" t="s">
        <v>24</v>
      </c>
      <c r="G3830" t="s">
        <v>34</v>
      </c>
      <c r="H3830" t="s">
        <v>26</v>
      </c>
      <c r="I3830" t="s">
        <v>103</v>
      </c>
      <c r="J3830" t="s">
        <v>70</v>
      </c>
      <c r="K3830" t="s">
        <v>38</v>
      </c>
      <c r="L3830">
        <v>1</v>
      </c>
      <c r="M3830">
        <v>832</v>
      </c>
      <c r="N3830">
        <v>166.4</v>
      </c>
      <c r="O3830">
        <v>0</v>
      </c>
      <c r="P3830">
        <v>832</v>
      </c>
      <c r="Q3830">
        <v>665.6</v>
      </c>
      <c r="R3830" t="s">
        <v>75</v>
      </c>
      <c r="S3830" t="s">
        <v>46</v>
      </c>
      <c r="T3830" t="s">
        <v>32</v>
      </c>
      <c r="U3830">
        <v>56</v>
      </c>
      <c r="W3830">
        <f>Table2[[#This Row],[Quantity]]*Table2[[#This Row],[Item_Price]]</f>
        <v>832</v>
      </c>
    </row>
    <row r="3831" spans="1:23" x14ac:dyDescent="0.25">
      <c r="A3831" t="s">
        <v>3934</v>
      </c>
      <c r="B3831" s="1">
        <v>45938</v>
      </c>
      <c r="C3831" t="s">
        <v>3846</v>
      </c>
      <c r="D3831">
        <v>10</v>
      </c>
      <c r="E3831">
        <v>8</v>
      </c>
      <c r="F3831" t="s">
        <v>24</v>
      </c>
      <c r="G3831" t="s">
        <v>34</v>
      </c>
      <c r="H3831" t="s">
        <v>81</v>
      </c>
      <c r="I3831" t="s">
        <v>69</v>
      </c>
      <c r="J3831" t="s">
        <v>62</v>
      </c>
      <c r="K3831" t="s">
        <v>58</v>
      </c>
      <c r="L3831">
        <v>1</v>
      </c>
      <c r="M3831">
        <v>141</v>
      </c>
      <c r="N3831">
        <v>0</v>
      </c>
      <c r="O3831">
        <v>30</v>
      </c>
      <c r="P3831">
        <v>141</v>
      </c>
      <c r="Q3831">
        <v>171</v>
      </c>
      <c r="R3831" t="s">
        <v>39</v>
      </c>
      <c r="S3831" t="s">
        <v>31</v>
      </c>
      <c r="T3831" t="s">
        <v>40</v>
      </c>
      <c r="U3831">
        <v>62</v>
      </c>
      <c r="V3831">
        <v>3.2</v>
      </c>
      <c r="W3831">
        <f>Table2[[#This Row],[Quantity]]*Table2[[#This Row],[Item_Price]]</f>
        <v>141</v>
      </c>
    </row>
    <row r="3832" spans="1:23" x14ac:dyDescent="0.25">
      <c r="A3832" t="s">
        <v>3935</v>
      </c>
      <c r="B3832" s="1">
        <v>45938</v>
      </c>
      <c r="C3832" t="s">
        <v>3846</v>
      </c>
      <c r="D3832">
        <v>10</v>
      </c>
      <c r="E3832">
        <v>8</v>
      </c>
      <c r="F3832" t="s">
        <v>24</v>
      </c>
      <c r="G3832" t="s">
        <v>64</v>
      </c>
      <c r="H3832" t="s">
        <v>42</v>
      </c>
      <c r="I3832" t="s">
        <v>49</v>
      </c>
      <c r="J3832" t="s">
        <v>53</v>
      </c>
      <c r="K3832" t="s">
        <v>45</v>
      </c>
      <c r="L3832">
        <v>2</v>
      </c>
      <c r="M3832">
        <v>675</v>
      </c>
      <c r="N3832">
        <v>168.75</v>
      </c>
      <c r="O3832">
        <v>50</v>
      </c>
      <c r="P3832">
        <v>1350</v>
      </c>
      <c r="Q3832">
        <v>1231.25</v>
      </c>
      <c r="R3832" t="s">
        <v>39</v>
      </c>
      <c r="S3832" t="s">
        <v>91</v>
      </c>
      <c r="T3832" t="s">
        <v>40</v>
      </c>
      <c r="U3832">
        <v>58</v>
      </c>
      <c r="W3832">
        <f>Table2[[#This Row],[Quantity]]*Table2[[#This Row],[Item_Price]]</f>
        <v>1350</v>
      </c>
    </row>
    <row r="3833" spans="1:23" x14ac:dyDescent="0.25">
      <c r="A3833" t="s">
        <v>3936</v>
      </c>
      <c r="B3833" s="1">
        <v>45938</v>
      </c>
      <c r="C3833" t="s">
        <v>3846</v>
      </c>
      <c r="D3833">
        <v>10</v>
      </c>
      <c r="E3833">
        <v>8</v>
      </c>
      <c r="F3833" t="s">
        <v>24</v>
      </c>
      <c r="G3833" t="s">
        <v>96</v>
      </c>
      <c r="H3833" t="s">
        <v>108</v>
      </c>
      <c r="I3833" t="s">
        <v>85</v>
      </c>
      <c r="J3833" t="s">
        <v>123</v>
      </c>
      <c r="K3833" t="s">
        <v>38</v>
      </c>
      <c r="L3833">
        <v>1</v>
      </c>
      <c r="M3833">
        <v>710</v>
      </c>
      <c r="N3833">
        <v>142</v>
      </c>
      <c r="O3833">
        <v>20</v>
      </c>
      <c r="P3833">
        <v>710</v>
      </c>
      <c r="Q3833">
        <v>588</v>
      </c>
      <c r="R3833" t="s">
        <v>39</v>
      </c>
      <c r="S3833" t="s">
        <v>31</v>
      </c>
      <c r="T3833" t="s">
        <v>32</v>
      </c>
      <c r="U3833">
        <v>42</v>
      </c>
      <c r="V3833">
        <v>3.3</v>
      </c>
      <c r="W3833">
        <f>Table2[[#This Row],[Quantity]]*Table2[[#This Row],[Item_Price]]</f>
        <v>710</v>
      </c>
    </row>
    <row r="3834" spans="1:23" x14ac:dyDescent="0.25">
      <c r="A3834" t="s">
        <v>3937</v>
      </c>
      <c r="B3834" s="1">
        <v>45938</v>
      </c>
      <c r="C3834" t="s">
        <v>3846</v>
      </c>
      <c r="D3834">
        <v>10</v>
      </c>
      <c r="E3834">
        <v>8</v>
      </c>
      <c r="F3834" t="s">
        <v>24</v>
      </c>
      <c r="G3834" t="s">
        <v>115</v>
      </c>
      <c r="H3834" t="s">
        <v>52</v>
      </c>
      <c r="I3834" t="s">
        <v>27</v>
      </c>
      <c r="J3834" t="s">
        <v>62</v>
      </c>
      <c r="K3834" t="s">
        <v>38</v>
      </c>
      <c r="L3834">
        <v>1</v>
      </c>
      <c r="M3834">
        <v>743</v>
      </c>
      <c r="N3834">
        <v>0</v>
      </c>
      <c r="O3834">
        <v>30</v>
      </c>
      <c r="P3834">
        <v>743</v>
      </c>
      <c r="Q3834">
        <v>773</v>
      </c>
      <c r="R3834" t="s">
        <v>98</v>
      </c>
      <c r="S3834" t="s">
        <v>31</v>
      </c>
      <c r="T3834" t="s">
        <v>40</v>
      </c>
      <c r="U3834">
        <v>25</v>
      </c>
      <c r="V3834">
        <v>4.4000000000000004</v>
      </c>
      <c r="W3834">
        <f>Table2[[#This Row],[Quantity]]*Table2[[#This Row],[Item_Price]]</f>
        <v>743</v>
      </c>
    </row>
    <row r="3835" spans="1:23" x14ac:dyDescent="0.25">
      <c r="A3835" t="s">
        <v>3938</v>
      </c>
      <c r="B3835" s="1">
        <v>45938</v>
      </c>
      <c r="C3835" t="s">
        <v>3846</v>
      </c>
      <c r="D3835">
        <v>10</v>
      </c>
      <c r="E3835">
        <v>8</v>
      </c>
      <c r="F3835" t="s">
        <v>24</v>
      </c>
      <c r="G3835" t="s">
        <v>34</v>
      </c>
      <c r="H3835" t="s">
        <v>65</v>
      </c>
      <c r="I3835" t="s">
        <v>61</v>
      </c>
      <c r="J3835" t="s">
        <v>101</v>
      </c>
      <c r="K3835" t="s">
        <v>38</v>
      </c>
      <c r="L3835">
        <v>1</v>
      </c>
      <c r="M3835">
        <v>316</v>
      </c>
      <c r="N3835">
        <v>0</v>
      </c>
      <c r="O3835">
        <v>0</v>
      </c>
      <c r="P3835">
        <v>316</v>
      </c>
      <c r="Q3835">
        <v>316</v>
      </c>
      <c r="R3835" t="s">
        <v>39</v>
      </c>
      <c r="S3835" t="s">
        <v>31</v>
      </c>
      <c r="T3835" t="s">
        <v>40</v>
      </c>
      <c r="U3835">
        <v>25</v>
      </c>
      <c r="V3835">
        <v>3.9</v>
      </c>
      <c r="W3835">
        <f>Table2[[#This Row],[Quantity]]*Table2[[#This Row],[Item_Price]]</f>
        <v>316</v>
      </c>
    </row>
    <row r="3836" spans="1:23" x14ac:dyDescent="0.25">
      <c r="A3836" t="s">
        <v>3939</v>
      </c>
      <c r="B3836" s="1">
        <v>45938</v>
      </c>
      <c r="C3836" t="s">
        <v>3846</v>
      </c>
      <c r="D3836">
        <v>10</v>
      </c>
      <c r="E3836">
        <v>8</v>
      </c>
      <c r="F3836" t="s">
        <v>24</v>
      </c>
      <c r="G3836" t="s">
        <v>73</v>
      </c>
      <c r="H3836" t="s">
        <v>56</v>
      </c>
      <c r="I3836" t="s">
        <v>57</v>
      </c>
      <c r="J3836" t="s">
        <v>50</v>
      </c>
      <c r="K3836" t="s">
        <v>38</v>
      </c>
      <c r="L3836">
        <v>1</v>
      </c>
      <c r="M3836">
        <v>538</v>
      </c>
      <c r="N3836">
        <v>53.8</v>
      </c>
      <c r="O3836">
        <v>50</v>
      </c>
      <c r="P3836">
        <v>538</v>
      </c>
      <c r="Q3836">
        <v>534.20000000000005</v>
      </c>
      <c r="R3836" t="s">
        <v>39</v>
      </c>
      <c r="S3836" t="s">
        <v>31</v>
      </c>
      <c r="T3836" t="s">
        <v>40</v>
      </c>
      <c r="U3836">
        <v>47</v>
      </c>
      <c r="V3836">
        <v>4.5999999999999996</v>
      </c>
      <c r="W3836">
        <f>Table2[[#This Row],[Quantity]]*Table2[[#This Row],[Item_Price]]</f>
        <v>538</v>
      </c>
    </row>
    <row r="3837" spans="1:23" x14ac:dyDescent="0.25">
      <c r="A3837" t="s">
        <v>3940</v>
      </c>
      <c r="B3837" s="1">
        <v>45938</v>
      </c>
      <c r="C3837" t="s">
        <v>3846</v>
      </c>
      <c r="D3837">
        <v>10</v>
      </c>
      <c r="E3837">
        <v>8</v>
      </c>
      <c r="F3837" t="s">
        <v>24</v>
      </c>
      <c r="G3837" t="s">
        <v>115</v>
      </c>
      <c r="H3837" t="s">
        <v>26</v>
      </c>
      <c r="I3837" t="s">
        <v>61</v>
      </c>
      <c r="J3837" t="s">
        <v>74</v>
      </c>
      <c r="K3837" t="s">
        <v>38</v>
      </c>
      <c r="L3837">
        <v>1</v>
      </c>
      <c r="M3837">
        <v>296</v>
      </c>
      <c r="N3837">
        <v>74</v>
      </c>
      <c r="O3837">
        <v>40</v>
      </c>
      <c r="P3837">
        <v>296</v>
      </c>
      <c r="Q3837">
        <v>262</v>
      </c>
      <c r="R3837" t="s">
        <v>75</v>
      </c>
      <c r="S3837" t="s">
        <v>91</v>
      </c>
      <c r="T3837" t="s">
        <v>32</v>
      </c>
      <c r="U3837">
        <v>55</v>
      </c>
      <c r="W3837">
        <f>Table2[[#This Row],[Quantity]]*Table2[[#This Row],[Item_Price]]</f>
        <v>296</v>
      </c>
    </row>
    <row r="3838" spans="1:23" x14ac:dyDescent="0.25">
      <c r="A3838" t="s">
        <v>3941</v>
      </c>
      <c r="B3838" s="1">
        <v>45938</v>
      </c>
      <c r="C3838" t="s">
        <v>3846</v>
      </c>
      <c r="D3838">
        <v>10</v>
      </c>
      <c r="E3838">
        <v>8</v>
      </c>
      <c r="F3838" t="s">
        <v>24</v>
      </c>
      <c r="G3838" t="s">
        <v>25</v>
      </c>
      <c r="H3838" t="s">
        <v>48</v>
      </c>
      <c r="I3838" t="s">
        <v>97</v>
      </c>
      <c r="J3838" t="s">
        <v>50</v>
      </c>
      <c r="K3838" t="s">
        <v>38</v>
      </c>
      <c r="L3838">
        <v>1</v>
      </c>
      <c r="M3838">
        <v>752</v>
      </c>
      <c r="N3838">
        <v>75.2</v>
      </c>
      <c r="O3838">
        <v>20</v>
      </c>
      <c r="P3838">
        <v>752</v>
      </c>
      <c r="Q3838">
        <v>696.8</v>
      </c>
      <c r="R3838" t="s">
        <v>75</v>
      </c>
      <c r="S3838" t="s">
        <v>31</v>
      </c>
      <c r="T3838" t="s">
        <v>32</v>
      </c>
      <c r="U3838">
        <v>48</v>
      </c>
      <c r="V3838">
        <v>3.5</v>
      </c>
      <c r="W3838">
        <f>Table2[[#This Row],[Quantity]]*Table2[[#This Row],[Item_Price]]</f>
        <v>752</v>
      </c>
    </row>
    <row r="3839" spans="1:23" x14ac:dyDescent="0.25">
      <c r="A3839" t="s">
        <v>3942</v>
      </c>
      <c r="B3839" s="1">
        <v>45938</v>
      </c>
      <c r="C3839" t="s">
        <v>3846</v>
      </c>
      <c r="D3839">
        <v>10</v>
      </c>
      <c r="E3839">
        <v>8</v>
      </c>
      <c r="F3839" t="s">
        <v>24</v>
      </c>
      <c r="G3839" t="s">
        <v>115</v>
      </c>
      <c r="H3839" t="s">
        <v>35</v>
      </c>
      <c r="I3839" t="s">
        <v>27</v>
      </c>
      <c r="J3839" t="s">
        <v>94</v>
      </c>
      <c r="K3839" t="s">
        <v>45</v>
      </c>
      <c r="L3839">
        <v>1</v>
      </c>
      <c r="M3839">
        <v>347</v>
      </c>
      <c r="N3839">
        <v>69.400000000000006</v>
      </c>
      <c r="O3839">
        <v>40</v>
      </c>
      <c r="P3839">
        <v>347</v>
      </c>
      <c r="Q3839">
        <v>317.60000000000002</v>
      </c>
      <c r="R3839" t="s">
        <v>39</v>
      </c>
      <c r="S3839" t="s">
        <v>31</v>
      </c>
      <c r="T3839" t="s">
        <v>40</v>
      </c>
      <c r="U3839">
        <v>54</v>
      </c>
      <c r="V3839">
        <v>3.8</v>
      </c>
      <c r="W3839">
        <f>Table2[[#This Row],[Quantity]]*Table2[[#This Row],[Item_Price]]</f>
        <v>347</v>
      </c>
    </row>
    <row r="3840" spans="1:23" x14ac:dyDescent="0.25">
      <c r="A3840" t="s">
        <v>3943</v>
      </c>
      <c r="B3840" s="1">
        <v>45938</v>
      </c>
      <c r="C3840" t="s">
        <v>3846</v>
      </c>
      <c r="D3840">
        <v>10</v>
      </c>
      <c r="E3840">
        <v>8</v>
      </c>
      <c r="F3840" t="s">
        <v>24</v>
      </c>
      <c r="G3840" t="s">
        <v>64</v>
      </c>
      <c r="H3840" t="s">
        <v>60</v>
      </c>
      <c r="I3840" t="s">
        <v>27</v>
      </c>
      <c r="J3840" t="s">
        <v>172</v>
      </c>
      <c r="K3840" t="s">
        <v>58</v>
      </c>
      <c r="L3840">
        <v>1</v>
      </c>
      <c r="M3840">
        <v>735</v>
      </c>
      <c r="N3840">
        <v>110.25</v>
      </c>
      <c r="O3840">
        <v>0</v>
      </c>
      <c r="P3840">
        <v>735</v>
      </c>
      <c r="Q3840">
        <v>624.75</v>
      </c>
      <c r="R3840" t="s">
        <v>112</v>
      </c>
      <c r="S3840" t="s">
        <v>31</v>
      </c>
      <c r="T3840" t="s">
        <v>40</v>
      </c>
      <c r="U3840">
        <v>39</v>
      </c>
      <c r="V3840">
        <v>4.2</v>
      </c>
      <c r="W3840">
        <f>Table2[[#This Row],[Quantity]]*Table2[[#This Row],[Item_Price]]</f>
        <v>735</v>
      </c>
    </row>
    <row r="3841" spans="1:23" x14ac:dyDescent="0.25">
      <c r="A3841" t="s">
        <v>3944</v>
      </c>
      <c r="B3841" s="1">
        <v>45939</v>
      </c>
      <c r="C3841" t="s">
        <v>3846</v>
      </c>
      <c r="D3841">
        <v>10</v>
      </c>
      <c r="E3841">
        <v>9</v>
      </c>
      <c r="F3841" t="s">
        <v>88</v>
      </c>
      <c r="G3841" t="s">
        <v>34</v>
      </c>
      <c r="H3841" t="s">
        <v>139</v>
      </c>
      <c r="I3841" t="s">
        <v>43</v>
      </c>
      <c r="J3841" t="s">
        <v>123</v>
      </c>
      <c r="K3841" t="s">
        <v>38</v>
      </c>
      <c r="L3841">
        <v>2</v>
      </c>
      <c r="M3841">
        <v>723</v>
      </c>
      <c r="N3841">
        <v>36.15</v>
      </c>
      <c r="O3841">
        <v>50</v>
      </c>
      <c r="P3841">
        <v>1446</v>
      </c>
      <c r="Q3841">
        <v>1459.85</v>
      </c>
      <c r="R3841" t="s">
        <v>98</v>
      </c>
      <c r="S3841" t="s">
        <v>110</v>
      </c>
      <c r="T3841" t="s">
        <v>40</v>
      </c>
      <c r="U3841">
        <v>42</v>
      </c>
      <c r="W3841">
        <f>Table2[[#This Row],[Quantity]]*Table2[[#This Row],[Item_Price]]</f>
        <v>1446</v>
      </c>
    </row>
    <row r="3842" spans="1:23" x14ac:dyDescent="0.25">
      <c r="A3842" t="s">
        <v>3945</v>
      </c>
      <c r="B3842" s="1">
        <v>45939</v>
      </c>
      <c r="C3842" t="s">
        <v>3846</v>
      </c>
      <c r="D3842">
        <v>10</v>
      </c>
      <c r="E3842">
        <v>9</v>
      </c>
      <c r="F3842" t="s">
        <v>88</v>
      </c>
      <c r="G3842" t="s">
        <v>73</v>
      </c>
      <c r="H3842" t="s">
        <v>56</v>
      </c>
      <c r="I3842" t="s">
        <v>69</v>
      </c>
      <c r="J3842" t="s">
        <v>94</v>
      </c>
      <c r="K3842" t="s">
        <v>45</v>
      </c>
      <c r="L3842">
        <v>2</v>
      </c>
      <c r="M3842">
        <v>235</v>
      </c>
      <c r="N3842">
        <v>35.25</v>
      </c>
      <c r="O3842">
        <v>30</v>
      </c>
      <c r="P3842">
        <v>470</v>
      </c>
      <c r="Q3842">
        <v>464.75</v>
      </c>
      <c r="R3842" t="s">
        <v>75</v>
      </c>
      <c r="S3842" t="s">
        <v>31</v>
      </c>
      <c r="T3842" t="s">
        <v>32</v>
      </c>
      <c r="U3842">
        <v>70</v>
      </c>
      <c r="V3842">
        <v>3.8</v>
      </c>
      <c r="W3842">
        <f>Table2[[#This Row],[Quantity]]*Table2[[#This Row],[Item_Price]]</f>
        <v>470</v>
      </c>
    </row>
    <row r="3843" spans="1:23" x14ac:dyDescent="0.25">
      <c r="A3843" t="s">
        <v>3946</v>
      </c>
      <c r="B3843" s="1">
        <v>45939</v>
      </c>
      <c r="C3843" t="s">
        <v>3846</v>
      </c>
      <c r="D3843">
        <v>10</v>
      </c>
      <c r="E3843">
        <v>9</v>
      </c>
      <c r="F3843" t="s">
        <v>88</v>
      </c>
      <c r="G3843" t="s">
        <v>90</v>
      </c>
      <c r="H3843" t="s">
        <v>105</v>
      </c>
      <c r="I3843" t="s">
        <v>49</v>
      </c>
      <c r="J3843" t="s">
        <v>53</v>
      </c>
      <c r="K3843" t="s">
        <v>38</v>
      </c>
      <c r="L3843">
        <v>3</v>
      </c>
      <c r="M3843">
        <v>219</v>
      </c>
      <c r="N3843">
        <v>32.85</v>
      </c>
      <c r="O3843">
        <v>0</v>
      </c>
      <c r="P3843">
        <v>657</v>
      </c>
      <c r="Q3843">
        <v>624.15</v>
      </c>
      <c r="R3843" t="s">
        <v>75</v>
      </c>
      <c r="S3843" t="s">
        <v>31</v>
      </c>
      <c r="T3843" t="s">
        <v>32</v>
      </c>
      <c r="U3843">
        <v>49</v>
      </c>
      <c r="V3843">
        <v>5</v>
      </c>
      <c r="W3843">
        <f>Table2[[#This Row],[Quantity]]*Table2[[#This Row],[Item_Price]]</f>
        <v>657</v>
      </c>
    </row>
    <row r="3844" spans="1:23" x14ac:dyDescent="0.25">
      <c r="A3844" t="s">
        <v>3947</v>
      </c>
      <c r="B3844" s="1">
        <v>45939</v>
      </c>
      <c r="C3844" t="s">
        <v>3846</v>
      </c>
      <c r="D3844">
        <v>10</v>
      </c>
      <c r="E3844">
        <v>9</v>
      </c>
      <c r="F3844" t="s">
        <v>88</v>
      </c>
      <c r="G3844" t="s">
        <v>115</v>
      </c>
      <c r="H3844" t="s">
        <v>108</v>
      </c>
      <c r="I3844" t="s">
        <v>43</v>
      </c>
      <c r="J3844" t="s">
        <v>172</v>
      </c>
      <c r="K3844" t="s">
        <v>38</v>
      </c>
      <c r="L3844">
        <v>3</v>
      </c>
      <c r="M3844">
        <v>658</v>
      </c>
      <c r="N3844">
        <v>65.8</v>
      </c>
      <c r="O3844">
        <v>0</v>
      </c>
      <c r="P3844">
        <v>1974</v>
      </c>
      <c r="Q3844">
        <v>1908.2</v>
      </c>
      <c r="R3844" t="s">
        <v>39</v>
      </c>
      <c r="S3844" t="s">
        <v>31</v>
      </c>
      <c r="T3844" t="s">
        <v>32</v>
      </c>
      <c r="U3844">
        <v>38</v>
      </c>
      <c r="V3844">
        <v>4.4000000000000004</v>
      </c>
      <c r="W3844">
        <f>Table2[[#This Row],[Quantity]]*Table2[[#This Row],[Item_Price]]</f>
        <v>1974</v>
      </c>
    </row>
    <row r="3845" spans="1:23" x14ac:dyDescent="0.25">
      <c r="A3845" t="s">
        <v>3948</v>
      </c>
      <c r="B3845" s="1">
        <v>45939</v>
      </c>
      <c r="C3845" t="s">
        <v>3846</v>
      </c>
      <c r="D3845">
        <v>10</v>
      </c>
      <c r="E3845">
        <v>9</v>
      </c>
      <c r="F3845" t="s">
        <v>88</v>
      </c>
      <c r="G3845" t="s">
        <v>115</v>
      </c>
      <c r="H3845" t="s">
        <v>48</v>
      </c>
      <c r="I3845" t="s">
        <v>61</v>
      </c>
      <c r="J3845" t="s">
        <v>119</v>
      </c>
      <c r="K3845" t="s">
        <v>38</v>
      </c>
      <c r="L3845">
        <v>2</v>
      </c>
      <c r="M3845">
        <v>639</v>
      </c>
      <c r="N3845">
        <v>63.9</v>
      </c>
      <c r="O3845">
        <v>70</v>
      </c>
      <c r="P3845">
        <v>1278</v>
      </c>
      <c r="Q3845">
        <v>1284.0999999999999</v>
      </c>
      <c r="R3845" t="s">
        <v>75</v>
      </c>
      <c r="S3845" t="s">
        <v>31</v>
      </c>
      <c r="T3845" t="s">
        <v>32</v>
      </c>
      <c r="U3845">
        <v>39</v>
      </c>
      <c r="V3845">
        <v>4.8</v>
      </c>
      <c r="W3845">
        <f>Table2[[#This Row],[Quantity]]*Table2[[#This Row],[Item_Price]]</f>
        <v>1278</v>
      </c>
    </row>
    <row r="3846" spans="1:23" x14ac:dyDescent="0.25">
      <c r="A3846" t="s">
        <v>3949</v>
      </c>
      <c r="B3846" s="1">
        <v>45939</v>
      </c>
      <c r="C3846" t="s">
        <v>3846</v>
      </c>
      <c r="D3846">
        <v>10</v>
      </c>
      <c r="E3846">
        <v>9</v>
      </c>
      <c r="F3846" t="s">
        <v>88</v>
      </c>
      <c r="G3846" t="s">
        <v>96</v>
      </c>
      <c r="H3846" t="s">
        <v>26</v>
      </c>
      <c r="I3846" t="s">
        <v>61</v>
      </c>
      <c r="J3846" t="s">
        <v>78</v>
      </c>
      <c r="K3846" t="s">
        <v>45</v>
      </c>
      <c r="L3846">
        <v>2</v>
      </c>
      <c r="M3846">
        <v>707</v>
      </c>
      <c r="N3846">
        <v>35.35</v>
      </c>
      <c r="O3846">
        <v>0</v>
      </c>
      <c r="P3846">
        <v>1414</v>
      </c>
      <c r="Q3846">
        <v>1378.65</v>
      </c>
      <c r="R3846" t="s">
        <v>39</v>
      </c>
      <c r="S3846" t="s">
        <v>31</v>
      </c>
      <c r="T3846" t="s">
        <v>40</v>
      </c>
      <c r="U3846">
        <v>54</v>
      </c>
      <c r="V3846">
        <v>4.3</v>
      </c>
      <c r="W3846">
        <f>Table2[[#This Row],[Quantity]]*Table2[[#This Row],[Item_Price]]</f>
        <v>1414</v>
      </c>
    </row>
    <row r="3847" spans="1:23" x14ac:dyDescent="0.25">
      <c r="A3847" t="s">
        <v>3950</v>
      </c>
      <c r="B3847" s="1">
        <v>45939</v>
      </c>
      <c r="C3847" t="s">
        <v>3846</v>
      </c>
      <c r="D3847">
        <v>10</v>
      </c>
      <c r="E3847">
        <v>9</v>
      </c>
      <c r="F3847" t="s">
        <v>88</v>
      </c>
      <c r="G3847" t="s">
        <v>73</v>
      </c>
      <c r="H3847" t="s">
        <v>52</v>
      </c>
      <c r="I3847" t="s">
        <v>27</v>
      </c>
      <c r="J3847" t="s">
        <v>37</v>
      </c>
      <c r="K3847" t="s">
        <v>38</v>
      </c>
      <c r="L3847">
        <v>2</v>
      </c>
      <c r="M3847">
        <v>397</v>
      </c>
      <c r="N3847">
        <v>59.55</v>
      </c>
      <c r="O3847">
        <v>70</v>
      </c>
      <c r="P3847">
        <v>794</v>
      </c>
      <c r="Q3847">
        <v>804.45</v>
      </c>
      <c r="R3847" t="s">
        <v>39</v>
      </c>
      <c r="S3847" t="s">
        <v>31</v>
      </c>
      <c r="T3847" t="s">
        <v>40</v>
      </c>
      <c r="U3847">
        <v>43</v>
      </c>
      <c r="V3847">
        <v>4.3</v>
      </c>
      <c r="W3847">
        <f>Table2[[#This Row],[Quantity]]*Table2[[#This Row],[Item_Price]]</f>
        <v>794</v>
      </c>
    </row>
    <row r="3848" spans="1:23" x14ac:dyDescent="0.25">
      <c r="A3848" t="s">
        <v>3951</v>
      </c>
      <c r="B3848" s="1">
        <v>45939</v>
      </c>
      <c r="C3848" t="s">
        <v>3846</v>
      </c>
      <c r="D3848">
        <v>10</v>
      </c>
      <c r="E3848">
        <v>9</v>
      </c>
      <c r="F3848" t="s">
        <v>88</v>
      </c>
      <c r="G3848" t="s">
        <v>25</v>
      </c>
      <c r="H3848" t="s">
        <v>139</v>
      </c>
      <c r="I3848" t="s">
        <v>36</v>
      </c>
      <c r="J3848" t="s">
        <v>37</v>
      </c>
      <c r="K3848" t="s">
        <v>38</v>
      </c>
      <c r="L3848">
        <v>2</v>
      </c>
      <c r="M3848">
        <v>645</v>
      </c>
      <c r="N3848">
        <v>32.25</v>
      </c>
      <c r="O3848">
        <v>60</v>
      </c>
      <c r="P3848">
        <v>1290</v>
      </c>
      <c r="Q3848">
        <v>1317.75</v>
      </c>
      <c r="R3848" t="s">
        <v>39</v>
      </c>
      <c r="S3848" t="s">
        <v>31</v>
      </c>
      <c r="T3848" t="s">
        <v>32</v>
      </c>
      <c r="U3848">
        <v>30</v>
      </c>
      <c r="V3848">
        <v>4.5999999999999996</v>
      </c>
      <c r="W3848">
        <f>Table2[[#This Row],[Quantity]]*Table2[[#This Row],[Item_Price]]</f>
        <v>1290</v>
      </c>
    </row>
    <row r="3849" spans="1:23" x14ac:dyDescent="0.25">
      <c r="A3849" t="s">
        <v>3952</v>
      </c>
      <c r="B3849" s="1">
        <v>45939</v>
      </c>
      <c r="C3849" t="s">
        <v>3846</v>
      </c>
      <c r="D3849">
        <v>10</v>
      </c>
      <c r="E3849">
        <v>9</v>
      </c>
      <c r="F3849" t="s">
        <v>88</v>
      </c>
      <c r="G3849" t="s">
        <v>64</v>
      </c>
      <c r="H3849" t="s">
        <v>48</v>
      </c>
      <c r="I3849" t="s">
        <v>85</v>
      </c>
      <c r="J3849" t="s">
        <v>53</v>
      </c>
      <c r="K3849" t="s">
        <v>38</v>
      </c>
      <c r="L3849">
        <v>2</v>
      </c>
      <c r="M3849">
        <v>704</v>
      </c>
      <c r="N3849">
        <v>176</v>
      </c>
      <c r="O3849">
        <v>40</v>
      </c>
      <c r="P3849">
        <v>1408</v>
      </c>
      <c r="Q3849">
        <v>1272</v>
      </c>
      <c r="R3849" t="s">
        <v>39</v>
      </c>
      <c r="S3849" t="s">
        <v>31</v>
      </c>
      <c r="T3849" t="s">
        <v>40</v>
      </c>
      <c r="U3849">
        <v>19</v>
      </c>
      <c r="V3849">
        <v>4.5</v>
      </c>
      <c r="W3849">
        <f>Table2[[#This Row],[Quantity]]*Table2[[#This Row],[Item_Price]]</f>
        <v>1408</v>
      </c>
    </row>
    <row r="3850" spans="1:23" x14ac:dyDescent="0.25">
      <c r="A3850" t="s">
        <v>3953</v>
      </c>
      <c r="B3850" s="1">
        <v>45939</v>
      </c>
      <c r="C3850" t="s">
        <v>3846</v>
      </c>
      <c r="D3850">
        <v>10</v>
      </c>
      <c r="E3850">
        <v>9</v>
      </c>
      <c r="F3850" t="s">
        <v>88</v>
      </c>
      <c r="G3850" t="s">
        <v>64</v>
      </c>
      <c r="H3850" t="s">
        <v>105</v>
      </c>
      <c r="I3850" t="s">
        <v>57</v>
      </c>
      <c r="J3850" t="s">
        <v>78</v>
      </c>
      <c r="K3850" t="s">
        <v>38</v>
      </c>
      <c r="L3850">
        <v>2</v>
      </c>
      <c r="M3850">
        <v>796</v>
      </c>
      <c r="N3850">
        <v>0</v>
      </c>
      <c r="O3850">
        <v>30</v>
      </c>
      <c r="P3850">
        <v>1592</v>
      </c>
      <c r="Q3850">
        <v>1622</v>
      </c>
      <c r="R3850" t="s">
        <v>39</v>
      </c>
      <c r="S3850" t="s">
        <v>31</v>
      </c>
      <c r="T3850" t="s">
        <v>32</v>
      </c>
      <c r="U3850">
        <v>25</v>
      </c>
      <c r="V3850">
        <v>4</v>
      </c>
      <c r="W3850">
        <f>Table2[[#This Row],[Quantity]]*Table2[[#This Row],[Item_Price]]</f>
        <v>1592</v>
      </c>
    </row>
    <row r="3851" spans="1:23" x14ac:dyDescent="0.25">
      <c r="A3851" t="s">
        <v>3954</v>
      </c>
      <c r="B3851" s="1">
        <v>45939</v>
      </c>
      <c r="C3851" t="s">
        <v>3846</v>
      </c>
      <c r="D3851">
        <v>10</v>
      </c>
      <c r="E3851">
        <v>9</v>
      </c>
      <c r="F3851" t="s">
        <v>88</v>
      </c>
      <c r="G3851" t="s">
        <v>80</v>
      </c>
      <c r="H3851" t="s">
        <v>65</v>
      </c>
      <c r="I3851" t="s">
        <v>36</v>
      </c>
      <c r="J3851" t="s">
        <v>94</v>
      </c>
      <c r="K3851" t="s">
        <v>38</v>
      </c>
      <c r="L3851">
        <v>1</v>
      </c>
      <c r="M3851">
        <v>504</v>
      </c>
      <c r="N3851">
        <v>75.599999999999994</v>
      </c>
      <c r="O3851">
        <v>40</v>
      </c>
      <c r="P3851">
        <v>504</v>
      </c>
      <c r="Q3851">
        <v>468.4</v>
      </c>
      <c r="R3851" t="s">
        <v>112</v>
      </c>
      <c r="S3851" t="s">
        <v>31</v>
      </c>
      <c r="T3851" t="s">
        <v>40</v>
      </c>
      <c r="U3851">
        <v>35</v>
      </c>
      <c r="V3851">
        <v>3.7</v>
      </c>
      <c r="W3851">
        <f>Table2[[#This Row],[Quantity]]*Table2[[#This Row],[Item_Price]]</f>
        <v>504</v>
      </c>
    </row>
    <row r="3852" spans="1:23" x14ac:dyDescent="0.25">
      <c r="A3852" t="s">
        <v>3955</v>
      </c>
      <c r="B3852" s="1">
        <v>45939</v>
      </c>
      <c r="C3852" t="s">
        <v>3846</v>
      </c>
      <c r="D3852">
        <v>10</v>
      </c>
      <c r="E3852">
        <v>9</v>
      </c>
      <c r="F3852" t="s">
        <v>88</v>
      </c>
      <c r="G3852" t="s">
        <v>64</v>
      </c>
      <c r="H3852" t="s">
        <v>48</v>
      </c>
      <c r="I3852" t="s">
        <v>27</v>
      </c>
      <c r="J3852" t="s">
        <v>74</v>
      </c>
      <c r="K3852" t="s">
        <v>38</v>
      </c>
      <c r="L3852">
        <v>2</v>
      </c>
      <c r="M3852">
        <v>668</v>
      </c>
      <c r="N3852">
        <v>167</v>
      </c>
      <c r="O3852">
        <v>0</v>
      </c>
      <c r="P3852">
        <v>1336</v>
      </c>
      <c r="Q3852">
        <v>1169</v>
      </c>
      <c r="R3852" t="s">
        <v>39</v>
      </c>
      <c r="S3852" t="s">
        <v>31</v>
      </c>
      <c r="T3852" t="s">
        <v>40</v>
      </c>
      <c r="U3852">
        <v>63</v>
      </c>
      <c r="V3852">
        <v>3.8</v>
      </c>
      <c r="W3852">
        <f>Table2[[#This Row],[Quantity]]*Table2[[#This Row],[Item_Price]]</f>
        <v>1336</v>
      </c>
    </row>
    <row r="3853" spans="1:23" x14ac:dyDescent="0.25">
      <c r="A3853" t="s">
        <v>3956</v>
      </c>
      <c r="B3853" s="1">
        <v>45939</v>
      </c>
      <c r="C3853" t="s">
        <v>3846</v>
      </c>
      <c r="D3853">
        <v>10</v>
      </c>
      <c r="E3853">
        <v>9</v>
      </c>
      <c r="F3853" t="s">
        <v>88</v>
      </c>
      <c r="G3853" t="s">
        <v>64</v>
      </c>
      <c r="H3853" t="s">
        <v>65</v>
      </c>
      <c r="I3853" t="s">
        <v>103</v>
      </c>
      <c r="J3853" t="s">
        <v>78</v>
      </c>
      <c r="K3853" t="s">
        <v>38</v>
      </c>
      <c r="L3853">
        <v>2</v>
      </c>
      <c r="M3853">
        <v>889</v>
      </c>
      <c r="N3853">
        <v>222.25</v>
      </c>
      <c r="O3853">
        <v>40</v>
      </c>
      <c r="P3853">
        <v>1778</v>
      </c>
      <c r="Q3853">
        <v>1595.75</v>
      </c>
      <c r="R3853" t="s">
        <v>98</v>
      </c>
      <c r="S3853" t="s">
        <v>31</v>
      </c>
      <c r="T3853" t="s">
        <v>32</v>
      </c>
      <c r="U3853">
        <v>69</v>
      </c>
      <c r="V3853">
        <v>3.9</v>
      </c>
      <c r="W3853">
        <f>Table2[[#This Row],[Quantity]]*Table2[[#This Row],[Item_Price]]</f>
        <v>1778</v>
      </c>
    </row>
    <row r="3854" spans="1:23" x14ac:dyDescent="0.25">
      <c r="A3854" t="s">
        <v>3957</v>
      </c>
      <c r="B3854" s="1">
        <v>45939</v>
      </c>
      <c r="C3854" t="s">
        <v>3846</v>
      </c>
      <c r="D3854">
        <v>10</v>
      </c>
      <c r="E3854">
        <v>9</v>
      </c>
      <c r="F3854" t="s">
        <v>88</v>
      </c>
      <c r="G3854" t="s">
        <v>80</v>
      </c>
      <c r="H3854" t="s">
        <v>139</v>
      </c>
      <c r="I3854" t="s">
        <v>61</v>
      </c>
      <c r="J3854" t="s">
        <v>70</v>
      </c>
      <c r="K3854" t="s">
        <v>38</v>
      </c>
      <c r="L3854">
        <v>2</v>
      </c>
      <c r="M3854">
        <v>752</v>
      </c>
      <c r="N3854">
        <v>0</v>
      </c>
      <c r="O3854">
        <v>60</v>
      </c>
      <c r="P3854">
        <v>1504</v>
      </c>
      <c r="Q3854">
        <v>1564</v>
      </c>
      <c r="R3854" t="s">
        <v>75</v>
      </c>
      <c r="S3854" t="s">
        <v>31</v>
      </c>
      <c r="T3854" t="s">
        <v>32</v>
      </c>
      <c r="U3854">
        <v>30</v>
      </c>
      <c r="V3854">
        <v>3.9</v>
      </c>
      <c r="W3854">
        <f>Table2[[#This Row],[Quantity]]*Table2[[#This Row],[Item_Price]]</f>
        <v>1504</v>
      </c>
    </row>
    <row r="3855" spans="1:23" x14ac:dyDescent="0.25">
      <c r="A3855" t="s">
        <v>3958</v>
      </c>
      <c r="B3855" s="1">
        <v>45939</v>
      </c>
      <c r="C3855" t="s">
        <v>3846</v>
      </c>
      <c r="D3855">
        <v>10</v>
      </c>
      <c r="E3855">
        <v>9</v>
      </c>
      <c r="F3855" t="s">
        <v>88</v>
      </c>
      <c r="G3855" t="s">
        <v>80</v>
      </c>
      <c r="H3855" t="s">
        <v>52</v>
      </c>
      <c r="I3855" t="s">
        <v>61</v>
      </c>
      <c r="J3855" t="s">
        <v>70</v>
      </c>
      <c r="K3855" t="s">
        <v>38</v>
      </c>
      <c r="L3855">
        <v>1</v>
      </c>
      <c r="M3855">
        <v>432</v>
      </c>
      <c r="N3855">
        <v>86.4</v>
      </c>
      <c r="O3855">
        <v>50</v>
      </c>
      <c r="P3855">
        <v>432</v>
      </c>
      <c r="Q3855">
        <v>395.6</v>
      </c>
      <c r="R3855" t="s">
        <v>39</v>
      </c>
      <c r="S3855" t="s">
        <v>31</v>
      </c>
      <c r="T3855" t="s">
        <v>32</v>
      </c>
      <c r="U3855">
        <v>39</v>
      </c>
      <c r="V3855">
        <v>4</v>
      </c>
      <c r="W3855">
        <f>Table2[[#This Row],[Quantity]]*Table2[[#This Row],[Item_Price]]</f>
        <v>432</v>
      </c>
    </row>
    <row r="3856" spans="1:23" x14ac:dyDescent="0.25">
      <c r="A3856" t="s">
        <v>3959</v>
      </c>
      <c r="B3856" s="1">
        <v>45939</v>
      </c>
      <c r="C3856" t="s">
        <v>3846</v>
      </c>
      <c r="D3856">
        <v>10</v>
      </c>
      <c r="E3856">
        <v>9</v>
      </c>
      <c r="F3856" t="s">
        <v>88</v>
      </c>
      <c r="G3856" t="s">
        <v>73</v>
      </c>
      <c r="H3856" t="s">
        <v>77</v>
      </c>
      <c r="I3856" t="s">
        <v>49</v>
      </c>
      <c r="J3856" t="s">
        <v>78</v>
      </c>
      <c r="K3856" t="s">
        <v>29</v>
      </c>
      <c r="L3856">
        <v>1</v>
      </c>
      <c r="M3856">
        <v>674</v>
      </c>
      <c r="N3856">
        <v>0</v>
      </c>
      <c r="O3856">
        <v>70</v>
      </c>
      <c r="P3856">
        <v>674</v>
      </c>
      <c r="Q3856">
        <v>744</v>
      </c>
      <c r="R3856" t="s">
        <v>98</v>
      </c>
      <c r="S3856" t="s">
        <v>31</v>
      </c>
      <c r="T3856" t="s">
        <v>40</v>
      </c>
      <c r="U3856">
        <v>30</v>
      </c>
      <c r="V3856">
        <v>4.5999999999999996</v>
      </c>
      <c r="W3856">
        <f>Table2[[#This Row],[Quantity]]*Table2[[#This Row],[Item_Price]]</f>
        <v>674</v>
      </c>
    </row>
    <row r="3857" spans="1:23" x14ac:dyDescent="0.25">
      <c r="A3857" t="s">
        <v>3960</v>
      </c>
      <c r="B3857" s="1">
        <v>45940</v>
      </c>
      <c r="C3857" t="s">
        <v>3846</v>
      </c>
      <c r="D3857">
        <v>10</v>
      </c>
      <c r="E3857">
        <v>10</v>
      </c>
      <c r="F3857" t="s">
        <v>114</v>
      </c>
      <c r="G3857" t="s">
        <v>25</v>
      </c>
      <c r="H3857" t="s">
        <v>35</v>
      </c>
      <c r="I3857" t="s">
        <v>57</v>
      </c>
      <c r="J3857" t="s">
        <v>94</v>
      </c>
      <c r="K3857" t="s">
        <v>38</v>
      </c>
      <c r="L3857">
        <v>1</v>
      </c>
      <c r="M3857">
        <v>530</v>
      </c>
      <c r="N3857">
        <v>53</v>
      </c>
      <c r="O3857">
        <v>20</v>
      </c>
      <c r="P3857">
        <v>530</v>
      </c>
      <c r="Q3857">
        <v>497</v>
      </c>
      <c r="R3857" t="s">
        <v>30</v>
      </c>
      <c r="S3857" t="s">
        <v>31</v>
      </c>
      <c r="T3857" t="s">
        <v>32</v>
      </c>
      <c r="U3857">
        <v>24</v>
      </c>
      <c r="V3857">
        <v>4.5</v>
      </c>
      <c r="W3857">
        <f>Table2[[#This Row],[Quantity]]*Table2[[#This Row],[Item_Price]]</f>
        <v>530</v>
      </c>
    </row>
    <row r="3858" spans="1:23" x14ac:dyDescent="0.25">
      <c r="A3858" t="s">
        <v>3961</v>
      </c>
      <c r="B3858" s="1">
        <v>45940</v>
      </c>
      <c r="C3858" t="s">
        <v>3846</v>
      </c>
      <c r="D3858">
        <v>10</v>
      </c>
      <c r="E3858">
        <v>10</v>
      </c>
      <c r="F3858" t="s">
        <v>114</v>
      </c>
      <c r="G3858" t="s">
        <v>96</v>
      </c>
      <c r="H3858" t="s">
        <v>135</v>
      </c>
      <c r="I3858" t="s">
        <v>49</v>
      </c>
      <c r="J3858" t="s">
        <v>37</v>
      </c>
      <c r="K3858" t="s">
        <v>38</v>
      </c>
      <c r="L3858">
        <v>3</v>
      </c>
      <c r="M3858">
        <v>369</v>
      </c>
      <c r="N3858">
        <v>55.35</v>
      </c>
      <c r="O3858">
        <v>50</v>
      </c>
      <c r="P3858">
        <v>1107</v>
      </c>
      <c r="Q3858">
        <v>1101.6500000000001</v>
      </c>
      <c r="R3858" t="s">
        <v>39</v>
      </c>
      <c r="S3858" t="s">
        <v>31</v>
      </c>
      <c r="T3858" t="s">
        <v>40</v>
      </c>
      <c r="U3858">
        <v>45</v>
      </c>
      <c r="V3858">
        <v>4.8</v>
      </c>
      <c r="W3858">
        <f>Table2[[#This Row],[Quantity]]*Table2[[#This Row],[Item_Price]]</f>
        <v>1107</v>
      </c>
    </row>
    <row r="3859" spans="1:23" x14ac:dyDescent="0.25">
      <c r="A3859" t="s">
        <v>3962</v>
      </c>
      <c r="B3859" s="1">
        <v>45940</v>
      </c>
      <c r="C3859" t="s">
        <v>3846</v>
      </c>
      <c r="D3859">
        <v>10</v>
      </c>
      <c r="E3859">
        <v>10</v>
      </c>
      <c r="F3859" t="s">
        <v>114</v>
      </c>
      <c r="G3859" t="s">
        <v>73</v>
      </c>
      <c r="H3859" t="s">
        <v>52</v>
      </c>
      <c r="I3859" t="s">
        <v>103</v>
      </c>
      <c r="J3859" t="s">
        <v>123</v>
      </c>
      <c r="K3859" t="s">
        <v>38</v>
      </c>
      <c r="L3859">
        <v>2</v>
      </c>
      <c r="M3859">
        <v>720</v>
      </c>
      <c r="N3859">
        <v>144</v>
      </c>
      <c r="O3859">
        <v>20</v>
      </c>
      <c r="P3859">
        <v>1440</v>
      </c>
      <c r="Q3859">
        <v>1316</v>
      </c>
      <c r="R3859" t="s">
        <v>39</v>
      </c>
      <c r="S3859" t="s">
        <v>31</v>
      </c>
      <c r="T3859" t="s">
        <v>40</v>
      </c>
      <c r="U3859">
        <v>67</v>
      </c>
      <c r="V3859">
        <v>4.4000000000000004</v>
      </c>
      <c r="W3859">
        <f>Table2[[#This Row],[Quantity]]*Table2[[#This Row],[Item_Price]]</f>
        <v>1440</v>
      </c>
    </row>
    <row r="3860" spans="1:23" x14ac:dyDescent="0.25">
      <c r="A3860" t="s">
        <v>3963</v>
      </c>
      <c r="B3860" s="1">
        <v>45940</v>
      </c>
      <c r="C3860" t="s">
        <v>3846</v>
      </c>
      <c r="D3860">
        <v>10</v>
      </c>
      <c r="E3860">
        <v>10</v>
      </c>
      <c r="F3860" t="s">
        <v>114</v>
      </c>
      <c r="G3860" t="s">
        <v>90</v>
      </c>
      <c r="H3860" t="s">
        <v>139</v>
      </c>
      <c r="I3860" t="s">
        <v>97</v>
      </c>
      <c r="J3860" t="s">
        <v>82</v>
      </c>
      <c r="K3860" t="s">
        <v>38</v>
      </c>
      <c r="L3860">
        <v>3</v>
      </c>
      <c r="M3860">
        <v>597</v>
      </c>
      <c r="N3860">
        <v>89.55</v>
      </c>
      <c r="O3860">
        <v>30</v>
      </c>
      <c r="P3860">
        <v>1791</v>
      </c>
      <c r="Q3860">
        <v>1731.45</v>
      </c>
      <c r="R3860" t="s">
        <v>75</v>
      </c>
      <c r="S3860" t="s">
        <v>31</v>
      </c>
      <c r="T3860" t="s">
        <v>32</v>
      </c>
      <c r="U3860">
        <v>51</v>
      </c>
      <c r="V3860">
        <v>4.0999999999999996</v>
      </c>
      <c r="W3860">
        <f>Table2[[#This Row],[Quantity]]*Table2[[#This Row],[Item_Price]]</f>
        <v>1791</v>
      </c>
    </row>
    <row r="3861" spans="1:23" x14ac:dyDescent="0.25">
      <c r="A3861" t="s">
        <v>3964</v>
      </c>
      <c r="B3861" s="1">
        <v>45940</v>
      </c>
      <c r="C3861" t="s">
        <v>3846</v>
      </c>
      <c r="D3861">
        <v>10</v>
      </c>
      <c r="E3861">
        <v>10</v>
      </c>
      <c r="F3861" t="s">
        <v>114</v>
      </c>
      <c r="G3861" t="s">
        <v>90</v>
      </c>
      <c r="H3861" t="s">
        <v>81</v>
      </c>
      <c r="I3861" t="s">
        <v>103</v>
      </c>
      <c r="J3861" t="s">
        <v>172</v>
      </c>
      <c r="K3861" t="s">
        <v>38</v>
      </c>
      <c r="L3861">
        <v>3</v>
      </c>
      <c r="M3861">
        <v>458</v>
      </c>
      <c r="N3861">
        <v>45.8</v>
      </c>
      <c r="O3861">
        <v>40</v>
      </c>
      <c r="P3861">
        <v>1374</v>
      </c>
      <c r="Q3861">
        <v>1368.2</v>
      </c>
      <c r="R3861" t="s">
        <v>39</v>
      </c>
      <c r="S3861" t="s">
        <v>31</v>
      </c>
      <c r="T3861" t="s">
        <v>40</v>
      </c>
      <c r="U3861">
        <v>48</v>
      </c>
      <c r="V3861">
        <v>4</v>
      </c>
      <c r="W3861">
        <f>Table2[[#This Row],[Quantity]]*Table2[[#This Row],[Item_Price]]</f>
        <v>1374</v>
      </c>
    </row>
    <row r="3862" spans="1:23" x14ac:dyDescent="0.25">
      <c r="A3862" t="s">
        <v>3965</v>
      </c>
      <c r="B3862" s="1">
        <v>45940</v>
      </c>
      <c r="C3862" t="s">
        <v>3846</v>
      </c>
      <c r="D3862">
        <v>10</v>
      </c>
      <c r="E3862">
        <v>10</v>
      </c>
      <c r="F3862" t="s">
        <v>114</v>
      </c>
      <c r="G3862" t="s">
        <v>25</v>
      </c>
      <c r="H3862" t="s">
        <v>135</v>
      </c>
      <c r="I3862" t="s">
        <v>103</v>
      </c>
      <c r="J3862" t="s">
        <v>50</v>
      </c>
      <c r="K3862" t="s">
        <v>38</v>
      </c>
      <c r="L3862">
        <v>3</v>
      </c>
      <c r="M3862">
        <v>398</v>
      </c>
      <c r="N3862">
        <v>19.899999999999999</v>
      </c>
      <c r="O3862">
        <v>0</v>
      </c>
      <c r="P3862">
        <v>1194</v>
      </c>
      <c r="Q3862">
        <v>1174.0999999999999</v>
      </c>
      <c r="R3862" t="s">
        <v>39</v>
      </c>
      <c r="S3862" t="s">
        <v>31</v>
      </c>
      <c r="T3862" t="s">
        <v>32</v>
      </c>
      <c r="U3862">
        <v>54</v>
      </c>
      <c r="V3862">
        <v>4.5999999999999996</v>
      </c>
      <c r="W3862">
        <f>Table2[[#This Row],[Quantity]]*Table2[[#This Row],[Item_Price]]</f>
        <v>1194</v>
      </c>
    </row>
    <row r="3863" spans="1:23" x14ac:dyDescent="0.25">
      <c r="A3863" t="s">
        <v>3966</v>
      </c>
      <c r="B3863" s="1">
        <v>45940</v>
      </c>
      <c r="C3863" t="s">
        <v>3846</v>
      </c>
      <c r="D3863">
        <v>10</v>
      </c>
      <c r="E3863">
        <v>10</v>
      </c>
      <c r="F3863" t="s">
        <v>114</v>
      </c>
      <c r="G3863" t="s">
        <v>64</v>
      </c>
      <c r="H3863" t="s">
        <v>60</v>
      </c>
      <c r="I3863" t="s">
        <v>85</v>
      </c>
      <c r="J3863" t="s">
        <v>28</v>
      </c>
      <c r="K3863" t="s">
        <v>38</v>
      </c>
      <c r="L3863">
        <v>3</v>
      </c>
      <c r="M3863">
        <v>152</v>
      </c>
      <c r="N3863">
        <v>22.8</v>
      </c>
      <c r="O3863">
        <v>70</v>
      </c>
      <c r="P3863">
        <v>456</v>
      </c>
      <c r="Q3863">
        <v>503.2</v>
      </c>
      <c r="R3863" t="s">
        <v>39</v>
      </c>
      <c r="S3863" t="s">
        <v>46</v>
      </c>
      <c r="T3863" t="s">
        <v>40</v>
      </c>
      <c r="U3863">
        <v>56</v>
      </c>
      <c r="W3863">
        <f>Table2[[#This Row],[Quantity]]*Table2[[#This Row],[Item_Price]]</f>
        <v>456</v>
      </c>
    </row>
    <row r="3864" spans="1:23" x14ac:dyDescent="0.25">
      <c r="A3864" t="s">
        <v>3967</v>
      </c>
      <c r="B3864" s="1">
        <v>45940</v>
      </c>
      <c r="C3864" t="s">
        <v>3846</v>
      </c>
      <c r="D3864">
        <v>10</v>
      </c>
      <c r="E3864">
        <v>10</v>
      </c>
      <c r="F3864" t="s">
        <v>114</v>
      </c>
      <c r="G3864" t="s">
        <v>115</v>
      </c>
      <c r="H3864" t="s">
        <v>77</v>
      </c>
      <c r="I3864" t="s">
        <v>69</v>
      </c>
      <c r="J3864" t="s">
        <v>94</v>
      </c>
      <c r="K3864" t="s">
        <v>58</v>
      </c>
      <c r="L3864">
        <v>2</v>
      </c>
      <c r="M3864">
        <v>221</v>
      </c>
      <c r="N3864">
        <v>11.05</v>
      </c>
      <c r="O3864">
        <v>30</v>
      </c>
      <c r="P3864">
        <v>442</v>
      </c>
      <c r="Q3864">
        <v>460.95</v>
      </c>
      <c r="R3864" t="s">
        <v>75</v>
      </c>
      <c r="S3864" t="s">
        <v>31</v>
      </c>
      <c r="T3864" t="s">
        <v>40</v>
      </c>
      <c r="U3864">
        <v>66</v>
      </c>
      <c r="V3864">
        <v>4.4000000000000004</v>
      </c>
      <c r="W3864">
        <f>Table2[[#This Row],[Quantity]]*Table2[[#This Row],[Item_Price]]</f>
        <v>442</v>
      </c>
    </row>
    <row r="3865" spans="1:23" x14ac:dyDescent="0.25">
      <c r="A3865" t="s">
        <v>3968</v>
      </c>
      <c r="B3865" s="1">
        <v>45940</v>
      </c>
      <c r="C3865" t="s">
        <v>3846</v>
      </c>
      <c r="D3865">
        <v>10</v>
      </c>
      <c r="E3865">
        <v>10</v>
      </c>
      <c r="F3865" t="s">
        <v>114</v>
      </c>
      <c r="G3865" t="s">
        <v>55</v>
      </c>
      <c r="H3865" t="s">
        <v>48</v>
      </c>
      <c r="I3865" t="s">
        <v>69</v>
      </c>
      <c r="J3865" t="s">
        <v>101</v>
      </c>
      <c r="K3865" t="s">
        <v>58</v>
      </c>
      <c r="L3865">
        <v>1</v>
      </c>
      <c r="M3865">
        <v>819</v>
      </c>
      <c r="N3865">
        <v>0</v>
      </c>
      <c r="O3865">
        <v>60</v>
      </c>
      <c r="P3865">
        <v>819</v>
      </c>
      <c r="Q3865">
        <v>879</v>
      </c>
      <c r="R3865" t="s">
        <v>112</v>
      </c>
      <c r="S3865" t="s">
        <v>31</v>
      </c>
      <c r="T3865" t="s">
        <v>40</v>
      </c>
      <c r="U3865">
        <v>35</v>
      </c>
      <c r="V3865">
        <v>3.5</v>
      </c>
      <c r="W3865">
        <f>Table2[[#This Row],[Quantity]]*Table2[[#This Row],[Item_Price]]</f>
        <v>819</v>
      </c>
    </row>
    <row r="3866" spans="1:23" x14ac:dyDescent="0.25">
      <c r="A3866" t="s">
        <v>3969</v>
      </c>
      <c r="B3866" s="1">
        <v>45940</v>
      </c>
      <c r="C3866" t="s">
        <v>3846</v>
      </c>
      <c r="D3866">
        <v>10</v>
      </c>
      <c r="E3866">
        <v>10</v>
      </c>
      <c r="F3866" t="s">
        <v>114</v>
      </c>
      <c r="G3866" t="s">
        <v>96</v>
      </c>
      <c r="H3866" t="s">
        <v>52</v>
      </c>
      <c r="I3866" t="s">
        <v>97</v>
      </c>
      <c r="J3866" t="s">
        <v>50</v>
      </c>
      <c r="K3866" t="s">
        <v>45</v>
      </c>
      <c r="L3866">
        <v>2</v>
      </c>
      <c r="M3866">
        <v>881</v>
      </c>
      <c r="N3866">
        <v>88.1</v>
      </c>
      <c r="O3866">
        <v>60</v>
      </c>
      <c r="P3866">
        <v>1762</v>
      </c>
      <c r="Q3866">
        <v>1733.9</v>
      </c>
      <c r="R3866" t="s">
        <v>98</v>
      </c>
      <c r="S3866" t="s">
        <v>46</v>
      </c>
      <c r="T3866" t="s">
        <v>40</v>
      </c>
      <c r="U3866">
        <v>64</v>
      </c>
      <c r="W3866">
        <f>Table2[[#This Row],[Quantity]]*Table2[[#This Row],[Item_Price]]</f>
        <v>1762</v>
      </c>
    </row>
    <row r="3867" spans="1:23" x14ac:dyDescent="0.25">
      <c r="A3867" t="s">
        <v>3970</v>
      </c>
      <c r="B3867" s="1">
        <v>45940</v>
      </c>
      <c r="C3867" t="s">
        <v>3846</v>
      </c>
      <c r="D3867">
        <v>10</v>
      </c>
      <c r="E3867">
        <v>10</v>
      </c>
      <c r="F3867" t="s">
        <v>114</v>
      </c>
      <c r="G3867" t="s">
        <v>90</v>
      </c>
      <c r="H3867" t="s">
        <v>42</v>
      </c>
      <c r="I3867" t="s">
        <v>85</v>
      </c>
      <c r="J3867" t="s">
        <v>50</v>
      </c>
      <c r="K3867" t="s">
        <v>45</v>
      </c>
      <c r="L3867">
        <v>1</v>
      </c>
      <c r="M3867">
        <v>591</v>
      </c>
      <c r="N3867">
        <v>59.1</v>
      </c>
      <c r="O3867">
        <v>50</v>
      </c>
      <c r="P3867">
        <v>591</v>
      </c>
      <c r="Q3867">
        <v>581.9</v>
      </c>
      <c r="R3867" t="s">
        <v>112</v>
      </c>
      <c r="S3867" t="s">
        <v>31</v>
      </c>
      <c r="T3867" t="s">
        <v>40</v>
      </c>
      <c r="U3867">
        <v>69</v>
      </c>
      <c r="V3867">
        <v>3.6</v>
      </c>
      <c r="W3867">
        <f>Table2[[#This Row],[Quantity]]*Table2[[#This Row],[Item_Price]]</f>
        <v>591</v>
      </c>
    </row>
    <row r="3868" spans="1:23" x14ac:dyDescent="0.25">
      <c r="A3868" t="s">
        <v>3971</v>
      </c>
      <c r="B3868" s="1">
        <v>45940</v>
      </c>
      <c r="C3868" t="s">
        <v>3846</v>
      </c>
      <c r="D3868">
        <v>10</v>
      </c>
      <c r="E3868">
        <v>10</v>
      </c>
      <c r="F3868" t="s">
        <v>114</v>
      </c>
      <c r="G3868" t="s">
        <v>80</v>
      </c>
      <c r="H3868" t="s">
        <v>48</v>
      </c>
      <c r="I3868" t="s">
        <v>36</v>
      </c>
      <c r="J3868" t="s">
        <v>50</v>
      </c>
      <c r="K3868" t="s">
        <v>38</v>
      </c>
      <c r="L3868">
        <v>1</v>
      </c>
      <c r="M3868">
        <v>875</v>
      </c>
      <c r="N3868">
        <v>131.25</v>
      </c>
      <c r="O3868">
        <v>60</v>
      </c>
      <c r="P3868">
        <v>875</v>
      </c>
      <c r="Q3868">
        <v>803.75</v>
      </c>
      <c r="R3868" t="s">
        <v>75</v>
      </c>
      <c r="S3868" t="s">
        <v>31</v>
      </c>
      <c r="T3868" t="s">
        <v>40</v>
      </c>
      <c r="U3868">
        <v>35</v>
      </c>
      <c r="V3868">
        <v>3.4</v>
      </c>
      <c r="W3868">
        <f>Table2[[#This Row],[Quantity]]*Table2[[#This Row],[Item_Price]]</f>
        <v>875</v>
      </c>
    </row>
    <row r="3869" spans="1:23" x14ac:dyDescent="0.25">
      <c r="A3869" t="s">
        <v>3972</v>
      </c>
      <c r="B3869" s="1">
        <v>45940</v>
      </c>
      <c r="C3869" t="s">
        <v>3846</v>
      </c>
      <c r="D3869">
        <v>10</v>
      </c>
      <c r="E3869">
        <v>10</v>
      </c>
      <c r="F3869" t="s">
        <v>114</v>
      </c>
      <c r="G3869" t="s">
        <v>84</v>
      </c>
      <c r="H3869" t="s">
        <v>56</v>
      </c>
      <c r="I3869" t="s">
        <v>43</v>
      </c>
      <c r="J3869" t="s">
        <v>44</v>
      </c>
      <c r="K3869" t="s">
        <v>38</v>
      </c>
      <c r="L3869">
        <v>1</v>
      </c>
      <c r="M3869">
        <v>290</v>
      </c>
      <c r="N3869">
        <v>0</v>
      </c>
      <c r="O3869">
        <v>40</v>
      </c>
      <c r="P3869">
        <v>290</v>
      </c>
      <c r="Q3869">
        <v>330</v>
      </c>
      <c r="R3869" t="s">
        <v>75</v>
      </c>
      <c r="S3869" t="s">
        <v>31</v>
      </c>
      <c r="T3869" t="s">
        <v>40</v>
      </c>
      <c r="U3869">
        <v>24</v>
      </c>
      <c r="V3869">
        <v>5</v>
      </c>
      <c r="W3869">
        <f>Table2[[#This Row],[Quantity]]*Table2[[#This Row],[Item_Price]]</f>
        <v>290</v>
      </c>
    </row>
    <row r="3870" spans="1:23" x14ac:dyDescent="0.25">
      <c r="A3870" t="s">
        <v>3973</v>
      </c>
      <c r="B3870" s="1">
        <v>45940</v>
      </c>
      <c r="C3870" t="s">
        <v>3846</v>
      </c>
      <c r="D3870">
        <v>10</v>
      </c>
      <c r="E3870">
        <v>10</v>
      </c>
      <c r="F3870" t="s">
        <v>114</v>
      </c>
      <c r="G3870" t="s">
        <v>64</v>
      </c>
      <c r="H3870" t="s">
        <v>68</v>
      </c>
      <c r="I3870" t="s">
        <v>57</v>
      </c>
      <c r="J3870" t="s">
        <v>44</v>
      </c>
      <c r="K3870" t="s">
        <v>45</v>
      </c>
      <c r="L3870">
        <v>2</v>
      </c>
      <c r="M3870">
        <v>644</v>
      </c>
      <c r="N3870">
        <v>0</v>
      </c>
      <c r="O3870">
        <v>0</v>
      </c>
      <c r="P3870">
        <v>1288</v>
      </c>
      <c r="Q3870">
        <v>1288</v>
      </c>
      <c r="R3870" t="s">
        <v>30</v>
      </c>
      <c r="S3870" t="s">
        <v>31</v>
      </c>
      <c r="T3870" t="s">
        <v>32</v>
      </c>
      <c r="U3870">
        <v>63</v>
      </c>
      <c r="V3870">
        <v>4.5999999999999996</v>
      </c>
      <c r="W3870">
        <f>Table2[[#This Row],[Quantity]]*Table2[[#This Row],[Item_Price]]</f>
        <v>1288</v>
      </c>
    </row>
    <row r="3871" spans="1:23" x14ac:dyDescent="0.25">
      <c r="A3871" t="s">
        <v>3974</v>
      </c>
      <c r="B3871" s="1">
        <v>45940</v>
      </c>
      <c r="C3871" t="s">
        <v>3846</v>
      </c>
      <c r="D3871">
        <v>10</v>
      </c>
      <c r="E3871">
        <v>10</v>
      </c>
      <c r="F3871" t="s">
        <v>114</v>
      </c>
      <c r="G3871" t="s">
        <v>73</v>
      </c>
      <c r="H3871" t="s">
        <v>108</v>
      </c>
      <c r="I3871" t="s">
        <v>49</v>
      </c>
      <c r="J3871" t="s">
        <v>44</v>
      </c>
      <c r="K3871" t="s">
        <v>38</v>
      </c>
      <c r="L3871">
        <v>3</v>
      </c>
      <c r="M3871">
        <v>211</v>
      </c>
      <c r="N3871">
        <v>21.1</v>
      </c>
      <c r="O3871">
        <v>30</v>
      </c>
      <c r="P3871">
        <v>633</v>
      </c>
      <c r="Q3871">
        <v>641.9</v>
      </c>
      <c r="R3871" t="s">
        <v>112</v>
      </c>
      <c r="S3871" t="s">
        <v>31</v>
      </c>
      <c r="T3871" t="s">
        <v>40</v>
      </c>
      <c r="U3871">
        <v>22</v>
      </c>
      <c r="V3871">
        <v>3.9</v>
      </c>
      <c r="W3871">
        <f>Table2[[#This Row],[Quantity]]*Table2[[#This Row],[Item_Price]]</f>
        <v>633</v>
      </c>
    </row>
    <row r="3872" spans="1:23" x14ac:dyDescent="0.25">
      <c r="A3872" t="s">
        <v>3975</v>
      </c>
      <c r="B3872" s="1">
        <v>45940</v>
      </c>
      <c r="C3872" t="s">
        <v>3846</v>
      </c>
      <c r="D3872">
        <v>10</v>
      </c>
      <c r="E3872">
        <v>10</v>
      </c>
      <c r="F3872" t="s">
        <v>114</v>
      </c>
      <c r="G3872" t="s">
        <v>64</v>
      </c>
      <c r="H3872" t="s">
        <v>77</v>
      </c>
      <c r="I3872" t="s">
        <v>27</v>
      </c>
      <c r="J3872" t="s">
        <v>123</v>
      </c>
      <c r="K3872" t="s">
        <v>38</v>
      </c>
      <c r="L3872">
        <v>3</v>
      </c>
      <c r="M3872">
        <v>797</v>
      </c>
      <c r="N3872">
        <v>119.55</v>
      </c>
      <c r="O3872">
        <v>0</v>
      </c>
      <c r="P3872">
        <v>2391</v>
      </c>
      <c r="Q3872">
        <v>2271.4499999999998</v>
      </c>
      <c r="R3872" t="s">
        <v>39</v>
      </c>
      <c r="S3872" t="s">
        <v>31</v>
      </c>
      <c r="T3872" t="s">
        <v>40</v>
      </c>
      <c r="U3872">
        <v>70</v>
      </c>
      <c r="V3872">
        <v>4.0999999999999996</v>
      </c>
      <c r="W3872">
        <f>Table2[[#This Row],[Quantity]]*Table2[[#This Row],[Item_Price]]</f>
        <v>2391</v>
      </c>
    </row>
    <row r="3873" spans="1:23" x14ac:dyDescent="0.25">
      <c r="A3873" t="s">
        <v>3976</v>
      </c>
      <c r="B3873" s="1">
        <v>45940</v>
      </c>
      <c r="C3873" t="s">
        <v>3846</v>
      </c>
      <c r="D3873">
        <v>10</v>
      </c>
      <c r="E3873">
        <v>10</v>
      </c>
      <c r="F3873" t="s">
        <v>114</v>
      </c>
      <c r="G3873" t="s">
        <v>115</v>
      </c>
      <c r="H3873" t="s">
        <v>65</v>
      </c>
      <c r="I3873" t="s">
        <v>103</v>
      </c>
      <c r="J3873" t="s">
        <v>78</v>
      </c>
      <c r="K3873" t="s">
        <v>29</v>
      </c>
      <c r="L3873">
        <v>1</v>
      </c>
      <c r="M3873">
        <v>516</v>
      </c>
      <c r="N3873">
        <v>77.400000000000006</v>
      </c>
      <c r="O3873">
        <v>20</v>
      </c>
      <c r="P3873">
        <v>516</v>
      </c>
      <c r="Q3873">
        <v>458.6</v>
      </c>
      <c r="R3873" t="s">
        <v>98</v>
      </c>
      <c r="S3873" t="s">
        <v>31</v>
      </c>
      <c r="T3873" t="s">
        <v>32</v>
      </c>
      <c r="U3873">
        <v>43</v>
      </c>
      <c r="V3873">
        <v>4</v>
      </c>
      <c r="W3873">
        <f>Table2[[#This Row],[Quantity]]*Table2[[#This Row],[Item_Price]]</f>
        <v>516</v>
      </c>
    </row>
    <row r="3874" spans="1:23" x14ac:dyDescent="0.25">
      <c r="A3874" t="s">
        <v>3977</v>
      </c>
      <c r="B3874" s="1">
        <v>45941</v>
      </c>
      <c r="C3874" t="s">
        <v>3846</v>
      </c>
      <c r="D3874">
        <v>10</v>
      </c>
      <c r="E3874">
        <v>11</v>
      </c>
      <c r="F3874" t="s">
        <v>134</v>
      </c>
      <c r="G3874" t="s">
        <v>84</v>
      </c>
      <c r="H3874" t="s">
        <v>81</v>
      </c>
      <c r="I3874" t="s">
        <v>61</v>
      </c>
      <c r="J3874" t="s">
        <v>53</v>
      </c>
      <c r="K3874" t="s">
        <v>38</v>
      </c>
      <c r="L3874">
        <v>2</v>
      </c>
      <c r="M3874">
        <v>723</v>
      </c>
      <c r="N3874">
        <v>72.3</v>
      </c>
      <c r="O3874">
        <v>40</v>
      </c>
      <c r="P3874">
        <v>1446</v>
      </c>
      <c r="Q3874">
        <v>1413.7</v>
      </c>
      <c r="R3874" t="s">
        <v>39</v>
      </c>
      <c r="S3874" t="s">
        <v>31</v>
      </c>
      <c r="T3874" t="s">
        <v>32</v>
      </c>
      <c r="U3874">
        <v>44</v>
      </c>
      <c r="V3874">
        <v>3.8</v>
      </c>
      <c r="W3874">
        <f>Table2[[#This Row],[Quantity]]*Table2[[#This Row],[Item_Price]]</f>
        <v>1446</v>
      </c>
    </row>
    <row r="3875" spans="1:23" x14ac:dyDescent="0.25">
      <c r="A3875" t="s">
        <v>3978</v>
      </c>
      <c r="B3875" s="1">
        <v>45941</v>
      </c>
      <c r="C3875" t="s">
        <v>3846</v>
      </c>
      <c r="D3875">
        <v>10</v>
      </c>
      <c r="E3875">
        <v>11</v>
      </c>
      <c r="F3875" t="s">
        <v>134</v>
      </c>
      <c r="G3875" t="s">
        <v>34</v>
      </c>
      <c r="H3875" t="s">
        <v>35</v>
      </c>
      <c r="I3875" t="s">
        <v>27</v>
      </c>
      <c r="J3875" t="s">
        <v>82</v>
      </c>
      <c r="K3875" t="s">
        <v>38</v>
      </c>
      <c r="L3875">
        <v>1</v>
      </c>
      <c r="M3875">
        <v>544</v>
      </c>
      <c r="N3875">
        <v>54.4</v>
      </c>
      <c r="O3875">
        <v>0</v>
      </c>
      <c r="P3875">
        <v>544</v>
      </c>
      <c r="Q3875">
        <v>489.6</v>
      </c>
      <c r="R3875" t="s">
        <v>30</v>
      </c>
      <c r="S3875" t="s">
        <v>31</v>
      </c>
      <c r="T3875" t="s">
        <v>32</v>
      </c>
      <c r="U3875">
        <v>61</v>
      </c>
      <c r="V3875">
        <v>4.0999999999999996</v>
      </c>
      <c r="W3875">
        <f>Table2[[#This Row],[Quantity]]*Table2[[#This Row],[Item_Price]]</f>
        <v>544</v>
      </c>
    </row>
    <row r="3876" spans="1:23" x14ac:dyDescent="0.25">
      <c r="A3876" t="s">
        <v>3979</v>
      </c>
      <c r="B3876" s="1">
        <v>45941</v>
      </c>
      <c r="C3876" t="s">
        <v>3846</v>
      </c>
      <c r="D3876">
        <v>10</v>
      </c>
      <c r="E3876">
        <v>11</v>
      </c>
      <c r="F3876" t="s">
        <v>134</v>
      </c>
      <c r="G3876" t="s">
        <v>73</v>
      </c>
      <c r="H3876" t="s">
        <v>81</v>
      </c>
      <c r="I3876" t="s">
        <v>49</v>
      </c>
      <c r="J3876" t="s">
        <v>119</v>
      </c>
      <c r="K3876" t="s">
        <v>38</v>
      </c>
      <c r="L3876">
        <v>3</v>
      </c>
      <c r="M3876">
        <v>304</v>
      </c>
      <c r="N3876">
        <v>45.6</v>
      </c>
      <c r="O3876">
        <v>30</v>
      </c>
      <c r="P3876">
        <v>912</v>
      </c>
      <c r="Q3876">
        <v>896.4</v>
      </c>
      <c r="R3876" t="s">
        <v>39</v>
      </c>
      <c r="S3876" t="s">
        <v>46</v>
      </c>
      <c r="T3876" t="s">
        <v>40</v>
      </c>
      <c r="U3876">
        <v>26</v>
      </c>
      <c r="W3876">
        <f>Table2[[#This Row],[Quantity]]*Table2[[#This Row],[Item_Price]]</f>
        <v>912</v>
      </c>
    </row>
    <row r="3877" spans="1:23" x14ac:dyDescent="0.25">
      <c r="A3877" t="s">
        <v>3980</v>
      </c>
      <c r="B3877" s="1">
        <v>45941</v>
      </c>
      <c r="C3877" t="s">
        <v>3846</v>
      </c>
      <c r="D3877">
        <v>10</v>
      </c>
      <c r="E3877">
        <v>11</v>
      </c>
      <c r="F3877" t="s">
        <v>134</v>
      </c>
      <c r="G3877" t="s">
        <v>96</v>
      </c>
      <c r="H3877" t="s">
        <v>105</v>
      </c>
      <c r="I3877" t="s">
        <v>69</v>
      </c>
      <c r="J3877" t="s">
        <v>44</v>
      </c>
      <c r="K3877" t="s">
        <v>38</v>
      </c>
      <c r="L3877">
        <v>1</v>
      </c>
      <c r="M3877">
        <v>735</v>
      </c>
      <c r="N3877">
        <v>183.75</v>
      </c>
      <c r="O3877">
        <v>0</v>
      </c>
      <c r="P3877">
        <v>735</v>
      </c>
      <c r="Q3877">
        <v>551.25</v>
      </c>
      <c r="R3877" t="s">
        <v>39</v>
      </c>
      <c r="S3877" t="s">
        <v>91</v>
      </c>
      <c r="T3877" t="s">
        <v>40</v>
      </c>
      <c r="U3877">
        <v>43</v>
      </c>
      <c r="W3877">
        <f>Table2[[#This Row],[Quantity]]*Table2[[#This Row],[Item_Price]]</f>
        <v>735</v>
      </c>
    </row>
    <row r="3878" spans="1:23" x14ac:dyDescent="0.25">
      <c r="A3878" t="s">
        <v>3981</v>
      </c>
      <c r="B3878" s="1">
        <v>45941</v>
      </c>
      <c r="C3878" t="s">
        <v>3846</v>
      </c>
      <c r="D3878">
        <v>10</v>
      </c>
      <c r="E3878">
        <v>11</v>
      </c>
      <c r="F3878" t="s">
        <v>134</v>
      </c>
      <c r="G3878" t="s">
        <v>25</v>
      </c>
      <c r="H3878" t="s">
        <v>52</v>
      </c>
      <c r="I3878" t="s">
        <v>69</v>
      </c>
      <c r="J3878" t="s">
        <v>66</v>
      </c>
      <c r="K3878" t="s">
        <v>38</v>
      </c>
      <c r="L3878">
        <v>2</v>
      </c>
      <c r="M3878">
        <v>411</v>
      </c>
      <c r="N3878">
        <v>82.2</v>
      </c>
      <c r="O3878">
        <v>40</v>
      </c>
      <c r="P3878">
        <v>822</v>
      </c>
      <c r="Q3878">
        <v>779.8</v>
      </c>
      <c r="R3878" t="s">
        <v>112</v>
      </c>
      <c r="S3878" t="s">
        <v>31</v>
      </c>
      <c r="T3878" t="s">
        <v>40</v>
      </c>
      <c r="U3878">
        <v>54</v>
      </c>
      <c r="V3878">
        <v>4.8</v>
      </c>
      <c r="W3878">
        <f>Table2[[#This Row],[Quantity]]*Table2[[#This Row],[Item_Price]]</f>
        <v>822</v>
      </c>
    </row>
    <row r="3879" spans="1:23" x14ac:dyDescent="0.25">
      <c r="A3879" t="s">
        <v>3982</v>
      </c>
      <c r="B3879" s="1">
        <v>45941</v>
      </c>
      <c r="C3879" t="s">
        <v>3846</v>
      </c>
      <c r="D3879">
        <v>10</v>
      </c>
      <c r="E3879">
        <v>11</v>
      </c>
      <c r="F3879" t="s">
        <v>134</v>
      </c>
      <c r="G3879" t="s">
        <v>84</v>
      </c>
      <c r="H3879" t="s">
        <v>65</v>
      </c>
      <c r="I3879" t="s">
        <v>85</v>
      </c>
      <c r="J3879" t="s">
        <v>78</v>
      </c>
      <c r="K3879" t="s">
        <v>38</v>
      </c>
      <c r="L3879">
        <v>2</v>
      </c>
      <c r="M3879">
        <v>270</v>
      </c>
      <c r="N3879">
        <v>27</v>
      </c>
      <c r="O3879">
        <v>20</v>
      </c>
      <c r="P3879">
        <v>540</v>
      </c>
      <c r="Q3879">
        <v>533</v>
      </c>
      <c r="R3879" t="s">
        <v>39</v>
      </c>
      <c r="S3879" t="s">
        <v>31</v>
      </c>
      <c r="T3879" t="s">
        <v>32</v>
      </c>
      <c r="U3879">
        <v>61</v>
      </c>
      <c r="V3879">
        <v>4.5</v>
      </c>
      <c r="W3879">
        <f>Table2[[#This Row],[Quantity]]*Table2[[#This Row],[Item_Price]]</f>
        <v>540</v>
      </c>
    </row>
    <row r="3880" spans="1:23" x14ac:dyDescent="0.25">
      <c r="A3880" t="s">
        <v>3983</v>
      </c>
      <c r="B3880" s="1">
        <v>45941</v>
      </c>
      <c r="C3880" t="s">
        <v>3846</v>
      </c>
      <c r="D3880">
        <v>10</v>
      </c>
      <c r="E3880">
        <v>11</v>
      </c>
      <c r="F3880" t="s">
        <v>134</v>
      </c>
      <c r="G3880" t="s">
        <v>34</v>
      </c>
      <c r="H3880" t="s">
        <v>68</v>
      </c>
      <c r="I3880" t="s">
        <v>103</v>
      </c>
      <c r="J3880" t="s">
        <v>123</v>
      </c>
      <c r="K3880" t="s">
        <v>45</v>
      </c>
      <c r="L3880">
        <v>3</v>
      </c>
      <c r="M3880">
        <v>160</v>
      </c>
      <c r="N3880">
        <v>32</v>
      </c>
      <c r="O3880">
        <v>30</v>
      </c>
      <c r="P3880">
        <v>480</v>
      </c>
      <c r="Q3880">
        <v>478</v>
      </c>
      <c r="R3880" t="s">
        <v>39</v>
      </c>
      <c r="S3880" t="s">
        <v>31</v>
      </c>
      <c r="T3880" t="s">
        <v>40</v>
      </c>
      <c r="U3880">
        <v>25</v>
      </c>
      <c r="V3880">
        <v>5</v>
      </c>
      <c r="W3880">
        <f>Table2[[#This Row],[Quantity]]*Table2[[#This Row],[Item_Price]]</f>
        <v>480</v>
      </c>
    </row>
    <row r="3881" spans="1:23" x14ac:dyDescent="0.25">
      <c r="A3881" t="s">
        <v>3984</v>
      </c>
      <c r="B3881" s="1">
        <v>45941</v>
      </c>
      <c r="C3881" t="s">
        <v>3846</v>
      </c>
      <c r="D3881">
        <v>10</v>
      </c>
      <c r="E3881">
        <v>11</v>
      </c>
      <c r="F3881" t="s">
        <v>134</v>
      </c>
      <c r="G3881" t="s">
        <v>55</v>
      </c>
      <c r="H3881" t="s">
        <v>81</v>
      </c>
      <c r="I3881" t="s">
        <v>69</v>
      </c>
      <c r="J3881" t="s">
        <v>74</v>
      </c>
      <c r="K3881" t="s">
        <v>38</v>
      </c>
      <c r="L3881">
        <v>3</v>
      </c>
      <c r="M3881">
        <v>737</v>
      </c>
      <c r="N3881">
        <v>110.55</v>
      </c>
      <c r="O3881">
        <v>40</v>
      </c>
      <c r="P3881">
        <v>2211</v>
      </c>
      <c r="Q3881">
        <v>2140.4499999999998</v>
      </c>
      <c r="R3881" t="s">
        <v>39</v>
      </c>
      <c r="S3881" t="s">
        <v>31</v>
      </c>
      <c r="T3881" t="s">
        <v>40</v>
      </c>
      <c r="U3881">
        <v>54</v>
      </c>
      <c r="V3881">
        <v>4.2</v>
      </c>
      <c r="W3881">
        <f>Table2[[#This Row],[Quantity]]*Table2[[#This Row],[Item_Price]]</f>
        <v>2211</v>
      </c>
    </row>
    <row r="3882" spans="1:23" x14ac:dyDescent="0.25">
      <c r="A3882" t="s">
        <v>3985</v>
      </c>
      <c r="B3882" s="1">
        <v>45941</v>
      </c>
      <c r="C3882" t="s">
        <v>3846</v>
      </c>
      <c r="D3882">
        <v>10</v>
      </c>
      <c r="E3882">
        <v>11</v>
      </c>
      <c r="F3882" t="s">
        <v>134</v>
      </c>
      <c r="G3882" t="s">
        <v>80</v>
      </c>
      <c r="H3882" t="s">
        <v>35</v>
      </c>
      <c r="I3882" t="s">
        <v>69</v>
      </c>
      <c r="J3882" t="s">
        <v>70</v>
      </c>
      <c r="K3882" t="s">
        <v>38</v>
      </c>
      <c r="L3882">
        <v>2</v>
      </c>
      <c r="M3882">
        <v>278</v>
      </c>
      <c r="N3882">
        <v>55.6</v>
      </c>
      <c r="O3882">
        <v>0</v>
      </c>
      <c r="P3882">
        <v>556</v>
      </c>
      <c r="Q3882">
        <v>500.4</v>
      </c>
      <c r="R3882" t="s">
        <v>112</v>
      </c>
      <c r="S3882" t="s">
        <v>31</v>
      </c>
      <c r="T3882" t="s">
        <v>32</v>
      </c>
      <c r="U3882">
        <v>47</v>
      </c>
      <c r="V3882">
        <v>4.3</v>
      </c>
      <c r="W3882">
        <f>Table2[[#This Row],[Quantity]]*Table2[[#This Row],[Item_Price]]</f>
        <v>556</v>
      </c>
    </row>
    <row r="3883" spans="1:23" x14ac:dyDescent="0.25">
      <c r="A3883" t="s">
        <v>3986</v>
      </c>
      <c r="B3883" s="1">
        <v>45941</v>
      </c>
      <c r="C3883" t="s">
        <v>3846</v>
      </c>
      <c r="D3883">
        <v>10</v>
      </c>
      <c r="E3883">
        <v>11</v>
      </c>
      <c r="F3883" t="s">
        <v>134</v>
      </c>
      <c r="G3883" t="s">
        <v>90</v>
      </c>
      <c r="H3883" t="s">
        <v>135</v>
      </c>
      <c r="I3883" t="s">
        <v>103</v>
      </c>
      <c r="J3883" t="s">
        <v>66</v>
      </c>
      <c r="K3883" t="s">
        <v>38</v>
      </c>
      <c r="L3883">
        <v>3</v>
      </c>
      <c r="M3883">
        <v>346</v>
      </c>
      <c r="N3883">
        <v>69.2</v>
      </c>
      <c r="O3883">
        <v>40</v>
      </c>
      <c r="P3883">
        <v>1038</v>
      </c>
      <c r="Q3883">
        <v>1008.8</v>
      </c>
      <c r="R3883" t="s">
        <v>39</v>
      </c>
      <c r="S3883" t="s">
        <v>31</v>
      </c>
      <c r="T3883" t="s">
        <v>40</v>
      </c>
      <c r="U3883">
        <v>29</v>
      </c>
      <c r="V3883">
        <v>3.4</v>
      </c>
      <c r="W3883">
        <f>Table2[[#This Row],[Quantity]]*Table2[[#This Row],[Item_Price]]</f>
        <v>1038</v>
      </c>
    </row>
    <row r="3884" spans="1:23" x14ac:dyDescent="0.25">
      <c r="A3884" t="s">
        <v>3987</v>
      </c>
      <c r="B3884" s="1">
        <v>45941</v>
      </c>
      <c r="C3884" t="s">
        <v>3846</v>
      </c>
      <c r="D3884">
        <v>10</v>
      </c>
      <c r="E3884">
        <v>11</v>
      </c>
      <c r="F3884" t="s">
        <v>134</v>
      </c>
      <c r="G3884" t="s">
        <v>64</v>
      </c>
      <c r="H3884" t="s">
        <v>48</v>
      </c>
      <c r="I3884" t="s">
        <v>61</v>
      </c>
      <c r="J3884" t="s">
        <v>66</v>
      </c>
      <c r="K3884" t="s">
        <v>58</v>
      </c>
      <c r="L3884">
        <v>1</v>
      </c>
      <c r="M3884">
        <v>894</v>
      </c>
      <c r="N3884">
        <v>89.4</v>
      </c>
      <c r="O3884">
        <v>50</v>
      </c>
      <c r="P3884">
        <v>894</v>
      </c>
      <c r="Q3884">
        <v>854.6</v>
      </c>
      <c r="R3884" t="s">
        <v>39</v>
      </c>
      <c r="S3884" t="s">
        <v>31</v>
      </c>
      <c r="T3884" t="s">
        <v>40</v>
      </c>
      <c r="U3884">
        <v>37</v>
      </c>
      <c r="V3884">
        <v>4.4000000000000004</v>
      </c>
      <c r="W3884">
        <f>Table2[[#This Row],[Quantity]]*Table2[[#This Row],[Item_Price]]</f>
        <v>894</v>
      </c>
    </row>
    <row r="3885" spans="1:23" x14ac:dyDescent="0.25">
      <c r="A3885" t="s">
        <v>3988</v>
      </c>
      <c r="B3885" s="1">
        <v>45941</v>
      </c>
      <c r="C3885" t="s">
        <v>3846</v>
      </c>
      <c r="D3885">
        <v>10</v>
      </c>
      <c r="E3885">
        <v>11</v>
      </c>
      <c r="F3885" t="s">
        <v>134</v>
      </c>
      <c r="G3885" t="s">
        <v>25</v>
      </c>
      <c r="H3885" t="s">
        <v>135</v>
      </c>
      <c r="I3885" t="s">
        <v>49</v>
      </c>
      <c r="J3885" t="s">
        <v>123</v>
      </c>
      <c r="K3885" t="s">
        <v>38</v>
      </c>
      <c r="L3885">
        <v>1</v>
      </c>
      <c r="M3885">
        <v>694</v>
      </c>
      <c r="N3885">
        <v>69.400000000000006</v>
      </c>
      <c r="O3885">
        <v>50</v>
      </c>
      <c r="P3885">
        <v>694</v>
      </c>
      <c r="Q3885">
        <v>674.6</v>
      </c>
      <c r="R3885" t="s">
        <v>39</v>
      </c>
      <c r="S3885" t="s">
        <v>46</v>
      </c>
      <c r="T3885" t="s">
        <v>32</v>
      </c>
      <c r="U3885">
        <v>64</v>
      </c>
      <c r="W3885">
        <f>Table2[[#This Row],[Quantity]]*Table2[[#This Row],[Item_Price]]</f>
        <v>694</v>
      </c>
    </row>
    <row r="3886" spans="1:23" x14ac:dyDescent="0.25">
      <c r="A3886" t="s">
        <v>3989</v>
      </c>
      <c r="B3886" s="1">
        <v>45941</v>
      </c>
      <c r="C3886" t="s">
        <v>3846</v>
      </c>
      <c r="D3886">
        <v>10</v>
      </c>
      <c r="E3886">
        <v>11</v>
      </c>
      <c r="F3886" t="s">
        <v>134</v>
      </c>
      <c r="G3886" t="s">
        <v>64</v>
      </c>
      <c r="H3886" t="s">
        <v>135</v>
      </c>
      <c r="I3886" t="s">
        <v>57</v>
      </c>
      <c r="J3886" t="s">
        <v>172</v>
      </c>
      <c r="K3886" t="s">
        <v>38</v>
      </c>
      <c r="L3886">
        <v>2</v>
      </c>
      <c r="M3886">
        <v>547</v>
      </c>
      <c r="N3886">
        <v>54.7</v>
      </c>
      <c r="O3886">
        <v>30</v>
      </c>
      <c r="P3886">
        <v>1094</v>
      </c>
      <c r="Q3886">
        <v>1069.3</v>
      </c>
      <c r="R3886" t="s">
        <v>30</v>
      </c>
      <c r="S3886" t="s">
        <v>91</v>
      </c>
      <c r="T3886" t="s">
        <v>32</v>
      </c>
      <c r="U3886">
        <v>56</v>
      </c>
      <c r="W3886">
        <f>Table2[[#This Row],[Quantity]]*Table2[[#This Row],[Item_Price]]</f>
        <v>1094</v>
      </c>
    </row>
    <row r="3887" spans="1:23" x14ac:dyDescent="0.25">
      <c r="A3887" t="s">
        <v>3990</v>
      </c>
      <c r="B3887" s="1">
        <v>45942</v>
      </c>
      <c r="C3887" t="s">
        <v>3846</v>
      </c>
      <c r="D3887">
        <v>10</v>
      </c>
      <c r="E3887">
        <v>12</v>
      </c>
      <c r="F3887" t="s">
        <v>149</v>
      </c>
      <c r="G3887" t="s">
        <v>25</v>
      </c>
      <c r="H3887" t="s">
        <v>35</v>
      </c>
      <c r="I3887" t="s">
        <v>49</v>
      </c>
      <c r="J3887" t="s">
        <v>70</v>
      </c>
      <c r="K3887" t="s">
        <v>45</v>
      </c>
      <c r="L3887">
        <v>1</v>
      </c>
      <c r="M3887">
        <v>796</v>
      </c>
      <c r="N3887">
        <v>199</v>
      </c>
      <c r="O3887">
        <v>40</v>
      </c>
      <c r="P3887">
        <v>796</v>
      </c>
      <c r="Q3887">
        <v>637</v>
      </c>
      <c r="R3887" t="s">
        <v>112</v>
      </c>
      <c r="S3887" t="s">
        <v>31</v>
      </c>
      <c r="T3887" t="s">
        <v>32</v>
      </c>
      <c r="U3887">
        <v>37</v>
      </c>
      <c r="V3887">
        <v>4.2</v>
      </c>
      <c r="W3887">
        <f>Table2[[#This Row],[Quantity]]*Table2[[#This Row],[Item_Price]]</f>
        <v>796</v>
      </c>
    </row>
    <row r="3888" spans="1:23" x14ac:dyDescent="0.25">
      <c r="A3888" t="s">
        <v>3991</v>
      </c>
      <c r="B3888" s="1">
        <v>45942</v>
      </c>
      <c r="C3888" t="s">
        <v>3846</v>
      </c>
      <c r="D3888">
        <v>10</v>
      </c>
      <c r="E3888">
        <v>12</v>
      </c>
      <c r="F3888" t="s">
        <v>149</v>
      </c>
      <c r="G3888" t="s">
        <v>34</v>
      </c>
      <c r="H3888" t="s">
        <v>68</v>
      </c>
      <c r="I3888" t="s">
        <v>49</v>
      </c>
      <c r="J3888" t="s">
        <v>74</v>
      </c>
      <c r="K3888" t="s">
        <v>38</v>
      </c>
      <c r="L3888">
        <v>3</v>
      </c>
      <c r="M3888">
        <v>266</v>
      </c>
      <c r="N3888">
        <v>0</v>
      </c>
      <c r="O3888">
        <v>40</v>
      </c>
      <c r="P3888">
        <v>798</v>
      </c>
      <c r="Q3888">
        <v>838</v>
      </c>
      <c r="R3888" t="s">
        <v>39</v>
      </c>
      <c r="S3888" t="s">
        <v>91</v>
      </c>
      <c r="T3888" t="s">
        <v>32</v>
      </c>
      <c r="U3888">
        <v>34</v>
      </c>
      <c r="W3888">
        <f>Table2[[#This Row],[Quantity]]*Table2[[#This Row],[Item_Price]]</f>
        <v>798</v>
      </c>
    </row>
    <row r="3889" spans="1:23" x14ac:dyDescent="0.25">
      <c r="A3889" t="s">
        <v>3992</v>
      </c>
      <c r="B3889" s="1">
        <v>45942</v>
      </c>
      <c r="C3889" t="s">
        <v>3846</v>
      </c>
      <c r="D3889">
        <v>10</v>
      </c>
      <c r="E3889">
        <v>12</v>
      </c>
      <c r="F3889" t="s">
        <v>149</v>
      </c>
      <c r="G3889" t="s">
        <v>73</v>
      </c>
      <c r="H3889" t="s">
        <v>65</v>
      </c>
      <c r="I3889" t="s">
        <v>49</v>
      </c>
      <c r="J3889" t="s">
        <v>44</v>
      </c>
      <c r="K3889" t="s">
        <v>38</v>
      </c>
      <c r="L3889">
        <v>2</v>
      </c>
      <c r="M3889">
        <v>175</v>
      </c>
      <c r="N3889">
        <v>17.5</v>
      </c>
      <c r="O3889">
        <v>0</v>
      </c>
      <c r="P3889">
        <v>350</v>
      </c>
      <c r="Q3889">
        <v>332.5</v>
      </c>
      <c r="R3889" t="s">
        <v>30</v>
      </c>
      <c r="S3889" t="s">
        <v>31</v>
      </c>
      <c r="T3889" t="s">
        <v>32</v>
      </c>
      <c r="U3889">
        <v>34</v>
      </c>
      <c r="V3889">
        <v>3.7</v>
      </c>
      <c r="W3889">
        <f>Table2[[#This Row],[Quantity]]*Table2[[#This Row],[Item_Price]]</f>
        <v>350</v>
      </c>
    </row>
    <row r="3890" spans="1:23" x14ac:dyDescent="0.25">
      <c r="A3890" t="s">
        <v>3993</v>
      </c>
      <c r="B3890" s="1">
        <v>45942</v>
      </c>
      <c r="C3890" t="s">
        <v>3846</v>
      </c>
      <c r="D3890">
        <v>10</v>
      </c>
      <c r="E3890">
        <v>12</v>
      </c>
      <c r="F3890" t="s">
        <v>149</v>
      </c>
      <c r="G3890" t="s">
        <v>64</v>
      </c>
      <c r="H3890" t="s">
        <v>26</v>
      </c>
      <c r="I3890" t="s">
        <v>61</v>
      </c>
      <c r="J3890" t="s">
        <v>53</v>
      </c>
      <c r="K3890" t="s">
        <v>38</v>
      </c>
      <c r="L3890">
        <v>1</v>
      </c>
      <c r="M3890">
        <v>859</v>
      </c>
      <c r="N3890">
        <v>42.95</v>
      </c>
      <c r="O3890">
        <v>50</v>
      </c>
      <c r="P3890">
        <v>859</v>
      </c>
      <c r="Q3890">
        <v>866.05</v>
      </c>
      <c r="R3890" t="s">
        <v>112</v>
      </c>
      <c r="S3890" t="s">
        <v>31</v>
      </c>
      <c r="T3890" t="s">
        <v>40</v>
      </c>
      <c r="U3890">
        <v>33</v>
      </c>
      <c r="V3890">
        <v>4.4000000000000004</v>
      </c>
      <c r="W3890">
        <f>Table2[[#This Row],[Quantity]]*Table2[[#This Row],[Item_Price]]</f>
        <v>859</v>
      </c>
    </row>
    <row r="3891" spans="1:23" x14ac:dyDescent="0.25">
      <c r="A3891" t="s">
        <v>3994</v>
      </c>
      <c r="B3891" s="1">
        <v>45942</v>
      </c>
      <c r="C3891" t="s">
        <v>3846</v>
      </c>
      <c r="D3891">
        <v>10</v>
      </c>
      <c r="E3891">
        <v>12</v>
      </c>
      <c r="F3891" t="s">
        <v>149</v>
      </c>
      <c r="G3891" t="s">
        <v>73</v>
      </c>
      <c r="H3891" t="s">
        <v>65</v>
      </c>
      <c r="I3891" t="s">
        <v>27</v>
      </c>
      <c r="J3891" t="s">
        <v>123</v>
      </c>
      <c r="K3891" t="s">
        <v>38</v>
      </c>
      <c r="L3891">
        <v>2</v>
      </c>
      <c r="M3891">
        <v>597</v>
      </c>
      <c r="N3891">
        <v>119.4</v>
      </c>
      <c r="O3891">
        <v>20</v>
      </c>
      <c r="P3891">
        <v>1194</v>
      </c>
      <c r="Q3891">
        <v>1094.5999999999999</v>
      </c>
      <c r="R3891" t="s">
        <v>39</v>
      </c>
      <c r="S3891" t="s">
        <v>91</v>
      </c>
      <c r="T3891" t="s">
        <v>32</v>
      </c>
      <c r="U3891">
        <v>58</v>
      </c>
      <c r="W3891">
        <f>Table2[[#This Row],[Quantity]]*Table2[[#This Row],[Item_Price]]</f>
        <v>1194</v>
      </c>
    </row>
    <row r="3892" spans="1:23" x14ac:dyDescent="0.25">
      <c r="A3892" t="s">
        <v>3995</v>
      </c>
      <c r="B3892" s="1">
        <v>45942</v>
      </c>
      <c r="C3892" t="s">
        <v>3846</v>
      </c>
      <c r="D3892">
        <v>10</v>
      </c>
      <c r="E3892">
        <v>12</v>
      </c>
      <c r="F3892" t="s">
        <v>149</v>
      </c>
      <c r="G3892" t="s">
        <v>80</v>
      </c>
      <c r="H3892" t="s">
        <v>105</v>
      </c>
      <c r="I3892" t="s">
        <v>57</v>
      </c>
      <c r="J3892" t="s">
        <v>82</v>
      </c>
      <c r="K3892" t="s">
        <v>38</v>
      </c>
      <c r="L3892">
        <v>2</v>
      </c>
      <c r="M3892">
        <v>306</v>
      </c>
      <c r="N3892">
        <v>15.3</v>
      </c>
      <c r="O3892">
        <v>0</v>
      </c>
      <c r="P3892">
        <v>612</v>
      </c>
      <c r="Q3892">
        <v>596.70000000000005</v>
      </c>
      <c r="R3892" t="s">
        <v>112</v>
      </c>
      <c r="S3892" t="s">
        <v>46</v>
      </c>
      <c r="T3892" t="s">
        <v>40</v>
      </c>
      <c r="U3892">
        <v>51</v>
      </c>
      <c r="W3892">
        <f>Table2[[#This Row],[Quantity]]*Table2[[#This Row],[Item_Price]]</f>
        <v>612</v>
      </c>
    </row>
    <row r="3893" spans="1:23" x14ac:dyDescent="0.25">
      <c r="A3893" t="s">
        <v>3996</v>
      </c>
      <c r="B3893" s="1">
        <v>45942</v>
      </c>
      <c r="C3893" t="s">
        <v>3846</v>
      </c>
      <c r="D3893">
        <v>10</v>
      </c>
      <c r="E3893">
        <v>12</v>
      </c>
      <c r="F3893" t="s">
        <v>149</v>
      </c>
      <c r="G3893" t="s">
        <v>90</v>
      </c>
      <c r="H3893" t="s">
        <v>65</v>
      </c>
      <c r="I3893" t="s">
        <v>61</v>
      </c>
      <c r="J3893" t="s">
        <v>172</v>
      </c>
      <c r="K3893" t="s">
        <v>38</v>
      </c>
      <c r="L3893">
        <v>3</v>
      </c>
      <c r="M3893">
        <v>792</v>
      </c>
      <c r="N3893">
        <v>79.2</v>
      </c>
      <c r="O3893">
        <v>0</v>
      </c>
      <c r="P3893">
        <v>2376</v>
      </c>
      <c r="Q3893">
        <v>2296.8000000000002</v>
      </c>
      <c r="R3893" t="s">
        <v>30</v>
      </c>
      <c r="S3893" t="s">
        <v>31</v>
      </c>
      <c r="T3893" t="s">
        <v>40</v>
      </c>
      <c r="U3893">
        <v>43</v>
      </c>
      <c r="V3893">
        <v>3.3</v>
      </c>
      <c r="W3893">
        <f>Table2[[#This Row],[Quantity]]*Table2[[#This Row],[Item_Price]]</f>
        <v>2376</v>
      </c>
    </row>
    <row r="3894" spans="1:23" x14ac:dyDescent="0.25">
      <c r="A3894" t="s">
        <v>3997</v>
      </c>
      <c r="B3894" s="1">
        <v>45942</v>
      </c>
      <c r="C3894" t="s">
        <v>3846</v>
      </c>
      <c r="D3894">
        <v>10</v>
      </c>
      <c r="E3894">
        <v>12</v>
      </c>
      <c r="F3894" t="s">
        <v>149</v>
      </c>
      <c r="G3894" t="s">
        <v>73</v>
      </c>
      <c r="H3894" t="s">
        <v>77</v>
      </c>
      <c r="I3894" t="s">
        <v>57</v>
      </c>
      <c r="J3894" t="s">
        <v>123</v>
      </c>
      <c r="K3894" t="s">
        <v>38</v>
      </c>
      <c r="L3894">
        <v>2</v>
      </c>
      <c r="M3894">
        <v>426</v>
      </c>
      <c r="N3894">
        <v>42.6</v>
      </c>
      <c r="O3894">
        <v>20</v>
      </c>
      <c r="P3894">
        <v>852</v>
      </c>
      <c r="Q3894">
        <v>829.4</v>
      </c>
      <c r="R3894" t="s">
        <v>30</v>
      </c>
      <c r="S3894" t="s">
        <v>31</v>
      </c>
      <c r="T3894" t="s">
        <v>40</v>
      </c>
      <c r="U3894">
        <v>18</v>
      </c>
      <c r="V3894">
        <v>3.6</v>
      </c>
      <c r="W3894">
        <f>Table2[[#This Row],[Quantity]]*Table2[[#This Row],[Item_Price]]</f>
        <v>852</v>
      </c>
    </row>
    <row r="3895" spans="1:23" x14ac:dyDescent="0.25">
      <c r="A3895" t="s">
        <v>3998</v>
      </c>
      <c r="B3895" s="1">
        <v>45942</v>
      </c>
      <c r="C3895" t="s">
        <v>3846</v>
      </c>
      <c r="D3895">
        <v>10</v>
      </c>
      <c r="E3895">
        <v>12</v>
      </c>
      <c r="F3895" t="s">
        <v>149</v>
      </c>
      <c r="G3895" t="s">
        <v>25</v>
      </c>
      <c r="H3895" t="s">
        <v>65</v>
      </c>
      <c r="I3895" t="s">
        <v>61</v>
      </c>
      <c r="J3895" t="s">
        <v>123</v>
      </c>
      <c r="K3895" t="s">
        <v>38</v>
      </c>
      <c r="L3895">
        <v>1</v>
      </c>
      <c r="M3895">
        <v>791</v>
      </c>
      <c r="N3895">
        <v>79.099999999999994</v>
      </c>
      <c r="O3895">
        <v>0</v>
      </c>
      <c r="P3895">
        <v>791</v>
      </c>
      <c r="Q3895">
        <v>711.9</v>
      </c>
      <c r="R3895" t="s">
        <v>112</v>
      </c>
      <c r="S3895" t="s">
        <v>31</v>
      </c>
      <c r="T3895" t="s">
        <v>32</v>
      </c>
      <c r="U3895">
        <v>40</v>
      </c>
      <c r="V3895">
        <v>4.8</v>
      </c>
      <c r="W3895">
        <f>Table2[[#This Row],[Quantity]]*Table2[[#This Row],[Item_Price]]</f>
        <v>791</v>
      </c>
    </row>
    <row r="3896" spans="1:23" x14ac:dyDescent="0.25">
      <c r="A3896" t="s">
        <v>3999</v>
      </c>
      <c r="B3896" s="1">
        <v>45942</v>
      </c>
      <c r="C3896" t="s">
        <v>3846</v>
      </c>
      <c r="D3896">
        <v>10</v>
      </c>
      <c r="E3896">
        <v>12</v>
      </c>
      <c r="F3896" t="s">
        <v>149</v>
      </c>
      <c r="G3896" t="s">
        <v>25</v>
      </c>
      <c r="H3896" t="s">
        <v>26</v>
      </c>
      <c r="I3896" t="s">
        <v>103</v>
      </c>
      <c r="J3896" t="s">
        <v>78</v>
      </c>
      <c r="K3896" t="s">
        <v>38</v>
      </c>
      <c r="L3896">
        <v>2</v>
      </c>
      <c r="M3896">
        <v>183</v>
      </c>
      <c r="N3896">
        <v>27.45</v>
      </c>
      <c r="O3896">
        <v>30</v>
      </c>
      <c r="P3896">
        <v>366</v>
      </c>
      <c r="Q3896">
        <v>368.55</v>
      </c>
      <c r="R3896" t="s">
        <v>39</v>
      </c>
      <c r="S3896" t="s">
        <v>110</v>
      </c>
      <c r="T3896" t="s">
        <v>40</v>
      </c>
      <c r="U3896">
        <v>36</v>
      </c>
      <c r="W3896">
        <f>Table2[[#This Row],[Quantity]]*Table2[[#This Row],[Item_Price]]</f>
        <v>366</v>
      </c>
    </row>
    <row r="3897" spans="1:23" x14ac:dyDescent="0.25">
      <c r="A3897" t="s">
        <v>4000</v>
      </c>
      <c r="B3897" s="1">
        <v>45942</v>
      </c>
      <c r="C3897" t="s">
        <v>3846</v>
      </c>
      <c r="D3897">
        <v>10</v>
      </c>
      <c r="E3897">
        <v>12</v>
      </c>
      <c r="F3897" t="s">
        <v>149</v>
      </c>
      <c r="G3897" t="s">
        <v>90</v>
      </c>
      <c r="H3897" t="s">
        <v>52</v>
      </c>
      <c r="I3897" t="s">
        <v>103</v>
      </c>
      <c r="J3897" t="s">
        <v>123</v>
      </c>
      <c r="K3897" t="s">
        <v>38</v>
      </c>
      <c r="L3897">
        <v>1</v>
      </c>
      <c r="M3897">
        <v>413</v>
      </c>
      <c r="N3897">
        <v>103.25</v>
      </c>
      <c r="O3897">
        <v>0</v>
      </c>
      <c r="P3897">
        <v>413</v>
      </c>
      <c r="Q3897">
        <v>309.75</v>
      </c>
      <c r="R3897" t="s">
        <v>39</v>
      </c>
      <c r="S3897" t="s">
        <v>31</v>
      </c>
      <c r="T3897" t="s">
        <v>40</v>
      </c>
      <c r="U3897">
        <v>38</v>
      </c>
      <c r="V3897">
        <v>3.7</v>
      </c>
      <c r="W3897">
        <f>Table2[[#This Row],[Quantity]]*Table2[[#This Row],[Item_Price]]</f>
        <v>413</v>
      </c>
    </row>
    <row r="3898" spans="1:23" x14ac:dyDescent="0.25">
      <c r="A3898" t="s">
        <v>4001</v>
      </c>
      <c r="B3898" s="1">
        <v>45942</v>
      </c>
      <c r="C3898" t="s">
        <v>3846</v>
      </c>
      <c r="D3898">
        <v>10</v>
      </c>
      <c r="E3898">
        <v>12</v>
      </c>
      <c r="F3898" t="s">
        <v>149</v>
      </c>
      <c r="G3898" t="s">
        <v>34</v>
      </c>
      <c r="H3898" t="s">
        <v>139</v>
      </c>
      <c r="I3898" t="s">
        <v>27</v>
      </c>
      <c r="J3898" t="s">
        <v>74</v>
      </c>
      <c r="K3898" t="s">
        <v>45</v>
      </c>
      <c r="L3898">
        <v>1</v>
      </c>
      <c r="M3898">
        <v>298</v>
      </c>
      <c r="N3898">
        <v>44.7</v>
      </c>
      <c r="O3898">
        <v>30</v>
      </c>
      <c r="P3898">
        <v>298</v>
      </c>
      <c r="Q3898">
        <v>283.3</v>
      </c>
      <c r="R3898" t="s">
        <v>75</v>
      </c>
      <c r="S3898" t="s">
        <v>31</v>
      </c>
      <c r="T3898" t="s">
        <v>32</v>
      </c>
      <c r="U3898">
        <v>35</v>
      </c>
      <c r="V3898">
        <v>5</v>
      </c>
      <c r="W3898">
        <f>Table2[[#This Row],[Quantity]]*Table2[[#This Row],[Item_Price]]</f>
        <v>298</v>
      </c>
    </row>
    <row r="3899" spans="1:23" x14ac:dyDescent="0.25">
      <c r="A3899" t="s">
        <v>4002</v>
      </c>
      <c r="B3899" s="1">
        <v>45942</v>
      </c>
      <c r="C3899" t="s">
        <v>3846</v>
      </c>
      <c r="D3899">
        <v>10</v>
      </c>
      <c r="E3899">
        <v>12</v>
      </c>
      <c r="F3899" t="s">
        <v>149</v>
      </c>
      <c r="G3899" t="s">
        <v>34</v>
      </c>
      <c r="H3899" t="s">
        <v>65</v>
      </c>
      <c r="I3899" t="s">
        <v>57</v>
      </c>
      <c r="J3899" t="s">
        <v>70</v>
      </c>
      <c r="K3899" t="s">
        <v>38</v>
      </c>
      <c r="L3899">
        <v>3</v>
      </c>
      <c r="M3899">
        <v>159</v>
      </c>
      <c r="N3899">
        <v>0</v>
      </c>
      <c r="O3899">
        <v>40</v>
      </c>
      <c r="P3899">
        <v>477</v>
      </c>
      <c r="Q3899">
        <v>517</v>
      </c>
      <c r="R3899" t="s">
        <v>39</v>
      </c>
      <c r="S3899" t="s">
        <v>31</v>
      </c>
      <c r="T3899" t="s">
        <v>32</v>
      </c>
      <c r="U3899">
        <v>23</v>
      </c>
      <c r="V3899">
        <v>4.0999999999999996</v>
      </c>
      <c r="W3899">
        <f>Table2[[#This Row],[Quantity]]*Table2[[#This Row],[Item_Price]]</f>
        <v>477</v>
      </c>
    </row>
    <row r="3900" spans="1:23" x14ac:dyDescent="0.25">
      <c r="A3900" t="s">
        <v>4003</v>
      </c>
      <c r="B3900" s="1">
        <v>45942</v>
      </c>
      <c r="C3900" t="s">
        <v>3846</v>
      </c>
      <c r="D3900">
        <v>10</v>
      </c>
      <c r="E3900">
        <v>12</v>
      </c>
      <c r="F3900" t="s">
        <v>149</v>
      </c>
      <c r="G3900" t="s">
        <v>80</v>
      </c>
      <c r="H3900" t="s">
        <v>42</v>
      </c>
      <c r="I3900" t="s">
        <v>69</v>
      </c>
      <c r="J3900" t="s">
        <v>94</v>
      </c>
      <c r="K3900" t="s">
        <v>45</v>
      </c>
      <c r="L3900">
        <v>1</v>
      </c>
      <c r="M3900">
        <v>490</v>
      </c>
      <c r="N3900">
        <v>122.5</v>
      </c>
      <c r="O3900">
        <v>20</v>
      </c>
      <c r="P3900">
        <v>490</v>
      </c>
      <c r="Q3900">
        <v>387.5</v>
      </c>
      <c r="R3900" t="s">
        <v>39</v>
      </c>
      <c r="S3900" t="s">
        <v>31</v>
      </c>
      <c r="T3900" t="s">
        <v>32</v>
      </c>
      <c r="U3900">
        <v>63</v>
      </c>
      <c r="V3900">
        <v>4.3</v>
      </c>
      <c r="W3900">
        <f>Table2[[#This Row],[Quantity]]*Table2[[#This Row],[Item_Price]]</f>
        <v>490</v>
      </c>
    </row>
    <row r="3901" spans="1:23" x14ac:dyDescent="0.25">
      <c r="A3901" t="s">
        <v>4004</v>
      </c>
      <c r="B3901" s="1">
        <v>45942</v>
      </c>
      <c r="C3901" t="s">
        <v>3846</v>
      </c>
      <c r="D3901">
        <v>10</v>
      </c>
      <c r="E3901">
        <v>12</v>
      </c>
      <c r="F3901" t="s">
        <v>149</v>
      </c>
      <c r="G3901" t="s">
        <v>25</v>
      </c>
      <c r="H3901" t="s">
        <v>42</v>
      </c>
      <c r="I3901" t="s">
        <v>61</v>
      </c>
      <c r="J3901" t="s">
        <v>70</v>
      </c>
      <c r="K3901" t="s">
        <v>38</v>
      </c>
      <c r="L3901">
        <v>1</v>
      </c>
      <c r="M3901">
        <v>749</v>
      </c>
      <c r="N3901">
        <v>74.900000000000006</v>
      </c>
      <c r="O3901">
        <v>50</v>
      </c>
      <c r="P3901">
        <v>749</v>
      </c>
      <c r="Q3901">
        <v>724.1</v>
      </c>
      <c r="R3901" t="s">
        <v>39</v>
      </c>
      <c r="S3901" t="s">
        <v>31</v>
      </c>
      <c r="T3901" t="s">
        <v>32</v>
      </c>
      <c r="U3901">
        <v>69</v>
      </c>
      <c r="V3901">
        <v>3.8</v>
      </c>
      <c r="W3901">
        <f>Table2[[#This Row],[Quantity]]*Table2[[#This Row],[Item_Price]]</f>
        <v>749</v>
      </c>
    </row>
    <row r="3902" spans="1:23" x14ac:dyDescent="0.25">
      <c r="A3902" t="s">
        <v>4005</v>
      </c>
      <c r="B3902" s="1">
        <v>45942</v>
      </c>
      <c r="C3902" t="s">
        <v>3846</v>
      </c>
      <c r="D3902">
        <v>10</v>
      </c>
      <c r="E3902">
        <v>12</v>
      </c>
      <c r="F3902" t="s">
        <v>149</v>
      </c>
      <c r="G3902" t="s">
        <v>64</v>
      </c>
      <c r="H3902" t="s">
        <v>26</v>
      </c>
      <c r="I3902" t="s">
        <v>49</v>
      </c>
      <c r="J3902" t="s">
        <v>74</v>
      </c>
      <c r="K3902" t="s">
        <v>38</v>
      </c>
      <c r="L3902">
        <v>2</v>
      </c>
      <c r="M3902">
        <v>789</v>
      </c>
      <c r="N3902">
        <v>118.35</v>
      </c>
      <c r="O3902">
        <v>40</v>
      </c>
      <c r="P3902">
        <v>1578</v>
      </c>
      <c r="Q3902">
        <v>1499.65</v>
      </c>
      <c r="R3902" t="s">
        <v>75</v>
      </c>
      <c r="S3902" t="s">
        <v>31</v>
      </c>
      <c r="T3902" t="s">
        <v>40</v>
      </c>
      <c r="U3902">
        <v>49</v>
      </c>
      <c r="V3902">
        <v>4.5</v>
      </c>
      <c r="W3902">
        <f>Table2[[#This Row],[Quantity]]*Table2[[#This Row],[Item_Price]]</f>
        <v>1578</v>
      </c>
    </row>
    <row r="3903" spans="1:23" x14ac:dyDescent="0.25">
      <c r="A3903" t="s">
        <v>4006</v>
      </c>
      <c r="B3903" s="1">
        <v>45943</v>
      </c>
      <c r="C3903" t="s">
        <v>3846</v>
      </c>
      <c r="D3903">
        <v>10</v>
      </c>
      <c r="E3903">
        <v>13</v>
      </c>
      <c r="F3903" t="s">
        <v>168</v>
      </c>
      <c r="G3903" t="s">
        <v>80</v>
      </c>
      <c r="H3903" t="s">
        <v>139</v>
      </c>
      <c r="I3903" t="s">
        <v>69</v>
      </c>
      <c r="J3903" t="s">
        <v>101</v>
      </c>
      <c r="K3903" t="s">
        <v>38</v>
      </c>
      <c r="L3903">
        <v>1</v>
      </c>
      <c r="M3903">
        <v>674</v>
      </c>
      <c r="N3903">
        <v>0</v>
      </c>
      <c r="O3903">
        <v>0</v>
      </c>
      <c r="P3903">
        <v>674</v>
      </c>
      <c r="Q3903">
        <v>674</v>
      </c>
      <c r="R3903" t="s">
        <v>112</v>
      </c>
      <c r="S3903" t="s">
        <v>31</v>
      </c>
      <c r="T3903" t="s">
        <v>40</v>
      </c>
      <c r="U3903">
        <v>37</v>
      </c>
      <c r="V3903">
        <v>4.5</v>
      </c>
      <c r="W3903">
        <f>Table2[[#This Row],[Quantity]]*Table2[[#This Row],[Item_Price]]</f>
        <v>674</v>
      </c>
    </row>
    <row r="3904" spans="1:23" x14ac:dyDescent="0.25">
      <c r="A3904" t="s">
        <v>4007</v>
      </c>
      <c r="B3904" s="1">
        <v>45943</v>
      </c>
      <c r="C3904" t="s">
        <v>3846</v>
      </c>
      <c r="D3904">
        <v>10</v>
      </c>
      <c r="E3904">
        <v>13</v>
      </c>
      <c r="F3904" t="s">
        <v>168</v>
      </c>
      <c r="G3904" t="s">
        <v>90</v>
      </c>
      <c r="H3904" t="s">
        <v>108</v>
      </c>
      <c r="I3904" t="s">
        <v>57</v>
      </c>
      <c r="J3904" t="s">
        <v>74</v>
      </c>
      <c r="K3904" t="s">
        <v>29</v>
      </c>
      <c r="L3904">
        <v>3</v>
      </c>
      <c r="M3904">
        <v>687</v>
      </c>
      <c r="N3904">
        <v>34.35</v>
      </c>
      <c r="O3904">
        <v>70</v>
      </c>
      <c r="P3904">
        <v>2061</v>
      </c>
      <c r="Q3904">
        <v>2096.65</v>
      </c>
      <c r="R3904" t="s">
        <v>75</v>
      </c>
      <c r="S3904" t="s">
        <v>31</v>
      </c>
      <c r="T3904" t="s">
        <v>40</v>
      </c>
      <c r="U3904">
        <v>18</v>
      </c>
      <c r="V3904">
        <v>4.0999999999999996</v>
      </c>
      <c r="W3904">
        <f>Table2[[#This Row],[Quantity]]*Table2[[#This Row],[Item_Price]]</f>
        <v>2061</v>
      </c>
    </row>
    <row r="3905" spans="1:23" x14ac:dyDescent="0.25">
      <c r="A3905" t="s">
        <v>4008</v>
      </c>
      <c r="B3905" s="1">
        <v>45943</v>
      </c>
      <c r="C3905" t="s">
        <v>3846</v>
      </c>
      <c r="D3905">
        <v>10</v>
      </c>
      <c r="E3905">
        <v>13</v>
      </c>
      <c r="F3905" t="s">
        <v>168</v>
      </c>
      <c r="G3905" t="s">
        <v>90</v>
      </c>
      <c r="H3905" t="s">
        <v>68</v>
      </c>
      <c r="I3905" t="s">
        <v>49</v>
      </c>
      <c r="J3905" t="s">
        <v>44</v>
      </c>
      <c r="K3905" t="s">
        <v>38</v>
      </c>
      <c r="L3905">
        <v>1</v>
      </c>
      <c r="M3905">
        <v>658</v>
      </c>
      <c r="N3905">
        <v>32.9</v>
      </c>
      <c r="O3905">
        <v>0</v>
      </c>
      <c r="P3905">
        <v>658</v>
      </c>
      <c r="Q3905">
        <v>625.1</v>
      </c>
      <c r="R3905" t="s">
        <v>112</v>
      </c>
      <c r="S3905" t="s">
        <v>46</v>
      </c>
      <c r="T3905" t="s">
        <v>32</v>
      </c>
      <c r="U3905">
        <v>48</v>
      </c>
      <c r="W3905">
        <f>Table2[[#This Row],[Quantity]]*Table2[[#This Row],[Item_Price]]</f>
        <v>658</v>
      </c>
    </row>
    <row r="3906" spans="1:23" x14ac:dyDescent="0.25">
      <c r="A3906" t="s">
        <v>4009</v>
      </c>
      <c r="B3906" s="1">
        <v>45943</v>
      </c>
      <c r="C3906" t="s">
        <v>3846</v>
      </c>
      <c r="D3906">
        <v>10</v>
      </c>
      <c r="E3906">
        <v>13</v>
      </c>
      <c r="F3906" t="s">
        <v>168</v>
      </c>
      <c r="G3906" t="s">
        <v>80</v>
      </c>
      <c r="H3906" t="s">
        <v>65</v>
      </c>
      <c r="I3906" t="s">
        <v>49</v>
      </c>
      <c r="J3906" t="s">
        <v>28</v>
      </c>
      <c r="K3906" t="s">
        <v>38</v>
      </c>
      <c r="L3906">
        <v>1</v>
      </c>
      <c r="M3906">
        <v>678</v>
      </c>
      <c r="N3906">
        <v>33.9</v>
      </c>
      <c r="O3906">
        <v>20</v>
      </c>
      <c r="P3906">
        <v>678</v>
      </c>
      <c r="Q3906">
        <v>664.1</v>
      </c>
      <c r="R3906" t="s">
        <v>75</v>
      </c>
      <c r="S3906" t="s">
        <v>31</v>
      </c>
      <c r="T3906" t="s">
        <v>40</v>
      </c>
      <c r="U3906">
        <v>40</v>
      </c>
      <c r="V3906">
        <v>4.9000000000000004</v>
      </c>
      <c r="W3906">
        <f>Table2[[#This Row],[Quantity]]*Table2[[#This Row],[Item_Price]]</f>
        <v>678</v>
      </c>
    </row>
    <row r="3907" spans="1:23" x14ac:dyDescent="0.25">
      <c r="A3907" t="s">
        <v>4010</v>
      </c>
      <c r="B3907" s="1">
        <v>45943</v>
      </c>
      <c r="C3907" t="s">
        <v>3846</v>
      </c>
      <c r="D3907">
        <v>10</v>
      </c>
      <c r="E3907">
        <v>13</v>
      </c>
      <c r="F3907" t="s">
        <v>168</v>
      </c>
      <c r="G3907" t="s">
        <v>73</v>
      </c>
      <c r="H3907" t="s">
        <v>68</v>
      </c>
      <c r="I3907" t="s">
        <v>49</v>
      </c>
      <c r="J3907" t="s">
        <v>82</v>
      </c>
      <c r="K3907" t="s">
        <v>45</v>
      </c>
      <c r="L3907">
        <v>3</v>
      </c>
      <c r="M3907">
        <v>492</v>
      </c>
      <c r="N3907">
        <v>49.2</v>
      </c>
      <c r="O3907">
        <v>30</v>
      </c>
      <c r="P3907">
        <v>1476</v>
      </c>
      <c r="Q3907">
        <v>1456.8</v>
      </c>
      <c r="R3907" t="s">
        <v>39</v>
      </c>
      <c r="S3907" t="s">
        <v>110</v>
      </c>
      <c r="T3907" t="s">
        <v>40</v>
      </c>
      <c r="U3907">
        <v>34</v>
      </c>
      <c r="W3907">
        <f>Table2[[#This Row],[Quantity]]*Table2[[#This Row],[Item_Price]]</f>
        <v>1476</v>
      </c>
    </row>
    <row r="3908" spans="1:23" x14ac:dyDescent="0.25">
      <c r="A3908" t="s">
        <v>4011</v>
      </c>
      <c r="B3908" s="1">
        <v>45943</v>
      </c>
      <c r="C3908" t="s">
        <v>3846</v>
      </c>
      <c r="D3908">
        <v>10</v>
      </c>
      <c r="E3908">
        <v>13</v>
      </c>
      <c r="F3908" t="s">
        <v>168</v>
      </c>
      <c r="G3908" t="s">
        <v>115</v>
      </c>
      <c r="H3908" t="s">
        <v>81</v>
      </c>
      <c r="I3908" t="s">
        <v>103</v>
      </c>
      <c r="J3908" t="s">
        <v>94</v>
      </c>
      <c r="K3908" t="s">
        <v>58</v>
      </c>
      <c r="L3908">
        <v>2</v>
      </c>
      <c r="M3908">
        <v>676</v>
      </c>
      <c r="N3908">
        <v>67.599999999999994</v>
      </c>
      <c r="O3908">
        <v>70</v>
      </c>
      <c r="P3908">
        <v>1352</v>
      </c>
      <c r="Q3908">
        <v>1354.4</v>
      </c>
      <c r="R3908" t="s">
        <v>75</v>
      </c>
      <c r="S3908" t="s">
        <v>31</v>
      </c>
      <c r="T3908" t="s">
        <v>32</v>
      </c>
      <c r="U3908">
        <v>45</v>
      </c>
      <c r="V3908">
        <v>5</v>
      </c>
      <c r="W3908">
        <f>Table2[[#This Row],[Quantity]]*Table2[[#This Row],[Item_Price]]</f>
        <v>1352</v>
      </c>
    </row>
    <row r="3909" spans="1:23" x14ac:dyDescent="0.25">
      <c r="A3909" t="s">
        <v>4012</v>
      </c>
      <c r="B3909" s="1">
        <v>45943</v>
      </c>
      <c r="C3909" t="s">
        <v>3846</v>
      </c>
      <c r="D3909">
        <v>10</v>
      </c>
      <c r="E3909">
        <v>13</v>
      </c>
      <c r="F3909" t="s">
        <v>168</v>
      </c>
      <c r="G3909" t="s">
        <v>55</v>
      </c>
      <c r="H3909" t="s">
        <v>26</v>
      </c>
      <c r="I3909" t="s">
        <v>43</v>
      </c>
      <c r="J3909" t="s">
        <v>70</v>
      </c>
      <c r="K3909" t="s">
        <v>38</v>
      </c>
      <c r="L3909">
        <v>1</v>
      </c>
      <c r="M3909">
        <v>501</v>
      </c>
      <c r="N3909">
        <v>0</v>
      </c>
      <c r="O3909">
        <v>20</v>
      </c>
      <c r="P3909">
        <v>501</v>
      </c>
      <c r="Q3909">
        <v>521</v>
      </c>
      <c r="R3909" t="s">
        <v>75</v>
      </c>
      <c r="S3909" t="s">
        <v>31</v>
      </c>
      <c r="T3909" t="s">
        <v>32</v>
      </c>
      <c r="U3909">
        <v>43</v>
      </c>
      <c r="V3909">
        <v>4.4000000000000004</v>
      </c>
      <c r="W3909">
        <f>Table2[[#This Row],[Quantity]]*Table2[[#This Row],[Item_Price]]</f>
        <v>501</v>
      </c>
    </row>
    <row r="3910" spans="1:23" x14ac:dyDescent="0.25">
      <c r="A3910" t="s">
        <v>4013</v>
      </c>
      <c r="B3910" s="1">
        <v>45943</v>
      </c>
      <c r="C3910" t="s">
        <v>3846</v>
      </c>
      <c r="D3910">
        <v>10</v>
      </c>
      <c r="E3910">
        <v>13</v>
      </c>
      <c r="F3910" t="s">
        <v>168</v>
      </c>
      <c r="G3910" t="s">
        <v>80</v>
      </c>
      <c r="H3910" t="s">
        <v>52</v>
      </c>
      <c r="I3910" t="s">
        <v>36</v>
      </c>
      <c r="J3910" t="s">
        <v>94</v>
      </c>
      <c r="K3910" t="s">
        <v>45</v>
      </c>
      <c r="L3910">
        <v>3</v>
      </c>
      <c r="M3910">
        <v>548</v>
      </c>
      <c r="N3910">
        <v>109.6</v>
      </c>
      <c r="O3910">
        <v>50</v>
      </c>
      <c r="P3910">
        <v>1644</v>
      </c>
      <c r="Q3910">
        <v>1584.4</v>
      </c>
      <c r="R3910" t="s">
        <v>39</v>
      </c>
      <c r="S3910" t="s">
        <v>31</v>
      </c>
      <c r="T3910" t="s">
        <v>40</v>
      </c>
      <c r="U3910">
        <v>41</v>
      </c>
      <c r="V3910">
        <v>3.4</v>
      </c>
      <c r="W3910">
        <f>Table2[[#This Row],[Quantity]]*Table2[[#This Row],[Item_Price]]</f>
        <v>1644</v>
      </c>
    </row>
    <row r="3911" spans="1:23" x14ac:dyDescent="0.25">
      <c r="A3911" t="s">
        <v>4014</v>
      </c>
      <c r="B3911" s="1">
        <v>45943</v>
      </c>
      <c r="C3911" t="s">
        <v>3846</v>
      </c>
      <c r="D3911">
        <v>10</v>
      </c>
      <c r="E3911">
        <v>13</v>
      </c>
      <c r="F3911" t="s">
        <v>168</v>
      </c>
      <c r="G3911" t="s">
        <v>64</v>
      </c>
      <c r="H3911" t="s">
        <v>65</v>
      </c>
      <c r="I3911" t="s">
        <v>69</v>
      </c>
      <c r="J3911" t="s">
        <v>44</v>
      </c>
      <c r="K3911" t="s">
        <v>38</v>
      </c>
      <c r="L3911">
        <v>1</v>
      </c>
      <c r="M3911">
        <v>234</v>
      </c>
      <c r="N3911">
        <v>35.1</v>
      </c>
      <c r="O3911">
        <v>40</v>
      </c>
      <c r="P3911">
        <v>234</v>
      </c>
      <c r="Q3911">
        <v>238.9</v>
      </c>
      <c r="R3911" t="s">
        <v>39</v>
      </c>
      <c r="S3911" t="s">
        <v>31</v>
      </c>
      <c r="T3911" t="s">
        <v>40</v>
      </c>
      <c r="U3911">
        <v>29</v>
      </c>
      <c r="V3911">
        <v>4.0999999999999996</v>
      </c>
      <c r="W3911">
        <f>Table2[[#This Row],[Quantity]]*Table2[[#This Row],[Item_Price]]</f>
        <v>234</v>
      </c>
    </row>
    <row r="3912" spans="1:23" x14ac:dyDescent="0.25">
      <c r="A3912" t="s">
        <v>4015</v>
      </c>
      <c r="B3912" s="1">
        <v>45943</v>
      </c>
      <c r="C3912" t="s">
        <v>3846</v>
      </c>
      <c r="D3912">
        <v>10</v>
      </c>
      <c r="E3912">
        <v>13</v>
      </c>
      <c r="F3912" t="s">
        <v>168</v>
      </c>
      <c r="G3912" t="s">
        <v>73</v>
      </c>
      <c r="H3912" t="s">
        <v>42</v>
      </c>
      <c r="I3912" t="s">
        <v>61</v>
      </c>
      <c r="J3912" t="s">
        <v>50</v>
      </c>
      <c r="K3912" t="s">
        <v>45</v>
      </c>
      <c r="L3912">
        <v>2</v>
      </c>
      <c r="M3912">
        <v>301</v>
      </c>
      <c r="N3912">
        <v>60.2</v>
      </c>
      <c r="O3912">
        <v>0</v>
      </c>
      <c r="P3912">
        <v>602</v>
      </c>
      <c r="Q3912">
        <v>541.79999999999995</v>
      </c>
      <c r="R3912" t="s">
        <v>39</v>
      </c>
      <c r="S3912" t="s">
        <v>31</v>
      </c>
      <c r="T3912" t="s">
        <v>32</v>
      </c>
      <c r="U3912">
        <v>44</v>
      </c>
      <c r="V3912">
        <v>3.9</v>
      </c>
      <c r="W3912">
        <f>Table2[[#This Row],[Quantity]]*Table2[[#This Row],[Item_Price]]</f>
        <v>602</v>
      </c>
    </row>
    <row r="3913" spans="1:23" x14ac:dyDescent="0.25">
      <c r="A3913" t="s">
        <v>4016</v>
      </c>
      <c r="B3913" s="1">
        <v>45943</v>
      </c>
      <c r="C3913" t="s">
        <v>3846</v>
      </c>
      <c r="D3913">
        <v>10</v>
      </c>
      <c r="E3913">
        <v>13</v>
      </c>
      <c r="F3913" t="s">
        <v>168</v>
      </c>
      <c r="G3913" t="s">
        <v>80</v>
      </c>
      <c r="H3913" t="s">
        <v>56</v>
      </c>
      <c r="I3913" t="s">
        <v>27</v>
      </c>
      <c r="J3913" t="s">
        <v>74</v>
      </c>
      <c r="K3913" t="s">
        <v>38</v>
      </c>
      <c r="L3913">
        <v>3</v>
      </c>
      <c r="M3913">
        <v>304</v>
      </c>
      <c r="N3913">
        <v>30.4</v>
      </c>
      <c r="O3913">
        <v>0</v>
      </c>
      <c r="P3913">
        <v>912</v>
      </c>
      <c r="Q3913">
        <v>881.6</v>
      </c>
      <c r="R3913" t="s">
        <v>75</v>
      </c>
      <c r="S3913" t="s">
        <v>91</v>
      </c>
      <c r="T3913" t="s">
        <v>40</v>
      </c>
      <c r="U3913">
        <v>50</v>
      </c>
      <c r="W3913">
        <f>Table2[[#This Row],[Quantity]]*Table2[[#This Row],[Item_Price]]</f>
        <v>912</v>
      </c>
    </row>
    <row r="3914" spans="1:23" x14ac:dyDescent="0.25">
      <c r="A3914" t="s">
        <v>4017</v>
      </c>
      <c r="B3914" s="1">
        <v>45943</v>
      </c>
      <c r="C3914" t="s">
        <v>3846</v>
      </c>
      <c r="D3914">
        <v>10</v>
      </c>
      <c r="E3914">
        <v>13</v>
      </c>
      <c r="F3914" t="s">
        <v>168</v>
      </c>
      <c r="G3914" t="s">
        <v>73</v>
      </c>
      <c r="H3914" t="s">
        <v>68</v>
      </c>
      <c r="I3914" t="s">
        <v>103</v>
      </c>
      <c r="J3914" t="s">
        <v>66</v>
      </c>
      <c r="K3914" t="s">
        <v>38</v>
      </c>
      <c r="L3914">
        <v>3</v>
      </c>
      <c r="M3914">
        <v>827</v>
      </c>
      <c r="N3914">
        <v>41.35</v>
      </c>
      <c r="O3914">
        <v>0</v>
      </c>
      <c r="P3914">
        <v>2481</v>
      </c>
      <c r="Q3914">
        <v>2439.65</v>
      </c>
      <c r="R3914" t="s">
        <v>39</v>
      </c>
      <c r="S3914" t="s">
        <v>31</v>
      </c>
      <c r="T3914" t="s">
        <v>40</v>
      </c>
      <c r="U3914">
        <v>32</v>
      </c>
      <c r="V3914">
        <v>3.7</v>
      </c>
      <c r="W3914">
        <f>Table2[[#This Row],[Quantity]]*Table2[[#This Row],[Item_Price]]</f>
        <v>2481</v>
      </c>
    </row>
    <row r="3915" spans="1:23" x14ac:dyDescent="0.25">
      <c r="A3915" t="s">
        <v>4018</v>
      </c>
      <c r="B3915" s="1">
        <v>45944</v>
      </c>
      <c r="C3915" t="s">
        <v>3846</v>
      </c>
      <c r="D3915">
        <v>10</v>
      </c>
      <c r="E3915">
        <v>14</v>
      </c>
      <c r="F3915" t="s">
        <v>178</v>
      </c>
      <c r="G3915" t="s">
        <v>115</v>
      </c>
      <c r="H3915" t="s">
        <v>108</v>
      </c>
      <c r="I3915" t="s">
        <v>27</v>
      </c>
      <c r="J3915" t="s">
        <v>28</v>
      </c>
      <c r="K3915" t="s">
        <v>58</v>
      </c>
      <c r="L3915">
        <v>1</v>
      </c>
      <c r="M3915">
        <v>649</v>
      </c>
      <c r="N3915">
        <v>162.25</v>
      </c>
      <c r="O3915">
        <v>50</v>
      </c>
      <c r="P3915">
        <v>649</v>
      </c>
      <c r="Q3915">
        <v>536.75</v>
      </c>
      <c r="R3915" t="s">
        <v>30</v>
      </c>
      <c r="S3915" t="s">
        <v>91</v>
      </c>
      <c r="T3915" t="s">
        <v>32</v>
      </c>
      <c r="U3915">
        <v>25</v>
      </c>
      <c r="W3915">
        <f>Table2[[#This Row],[Quantity]]*Table2[[#This Row],[Item_Price]]</f>
        <v>649</v>
      </c>
    </row>
    <row r="3916" spans="1:23" x14ac:dyDescent="0.25">
      <c r="A3916" t="s">
        <v>4019</v>
      </c>
      <c r="B3916" s="1">
        <v>45944</v>
      </c>
      <c r="C3916" t="s">
        <v>3846</v>
      </c>
      <c r="D3916">
        <v>10</v>
      </c>
      <c r="E3916">
        <v>14</v>
      </c>
      <c r="F3916" t="s">
        <v>178</v>
      </c>
      <c r="G3916" t="s">
        <v>73</v>
      </c>
      <c r="H3916" t="s">
        <v>48</v>
      </c>
      <c r="I3916" t="s">
        <v>69</v>
      </c>
      <c r="J3916" t="s">
        <v>172</v>
      </c>
      <c r="K3916" t="s">
        <v>58</v>
      </c>
      <c r="L3916">
        <v>1</v>
      </c>
      <c r="M3916">
        <v>567</v>
      </c>
      <c r="N3916">
        <v>141.75</v>
      </c>
      <c r="O3916">
        <v>70</v>
      </c>
      <c r="P3916">
        <v>567</v>
      </c>
      <c r="Q3916">
        <v>495.25</v>
      </c>
      <c r="R3916" t="s">
        <v>39</v>
      </c>
      <c r="S3916" t="s">
        <v>31</v>
      </c>
      <c r="T3916" t="s">
        <v>32</v>
      </c>
      <c r="U3916">
        <v>54</v>
      </c>
      <c r="V3916">
        <v>3.7</v>
      </c>
      <c r="W3916">
        <f>Table2[[#This Row],[Quantity]]*Table2[[#This Row],[Item_Price]]</f>
        <v>567</v>
      </c>
    </row>
    <row r="3917" spans="1:23" x14ac:dyDescent="0.25">
      <c r="A3917" t="s">
        <v>4020</v>
      </c>
      <c r="B3917" s="1">
        <v>45944</v>
      </c>
      <c r="C3917" t="s">
        <v>3846</v>
      </c>
      <c r="D3917">
        <v>10</v>
      </c>
      <c r="E3917">
        <v>14</v>
      </c>
      <c r="F3917" t="s">
        <v>178</v>
      </c>
      <c r="G3917" t="s">
        <v>64</v>
      </c>
      <c r="H3917" t="s">
        <v>35</v>
      </c>
      <c r="I3917" t="s">
        <v>49</v>
      </c>
      <c r="J3917" t="s">
        <v>94</v>
      </c>
      <c r="K3917" t="s">
        <v>38</v>
      </c>
      <c r="L3917">
        <v>1</v>
      </c>
      <c r="M3917">
        <v>241</v>
      </c>
      <c r="N3917">
        <v>0</v>
      </c>
      <c r="O3917">
        <v>50</v>
      </c>
      <c r="P3917">
        <v>241</v>
      </c>
      <c r="Q3917">
        <v>291</v>
      </c>
      <c r="R3917" t="s">
        <v>75</v>
      </c>
      <c r="S3917" t="s">
        <v>31</v>
      </c>
      <c r="T3917" t="s">
        <v>40</v>
      </c>
      <c r="U3917">
        <v>67</v>
      </c>
      <c r="V3917">
        <v>4.5999999999999996</v>
      </c>
      <c r="W3917">
        <f>Table2[[#This Row],[Quantity]]*Table2[[#This Row],[Item_Price]]</f>
        <v>241</v>
      </c>
    </row>
    <row r="3918" spans="1:23" x14ac:dyDescent="0.25">
      <c r="A3918" t="s">
        <v>4021</v>
      </c>
      <c r="B3918" s="1">
        <v>45944</v>
      </c>
      <c r="C3918" t="s">
        <v>3846</v>
      </c>
      <c r="D3918">
        <v>10</v>
      </c>
      <c r="E3918">
        <v>14</v>
      </c>
      <c r="F3918" t="s">
        <v>178</v>
      </c>
      <c r="G3918" t="s">
        <v>25</v>
      </c>
      <c r="H3918" t="s">
        <v>105</v>
      </c>
      <c r="I3918" t="s">
        <v>49</v>
      </c>
      <c r="J3918" t="s">
        <v>94</v>
      </c>
      <c r="K3918" t="s">
        <v>45</v>
      </c>
      <c r="L3918">
        <v>2</v>
      </c>
      <c r="M3918">
        <v>322</v>
      </c>
      <c r="N3918">
        <v>16.100000000000001</v>
      </c>
      <c r="O3918">
        <v>70</v>
      </c>
      <c r="P3918">
        <v>644</v>
      </c>
      <c r="Q3918">
        <v>697.9</v>
      </c>
      <c r="R3918" t="s">
        <v>39</v>
      </c>
      <c r="S3918" t="s">
        <v>110</v>
      </c>
      <c r="T3918" t="s">
        <v>32</v>
      </c>
      <c r="U3918">
        <v>38</v>
      </c>
      <c r="W3918">
        <f>Table2[[#This Row],[Quantity]]*Table2[[#This Row],[Item_Price]]</f>
        <v>644</v>
      </c>
    </row>
    <row r="3919" spans="1:23" x14ac:dyDescent="0.25">
      <c r="A3919" t="s">
        <v>4022</v>
      </c>
      <c r="B3919" s="1">
        <v>45944</v>
      </c>
      <c r="C3919" t="s">
        <v>3846</v>
      </c>
      <c r="D3919">
        <v>10</v>
      </c>
      <c r="E3919">
        <v>14</v>
      </c>
      <c r="F3919" t="s">
        <v>178</v>
      </c>
      <c r="G3919" t="s">
        <v>25</v>
      </c>
      <c r="H3919" t="s">
        <v>60</v>
      </c>
      <c r="I3919" t="s">
        <v>43</v>
      </c>
      <c r="J3919" t="s">
        <v>119</v>
      </c>
      <c r="K3919" t="s">
        <v>38</v>
      </c>
      <c r="L3919">
        <v>2</v>
      </c>
      <c r="M3919">
        <v>259</v>
      </c>
      <c r="N3919">
        <v>51.8</v>
      </c>
      <c r="O3919">
        <v>20</v>
      </c>
      <c r="P3919">
        <v>518</v>
      </c>
      <c r="Q3919">
        <v>486.2</v>
      </c>
      <c r="R3919" t="s">
        <v>112</v>
      </c>
      <c r="S3919" t="s">
        <v>31</v>
      </c>
      <c r="T3919" t="s">
        <v>40</v>
      </c>
      <c r="U3919">
        <v>66</v>
      </c>
      <c r="V3919">
        <v>3.6</v>
      </c>
      <c r="W3919">
        <f>Table2[[#This Row],[Quantity]]*Table2[[#This Row],[Item_Price]]</f>
        <v>518</v>
      </c>
    </row>
    <row r="3920" spans="1:23" x14ac:dyDescent="0.25">
      <c r="A3920" t="s">
        <v>4023</v>
      </c>
      <c r="B3920" s="1">
        <v>45944</v>
      </c>
      <c r="C3920" t="s">
        <v>3846</v>
      </c>
      <c r="D3920">
        <v>10</v>
      </c>
      <c r="E3920">
        <v>14</v>
      </c>
      <c r="F3920" t="s">
        <v>178</v>
      </c>
      <c r="G3920" t="s">
        <v>55</v>
      </c>
      <c r="H3920" t="s">
        <v>65</v>
      </c>
      <c r="I3920" t="s">
        <v>43</v>
      </c>
      <c r="J3920" t="s">
        <v>82</v>
      </c>
      <c r="K3920" t="s">
        <v>38</v>
      </c>
      <c r="L3920">
        <v>2</v>
      </c>
      <c r="M3920">
        <v>401</v>
      </c>
      <c r="N3920">
        <v>40.1</v>
      </c>
      <c r="O3920">
        <v>30</v>
      </c>
      <c r="P3920">
        <v>802</v>
      </c>
      <c r="Q3920">
        <v>791.9</v>
      </c>
      <c r="R3920" t="s">
        <v>112</v>
      </c>
      <c r="S3920" t="s">
        <v>31</v>
      </c>
      <c r="T3920" t="s">
        <v>32</v>
      </c>
      <c r="U3920">
        <v>64</v>
      </c>
      <c r="V3920">
        <v>3.6</v>
      </c>
      <c r="W3920">
        <f>Table2[[#This Row],[Quantity]]*Table2[[#This Row],[Item_Price]]</f>
        <v>802</v>
      </c>
    </row>
    <row r="3921" spans="1:23" x14ac:dyDescent="0.25">
      <c r="A3921" t="s">
        <v>4024</v>
      </c>
      <c r="B3921" s="1">
        <v>45944</v>
      </c>
      <c r="C3921" t="s">
        <v>3846</v>
      </c>
      <c r="D3921">
        <v>10</v>
      </c>
      <c r="E3921">
        <v>14</v>
      </c>
      <c r="F3921" t="s">
        <v>178</v>
      </c>
      <c r="G3921" t="s">
        <v>84</v>
      </c>
      <c r="H3921" t="s">
        <v>35</v>
      </c>
      <c r="I3921" t="s">
        <v>27</v>
      </c>
      <c r="J3921" t="s">
        <v>123</v>
      </c>
      <c r="K3921" t="s">
        <v>38</v>
      </c>
      <c r="L3921">
        <v>2</v>
      </c>
      <c r="M3921">
        <v>775</v>
      </c>
      <c r="N3921">
        <v>116.25</v>
      </c>
      <c r="O3921">
        <v>20</v>
      </c>
      <c r="P3921">
        <v>1550</v>
      </c>
      <c r="Q3921">
        <v>1453.75</v>
      </c>
      <c r="R3921" t="s">
        <v>39</v>
      </c>
      <c r="S3921" t="s">
        <v>31</v>
      </c>
      <c r="T3921" t="s">
        <v>40</v>
      </c>
      <c r="U3921">
        <v>24</v>
      </c>
      <c r="V3921">
        <v>3.1</v>
      </c>
      <c r="W3921">
        <f>Table2[[#This Row],[Quantity]]*Table2[[#This Row],[Item_Price]]</f>
        <v>1550</v>
      </c>
    </row>
    <row r="3922" spans="1:23" x14ac:dyDescent="0.25">
      <c r="A3922" t="s">
        <v>4025</v>
      </c>
      <c r="B3922" s="1">
        <v>45944</v>
      </c>
      <c r="C3922" t="s">
        <v>3846</v>
      </c>
      <c r="D3922">
        <v>10</v>
      </c>
      <c r="E3922">
        <v>14</v>
      </c>
      <c r="F3922" t="s">
        <v>178</v>
      </c>
      <c r="G3922" t="s">
        <v>90</v>
      </c>
      <c r="H3922" t="s">
        <v>65</v>
      </c>
      <c r="I3922" t="s">
        <v>57</v>
      </c>
      <c r="J3922" t="s">
        <v>70</v>
      </c>
      <c r="K3922" t="s">
        <v>38</v>
      </c>
      <c r="L3922">
        <v>1</v>
      </c>
      <c r="M3922">
        <v>418</v>
      </c>
      <c r="N3922">
        <v>20.9</v>
      </c>
      <c r="O3922">
        <v>20</v>
      </c>
      <c r="P3922">
        <v>418</v>
      </c>
      <c r="Q3922">
        <v>417.1</v>
      </c>
      <c r="R3922" t="s">
        <v>39</v>
      </c>
      <c r="S3922" t="s">
        <v>91</v>
      </c>
      <c r="T3922" t="s">
        <v>32</v>
      </c>
      <c r="U3922">
        <v>47</v>
      </c>
      <c r="W3922">
        <f>Table2[[#This Row],[Quantity]]*Table2[[#This Row],[Item_Price]]</f>
        <v>418</v>
      </c>
    </row>
    <row r="3923" spans="1:23" x14ac:dyDescent="0.25">
      <c r="A3923" t="s">
        <v>4026</v>
      </c>
      <c r="B3923" s="1">
        <v>45944</v>
      </c>
      <c r="C3923" t="s">
        <v>3846</v>
      </c>
      <c r="D3923">
        <v>10</v>
      </c>
      <c r="E3923">
        <v>14</v>
      </c>
      <c r="F3923" t="s">
        <v>178</v>
      </c>
      <c r="G3923" t="s">
        <v>80</v>
      </c>
      <c r="H3923" t="s">
        <v>65</v>
      </c>
      <c r="I3923" t="s">
        <v>85</v>
      </c>
      <c r="J3923" t="s">
        <v>119</v>
      </c>
      <c r="K3923" t="s">
        <v>38</v>
      </c>
      <c r="L3923">
        <v>1</v>
      </c>
      <c r="M3923">
        <v>721</v>
      </c>
      <c r="N3923">
        <v>72.099999999999994</v>
      </c>
      <c r="O3923">
        <v>60</v>
      </c>
      <c r="P3923">
        <v>721</v>
      </c>
      <c r="Q3923">
        <v>708.9</v>
      </c>
      <c r="R3923" t="s">
        <v>75</v>
      </c>
      <c r="S3923" t="s">
        <v>31</v>
      </c>
      <c r="T3923" t="s">
        <v>32</v>
      </c>
      <c r="U3923">
        <v>55</v>
      </c>
      <c r="V3923">
        <v>4.8</v>
      </c>
      <c r="W3923">
        <f>Table2[[#This Row],[Quantity]]*Table2[[#This Row],[Item_Price]]</f>
        <v>721</v>
      </c>
    </row>
    <row r="3924" spans="1:23" x14ac:dyDescent="0.25">
      <c r="A3924" t="s">
        <v>4027</v>
      </c>
      <c r="B3924" s="1">
        <v>45945</v>
      </c>
      <c r="C3924" t="s">
        <v>3846</v>
      </c>
      <c r="D3924">
        <v>10</v>
      </c>
      <c r="E3924">
        <v>15</v>
      </c>
      <c r="F3924" t="s">
        <v>24</v>
      </c>
      <c r="G3924" t="s">
        <v>64</v>
      </c>
      <c r="H3924" t="s">
        <v>135</v>
      </c>
      <c r="I3924" t="s">
        <v>69</v>
      </c>
      <c r="J3924" t="s">
        <v>50</v>
      </c>
      <c r="K3924" t="s">
        <v>45</v>
      </c>
      <c r="L3924">
        <v>1</v>
      </c>
      <c r="M3924">
        <v>477</v>
      </c>
      <c r="N3924">
        <v>71.55</v>
      </c>
      <c r="O3924">
        <v>60</v>
      </c>
      <c r="P3924">
        <v>477</v>
      </c>
      <c r="Q3924">
        <v>465.45</v>
      </c>
      <c r="R3924" t="s">
        <v>39</v>
      </c>
      <c r="S3924" t="s">
        <v>31</v>
      </c>
      <c r="T3924" t="s">
        <v>40</v>
      </c>
      <c r="U3924">
        <v>46</v>
      </c>
      <c r="V3924">
        <v>4.2</v>
      </c>
      <c r="W3924">
        <f>Table2[[#This Row],[Quantity]]*Table2[[#This Row],[Item_Price]]</f>
        <v>477</v>
      </c>
    </row>
    <row r="3925" spans="1:23" x14ac:dyDescent="0.25">
      <c r="A3925" t="s">
        <v>4028</v>
      </c>
      <c r="B3925" s="1">
        <v>45945</v>
      </c>
      <c r="C3925" t="s">
        <v>3846</v>
      </c>
      <c r="D3925">
        <v>10</v>
      </c>
      <c r="E3925">
        <v>15</v>
      </c>
      <c r="F3925" t="s">
        <v>24</v>
      </c>
      <c r="G3925" t="s">
        <v>73</v>
      </c>
      <c r="H3925" t="s">
        <v>135</v>
      </c>
      <c r="I3925" t="s">
        <v>103</v>
      </c>
      <c r="J3925" t="s">
        <v>62</v>
      </c>
      <c r="K3925" t="s">
        <v>45</v>
      </c>
      <c r="L3925">
        <v>2</v>
      </c>
      <c r="M3925">
        <v>298</v>
      </c>
      <c r="N3925">
        <v>0</v>
      </c>
      <c r="O3925">
        <v>40</v>
      </c>
      <c r="P3925">
        <v>596</v>
      </c>
      <c r="Q3925">
        <v>636</v>
      </c>
      <c r="R3925" t="s">
        <v>39</v>
      </c>
      <c r="S3925" t="s">
        <v>31</v>
      </c>
      <c r="T3925" t="s">
        <v>40</v>
      </c>
      <c r="U3925">
        <v>69</v>
      </c>
      <c r="V3925">
        <v>4</v>
      </c>
      <c r="W3925">
        <f>Table2[[#This Row],[Quantity]]*Table2[[#This Row],[Item_Price]]</f>
        <v>596</v>
      </c>
    </row>
    <row r="3926" spans="1:23" x14ac:dyDescent="0.25">
      <c r="A3926" t="s">
        <v>4029</v>
      </c>
      <c r="B3926" s="1">
        <v>45945</v>
      </c>
      <c r="C3926" t="s">
        <v>3846</v>
      </c>
      <c r="D3926">
        <v>10</v>
      </c>
      <c r="E3926">
        <v>15</v>
      </c>
      <c r="F3926" t="s">
        <v>24</v>
      </c>
      <c r="G3926" t="s">
        <v>80</v>
      </c>
      <c r="H3926" t="s">
        <v>42</v>
      </c>
      <c r="I3926" t="s">
        <v>27</v>
      </c>
      <c r="J3926" t="s">
        <v>123</v>
      </c>
      <c r="K3926" t="s">
        <v>38</v>
      </c>
      <c r="L3926">
        <v>1</v>
      </c>
      <c r="M3926">
        <v>384</v>
      </c>
      <c r="N3926">
        <v>76.8</v>
      </c>
      <c r="O3926">
        <v>20</v>
      </c>
      <c r="P3926">
        <v>384</v>
      </c>
      <c r="Q3926">
        <v>327.2</v>
      </c>
      <c r="R3926" t="s">
        <v>39</v>
      </c>
      <c r="S3926" t="s">
        <v>31</v>
      </c>
      <c r="T3926" t="s">
        <v>32</v>
      </c>
      <c r="U3926">
        <v>42</v>
      </c>
      <c r="V3926">
        <v>3</v>
      </c>
      <c r="W3926">
        <f>Table2[[#This Row],[Quantity]]*Table2[[#This Row],[Item_Price]]</f>
        <v>384</v>
      </c>
    </row>
    <row r="3927" spans="1:23" x14ac:dyDescent="0.25">
      <c r="A3927" t="s">
        <v>4030</v>
      </c>
      <c r="B3927" s="1">
        <v>45945</v>
      </c>
      <c r="C3927" t="s">
        <v>3846</v>
      </c>
      <c r="D3927">
        <v>10</v>
      </c>
      <c r="E3927">
        <v>15</v>
      </c>
      <c r="F3927" t="s">
        <v>24</v>
      </c>
      <c r="G3927" t="s">
        <v>84</v>
      </c>
      <c r="H3927" t="s">
        <v>42</v>
      </c>
      <c r="I3927" t="s">
        <v>103</v>
      </c>
      <c r="J3927" t="s">
        <v>37</v>
      </c>
      <c r="K3927" t="s">
        <v>45</v>
      </c>
      <c r="L3927">
        <v>1</v>
      </c>
      <c r="M3927">
        <v>437</v>
      </c>
      <c r="N3927">
        <v>43.7</v>
      </c>
      <c r="O3927">
        <v>60</v>
      </c>
      <c r="P3927">
        <v>437</v>
      </c>
      <c r="Q3927">
        <v>453.3</v>
      </c>
      <c r="R3927" t="s">
        <v>39</v>
      </c>
      <c r="S3927" t="s">
        <v>31</v>
      </c>
      <c r="T3927" t="s">
        <v>40</v>
      </c>
      <c r="U3927">
        <v>52</v>
      </c>
      <c r="V3927">
        <v>4.3</v>
      </c>
      <c r="W3927">
        <f>Table2[[#This Row],[Quantity]]*Table2[[#This Row],[Item_Price]]</f>
        <v>437</v>
      </c>
    </row>
    <row r="3928" spans="1:23" x14ac:dyDescent="0.25">
      <c r="A3928" t="s">
        <v>4031</v>
      </c>
      <c r="B3928" s="1">
        <v>45945</v>
      </c>
      <c r="C3928" t="s">
        <v>3846</v>
      </c>
      <c r="D3928">
        <v>10</v>
      </c>
      <c r="E3928">
        <v>15</v>
      </c>
      <c r="F3928" t="s">
        <v>24</v>
      </c>
      <c r="G3928" t="s">
        <v>73</v>
      </c>
      <c r="H3928" t="s">
        <v>35</v>
      </c>
      <c r="I3928" t="s">
        <v>49</v>
      </c>
      <c r="J3928" t="s">
        <v>74</v>
      </c>
      <c r="K3928" t="s">
        <v>38</v>
      </c>
      <c r="L3928">
        <v>2</v>
      </c>
      <c r="M3928">
        <v>889</v>
      </c>
      <c r="N3928">
        <v>44.45</v>
      </c>
      <c r="O3928">
        <v>50</v>
      </c>
      <c r="P3928">
        <v>1778</v>
      </c>
      <c r="Q3928">
        <v>1783.55</v>
      </c>
      <c r="R3928" t="s">
        <v>39</v>
      </c>
      <c r="S3928" t="s">
        <v>31</v>
      </c>
      <c r="T3928" t="s">
        <v>32</v>
      </c>
      <c r="U3928">
        <v>53</v>
      </c>
      <c r="V3928">
        <v>4</v>
      </c>
      <c r="W3928">
        <f>Table2[[#This Row],[Quantity]]*Table2[[#This Row],[Item_Price]]</f>
        <v>1778</v>
      </c>
    </row>
    <row r="3929" spans="1:23" x14ac:dyDescent="0.25">
      <c r="A3929" t="s">
        <v>4032</v>
      </c>
      <c r="B3929" s="1">
        <v>45945</v>
      </c>
      <c r="C3929" t="s">
        <v>3846</v>
      </c>
      <c r="D3929">
        <v>10</v>
      </c>
      <c r="E3929">
        <v>15</v>
      </c>
      <c r="F3929" t="s">
        <v>24</v>
      </c>
      <c r="G3929" t="s">
        <v>64</v>
      </c>
      <c r="H3929" t="s">
        <v>56</v>
      </c>
      <c r="I3929" t="s">
        <v>85</v>
      </c>
      <c r="J3929" t="s">
        <v>50</v>
      </c>
      <c r="K3929" t="s">
        <v>38</v>
      </c>
      <c r="L3929">
        <v>1</v>
      </c>
      <c r="M3929">
        <v>501</v>
      </c>
      <c r="N3929">
        <v>100.2</v>
      </c>
      <c r="O3929">
        <v>50</v>
      </c>
      <c r="P3929">
        <v>501</v>
      </c>
      <c r="Q3929">
        <v>450.8</v>
      </c>
      <c r="R3929" t="s">
        <v>75</v>
      </c>
      <c r="S3929" t="s">
        <v>31</v>
      </c>
      <c r="T3929" t="s">
        <v>32</v>
      </c>
      <c r="U3929">
        <v>47</v>
      </c>
      <c r="V3929">
        <v>3.5</v>
      </c>
      <c r="W3929">
        <f>Table2[[#This Row],[Quantity]]*Table2[[#This Row],[Item_Price]]</f>
        <v>501</v>
      </c>
    </row>
    <row r="3930" spans="1:23" x14ac:dyDescent="0.25">
      <c r="A3930" t="s">
        <v>4033</v>
      </c>
      <c r="B3930" s="1">
        <v>45945</v>
      </c>
      <c r="C3930" t="s">
        <v>3846</v>
      </c>
      <c r="D3930">
        <v>10</v>
      </c>
      <c r="E3930">
        <v>15</v>
      </c>
      <c r="F3930" t="s">
        <v>24</v>
      </c>
      <c r="G3930" t="s">
        <v>25</v>
      </c>
      <c r="H3930" t="s">
        <v>52</v>
      </c>
      <c r="I3930" t="s">
        <v>27</v>
      </c>
      <c r="J3930" t="s">
        <v>94</v>
      </c>
      <c r="K3930" t="s">
        <v>29</v>
      </c>
      <c r="L3930">
        <v>3</v>
      </c>
      <c r="M3930">
        <v>194</v>
      </c>
      <c r="N3930">
        <v>38.799999999999997</v>
      </c>
      <c r="O3930">
        <v>40</v>
      </c>
      <c r="P3930">
        <v>582</v>
      </c>
      <c r="Q3930">
        <v>583.20000000000005</v>
      </c>
      <c r="R3930" t="s">
        <v>39</v>
      </c>
      <c r="S3930" t="s">
        <v>31</v>
      </c>
      <c r="T3930" t="s">
        <v>32</v>
      </c>
      <c r="U3930">
        <v>27</v>
      </c>
      <c r="V3930">
        <v>4.0999999999999996</v>
      </c>
      <c r="W3930">
        <f>Table2[[#This Row],[Quantity]]*Table2[[#This Row],[Item_Price]]</f>
        <v>582</v>
      </c>
    </row>
    <row r="3931" spans="1:23" x14ac:dyDescent="0.25">
      <c r="A3931" t="s">
        <v>4034</v>
      </c>
      <c r="B3931" s="1">
        <v>45945</v>
      </c>
      <c r="C3931" t="s">
        <v>3846</v>
      </c>
      <c r="D3931">
        <v>10</v>
      </c>
      <c r="E3931">
        <v>15</v>
      </c>
      <c r="F3931" t="s">
        <v>24</v>
      </c>
      <c r="G3931" t="s">
        <v>115</v>
      </c>
      <c r="H3931" t="s">
        <v>60</v>
      </c>
      <c r="I3931" t="s">
        <v>97</v>
      </c>
      <c r="J3931" t="s">
        <v>50</v>
      </c>
      <c r="K3931" t="s">
        <v>45</v>
      </c>
      <c r="L3931">
        <v>1</v>
      </c>
      <c r="M3931">
        <v>894</v>
      </c>
      <c r="N3931">
        <v>44.7</v>
      </c>
      <c r="O3931">
        <v>50</v>
      </c>
      <c r="P3931">
        <v>894</v>
      </c>
      <c r="Q3931">
        <v>899.3</v>
      </c>
      <c r="R3931" t="s">
        <v>75</v>
      </c>
      <c r="S3931" t="s">
        <v>31</v>
      </c>
      <c r="T3931" t="s">
        <v>32</v>
      </c>
      <c r="U3931">
        <v>68</v>
      </c>
      <c r="V3931">
        <v>3.2</v>
      </c>
      <c r="W3931">
        <f>Table2[[#This Row],[Quantity]]*Table2[[#This Row],[Item_Price]]</f>
        <v>894</v>
      </c>
    </row>
    <row r="3932" spans="1:23" x14ac:dyDescent="0.25">
      <c r="A3932" t="s">
        <v>4035</v>
      </c>
      <c r="B3932" s="1">
        <v>45945</v>
      </c>
      <c r="C3932" t="s">
        <v>3846</v>
      </c>
      <c r="D3932">
        <v>10</v>
      </c>
      <c r="E3932">
        <v>15</v>
      </c>
      <c r="F3932" t="s">
        <v>24</v>
      </c>
      <c r="G3932" t="s">
        <v>96</v>
      </c>
      <c r="H3932" t="s">
        <v>105</v>
      </c>
      <c r="I3932" t="s">
        <v>49</v>
      </c>
      <c r="J3932" t="s">
        <v>70</v>
      </c>
      <c r="K3932" t="s">
        <v>29</v>
      </c>
      <c r="L3932">
        <v>2</v>
      </c>
      <c r="M3932">
        <v>218</v>
      </c>
      <c r="N3932">
        <v>32.700000000000003</v>
      </c>
      <c r="O3932">
        <v>30</v>
      </c>
      <c r="P3932">
        <v>436</v>
      </c>
      <c r="Q3932">
        <v>433.3</v>
      </c>
      <c r="R3932" t="s">
        <v>98</v>
      </c>
      <c r="S3932" t="s">
        <v>91</v>
      </c>
      <c r="T3932" t="s">
        <v>40</v>
      </c>
      <c r="U3932">
        <v>64</v>
      </c>
      <c r="W3932">
        <f>Table2[[#This Row],[Quantity]]*Table2[[#This Row],[Item_Price]]</f>
        <v>436</v>
      </c>
    </row>
    <row r="3933" spans="1:23" x14ac:dyDescent="0.25">
      <c r="A3933" t="s">
        <v>4036</v>
      </c>
      <c r="B3933" s="1">
        <v>45945</v>
      </c>
      <c r="C3933" t="s">
        <v>3846</v>
      </c>
      <c r="D3933">
        <v>10</v>
      </c>
      <c r="E3933">
        <v>15</v>
      </c>
      <c r="F3933" t="s">
        <v>24</v>
      </c>
      <c r="G3933" t="s">
        <v>64</v>
      </c>
      <c r="H3933" t="s">
        <v>52</v>
      </c>
      <c r="I3933" t="s">
        <v>27</v>
      </c>
      <c r="J3933" t="s">
        <v>119</v>
      </c>
      <c r="K3933" t="s">
        <v>58</v>
      </c>
      <c r="L3933">
        <v>1</v>
      </c>
      <c r="M3933">
        <v>377</v>
      </c>
      <c r="N3933">
        <v>75.400000000000006</v>
      </c>
      <c r="O3933">
        <v>0</v>
      </c>
      <c r="P3933">
        <v>377</v>
      </c>
      <c r="Q3933">
        <v>301.60000000000002</v>
      </c>
      <c r="R3933" t="s">
        <v>112</v>
      </c>
      <c r="S3933" t="s">
        <v>31</v>
      </c>
      <c r="T3933" t="s">
        <v>40</v>
      </c>
      <c r="U3933">
        <v>22</v>
      </c>
      <c r="V3933">
        <v>4.7</v>
      </c>
      <c r="W3933">
        <f>Table2[[#This Row],[Quantity]]*Table2[[#This Row],[Item_Price]]</f>
        <v>377</v>
      </c>
    </row>
    <row r="3934" spans="1:23" x14ac:dyDescent="0.25">
      <c r="A3934" t="s">
        <v>4037</v>
      </c>
      <c r="B3934" s="1">
        <v>45945</v>
      </c>
      <c r="C3934" t="s">
        <v>3846</v>
      </c>
      <c r="D3934">
        <v>10</v>
      </c>
      <c r="E3934">
        <v>15</v>
      </c>
      <c r="F3934" t="s">
        <v>24</v>
      </c>
      <c r="G3934" t="s">
        <v>96</v>
      </c>
      <c r="H3934" t="s">
        <v>65</v>
      </c>
      <c r="I3934" t="s">
        <v>69</v>
      </c>
      <c r="J3934" t="s">
        <v>172</v>
      </c>
      <c r="K3934" t="s">
        <v>38</v>
      </c>
      <c r="L3934">
        <v>2</v>
      </c>
      <c r="M3934">
        <v>477</v>
      </c>
      <c r="N3934">
        <v>23.85</v>
      </c>
      <c r="O3934">
        <v>40</v>
      </c>
      <c r="P3934">
        <v>954</v>
      </c>
      <c r="Q3934">
        <v>970.15</v>
      </c>
      <c r="R3934" t="s">
        <v>75</v>
      </c>
      <c r="S3934" t="s">
        <v>31</v>
      </c>
      <c r="T3934" t="s">
        <v>40</v>
      </c>
      <c r="U3934">
        <v>23</v>
      </c>
      <c r="V3934">
        <v>4.4000000000000004</v>
      </c>
      <c r="W3934">
        <f>Table2[[#This Row],[Quantity]]*Table2[[#This Row],[Item_Price]]</f>
        <v>954</v>
      </c>
    </row>
    <row r="3935" spans="1:23" x14ac:dyDescent="0.25">
      <c r="A3935" t="s">
        <v>4038</v>
      </c>
      <c r="B3935" s="1">
        <v>45945</v>
      </c>
      <c r="C3935" t="s">
        <v>3846</v>
      </c>
      <c r="D3935">
        <v>10</v>
      </c>
      <c r="E3935">
        <v>15</v>
      </c>
      <c r="F3935" t="s">
        <v>24</v>
      </c>
      <c r="G3935" t="s">
        <v>80</v>
      </c>
      <c r="H3935" t="s">
        <v>48</v>
      </c>
      <c r="I3935" t="s">
        <v>103</v>
      </c>
      <c r="J3935" t="s">
        <v>101</v>
      </c>
      <c r="K3935" t="s">
        <v>38</v>
      </c>
      <c r="L3935">
        <v>3</v>
      </c>
      <c r="M3935">
        <v>192</v>
      </c>
      <c r="N3935">
        <v>28.8</v>
      </c>
      <c r="O3935">
        <v>50</v>
      </c>
      <c r="P3935">
        <v>576</v>
      </c>
      <c r="Q3935">
        <v>597.20000000000005</v>
      </c>
      <c r="R3935" t="s">
        <v>112</v>
      </c>
      <c r="S3935" t="s">
        <v>31</v>
      </c>
      <c r="T3935" t="s">
        <v>32</v>
      </c>
      <c r="U3935">
        <v>21</v>
      </c>
      <c r="V3935">
        <v>2.8</v>
      </c>
      <c r="W3935">
        <f>Table2[[#This Row],[Quantity]]*Table2[[#This Row],[Item_Price]]</f>
        <v>576</v>
      </c>
    </row>
    <row r="3936" spans="1:23" x14ac:dyDescent="0.25">
      <c r="A3936" t="s">
        <v>4039</v>
      </c>
      <c r="B3936" s="1">
        <v>45945</v>
      </c>
      <c r="C3936" t="s">
        <v>3846</v>
      </c>
      <c r="D3936">
        <v>10</v>
      </c>
      <c r="E3936">
        <v>15</v>
      </c>
      <c r="F3936" t="s">
        <v>24</v>
      </c>
      <c r="G3936" t="s">
        <v>73</v>
      </c>
      <c r="H3936" t="s">
        <v>65</v>
      </c>
      <c r="I3936" t="s">
        <v>61</v>
      </c>
      <c r="J3936" t="s">
        <v>78</v>
      </c>
      <c r="K3936" t="s">
        <v>58</v>
      </c>
      <c r="L3936">
        <v>1</v>
      </c>
      <c r="M3936">
        <v>305</v>
      </c>
      <c r="N3936">
        <v>30.5</v>
      </c>
      <c r="O3936">
        <v>20</v>
      </c>
      <c r="P3936">
        <v>305</v>
      </c>
      <c r="Q3936">
        <v>294.5</v>
      </c>
      <c r="R3936" t="s">
        <v>112</v>
      </c>
      <c r="S3936" t="s">
        <v>46</v>
      </c>
      <c r="T3936" t="s">
        <v>32</v>
      </c>
      <c r="U3936">
        <v>52</v>
      </c>
      <c r="W3936">
        <f>Table2[[#This Row],[Quantity]]*Table2[[#This Row],[Item_Price]]</f>
        <v>305</v>
      </c>
    </row>
    <row r="3937" spans="1:23" x14ac:dyDescent="0.25">
      <c r="A3937" t="s">
        <v>4040</v>
      </c>
      <c r="B3937" s="1">
        <v>45945</v>
      </c>
      <c r="C3937" t="s">
        <v>3846</v>
      </c>
      <c r="D3937">
        <v>10</v>
      </c>
      <c r="E3937">
        <v>15</v>
      </c>
      <c r="F3937" t="s">
        <v>24</v>
      </c>
      <c r="G3937" t="s">
        <v>115</v>
      </c>
      <c r="H3937" t="s">
        <v>26</v>
      </c>
      <c r="I3937" t="s">
        <v>85</v>
      </c>
      <c r="J3937" t="s">
        <v>119</v>
      </c>
      <c r="K3937" t="s">
        <v>45</v>
      </c>
      <c r="L3937">
        <v>1</v>
      </c>
      <c r="M3937">
        <v>648</v>
      </c>
      <c r="N3937">
        <v>32.4</v>
      </c>
      <c r="O3937">
        <v>50</v>
      </c>
      <c r="P3937">
        <v>648</v>
      </c>
      <c r="Q3937">
        <v>665.6</v>
      </c>
      <c r="R3937" t="s">
        <v>112</v>
      </c>
      <c r="S3937" t="s">
        <v>31</v>
      </c>
      <c r="T3937" t="s">
        <v>40</v>
      </c>
      <c r="U3937">
        <v>26</v>
      </c>
      <c r="V3937">
        <v>4.5</v>
      </c>
      <c r="W3937">
        <f>Table2[[#This Row],[Quantity]]*Table2[[#This Row],[Item_Price]]</f>
        <v>648</v>
      </c>
    </row>
    <row r="3938" spans="1:23" x14ac:dyDescent="0.25">
      <c r="A3938" t="s">
        <v>4041</v>
      </c>
      <c r="B3938" s="1">
        <v>45945</v>
      </c>
      <c r="C3938" t="s">
        <v>3846</v>
      </c>
      <c r="D3938">
        <v>10</v>
      </c>
      <c r="E3938">
        <v>15</v>
      </c>
      <c r="F3938" t="s">
        <v>24</v>
      </c>
      <c r="G3938" t="s">
        <v>84</v>
      </c>
      <c r="H3938" t="s">
        <v>56</v>
      </c>
      <c r="I3938" t="s">
        <v>97</v>
      </c>
      <c r="J3938" t="s">
        <v>28</v>
      </c>
      <c r="K3938" t="s">
        <v>38</v>
      </c>
      <c r="L3938">
        <v>1</v>
      </c>
      <c r="M3938">
        <v>458</v>
      </c>
      <c r="N3938">
        <v>91.6</v>
      </c>
      <c r="O3938">
        <v>30</v>
      </c>
      <c r="P3938">
        <v>458</v>
      </c>
      <c r="Q3938">
        <v>396.4</v>
      </c>
      <c r="R3938" t="s">
        <v>75</v>
      </c>
      <c r="S3938" t="s">
        <v>31</v>
      </c>
      <c r="T3938" t="s">
        <v>40</v>
      </c>
      <c r="U3938">
        <v>28</v>
      </c>
      <c r="V3938">
        <v>4</v>
      </c>
      <c r="W3938">
        <f>Table2[[#This Row],[Quantity]]*Table2[[#This Row],[Item_Price]]</f>
        <v>458</v>
      </c>
    </row>
    <row r="3939" spans="1:23" x14ac:dyDescent="0.25">
      <c r="A3939" t="s">
        <v>4042</v>
      </c>
      <c r="B3939" s="1">
        <v>45945</v>
      </c>
      <c r="C3939" t="s">
        <v>3846</v>
      </c>
      <c r="D3939">
        <v>10</v>
      </c>
      <c r="E3939">
        <v>15</v>
      </c>
      <c r="F3939" t="s">
        <v>24</v>
      </c>
      <c r="G3939" t="s">
        <v>55</v>
      </c>
      <c r="H3939" t="s">
        <v>135</v>
      </c>
      <c r="I3939" t="s">
        <v>27</v>
      </c>
      <c r="J3939" t="s">
        <v>94</v>
      </c>
      <c r="K3939" t="s">
        <v>38</v>
      </c>
      <c r="L3939">
        <v>1</v>
      </c>
      <c r="M3939">
        <v>288</v>
      </c>
      <c r="N3939">
        <v>28.8</v>
      </c>
      <c r="O3939">
        <v>50</v>
      </c>
      <c r="P3939">
        <v>288</v>
      </c>
      <c r="Q3939">
        <v>309.2</v>
      </c>
      <c r="R3939" t="s">
        <v>75</v>
      </c>
      <c r="S3939" t="s">
        <v>31</v>
      </c>
      <c r="T3939" t="s">
        <v>40</v>
      </c>
      <c r="U3939">
        <v>45</v>
      </c>
      <c r="V3939">
        <v>3.6</v>
      </c>
      <c r="W3939">
        <f>Table2[[#This Row],[Quantity]]*Table2[[#This Row],[Item_Price]]</f>
        <v>288</v>
      </c>
    </row>
    <row r="3940" spans="1:23" x14ac:dyDescent="0.25">
      <c r="A3940" t="s">
        <v>4043</v>
      </c>
      <c r="B3940" s="1">
        <v>45945</v>
      </c>
      <c r="C3940" t="s">
        <v>3846</v>
      </c>
      <c r="D3940">
        <v>10</v>
      </c>
      <c r="E3940">
        <v>15</v>
      </c>
      <c r="F3940" t="s">
        <v>24</v>
      </c>
      <c r="G3940" t="s">
        <v>25</v>
      </c>
      <c r="H3940" t="s">
        <v>68</v>
      </c>
      <c r="I3940" t="s">
        <v>57</v>
      </c>
      <c r="J3940" t="s">
        <v>70</v>
      </c>
      <c r="K3940" t="s">
        <v>38</v>
      </c>
      <c r="L3940">
        <v>1</v>
      </c>
      <c r="M3940">
        <v>221</v>
      </c>
      <c r="N3940">
        <v>22.1</v>
      </c>
      <c r="O3940">
        <v>0</v>
      </c>
      <c r="P3940">
        <v>221</v>
      </c>
      <c r="Q3940">
        <v>198.9</v>
      </c>
      <c r="R3940" t="s">
        <v>112</v>
      </c>
      <c r="S3940" t="s">
        <v>31</v>
      </c>
      <c r="T3940" t="s">
        <v>40</v>
      </c>
      <c r="U3940">
        <v>29</v>
      </c>
      <c r="V3940">
        <v>4.4000000000000004</v>
      </c>
      <c r="W3940">
        <f>Table2[[#This Row],[Quantity]]*Table2[[#This Row],[Item_Price]]</f>
        <v>221</v>
      </c>
    </row>
    <row r="3941" spans="1:23" x14ac:dyDescent="0.25">
      <c r="A3941" t="s">
        <v>4044</v>
      </c>
      <c r="B3941" s="1">
        <v>45945</v>
      </c>
      <c r="C3941" t="s">
        <v>3846</v>
      </c>
      <c r="D3941">
        <v>10</v>
      </c>
      <c r="E3941">
        <v>15</v>
      </c>
      <c r="F3941" t="s">
        <v>24</v>
      </c>
      <c r="G3941" t="s">
        <v>34</v>
      </c>
      <c r="H3941" t="s">
        <v>105</v>
      </c>
      <c r="I3941" t="s">
        <v>97</v>
      </c>
      <c r="J3941" t="s">
        <v>53</v>
      </c>
      <c r="K3941" t="s">
        <v>45</v>
      </c>
      <c r="L3941">
        <v>2</v>
      </c>
      <c r="M3941">
        <v>221</v>
      </c>
      <c r="N3941">
        <v>33.15</v>
      </c>
      <c r="O3941">
        <v>20</v>
      </c>
      <c r="P3941">
        <v>442</v>
      </c>
      <c r="Q3941">
        <v>428.85</v>
      </c>
      <c r="R3941" t="s">
        <v>39</v>
      </c>
      <c r="S3941" t="s">
        <v>31</v>
      </c>
      <c r="T3941" t="s">
        <v>32</v>
      </c>
      <c r="U3941">
        <v>29</v>
      </c>
      <c r="V3941">
        <v>4.0999999999999996</v>
      </c>
      <c r="W3941">
        <f>Table2[[#This Row],[Quantity]]*Table2[[#This Row],[Item_Price]]</f>
        <v>442</v>
      </c>
    </row>
    <row r="3942" spans="1:23" x14ac:dyDescent="0.25">
      <c r="A3942" t="s">
        <v>4045</v>
      </c>
      <c r="B3942" s="1">
        <v>45945</v>
      </c>
      <c r="C3942" t="s">
        <v>3846</v>
      </c>
      <c r="D3942">
        <v>10</v>
      </c>
      <c r="E3942">
        <v>15</v>
      </c>
      <c r="F3942" t="s">
        <v>24</v>
      </c>
      <c r="G3942" t="s">
        <v>34</v>
      </c>
      <c r="H3942" t="s">
        <v>48</v>
      </c>
      <c r="I3942" t="s">
        <v>49</v>
      </c>
      <c r="J3942" t="s">
        <v>123</v>
      </c>
      <c r="K3942" t="s">
        <v>38</v>
      </c>
      <c r="L3942">
        <v>1</v>
      </c>
      <c r="M3942">
        <v>443</v>
      </c>
      <c r="N3942">
        <v>88.6</v>
      </c>
      <c r="O3942">
        <v>60</v>
      </c>
      <c r="P3942">
        <v>443</v>
      </c>
      <c r="Q3942">
        <v>414.4</v>
      </c>
      <c r="R3942" t="s">
        <v>39</v>
      </c>
      <c r="S3942" t="s">
        <v>31</v>
      </c>
      <c r="T3942" t="s">
        <v>40</v>
      </c>
      <c r="U3942">
        <v>32</v>
      </c>
      <c r="V3942">
        <v>4.4000000000000004</v>
      </c>
      <c r="W3942">
        <f>Table2[[#This Row],[Quantity]]*Table2[[#This Row],[Item_Price]]</f>
        <v>443</v>
      </c>
    </row>
    <row r="3943" spans="1:23" x14ac:dyDescent="0.25">
      <c r="A3943" t="s">
        <v>4046</v>
      </c>
      <c r="B3943" s="1">
        <v>45945</v>
      </c>
      <c r="C3943" t="s">
        <v>3846</v>
      </c>
      <c r="D3943">
        <v>10</v>
      </c>
      <c r="E3943">
        <v>15</v>
      </c>
      <c r="F3943" t="s">
        <v>24</v>
      </c>
      <c r="G3943" t="s">
        <v>115</v>
      </c>
      <c r="H3943" t="s">
        <v>65</v>
      </c>
      <c r="I3943" t="s">
        <v>69</v>
      </c>
      <c r="J3943" t="s">
        <v>44</v>
      </c>
      <c r="K3943" t="s">
        <v>38</v>
      </c>
      <c r="L3943">
        <v>2</v>
      </c>
      <c r="M3943">
        <v>239</v>
      </c>
      <c r="N3943">
        <v>35.85</v>
      </c>
      <c r="O3943">
        <v>0</v>
      </c>
      <c r="P3943">
        <v>478</v>
      </c>
      <c r="Q3943">
        <v>442.15</v>
      </c>
      <c r="R3943" t="s">
        <v>98</v>
      </c>
      <c r="S3943" t="s">
        <v>31</v>
      </c>
      <c r="T3943" t="s">
        <v>40</v>
      </c>
      <c r="U3943">
        <v>61</v>
      </c>
      <c r="V3943">
        <v>3.9</v>
      </c>
      <c r="W3943">
        <f>Table2[[#This Row],[Quantity]]*Table2[[#This Row],[Item_Price]]</f>
        <v>478</v>
      </c>
    </row>
    <row r="3944" spans="1:23" x14ac:dyDescent="0.25">
      <c r="A3944" t="s">
        <v>4047</v>
      </c>
      <c r="B3944" s="1">
        <v>45946</v>
      </c>
      <c r="C3944" t="s">
        <v>3846</v>
      </c>
      <c r="D3944">
        <v>10</v>
      </c>
      <c r="E3944">
        <v>16</v>
      </c>
      <c r="F3944" t="s">
        <v>88</v>
      </c>
      <c r="G3944" t="s">
        <v>64</v>
      </c>
      <c r="H3944" t="s">
        <v>42</v>
      </c>
      <c r="I3944" t="s">
        <v>97</v>
      </c>
      <c r="J3944" t="s">
        <v>119</v>
      </c>
      <c r="K3944" t="s">
        <v>38</v>
      </c>
      <c r="L3944">
        <v>1</v>
      </c>
      <c r="M3944">
        <v>794</v>
      </c>
      <c r="N3944">
        <v>79.400000000000006</v>
      </c>
      <c r="O3944">
        <v>0</v>
      </c>
      <c r="P3944">
        <v>794</v>
      </c>
      <c r="Q3944">
        <v>714.6</v>
      </c>
      <c r="R3944" t="s">
        <v>112</v>
      </c>
      <c r="S3944" t="s">
        <v>31</v>
      </c>
      <c r="T3944" t="s">
        <v>32</v>
      </c>
      <c r="U3944">
        <v>37</v>
      </c>
      <c r="V3944">
        <v>4.7</v>
      </c>
      <c r="W3944">
        <f>Table2[[#This Row],[Quantity]]*Table2[[#This Row],[Item_Price]]</f>
        <v>794</v>
      </c>
    </row>
    <row r="3945" spans="1:23" x14ac:dyDescent="0.25">
      <c r="A3945" t="s">
        <v>4048</v>
      </c>
      <c r="B3945" s="1">
        <v>45946</v>
      </c>
      <c r="C3945" t="s">
        <v>3846</v>
      </c>
      <c r="D3945">
        <v>10</v>
      </c>
      <c r="E3945">
        <v>16</v>
      </c>
      <c r="F3945" t="s">
        <v>88</v>
      </c>
      <c r="G3945" t="s">
        <v>80</v>
      </c>
      <c r="H3945" t="s">
        <v>48</v>
      </c>
      <c r="I3945" t="s">
        <v>49</v>
      </c>
      <c r="J3945" t="s">
        <v>62</v>
      </c>
      <c r="K3945" t="s">
        <v>38</v>
      </c>
      <c r="L3945">
        <v>1</v>
      </c>
      <c r="M3945">
        <v>796</v>
      </c>
      <c r="N3945">
        <v>79.599999999999994</v>
      </c>
      <c r="O3945">
        <v>40</v>
      </c>
      <c r="P3945">
        <v>796</v>
      </c>
      <c r="Q3945">
        <v>756.4</v>
      </c>
      <c r="R3945" t="s">
        <v>39</v>
      </c>
      <c r="S3945" t="s">
        <v>46</v>
      </c>
      <c r="T3945" t="s">
        <v>40</v>
      </c>
      <c r="U3945">
        <v>25</v>
      </c>
      <c r="W3945">
        <f>Table2[[#This Row],[Quantity]]*Table2[[#This Row],[Item_Price]]</f>
        <v>796</v>
      </c>
    </row>
    <row r="3946" spans="1:23" x14ac:dyDescent="0.25">
      <c r="A3946" t="s">
        <v>4049</v>
      </c>
      <c r="B3946" s="1">
        <v>45946</v>
      </c>
      <c r="C3946" t="s">
        <v>3846</v>
      </c>
      <c r="D3946">
        <v>10</v>
      </c>
      <c r="E3946">
        <v>16</v>
      </c>
      <c r="F3946" t="s">
        <v>88</v>
      </c>
      <c r="G3946" t="s">
        <v>34</v>
      </c>
      <c r="H3946" t="s">
        <v>60</v>
      </c>
      <c r="I3946" t="s">
        <v>97</v>
      </c>
      <c r="J3946" t="s">
        <v>62</v>
      </c>
      <c r="K3946" t="s">
        <v>38</v>
      </c>
      <c r="L3946">
        <v>1</v>
      </c>
      <c r="M3946">
        <v>579</v>
      </c>
      <c r="N3946">
        <v>86.85</v>
      </c>
      <c r="O3946">
        <v>30</v>
      </c>
      <c r="P3946">
        <v>579</v>
      </c>
      <c r="Q3946">
        <v>522.15</v>
      </c>
      <c r="R3946" t="s">
        <v>112</v>
      </c>
      <c r="S3946" t="s">
        <v>31</v>
      </c>
      <c r="T3946" t="s">
        <v>40</v>
      </c>
      <c r="U3946">
        <v>37</v>
      </c>
      <c r="V3946">
        <v>3.3</v>
      </c>
      <c r="W3946">
        <f>Table2[[#This Row],[Quantity]]*Table2[[#This Row],[Item_Price]]</f>
        <v>579</v>
      </c>
    </row>
    <row r="3947" spans="1:23" x14ac:dyDescent="0.25">
      <c r="A3947" t="s">
        <v>4050</v>
      </c>
      <c r="B3947" s="1">
        <v>45946</v>
      </c>
      <c r="C3947" t="s">
        <v>3846</v>
      </c>
      <c r="D3947">
        <v>10</v>
      </c>
      <c r="E3947">
        <v>16</v>
      </c>
      <c r="F3947" t="s">
        <v>88</v>
      </c>
      <c r="G3947" t="s">
        <v>96</v>
      </c>
      <c r="H3947" t="s">
        <v>135</v>
      </c>
      <c r="I3947" t="s">
        <v>69</v>
      </c>
      <c r="J3947" t="s">
        <v>119</v>
      </c>
      <c r="K3947" t="s">
        <v>38</v>
      </c>
      <c r="L3947">
        <v>1</v>
      </c>
      <c r="M3947">
        <v>515</v>
      </c>
      <c r="N3947">
        <v>103</v>
      </c>
      <c r="O3947">
        <v>20</v>
      </c>
      <c r="P3947">
        <v>515</v>
      </c>
      <c r="Q3947">
        <v>432</v>
      </c>
      <c r="R3947" t="s">
        <v>39</v>
      </c>
      <c r="S3947" t="s">
        <v>31</v>
      </c>
      <c r="T3947" t="s">
        <v>40</v>
      </c>
      <c r="U3947">
        <v>60</v>
      </c>
      <c r="V3947">
        <v>4.5</v>
      </c>
      <c r="W3947">
        <f>Table2[[#This Row],[Quantity]]*Table2[[#This Row],[Item_Price]]</f>
        <v>515</v>
      </c>
    </row>
    <row r="3948" spans="1:23" x14ac:dyDescent="0.25">
      <c r="A3948" t="s">
        <v>4051</v>
      </c>
      <c r="B3948" s="1">
        <v>45946</v>
      </c>
      <c r="C3948" t="s">
        <v>3846</v>
      </c>
      <c r="D3948">
        <v>10</v>
      </c>
      <c r="E3948">
        <v>16</v>
      </c>
      <c r="F3948" t="s">
        <v>88</v>
      </c>
      <c r="G3948" t="s">
        <v>80</v>
      </c>
      <c r="H3948" t="s">
        <v>26</v>
      </c>
      <c r="I3948" t="s">
        <v>36</v>
      </c>
      <c r="J3948" t="s">
        <v>70</v>
      </c>
      <c r="K3948" t="s">
        <v>45</v>
      </c>
      <c r="L3948">
        <v>1</v>
      </c>
      <c r="M3948">
        <v>408</v>
      </c>
      <c r="N3948">
        <v>20.399999999999999</v>
      </c>
      <c r="O3948">
        <v>40</v>
      </c>
      <c r="P3948">
        <v>408</v>
      </c>
      <c r="Q3948">
        <v>427.6</v>
      </c>
      <c r="R3948" t="s">
        <v>98</v>
      </c>
      <c r="S3948" t="s">
        <v>31</v>
      </c>
      <c r="T3948" t="s">
        <v>32</v>
      </c>
      <c r="U3948">
        <v>61</v>
      </c>
      <c r="V3948">
        <v>3.8</v>
      </c>
      <c r="W3948">
        <f>Table2[[#This Row],[Quantity]]*Table2[[#This Row],[Item_Price]]</f>
        <v>408</v>
      </c>
    </row>
    <row r="3949" spans="1:23" x14ac:dyDescent="0.25">
      <c r="A3949" t="s">
        <v>4052</v>
      </c>
      <c r="B3949" s="1">
        <v>45946</v>
      </c>
      <c r="C3949" t="s">
        <v>3846</v>
      </c>
      <c r="D3949">
        <v>10</v>
      </c>
      <c r="E3949">
        <v>16</v>
      </c>
      <c r="F3949" t="s">
        <v>88</v>
      </c>
      <c r="G3949" t="s">
        <v>64</v>
      </c>
      <c r="H3949" t="s">
        <v>52</v>
      </c>
      <c r="I3949" t="s">
        <v>61</v>
      </c>
      <c r="J3949" t="s">
        <v>101</v>
      </c>
      <c r="K3949" t="s">
        <v>45</v>
      </c>
      <c r="L3949">
        <v>2</v>
      </c>
      <c r="M3949">
        <v>549</v>
      </c>
      <c r="N3949">
        <v>54.9</v>
      </c>
      <c r="O3949">
        <v>30</v>
      </c>
      <c r="P3949">
        <v>1098</v>
      </c>
      <c r="Q3949">
        <v>1073.0999999999999</v>
      </c>
      <c r="R3949" t="s">
        <v>39</v>
      </c>
      <c r="S3949" t="s">
        <v>31</v>
      </c>
      <c r="T3949" t="s">
        <v>32</v>
      </c>
      <c r="U3949">
        <v>42</v>
      </c>
      <c r="V3949">
        <v>4.3</v>
      </c>
      <c r="W3949">
        <f>Table2[[#This Row],[Quantity]]*Table2[[#This Row],[Item_Price]]</f>
        <v>1098</v>
      </c>
    </row>
    <row r="3950" spans="1:23" x14ac:dyDescent="0.25">
      <c r="A3950" t="s">
        <v>4053</v>
      </c>
      <c r="B3950" s="1">
        <v>45946</v>
      </c>
      <c r="C3950" t="s">
        <v>3846</v>
      </c>
      <c r="D3950">
        <v>10</v>
      </c>
      <c r="E3950">
        <v>16</v>
      </c>
      <c r="F3950" t="s">
        <v>88</v>
      </c>
      <c r="G3950" t="s">
        <v>25</v>
      </c>
      <c r="H3950" t="s">
        <v>135</v>
      </c>
      <c r="I3950" t="s">
        <v>27</v>
      </c>
      <c r="J3950" t="s">
        <v>82</v>
      </c>
      <c r="K3950" t="s">
        <v>45</v>
      </c>
      <c r="L3950">
        <v>1</v>
      </c>
      <c r="M3950">
        <v>352</v>
      </c>
      <c r="N3950">
        <v>52.8</v>
      </c>
      <c r="O3950">
        <v>30</v>
      </c>
      <c r="P3950">
        <v>352</v>
      </c>
      <c r="Q3950">
        <v>329.2</v>
      </c>
      <c r="R3950" t="s">
        <v>30</v>
      </c>
      <c r="S3950" t="s">
        <v>31</v>
      </c>
      <c r="T3950" t="s">
        <v>40</v>
      </c>
      <c r="U3950">
        <v>32</v>
      </c>
      <c r="V3950">
        <v>4.0999999999999996</v>
      </c>
      <c r="W3950">
        <f>Table2[[#This Row],[Quantity]]*Table2[[#This Row],[Item_Price]]</f>
        <v>352</v>
      </c>
    </row>
    <row r="3951" spans="1:23" x14ac:dyDescent="0.25">
      <c r="A3951" t="s">
        <v>4054</v>
      </c>
      <c r="B3951" s="1">
        <v>45946</v>
      </c>
      <c r="C3951" t="s">
        <v>3846</v>
      </c>
      <c r="D3951">
        <v>10</v>
      </c>
      <c r="E3951">
        <v>16</v>
      </c>
      <c r="F3951" t="s">
        <v>88</v>
      </c>
      <c r="G3951" t="s">
        <v>115</v>
      </c>
      <c r="H3951" t="s">
        <v>35</v>
      </c>
      <c r="I3951" t="s">
        <v>27</v>
      </c>
      <c r="J3951" t="s">
        <v>82</v>
      </c>
      <c r="K3951" t="s">
        <v>29</v>
      </c>
      <c r="L3951">
        <v>1</v>
      </c>
      <c r="M3951">
        <v>639</v>
      </c>
      <c r="N3951">
        <v>0</v>
      </c>
      <c r="O3951">
        <v>50</v>
      </c>
      <c r="P3951">
        <v>639</v>
      </c>
      <c r="Q3951">
        <v>689</v>
      </c>
      <c r="R3951" t="s">
        <v>39</v>
      </c>
      <c r="S3951" t="s">
        <v>31</v>
      </c>
      <c r="T3951" t="s">
        <v>40</v>
      </c>
      <c r="U3951">
        <v>21</v>
      </c>
      <c r="V3951">
        <v>3.9</v>
      </c>
      <c r="W3951">
        <f>Table2[[#This Row],[Quantity]]*Table2[[#This Row],[Item_Price]]</f>
        <v>639</v>
      </c>
    </row>
    <row r="3952" spans="1:23" x14ac:dyDescent="0.25">
      <c r="A3952" t="s">
        <v>4055</v>
      </c>
      <c r="B3952" s="1">
        <v>45946</v>
      </c>
      <c r="C3952" t="s">
        <v>3846</v>
      </c>
      <c r="D3952">
        <v>10</v>
      </c>
      <c r="E3952">
        <v>16</v>
      </c>
      <c r="F3952" t="s">
        <v>88</v>
      </c>
      <c r="G3952" t="s">
        <v>80</v>
      </c>
      <c r="H3952" t="s">
        <v>65</v>
      </c>
      <c r="I3952" t="s">
        <v>49</v>
      </c>
      <c r="J3952" t="s">
        <v>172</v>
      </c>
      <c r="K3952" t="s">
        <v>38</v>
      </c>
      <c r="L3952">
        <v>2</v>
      </c>
      <c r="M3952">
        <v>628</v>
      </c>
      <c r="N3952">
        <v>62.8</v>
      </c>
      <c r="O3952">
        <v>50</v>
      </c>
      <c r="P3952">
        <v>1256</v>
      </c>
      <c r="Q3952">
        <v>1243.2</v>
      </c>
      <c r="R3952" t="s">
        <v>30</v>
      </c>
      <c r="S3952" t="s">
        <v>31</v>
      </c>
      <c r="T3952" t="s">
        <v>40</v>
      </c>
      <c r="U3952">
        <v>33</v>
      </c>
      <c r="V3952">
        <v>4</v>
      </c>
      <c r="W3952">
        <f>Table2[[#This Row],[Quantity]]*Table2[[#This Row],[Item_Price]]</f>
        <v>1256</v>
      </c>
    </row>
    <row r="3953" spans="1:23" x14ac:dyDescent="0.25">
      <c r="A3953" t="s">
        <v>4056</v>
      </c>
      <c r="B3953" s="1">
        <v>45946</v>
      </c>
      <c r="C3953" t="s">
        <v>3846</v>
      </c>
      <c r="D3953">
        <v>10</v>
      </c>
      <c r="E3953">
        <v>16</v>
      </c>
      <c r="F3953" t="s">
        <v>88</v>
      </c>
      <c r="G3953" t="s">
        <v>90</v>
      </c>
      <c r="H3953" t="s">
        <v>68</v>
      </c>
      <c r="I3953" t="s">
        <v>49</v>
      </c>
      <c r="J3953" t="s">
        <v>172</v>
      </c>
      <c r="K3953" t="s">
        <v>38</v>
      </c>
      <c r="L3953">
        <v>1</v>
      </c>
      <c r="M3953">
        <v>721</v>
      </c>
      <c r="N3953">
        <v>180.25</v>
      </c>
      <c r="O3953">
        <v>20</v>
      </c>
      <c r="P3953">
        <v>721</v>
      </c>
      <c r="Q3953">
        <v>560.75</v>
      </c>
      <c r="R3953" t="s">
        <v>98</v>
      </c>
      <c r="S3953" t="s">
        <v>91</v>
      </c>
      <c r="T3953" t="s">
        <v>40</v>
      </c>
      <c r="U3953">
        <v>51</v>
      </c>
      <c r="W3953">
        <f>Table2[[#This Row],[Quantity]]*Table2[[#This Row],[Item_Price]]</f>
        <v>721</v>
      </c>
    </row>
    <row r="3954" spans="1:23" x14ac:dyDescent="0.25">
      <c r="A3954" t="s">
        <v>4057</v>
      </c>
      <c r="B3954" s="1">
        <v>45946</v>
      </c>
      <c r="C3954" t="s">
        <v>3846</v>
      </c>
      <c r="D3954">
        <v>10</v>
      </c>
      <c r="E3954">
        <v>16</v>
      </c>
      <c r="F3954" t="s">
        <v>88</v>
      </c>
      <c r="G3954" t="s">
        <v>55</v>
      </c>
      <c r="H3954" t="s">
        <v>81</v>
      </c>
      <c r="I3954" t="s">
        <v>27</v>
      </c>
      <c r="J3954" t="s">
        <v>37</v>
      </c>
      <c r="K3954" t="s">
        <v>58</v>
      </c>
      <c r="L3954">
        <v>1</v>
      </c>
      <c r="M3954">
        <v>464</v>
      </c>
      <c r="N3954">
        <v>0</v>
      </c>
      <c r="O3954">
        <v>30</v>
      </c>
      <c r="P3954">
        <v>464</v>
      </c>
      <c r="Q3954">
        <v>494</v>
      </c>
      <c r="R3954" t="s">
        <v>30</v>
      </c>
      <c r="S3954" t="s">
        <v>31</v>
      </c>
      <c r="T3954" t="s">
        <v>40</v>
      </c>
      <c r="U3954">
        <v>25</v>
      </c>
      <c r="V3954">
        <v>4.5</v>
      </c>
      <c r="W3954">
        <f>Table2[[#This Row],[Quantity]]*Table2[[#This Row],[Item_Price]]</f>
        <v>464</v>
      </c>
    </row>
    <row r="3955" spans="1:23" x14ac:dyDescent="0.25">
      <c r="A3955" t="s">
        <v>4058</v>
      </c>
      <c r="B3955" s="1">
        <v>45946</v>
      </c>
      <c r="C3955" t="s">
        <v>3846</v>
      </c>
      <c r="D3955">
        <v>10</v>
      </c>
      <c r="E3955">
        <v>16</v>
      </c>
      <c r="F3955" t="s">
        <v>88</v>
      </c>
      <c r="G3955" t="s">
        <v>34</v>
      </c>
      <c r="H3955" t="s">
        <v>48</v>
      </c>
      <c r="I3955" t="s">
        <v>43</v>
      </c>
      <c r="J3955" t="s">
        <v>44</v>
      </c>
      <c r="K3955" t="s">
        <v>38</v>
      </c>
      <c r="L3955">
        <v>2</v>
      </c>
      <c r="M3955">
        <v>439</v>
      </c>
      <c r="N3955">
        <v>65.849999999999994</v>
      </c>
      <c r="O3955">
        <v>40</v>
      </c>
      <c r="P3955">
        <v>878</v>
      </c>
      <c r="Q3955">
        <v>852.15</v>
      </c>
      <c r="R3955" t="s">
        <v>30</v>
      </c>
      <c r="S3955" t="s">
        <v>31</v>
      </c>
      <c r="T3955" t="s">
        <v>40</v>
      </c>
      <c r="U3955">
        <v>23</v>
      </c>
      <c r="V3955">
        <v>3.1</v>
      </c>
      <c r="W3955">
        <f>Table2[[#This Row],[Quantity]]*Table2[[#This Row],[Item_Price]]</f>
        <v>878</v>
      </c>
    </row>
    <row r="3956" spans="1:23" x14ac:dyDescent="0.25">
      <c r="A3956" t="s">
        <v>4059</v>
      </c>
      <c r="B3956" s="1">
        <v>45946</v>
      </c>
      <c r="C3956" t="s">
        <v>3846</v>
      </c>
      <c r="D3956">
        <v>10</v>
      </c>
      <c r="E3956">
        <v>16</v>
      </c>
      <c r="F3956" t="s">
        <v>88</v>
      </c>
      <c r="G3956" t="s">
        <v>73</v>
      </c>
      <c r="H3956" t="s">
        <v>77</v>
      </c>
      <c r="I3956" t="s">
        <v>43</v>
      </c>
      <c r="J3956" t="s">
        <v>78</v>
      </c>
      <c r="K3956" t="s">
        <v>38</v>
      </c>
      <c r="L3956">
        <v>3</v>
      </c>
      <c r="M3956">
        <v>900</v>
      </c>
      <c r="N3956">
        <v>90</v>
      </c>
      <c r="O3956">
        <v>40</v>
      </c>
      <c r="P3956">
        <v>2700</v>
      </c>
      <c r="Q3956">
        <v>2650</v>
      </c>
      <c r="R3956" t="s">
        <v>39</v>
      </c>
      <c r="S3956" t="s">
        <v>91</v>
      </c>
      <c r="T3956" t="s">
        <v>40</v>
      </c>
      <c r="U3956">
        <v>36</v>
      </c>
      <c r="W3956">
        <f>Table2[[#This Row],[Quantity]]*Table2[[#This Row],[Item_Price]]</f>
        <v>2700</v>
      </c>
    </row>
    <row r="3957" spans="1:23" x14ac:dyDescent="0.25">
      <c r="A3957" t="s">
        <v>4060</v>
      </c>
      <c r="B3957" s="1">
        <v>45946</v>
      </c>
      <c r="C3957" t="s">
        <v>3846</v>
      </c>
      <c r="D3957">
        <v>10</v>
      </c>
      <c r="E3957">
        <v>16</v>
      </c>
      <c r="F3957" t="s">
        <v>88</v>
      </c>
      <c r="G3957" t="s">
        <v>64</v>
      </c>
      <c r="H3957" t="s">
        <v>77</v>
      </c>
      <c r="I3957" t="s">
        <v>49</v>
      </c>
      <c r="J3957" t="s">
        <v>66</v>
      </c>
      <c r="K3957" t="s">
        <v>45</v>
      </c>
      <c r="L3957">
        <v>3</v>
      </c>
      <c r="M3957">
        <v>263</v>
      </c>
      <c r="N3957">
        <v>65.75</v>
      </c>
      <c r="O3957">
        <v>20</v>
      </c>
      <c r="P3957">
        <v>789</v>
      </c>
      <c r="Q3957">
        <v>743.25</v>
      </c>
      <c r="R3957" t="s">
        <v>39</v>
      </c>
      <c r="S3957" t="s">
        <v>31</v>
      </c>
      <c r="T3957" t="s">
        <v>32</v>
      </c>
      <c r="U3957">
        <v>27</v>
      </c>
      <c r="V3957">
        <v>3.6</v>
      </c>
      <c r="W3957">
        <f>Table2[[#This Row],[Quantity]]*Table2[[#This Row],[Item_Price]]</f>
        <v>789</v>
      </c>
    </row>
    <row r="3958" spans="1:23" x14ac:dyDescent="0.25">
      <c r="A3958" t="s">
        <v>4061</v>
      </c>
      <c r="B3958" s="1">
        <v>45946</v>
      </c>
      <c r="C3958" t="s">
        <v>3846</v>
      </c>
      <c r="D3958">
        <v>10</v>
      </c>
      <c r="E3958">
        <v>16</v>
      </c>
      <c r="F3958" t="s">
        <v>88</v>
      </c>
      <c r="G3958" t="s">
        <v>80</v>
      </c>
      <c r="H3958" t="s">
        <v>68</v>
      </c>
      <c r="I3958" t="s">
        <v>85</v>
      </c>
      <c r="J3958" t="s">
        <v>74</v>
      </c>
      <c r="K3958" t="s">
        <v>38</v>
      </c>
      <c r="L3958">
        <v>1</v>
      </c>
      <c r="M3958">
        <v>273</v>
      </c>
      <c r="N3958">
        <v>27.3</v>
      </c>
      <c r="O3958">
        <v>30</v>
      </c>
      <c r="P3958">
        <v>273</v>
      </c>
      <c r="Q3958">
        <v>275.7</v>
      </c>
      <c r="R3958" t="s">
        <v>39</v>
      </c>
      <c r="S3958" t="s">
        <v>31</v>
      </c>
      <c r="T3958" t="s">
        <v>40</v>
      </c>
      <c r="U3958">
        <v>66</v>
      </c>
      <c r="V3958">
        <v>4.2</v>
      </c>
      <c r="W3958">
        <f>Table2[[#This Row],[Quantity]]*Table2[[#This Row],[Item_Price]]</f>
        <v>273</v>
      </c>
    </row>
    <row r="3959" spans="1:23" x14ac:dyDescent="0.25">
      <c r="A3959" t="s">
        <v>4062</v>
      </c>
      <c r="B3959" s="1">
        <v>45946</v>
      </c>
      <c r="C3959" t="s">
        <v>3846</v>
      </c>
      <c r="D3959">
        <v>10</v>
      </c>
      <c r="E3959">
        <v>16</v>
      </c>
      <c r="F3959" t="s">
        <v>88</v>
      </c>
      <c r="G3959" t="s">
        <v>64</v>
      </c>
      <c r="H3959" t="s">
        <v>135</v>
      </c>
      <c r="I3959" t="s">
        <v>61</v>
      </c>
      <c r="J3959" t="s">
        <v>37</v>
      </c>
      <c r="K3959" t="s">
        <v>38</v>
      </c>
      <c r="L3959">
        <v>1</v>
      </c>
      <c r="M3959">
        <v>295</v>
      </c>
      <c r="N3959">
        <v>0</v>
      </c>
      <c r="O3959">
        <v>40</v>
      </c>
      <c r="P3959">
        <v>295</v>
      </c>
      <c r="Q3959">
        <v>335</v>
      </c>
      <c r="R3959" t="s">
        <v>112</v>
      </c>
      <c r="S3959" t="s">
        <v>31</v>
      </c>
      <c r="T3959" t="s">
        <v>32</v>
      </c>
      <c r="U3959">
        <v>44</v>
      </c>
      <c r="V3959">
        <v>3.5</v>
      </c>
      <c r="W3959">
        <f>Table2[[#This Row],[Quantity]]*Table2[[#This Row],[Item_Price]]</f>
        <v>295</v>
      </c>
    </row>
    <row r="3960" spans="1:23" x14ac:dyDescent="0.25">
      <c r="A3960" t="s">
        <v>4063</v>
      </c>
      <c r="B3960" s="1">
        <v>45946</v>
      </c>
      <c r="C3960" t="s">
        <v>3846</v>
      </c>
      <c r="D3960">
        <v>10</v>
      </c>
      <c r="E3960">
        <v>16</v>
      </c>
      <c r="F3960" t="s">
        <v>88</v>
      </c>
      <c r="G3960" t="s">
        <v>90</v>
      </c>
      <c r="H3960" t="s">
        <v>35</v>
      </c>
      <c r="I3960" t="s">
        <v>97</v>
      </c>
      <c r="J3960" t="s">
        <v>50</v>
      </c>
      <c r="K3960" t="s">
        <v>45</v>
      </c>
      <c r="L3960">
        <v>1</v>
      </c>
      <c r="M3960">
        <v>560</v>
      </c>
      <c r="N3960">
        <v>84</v>
      </c>
      <c r="O3960">
        <v>40</v>
      </c>
      <c r="P3960">
        <v>560</v>
      </c>
      <c r="Q3960">
        <v>516</v>
      </c>
      <c r="R3960" t="s">
        <v>75</v>
      </c>
      <c r="S3960" t="s">
        <v>31</v>
      </c>
      <c r="T3960" t="s">
        <v>40</v>
      </c>
      <c r="U3960">
        <v>49</v>
      </c>
      <c r="V3960">
        <v>4</v>
      </c>
      <c r="W3960">
        <f>Table2[[#This Row],[Quantity]]*Table2[[#This Row],[Item_Price]]</f>
        <v>560</v>
      </c>
    </row>
    <row r="3961" spans="1:23" x14ac:dyDescent="0.25">
      <c r="A3961" t="s">
        <v>4064</v>
      </c>
      <c r="B3961" s="1">
        <v>45946</v>
      </c>
      <c r="C3961" t="s">
        <v>3846</v>
      </c>
      <c r="D3961">
        <v>10</v>
      </c>
      <c r="E3961">
        <v>16</v>
      </c>
      <c r="F3961" t="s">
        <v>88</v>
      </c>
      <c r="G3961" t="s">
        <v>25</v>
      </c>
      <c r="H3961" t="s">
        <v>135</v>
      </c>
      <c r="I3961" t="s">
        <v>43</v>
      </c>
      <c r="J3961" t="s">
        <v>78</v>
      </c>
      <c r="K3961" t="s">
        <v>38</v>
      </c>
      <c r="L3961">
        <v>2</v>
      </c>
      <c r="M3961">
        <v>701</v>
      </c>
      <c r="N3961">
        <v>140.19999999999999</v>
      </c>
      <c r="O3961">
        <v>50</v>
      </c>
      <c r="P3961">
        <v>1402</v>
      </c>
      <c r="Q3961">
        <v>1311.8</v>
      </c>
      <c r="R3961" t="s">
        <v>30</v>
      </c>
      <c r="S3961" t="s">
        <v>31</v>
      </c>
      <c r="T3961" t="s">
        <v>32</v>
      </c>
      <c r="U3961">
        <v>56</v>
      </c>
      <c r="V3961">
        <v>4.0999999999999996</v>
      </c>
      <c r="W3961">
        <f>Table2[[#This Row],[Quantity]]*Table2[[#This Row],[Item_Price]]</f>
        <v>1402</v>
      </c>
    </row>
    <row r="3962" spans="1:23" x14ac:dyDescent="0.25">
      <c r="A3962" t="s">
        <v>4065</v>
      </c>
      <c r="B3962" s="1">
        <v>45946</v>
      </c>
      <c r="C3962" t="s">
        <v>3846</v>
      </c>
      <c r="D3962">
        <v>10</v>
      </c>
      <c r="E3962">
        <v>16</v>
      </c>
      <c r="F3962" t="s">
        <v>88</v>
      </c>
      <c r="G3962" t="s">
        <v>73</v>
      </c>
      <c r="H3962" t="s">
        <v>48</v>
      </c>
      <c r="I3962" t="s">
        <v>85</v>
      </c>
      <c r="J3962" t="s">
        <v>70</v>
      </c>
      <c r="K3962" t="s">
        <v>38</v>
      </c>
      <c r="L3962">
        <v>2</v>
      </c>
      <c r="M3962">
        <v>657</v>
      </c>
      <c r="N3962">
        <v>98.55</v>
      </c>
      <c r="O3962">
        <v>0</v>
      </c>
      <c r="P3962">
        <v>1314</v>
      </c>
      <c r="Q3962">
        <v>1215.45</v>
      </c>
      <c r="R3962" t="s">
        <v>39</v>
      </c>
      <c r="S3962" t="s">
        <v>31</v>
      </c>
      <c r="T3962" t="s">
        <v>40</v>
      </c>
      <c r="U3962">
        <v>29</v>
      </c>
      <c r="V3962">
        <v>2.8</v>
      </c>
      <c r="W3962">
        <f>Table2[[#This Row],[Quantity]]*Table2[[#This Row],[Item_Price]]</f>
        <v>1314</v>
      </c>
    </row>
    <row r="3963" spans="1:23" x14ac:dyDescent="0.25">
      <c r="A3963" t="s">
        <v>4066</v>
      </c>
      <c r="B3963" s="1">
        <v>45947</v>
      </c>
      <c r="C3963" t="s">
        <v>3846</v>
      </c>
      <c r="D3963">
        <v>10</v>
      </c>
      <c r="E3963">
        <v>17</v>
      </c>
      <c r="F3963" t="s">
        <v>114</v>
      </c>
      <c r="G3963" t="s">
        <v>64</v>
      </c>
      <c r="H3963" t="s">
        <v>60</v>
      </c>
      <c r="I3963" t="s">
        <v>43</v>
      </c>
      <c r="J3963" t="s">
        <v>70</v>
      </c>
      <c r="K3963" t="s">
        <v>38</v>
      </c>
      <c r="L3963">
        <v>1</v>
      </c>
      <c r="M3963">
        <v>514</v>
      </c>
      <c r="N3963">
        <v>102.8</v>
      </c>
      <c r="O3963">
        <v>50</v>
      </c>
      <c r="P3963">
        <v>514</v>
      </c>
      <c r="Q3963">
        <v>461.2</v>
      </c>
      <c r="R3963" t="s">
        <v>98</v>
      </c>
      <c r="S3963" t="s">
        <v>31</v>
      </c>
      <c r="T3963" t="s">
        <v>40</v>
      </c>
      <c r="U3963">
        <v>22</v>
      </c>
      <c r="V3963">
        <v>3.9</v>
      </c>
      <c r="W3963">
        <f>Table2[[#This Row],[Quantity]]*Table2[[#This Row],[Item_Price]]</f>
        <v>514</v>
      </c>
    </row>
    <row r="3964" spans="1:23" x14ac:dyDescent="0.25">
      <c r="A3964" t="s">
        <v>4067</v>
      </c>
      <c r="B3964" s="1">
        <v>45947</v>
      </c>
      <c r="C3964" t="s">
        <v>3846</v>
      </c>
      <c r="D3964">
        <v>10</v>
      </c>
      <c r="E3964">
        <v>17</v>
      </c>
      <c r="F3964" t="s">
        <v>114</v>
      </c>
      <c r="G3964" t="s">
        <v>34</v>
      </c>
      <c r="H3964" t="s">
        <v>108</v>
      </c>
      <c r="I3964" t="s">
        <v>57</v>
      </c>
      <c r="J3964" t="s">
        <v>172</v>
      </c>
      <c r="K3964" t="s">
        <v>38</v>
      </c>
      <c r="L3964">
        <v>2</v>
      </c>
      <c r="M3964">
        <v>847</v>
      </c>
      <c r="N3964">
        <v>211.75</v>
      </c>
      <c r="O3964">
        <v>20</v>
      </c>
      <c r="P3964">
        <v>1694</v>
      </c>
      <c r="Q3964">
        <v>1502.25</v>
      </c>
      <c r="R3964" t="s">
        <v>39</v>
      </c>
      <c r="S3964" t="s">
        <v>31</v>
      </c>
      <c r="T3964" t="s">
        <v>40</v>
      </c>
      <c r="U3964">
        <v>39</v>
      </c>
      <c r="V3964">
        <v>3.2</v>
      </c>
      <c r="W3964">
        <f>Table2[[#This Row],[Quantity]]*Table2[[#This Row],[Item_Price]]</f>
        <v>1694</v>
      </c>
    </row>
    <row r="3965" spans="1:23" x14ac:dyDescent="0.25">
      <c r="A3965" t="s">
        <v>4068</v>
      </c>
      <c r="B3965" s="1">
        <v>45947</v>
      </c>
      <c r="C3965" t="s">
        <v>3846</v>
      </c>
      <c r="D3965">
        <v>10</v>
      </c>
      <c r="E3965">
        <v>17</v>
      </c>
      <c r="F3965" t="s">
        <v>114</v>
      </c>
      <c r="G3965" t="s">
        <v>90</v>
      </c>
      <c r="H3965" t="s">
        <v>48</v>
      </c>
      <c r="I3965" t="s">
        <v>103</v>
      </c>
      <c r="J3965" t="s">
        <v>53</v>
      </c>
      <c r="K3965" t="s">
        <v>45</v>
      </c>
      <c r="L3965">
        <v>1</v>
      </c>
      <c r="M3965">
        <v>878</v>
      </c>
      <c r="N3965">
        <v>131.69999999999999</v>
      </c>
      <c r="O3965">
        <v>40</v>
      </c>
      <c r="P3965">
        <v>878</v>
      </c>
      <c r="Q3965">
        <v>786.3</v>
      </c>
      <c r="R3965" t="s">
        <v>75</v>
      </c>
      <c r="S3965" t="s">
        <v>110</v>
      </c>
      <c r="T3965" t="s">
        <v>32</v>
      </c>
      <c r="U3965">
        <v>29</v>
      </c>
      <c r="W3965">
        <f>Table2[[#This Row],[Quantity]]*Table2[[#This Row],[Item_Price]]</f>
        <v>878</v>
      </c>
    </row>
    <row r="3966" spans="1:23" x14ac:dyDescent="0.25">
      <c r="A3966" t="s">
        <v>4069</v>
      </c>
      <c r="B3966" s="1">
        <v>45947</v>
      </c>
      <c r="C3966" t="s">
        <v>3846</v>
      </c>
      <c r="D3966">
        <v>10</v>
      </c>
      <c r="E3966">
        <v>17</v>
      </c>
      <c r="F3966" t="s">
        <v>114</v>
      </c>
      <c r="G3966" t="s">
        <v>115</v>
      </c>
      <c r="H3966" t="s">
        <v>42</v>
      </c>
      <c r="I3966" t="s">
        <v>27</v>
      </c>
      <c r="J3966" t="s">
        <v>28</v>
      </c>
      <c r="K3966" t="s">
        <v>45</v>
      </c>
      <c r="L3966">
        <v>1</v>
      </c>
      <c r="M3966">
        <v>896</v>
      </c>
      <c r="N3966">
        <v>89.6</v>
      </c>
      <c r="O3966">
        <v>40</v>
      </c>
      <c r="P3966">
        <v>896</v>
      </c>
      <c r="Q3966">
        <v>846.4</v>
      </c>
      <c r="R3966" t="s">
        <v>39</v>
      </c>
      <c r="S3966" t="s">
        <v>31</v>
      </c>
      <c r="T3966" t="s">
        <v>40</v>
      </c>
      <c r="U3966">
        <v>39</v>
      </c>
      <c r="V3966">
        <v>5</v>
      </c>
      <c r="W3966">
        <f>Table2[[#This Row],[Quantity]]*Table2[[#This Row],[Item_Price]]</f>
        <v>896</v>
      </c>
    </row>
    <row r="3967" spans="1:23" x14ac:dyDescent="0.25">
      <c r="A3967" t="s">
        <v>4070</v>
      </c>
      <c r="B3967" s="1">
        <v>45947</v>
      </c>
      <c r="C3967" t="s">
        <v>3846</v>
      </c>
      <c r="D3967">
        <v>10</v>
      </c>
      <c r="E3967">
        <v>17</v>
      </c>
      <c r="F3967" t="s">
        <v>114</v>
      </c>
      <c r="G3967" t="s">
        <v>55</v>
      </c>
      <c r="H3967" t="s">
        <v>68</v>
      </c>
      <c r="I3967" t="s">
        <v>49</v>
      </c>
      <c r="J3967" t="s">
        <v>62</v>
      </c>
      <c r="K3967" t="s">
        <v>38</v>
      </c>
      <c r="L3967">
        <v>1</v>
      </c>
      <c r="M3967">
        <v>482</v>
      </c>
      <c r="N3967">
        <v>72.3</v>
      </c>
      <c r="O3967">
        <v>40</v>
      </c>
      <c r="P3967">
        <v>482</v>
      </c>
      <c r="Q3967">
        <v>449.7</v>
      </c>
      <c r="R3967" t="s">
        <v>39</v>
      </c>
      <c r="S3967" t="s">
        <v>31</v>
      </c>
      <c r="T3967" t="s">
        <v>32</v>
      </c>
      <c r="U3967">
        <v>45</v>
      </c>
      <c r="V3967">
        <v>4</v>
      </c>
      <c r="W3967">
        <f>Table2[[#This Row],[Quantity]]*Table2[[#This Row],[Item_Price]]</f>
        <v>482</v>
      </c>
    </row>
    <row r="3968" spans="1:23" x14ac:dyDescent="0.25">
      <c r="A3968" t="s">
        <v>4071</v>
      </c>
      <c r="B3968" s="1">
        <v>45947</v>
      </c>
      <c r="C3968" t="s">
        <v>3846</v>
      </c>
      <c r="D3968">
        <v>10</v>
      </c>
      <c r="E3968">
        <v>17</v>
      </c>
      <c r="F3968" t="s">
        <v>114</v>
      </c>
      <c r="G3968" t="s">
        <v>96</v>
      </c>
      <c r="H3968" t="s">
        <v>26</v>
      </c>
      <c r="I3968" t="s">
        <v>85</v>
      </c>
      <c r="J3968" t="s">
        <v>50</v>
      </c>
      <c r="K3968" t="s">
        <v>38</v>
      </c>
      <c r="L3968">
        <v>3</v>
      </c>
      <c r="M3968">
        <v>155</v>
      </c>
      <c r="N3968">
        <v>31</v>
      </c>
      <c r="O3968">
        <v>30</v>
      </c>
      <c r="P3968">
        <v>465</v>
      </c>
      <c r="Q3968">
        <v>464</v>
      </c>
      <c r="R3968" t="s">
        <v>98</v>
      </c>
      <c r="S3968" t="s">
        <v>31</v>
      </c>
      <c r="T3968" t="s">
        <v>40</v>
      </c>
      <c r="U3968">
        <v>48</v>
      </c>
      <c r="V3968">
        <v>5</v>
      </c>
      <c r="W3968">
        <f>Table2[[#This Row],[Quantity]]*Table2[[#This Row],[Item_Price]]</f>
        <v>465</v>
      </c>
    </row>
    <row r="3969" spans="1:23" x14ac:dyDescent="0.25">
      <c r="A3969" t="s">
        <v>4072</v>
      </c>
      <c r="B3969" s="1">
        <v>45947</v>
      </c>
      <c r="C3969" t="s">
        <v>3846</v>
      </c>
      <c r="D3969">
        <v>10</v>
      </c>
      <c r="E3969">
        <v>17</v>
      </c>
      <c r="F3969" t="s">
        <v>114</v>
      </c>
      <c r="G3969" t="s">
        <v>55</v>
      </c>
      <c r="H3969" t="s">
        <v>105</v>
      </c>
      <c r="I3969" t="s">
        <v>36</v>
      </c>
      <c r="J3969" t="s">
        <v>123</v>
      </c>
      <c r="K3969" t="s">
        <v>38</v>
      </c>
      <c r="L3969">
        <v>1</v>
      </c>
      <c r="M3969">
        <v>519</v>
      </c>
      <c r="N3969">
        <v>77.849999999999994</v>
      </c>
      <c r="O3969">
        <v>0</v>
      </c>
      <c r="P3969">
        <v>519</v>
      </c>
      <c r="Q3969">
        <v>441.15</v>
      </c>
      <c r="R3969" t="s">
        <v>30</v>
      </c>
      <c r="S3969" t="s">
        <v>31</v>
      </c>
      <c r="T3969" t="s">
        <v>32</v>
      </c>
      <c r="U3969">
        <v>64</v>
      </c>
      <c r="V3969">
        <v>3.1</v>
      </c>
      <c r="W3969">
        <f>Table2[[#This Row],[Quantity]]*Table2[[#This Row],[Item_Price]]</f>
        <v>519</v>
      </c>
    </row>
    <row r="3970" spans="1:23" x14ac:dyDescent="0.25">
      <c r="A3970" t="s">
        <v>4073</v>
      </c>
      <c r="B3970" s="1">
        <v>45947</v>
      </c>
      <c r="C3970" t="s">
        <v>3846</v>
      </c>
      <c r="D3970">
        <v>10</v>
      </c>
      <c r="E3970">
        <v>17</v>
      </c>
      <c r="F3970" t="s">
        <v>114</v>
      </c>
      <c r="G3970" t="s">
        <v>90</v>
      </c>
      <c r="H3970" t="s">
        <v>52</v>
      </c>
      <c r="I3970" t="s">
        <v>61</v>
      </c>
      <c r="J3970" t="s">
        <v>44</v>
      </c>
      <c r="K3970" t="s">
        <v>38</v>
      </c>
      <c r="L3970">
        <v>3</v>
      </c>
      <c r="M3970">
        <v>613</v>
      </c>
      <c r="N3970">
        <v>153.25</v>
      </c>
      <c r="O3970">
        <v>40</v>
      </c>
      <c r="P3970">
        <v>1839</v>
      </c>
      <c r="Q3970">
        <v>1725.75</v>
      </c>
      <c r="R3970" t="s">
        <v>39</v>
      </c>
      <c r="S3970" t="s">
        <v>31</v>
      </c>
      <c r="T3970" t="s">
        <v>40</v>
      </c>
      <c r="U3970">
        <v>39</v>
      </c>
      <c r="V3970">
        <v>4.8</v>
      </c>
      <c r="W3970">
        <f>Table2[[#This Row],[Quantity]]*Table2[[#This Row],[Item_Price]]</f>
        <v>1839</v>
      </c>
    </row>
    <row r="3971" spans="1:23" x14ac:dyDescent="0.25">
      <c r="A3971" t="s">
        <v>4074</v>
      </c>
      <c r="B3971" s="1">
        <v>45947</v>
      </c>
      <c r="C3971" t="s">
        <v>3846</v>
      </c>
      <c r="D3971">
        <v>10</v>
      </c>
      <c r="E3971">
        <v>17</v>
      </c>
      <c r="F3971" t="s">
        <v>114</v>
      </c>
      <c r="G3971" t="s">
        <v>80</v>
      </c>
      <c r="H3971" t="s">
        <v>52</v>
      </c>
      <c r="I3971" t="s">
        <v>43</v>
      </c>
      <c r="J3971" t="s">
        <v>44</v>
      </c>
      <c r="K3971" t="s">
        <v>58</v>
      </c>
      <c r="L3971">
        <v>2</v>
      </c>
      <c r="M3971">
        <v>553</v>
      </c>
      <c r="N3971">
        <v>55.3</v>
      </c>
      <c r="O3971">
        <v>20</v>
      </c>
      <c r="P3971">
        <v>1106</v>
      </c>
      <c r="Q3971">
        <v>1070.7</v>
      </c>
      <c r="R3971" t="s">
        <v>39</v>
      </c>
      <c r="S3971" t="s">
        <v>31</v>
      </c>
      <c r="T3971" t="s">
        <v>40</v>
      </c>
      <c r="U3971">
        <v>39</v>
      </c>
      <c r="V3971">
        <v>4</v>
      </c>
      <c r="W3971">
        <f>Table2[[#This Row],[Quantity]]*Table2[[#This Row],[Item_Price]]</f>
        <v>1106</v>
      </c>
    </row>
    <row r="3972" spans="1:23" x14ac:dyDescent="0.25">
      <c r="A3972" t="s">
        <v>4075</v>
      </c>
      <c r="B3972" s="1">
        <v>45947</v>
      </c>
      <c r="C3972" t="s">
        <v>3846</v>
      </c>
      <c r="D3972">
        <v>10</v>
      </c>
      <c r="E3972">
        <v>17</v>
      </c>
      <c r="F3972" t="s">
        <v>114</v>
      </c>
      <c r="G3972" t="s">
        <v>73</v>
      </c>
      <c r="H3972" t="s">
        <v>48</v>
      </c>
      <c r="I3972" t="s">
        <v>36</v>
      </c>
      <c r="J3972" t="s">
        <v>28</v>
      </c>
      <c r="K3972" t="s">
        <v>58</v>
      </c>
      <c r="L3972">
        <v>1</v>
      </c>
      <c r="M3972">
        <v>139</v>
      </c>
      <c r="N3972">
        <v>13.9</v>
      </c>
      <c r="O3972">
        <v>50</v>
      </c>
      <c r="P3972">
        <v>139</v>
      </c>
      <c r="Q3972">
        <v>175.1</v>
      </c>
      <c r="R3972" t="s">
        <v>75</v>
      </c>
      <c r="S3972" t="s">
        <v>31</v>
      </c>
      <c r="T3972" t="s">
        <v>40</v>
      </c>
      <c r="U3972">
        <v>70</v>
      </c>
      <c r="V3972">
        <v>4.5999999999999996</v>
      </c>
      <c r="W3972">
        <f>Table2[[#This Row],[Quantity]]*Table2[[#This Row],[Item_Price]]</f>
        <v>139</v>
      </c>
    </row>
    <row r="3973" spans="1:23" x14ac:dyDescent="0.25">
      <c r="A3973" t="s">
        <v>4076</v>
      </c>
      <c r="B3973" s="1">
        <v>45947</v>
      </c>
      <c r="C3973" t="s">
        <v>3846</v>
      </c>
      <c r="D3973">
        <v>10</v>
      </c>
      <c r="E3973">
        <v>17</v>
      </c>
      <c r="F3973" t="s">
        <v>114</v>
      </c>
      <c r="G3973" t="s">
        <v>55</v>
      </c>
      <c r="H3973" t="s">
        <v>68</v>
      </c>
      <c r="I3973" t="s">
        <v>85</v>
      </c>
      <c r="J3973" t="s">
        <v>53</v>
      </c>
      <c r="K3973" t="s">
        <v>38</v>
      </c>
      <c r="L3973">
        <v>2</v>
      </c>
      <c r="M3973">
        <v>597</v>
      </c>
      <c r="N3973">
        <v>59.7</v>
      </c>
      <c r="O3973">
        <v>30</v>
      </c>
      <c r="P3973">
        <v>1194</v>
      </c>
      <c r="Q3973">
        <v>1164.3</v>
      </c>
      <c r="R3973" t="s">
        <v>75</v>
      </c>
      <c r="S3973" t="s">
        <v>31</v>
      </c>
      <c r="T3973" t="s">
        <v>32</v>
      </c>
      <c r="U3973">
        <v>52</v>
      </c>
      <c r="V3973">
        <v>2.7</v>
      </c>
      <c r="W3973">
        <f>Table2[[#This Row],[Quantity]]*Table2[[#This Row],[Item_Price]]</f>
        <v>1194</v>
      </c>
    </row>
    <row r="3974" spans="1:23" x14ac:dyDescent="0.25">
      <c r="A3974" t="s">
        <v>4077</v>
      </c>
      <c r="B3974" s="1">
        <v>45947</v>
      </c>
      <c r="C3974" t="s">
        <v>3846</v>
      </c>
      <c r="D3974">
        <v>10</v>
      </c>
      <c r="E3974">
        <v>17</v>
      </c>
      <c r="F3974" t="s">
        <v>114</v>
      </c>
      <c r="G3974" t="s">
        <v>84</v>
      </c>
      <c r="H3974" t="s">
        <v>135</v>
      </c>
      <c r="I3974" t="s">
        <v>27</v>
      </c>
      <c r="J3974" t="s">
        <v>44</v>
      </c>
      <c r="K3974" t="s">
        <v>38</v>
      </c>
      <c r="L3974">
        <v>1</v>
      </c>
      <c r="M3974">
        <v>499</v>
      </c>
      <c r="N3974">
        <v>24.95</v>
      </c>
      <c r="O3974">
        <v>40</v>
      </c>
      <c r="P3974">
        <v>499</v>
      </c>
      <c r="Q3974">
        <v>514.04999999999995</v>
      </c>
      <c r="R3974" t="s">
        <v>75</v>
      </c>
      <c r="S3974" t="s">
        <v>46</v>
      </c>
      <c r="T3974" t="s">
        <v>32</v>
      </c>
      <c r="U3974">
        <v>64</v>
      </c>
      <c r="W3974">
        <f>Table2[[#This Row],[Quantity]]*Table2[[#This Row],[Item_Price]]</f>
        <v>499</v>
      </c>
    </row>
    <row r="3975" spans="1:23" x14ac:dyDescent="0.25">
      <c r="A3975" t="s">
        <v>4078</v>
      </c>
      <c r="B3975" s="1">
        <v>45947</v>
      </c>
      <c r="C3975" t="s">
        <v>3846</v>
      </c>
      <c r="D3975">
        <v>10</v>
      </c>
      <c r="E3975">
        <v>17</v>
      </c>
      <c r="F3975" t="s">
        <v>114</v>
      </c>
      <c r="G3975" t="s">
        <v>80</v>
      </c>
      <c r="H3975" t="s">
        <v>108</v>
      </c>
      <c r="I3975" t="s">
        <v>69</v>
      </c>
      <c r="J3975" t="s">
        <v>70</v>
      </c>
      <c r="K3975" t="s">
        <v>38</v>
      </c>
      <c r="L3975">
        <v>1</v>
      </c>
      <c r="M3975">
        <v>245</v>
      </c>
      <c r="N3975">
        <v>36.75</v>
      </c>
      <c r="O3975">
        <v>20</v>
      </c>
      <c r="P3975">
        <v>245</v>
      </c>
      <c r="Q3975">
        <v>228.25</v>
      </c>
      <c r="R3975" t="s">
        <v>75</v>
      </c>
      <c r="S3975" t="s">
        <v>31</v>
      </c>
      <c r="T3975" t="s">
        <v>32</v>
      </c>
      <c r="U3975">
        <v>34</v>
      </c>
      <c r="V3975">
        <v>4.4000000000000004</v>
      </c>
      <c r="W3975">
        <f>Table2[[#This Row],[Quantity]]*Table2[[#This Row],[Item_Price]]</f>
        <v>245</v>
      </c>
    </row>
    <row r="3976" spans="1:23" x14ac:dyDescent="0.25">
      <c r="A3976" t="s">
        <v>4079</v>
      </c>
      <c r="B3976" s="1">
        <v>45947</v>
      </c>
      <c r="C3976" t="s">
        <v>3846</v>
      </c>
      <c r="D3976">
        <v>10</v>
      </c>
      <c r="E3976">
        <v>17</v>
      </c>
      <c r="F3976" t="s">
        <v>114</v>
      </c>
      <c r="G3976" t="s">
        <v>80</v>
      </c>
      <c r="H3976" t="s">
        <v>68</v>
      </c>
      <c r="I3976" t="s">
        <v>36</v>
      </c>
      <c r="J3976" t="s">
        <v>94</v>
      </c>
      <c r="K3976" t="s">
        <v>38</v>
      </c>
      <c r="L3976">
        <v>2</v>
      </c>
      <c r="M3976">
        <v>279</v>
      </c>
      <c r="N3976">
        <v>55.8</v>
      </c>
      <c r="O3976">
        <v>60</v>
      </c>
      <c r="P3976">
        <v>558</v>
      </c>
      <c r="Q3976">
        <v>562.20000000000005</v>
      </c>
      <c r="R3976" t="s">
        <v>39</v>
      </c>
      <c r="S3976" t="s">
        <v>31</v>
      </c>
      <c r="T3976" t="s">
        <v>40</v>
      </c>
      <c r="U3976">
        <v>23</v>
      </c>
      <c r="V3976">
        <v>4.3</v>
      </c>
      <c r="W3976">
        <f>Table2[[#This Row],[Quantity]]*Table2[[#This Row],[Item_Price]]</f>
        <v>558</v>
      </c>
    </row>
    <row r="3977" spans="1:23" x14ac:dyDescent="0.25">
      <c r="A3977" t="s">
        <v>4080</v>
      </c>
      <c r="B3977" s="1">
        <v>45948</v>
      </c>
      <c r="C3977" t="s">
        <v>3846</v>
      </c>
      <c r="D3977">
        <v>10</v>
      </c>
      <c r="E3977">
        <v>18</v>
      </c>
      <c r="F3977" t="s">
        <v>134</v>
      </c>
      <c r="G3977" t="s">
        <v>80</v>
      </c>
      <c r="H3977" t="s">
        <v>108</v>
      </c>
      <c r="I3977" t="s">
        <v>36</v>
      </c>
      <c r="J3977" t="s">
        <v>78</v>
      </c>
      <c r="K3977" t="s">
        <v>38</v>
      </c>
      <c r="L3977">
        <v>2</v>
      </c>
      <c r="M3977">
        <v>644</v>
      </c>
      <c r="N3977">
        <v>0</v>
      </c>
      <c r="O3977">
        <v>30</v>
      </c>
      <c r="P3977">
        <v>1288</v>
      </c>
      <c r="Q3977">
        <v>1318</v>
      </c>
      <c r="R3977" t="s">
        <v>39</v>
      </c>
      <c r="S3977" t="s">
        <v>31</v>
      </c>
      <c r="T3977" t="s">
        <v>32</v>
      </c>
      <c r="U3977">
        <v>57</v>
      </c>
      <c r="V3977">
        <v>3.5</v>
      </c>
      <c r="W3977">
        <f>Table2[[#This Row],[Quantity]]*Table2[[#This Row],[Item_Price]]</f>
        <v>1288</v>
      </c>
    </row>
    <row r="3978" spans="1:23" x14ac:dyDescent="0.25">
      <c r="A3978" t="s">
        <v>4081</v>
      </c>
      <c r="B3978" s="1">
        <v>45948</v>
      </c>
      <c r="C3978" t="s">
        <v>3846</v>
      </c>
      <c r="D3978">
        <v>10</v>
      </c>
      <c r="E3978">
        <v>18</v>
      </c>
      <c r="F3978" t="s">
        <v>134</v>
      </c>
      <c r="G3978" t="s">
        <v>25</v>
      </c>
      <c r="H3978" t="s">
        <v>35</v>
      </c>
      <c r="I3978" t="s">
        <v>43</v>
      </c>
      <c r="J3978" t="s">
        <v>66</v>
      </c>
      <c r="K3978" t="s">
        <v>38</v>
      </c>
      <c r="L3978">
        <v>1</v>
      </c>
      <c r="M3978">
        <v>382</v>
      </c>
      <c r="N3978">
        <v>57.3</v>
      </c>
      <c r="O3978">
        <v>0</v>
      </c>
      <c r="P3978">
        <v>382</v>
      </c>
      <c r="Q3978">
        <v>324.7</v>
      </c>
      <c r="R3978" t="s">
        <v>75</v>
      </c>
      <c r="S3978" t="s">
        <v>31</v>
      </c>
      <c r="T3978" t="s">
        <v>40</v>
      </c>
      <c r="U3978">
        <v>34</v>
      </c>
      <c r="V3978">
        <v>5</v>
      </c>
      <c r="W3978">
        <f>Table2[[#This Row],[Quantity]]*Table2[[#This Row],[Item_Price]]</f>
        <v>382</v>
      </c>
    </row>
    <row r="3979" spans="1:23" x14ac:dyDescent="0.25">
      <c r="A3979" t="s">
        <v>4082</v>
      </c>
      <c r="B3979" s="1">
        <v>45948</v>
      </c>
      <c r="C3979" t="s">
        <v>3846</v>
      </c>
      <c r="D3979">
        <v>10</v>
      </c>
      <c r="E3979">
        <v>18</v>
      </c>
      <c r="F3979" t="s">
        <v>134</v>
      </c>
      <c r="G3979" t="s">
        <v>64</v>
      </c>
      <c r="H3979" t="s">
        <v>65</v>
      </c>
      <c r="I3979" t="s">
        <v>85</v>
      </c>
      <c r="J3979" t="s">
        <v>74</v>
      </c>
      <c r="K3979" t="s">
        <v>38</v>
      </c>
      <c r="L3979">
        <v>1</v>
      </c>
      <c r="M3979">
        <v>292</v>
      </c>
      <c r="N3979">
        <v>43.8</v>
      </c>
      <c r="O3979">
        <v>40</v>
      </c>
      <c r="P3979">
        <v>292</v>
      </c>
      <c r="Q3979">
        <v>288.2</v>
      </c>
      <c r="R3979" t="s">
        <v>112</v>
      </c>
      <c r="S3979" t="s">
        <v>31</v>
      </c>
      <c r="T3979" t="s">
        <v>32</v>
      </c>
      <c r="U3979">
        <v>47</v>
      </c>
      <c r="V3979">
        <v>4.8</v>
      </c>
      <c r="W3979">
        <f>Table2[[#This Row],[Quantity]]*Table2[[#This Row],[Item_Price]]</f>
        <v>292</v>
      </c>
    </row>
    <row r="3980" spans="1:23" x14ac:dyDescent="0.25">
      <c r="A3980" t="s">
        <v>4083</v>
      </c>
      <c r="B3980" s="1">
        <v>45948</v>
      </c>
      <c r="C3980" t="s">
        <v>3846</v>
      </c>
      <c r="D3980">
        <v>10</v>
      </c>
      <c r="E3980">
        <v>18</v>
      </c>
      <c r="F3980" t="s">
        <v>134</v>
      </c>
      <c r="G3980" t="s">
        <v>80</v>
      </c>
      <c r="H3980" t="s">
        <v>81</v>
      </c>
      <c r="I3980" t="s">
        <v>97</v>
      </c>
      <c r="J3980" t="s">
        <v>94</v>
      </c>
      <c r="K3980" t="s">
        <v>45</v>
      </c>
      <c r="L3980">
        <v>1</v>
      </c>
      <c r="M3980">
        <v>303</v>
      </c>
      <c r="N3980">
        <v>30.3</v>
      </c>
      <c r="O3980">
        <v>40</v>
      </c>
      <c r="P3980">
        <v>303</v>
      </c>
      <c r="Q3980">
        <v>312.7</v>
      </c>
      <c r="R3980" t="s">
        <v>30</v>
      </c>
      <c r="S3980" t="s">
        <v>31</v>
      </c>
      <c r="T3980" t="s">
        <v>32</v>
      </c>
      <c r="U3980">
        <v>22</v>
      </c>
      <c r="V3980">
        <v>4.7</v>
      </c>
      <c r="W3980">
        <f>Table2[[#This Row],[Quantity]]*Table2[[#This Row],[Item_Price]]</f>
        <v>303</v>
      </c>
    </row>
    <row r="3981" spans="1:23" x14ac:dyDescent="0.25">
      <c r="A3981" t="s">
        <v>4084</v>
      </c>
      <c r="B3981" s="1">
        <v>45948</v>
      </c>
      <c r="C3981" t="s">
        <v>3846</v>
      </c>
      <c r="D3981">
        <v>10</v>
      </c>
      <c r="E3981">
        <v>18</v>
      </c>
      <c r="F3981" t="s">
        <v>134</v>
      </c>
      <c r="G3981" t="s">
        <v>34</v>
      </c>
      <c r="H3981" t="s">
        <v>81</v>
      </c>
      <c r="I3981" t="s">
        <v>97</v>
      </c>
      <c r="J3981" t="s">
        <v>119</v>
      </c>
      <c r="K3981" t="s">
        <v>58</v>
      </c>
      <c r="L3981">
        <v>2</v>
      </c>
      <c r="M3981">
        <v>353</v>
      </c>
      <c r="N3981">
        <v>88.25</v>
      </c>
      <c r="O3981">
        <v>30</v>
      </c>
      <c r="P3981">
        <v>706</v>
      </c>
      <c r="Q3981">
        <v>647.75</v>
      </c>
      <c r="R3981" t="s">
        <v>39</v>
      </c>
      <c r="S3981" t="s">
        <v>31</v>
      </c>
      <c r="T3981" t="s">
        <v>40</v>
      </c>
      <c r="U3981">
        <v>26</v>
      </c>
      <c r="V3981">
        <v>3.3</v>
      </c>
      <c r="W3981">
        <f>Table2[[#This Row],[Quantity]]*Table2[[#This Row],[Item_Price]]</f>
        <v>706</v>
      </c>
    </row>
    <row r="3982" spans="1:23" x14ac:dyDescent="0.25">
      <c r="A3982" t="s">
        <v>4085</v>
      </c>
      <c r="B3982" s="1">
        <v>45948</v>
      </c>
      <c r="C3982" t="s">
        <v>3846</v>
      </c>
      <c r="D3982">
        <v>10</v>
      </c>
      <c r="E3982">
        <v>18</v>
      </c>
      <c r="F3982" t="s">
        <v>134</v>
      </c>
      <c r="G3982" t="s">
        <v>80</v>
      </c>
      <c r="H3982" t="s">
        <v>48</v>
      </c>
      <c r="I3982" t="s">
        <v>103</v>
      </c>
      <c r="J3982" t="s">
        <v>78</v>
      </c>
      <c r="K3982" t="s">
        <v>58</v>
      </c>
      <c r="L3982">
        <v>3</v>
      </c>
      <c r="M3982">
        <v>522</v>
      </c>
      <c r="N3982">
        <v>0</v>
      </c>
      <c r="O3982">
        <v>40</v>
      </c>
      <c r="P3982">
        <v>1566</v>
      </c>
      <c r="Q3982">
        <v>1606</v>
      </c>
      <c r="R3982" t="s">
        <v>39</v>
      </c>
      <c r="S3982" t="s">
        <v>31</v>
      </c>
      <c r="T3982" t="s">
        <v>32</v>
      </c>
      <c r="U3982">
        <v>62</v>
      </c>
      <c r="V3982">
        <v>3.6</v>
      </c>
      <c r="W3982">
        <f>Table2[[#This Row],[Quantity]]*Table2[[#This Row],[Item_Price]]</f>
        <v>1566</v>
      </c>
    </row>
    <row r="3983" spans="1:23" x14ac:dyDescent="0.25">
      <c r="A3983" t="s">
        <v>4086</v>
      </c>
      <c r="B3983" s="1">
        <v>45948</v>
      </c>
      <c r="C3983" t="s">
        <v>3846</v>
      </c>
      <c r="D3983">
        <v>10</v>
      </c>
      <c r="E3983">
        <v>18</v>
      </c>
      <c r="F3983" t="s">
        <v>134</v>
      </c>
      <c r="G3983" t="s">
        <v>80</v>
      </c>
      <c r="H3983" t="s">
        <v>35</v>
      </c>
      <c r="I3983" t="s">
        <v>57</v>
      </c>
      <c r="J3983" t="s">
        <v>50</v>
      </c>
      <c r="K3983" t="s">
        <v>38</v>
      </c>
      <c r="L3983">
        <v>2</v>
      </c>
      <c r="M3983">
        <v>351</v>
      </c>
      <c r="N3983">
        <v>52.65</v>
      </c>
      <c r="O3983">
        <v>70</v>
      </c>
      <c r="P3983">
        <v>702</v>
      </c>
      <c r="Q3983">
        <v>719.35</v>
      </c>
      <c r="R3983" t="s">
        <v>39</v>
      </c>
      <c r="S3983" t="s">
        <v>91</v>
      </c>
      <c r="T3983" t="s">
        <v>32</v>
      </c>
      <c r="U3983">
        <v>60</v>
      </c>
      <c r="W3983">
        <f>Table2[[#This Row],[Quantity]]*Table2[[#This Row],[Item_Price]]</f>
        <v>702</v>
      </c>
    </row>
    <row r="3984" spans="1:23" x14ac:dyDescent="0.25">
      <c r="A3984" t="s">
        <v>4087</v>
      </c>
      <c r="B3984" s="1">
        <v>45948</v>
      </c>
      <c r="C3984" t="s">
        <v>3846</v>
      </c>
      <c r="D3984">
        <v>10</v>
      </c>
      <c r="E3984">
        <v>18</v>
      </c>
      <c r="F3984" t="s">
        <v>134</v>
      </c>
      <c r="G3984" t="s">
        <v>34</v>
      </c>
      <c r="H3984" t="s">
        <v>77</v>
      </c>
      <c r="I3984" t="s">
        <v>69</v>
      </c>
      <c r="J3984" t="s">
        <v>44</v>
      </c>
      <c r="K3984" t="s">
        <v>38</v>
      </c>
      <c r="L3984">
        <v>2</v>
      </c>
      <c r="M3984">
        <v>786</v>
      </c>
      <c r="N3984">
        <v>0</v>
      </c>
      <c r="O3984">
        <v>40</v>
      </c>
      <c r="P3984">
        <v>1572</v>
      </c>
      <c r="Q3984">
        <v>1612</v>
      </c>
      <c r="R3984" t="s">
        <v>30</v>
      </c>
      <c r="S3984" t="s">
        <v>91</v>
      </c>
      <c r="T3984" t="s">
        <v>40</v>
      </c>
      <c r="U3984">
        <v>54</v>
      </c>
      <c r="W3984">
        <f>Table2[[#This Row],[Quantity]]*Table2[[#This Row],[Item_Price]]</f>
        <v>1572</v>
      </c>
    </row>
    <row r="3985" spans="1:23" x14ac:dyDescent="0.25">
      <c r="A3985" t="s">
        <v>4088</v>
      </c>
      <c r="B3985" s="1">
        <v>45948</v>
      </c>
      <c r="C3985" t="s">
        <v>3846</v>
      </c>
      <c r="D3985">
        <v>10</v>
      </c>
      <c r="E3985">
        <v>18</v>
      </c>
      <c r="F3985" t="s">
        <v>134</v>
      </c>
      <c r="G3985" t="s">
        <v>64</v>
      </c>
      <c r="H3985" t="s">
        <v>56</v>
      </c>
      <c r="I3985" t="s">
        <v>69</v>
      </c>
      <c r="J3985" t="s">
        <v>101</v>
      </c>
      <c r="K3985" t="s">
        <v>45</v>
      </c>
      <c r="L3985">
        <v>1</v>
      </c>
      <c r="M3985">
        <v>512</v>
      </c>
      <c r="N3985">
        <v>76.8</v>
      </c>
      <c r="O3985">
        <v>30</v>
      </c>
      <c r="P3985">
        <v>512</v>
      </c>
      <c r="Q3985">
        <v>465.2</v>
      </c>
      <c r="R3985" t="s">
        <v>39</v>
      </c>
      <c r="S3985" t="s">
        <v>31</v>
      </c>
      <c r="T3985" t="s">
        <v>32</v>
      </c>
      <c r="U3985">
        <v>58</v>
      </c>
      <c r="V3985">
        <v>3.4</v>
      </c>
      <c r="W3985">
        <f>Table2[[#This Row],[Quantity]]*Table2[[#This Row],[Item_Price]]</f>
        <v>512</v>
      </c>
    </row>
    <row r="3986" spans="1:23" x14ac:dyDescent="0.25">
      <c r="A3986" t="s">
        <v>4089</v>
      </c>
      <c r="B3986" s="1">
        <v>45948</v>
      </c>
      <c r="C3986" t="s">
        <v>3846</v>
      </c>
      <c r="D3986">
        <v>10</v>
      </c>
      <c r="E3986">
        <v>18</v>
      </c>
      <c r="F3986" t="s">
        <v>134</v>
      </c>
      <c r="G3986" t="s">
        <v>96</v>
      </c>
      <c r="H3986" t="s">
        <v>35</v>
      </c>
      <c r="I3986" t="s">
        <v>61</v>
      </c>
      <c r="J3986" t="s">
        <v>28</v>
      </c>
      <c r="K3986" t="s">
        <v>38</v>
      </c>
      <c r="L3986">
        <v>2</v>
      </c>
      <c r="M3986">
        <v>601</v>
      </c>
      <c r="N3986">
        <v>150.25</v>
      </c>
      <c r="O3986">
        <v>0</v>
      </c>
      <c r="P3986">
        <v>1202</v>
      </c>
      <c r="Q3986">
        <v>1051.75</v>
      </c>
      <c r="R3986" t="s">
        <v>75</v>
      </c>
      <c r="S3986" t="s">
        <v>31</v>
      </c>
      <c r="T3986" t="s">
        <v>40</v>
      </c>
      <c r="U3986">
        <v>54</v>
      </c>
      <c r="V3986">
        <v>3.7</v>
      </c>
      <c r="W3986">
        <f>Table2[[#This Row],[Quantity]]*Table2[[#This Row],[Item_Price]]</f>
        <v>1202</v>
      </c>
    </row>
    <row r="3987" spans="1:23" x14ac:dyDescent="0.25">
      <c r="A3987" t="s">
        <v>4090</v>
      </c>
      <c r="B3987" s="1">
        <v>45948</v>
      </c>
      <c r="C3987" t="s">
        <v>3846</v>
      </c>
      <c r="D3987">
        <v>10</v>
      </c>
      <c r="E3987">
        <v>18</v>
      </c>
      <c r="F3987" t="s">
        <v>134</v>
      </c>
      <c r="G3987" t="s">
        <v>55</v>
      </c>
      <c r="H3987" t="s">
        <v>68</v>
      </c>
      <c r="I3987" t="s">
        <v>49</v>
      </c>
      <c r="J3987" t="s">
        <v>28</v>
      </c>
      <c r="K3987" t="s">
        <v>45</v>
      </c>
      <c r="L3987">
        <v>2</v>
      </c>
      <c r="M3987">
        <v>680</v>
      </c>
      <c r="N3987">
        <v>0</v>
      </c>
      <c r="O3987">
        <v>40</v>
      </c>
      <c r="P3987">
        <v>1360</v>
      </c>
      <c r="Q3987">
        <v>1400</v>
      </c>
      <c r="R3987" t="s">
        <v>39</v>
      </c>
      <c r="S3987" t="s">
        <v>31</v>
      </c>
      <c r="T3987" t="s">
        <v>40</v>
      </c>
      <c r="U3987">
        <v>40</v>
      </c>
      <c r="V3987">
        <v>3.6</v>
      </c>
      <c r="W3987">
        <f>Table2[[#This Row],[Quantity]]*Table2[[#This Row],[Item_Price]]</f>
        <v>1360</v>
      </c>
    </row>
    <row r="3988" spans="1:23" x14ac:dyDescent="0.25">
      <c r="A3988" t="s">
        <v>4091</v>
      </c>
      <c r="B3988" s="1">
        <v>45948</v>
      </c>
      <c r="C3988" t="s">
        <v>3846</v>
      </c>
      <c r="D3988">
        <v>10</v>
      </c>
      <c r="E3988">
        <v>18</v>
      </c>
      <c r="F3988" t="s">
        <v>134</v>
      </c>
      <c r="G3988" t="s">
        <v>80</v>
      </c>
      <c r="H3988" t="s">
        <v>139</v>
      </c>
      <c r="I3988" t="s">
        <v>69</v>
      </c>
      <c r="J3988" t="s">
        <v>66</v>
      </c>
      <c r="K3988" t="s">
        <v>38</v>
      </c>
      <c r="L3988">
        <v>1</v>
      </c>
      <c r="M3988">
        <v>651</v>
      </c>
      <c r="N3988">
        <v>32.549999999999997</v>
      </c>
      <c r="O3988">
        <v>0</v>
      </c>
      <c r="P3988">
        <v>651</v>
      </c>
      <c r="Q3988">
        <v>618.45000000000005</v>
      </c>
      <c r="R3988" t="s">
        <v>112</v>
      </c>
      <c r="S3988" t="s">
        <v>31</v>
      </c>
      <c r="T3988" t="s">
        <v>40</v>
      </c>
      <c r="U3988">
        <v>27</v>
      </c>
      <c r="V3988">
        <v>3.7</v>
      </c>
      <c r="W3988">
        <f>Table2[[#This Row],[Quantity]]*Table2[[#This Row],[Item_Price]]</f>
        <v>651</v>
      </c>
    </row>
    <row r="3989" spans="1:23" x14ac:dyDescent="0.25">
      <c r="A3989" t="s">
        <v>4092</v>
      </c>
      <c r="B3989" s="1">
        <v>45948</v>
      </c>
      <c r="C3989" t="s">
        <v>3846</v>
      </c>
      <c r="D3989">
        <v>10</v>
      </c>
      <c r="E3989">
        <v>18</v>
      </c>
      <c r="F3989" t="s">
        <v>134</v>
      </c>
      <c r="G3989" t="s">
        <v>55</v>
      </c>
      <c r="H3989" t="s">
        <v>135</v>
      </c>
      <c r="I3989" t="s">
        <v>61</v>
      </c>
      <c r="J3989" t="s">
        <v>50</v>
      </c>
      <c r="K3989" t="s">
        <v>38</v>
      </c>
      <c r="L3989">
        <v>2</v>
      </c>
      <c r="M3989">
        <v>512</v>
      </c>
      <c r="N3989">
        <v>0</v>
      </c>
      <c r="O3989">
        <v>70</v>
      </c>
      <c r="P3989">
        <v>1024</v>
      </c>
      <c r="Q3989">
        <v>1094</v>
      </c>
      <c r="R3989" t="s">
        <v>112</v>
      </c>
      <c r="S3989" t="s">
        <v>31</v>
      </c>
      <c r="T3989" t="s">
        <v>32</v>
      </c>
      <c r="U3989">
        <v>35</v>
      </c>
      <c r="V3989">
        <v>4.9000000000000004</v>
      </c>
      <c r="W3989">
        <f>Table2[[#This Row],[Quantity]]*Table2[[#This Row],[Item_Price]]</f>
        <v>1024</v>
      </c>
    </row>
    <row r="3990" spans="1:23" x14ac:dyDescent="0.25">
      <c r="A3990" t="s">
        <v>4093</v>
      </c>
      <c r="B3990" s="1">
        <v>45948</v>
      </c>
      <c r="C3990" t="s">
        <v>3846</v>
      </c>
      <c r="D3990">
        <v>10</v>
      </c>
      <c r="E3990">
        <v>18</v>
      </c>
      <c r="F3990" t="s">
        <v>134</v>
      </c>
      <c r="G3990" t="s">
        <v>73</v>
      </c>
      <c r="H3990" t="s">
        <v>139</v>
      </c>
      <c r="I3990" t="s">
        <v>36</v>
      </c>
      <c r="J3990" t="s">
        <v>78</v>
      </c>
      <c r="K3990" t="s">
        <v>38</v>
      </c>
      <c r="L3990">
        <v>1</v>
      </c>
      <c r="M3990">
        <v>521</v>
      </c>
      <c r="N3990">
        <v>0</v>
      </c>
      <c r="O3990">
        <v>60</v>
      </c>
      <c r="P3990">
        <v>521</v>
      </c>
      <c r="Q3990">
        <v>581</v>
      </c>
      <c r="R3990" t="s">
        <v>39</v>
      </c>
      <c r="S3990" t="s">
        <v>31</v>
      </c>
      <c r="T3990" t="s">
        <v>32</v>
      </c>
      <c r="U3990">
        <v>32</v>
      </c>
      <c r="V3990">
        <v>3.3</v>
      </c>
      <c r="W3990">
        <f>Table2[[#This Row],[Quantity]]*Table2[[#This Row],[Item_Price]]</f>
        <v>521</v>
      </c>
    </row>
    <row r="3991" spans="1:23" x14ac:dyDescent="0.25">
      <c r="A3991" t="s">
        <v>4094</v>
      </c>
      <c r="B3991" s="1">
        <v>45949</v>
      </c>
      <c r="C3991" t="s">
        <v>3846</v>
      </c>
      <c r="D3991">
        <v>10</v>
      </c>
      <c r="E3991">
        <v>19</v>
      </c>
      <c r="F3991" t="s">
        <v>149</v>
      </c>
      <c r="G3991" t="s">
        <v>84</v>
      </c>
      <c r="H3991" t="s">
        <v>105</v>
      </c>
      <c r="I3991" t="s">
        <v>97</v>
      </c>
      <c r="J3991" t="s">
        <v>37</v>
      </c>
      <c r="K3991" t="s">
        <v>58</v>
      </c>
      <c r="L3991">
        <v>2</v>
      </c>
      <c r="M3991">
        <v>340</v>
      </c>
      <c r="N3991">
        <v>0</v>
      </c>
      <c r="O3991">
        <v>40</v>
      </c>
      <c r="P3991">
        <v>680</v>
      </c>
      <c r="Q3991">
        <v>720</v>
      </c>
      <c r="R3991" t="s">
        <v>39</v>
      </c>
      <c r="S3991" t="s">
        <v>31</v>
      </c>
      <c r="T3991" t="s">
        <v>40</v>
      </c>
      <c r="U3991">
        <v>61</v>
      </c>
      <c r="V3991">
        <v>4.0999999999999996</v>
      </c>
      <c r="W3991">
        <f>Table2[[#This Row],[Quantity]]*Table2[[#This Row],[Item_Price]]</f>
        <v>680</v>
      </c>
    </row>
    <row r="3992" spans="1:23" x14ac:dyDescent="0.25">
      <c r="A3992" t="s">
        <v>4095</v>
      </c>
      <c r="B3992" s="1">
        <v>45949</v>
      </c>
      <c r="C3992" t="s">
        <v>3846</v>
      </c>
      <c r="D3992">
        <v>10</v>
      </c>
      <c r="E3992">
        <v>19</v>
      </c>
      <c r="F3992" t="s">
        <v>149</v>
      </c>
      <c r="G3992" t="s">
        <v>64</v>
      </c>
      <c r="H3992" t="s">
        <v>42</v>
      </c>
      <c r="I3992" t="s">
        <v>97</v>
      </c>
      <c r="J3992" t="s">
        <v>101</v>
      </c>
      <c r="K3992" t="s">
        <v>58</v>
      </c>
      <c r="L3992">
        <v>1</v>
      </c>
      <c r="M3992">
        <v>191</v>
      </c>
      <c r="N3992">
        <v>19.100000000000001</v>
      </c>
      <c r="O3992">
        <v>20</v>
      </c>
      <c r="P3992">
        <v>191</v>
      </c>
      <c r="Q3992">
        <v>191.9</v>
      </c>
      <c r="R3992" t="s">
        <v>30</v>
      </c>
      <c r="S3992" t="s">
        <v>31</v>
      </c>
      <c r="T3992" t="s">
        <v>40</v>
      </c>
      <c r="U3992">
        <v>67</v>
      </c>
      <c r="V3992">
        <v>4.0999999999999996</v>
      </c>
      <c r="W3992">
        <f>Table2[[#This Row],[Quantity]]*Table2[[#This Row],[Item_Price]]</f>
        <v>191</v>
      </c>
    </row>
    <row r="3993" spans="1:23" x14ac:dyDescent="0.25">
      <c r="A3993" t="s">
        <v>4096</v>
      </c>
      <c r="B3993" s="1">
        <v>45949</v>
      </c>
      <c r="C3993" t="s">
        <v>3846</v>
      </c>
      <c r="D3993">
        <v>10</v>
      </c>
      <c r="E3993">
        <v>19</v>
      </c>
      <c r="F3993" t="s">
        <v>149</v>
      </c>
      <c r="G3993" t="s">
        <v>73</v>
      </c>
      <c r="H3993" t="s">
        <v>77</v>
      </c>
      <c r="I3993" t="s">
        <v>27</v>
      </c>
      <c r="J3993" t="s">
        <v>50</v>
      </c>
      <c r="K3993" t="s">
        <v>38</v>
      </c>
      <c r="L3993">
        <v>3</v>
      </c>
      <c r="M3993">
        <v>669</v>
      </c>
      <c r="N3993">
        <v>100.35</v>
      </c>
      <c r="O3993">
        <v>0</v>
      </c>
      <c r="P3993">
        <v>2007</v>
      </c>
      <c r="Q3993">
        <v>1906.65</v>
      </c>
      <c r="R3993" t="s">
        <v>30</v>
      </c>
      <c r="S3993" t="s">
        <v>31</v>
      </c>
      <c r="T3993" t="s">
        <v>40</v>
      </c>
      <c r="U3993">
        <v>24</v>
      </c>
      <c r="V3993">
        <v>3.4</v>
      </c>
      <c r="W3993">
        <f>Table2[[#This Row],[Quantity]]*Table2[[#This Row],[Item_Price]]</f>
        <v>2007</v>
      </c>
    </row>
    <row r="3994" spans="1:23" x14ac:dyDescent="0.25">
      <c r="A3994" t="s">
        <v>4097</v>
      </c>
      <c r="B3994" s="1">
        <v>45949</v>
      </c>
      <c r="C3994" t="s">
        <v>3846</v>
      </c>
      <c r="D3994">
        <v>10</v>
      </c>
      <c r="E3994">
        <v>19</v>
      </c>
      <c r="F3994" t="s">
        <v>149</v>
      </c>
      <c r="G3994" t="s">
        <v>64</v>
      </c>
      <c r="H3994" t="s">
        <v>108</v>
      </c>
      <c r="I3994" t="s">
        <v>27</v>
      </c>
      <c r="J3994" t="s">
        <v>123</v>
      </c>
      <c r="K3994" t="s">
        <v>38</v>
      </c>
      <c r="L3994">
        <v>2</v>
      </c>
      <c r="M3994">
        <v>852</v>
      </c>
      <c r="N3994">
        <v>85.2</v>
      </c>
      <c r="O3994">
        <v>0</v>
      </c>
      <c r="P3994">
        <v>1704</v>
      </c>
      <c r="Q3994">
        <v>1618.8</v>
      </c>
      <c r="R3994" t="s">
        <v>112</v>
      </c>
      <c r="S3994" t="s">
        <v>110</v>
      </c>
      <c r="T3994" t="s">
        <v>40</v>
      </c>
      <c r="U3994">
        <v>70</v>
      </c>
      <c r="W3994">
        <f>Table2[[#This Row],[Quantity]]*Table2[[#This Row],[Item_Price]]</f>
        <v>1704</v>
      </c>
    </row>
    <row r="3995" spans="1:23" x14ac:dyDescent="0.25">
      <c r="A3995" t="s">
        <v>4098</v>
      </c>
      <c r="B3995" s="1">
        <v>45949</v>
      </c>
      <c r="C3995" t="s">
        <v>3846</v>
      </c>
      <c r="D3995">
        <v>10</v>
      </c>
      <c r="E3995">
        <v>19</v>
      </c>
      <c r="F3995" t="s">
        <v>149</v>
      </c>
      <c r="G3995" t="s">
        <v>84</v>
      </c>
      <c r="H3995" t="s">
        <v>26</v>
      </c>
      <c r="I3995" t="s">
        <v>57</v>
      </c>
      <c r="J3995" t="s">
        <v>70</v>
      </c>
      <c r="K3995" t="s">
        <v>29</v>
      </c>
      <c r="L3995">
        <v>1</v>
      </c>
      <c r="M3995">
        <v>871</v>
      </c>
      <c r="N3995">
        <v>174.2</v>
      </c>
      <c r="O3995">
        <v>50</v>
      </c>
      <c r="P3995">
        <v>871</v>
      </c>
      <c r="Q3995">
        <v>746.8</v>
      </c>
      <c r="R3995" t="s">
        <v>30</v>
      </c>
      <c r="S3995" t="s">
        <v>31</v>
      </c>
      <c r="T3995" t="s">
        <v>40</v>
      </c>
      <c r="U3995">
        <v>61</v>
      </c>
      <c r="V3995">
        <v>5</v>
      </c>
      <c r="W3995">
        <f>Table2[[#This Row],[Quantity]]*Table2[[#This Row],[Item_Price]]</f>
        <v>871</v>
      </c>
    </row>
    <row r="3996" spans="1:23" x14ac:dyDescent="0.25">
      <c r="A3996" t="s">
        <v>4099</v>
      </c>
      <c r="B3996" s="1">
        <v>45949</v>
      </c>
      <c r="C3996" t="s">
        <v>3846</v>
      </c>
      <c r="D3996">
        <v>10</v>
      </c>
      <c r="E3996">
        <v>19</v>
      </c>
      <c r="F3996" t="s">
        <v>149</v>
      </c>
      <c r="G3996" t="s">
        <v>64</v>
      </c>
      <c r="H3996" t="s">
        <v>105</v>
      </c>
      <c r="I3996" t="s">
        <v>36</v>
      </c>
      <c r="J3996" t="s">
        <v>50</v>
      </c>
      <c r="K3996" t="s">
        <v>38</v>
      </c>
      <c r="L3996">
        <v>1</v>
      </c>
      <c r="M3996">
        <v>640</v>
      </c>
      <c r="N3996">
        <v>96</v>
      </c>
      <c r="O3996">
        <v>30</v>
      </c>
      <c r="P3996">
        <v>640</v>
      </c>
      <c r="Q3996">
        <v>574</v>
      </c>
      <c r="R3996" t="s">
        <v>98</v>
      </c>
      <c r="S3996" t="s">
        <v>31</v>
      </c>
      <c r="T3996" t="s">
        <v>32</v>
      </c>
      <c r="U3996">
        <v>21</v>
      </c>
      <c r="V3996">
        <v>4.8</v>
      </c>
      <c r="W3996">
        <f>Table2[[#This Row],[Quantity]]*Table2[[#This Row],[Item_Price]]</f>
        <v>640</v>
      </c>
    </row>
    <row r="3997" spans="1:23" x14ac:dyDescent="0.25">
      <c r="A3997" t="s">
        <v>4100</v>
      </c>
      <c r="B3997" s="1">
        <v>45949</v>
      </c>
      <c r="C3997" t="s">
        <v>3846</v>
      </c>
      <c r="D3997">
        <v>10</v>
      </c>
      <c r="E3997">
        <v>19</v>
      </c>
      <c r="F3997" t="s">
        <v>149</v>
      </c>
      <c r="G3997" t="s">
        <v>90</v>
      </c>
      <c r="H3997" t="s">
        <v>105</v>
      </c>
      <c r="I3997" t="s">
        <v>43</v>
      </c>
      <c r="J3997" t="s">
        <v>28</v>
      </c>
      <c r="K3997" t="s">
        <v>38</v>
      </c>
      <c r="L3997">
        <v>1</v>
      </c>
      <c r="M3997">
        <v>810</v>
      </c>
      <c r="N3997">
        <v>81</v>
      </c>
      <c r="O3997">
        <v>40</v>
      </c>
      <c r="P3997">
        <v>810</v>
      </c>
      <c r="Q3997">
        <v>769</v>
      </c>
      <c r="R3997" t="s">
        <v>39</v>
      </c>
      <c r="S3997" t="s">
        <v>31</v>
      </c>
      <c r="T3997" t="s">
        <v>40</v>
      </c>
      <c r="U3997">
        <v>59</v>
      </c>
      <c r="V3997">
        <v>4</v>
      </c>
      <c r="W3997">
        <f>Table2[[#This Row],[Quantity]]*Table2[[#This Row],[Item_Price]]</f>
        <v>810</v>
      </c>
    </row>
    <row r="3998" spans="1:23" x14ac:dyDescent="0.25">
      <c r="A3998" t="s">
        <v>4101</v>
      </c>
      <c r="B3998" s="1">
        <v>45949</v>
      </c>
      <c r="C3998" t="s">
        <v>3846</v>
      </c>
      <c r="D3998">
        <v>10</v>
      </c>
      <c r="E3998">
        <v>19</v>
      </c>
      <c r="F3998" t="s">
        <v>149</v>
      </c>
      <c r="G3998" t="s">
        <v>90</v>
      </c>
      <c r="H3998" t="s">
        <v>68</v>
      </c>
      <c r="I3998" t="s">
        <v>36</v>
      </c>
      <c r="J3998" t="s">
        <v>172</v>
      </c>
      <c r="K3998" t="s">
        <v>38</v>
      </c>
      <c r="L3998">
        <v>2</v>
      </c>
      <c r="M3998">
        <v>856</v>
      </c>
      <c r="N3998">
        <v>42.8</v>
      </c>
      <c r="O3998">
        <v>0</v>
      </c>
      <c r="P3998">
        <v>1712</v>
      </c>
      <c r="Q3998">
        <v>1669.2</v>
      </c>
      <c r="R3998" t="s">
        <v>30</v>
      </c>
      <c r="S3998" t="s">
        <v>31</v>
      </c>
      <c r="T3998" t="s">
        <v>32</v>
      </c>
      <c r="U3998">
        <v>40</v>
      </c>
      <c r="V3998">
        <v>3.9</v>
      </c>
      <c r="W3998">
        <f>Table2[[#This Row],[Quantity]]*Table2[[#This Row],[Item_Price]]</f>
        <v>1712</v>
      </c>
    </row>
    <row r="3999" spans="1:23" x14ac:dyDescent="0.25">
      <c r="A3999" t="s">
        <v>4102</v>
      </c>
      <c r="B3999" s="1">
        <v>45949</v>
      </c>
      <c r="C3999" t="s">
        <v>3846</v>
      </c>
      <c r="D3999">
        <v>10</v>
      </c>
      <c r="E3999">
        <v>19</v>
      </c>
      <c r="F3999" t="s">
        <v>149</v>
      </c>
      <c r="G3999" t="s">
        <v>55</v>
      </c>
      <c r="H3999" t="s">
        <v>105</v>
      </c>
      <c r="I3999" t="s">
        <v>43</v>
      </c>
      <c r="J3999" t="s">
        <v>123</v>
      </c>
      <c r="K3999" t="s">
        <v>45</v>
      </c>
      <c r="L3999">
        <v>1</v>
      </c>
      <c r="M3999">
        <v>528</v>
      </c>
      <c r="N3999">
        <v>79.2</v>
      </c>
      <c r="O3999">
        <v>0</v>
      </c>
      <c r="P3999">
        <v>528</v>
      </c>
      <c r="Q3999">
        <v>448.8</v>
      </c>
      <c r="R3999" t="s">
        <v>98</v>
      </c>
      <c r="S3999" t="s">
        <v>31</v>
      </c>
      <c r="T3999" t="s">
        <v>32</v>
      </c>
      <c r="U3999">
        <v>52</v>
      </c>
      <c r="V3999">
        <v>4.9000000000000004</v>
      </c>
      <c r="W3999">
        <f>Table2[[#This Row],[Quantity]]*Table2[[#This Row],[Item_Price]]</f>
        <v>528</v>
      </c>
    </row>
    <row r="4000" spans="1:23" x14ac:dyDescent="0.25">
      <c r="A4000" t="s">
        <v>4103</v>
      </c>
      <c r="B4000" s="1">
        <v>45949</v>
      </c>
      <c r="C4000" t="s">
        <v>3846</v>
      </c>
      <c r="D4000">
        <v>10</v>
      </c>
      <c r="E4000">
        <v>19</v>
      </c>
      <c r="F4000" t="s">
        <v>149</v>
      </c>
      <c r="G4000" t="s">
        <v>90</v>
      </c>
      <c r="H4000" t="s">
        <v>81</v>
      </c>
      <c r="I4000" t="s">
        <v>49</v>
      </c>
      <c r="J4000" t="s">
        <v>37</v>
      </c>
      <c r="K4000" t="s">
        <v>38</v>
      </c>
      <c r="L4000">
        <v>1</v>
      </c>
      <c r="M4000">
        <v>716</v>
      </c>
      <c r="N4000">
        <v>71.599999999999994</v>
      </c>
      <c r="O4000">
        <v>0</v>
      </c>
      <c r="P4000">
        <v>716</v>
      </c>
      <c r="Q4000">
        <v>644.4</v>
      </c>
      <c r="R4000" t="s">
        <v>39</v>
      </c>
      <c r="S4000" t="s">
        <v>31</v>
      </c>
      <c r="T4000" t="s">
        <v>40</v>
      </c>
      <c r="U4000">
        <v>29</v>
      </c>
      <c r="V4000">
        <v>3.3</v>
      </c>
      <c r="W4000">
        <f>Table2[[#This Row],[Quantity]]*Table2[[#This Row],[Item_Price]]</f>
        <v>716</v>
      </c>
    </row>
    <row r="4001" spans="1:23" x14ac:dyDescent="0.25">
      <c r="A4001" t="s">
        <v>4104</v>
      </c>
      <c r="B4001" s="1">
        <v>45949</v>
      </c>
      <c r="C4001" t="s">
        <v>3846</v>
      </c>
      <c r="D4001">
        <v>10</v>
      </c>
      <c r="E4001">
        <v>19</v>
      </c>
      <c r="F4001" t="s">
        <v>149</v>
      </c>
      <c r="G4001" t="s">
        <v>90</v>
      </c>
      <c r="H4001" t="s">
        <v>135</v>
      </c>
      <c r="I4001" t="s">
        <v>49</v>
      </c>
      <c r="J4001" t="s">
        <v>53</v>
      </c>
      <c r="K4001" t="s">
        <v>38</v>
      </c>
      <c r="L4001">
        <v>1</v>
      </c>
      <c r="M4001">
        <v>251</v>
      </c>
      <c r="N4001">
        <v>37.65</v>
      </c>
      <c r="O4001">
        <v>50</v>
      </c>
      <c r="P4001">
        <v>251</v>
      </c>
      <c r="Q4001">
        <v>263.35000000000002</v>
      </c>
      <c r="R4001" t="s">
        <v>30</v>
      </c>
      <c r="S4001" t="s">
        <v>31</v>
      </c>
      <c r="T4001" t="s">
        <v>40</v>
      </c>
      <c r="U4001">
        <v>31</v>
      </c>
      <c r="V4001">
        <v>3.8</v>
      </c>
      <c r="W4001">
        <f>Table2[[#This Row],[Quantity]]*Table2[[#This Row],[Item_Price]]</f>
        <v>251</v>
      </c>
    </row>
    <row r="4002" spans="1:23" x14ac:dyDescent="0.25">
      <c r="A4002" t="s">
        <v>4105</v>
      </c>
      <c r="B4002" s="1">
        <v>45949</v>
      </c>
      <c r="C4002" t="s">
        <v>3846</v>
      </c>
      <c r="D4002">
        <v>10</v>
      </c>
      <c r="E4002">
        <v>19</v>
      </c>
      <c r="F4002" t="s">
        <v>149</v>
      </c>
      <c r="G4002" t="s">
        <v>34</v>
      </c>
      <c r="H4002" t="s">
        <v>77</v>
      </c>
      <c r="I4002" t="s">
        <v>43</v>
      </c>
      <c r="J4002" t="s">
        <v>172</v>
      </c>
      <c r="K4002" t="s">
        <v>58</v>
      </c>
      <c r="L4002">
        <v>2</v>
      </c>
      <c r="M4002">
        <v>129</v>
      </c>
      <c r="N4002">
        <v>19.350000000000001</v>
      </c>
      <c r="O4002">
        <v>40</v>
      </c>
      <c r="P4002">
        <v>258</v>
      </c>
      <c r="Q4002">
        <v>278.64999999999998</v>
      </c>
      <c r="R4002" t="s">
        <v>112</v>
      </c>
      <c r="S4002" t="s">
        <v>31</v>
      </c>
      <c r="T4002" t="s">
        <v>32</v>
      </c>
      <c r="U4002">
        <v>53</v>
      </c>
      <c r="V4002">
        <v>3.9</v>
      </c>
      <c r="W4002">
        <f>Table2[[#This Row],[Quantity]]*Table2[[#This Row],[Item_Price]]</f>
        <v>258</v>
      </c>
    </row>
    <row r="4003" spans="1:23" x14ac:dyDescent="0.25">
      <c r="A4003" t="s">
        <v>4106</v>
      </c>
      <c r="B4003" s="1">
        <v>45949</v>
      </c>
      <c r="C4003" t="s">
        <v>3846</v>
      </c>
      <c r="D4003">
        <v>10</v>
      </c>
      <c r="E4003">
        <v>19</v>
      </c>
      <c r="F4003" t="s">
        <v>149</v>
      </c>
      <c r="G4003" t="s">
        <v>80</v>
      </c>
      <c r="H4003" t="s">
        <v>42</v>
      </c>
      <c r="I4003" t="s">
        <v>61</v>
      </c>
      <c r="J4003" t="s">
        <v>28</v>
      </c>
      <c r="K4003" t="s">
        <v>29</v>
      </c>
      <c r="L4003">
        <v>3</v>
      </c>
      <c r="M4003">
        <v>764</v>
      </c>
      <c r="N4003">
        <v>0</v>
      </c>
      <c r="O4003">
        <v>50</v>
      </c>
      <c r="P4003">
        <v>2292</v>
      </c>
      <c r="Q4003">
        <v>2342</v>
      </c>
      <c r="R4003" t="s">
        <v>39</v>
      </c>
      <c r="S4003" t="s">
        <v>31</v>
      </c>
      <c r="T4003" t="s">
        <v>40</v>
      </c>
      <c r="U4003">
        <v>24</v>
      </c>
      <c r="V4003">
        <v>3.8</v>
      </c>
      <c r="W4003">
        <f>Table2[[#This Row],[Quantity]]*Table2[[#This Row],[Item_Price]]</f>
        <v>2292</v>
      </c>
    </row>
    <row r="4004" spans="1:23" x14ac:dyDescent="0.25">
      <c r="A4004" t="s">
        <v>4107</v>
      </c>
      <c r="B4004" s="1">
        <v>45950</v>
      </c>
      <c r="C4004" t="s">
        <v>3846</v>
      </c>
      <c r="D4004">
        <v>10</v>
      </c>
      <c r="E4004">
        <v>20</v>
      </c>
      <c r="F4004" t="s">
        <v>168</v>
      </c>
      <c r="G4004" t="s">
        <v>25</v>
      </c>
      <c r="H4004" t="s">
        <v>139</v>
      </c>
      <c r="I4004" t="s">
        <v>85</v>
      </c>
      <c r="J4004" t="s">
        <v>172</v>
      </c>
      <c r="K4004" t="s">
        <v>38</v>
      </c>
      <c r="L4004">
        <v>1</v>
      </c>
      <c r="M4004">
        <v>597</v>
      </c>
      <c r="N4004">
        <v>149.25</v>
      </c>
      <c r="O4004">
        <v>30</v>
      </c>
      <c r="P4004">
        <v>597</v>
      </c>
      <c r="Q4004">
        <v>477.75</v>
      </c>
      <c r="R4004" t="s">
        <v>98</v>
      </c>
      <c r="S4004" t="s">
        <v>31</v>
      </c>
      <c r="T4004" t="s">
        <v>32</v>
      </c>
      <c r="U4004">
        <v>60</v>
      </c>
      <c r="V4004">
        <v>4</v>
      </c>
      <c r="W4004">
        <f>Table2[[#This Row],[Quantity]]*Table2[[#This Row],[Item_Price]]</f>
        <v>597</v>
      </c>
    </row>
    <row r="4005" spans="1:23" x14ac:dyDescent="0.25">
      <c r="A4005" t="s">
        <v>4108</v>
      </c>
      <c r="B4005" s="1">
        <v>45950</v>
      </c>
      <c r="C4005" t="s">
        <v>3846</v>
      </c>
      <c r="D4005">
        <v>10</v>
      </c>
      <c r="E4005">
        <v>20</v>
      </c>
      <c r="F4005" t="s">
        <v>168</v>
      </c>
      <c r="G4005" t="s">
        <v>80</v>
      </c>
      <c r="H4005" t="s">
        <v>135</v>
      </c>
      <c r="I4005" t="s">
        <v>97</v>
      </c>
      <c r="J4005" t="s">
        <v>28</v>
      </c>
      <c r="K4005" t="s">
        <v>58</v>
      </c>
      <c r="L4005">
        <v>2</v>
      </c>
      <c r="M4005">
        <v>566</v>
      </c>
      <c r="N4005">
        <v>84.9</v>
      </c>
      <c r="O4005">
        <v>50</v>
      </c>
      <c r="P4005">
        <v>1132</v>
      </c>
      <c r="Q4005">
        <v>1097.0999999999999</v>
      </c>
      <c r="R4005" t="s">
        <v>75</v>
      </c>
      <c r="S4005" t="s">
        <v>31</v>
      </c>
      <c r="T4005" t="s">
        <v>40</v>
      </c>
      <c r="U4005">
        <v>27</v>
      </c>
      <c r="V4005">
        <v>4.0999999999999996</v>
      </c>
      <c r="W4005">
        <f>Table2[[#This Row],[Quantity]]*Table2[[#This Row],[Item_Price]]</f>
        <v>1132</v>
      </c>
    </row>
    <row r="4006" spans="1:23" x14ac:dyDescent="0.25">
      <c r="A4006" t="s">
        <v>4109</v>
      </c>
      <c r="B4006" s="1">
        <v>45950</v>
      </c>
      <c r="C4006" t="s">
        <v>3846</v>
      </c>
      <c r="D4006">
        <v>10</v>
      </c>
      <c r="E4006">
        <v>20</v>
      </c>
      <c r="F4006" t="s">
        <v>168</v>
      </c>
      <c r="G4006" t="s">
        <v>34</v>
      </c>
      <c r="H4006" t="s">
        <v>105</v>
      </c>
      <c r="I4006" t="s">
        <v>85</v>
      </c>
      <c r="J4006" t="s">
        <v>101</v>
      </c>
      <c r="K4006" t="s">
        <v>58</v>
      </c>
      <c r="L4006">
        <v>1</v>
      </c>
      <c r="M4006">
        <v>882</v>
      </c>
      <c r="N4006">
        <v>0</v>
      </c>
      <c r="O4006">
        <v>40</v>
      </c>
      <c r="P4006">
        <v>882</v>
      </c>
      <c r="Q4006">
        <v>922</v>
      </c>
      <c r="R4006" t="s">
        <v>30</v>
      </c>
      <c r="S4006" t="s">
        <v>31</v>
      </c>
      <c r="T4006" t="s">
        <v>32</v>
      </c>
      <c r="U4006">
        <v>58</v>
      </c>
      <c r="V4006">
        <v>4.0999999999999996</v>
      </c>
      <c r="W4006">
        <f>Table2[[#This Row],[Quantity]]*Table2[[#This Row],[Item_Price]]</f>
        <v>882</v>
      </c>
    </row>
    <row r="4007" spans="1:23" x14ac:dyDescent="0.25">
      <c r="A4007" t="s">
        <v>4110</v>
      </c>
      <c r="B4007" s="1">
        <v>45950</v>
      </c>
      <c r="C4007" t="s">
        <v>3846</v>
      </c>
      <c r="D4007">
        <v>10</v>
      </c>
      <c r="E4007">
        <v>20</v>
      </c>
      <c r="F4007" t="s">
        <v>168</v>
      </c>
      <c r="G4007" t="s">
        <v>34</v>
      </c>
      <c r="H4007" t="s">
        <v>65</v>
      </c>
      <c r="I4007" t="s">
        <v>85</v>
      </c>
      <c r="J4007" t="s">
        <v>53</v>
      </c>
      <c r="K4007" t="s">
        <v>38</v>
      </c>
      <c r="L4007">
        <v>2</v>
      </c>
      <c r="M4007">
        <v>861</v>
      </c>
      <c r="N4007">
        <v>86.1</v>
      </c>
      <c r="O4007">
        <v>30</v>
      </c>
      <c r="P4007">
        <v>1722</v>
      </c>
      <c r="Q4007">
        <v>1665.9</v>
      </c>
      <c r="R4007" t="s">
        <v>75</v>
      </c>
      <c r="S4007" t="s">
        <v>31</v>
      </c>
      <c r="T4007" t="s">
        <v>40</v>
      </c>
      <c r="U4007">
        <v>35</v>
      </c>
      <c r="V4007">
        <v>3.8</v>
      </c>
      <c r="W4007">
        <f>Table2[[#This Row],[Quantity]]*Table2[[#This Row],[Item_Price]]</f>
        <v>1722</v>
      </c>
    </row>
    <row r="4008" spans="1:23" x14ac:dyDescent="0.25">
      <c r="A4008" t="s">
        <v>4111</v>
      </c>
      <c r="B4008" s="1">
        <v>45950</v>
      </c>
      <c r="C4008" t="s">
        <v>3846</v>
      </c>
      <c r="D4008">
        <v>10</v>
      </c>
      <c r="E4008">
        <v>20</v>
      </c>
      <c r="F4008" t="s">
        <v>168</v>
      </c>
      <c r="G4008" t="s">
        <v>34</v>
      </c>
      <c r="H4008" t="s">
        <v>35</v>
      </c>
      <c r="I4008" t="s">
        <v>43</v>
      </c>
      <c r="J4008" t="s">
        <v>62</v>
      </c>
      <c r="K4008" t="s">
        <v>38</v>
      </c>
      <c r="L4008">
        <v>1</v>
      </c>
      <c r="M4008">
        <v>523</v>
      </c>
      <c r="N4008">
        <v>52.3</v>
      </c>
      <c r="O4008">
        <v>50</v>
      </c>
      <c r="P4008">
        <v>523</v>
      </c>
      <c r="Q4008">
        <v>520.70000000000005</v>
      </c>
      <c r="R4008" t="s">
        <v>112</v>
      </c>
      <c r="S4008" t="s">
        <v>110</v>
      </c>
      <c r="T4008" t="s">
        <v>32</v>
      </c>
      <c r="U4008">
        <v>23</v>
      </c>
      <c r="W4008">
        <f>Table2[[#This Row],[Quantity]]*Table2[[#This Row],[Item_Price]]</f>
        <v>523</v>
      </c>
    </row>
    <row r="4009" spans="1:23" x14ac:dyDescent="0.25">
      <c r="A4009" t="s">
        <v>4112</v>
      </c>
      <c r="B4009" s="1">
        <v>45950</v>
      </c>
      <c r="C4009" t="s">
        <v>3846</v>
      </c>
      <c r="D4009">
        <v>10</v>
      </c>
      <c r="E4009">
        <v>20</v>
      </c>
      <c r="F4009" t="s">
        <v>168</v>
      </c>
      <c r="G4009" t="s">
        <v>64</v>
      </c>
      <c r="H4009" t="s">
        <v>42</v>
      </c>
      <c r="I4009" t="s">
        <v>27</v>
      </c>
      <c r="J4009" t="s">
        <v>44</v>
      </c>
      <c r="K4009" t="s">
        <v>29</v>
      </c>
      <c r="L4009">
        <v>1</v>
      </c>
      <c r="M4009">
        <v>476</v>
      </c>
      <c r="N4009">
        <v>23.8</v>
      </c>
      <c r="O4009">
        <v>30</v>
      </c>
      <c r="P4009">
        <v>476</v>
      </c>
      <c r="Q4009">
        <v>482.2</v>
      </c>
      <c r="R4009" t="s">
        <v>39</v>
      </c>
      <c r="S4009" t="s">
        <v>31</v>
      </c>
      <c r="T4009" t="s">
        <v>32</v>
      </c>
      <c r="U4009">
        <v>46</v>
      </c>
      <c r="V4009">
        <v>3.6</v>
      </c>
      <c r="W4009">
        <f>Table2[[#This Row],[Quantity]]*Table2[[#This Row],[Item_Price]]</f>
        <v>476</v>
      </c>
    </row>
    <row r="4010" spans="1:23" x14ac:dyDescent="0.25">
      <c r="A4010" t="s">
        <v>4113</v>
      </c>
      <c r="B4010" s="1">
        <v>45950</v>
      </c>
      <c r="C4010" t="s">
        <v>3846</v>
      </c>
      <c r="D4010">
        <v>10</v>
      </c>
      <c r="E4010">
        <v>20</v>
      </c>
      <c r="F4010" t="s">
        <v>168</v>
      </c>
      <c r="G4010" t="s">
        <v>80</v>
      </c>
      <c r="H4010" t="s">
        <v>108</v>
      </c>
      <c r="I4010" t="s">
        <v>61</v>
      </c>
      <c r="J4010" t="s">
        <v>44</v>
      </c>
      <c r="K4010" t="s">
        <v>38</v>
      </c>
      <c r="L4010">
        <v>2</v>
      </c>
      <c r="M4010">
        <v>305</v>
      </c>
      <c r="N4010">
        <v>15.25</v>
      </c>
      <c r="O4010">
        <v>30</v>
      </c>
      <c r="P4010">
        <v>610</v>
      </c>
      <c r="Q4010">
        <v>624.75</v>
      </c>
      <c r="R4010" t="s">
        <v>39</v>
      </c>
      <c r="S4010" t="s">
        <v>31</v>
      </c>
      <c r="T4010" t="s">
        <v>32</v>
      </c>
      <c r="U4010">
        <v>63</v>
      </c>
      <c r="V4010">
        <v>4.9000000000000004</v>
      </c>
      <c r="W4010">
        <f>Table2[[#This Row],[Quantity]]*Table2[[#This Row],[Item_Price]]</f>
        <v>610</v>
      </c>
    </row>
    <row r="4011" spans="1:23" x14ac:dyDescent="0.25">
      <c r="A4011" t="s">
        <v>4114</v>
      </c>
      <c r="B4011" s="1">
        <v>45950</v>
      </c>
      <c r="C4011" t="s">
        <v>3846</v>
      </c>
      <c r="D4011">
        <v>10</v>
      </c>
      <c r="E4011">
        <v>20</v>
      </c>
      <c r="F4011" t="s">
        <v>168</v>
      </c>
      <c r="G4011" t="s">
        <v>73</v>
      </c>
      <c r="H4011" t="s">
        <v>26</v>
      </c>
      <c r="I4011" t="s">
        <v>61</v>
      </c>
      <c r="J4011" t="s">
        <v>82</v>
      </c>
      <c r="K4011" t="s">
        <v>45</v>
      </c>
      <c r="L4011">
        <v>1</v>
      </c>
      <c r="M4011">
        <v>263</v>
      </c>
      <c r="N4011">
        <v>26.3</v>
      </c>
      <c r="O4011">
        <v>50</v>
      </c>
      <c r="P4011">
        <v>263</v>
      </c>
      <c r="Q4011">
        <v>286.7</v>
      </c>
      <c r="R4011" t="s">
        <v>39</v>
      </c>
      <c r="S4011" t="s">
        <v>46</v>
      </c>
      <c r="T4011" t="s">
        <v>40</v>
      </c>
      <c r="U4011">
        <v>61</v>
      </c>
      <c r="W4011">
        <f>Table2[[#This Row],[Quantity]]*Table2[[#This Row],[Item_Price]]</f>
        <v>263</v>
      </c>
    </row>
    <row r="4012" spans="1:23" x14ac:dyDescent="0.25">
      <c r="A4012" t="s">
        <v>4115</v>
      </c>
      <c r="B4012" s="1">
        <v>45950</v>
      </c>
      <c r="C4012" t="s">
        <v>3846</v>
      </c>
      <c r="D4012">
        <v>10</v>
      </c>
      <c r="E4012">
        <v>20</v>
      </c>
      <c r="F4012" t="s">
        <v>168</v>
      </c>
      <c r="G4012" t="s">
        <v>73</v>
      </c>
      <c r="H4012" t="s">
        <v>60</v>
      </c>
      <c r="I4012" t="s">
        <v>61</v>
      </c>
      <c r="J4012" t="s">
        <v>44</v>
      </c>
      <c r="K4012" t="s">
        <v>29</v>
      </c>
      <c r="L4012">
        <v>1</v>
      </c>
      <c r="M4012">
        <v>789</v>
      </c>
      <c r="N4012">
        <v>118.35</v>
      </c>
      <c r="O4012">
        <v>20</v>
      </c>
      <c r="P4012">
        <v>789</v>
      </c>
      <c r="Q4012">
        <v>690.65</v>
      </c>
      <c r="R4012" t="s">
        <v>30</v>
      </c>
      <c r="S4012" t="s">
        <v>31</v>
      </c>
      <c r="T4012" t="s">
        <v>40</v>
      </c>
      <c r="U4012">
        <v>53</v>
      </c>
      <c r="V4012">
        <v>4.0999999999999996</v>
      </c>
      <c r="W4012">
        <f>Table2[[#This Row],[Quantity]]*Table2[[#This Row],[Item_Price]]</f>
        <v>789</v>
      </c>
    </row>
    <row r="4013" spans="1:23" x14ac:dyDescent="0.25">
      <c r="A4013" t="s">
        <v>4116</v>
      </c>
      <c r="B4013" s="1">
        <v>45950</v>
      </c>
      <c r="C4013" t="s">
        <v>3846</v>
      </c>
      <c r="D4013">
        <v>10</v>
      </c>
      <c r="E4013">
        <v>20</v>
      </c>
      <c r="F4013" t="s">
        <v>168</v>
      </c>
      <c r="G4013" t="s">
        <v>115</v>
      </c>
      <c r="H4013" t="s">
        <v>105</v>
      </c>
      <c r="I4013" t="s">
        <v>49</v>
      </c>
      <c r="J4013" t="s">
        <v>78</v>
      </c>
      <c r="K4013" t="s">
        <v>38</v>
      </c>
      <c r="L4013">
        <v>1</v>
      </c>
      <c r="M4013">
        <v>673</v>
      </c>
      <c r="N4013">
        <v>100.95</v>
      </c>
      <c r="O4013">
        <v>40</v>
      </c>
      <c r="P4013">
        <v>673</v>
      </c>
      <c r="Q4013">
        <v>612.04999999999995</v>
      </c>
      <c r="R4013" t="s">
        <v>75</v>
      </c>
      <c r="S4013" t="s">
        <v>31</v>
      </c>
      <c r="T4013" t="s">
        <v>32</v>
      </c>
      <c r="U4013">
        <v>49</v>
      </c>
      <c r="V4013">
        <v>3.4</v>
      </c>
      <c r="W4013">
        <f>Table2[[#This Row],[Quantity]]*Table2[[#This Row],[Item_Price]]</f>
        <v>673</v>
      </c>
    </row>
    <row r="4014" spans="1:23" x14ac:dyDescent="0.25">
      <c r="A4014" t="s">
        <v>4117</v>
      </c>
      <c r="B4014" s="1">
        <v>45950</v>
      </c>
      <c r="C4014" t="s">
        <v>3846</v>
      </c>
      <c r="D4014">
        <v>10</v>
      </c>
      <c r="E4014">
        <v>20</v>
      </c>
      <c r="F4014" t="s">
        <v>168</v>
      </c>
      <c r="G4014" t="s">
        <v>73</v>
      </c>
      <c r="H4014" t="s">
        <v>56</v>
      </c>
      <c r="I4014" t="s">
        <v>43</v>
      </c>
      <c r="J4014" t="s">
        <v>172</v>
      </c>
      <c r="K4014" t="s">
        <v>45</v>
      </c>
      <c r="L4014">
        <v>1</v>
      </c>
      <c r="M4014">
        <v>649</v>
      </c>
      <c r="N4014">
        <v>97.35</v>
      </c>
      <c r="O4014">
        <v>30</v>
      </c>
      <c r="P4014">
        <v>649</v>
      </c>
      <c r="Q4014">
        <v>581.65</v>
      </c>
      <c r="R4014" t="s">
        <v>39</v>
      </c>
      <c r="S4014" t="s">
        <v>31</v>
      </c>
      <c r="T4014" t="s">
        <v>32</v>
      </c>
      <c r="U4014">
        <v>25</v>
      </c>
      <c r="V4014">
        <v>4.7</v>
      </c>
      <c r="W4014">
        <f>Table2[[#This Row],[Quantity]]*Table2[[#This Row],[Item_Price]]</f>
        <v>649</v>
      </c>
    </row>
    <row r="4015" spans="1:23" x14ac:dyDescent="0.25">
      <c r="A4015" t="s">
        <v>4118</v>
      </c>
      <c r="B4015" s="1">
        <v>45950</v>
      </c>
      <c r="C4015" t="s">
        <v>3846</v>
      </c>
      <c r="D4015">
        <v>10</v>
      </c>
      <c r="E4015">
        <v>20</v>
      </c>
      <c r="F4015" t="s">
        <v>168</v>
      </c>
      <c r="G4015" t="s">
        <v>25</v>
      </c>
      <c r="H4015" t="s">
        <v>56</v>
      </c>
      <c r="I4015" t="s">
        <v>97</v>
      </c>
      <c r="J4015" t="s">
        <v>70</v>
      </c>
      <c r="K4015" t="s">
        <v>38</v>
      </c>
      <c r="L4015">
        <v>3</v>
      </c>
      <c r="M4015">
        <v>408</v>
      </c>
      <c r="N4015">
        <v>40.799999999999997</v>
      </c>
      <c r="O4015">
        <v>0</v>
      </c>
      <c r="P4015">
        <v>1224</v>
      </c>
      <c r="Q4015">
        <v>1183.2</v>
      </c>
      <c r="R4015" t="s">
        <v>30</v>
      </c>
      <c r="S4015" t="s">
        <v>31</v>
      </c>
      <c r="T4015" t="s">
        <v>40</v>
      </c>
      <c r="U4015">
        <v>27</v>
      </c>
      <c r="V4015">
        <v>4</v>
      </c>
      <c r="W4015">
        <f>Table2[[#This Row],[Quantity]]*Table2[[#This Row],[Item_Price]]</f>
        <v>1224</v>
      </c>
    </row>
    <row r="4016" spans="1:23" x14ac:dyDescent="0.25">
      <c r="A4016" t="s">
        <v>4119</v>
      </c>
      <c r="B4016" s="1">
        <v>45950</v>
      </c>
      <c r="C4016" t="s">
        <v>3846</v>
      </c>
      <c r="D4016">
        <v>10</v>
      </c>
      <c r="E4016">
        <v>20</v>
      </c>
      <c r="F4016" t="s">
        <v>168</v>
      </c>
      <c r="G4016" t="s">
        <v>34</v>
      </c>
      <c r="H4016" t="s">
        <v>105</v>
      </c>
      <c r="I4016" t="s">
        <v>97</v>
      </c>
      <c r="J4016" t="s">
        <v>66</v>
      </c>
      <c r="K4016" t="s">
        <v>58</v>
      </c>
      <c r="L4016">
        <v>2</v>
      </c>
      <c r="M4016">
        <v>526</v>
      </c>
      <c r="N4016">
        <v>105.2</v>
      </c>
      <c r="O4016">
        <v>40</v>
      </c>
      <c r="P4016">
        <v>1052</v>
      </c>
      <c r="Q4016">
        <v>986.8</v>
      </c>
      <c r="R4016" t="s">
        <v>39</v>
      </c>
      <c r="S4016" t="s">
        <v>31</v>
      </c>
      <c r="T4016" t="s">
        <v>40</v>
      </c>
      <c r="U4016">
        <v>65</v>
      </c>
      <c r="V4016">
        <v>5</v>
      </c>
      <c r="W4016">
        <f>Table2[[#This Row],[Quantity]]*Table2[[#This Row],[Item_Price]]</f>
        <v>1052</v>
      </c>
    </row>
    <row r="4017" spans="1:23" x14ac:dyDescent="0.25">
      <c r="A4017" t="s">
        <v>4120</v>
      </c>
      <c r="B4017" s="1">
        <v>45950</v>
      </c>
      <c r="C4017" t="s">
        <v>3846</v>
      </c>
      <c r="D4017">
        <v>10</v>
      </c>
      <c r="E4017">
        <v>20</v>
      </c>
      <c r="F4017" t="s">
        <v>168</v>
      </c>
      <c r="G4017" t="s">
        <v>115</v>
      </c>
      <c r="H4017" t="s">
        <v>60</v>
      </c>
      <c r="I4017" t="s">
        <v>49</v>
      </c>
      <c r="J4017" t="s">
        <v>172</v>
      </c>
      <c r="K4017" t="s">
        <v>45</v>
      </c>
      <c r="L4017">
        <v>1</v>
      </c>
      <c r="M4017">
        <v>849</v>
      </c>
      <c r="N4017">
        <v>84.9</v>
      </c>
      <c r="O4017">
        <v>40</v>
      </c>
      <c r="P4017">
        <v>849</v>
      </c>
      <c r="Q4017">
        <v>804.1</v>
      </c>
      <c r="R4017" t="s">
        <v>39</v>
      </c>
      <c r="S4017" t="s">
        <v>31</v>
      </c>
      <c r="T4017" t="s">
        <v>32</v>
      </c>
      <c r="U4017">
        <v>50</v>
      </c>
      <c r="V4017">
        <v>3.6</v>
      </c>
      <c r="W4017">
        <f>Table2[[#This Row],[Quantity]]*Table2[[#This Row],[Item_Price]]</f>
        <v>849</v>
      </c>
    </row>
    <row r="4018" spans="1:23" x14ac:dyDescent="0.25">
      <c r="A4018" t="s">
        <v>4121</v>
      </c>
      <c r="B4018" s="1">
        <v>45950</v>
      </c>
      <c r="C4018" t="s">
        <v>3846</v>
      </c>
      <c r="D4018">
        <v>10</v>
      </c>
      <c r="E4018">
        <v>20</v>
      </c>
      <c r="F4018" t="s">
        <v>168</v>
      </c>
      <c r="G4018" t="s">
        <v>73</v>
      </c>
      <c r="H4018" t="s">
        <v>135</v>
      </c>
      <c r="I4018" t="s">
        <v>49</v>
      </c>
      <c r="J4018" t="s">
        <v>101</v>
      </c>
      <c r="K4018" t="s">
        <v>38</v>
      </c>
      <c r="L4018">
        <v>2</v>
      </c>
      <c r="M4018">
        <v>189</v>
      </c>
      <c r="N4018">
        <v>28.35</v>
      </c>
      <c r="O4018">
        <v>30</v>
      </c>
      <c r="P4018">
        <v>378</v>
      </c>
      <c r="Q4018">
        <v>379.65</v>
      </c>
      <c r="R4018" t="s">
        <v>75</v>
      </c>
      <c r="S4018" t="s">
        <v>31</v>
      </c>
      <c r="T4018" t="s">
        <v>40</v>
      </c>
      <c r="U4018">
        <v>57</v>
      </c>
      <c r="V4018">
        <v>4.2</v>
      </c>
      <c r="W4018">
        <f>Table2[[#This Row],[Quantity]]*Table2[[#This Row],[Item_Price]]</f>
        <v>378</v>
      </c>
    </row>
    <row r="4019" spans="1:23" x14ac:dyDescent="0.25">
      <c r="A4019" t="s">
        <v>4122</v>
      </c>
      <c r="B4019" s="1">
        <v>45950</v>
      </c>
      <c r="C4019" t="s">
        <v>3846</v>
      </c>
      <c r="D4019">
        <v>10</v>
      </c>
      <c r="E4019">
        <v>20</v>
      </c>
      <c r="F4019" t="s">
        <v>168</v>
      </c>
      <c r="G4019" t="s">
        <v>55</v>
      </c>
      <c r="H4019" t="s">
        <v>48</v>
      </c>
      <c r="I4019" t="s">
        <v>69</v>
      </c>
      <c r="J4019" t="s">
        <v>123</v>
      </c>
      <c r="K4019" t="s">
        <v>29</v>
      </c>
      <c r="L4019">
        <v>1</v>
      </c>
      <c r="M4019">
        <v>157</v>
      </c>
      <c r="N4019">
        <v>0</v>
      </c>
      <c r="O4019">
        <v>30</v>
      </c>
      <c r="P4019">
        <v>157</v>
      </c>
      <c r="Q4019">
        <v>187</v>
      </c>
      <c r="R4019" t="s">
        <v>75</v>
      </c>
      <c r="S4019" t="s">
        <v>31</v>
      </c>
      <c r="T4019" t="s">
        <v>40</v>
      </c>
      <c r="U4019">
        <v>25</v>
      </c>
      <c r="V4019">
        <v>4.3</v>
      </c>
      <c r="W4019">
        <f>Table2[[#This Row],[Quantity]]*Table2[[#This Row],[Item_Price]]</f>
        <v>157</v>
      </c>
    </row>
    <row r="4020" spans="1:23" x14ac:dyDescent="0.25">
      <c r="A4020" t="s">
        <v>4123</v>
      </c>
      <c r="B4020" s="1">
        <v>45950</v>
      </c>
      <c r="C4020" t="s">
        <v>3846</v>
      </c>
      <c r="D4020">
        <v>10</v>
      </c>
      <c r="E4020">
        <v>20</v>
      </c>
      <c r="F4020" t="s">
        <v>168</v>
      </c>
      <c r="G4020" t="s">
        <v>80</v>
      </c>
      <c r="H4020" t="s">
        <v>108</v>
      </c>
      <c r="I4020" t="s">
        <v>85</v>
      </c>
      <c r="J4020" t="s">
        <v>123</v>
      </c>
      <c r="K4020" t="s">
        <v>38</v>
      </c>
      <c r="L4020">
        <v>1</v>
      </c>
      <c r="M4020">
        <v>329</v>
      </c>
      <c r="N4020">
        <v>82.25</v>
      </c>
      <c r="O4020">
        <v>30</v>
      </c>
      <c r="P4020">
        <v>329</v>
      </c>
      <c r="Q4020">
        <v>276.75</v>
      </c>
      <c r="R4020" t="s">
        <v>39</v>
      </c>
      <c r="S4020" t="s">
        <v>31</v>
      </c>
      <c r="T4020" t="s">
        <v>40</v>
      </c>
      <c r="U4020">
        <v>32</v>
      </c>
      <c r="V4020">
        <v>3.1</v>
      </c>
      <c r="W4020">
        <f>Table2[[#This Row],[Quantity]]*Table2[[#This Row],[Item_Price]]</f>
        <v>329</v>
      </c>
    </row>
    <row r="4021" spans="1:23" x14ac:dyDescent="0.25">
      <c r="A4021" t="s">
        <v>4124</v>
      </c>
      <c r="B4021" s="1">
        <v>45950</v>
      </c>
      <c r="C4021" t="s">
        <v>3846</v>
      </c>
      <c r="D4021">
        <v>10</v>
      </c>
      <c r="E4021">
        <v>20</v>
      </c>
      <c r="F4021" t="s">
        <v>168</v>
      </c>
      <c r="G4021" t="s">
        <v>25</v>
      </c>
      <c r="H4021" t="s">
        <v>135</v>
      </c>
      <c r="I4021" t="s">
        <v>69</v>
      </c>
      <c r="J4021" t="s">
        <v>94</v>
      </c>
      <c r="K4021" t="s">
        <v>38</v>
      </c>
      <c r="L4021">
        <v>1</v>
      </c>
      <c r="M4021">
        <v>392</v>
      </c>
      <c r="N4021">
        <v>58.8</v>
      </c>
      <c r="O4021">
        <v>60</v>
      </c>
      <c r="P4021">
        <v>392</v>
      </c>
      <c r="Q4021">
        <v>393.2</v>
      </c>
      <c r="R4021" t="s">
        <v>39</v>
      </c>
      <c r="S4021" t="s">
        <v>46</v>
      </c>
      <c r="T4021" t="s">
        <v>40</v>
      </c>
      <c r="U4021">
        <v>36</v>
      </c>
      <c r="W4021">
        <f>Table2[[#This Row],[Quantity]]*Table2[[#This Row],[Item_Price]]</f>
        <v>392</v>
      </c>
    </row>
    <row r="4022" spans="1:23" x14ac:dyDescent="0.25">
      <c r="A4022" t="s">
        <v>4125</v>
      </c>
      <c r="B4022" s="1">
        <v>45950</v>
      </c>
      <c r="C4022" t="s">
        <v>3846</v>
      </c>
      <c r="D4022">
        <v>10</v>
      </c>
      <c r="E4022">
        <v>20</v>
      </c>
      <c r="F4022" t="s">
        <v>168</v>
      </c>
      <c r="G4022" t="s">
        <v>55</v>
      </c>
      <c r="H4022" t="s">
        <v>42</v>
      </c>
      <c r="I4022" t="s">
        <v>43</v>
      </c>
      <c r="J4022" t="s">
        <v>28</v>
      </c>
      <c r="K4022" t="s">
        <v>38</v>
      </c>
      <c r="L4022">
        <v>3</v>
      </c>
      <c r="M4022">
        <v>714</v>
      </c>
      <c r="N4022">
        <v>107.1</v>
      </c>
      <c r="O4022">
        <v>30</v>
      </c>
      <c r="P4022">
        <v>2142</v>
      </c>
      <c r="Q4022">
        <v>2064.9</v>
      </c>
      <c r="R4022" t="s">
        <v>39</v>
      </c>
      <c r="S4022" t="s">
        <v>91</v>
      </c>
      <c r="T4022" t="s">
        <v>40</v>
      </c>
      <c r="U4022">
        <v>35</v>
      </c>
      <c r="W4022">
        <f>Table2[[#This Row],[Quantity]]*Table2[[#This Row],[Item_Price]]</f>
        <v>2142</v>
      </c>
    </row>
    <row r="4023" spans="1:23" x14ac:dyDescent="0.25">
      <c r="A4023" t="s">
        <v>4126</v>
      </c>
      <c r="B4023" s="1">
        <v>45951</v>
      </c>
      <c r="C4023" t="s">
        <v>3846</v>
      </c>
      <c r="D4023">
        <v>10</v>
      </c>
      <c r="E4023">
        <v>21</v>
      </c>
      <c r="F4023" t="s">
        <v>178</v>
      </c>
      <c r="G4023" t="s">
        <v>64</v>
      </c>
      <c r="H4023" t="s">
        <v>56</v>
      </c>
      <c r="I4023" t="s">
        <v>43</v>
      </c>
      <c r="J4023" t="s">
        <v>53</v>
      </c>
      <c r="K4023" t="s">
        <v>38</v>
      </c>
      <c r="L4023">
        <v>1</v>
      </c>
      <c r="M4023">
        <v>585</v>
      </c>
      <c r="N4023">
        <v>0</v>
      </c>
      <c r="O4023">
        <v>40</v>
      </c>
      <c r="P4023">
        <v>585</v>
      </c>
      <c r="Q4023">
        <v>625</v>
      </c>
      <c r="R4023" t="s">
        <v>39</v>
      </c>
      <c r="S4023" t="s">
        <v>31</v>
      </c>
      <c r="T4023" t="s">
        <v>40</v>
      </c>
      <c r="U4023">
        <v>55</v>
      </c>
      <c r="V4023">
        <v>4.9000000000000004</v>
      </c>
      <c r="W4023">
        <f>Table2[[#This Row],[Quantity]]*Table2[[#This Row],[Item_Price]]</f>
        <v>585</v>
      </c>
    </row>
    <row r="4024" spans="1:23" x14ac:dyDescent="0.25">
      <c r="A4024" t="s">
        <v>4127</v>
      </c>
      <c r="B4024" s="1">
        <v>45951</v>
      </c>
      <c r="C4024" t="s">
        <v>3846</v>
      </c>
      <c r="D4024">
        <v>10</v>
      </c>
      <c r="E4024">
        <v>21</v>
      </c>
      <c r="F4024" t="s">
        <v>178</v>
      </c>
      <c r="G4024" t="s">
        <v>73</v>
      </c>
      <c r="H4024" t="s">
        <v>135</v>
      </c>
      <c r="I4024" t="s">
        <v>85</v>
      </c>
      <c r="J4024" t="s">
        <v>44</v>
      </c>
      <c r="K4024" t="s">
        <v>38</v>
      </c>
      <c r="L4024">
        <v>2</v>
      </c>
      <c r="M4024">
        <v>350</v>
      </c>
      <c r="N4024">
        <v>87.5</v>
      </c>
      <c r="O4024">
        <v>50</v>
      </c>
      <c r="P4024">
        <v>700</v>
      </c>
      <c r="Q4024">
        <v>662.5</v>
      </c>
      <c r="R4024" t="s">
        <v>30</v>
      </c>
      <c r="S4024" t="s">
        <v>31</v>
      </c>
      <c r="T4024" t="s">
        <v>40</v>
      </c>
      <c r="U4024">
        <v>32</v>
      </c>
      <c r="V4024">
        <v>4.7</v>
      </c>
      <c r="W4024">
        <f>Table2[[#This Row],[Quantity]]*Table2[[#This Row],[Item_Price]]</f>
        <v>700</v>
      </c>
    </row>
    <row r="4025" spans="1:23" x14ac:dyDescent="0.25">
      <c r="A4025" t="s">
        <v>4128</v>
      </c>
      <c r="B4025" s="1">
        <v>45951</v>
      </c>
      <c r="C4025" t="s">
        <v>3846</v>
      </c>
      <c r="D4025">
        <v>10</v>
      </c>
      <c r="E4025">
        <v>21</v>
      </c>
      <c r="F4025" t="s">
        <v>178</v>
      </c>
      <c r="G4025" t="s">
        <v>25</v>
      </c>
      <c r="H4025" t="s">
        <v>68</v>
      </c>
      <c r="I4025" t="s">
        <v>103</v>
      </c>
      <c r="J4025" t="s">
        <v>44</v>
      </c>
      <c r="K4025" t="s">
        <v>38</v>
      </c>
      <c r="L4025">
        <v>2</v>
      </c>
      <c r="M4025">
        <v>258</v>
      </c>
      <c r="N4025">
        <v>38.700000000000003</v>
      </c>
      <c r="O4025">
        <v>30</v>
      </c>
      <c r="P4025">
        <v>516</v>
      </c>
      <c r="Q4025">
        <v>507.3</v>
      </c>
      <c r="R4025" t="s">
        <v>39</v>
      </c>
      <c r="S4025" t="s">
        <v>31</v>
      </c>
      <c r="T4025" t="s">
        <v>40</v>
      </c>
      <c r="U4025">
        <v>42</v>
      </c>
      <c r="V4025">
        <v>4.0999999999999996</v>
      </c>
      <c r="W4025">
        <f>Table2[[#This Row],[Quantity]]*Table2[[#This Row],[Item_Price]]</f>
        <v>516</v>
      </c>
    </row>
    <row r="4026" spans="1:23" x14ac:dyDescent="0.25">
      <c r="A4026" t="s">
        <v>4129</v>
      </c>
      <c r="B4026" s="1">
        <v>45951</v>
      </c>
      <c r="C4026" t="s">
        <v>3846</v>
      </c>
      <c r="D4026">
        <v>10</v>
      </c>
      <c r="E4026">
        <v>21</v>
      </c>
      <c r="F4026" t="s">
        <v>178</v>
      </c>
      <c r="G4026" t="s">
        <v>80</v>
      </c>
      <c r="H4026" t="s">
        <v>81</v>
      </c>
      <c r="I4026" t="s">
        <v>49</v>
      </c>
      <c r="J4026" t="s">
        <v>66</v>
      </c>
      <c r="K4026" t="s">
        <v>38</v>
      </c>
      <c r="L4026">
        <v>2</v>
      </c>
      <c r="M4026">
        <v>248</v>
      </c>
      <c r="N4026">
        <v>37.200000000000003</v>
      </c>
      <c r="O4026">
        <v>40</v>
      </c>
      <c r="P4026">
        <v>496</v>
      </c>
      <c r="Q4026">
        <v>498.8</v>
      </c>
      <c r="R4026" t="s">
        <v>39</v>
      </c>
      <c r="S4026" t="s">
        <v>31</v>
      </c>
      <c r="T4026" t="s">
        <v>40</v>
      </c>
      <c r="U4026">
        <v>65</v>
      </c>
      <c r="V4026">
        <v>3.5</v>
      </c>
      <c r="W4026">
        <f>Table2[[#This Row],[Quantity]]*Table2[[#This Row],[Item_Price]]</f>
        <v>496</v>
      </c>
    </row>
    <row r="4027" spans="1:23" x14ac:dyDescent="0.25">
      <c r="A4027" t="s">
        <v>4130</v>
      </c>
      <c r="B4027" s="1">
        <v>45951</v>
      </c>
      <c r="C4027" t="s">
        <v>3846</v>
      </c>
      <c r="D4027">
        <v>10</v>
      </c>
      <c r="E4027">
        <v>21</v>
      </c>
      <c r="F4027" t="s">
        <v>178</v>
      </c>
      <c r="G4027" t="s">
        <v>73</v>
      </c>
      <c r="H4027" t="s">
        <v>26</v>
      </c>
      <c r="I4027" t="s">
        <v>36</v>
      </c>
      <c r="J4027" t="s">
        <v>82</v>
      </c>
      <c r="K4027" t="s">
        <v>38</v>
      </c>
      <c r="L4027">
        <v>1</v>
      </c>
      <c r="M4027">
        <v>684</v>
      </c>
      <c r="N4027">
        <v>0</v>
      </c>
      <c r="O4027">
        <v>0</v>
      </c>
      <c r="P4027">
        <v>684</v>
      </c>
      <c r="Q4027">
        <v>684</v>
      </c>
      <c r="R4027" t="s">
        <v>39</v>
      </c>
      <c r="S4027" t="s">
        <v>91</v>
      </c>
      <c r="T4027" t="s">
        <v>40</v>
      </c>
      <c r="U4027">
        <v>69</v>
      </c>
      <c r="W4027">
        <f>Table2[[#This Row],[Quantity]]*Table2[[#This Row],[Item_Price]]</f>
        <v>684</v>
      </c>
    </row>
    <row r="4028" spans="1:23" x14ac:dyDescent="0.25">
      <c r="A4028" t="s">
        <v>4131</v>
      </c>
      <c r="B4028" s="1">
        <v>45951</v>
      </c>
      <c r="C4028" t="s">
        <v>3846</v>
      </c>
      <c r="D4028">
        <v>10</v>
      </c>
      <c r="E4028">
        <v>21</v>
      </c>
      <c r="F4028" t="s">
        <v>178</v>
      </c>
      <c r="G4028" t="s">
        <v>84</v>
      </c>
      <c r="H4028" t="s">
        <v>108</v>
      </c>
      <c r="I4028" t="s">
        <v>69</v>
      </c>
      <c r="J4028" t="s">
        <v>53</v>
      </c>
      <c r="K4028" t="s">
        <v>38</v>
      </c>
      <c r="L4028">
        <v>3</v>
      </c>
      <c r="M4028">
        <v>382</v>
      </c>
      <c r="N4028">
        <v>76.400000000000006</v>
      </c>
      <c r="O4028">
        <v>40</v>
      </c>
      <c r="P4028">
        <v>1146</v>
      </c>
      <c r="Q4028">
        <v>1109.5999999999999</v>
      </c>
      <c r="R4028" t="s">
        <v>98</v>
      </c>
      <c r="S4028" t="s">
        <v>31</v>
      </c>
      <c r="T4028" t="s">
        <v>40</v>
      </c>
      <c r="U4028">
        <v>36</v>
      </c>
      <c r="V4028">
        <v>4.2</v>
      </c>
      <c r="W4028">
        <f>Table2[[#This Row],[Quantity]]*Table2[[#This Row],[Item_Price]]</f>
        <v>1146</v>
      </c>
    </row>
    <row r="4029" spans="1:23" x14ac:dyDescent="0.25">
      <c r="A4029" t="s">
        <v>4132</v>
      </c>
      <c r="B4029" s="1">
        <v>45951</v>
      </c>
      <c r="C4029" t="s">
        <v>3846</v>
      </c>
      <c r="D4029">
        <v>10</v>
      </c>
      <c r="E4029">
        <v>21</v>
      </c>
      <c r="F4029" t="s">
        <v>178</v>
      </c>
      <c r="G4029" t="s">
        <v>96</v>
      </c>
      <c r="H4029" t="s">
        <v>105</v>
      </c>
      <c r="I4029" t="s">
        <v>69</v>
      </c>
      <c r="J4029" t="s">
        <v>62</v>
      </c>
      <c r="K4029" t="s">
        <v>38</v>
      </c>
      <c r="L4029">
        <v>1</v>
      </c>
      <c r="M4029">
        <v>810</v>
      </c>
      <c r="N4029">
        <v>121.5</v>
      </c>
      <c r="O4029">
        <v>30</v>
      </c>
      <c r="P4029">
        <v>810</v>
      </c>
      <c r="Q4029">
        <v>718.5</v>
      </c>
      <c r="R4029" t="s">
        <v>39</v>
      </c>
      <c r="S4029" t="s">
        <v>91</v>
      </c>
      <c r="T4029" t="s">
        <v>40</v>
      </c>
      <c r="U4029">
        <v>27</v>
      </c>
      <c r="W4029">
        <f>Table2[[#This Row],[Quantity]]*Table2[[#This Row],[Item_Price]]</f>
        <v>810</v>
      </c>
    </row>
    <row r="4030" spans="1:23" x14ac:dyDescent="0.25">
      <c r="A4030" t="s">
        <v>4133</v>
      </c>
      <c r="B4030" s="1">
        <v>45951</v>
      </c>
      <c r="C4030" t="s">
        <v>3846</v>
      </c>
      <c r="D4030">
        <v>10</v>
      </c>
      <c r="E4030">
        <v>21</v>
      </c>
      <c r="F4030" t="s">
        <v>178</v>
      </c>
      <c r="G4030" t="s">
        <v>80</v>
      </c>
      <c r="H4030" t="s">
        <v>77</v>
      </c>
      <c r="I4030" t="s">
        <v>49</v>
      </c>
      <c r="J4030" t="s">
        <v>94</v>
      </c>
      <c r="K4030" t="s">
        <v>58</v>
      </c>
      <c r="L4030">
        <v>1</v>
      </c>
      <c r="M4030">
        <v>351</v>
      </c>
      <c r="N4030">
        <v>70.2</v>
      </c>
      <c r="O4030">
        <v>60</v>
      </c>
      <c r="P4030">
        <v>351</v>
      </c>
      <c r="Q4030">
        <v>340.8</v>
      </c>
      <c r="R4030" t="s">
        <v>39</v>
      </c>
      <c r="S4030" t="s">
        <v>110</v>
      </c>
      <c r="T4030" t="s">
        <v>40</v>
      </c>
      <c r="U4030">
        <v>66</v>
      </c>
      <c r="W4030">
        <f>Table2[[#This Row],[Quantity]]*Table2[[#This Row],[Item_Price]]</f>
        <v>351</v>
      </c>
    </row>
    <row r="4031" spans="1:23" x14ac:dyDescent="0.25">
      <c r="A4031" t="s">
        <v>4134</v>
      </c>
      <c r="B4031" s="1">
        <v>45951</v>
      </c>
      <c r="C4031" t="s">
        <v>3846</v>
      </c>
      <c r="D4031">
        <v>10</v>
      </c>
      <c r="E4031">
        <v>21</v>
      </c>
      <c r="F4031" t="s">
        <v>178</v>
      </c>
      <c r="G4031" t="s">
        <v>73</v>
      </c>
      <c r="H4031" t="s">
        <v>105</v>
      </c>
      <c r="I4031" t="s">
        <v>97</v>
      </c>
      <c r="J4031" t="s">
        <v>101</v>
      </c>
      <c r="K4031" t="s">
        <v>38</v>
      </c>
      <c r="L4031">
        <v>1</v>
      </c>
      <c r="M4031">
        <v>299</v>
      </c>
      <c r="N4031">
        <v>44.85</v>
      </c>
      <c r="O4031">
        <v>0</v>
      </c>
      <c r="P4031">
        <v>299</v>
      </c>
      <c r="Q4031">
        <v>254.15</v>
      </c>
      <c r="R4031" t="s">
        <v>30</v>
      </c>
      <c r="S4031" t="s">
        <v>31</v>
      </c>
      <c r="T4031" t="s">
        <v>32</v>
      </c>
      <c r="U4031">
        <v>56</v>
      </c>
      <c r="V4031">
        <v>3.5</v>
      </c>
      <c r="W4031">
        <f>Table2[[#This Row],[Quantity]]*Table2[[#This Row],[Item_Price]]</f>
        <v>299</v>
      </c>
    </row>
    <row r="4032" spans="1:23" x14ac:dyDescent="0.25">
      <c r="A4032" t="s">
        <v>4135</v>
      </c>
      <c r="B4032" s="1">
        <v>45951</v>
      </c>
      <c r="C4032" t="s">
        <v>3846</v>
      </c>
      <c r="D4032">
        <v>10</v>
      </c>
      <c r="E4032">
        <v>21</v>
      </c>
      <c r="F4032" t="s">
        <v>178</v>
      </c>
      <c r="G4032" t="s">
        <v>55</v>
      </c>
      <c r="H4032" t="s">
        <v>35</v>
      </c>
      <c r="I4032" t="s">
        <v>85</v>
      </c>
      <c r="J4032" t="s">
        <v>66</v>
      </c>
      <c r="K4032" t="s">
        <v>45</v>
      </c>
      <c r="L4032">
        <v>1</v>
      </c>
      <c r="M4032">
        <v>844</v>
      </c>
      <c r="N4032">
        <v>168.8</v>
      </c>
      <c r="O4032">
        <v>40</v>
      </c>
      <c r="P4032">
        <v>844</v>
      </c>
      <c r="Q4032">
        <v>715.2</v>
      </c>
      <c r="R4032" t="s">
        <v>30</v>
      </c>
      <c r="S4032" t="s">
        <v>31</v>
      </c>
      <c r="T4032" t="s">
        <v>40</v>
      </c>
      <c r="U4032">
        <v>53</v>
      </c>
      <c r="V4032">
        <v>5</v>
      </c>
      <c r="W4032">
        <f>Table2[[#This Row],[Quantity]]*Table2[[#This Row],[Item_Price]]</f>
        <v>844</v>
      </c>
    </row>
    <row r="4033" spans="1:23" x14ac:dyDescent="0.25">
      <c r="A4033" t="s">
        <v>4136</v>
      </c>
      <c r="B4033" s="1">
        <v>45951</v>
      </c>
      <c r="C4033" t="s">
        <v>3846</v>
      </c>
      <c r="D4033">
        <v>10</v>
      </c>
      <c r="E4033">
        <v>21</v>
      </c>
      <c r="F4033" t="s">
        <v>178</v>
      </c>
      <c r="G4033" t="s">
        <v>73</v>
      </c>
      <c r="H4033" t="s">
        <v>35</v>
      </c>
      <c r="I4033" t="s">
        <v>43</v>
      </c>
      <c r="J4033" t="s">
        <v>123</v>
      </c>
      <c r="K4033" t="s">
        <v>38</v>
      </c>
      <c r="L4033">
        <v>1</v>
      </c>
      <c r="M4033">
        <v>532</v>
      </c>
      <c r="N4033">
        <v>26.6</v>
      </c>
      <c r="O4033">
        <v>0</v>
      </c>
      <c r="P4033">
        <v>532</v>
      </c>
      <c r="Q4033">
        <v>505.4</v>
      </c>
      <c r="R4033" t="s">
        <v>75</v>
      </c>
      <c r="S4033" t="s">
        <v>31</v>
      </c>
      <c r="T4033" t="s">
        <v>32</v>
      </c>
      <c r="U4033">
        <v>40</v>
      </c>
      <c r="V4033">
        <v>4.5</v>
      </c>
      <c r="W4033">
        <f>Table2[[#This Row],[Quantity]]*Table2[[#This Row],[Item_Price]]</f>
        <v>532</v>
      </c>
    </row>
    <row r="4034" spans="1:23" x14ac:dyDescent="0.25">
      <c r="A4034" t="s">
        <v>4137</v>
      </c>
      <c r="B4034" s="1">
        <v>45951</v>
      </c>
      <c r="C4034" t="s">
        <v>3846</v>
      </c>
      <c r="D4034">
        <v>10</v>
      </c>
      <c r="E4034">
        <v>21</v>
      </c>
      <c r="F4034" t="s">
        <v>178</v>
      </c>
      <c r="G4034" t="s">
        <v>73</v>
      </c>
      <c r="H4034" t="s">
        <v>77</v>
      </c>
      <c r="I4034" t="s">
        <v>27</v>
      </c>
      <c r="J4034" t="s">
        <v>123</v>
      </c>
      <c r="K4034" t="s">
        <v>38</v>
      </c>
      <c r="L4034">
        <v>2</v>
      </c>
      <c r="M4034">
        <v>148</v>
      </c>
      <c r="N4034">
        <v>0</v>
      </c>
      <c r="O4034">
        <v>0</v>
      </c>
      <c r="P4034">
        <v>296</v>
      </c>
      <c r="Q4034">
        <v>296</v>
      </c>
      <c r="R4034" t="s">
        <v>112</v>
      </c>
      <c r="S4034" t="s">
        <v>31</v>
      </c>
      <c r="T4034" t="s">
        <v>32</v>
      </c>
      <c r="U4034">
        <v>20</v>
      </c>
      <c r="V4034">
        <v>3.8</v>
      </c>
      <c r="W4034">
        <f>Table2[[#This Row],[Quantity]]*Table2[[#This Row],[Item_Price]]</f>
        <v>296</v>
      </c>
    </row>
    <row r="4035" spans="1:23" x14ac:dyDescent="0.25">
      <c r="A4035" t="s">
        <v>4138</v>
      </c>
      <c r="B4035" s="1">
        <v>45951</v>
      </c>
      <c r="C4035" t="s">
        <v>3846</v>
      </c>
      <c r="D4035">
        <v>10</v>
      </c>
      <c r="E4035">
        <v>21</v>
      </c>
      <c r="F4035" t="s">
        <v>178</v>
      </c>
      <c r="G4035" t="s">
        <v>90</v>
      </c>
      <c r="H4035" t="s">
        <v>65</v>
      </c>
      <c r="I4035" t="s">
        <v>103</v>
      </c>
      <c r="J4035" t="s">
        <v>37</v>
      </c>
      <c r="K4035" t="s">
        <v>38</v>
      </c>
      <c r="L4035">
        <v>2</v>
      </c>
      <c r="M4035">
        <v>205</v>
      </c>
      <c r="N4035">
        <v>20.5</v>
      </c>
      <c r="O4035">
        <v>20</v>
      </c>
      <c r="P4035">
        <v>410</v>
      </c>
      <c r="Q4035">
        <v>409.5</v>
      </c>
      <c r="R4035" t="s">
        <v>112</v>
      </c>
      <c r="S4035" t="s">
        <v>31</v>
      </c>
      <c r="T4035" t="s">
        <v>40</v>
      </c>
      <c r="U4035">
        <v>32</v>
      </c>
      <c r="V4035">
        <v>4.5999999999999996</v>
      </c>
      <c r="W4035">
        <f>Table2[[#This Row],[Quantity]]*Table2[[#This Row],[Item_Price]]</f>
        <v>410</v>
      </c>
    </row>
    <row r="4036" spans="1:23" x14ac:dyDescent="0.25">
      <c r="A4036" t="s">
        <v>4139</v>
      </c>
      <c r="B4036" s="1">
        <v>45951</v>
      </c>
      <c r="C4036" t="s">
        <v>3846</v>
      </c>
      <c r="D4036">
        <v>10</v>
      </c>
      <c r="E4036">
        <v>21</v>
      </c>
      <c r="F4036" t="s">
        <v>178</v>
      </c>
      <c r="G4036" t="s">
        <v>96</v>
      </c>
      <c r="H4036" t="s">
        <v>60</v>
      </c>
      <c r="I4036" t="s">
        <v>49</v>
      </c>
      <c r="J4036" t="s">
        <v>74</v>
      </c>
      <c r="K4036" t="s">
        <v>38</v>
      </c>
      <c r="L4036">
        <v>2</v>
      </c>
      <c r="M4036">
        <v>687</v>
      </c>
      <c r="N4036">
        <v>171.75</v>
      </c>
      <c r="O4036">
        <v>30</v>
      </c>
      <c r="P4036">
        <v>1374</v>
      </c>
      <c r="Q4036">
        <v>1232.25</v>
      </c>
      <c r="R4036" t="s">
        <v>39</v>
      </c>
      <c r="S4036" t="s">
        <v>91</v>
      </c>
      <c r="T4036" t="s">
        <v>32</v>
      </c>
      <c r="U4036">
        <v>31</v>
      </c>
      <c r="W4036">
        <f>Table2[[#This Row],[Quantity]]*Table2[[#This Row],[Item_Price]]</f>
        <v>1374</v>
      </c>
    </row>
    <row r="4037" spans="1:23" x14ac:dyDescent="0.25">
      <c r="A4037" t="s">
        <v>4140</v>
      </c>
      <c r="B4037" s="1">
        <v>45951</v>
      </c>
      <c r="C4037" t="s">
        <v>3846</v>
      </c>
      <c r="D4037">
        <v>10</v>
      </c>
      <c r="E4037">
        <v>21</v>
      </c>
      <c r="F4037" t="s">
        <v>178</v>
      </c>
      <c r="G4037" t="s">
        <v>115</v>
      </c>
      <c r="H4037" t="s">
        <v>68</v>
      </c>
      <c r="I4037" t="s">
        <v>43</v>
      </c>
      <c r="J4037" t="s">
        <v>119</v>
      </c>
      <c r="K4037" t="s">
        <v>45</v>
      </c>
      <c r="L4037">
        <v>2</v>
      </c>
      <c r="M4037">
        <v>518</v>
      </c>
      <c r="N4037">
        <v>51.8</v>
      </c>
      <c r="O4037">
        <v>30</v>
      </c>
      <c r="P4037">
        <v>1036</v>
      </c>
      <c r="Q4037">
        <v>1014.2</v>
      </c>
      <c r="R4037" t="s">
        <v>39</v>
      </c>
      <c r="S4037" t="s">
        <v>31</v>
      </c>
      <c r="T4037" t="s">
        <v>32</v>
      </c>
      <c r="U4037">
        <v>69</v>
      </c>
      <c r="V4037">
        <v>3.7</v>
      </c>
      <c r="W4037">
        <f>Table2[[#This Row],[Quantity]]*Table2[[#This Row],[Item_Price]]</f>
        <v>1036</v>
      </c>
    </row>
    <row r="4038" spans="1:23" x14ac:dyDescent="0.25">
      <c r="A4038" t="s">
        <v>4141</v>
      </c>
      <c r="B4038" s="1">
        <v>45952</v>
      </c>
      <c r="C4038" t="s">
        <v>3846</v>
      </c>
      <c r="D4038">
        <v>10</v>
      </c>
      <c r="E4038">
        <v>22</v>
      </c>
      <c r="F4038" t="s">
        <v>24</v>
      </c>
      <c r="G4038" t="s">
        <v>84</v>
      </c>
      <c r="H4038" t="s">
        <v>42</v>
      </c>
      <c r="I4038" t="s">
        <v>43</v>
      </c>
      <c r="J4038" t="s">
        <v>94</v>
      </c>
      <c r="K4038" t="s">
        <v>38</v>
      </c>
      <c r="L4038">
        <v>2</v>
      </c>
      <c r="M4038">
        <v>613</v>
      </c>
      <c r="N4038">
        <v>122.6</v>
      </c>
      <c r="O4038">
        <v>0</v>
      </c>
      <c r="P4038">
        <v>1226</v>
      </c>
      <c r="Q4038">
        <v>1103.4000000000001</v>
      </c>
      <c r="R4038" t="s">
        <v>30</v>
      </c>
      <c r="S4038" t="s">
        <v>31</v>
      </c>
      <c r="T4038" t="s">
        <v>40</v>
      </c>
      <c r="U4038">
        <v>43</v>
      </c>
      <c r="V4038">
        <v>3.5</v>
      </c>
      <c r="W4038">
        <f>Table2[[#This Row],[Quantity]]*Table2[[#This Row],[Item_Price]]</f>
        <v>1226</v>
      </c>
    </row>
    <row r="4039" spans="1:23" x14ac:dyDescent="0.25">
      <c r="A4039" t="s">
        <v>4142</v>
      </c>
      <c r="B4039" s="1">
        <v>45952</v>
      </c>
      <c r="C4039" t="s">
        <v>3846</v>
      </c>
      <c r="D4039">
        <v>10</v>
      </c>
      <c r="E4039">
        <v>22</v>
      </c>
      <c r="F4039" t="s">
        <v>24</v>
      </c>
      <c r="G4039" t="s">
        <v>115</v>
      </c>
      <c r="H4039" t="s">
        <v>48</v>
      </c>
      <c r="I4039" t="s">
        <v>43</v>
      </c>
      <c r="J4039" t="s">
        <v>53</v>
      </c>
      <c r="K4039" t="s">
        <v>38</v>
      </c>
      <c r="L4039">
        <v>1</v>
      </c>
      <c r="M4039">
        <v>415</v>
      </c>
      <c r="N4039">
        <v>103.75</v>
      </c>
      <c r="O4039">
        <v>40</v>
      </c>
      <c r="P4039">
        <v>415</v>
      </c>
      <c r="Q4039">
        <v>351.25</v>
      </c>
      <c r="R4039" t="s">
        <v>112</v>
      </c>
      <c r="S4039" t="s">
        <v>31</v>
      </c>
      <c r="T4039" t="s">
        <v>32</v>
      </c>
      <c r="U4039">
        <v>32</v>
      </c>
      <c r="V4039">
        <v>3.6</v>
      </c>
      <c r="W4039">
        <f>Table2[[#This Row],[Quantity]]*Table2[[#This Row],[Item_Price]]</f>
        <v>415</v>
      </c>
    </row>
    <row r="4040" spans="1:23" x14ac:dyDescent="0.25">
      <c r="A4040" t="s">
        <v>4143</v>
      </c>
      <c r="B4040" s="1">
        <v>45952</v>
      </c>
      <c r="C4040" t="s">
        <v>3846</v>
      </c>
      <c r="D4040">
        <v>10</v>
      </c>
      <c r="E4040">
        <v>22</v>
      </c>
      <c r="F4040" t="s">
        <v>24</v>
      </c>
      <c r="G4040" t="s">
        <v>80</v>
      </c>
      <c r="H4040" t="s">
        <v>77</v>
      </c>
      <c r="I4040" t="s">
        <v>85</v>
      </c>
      <c r="J4040" t="s">
        <v>37</v>
      </c>
      <c r="K4040" t="s">
        <v>45</v>
      </c>
      <c r="L4040">
        <v>1</v>
      </c>
      <c r="M4040">
        <v>280</v>
      </c>
      <c r="N4040">
        <v>28</v>
      </c>
      <c r="O4040">
        <v>50</v>
      </c>
      <c r="P4040">
        <v>280</v>
      </c>
      <c r="Q4040">
        <v>302</v>
      </c>
      <c r="R4040" t="s">
        <v>39</v>
      </c>
      <c r="S4040" t="s">
        <v>31</v>
      </c>
      <c r="T4040" t="s">
        <v>32</v>
      </c>
      <c r="U4040">
        <v>57</v>
      </c>
      <c r="V4040">
        <v>4</v>
      </c>
      <c r="W4040">
        <f>Table2[[#This Row],[Quantity]]*Table2[[#This Row],[Item_Price]]</f>
        <v>280</v>
      </c>
    </row>
    <row r="4041" spans="1:23" x14ac:dyDescent="0.25">
      <c r="A4041" t="s">
        <v>4144</v>
      </c>
      <c r="B4041" s="1">
        <v>45952</v>
      </c>
      <c r="C4041" t="s">
        <v>3846</v>
      </c>
      <c r="D4041">
        <v>10</v>
      </c>
      <c r="E4041">
        <v>22</v>
      </c>
      <c r="F4041" t="s">
        <v>24</v>
      </c>
      <c r="G4041" t="s">
        <v>90</v>
      </c>
      <c r="H4041" t="s">
        <v>56</v>
      </c>
      <c r="I4041" t="s">
        <v>43</v>
      </c>
      <c r="J4041" t="s">
        <v>44</v>
      </c>
      <c r="K4041" t="s">
        <v>45</v>
      </c>
      <c r="L4041">
        <v>3</v>
      </c>
      <c r="M4041">
        <v>611</v>
      </c>
      <c r="N4041">
        <v>61.1</v>
      </c>
      <c r="O4041">
        <v>50</v>
      </c>
      <c r="P4041">
        <v>1833</v>
      </c>
      <c r="Q4041">
        <v>1821.9</v>
      </c>
      <c r="R4041" t="s">
        <v>39</v>
      </c>
      <c r="S4041" t="s">
        <v>31</v>
      </c>
      <c r="T4041" t="s">
        <v>40</v>
      </c>
      <c r="U4041">
        <v>64</v>
      </c>
      <c r="V4041">
        <v>4.2</v>
      </c>
      <c r="W4041">
        <f>Table2[[#This Row],[Quantity]]*Table2[[#This Row],[Item_Price]]</f>
        <v>1833</v>
      </c>
    </row>
    <row r="4042" spans="1:23" x14ac:dyDescent="0.25">
      <c r="A4042" t="s">
        <v>4145</v>
      </c>
      <c r="B4042" s="1">
        <v>45952</v>
      </c>
      <c r="C4042" t="s">
        <v>3846</v>
      </c>
      <c r="D4042">
        <v>10</v>
      </c>
      <c r="E4042">
        <v>22</v>
      </c>
      <c r="F4042" t="s">
        <v>24</v>
      </c>
      <c r="G4042" t="s">
        <v>34</v>
      </c>
      <c r="H4042" t="s">
        <v>65</v>
      </c>
      <c r="I4042" t="s">
        <v>36</v>
      </c>
      <c r="J4042" t="s">
        <v>62</v>
      </c>
      <c r="K4042" t="s">
        <v>58</v>
      </c>
      <c r="L4042">
        <v>3</v>
      </c>
      <c r="M4042">
        <v>264</v>
      </c>
      <c r="N4042">
        <v>52.8</v>
      </c>
      <c r="O4042">
        <v>40</v>
      </c>
      <c r="P4042">
        <v>792</v>
      </c>
      <c r="Q4042">
        <v>779.2</v>
      </c>
      <c r="R4042" t="s">
        <v>30</v>
      </c>
      <c r="S4042" t="s">
        <v>31</v>
      </c>
      <c r="T4042" t="s">
        <v>40</v>
      </c>
      <c r="U4042">
        <v>34</v>
      </c>
      <c r="V4042">
        <v>3.8</v>
      </c>
      <c r="W4042">
        <f>Table2[[#This Row],[Quantity]]*Table2[[#This Row],[Item_Price]]</f>
        <v>792</v>
      </c>
    </row>
    <row r="4043" spans="1:23" x14ac:dyDescent="0.25">
      <c r="A4043" t="s">
        <v>4146</v>
      </c>
      <c r="B4043" s="1">
        <v>45952</v>
      </c>
      <c r="C4043" t="s">
        <v>3846</v>
      </c>
      <c r="D4043">
        <v>10</v>
      </c>
      <c r="E4043">
        <v>22</v>
      </c>
      <c r="F4043" t="s">
        <v>24</v>
      </c>
      <c r="G4043" t="s">
        <v>64</v>
      </c>
      <c r="H4043" t="s">
        <v>56</v>
      </c>
      <c r="I4043" t="s">
        <v>61</v>
      </c>
      <c r="J4043" t="s">
        <v>62</v>
      </c>
      <c r="K4043" t="s">
        <v>29</v>
      </c>
      <c r="L4043">
        <v>1</v>
      </c>
      <c r="M4043">
        <v>552</v>
      </c>
      <c r="N4043">
        <v>110.4</v>
      </c>
      <c r="O4043">
        <v>30</v>
      </c>
      <c r="P4043">
        <v>552</v>
      </c>
      <c r="Q4043">
        <v>471.6</v>
      </c>
      <c r="R4043" t="s">
        <v>39</v>
      </c>
      <c r="S4043" t="s">
        <v>31</v>
      </c>
      <c r="T4043" t="s">
        <v>40</v>
      </c>
      <c r="U4043">
        <v>26</v>
      </c>
      <c r="V4043">
        <v>3.3</v>
      </c>
      <c r="W4043">
        <f>Table2[[#This Row],[Quantity]]*Table2[[#This Row],[Item_Price]]</f>
        <v>552</v>
      </c>
    </row>
    <row r="4044" spans="1:23" x14ac:dyDescent="0.25">
      <c r="A4044" t="s">
        <v>4147</v>
      </c>
      <c r="B4044" s="1">
        <v>45952</v>
      </c>
      <c r="C4044" t="s">
        <v>3846</v>
      </c>
      <c r="D4044">
        <v>10</v>
      </c>
      <c r="E4044">
        <v>22</v>
      </c>
      <c r="F4044" t="s">
        <v>24</v>
      </c>
      <c r="G4044" t="s">
        <v>25</v>
      </c>
      <c r="H4044" t="s">
        <v>105</v>
      </c>
      <c r="I4044" t="s">
        <v>61</v>
      </c>
      <c r="J4044" t="s">
        <v>74</v>
      </c>
      <c r="K4044" t="s">
        <v>38</v>
      </c>
      <c r="L4044">
        <v>1</v>
      </c>
      <c r="M4044">
        <v>263</v>
      </c>
      <c r="N4044">
        <v>26.3</v>
      </c>
      <c r="O4044">
        <v>50</v>
      </c>
      <c r="P4044">
        <v>263</v>
      </c>
      <c r="Q4044">
        <v>286.7</v>
      </c>
      <c r="R4044" t="s">
        <v>39</v>
      </c>
      <c r="S4044" t="s">
        <v>31</v>
      </c>
      <c r="T4044" t="s">
        <v>32</v>
      </c>
      <c r="U4044">
        <v>68</v>
      </c>
      <c r="V4044">
        <v>4.9000000000000004</v>
      </c>
      <c r="W4044">
        <f>Table2[[#This Row],[Quantity]]*Table2[[#This Row],[Item_Price]]</f>
        <v>263</v>
      </c>
    </row>
    <row r="4045" spans="1:23" x14ac:dyDescent="0.25">
      <c r="A4045" t="s">
        <v>4148</v>
      </c>
      <c r="B4045" s="1">
        <v>45952</v>
      </c>
      <c r="C4045" t="s">
        <v>3846</v>
      </c>
      <c r="D4045">
        <v>10</v>
      </c>
      <c r="E4045">
        <v>22</v>
      </c>
      <c r="F4045" t="s">
        <v>24</v>
      </c>
      <c r="G4045" t="s">
        <v>84</v>
      </c>
      <c r="H4045" t="s">
        <v>52</v>
      </c>
      <c r="I4045" t="s">
        <v>36</v>
      </c>
      <c r="J4045" t="s">
        <v>70</v>
      </c>
      <c r="K4045" t="s">
        <v>45</v>
      </c>
      <c r="L4045">
        <v>1</v>
      </c>
      <c r="M4045">
        <v>762</v>
      </c>
      <c r="N4045">
        <v>76.2</v>
      </c>
      <c r="O4045">
        <v>50</v>
      </c>
      <c r="P4045">
        <v>762</v>
      </c>
      <c r="Q4045">
        <v>735.8</v>
      </c>
      <c r="R4045" t="s">
        <v>39</v>
      </c>
      <c r="S4045" t="s">
        <v>31</v>
      </c>
      <c r="T4045" t="s">
        <v>40</v>
      </c>
      <c r="U4045">
        <v>42</v>
      </c>
      <c r="V4045">
        <v>5</v>
      </c>
      <c r="W4045">
        <f>Table2[[#This Row],[Quantity]]*Table2[[#This Row],[Item_Price]]</f>
        <v>762</v>
      </c>
    </row>
    <row r="4046" spans="1:23" x14ac:dyDescent="0.25">
      <c r="A4046" t="s">
        <v>4149</v>
      </c>
      <c r="B4046" s="1">
        <v>45952</v>
      </c>
      <c r="C4046" t="s">
        <v>3846</v>
      </c>
      <c r="D4046">
        <v>10</v>
      </c>
      <c r="E4046">
        <v>22</v>
      </c>
      <c r="F4046" t="s">
        <v>24</v>
      </c>
      <c r="G4046" t="s">
        <v>80</v>
      </c>
      <c r="H4046" t="s">
        <v>77</v>
      </c>
      <c r="I4046" t="s">
        <v>36</v>
      </c>
      <c r="J4046" t="s">
        <v>50</v>
      </c>
      <c r="K4046" t="s">
        <v>29</v>
      </c>
      <c r="L4046">
        <v>3</v>
      </c>
      <c r="M4046">
        <v>510</v>
      </c>
      <c r="N4046">
        <v>25.5</v>
      </c>
      <c r="O4046">
        <v>20</v>
      </c>
      <c r="P4046">
        <v>1530</v>
      </c>
      <c r="Q4046">
        <v>1524.5</v>
      </c>
      <c r="R4046" t="s">
        <v>98</v>
      </c>
      <c r="S4046" t="s">
        <v>31</v>
      </c>
      <c r="T4046" t="s">
        <v>40</v>
      </c>
      <c r="U4046">
        <v>66</v>
      </c>
      <c r="V4046">
        <v>4.0999999999999996</v>
      </c>
      <c r="W4046">
        <f>Table2[[#This Row],[Quantity]]*Table2[[#This Row],[Item_Price]]</f>
        <v>1530</v>
      </c>
    </row>
    <row r="4047" spans="1:23" x14ac:dyDescent="0.25">
      <c r="A4047" t="s">
        <v>4150</v>
      </c>
      <c r="B4047" s="1">
        <v>45952</v>
      </c>
      <c r="C4047" t="s">
        <v>3846</v>
      </c>
      <c r="D4047">
        <v>10</v>
      </c>
      <c r="E4047">
        <v>22</v>
      </c>
      <c r="F4047" t="s">
        <v>24</v>
      </c>
      <c r="G4047" t="s">
        <v>34</v>
      </c>
      <c r="H4047" t="s">
        <v>81</v>
      </c>
      <c r="I4047" t="s">
        <v>97</v>
      </c>
      <c r="J4047" t="s">
        <v>53</v>
      </c>
      <c r="K4047" t="s">
        <v>38</v>
      </c>
      <c r="L4047">
        <v>2</v>
      </c>
      <c r="M4047">
        <v>652</v>
      </c>
      <c r="N4047">
        <v>0</v>
      </c>
      <c r="O4047">
        <v>30</v>
      </c>
      <c r="P4047">
        <v>1304</v>
      </c>
      <c r="Q4047">
        <v>1334</v>
      </c>
      <c r="R4047" t="s">
        <v>39</v>
      </c>
      <c r="S4047" t="s">
        <v>31</v>
      </c>
      <c r="T4047" t="s">
        <v>40</v>
      </c>
      <c r="U4047">
        <v>56</v>
      </c>
      <c r="V4047">
        <v>2.2999999999999998</v>
      </c>
      <c r="W4047">
        <f>Table2[[#This Row],[Quantity]]*Table2[[#This Row],[Item_Price]]</f>
        <v>1304</v>
      </c>
    </row>
    <row r="4048" spans="1:23" x14ac:dyDescent="0.25">
      <c r="A4048" t="s">
        <v>4151</v>
      </c>
      <c r="B4048" s="1">
        <v>45952</v>
      </c>
      <c r="C4048" t="s">
        <v>3846</v>
      </c>
      <c r="D4048">
        <v>10</v>
      </c>
      <c r="E4048">
        <v>22</v>
      </c>
      <c r="F4048" t="s">
        <v>24</v>
      </c>
      <c r="G4048" t="s">
        <v>80</v>
      </c>
      <c r="H4048" t="s">
        <v>65</v>
      </c>
      <c r="I4048" t="s">
        <v>49</v>
      </c>
      <c r="J4048" t="s">
        <v>66</v>
      </c>
      <c r="K4048" t="s">
        <v>38</v>
      </c>
      <c r="L4048">
        <v>1</v>
      </c>
      <c r="M4048">
        <v>673</v>
      </c>
      <c r="N4048">
        <v>0</v>
      </c>
      <c r="O4048">
        <v>60</v>
      </c>
      <c r="P4048">
        <v>673</v>
      </c>
      <c r="Q4048">
        <v>733</v>
      </c>
      <c r="R4048" t="s">
        <v>75</v>
      </c>
      <c r="S4048" t="s">
        <v>31</v>
      </c>
      <c r="T4048" t="s">
        <v>40</v>
      </c>
      <c r="U4048">
        <v>53</v>
      </c>
      <c r="V4048">
        <v>4.7</v>
      </c>
      <c r="W4048">
        <f>Table2[[#This Row],[Quantity]]*Table2[[#This Row],[Item_Price]]</f>
        <v>673</v>
      </c>
    </row>
    <row r="4049" spans="1:23" x14ac:dyDescent="0.25">
      <c r="A4049" t="s">
        <v>4152</v>
      </c>
      <c r="B4049" s="1">
        <v>45952</v>
      </c>
      <c r="C4049" t="s">
        <v>3846</v>
      </c>
      <c r="D4049">
        <v>10</v>
      </c>
      <c r="E4049">
        <v>22</v>
      </c>
      <c r="F4049" t="s">
        <v>24</v>
      </c>
      <c r="G4049" t="s">
        <v>80</v>
      </c>
      <c r="H4049" t="s">
        <v>139</v>
      </c>
      <c r="I4049" t="s">
        <v>27</v>
      </c>
      <c r="J4049" t="s">
        <v>28</v>
      </c>
      <c r="K4049" t="s">
        <v>45</v>
      </c>
      <c r="L4049">
        <v>2</v>
      </c>
      <c r="M4049">
        <v>610</v>
      </c>
      <c r="N4049">
        <v>91.5</v>
      </c>
      <c r="O4049">
        <v>60</v>
      </c>
      <c r="P4049">
        <v>1220</v>
      </c>
      <c r="Q4049">
        <v>1188.5</v>
      </c>
      <c r="R4049" t="s">
        <v>39</v>
      </c>
      <c r="S4049" t="s">
        <v>110</v>
      </c>
      <c r="T4049" t="s">
        <v>40</v>
      </c>
      <c r="U4049">
        <v>35</v>
      </c>
      <c r="W4049">
        <f>Table2[[#This Row],[Quantity]]*Table2[[#This Row],[Item_Price]]</f>
        <v>1220</v>
      </c>
    </row>
    <row r="4050" spans="1:23" x14ac:dyDescent="0.25">
      <c r="A4050" t="s">
        <v>4153</v>
      </c>
      <c r="B4050" s="1">
        <v>45952</v>
      </c>
      <c r="C4050" t="s">
        <v>3846</v>
      </c>
      <c r="D4050">
        <v>10</v>
      </c>
      <c r="E4050">
        <v>22</v>
      </c>
      <c r="F4050" t="s">
        <v>24</v>
      </c>
      <c r="G4050" t="s">
        <v>64</v>
      </c>
      <c r="H4050" t="s">
        <v>56</v>
      </c>
      <c r="I4050" t="s">
        <v>43</v>
      </c>
      <c r="J4050" t="s">
        <v>70</v>
      </c>
      <c r="K4050" t="s">
        <v>38</v>
      </c>
      <c r="L4050">
        <v>3</v>
      </c>
      <c r="M4050">
        <v>149</v>
      </c>
      <c r="N4050">
        <v>7.45</v>
      </c>
      <c r="O4050">
        <v>40</v>
      </c>
      <c r="P4050">
        <v>447</v>
      </c>
      <c r="Q4050">
        <v>479.55</v>
      </c>
      <c r="R4050" t="s">
        <v>75</v>
      </c>
      <c r="S4050" t="s">
        <v>31</v>
      </c>
      <c r="T4050" t="s">
        <v>40</v>
      </c>
      <c r="U4050">
        <v>53</v>
      </c>
      <c r="V4050">
        <v>3.3</v>
      </c>
      <c r="W4050">
        <f>Table2[[#This Row],[Quantity]]*Table2[[#This Row],[Item_Price]]</f>
        <v>447</v>
      </c>
    </row>
    <row r="4051" spans="1:23" x14ac:dyDescent="0.25">
      <c r="A4051" t="s">
        <v>4154</v>
      </c>
      <c r="B4051" s="1">
        <v>45952</v>
      </c>
      <c r="C4051" t="s">
        <v>3846</v>
      </c>
      <c r="D4051">
        <v>10</v>
      </c>
      <c r="E4051">
        <v>22</v>
      </c>
      <c r="F4051" t="s">
        <v>24</v>
      </c>
      <c r="G4051" t="s">
        <v>73</v>
      </c>
      <c r="H4051" t="s">
        <v>42</v>
      </c>
      <c r="I4051" t="s">
        <v>57</v>
      </c>
      <c r="J4051" t="s">
        <v>53</v>
      </c>
      <c r="K4051" t="s">
        <v>38</v>
      </c>
      <c r="L4051">
        <v>1</v>
      </c>
      <c r="M4051">
        <v>834</v>
      </c>
      <c r="N4051">
        <v>0</v>
      </c>
      <c r="O4051">
        <v>50</v>
      </c>
      <c r="P4051">
        <v>834</v>
      </c>
      <c r="Q4051">
        <v>884</v>
      </c>
      <c r="R4051" t="s">
        <v>98</v>
      </c>
      <c r="S4051" t="s">
        <v>31</v>
      </c>
      <c r="T4051" t="s">
        <v>32</v>
      </c>
      <c r="U4051">
        <v>22</v>
      </c>
      <c r="V4051">
        <v>3.3</v>
      </c>
      <c r="W4051">
        <f>Table2[[#This Row],[Quantity]]*Table2[[#This Row],[Item_Price]]</f>
        <v>834</v>
      </c>
    </row>
    <row r="4052" spans="1:23" x14ac:dyDescent="0.25">
      <c r="A4052" t="s">
        <v>4155</v>
      </c>
      <c r="B4052" s="1">
        <v>45952</v>
      </c>
      <c r="C4052" t="s">
        <v>3846</v>
      </c>
      <c r="D4052">
        <v>10</v>
      </c>
      <c r="E4052">
        <v>22</v>
      </c>
      <c r="F4052" t="s">
        <v>24</v>
      </c>
      <c r="G4052" t="s">
        <v>64</v>
      </c>
      <c r="H4052" t="s">
        <v>42</v>
      </c>
      <c r="I4052" t="s">
        <v>27</v>
      </c>
      <c r="J4052" t="s">
        <v>50</v>
      </c>
      <c r="K4052" t="s">
        <v>58</v>
      </c>
      <c r="L4052">
        <v>1</v>
      </c>
      <c r="M4052">
        <v>658</v>
      </c>
      <c r="N4052">
        <v>131.6</v>
      </c>
      <c r="O4052">
        <v>0</v>
      </c>
      <c r="P4052">
        <v>658</v>
      </c>
      <c r="Q4052">
        <v>526.4</v>
      </c>
      <c r="R4052" t="s">
        <v>39</v>
      </c>
      <c r="S4052" t="s">
        <v>91</v>
      </c>
      <c r="T4052" t="s">
        <v>40</v>
      </c>
      <c r="U4052">
        <v>67</v>
      </c>
      <c r="W4052">
        <f>Table2[[#This Row],[Quantity]]*Table2[[#This Row],[Item_Price]]</f>
        <v>658</v>
      </c>
    </row>
    <row r="4053" spans="1:23" x14ac:dyDescent="0.25">
      <c r="A4053" t="s">
        <v>4156</v>
      </c>
      <c r="B4053" s="1">
        <v>45952</v>
      </c>
      <c r="C4053" t="s">
        <v>3846</v>
      </c>
      <c r="D4053">
        <v>10</v>
      </c>
      <c r="E4053">
        <v>22</v>
      </c>
      <c r="F4053" t="s">
        <v>24</v>
      </c>
      <c r="G4053" t="s">
        <v>96</v>
      </c>
      <c r="H4053" t="s">
        <v>81</v>
      </c>
      <c r="I4053" t="s">
        <v>69</v>
      </c>
      <c r="J4053" t="s">
        <v>28</v>
      </c>
      <c r="K4053" t="s">
        <v>38</v>
      </c>
      <c r="L4053">
        <v>1</v>
      </c>
      <c r="M4053">
        <v>586</v>
      </c>
      <c r="N4053">
        <v>87.9</v>
      </c>
      <c r="O4053">
        <v>20</v>
      </c>
      <c r="P4053">
        <v>586</v>
      </c>
      <c r="Q4053">
        <v>518.1</v>
      </c>
      <c r="R4053" t="s">
        <v>39</v>
      </c>
      <c r="S4053" t="s">
        <v>46</v>
      </c>
      <c r="T4053" t="s">
        <v>40</v>
      </c>
      <c r="U4053">
        <v>56</v>
      </c>
      <c r="W4053">
        <f>Table2[[#This Row],[Quantity]]*Table2[[#This Row],[Item_Price]]</f>
        <v>586</v>
      </c>
    </row>
    <row r="4054" spans="1:23" x14ac:dyDescent="0.25">
      <c r="A4054" t="s">
        <v>4157</v>
      </c>
      <c r="B4054" s="1">
        <v>45953</v>
      </c>
      <c r="C4054" t="s">
        <v>3846</v>
      </c>
      <c r="D4054">
        <v>10</v>
      </c>
      <c r="E4054">
        <v>23</v>
      </c>
      <c r="F4054" t="s">
        <v>88</v>
      </c>
      <c r="G4054" t="s">
        <v>80</v>
      </c>
      <c r="H4054" t="s">
        <v>139</v>
      </c>
      <c r="I4054" t="s">
        <v>97</v>
      </c>
      <c r="J4054" t="s">
        <v>50</v>
      </c>
      <c r="K4054" t="s">
        <v>45</v>
      </c>
      <c r="L4054">
        <v>2</v>
      </c>
      <c r="M4054">
        <v>494</v>
      </c>
      <c r="N4054">
        <v>49.4</v>
      </c>
      <c r="O4054">
        <v>0</v>
      </c>
      <c r="P4054">
        <v>988</v>
      </c>
      <c r="Q4054">
        <v>938.6</v>
      </c>
      <c r="R4054" t="s">
        <v>39</v>
      </c>
      <c r="S4054" t="s">
        <v>31</v>
      </c>
      <c r="T4054" t="s">
        <v>40</v>
      </c>
      <c r="U4054">
        <v>49</v>
      </c>
      <c r="V4054">
        <v>2.7</v>
      </c>
      <c r="W4054">
        <f>Table2[[#This Row],[Quantity]]*Table2[[#This Row],[Item_Price]]</f>
        <v>988</v>
      </c>
    </row>
    <row r="4055" spans="1:23" x14ac:dyDescent="0.25">
      <c r="A4055" t="s">
        <v>4158</v>
      </c>
      <c r="B4055" s="1">
        <v>45953</v>
      </c>
      <c r="C4055" t="s">
        <v>3846</v>
      </c>
      <c r="D4055">
        <v>10</v>
      </c>
      <c r="E4055">
        <v>23</v>
      </c>
      <c r="F4055" t="s">
        <v>88</v>
      </c>
      <c r="G4055" t="s">
        <v>73</v>
      </c>
      <c r="H4055" t="s">
        <v>65</v>
      </c>
      <c r="I4055" t="s">
        <v>69</v>
      </c>
      <c r="J4055" t="s">
        <v>101</v>
      </c>
      <c r="K4055" t="s">
        <v>38</v>
      </c>
      <c r="L4055">
        <v>2</v>
      </c>
      <c r="M4055">
        <v>607</v>
      </c>
      <c r="N4055">
        <v>0</v>
      </c>
      <c r="O4055">
        <v>50</v>
      </c>
      <c r="P4055">
        <v>1214</v>
      </c>
      <c r="Q4055">
        <v>1264</v>
      </c>
      <c r="R4055" t="s">
        <v>30</v>
      </c>
      <c r="S4055" t="s">
        <v>31</v>
      </c>
      <c r="T4055" t="s">
        <v>40</v>
      </c>
      <c r="U4055">
        <v>55</v>
      </c>
      <c r="V4055">
        <v>4.7</v>
      </c>
      <c r="W4055">
        <f>Table2[[#This Row],[Quantity]]*Table2[[#This Row],[Item_Price]]</f>
        <v>1214</v>
      </c>
    </row>
    <row r="4056" spans="1:23" x14ac:dyDescent="0.25">
      <c r="A4056" t="s">
        <v>4159</v>
      </c>
      <c r="B4056" s="1">
        <v>45953</v>
      </c>
      <c r="C4056" t="s">
        <v>3846</v>
      </c>
      <c r="D4056">
        <v>10</v>
      </c>
      <c r="E4056">
        <v>23</v>
      </c>
      <c r="F4056" t="s">
        <v>88</v>
      </c>
      <c r="G4056" t="s">
        <v>64</v>
      </c>
      <c r="H4056" t="s">
        <v>77</v>
      </c>
      <c r="I4056" t="s">
        <v>103</v>
      </c>
      <c r="J4056" t="s">
        <v>53</v>
      </c>
      <c r="K4056" t="s">
        <v>38</v>
      </c>
      <c r="L4056">
        <v>2</v>
      </c>
      <c r="M4056">
        <v>753</v>
      </c>
      <c r="N4056">
        <v>0</v>
      </c>
      <c r="O4056">
        <v>30</v>
      </c>
      <c r="P4056">
        <v>1506</v>
      </c>
      <c r="Q4056">
        <v>1536</v>
      </c>
      <c r="R4056" t="s">
        <v>39</v>
      </c>
      <c r="S4056" t="s">
        <v>31</v>
      </c>
      <c r="T4056" t="s">
        <v>32</v>
      </c>
      <c r="U4056">
        <v>36</v>
      </c>
      <c r="V4056">
        <v>4.2</v>
      </c>
      <c r="W4056">
        <f>Table2[[#This Row],[Quantity]]*Table2[[#This Row],[Item_Price]]</f>
        <v>1506</v>
      </c>
    </row>
    <row r="4057" spans="1:23" x14ac:dyDescent="0.25">
      <c r="A4057" t="s">
        <v>4160</v>
      </c>
      <c r="B4057" s="1">
        <v>45953</v>
      </c>
      <c r="C4057" t="s">
        <v>3846</v>
      </c>
      <c r="D4057">
        <v>10</v>
      </c>
      <c r="E4057">
        <v>23</v>
      </c>
      <c r="F4057" t="s">
        <v>88</v>
      </c>
      <c r="G4057" t="s">
        <v>73</v>
      </c>
      <c r="H4057" t="s">
        <v>108</v>
      </c>
      <c r="I4057" t="s">
        <v>43</v>
      </c>
      <c r="J4057" t="s">
        <v>119</v>
      </c>
      <c r="K4057" t="s">
        <v>38</v>
      </c>
      <c r="L4057">
        <v>1</v>
      </c>
      <c r="M4057">
        <v>309</v>
      </c>
      <c r="N4057">
        <v>46.35</v>
      </c>
      <c r="O4057">
        <v>70</v>
      </c>
      <c r="P4057">
        <v>309</v>
      </c>
      <c r="Q4057">
        <v>332.65</v>
      </c>
      <c r="R4057" t="s">
        <v>30</v>
      </c>
      <c r="S4057" t="s">
        <v>31</v>
      </c>
      <c r="T4057" t="s">
        <v>40</v>
      </c>
      <c r="U4057">
        <v>50</v>
      </c>
      <c r="V4057">
        <v>4.8</v>
      </c>
      <c r="W4057">
        <f>Table2[[#This Row],[Quantity]]*Table2[[#This Row],[Item_Price]]</f>
        <v>309</v>
      </c>
    </row>
    <row r="4058" spans="1:23" x14ac:dyDescent="0.25">
      <c r="A4058" t="s">
        <v>4161</v>
      </c>
      <c r="B4058" s="1">
        <v>45953</v>
      </c>
      <c r="C4058" t="s">
        <v>3846</v>
      </c>
      <c r="D4058">
        <v>10</v>
      </c>
      <c r="E4058">
        <v>23</v>
      </c>
      <c r="F4058" t="s">
        <v>88</v>
      </c>
      <c r="G4058" t="s">
        <v>84</v>
      </c>
      <c r="H4058" t="s">
        <v>56</v>
      </c>
      <c r="I4058" t="s">
        <v>97</v>
      </c>
      <c r="J4058" t="s">
        <v>172</v>
      </c>
      <c r="K4058" t="s">
        <v>38</v>
      </c>
      <c r="L4058">
        <v>1</v>
      </c>
      <c r="M4058">
        <v>495</v>
      </c>
      <c r="N4058">
        <v>49.5</v>
      </c>
      <c r="O4058">
        <v>60</v>
      </c>
      <c r="P4058">
        <v>495</v>
      </c>
      <c r="Q4058">
        <v>505.5</v>
      </c>
      <c r="R4058" t="s">
        <v>39</v>
      </c>
      <c r="S4058" t="s">
        <v>31</v>
      </c>
      <c r="T4058" t="s">
        <v>40</v>
      </c>
      <c r="U4058">
        <v>63</v>
      </c>
      <c r="V4058">
        <v>4.2</v>
      </c>
      <c r="W4058">
        <f>Table2[[#This Row],[Quantity]]*Table2[[#This Row],[Item_Price]]</f>
        <v>495</v>
      </c>
    </row>
    <row r="4059" spans="1:23" x14ac:dyDescent="0.25">
      <c r="A4059" t="s">
        <v>4162</v>
      </c>
      <c r="B4059" s="1">
        <v>45953</v>
      </c>
      <c r="C4059" t="s">
        <v>3846</v>
      </c>
      <c r="D4059">
        <v>10</v>
      </c>
      <c r="E4059">
        <v>23</v>
      </c>
      <c r="F4059" t="s">
        <v>88</v>
      </c>
      <c r="G4059" t="s">
        <v>55</v>
      </c>
      <c r="H4059" t="s">
        <v>68</v>
      </c>
      <c r="I4059" t="s">
        <v>36</v>
      </c>
      <c r="J4059" t="s">
        <v>53</v>
      </c>
      <c r="K4059" t="s">
        <v>38</v>
      </c>
      <c r="L4059">
        <v>1</v>
      </c>
      <c r="M4059">
        <v>598</v>
      </c>
      <c r="N4059">
        <v>89.7</v>
      </c>
      <c r="O4059">
        <v>50</v>
      </c>
      <c r="P4059">
        <v>598</v>
      </c>
      <c r="Q4059">
        <v>558.29999999999995</v>
      </c>
      <c r="R4059" t="s">
        <v>39</v>
      </c>
      <c r="S4059" t="s">
        <v>31</v>
      </c>
      <c r="T4059" t="s">
        <v>32</v>
      </c>
      <c r="U4059">
        <v>37</v>
      </c>
      <c r="V4059">
        <v>4.5</v>
      </c>
      <c r="W4059">
        <f>Table2[[#This Row],[Quantity]]*Table2[[#This Row],[Item_Price]]</f>
        <v>598</v>
      </c>
    </row>
    <row r="4060" spans="1:23" x14ac:dyDescent="0.25">
      <c r="A4060" t="s">
        <v>4163</v>
      </c>
      <c r="B4060" s="1">
        <v>45953</v>
      </c>
      <c r="C4060" t="s">
        <v>3846</v>
      </c>
      <c r="D4060">
        <v>10</v>
      </c>
      <c r="E4060">
        <v>23</v>
      </c>
      <c r="F4060" t="s">
        <v>88</v>
      </c>
      <c r="G4060" t="s">
        <v>34</v>
      </c>
      <c r="H4060" t="s">
        <v>35</v>
      </c>
      <c r="I4060" t="s">
        <v>85</v>
      </c>
      <c r="J4060" t="s">
        <v>172</v>
      </c>
      <c r="K4060" t="s">
        <v>38</v>
      </c>
      <c r="L4060">
        <v>2</v>
      </c>
      <c r="M4060">
        <v>141</v>
      </c>
      <c r="N4060">
        <v>35.25</v>
      </c>
      <c r="O4060">
        <v>30</v>
      </c>
      <c r="P4060">
        <v>282</v>
      </c>
      <c r="Q4060">
        <v>276.75</v>
      </c>
      <c r="R4060" t="s">
        <v>39</v>
      </c>
      <c r="S4060" t="s">
        <v>31</v>
      </c>
      <c r="T4060" t="s">
        <v>40</v>
      </c>
      <c r="U4060">
        <v>70</v>
      </c>
      <c r="V4060">
        <v>3.8</v>
      </c>
      <c r="W4060">
        <f>Table2[[#This Row],[Quantity]]*Table2[[#This Row],[Item_Price]]</f>
        <v>282</v>
      </c>
    </row>
    <row r="4061" spans="1:23" x14ac:dyDescent="0.25">
      <c r="A4061" t="s">
        <v>4164</v>
      </c>
      <c r="B4061" s="1">
        <v>45953</v>
      </c>
      <c r="C4061" t="s">
        <v>3846</v>
      </c>
      <c r="D4061">
        <v>10</v>
      </c>
      <c r="E4061">
        <v>23</v>
      </c>
      <c r="F4061" t="s">
        <v>88</v>
      </c>
      <c r="G4061" t="s">
        <v>90</v>
      </c>
      <c r="H4061" t="s">
        <v>56</v>
      </c>
      <c r="I4061" t="s">
        <v>36</v>
      </c>
      <c r="J4061" t="s">
        <v>50</v>
      </c>
      <c r="K4061" t="s">
        <v>38</v>
      </c>
      <c r="L4061">
        <v>2</v>
      </c>
      <c r="M4061">
        <v>593</v>
      </c>
      <c r="N4061">
        <v>59.3</v>
      </c>
      <c r="O4061">
        <v>0</v>
      </c>
      <c r="P4061">
        <v>1186</v>
      </c>
      <c r="Q4061">
        <v>1126.7</v>
      </c>
      <c r="R4061" t="s">
        <v>39</v>
      </c>
      <c r="S4061" t="s">
        <v>31</v>
      </c>
      <c r="T4061" t="s">
        <v>32</v>
      </c>
      <c r="U4061">
        <v>67</v>
      </c>
      <c r="V4061">
        <v>3.4</v>
      </c>
      <c r="W4061">
        <f>Table2[[#This Row],[Quantity]]*Table2[[#This Row],[Item_Price]]</f>
        <v>1186</v>
      </c>
    </row>
    <row r="4062" spans="1:23" x14ac:dyDescent="0.25">
      <c r="A4062" t="s">
        <v>4165</v>
      </c>
      <c r="B4062" s="1">
        <v>45953</v>
      </c>
      <c r="C4062" t="s">
        <v>3846</v>
      </c>
      <c r="D4062">
        <v>10</v>
      </c>
      <c r="E4062">
        <v>23</v>
      </c>
      <c r="F4062" t="s">
        <v>88</v>
      </c>
      <c r="G4062" t="s">
        <v>25</v>
      </c>
      <c r="H4062" t="s">
        <v>52</v>
      </c>
      <c r="I4062" t="s">
        <v>27</v>
      </c>
      <c r="J4062" t="s">
        <v>70</v>
      </c>
      <c r="K4062" t="s">
        <v>38</v>
      </c>
      <c r="L4062">
        <v>3</v>
      </c>
      <c r="M4062">
        <v>636</v>
      </c>
      <c r="N4062">
        <v>159</v>
      </c>
      <c r="O4062">
        <v>40</v>
      </c>
      <c r="P4062">
        <v>1908</v>
      </c>
      <c r="Q4062">
        <v>1789</v>
      </c>
      <c r="R4062" t="s">
        <v>39</v>
      </c>
      <c r="S4062" t="s">
        <v>91</v>
      </c>
      <c r="T4062" t="s">
        <v>40</v>
      </c>
      <c r="U4062">
        <v>48</v>
      </c>
      <c r="W4062">
        <f>Table2[[#This Row],[Quantity]]*Table2[[#This Row],[Item_Price]]</f>
        <v>1908</v>
      </c>
    </row>
    <row r="4063" spans="1:23" x14ac:dyDescent="0.25">
      <c r="A4063" t="s">
        <v>4166</v>
      </c>
      <c r="B4063" s="1">
        <v>45953</v>
      </c>
      <c r="C4063" t="s">
        <v>3846</v>
      </c>
      <c r="D4063">
        <v>10</v>
      </c>
      <c r="E4063">
        <v>23</v>
      </c>
      <c r="F4063" t="s">
        <v>88</v>
      </c>
      <c r="G4063" t="s">
        <v>80</v>
      </c>
      <c r="H4063" t="s">
        <v>65</v>
      </c>
      <c r="I4063" t="s">
        <v>57</v>
      </c>
      <c r="J4063" t="s">
        <v>82</v>
      </c>
      <c r="K4063" t="s">
        <v>38</v>
      </c>
      <c r="L4063">
        <v>2</v>
      </c>
      <c r="M4063">
        <v>825</v>
      </c>
      <c r="N4063">
        <v>82.5</v>
      </c>
      <c r="O4063">
        <v>30</v>
      </c>
      <c r="P4063">
        <v>1650</v>
      </c>
      <c r="Q4063">
        <v>1597.5</v>
      </c>
      <c r="R4063" t="s">
        <v>75</v>
      </c>
      <c r="S4063" t="s">
        <v>31</v>
      </c>
      <c r="T4063" t="s">
        <v>40</v>
      </c>
      <c r="U4063">
        <v>39</v>
      </c>
      <c r="V4063">
        <v>4.3</v>
      </c>
      <c r="W4063">
        <f>Table2[[#This Row],[Quantity]]*Table2[[#This Row],[Item_Price]]</f>
        <v>1650</v>
      </c>
    </row>
    <row r="4064" spans="1:23" x14ac:dyDescent="0.25">
      <c r="A4064" t="s">
        <v>4167</v>
      </c>
      <c r="B4064" s="1">
        <v>45953</v>
      </c>
      <c r="C4064" t="s">
        <v>3846</v>
      </c>
      <c r="D4064">
        <v>10</v>
      </c>
      <c r="E4064">
        <v>23</v>
      </c>
      <c r="F4064" t="s">
        <v>88</v>
      </c>
      <c r="G4064" t="s">
        <v>73</v>
      </c>
      <c r="H4064" t="s">
        <v>81</v>
      </c>
      <c r="I4064" t="s">
        <v>69</v>
      </c>
      <c r="J4064" t="s">
        <v>53</v>
      </c>
      <c r="K4064" t="s">
        <v>38</v>
      </c>
      <c r="L4064">
        <v>1</v>
      </c>
      <c r="M4064">
        <v>842</v>
      </c>
      <c r="N4064">
        <v>210.5</v>
      </c>
      <c r="O4064">
        <v>60</v>
      </c>
      <c r="P4064">
        <v>842</v>
      </c>
      <c r="Q4064">
        <v>691.5</v>
      </c>
      <c r="R4064" t="s">
        <v>39</v>
      </c>
      <c r="S4064" t="s">
        <v>31</v>
      </c>
      <c r="T4064" t="s">
        <v>40</v>
      </c>
      <c r="U4064">
        <v>23</v>
      </c>
      <c r="V4064">
        <v>4.2</v>
      </c>
      <c r="W4064">
        <f>Table2[[#This Row],[Quantity]]*Table2[[#This Row],[Item_Price]]</f>
        <v>842</v>
      </c>
    </row>
    <row r="4065" spans="1:23" x14ac:dyDescent="0.25">
      <c r="A4065" t="s">
        <v>4168</v>
      </c>
      <c r="B4065" s="1">
        <v>45953</v>
      </c>
      <c r="C4065" t="s">
        <v>3846</v>
      </c>
      <c r="D4065">
        <v>10</v>
      </c>
      <c r="E4065">
        <v>23</v>
      </c>
      <c r="F4065" t="s">
        <v>88</v>
      </c>
      <c r="G4065" t="s">
        <v>115</v>
      </c>
      <c r="H4065" t="s">
        <v>135</v>
      </c>
      <c r="I4065" t="s">
        <v>69</v>
      </c>
      <c r="J4065" t="s">
        <v>78</v>
      </c>
      <c r="K4065" t="s">
        <v>29</v>
      </c>
      <c r="L4065">
        <v>3</v>
      </c>
      <c r="M4065">
        <v>128</v>
      </c>
      <c r="N4065">
        <v>6.4</v>
      </c>
      <c r="O4065">
        <v>40</v>
      </c>
      <c r="P4065">
        <v>384</v>
      </c>
      <c r="Q4065">
        <v>417.6</v>
      </c>
      <c r="R4065" t="s">
        <v>98</v>
      </c>
      <c r="S4065" t="s">
        <v>31</v>
      </c>
      <c r="T4065" t="s">
        <v>40</v>
      </c>
      <c r="U4065">
        <v>61</v>
      </c>
      <c r="V4065">
        <v>2.7</v>
      </c>
      <c r="W4065">
        <f>Table2[[#This Row],[Quantity]]*Table2[[#This Row],[Item_Price]]</f>
        <v>384</v>
      </c>
    </row>
    <row r="4066" spans="1:23" x14ac:dyDescent="0.25">
      <c r="A4066" t="s">
        <v>4169</v>
      </c>
      <c r="B4066" s="1">
        <v>45954</v>
      </c>
      <c r="C4066" t="s">
        <v>3846</v>
      </c>
      <c r="D4066">
        <v>10</v>
      </c>
      <c r="E4066">
        <v>24</v>
      </c>
      <c r="F4066" t="s">
        <v>114</v>
      </c>
      <c r="G4066" t="s">
        <v>84</v>
      </c>
      <c r="H4066" t="s">
        <v>77</v>
      </c>
      <c r="I4066" t="s">
        <v>103</v>
      </c>
      <c r="J4066" t="s">
        <v>53</v>
      </c>
      <c r="K4066" t="s">
        <v>38</v>
      </c>
      <c r="L4066">
        <v>1</v>
      </c>
      <c r="M4066">
        <v>381</v>
      </c>
      <c r="N4066">
        <v>76.2</v>
      </c>
      <c r="O4066">
        <v>50</v>
      </c>
      <c r="P4066">
        <v>381</v>
      </c>
      <c r="Q4066">
        <v>354.8</v>
      </c>
      <c r="R4066" t="s">
        <v>75</v>
      </c>
      <c r="S4066" t="s">
        <v>31</v>
      </c>
      <c r="T4066" t="s">
        <v>40</v>
      </c>
      <c r="U4066">
        <v>46</v>
      </c>
      <c r="V4066">
        <v>2.9</v>
      </c>
      <c r="W4066">
        <f>Table2[[#This Row],[Quantity]]*Table2[[#This Row],[Item_Price]]</f>
        <v>381</v>
      </c>
    </row>
    <row r="4067" spans="1:23" x14ac:dyDescent="0.25">
      <c r="A4067" t="s">
        <v>4170</v>
      </c>
      <c r="B4067" s="1">
        <v>45954</v>
      </c>
      <c r="C4067" t="s">
        <v>3846</v>
      </c>
      <c r="D4067">
        <v>10</v>
      </c>
      <c r="E4067">
        <v>24</v>
      </c>
      <c r="F4067" t="s">
        <v>114</v>
      </c>
      <c r="G4067" t="s">
        <v>64</v>
      </c>
      <c r="H4067" t="s">
        <v>77</v>
      </c>
      <c r="I4067" t="s">
        <v>103</v>
      </c>
      <c r="J4067" t="s">
        <v>28</v>
      </c>
      <c r="K4067" t="s">
        <v>38</v>
      </c>
      <c r="L4067">
        <v>3</v>
      </c>
      <c r="M4067">
        <v>160</v>
      </c>
      <c r="N4067">
        <v>8</v>
      </c>
      <c r="O4067">
        <v>30</v>
      </c>
      <c r="P4067">
        <v>480</v>
      </c>
      <c r="Q4067">
        <v>502</v>
      </c>
      <c r="R4067" t="s">
        <v>30</v>
      </c>
      <c r="S4067" t="s">
        <v>31</v>
      </c>
      <c r="T4067" t="s">
        <v>40</v>
      </c>
      <c r="U4067">
        <v>63</v>
      </c>
      <c r="V4067">
        <v>4.4000000000000004</v>
      </c>
      <c r="W4067">
        <f>Table2[[#This Row],[Quantity]]*Table2[[#This Row],[Item_Price]]</f>
        <v>480</v>
      </c>
    </row>
    <row r="4068" spans="1:23" x14ac:dyDescent="0.25">
      <c r="A4068" t="s">
        <v>4171</v>
      </c>
      <c r="B4068" s="1">
        <v>45954</v>
      </c>
      <c r="C4068" t="s">
        <v>3846</v>
      </c>
      <c r="D4068">
        <v>10</v>
      </c>
      <c r="E4068">
        <v>24</v>
      </c>
      <c r="F4068" t="s">
        <v>114</v>
      </c>
      <c r="G4068" t="s">
        <v>55</v>
      </c>
      <c r="H4068" t="s">
        <v>60</v>
      </c>
      <c r="I4068" t="s">
        <v>103</v>
      </c>
      <c r="J4068" t="s">
        <v>78</v>
      </c>
      <c r="K4068" t="s">
        <v>38</v>
      </c>
      <c r="L4068">
        <v>1</v>
      </c>
      <c r="M4068">
        <v>657</v>
      </c>
      <c r="N4068">
        <v>65.7</v>
      </c>
      <c r="O4068">
        <v>50</v>
      </c>
      <c r="P4068">
        <v>657</v>
      </c>
      <c r="Q4068">
        <v>641.29999999999995</v>
      </c>
      <c r="R4068" t="s">
        <v>39</v>
      </c>
      <c r="S4068" t="s">
        <v>91</v>
      </c>
      <c r="T4068" t="s">
        <v>32</v>
      </c>
      <c r="U4068">
        <v>50</v>
      </c>
      <c r="W4068">
        <f>Table2[[#This Row],[Quantity]]*Table2[[#This Row],[Item_Price]]</f>
        <v>657</v>
      </c>
    </row>
    <row r="4069" spans="1:23" x14ac:dyDescent="0.25">
      <c r="A4069" t="s">
        <v>4172</v>
      </c>
      <c r="B4069" s="1">
        <v>45954</v>
      </c>
      <c r="C4069" t="s">
        <v>3846</v>
      </c>
      <c r="D4069">
        <v>10</v>
      </c>
      <c r="E4069">
        <v>24</v>
      </c>
      <c r="F4069" t="s">
        <v>114</v>
      </c>
      <c r="G4069" t="s">
        <v>73</v>
      </c>
      <c r="H4069" t="s">
        <v>81</v>
      </c>
      <c r="I4069" t="s">
        <v>43</v>
      </c>
      <c r="J4069" t="s">
        <v>172</v>
      </c>
      <c r="K4069" t="s">
        <v>38</v>
      </c>
      <c r="L4069">
        <v>2</v>
      </c>
      <c r="M4069">
        <v>818</v>
      </c>
      <c r="N4069">
        <v>204.5</v>
      </c>
      <c r="O4069">
        <v>60</v>
      </c>
      <c r="P4069">
        <v>1636</v>
      </c>
      <c r="Q4069">
        <v>1491.5</v>
      </c>
      <c r="R4069" t="s">
        <v>39</v>
      </c>
      <c r="S4069" t="s">
        <v>31</v>
      </c>
      <c r="T4069" t="s">
        <v>40</v>
      </c>
      <c r="U4069">
        <v>53</v>
      </c>
      <c r="V4069">
        <v>3.6</v>
      </c>
      <c r="W4069">
        <f>Table2[[#This Row],[Quantity]]*Table2[[#This Row],[Item_Price]]</f>
        <v>1636</v>
      </c>
    </row>
    <row r="4070" spans="1:23" x14ac:dyDescent="0.25">
      <c r="A4070" t="s">
        <v>4173</v>
      </c>
      <c r="B4070" s="1">
        <v>45955</v>
      </c>
      <c r="C4070" t="s">
        <v>3846</v>
      </c>
      <c r="D4070">
        <v>10</v>
      </c>
      <c r="E4070">
        <v>25</v>
      </c>
      <c r="F4070" t="s">
        <v>134</v>
      </c>
      <c r="G4070" t="s">
        <v>96</v>
      </c>
      <c r="H4070" t="s">
        <v>56</v>
      </c>
      <c r="I4070" t="s">
        <v>36</v>
      </c>
      <c r="J4070" t="s">
        <v>82</v>
      </c>
      <c r="K4070" t="s">
        <v>38</v>
      </c>
      <c r="L4070">
        <v>1</v>
      </c>
      <c r="M4070">
        <v>156</v>
      </c>
      <c r="N4070">
        <v>15.6</v>
      </c>
      <c r="O4070">
        <v>30</v>
      </c>
      <c r="P4070">
        <v>156</v>
      </c>
      <c r="Q4070">
        <v>170.4</v>
      </c>
      <c r="R4070" t="s">
        <v>39</v>
      </c>
      <c r="S4070" t="s">
        <v>31</v>
      </c>
      <c r="T4070" t="s">
        <v>40</v>
      </c>
      <c r="U4070">
        <v>19</v>
      </c>
      <c r="V4070">
        <v>4.5</v>
      </c>
      <c r="W4070">
        <f>Table2[[#This Row],[Quantity]]*Table2[[#This Row],[Item_Price]]</f>
        <v>156</v>
      </c>
    </row>
    <row r="4071" spans="1:23" x14ac:dyDescent="0.25">
      <c r="A4071" t="s">
        <v>4174</v>
      </c>
      <c r="B4071" s="1">
        <v>45955</v>
      </c>
      <c r="C4071" t="s">
        <v>3846</v>
      </c>
      <c r="D4071">
        <v>10</v>
      </c>
      <c r="E4071">
        <v>25</v>
      </c>
      <c r="F4071" t="s">
        <v>134</v>
      </c>
      <c r="G4071" t="s">
        <v>80</v>
      </c>
      <c r="H4071" t="s">
        <v>52</v>
      </c>
      <c r="I4071" t="s">
        <v>49</v>
      </c>
      <c r="J4071" t="s">
        <v>28</v>
      </c>
      <c r="K4071" t="s">
        <v>38</v>
      </c>
      <c r="L4071">
        <v>3</v>
      </c>
      <c r="M4071">
        <v>886</v>
      </c>
      <c r="N4071">
        <v>132.9</v>
      </c>
      <c r="O4071">
        <v>20</v>
      </c>
      <c r="P4071">
        <v>2658</v>
      </c>
      <c r="Q4071">
        <v>2545.1</v>
      </c>
      <c r="R4071" t="s">
        <v>30</v>
      </c>
      <c r="S4071" t="s">
        <v>31</v>
      </c>
      <c r="T4071" t="s">
        <v>40</v>
      </c>
      <c r="U4071">
        <v>35</v>
      </c>
      <c r="V4071">
        <v>4.0999999999999996</v>
      </c>
      <c r="W4071">
        <f>Table2[[#This Row],[Quantity]]*Table2[[#This Row],[Item_Price]]</f>
        <v>2658</v>
      </c>
    </row>
    <row r="4072" spans="1:23" x14ac:dyDescent="0.25">
      <c r="A4072" t="s">
        <v>4175</v>
      </c>
      <c r="B4072" s="1">
        <v>45955</v>
      </c>
      <c r="C4072" t="s">
        <v>3846</v>
      </c>
      <c r="D4072">
        <v>10</v>
      </c>
      <c r="E4072">
        <v>25</v>
      </c>
      <c r="F4072" t="s">
        <v>134</v>
      </c>
      <c r="G4072" t="s">
        <v>115</v>
      </c>
      <c r="H4072" t="s">
        <v>26</v>
      </c>
      <c r="I4072" t="s">
        <v>103</v>
      </c>
      <c r="J4072" t="s">
        <v>74</v>
      </c>
      <c r="K4072" t="s">
        <v>38</v>
      </c>
      <c r="L4072">
        <v>2</v>
      </c>
      <c r="M4072">
        <v>245</v>
      </c>
      <c r="N4072">
        <v>12.25</v>
      </c>
      <c r="O4072">
        <v>30</v>
      </c>
      <c r="P4072">
        <v>490</v>
      </c>
      <c r="Q4072">
        <v>507.75</v>
      </c>
      <c r="R4072" t="s">
        <v>30</v>
      </c>
      <c r="S4072" t="s">
        <v>46</v>
      </c>
      <c r="T4072" t="s">
        <v>40</v>
      </c>
      <c r="U4072">
        <v>31</v>
      </c>
      <c r="W4072">
        <f>Table2[[#This Row],[Quantity]]*Table2[[#This Row],[Item_Price]]</f>
        <v>490</v>
      </c>
    </row>
    <row r="4073" spans="1:23" x14ac:dyDescent="0.25">
      <c r="A4073" t="s">
        <v>4176</v>
      </c>
      <c r="B4073" s="1">
        <v>45955</v>
      </c>
      <c r="C4073" t="s">
        <v>3846</v>
      </c>
      <c r="D4073">
        <v>10</v>
      </c>
      <c r="E4073">
        <v>25</v>
      </c>
      <c r="F4073" t="s">
        <v>134</v>
      </c>
      <c r="G4073" t="s">
        <v>34</v>
      </c>
      <c r="H4073" t="s">
        <v>56</v>
      </c>
      <c r="I4073" t="s">
        <v>36</v>
      </c>
      <c r="J4073" t="s">
        <v>70</v>
      </c>
      <c r="K4073" t="s">
        <v>45</v>
      </c>
      <c r="L4073">
        <v>3</v>
      </c>
      <c r="M4073">
        <v>882</v>
      </c>
      <c r="N4073">
        <v>88.2</v>
      </c>
      <c r="O4073">
        <v>40</v>
      </c>
      <c r="P4073">
        <v>2646</v>
      </c>
      <c r="Q4073">
        <v>2597.8000000000002</v>
      </c>
      <c r="R4073" t="s">
        <v>30</v>
      </c>
      <c r="S4073" t="s">
        <v>31</v>
      </c>
      <c r="T4073" t="s">
        <v>40</v>
      </c>
      <c r="U4073">
        <v>41</v>
      </c>
      <c r="V4073">
        <v>3.3</v>
      </c>
      <c r="W4073">
        <f>Table2[[#This Row],[Quantity]]*Table2[[#This Row],[Item_Price]]</f>
        <v>2646</v>
      </c>
    </row>
    <row r="4074" spans="1:23" x14ac:dyDescent="0.25">
      <c r="A4074" t="s">
        <v>4177</v>
      </c>
      <c r="B4074" s="1">
        <v>45955</v>
      </c>
      <c r="C4074" t="s">
        <v>3846</v>
      </c>
      <c r="D4074">
        <v>10</v>
      </c>
      <c r="E4074">
        <v>25</v>
      </c>
      <c r="F4074" t="s">
        <v>134</v>
      </c>
      <c r="G4074" t="s">
        <v>80</v>
      </c>
      <c r="H4074" t="s">
        <v>42</v>
      </c>
      <c r="I4074" t="s">
        <v>103</v>
      </c>
      <c r="J4074" t="s">
        <v>70</v>
      </c>
      <c r="K4074" t="s">
        <v>38</v>
      </c>
      <c r="L4074">
        <v>1</v>
      </c>
      <c r="M4074">
        <v>882</v>
      </c>
      <c r="N4074">
        <v>88.2</v>
      </c>
      <c r="O4074">
        <v>30</v>
      </c>
      <c r="P4074">
        <v>882</v>
      </c>
      <c r="Q4074">
        <v>823.8</v>
      </c>
      <c r="R4074" t="s">
        <v>30</v>
      </c>
      <c r="S4074" t="s">
        <v>31</v>
      </c>
      <c r="T4074" t="s">
        <v>32</v>
      </c>
      <c r="U4074">
        <v>46</v>
      </c>
      <c r="V4074">
        <v>4.0999999999999996</v>
      </c>
      <c r="W4074">
        <f>Table2[[#This Row],[Quantity]]*Table2[[#This Row],[Item_Price]]</f>
        <v>882</v>
      </c>
    </row>
    <row r="4075" spans="1:23" x14ac:dyDescent="0.25">
      <c r="A4075" t="s">
        <v>4178</v>
      </c>
      <c r="B4075" s="1">
        <v>45955</v>
      </c>
      <c r="C4075" t="s">
        <v>3846</v>
      </c>
      <c r="D4075">
        <v>10</v>
      </c>
      <c r="E4075">
        <v>25</v>
      </c>
      <c r="F4075" t="s">
        <v>134</v>
      </c>
      <c r="G4075" t="s">
        <v>34</v>
      </c>
      <c r="H4075" t="s">
        <v>77</v>
      </c>
      <c r="I4075" t="s">
        <v>49</v>
      </c>
      <c r="J4075" t="s">
        <v>101</v>
      </c>
      <c r="K4075" t="s">
        <v>38</v>
      </c>
      <c r="L4075">
        <v>1</v>
      </c>
      <c r="M4075">
        <v>395</v>
      </c>
      <c r="N4075">
        <v>59.25</v>
      </c>
      <c r="O4075">
        <v>60</v>
      </c>
      <c r="P4075">
        <v>395</v>
      </c>
      <c r="Q4075">
        <v>395.75</v>
      </c>
      <c r="R4075" t="s">
        <v>39</v>
      </c>
      <c r="S4075" t="s">
        <v>31</v>
      </c>
      <c r="T4075" t="s">
        <v>32</v>
      </c>
      <c r="U4075">
        <v>47</v>
      </c>
      <c r="V4075">
        <v>3.6</v>
      </c>
      <c r="W4075">
        <f>Table2[[#This Row],[Quantity]]*Table2[[#This Row],[Item_Price]]</f>
        <v>395</v>
      </c>
    </row>
    <row r="4076" spans="1:23" x14ac:dyDescent="0.25">
      <c r="A4076" t="s">
        <v>4179</v>
      </c>
      <c r="B4076" s="1">
        <v>45956</v>
      </c>
      <c r="C4076" t="s">
        <v>3846</v>
      </c>
      <c r="D4076">
        <v>10</v>
      </c>
      <c r="E4076">
        <v>26</v>
      </c>
      <c r="F4076" t="s">
        <v>149</v>
      </c>
      <c r="G4076" t="s">
        <v>64</v>
      </c>
      <c r="H4076" t="s">
        <v>48</v>
      </c>
      <c r="I4076" t="s">
        <v>61</v>
      </c>
      <c r="J4076" t="s">
        <v>53</v>
      </c>
      <c r="K4076" t="s">
        <v>38</v>
      </c>
      <c r="L4076">
        <v>1</v>
      </c>
      <c r="M4076">
        <v>671</v>
      </c>
      <c r="N4076">
        <v>67.099999999999994</v>
      </c>
      <c r="O4076">
        <v>50</v>
      </c>
      <c r="P4076">
        <v>671</v>
      </c>
      <c r="Q4076">
        <v>653.9</v>
      </c>
      <c r="R4076" t="s">
        <v>39</v>
      </c>
      <c r="S4076" t="s">
        <v>31</v>
      </c>
      <c r="T4076" t="s">
        <v>40</v>
      </c>
      <c r="U4076">
        <v>30</v>
      </c>
      <c r="V4076">
        <v>4.5999999999999996</v>
      </c>
      <c r="W4076">
        <f>Table2[[#This Row],[Quantity]]*Table2[[#This Row],[Item_Price]]</f>
        <v>671</v>
      </c>
    </row>
    <row r="4077" spans="1:23" x14ac:dyDescent="0.25">
      <c r="A4077" t="s">
        <v>4180</v>
      </c>
      <c r="B4077" s="1">
        <v>45956</v>
      </c>
      <c r="C4077" t="s">
        <v>3846</v>
      </c>
      <c r="D4077">
        <v>10</v>
      </c>
      <c r="E4077">
        <v>26</v>
      </c>
      <c r="F4077" t="s">
        <v>149</v>
      </c>
      <c r="G4077" t="s">
        <v>55</v>
      </c>
      <c r="H4077" t="s">
        <v>35</v>
      </c>
      <c r="I4077" t="s">
        <v>49</v>
      </c>
      <c r="J4077" t="s">
        <v>53</v>
      </c>
      <c r="K4077" t="s">
        <v>58</v>
      </c>
      <c r="L4077">
        <v>2</v>
      </c>
      <c r="M4077">
        <v>401</v>
      </c>
      <c r="N4077">
        <v>60.15</v>
      </c>
      <c r="O4077">
        <v>70</v>
      </c>
      <c r="P4077">
        <v>802</v>
      </c>
      <c r="Q4077">
        <v>811.85</v>
      </c>
      <c r="R4077" t="s">
        <v>39</v>
      </c>
      <c r="S4077" t="s">
        <v>46</v>
      </c>
      <c r="T4077" t="s">
        <v>40</v>
      </c>
      <c r="U4077">
        <v>50</v>
      </c>
      <c r="W4077">
        <f>Table2[[#This Row],[Quantity]]*Table2[[#This Row],[Item_Price]]</f>
        <v>802</v>
      </c>
    </row>
    <row r="4078" spans="1:23" x14ac:dyDescent="0.25">
      <c r="A4078" t="s">
        <v>4181</v>
      </c>
      <c r="B4078" s="1">
        <v>45956</v>
      </c>
      <c r="C4078" t="s">
        <v>3846</v>
      </c>
      <c r="D4078">
        <v>10</v>
      </c>
      <c r="E4078">
        <v>26</v>
      </c>
      <c r="F4078" t="s">
        <v>149</v>
      </c>
      <c r="G4078" t="s">
        <v>80</v>
      </c>
      <c r="H4078" t="s">
        <v>105</v>
      </c>
      <c r="I4078" t="s">
        <v>85</v>
      </c>
      <c r="J4078" t="s">
        <v>172</v>
      </c>
      <c r="K4078" t="s">
        <v>58</v>
      </c>
      <c r="L4078">
        <v>2</v>
      </c>
      <c r="M4078">
        <v>626</v>
      </c>
      <c r="N4078">
        <v>31.3</v>
      </c>
      <c r="O4078">
        <v>0</v>
      </c>
      <c r="P4078">
        <v>1252</v>
      </c>
      <c r="Q4078">
        <v>1220.7</v>
      </c>
      <c r="R4078" t="s">
        <v>39</v>
      </c>
      <c r="S4078" t="s">
        <v>31</v>
      </c>
      <c r="T4078" t="s">
        <v>40</v>
      </c>
      <c r="U4078">
        <v>63</v>
      </c>
      <c r="V4078">
        <v>4.5999999999999996</v>
      </c>
      <c r="W4078">
        <f>Table2[[#This Row],[Quantity]]*Table2[[#This Row],[Item_Price]]</f>
        <v>1252</v>
      </c>
    </row>
    <row r="4079" spans="1:23" x14ac:dyDescent="0.25">
      <c r="A4079" t="s">
        <v>4182</v>
      </c>
      <c r="B4079" s="1">
        <v>45956</v>
      </c>
      <c r="C4079" t="s">
        <v>3846</v>
      </c>
      <c r="D4079">
        <v>10</v>
      </c>
      <c r="E4079">
        <v>26</v>
      </c>
      <c r="F4079" t="s">
        <v>149</v>
      </c>
      <c r="G4079" t="s">
        <v>80</v>
      </c>
      <c r="H4079" t="s">
        <v>35</v>
      </c>
      <c r="I4079" t="s">
        <v>57</v>
      </c>
      <c r="J4079" t="s">
        <v>94</v>
      </c>
      <c r="K4079" t="s">
        <v>38</v>
      </c>
      <c r="L4079">
        <v>1</v>
      </c>
      <c r="M4079">
        <v>384</v>
      </c>
      <c r="N4079">
        <v>57.6</v>
      </c>
      <c r="O4079">
        <v>30</v>
      </c>
      <c r="P4079">
        <v>384</v>
      </c>
      <c r="Q4079">
        <v>356.4</v>
      </c>
      <c r="R4079" t="s">
        <v>39</v>
      </c>
      <c r="S4079" t="s">
        <v>31</v>
      </c>
      <c r="T4079" t="s">
        <v>32</v>
      </c>
      <c r="U4079">
        <v>51</v>
      </c>
      <c r="V4079">
        <v>3.8</v>
      </c>
      <c r="W4079">
        <f>Table2[[#This Row],[Quantity]]*Table2[[#This Row],[Item_Price]]</f>
        <v>384</v>
      </c>
    </row>
    <row r="4080" spans="1:23" x14ac:dyDescent="0.25">
      <c r="A4080" t="s">
        <v>4183</v>
      </c>
      <c r="B4080" s="1">
        <v>45956</v>
      </c>
      <c r="C4080" t="s">
        <v>3846</v>
      </c>
      <c r="D4080">
        <v>10</v>
      </c>
      <c r="E4080">
        <v>26</v>
      </c>
      <c r="F4080" t="s">
        <v>149</v>
      </c>
      <c r="G4080" t="s">
        <v>90</v>
      </c>
      <c r="H4080" t="s">
        <v>65</v>
      </c>
      <c r="I4080" t="s">
        <v>69</v>
      </c>
      <c r="J4080" t="s">
        <v>44</v>
      </c>
      <c r="K4080" t="s">
        <v>38</v>
      </c>
      <c r="L4080">
        <v>1</v>
      </c>
      <c r="M4080">
        <v>725</v>
      </c>
      <c r="N4080">
        <v>181.25</v>
      </c>
      <c r="O4080">
        <v>50</v>
      </c>
      <c r="P4080">
        <v>725</v>
      </c>
      <c r="Q4080">
        <v>593.75</v>
      </c>
      <c r="R4080" t="s">
        <v>112</v>
      </c>
      <c r="S4080" t="s">
        <v>31</v>
      </c>
      <c r="T4080" t="s">
        <v>40</v>
      </c>
      <c r="U4080">
        <v>45</v>
      </c>
      <c r="V4080">
        <v>4.5</v>
      </c>
      <c r="W4080">
        <f>Table2[[#This Row],[Quantity]]*Table2[[#This Row],[Item_Price]]</f>
        <v>725</v>
      </c>
    </row>
    <row r="4081" spans="1:23" x14ac:dyDescent="0.25">
      <c r="A4081" t="s">
        <v>4184</v>
      </c>
      <c r="B4081" s="1">
        <v>45956</v>
      </c>
      <c r="C4081" t="s">
        <v>3846</v>
      </c>
      <c r="D4081">
        <v>10</v>
      </c>
      <c r="E4081">
        <v>26</v>
      </c>
      <c r="F4081" t="s">
        <v>149</v>
      </c>
      <c r="G4081" t="s">
        <v>80</v>
      </c>
      <c r="H4081" t="s">
        <v>135</v>
      </c>
      <c r="I4081" t="s">
        <v>49</v>
      </c>
      <c r="J4081" t="s">
        <v>53</v>
      </c>
      <c r="K4081" t="s">
        <v>38</v>
      </c>
      <c r="L4081">
        <v>1</v>
      </c>
      <c r="M4081">
        <v>460</v>
      </c>
      <c r="N4081">
        <v>69</v>
      </c>
      <c r="O4081">
        <v>20</v>
      </c>
      <c r="P4081">
        <v>460</v>
      </c>
      <c r="Q4081">
        <v>411</v>
      </c>
      <c r="R4081" t="s">
        <v>39</v>
      </c>
      <c r="S4081" t="s">
        <v>31</v>
      </c>
      <c r="T4081" t="s">
        <v>40</v>
      </c>
      <c r="U4081">
        <v>48</v>
      </c>
      <c r="V4081">
        <v>3.8</v>
      </c>
      <c r="W4081">
        <f>Table2[[#This Row],[Quantity]]*Table2[[#This Row],[Item_Price]]</f>
        <v>460</v>
      </c>
    </row>
    <row r="4082" spans="1:23" x14ac:dyDescent="0.25">
      <c r="A4082" t="s">
        <v>4185</v>
      </c>
      <c r="B4082" s="1">
        <v>45956</v>
      </c>
      <c r="C4082" t="s">
        <v>3846</v>
      </c>
      <c r="D4082">
        <v>10</v>
      </c>
      <c r="E4082">
        <v>26</v>
      </c>
      <c r="F4082" t="s">
        <v>149</v>
      </c>
      <c r="G4082" t="s">
        <v>55</v>
      </c>
      <c r="H4082" t="s">
        <v>65</v>
      </c>
      <c r="I4082" t="s">
        <v>36</v>
      </c>
      <c r="J4082" t="s">
        <v>74</v>
      </c>
      <c r="K4082" t="s">
        <v>58</v>
      </c>
      <c r="L4082">
        <v>1</v>
      </c>
      <c r="M4082">
        <v>147</v>
      </c>
      <c r="N4082">
        <v>29.4</v>
      </c>
      <c r="O4082">
        <v>30</v>
      </c>
      <c r="P4082">
        <v>147</v>
      </c>
      <c r="Q4082">
        <v>147.6</v>
      </c>
      <c r="R4082" t="s">
        <v>39</v>
      </c>
      <c r="S4082" t="s">
        <v>31</v>
      </c>
      <c r="T4082" t="s">
        <v>32</v>
      </c>
      <c r="U4082">
        <v>63</v>
      </c>
      <c r="V4082">
        <v>3.6</v>
      </c>
      <c r="W4082">
        <f>Table2[[#This Row],[Quantity]]*Table2[[#This Row],[Item_Price]]</f>
        <v>147</v>
      </c>
    </row>
    <row r="4083" spans="1:23" x14ac:dyDescent="0.25">
      <c r="A4083" t="s">
        <v>4186</v>
      </c>
      <c r="B4083" s="1">
        <v>45957</v>
      </c>
      <c r="C4083" t="s">
        <v>3846</v>
      </c>
      <c r="D4083">
        <v>10</v>
      </c>
      <c r="E4083">
        <v>27</v>
      </c>
      <c r="F4083" t="s">
        <v>168</v>
      </c>
      <c r="G4083" t="s">
        <v>115</v>
      </c>
      <c r="H4083" t="s">
        <v>135</v>
      </c>
      <c r="I4083" t="s">
        <v>61</v>
      </c>
      <c r="J4083" t="s">
        <v>62</v>
      </c>
      <c r="K4083" t="s">
        <v>38</v>
      </c>
      <c r="L4083">
        <v>1</v>
      </c>
      <c r="M4083">
        <v>691</v>
      </c>
      <c r="N4083">
        <v>172.75</v>
      </c>
      <c r="O4083">
        <v>40</v>
      </c>
      <c r="P4083">
        <v>691</v>
      </c>
      <c r="Q4083">
        <v>558.25</v>
      </c>
      <c r="R4083" t="s">
        <v>39</v>
      </c>
      <c r="S4083" t="s">
        <v>31</v>
      </c>
      <c r="T4083" t="s">
        <v>40</v>
      </c>
      <c r="U4083">
        <v>49</v>
      </c>
      <c r="V4083">
        <v>4.2</v>
      </c>
      <c r="W4083">
        <f>Table2[[#This Row],[Quantity]]*Table2[[#This Row],[Item_Price]]</f>
        <v>691</v>
      </c>
    </row>
    <row r="4084" spans="1:23" x14ac:dyDescent="0.25">
      <c r="A4084" t="s">
        <v>4187</v>
      </c>
      <c r="B4084" s="1">
        <v>45957</v>
      </c>
      <c r="C4084" t="s">
        <v>3846</v>
      </c>
      <c r="D4084">
        <v>10</v>
      </c>
      <c r="E4084">
        <v>27</v>
      </c>
      <c r="F4084" t="s">
        <v>168</v>
      </c>
      <c r="G4084" t="s">
        <v>34</v>
      </c>
      <c r="H4084" t="s">
        <v>56</v>
      </c>
      <c r="I4084" t="s">
        <v>85</v>
      </c>
      <c r="J4084" t="s">
        <v>70</v>
      </c>
      <c r="K4084" t="s">
        <v>29</v>
      </c>
      <c r="L4084">
        <v>2</v>
      </c>
      <c r="M4084">
        <v>877</v>
      </c>
      <c r="N4084">
        <v>43.85</v>
      </c>
      <c r="O4084">
        <v>30</v>
      </c>
      <c r="P4084">
        <v>1754</v>
      </c>
      <c r="Q4084">
        <v>1740.15</v>
      </c>
      <c r="R4084" t="s">
        <v>39</v>
      </c>
      <c r="S4084" t="s">
        <v>31</v>
      </c>
      <c r="T4084" t="s">
        <v>40</v>
      </c>
      <c r="U4084">
        <v>49</v>
      </c>
      <c r="V4084">
        <v>5</v>
      </c>
      <c r="W4084">
        <f>Table2[[#This Row],[Quantity]]*Table2[[#This Row],[Item_Price]]</f>
        <v>1754</v>
      </c>
    </row>
    <row r="4085" spans="1:23" x14ac:dyDescent="0.25">
      <c r="A4085" t="s">
        <v>4188</v>
      </c>
      <c r="B4085" s="1">
        <v>45957</v>
      </c>
      <c r="C4085" t="s">
        <v>3846</v>
      </c>
      <c r="D4085">
        <v>10</v>
      </c>
      <c r="E4085">
        <v>27</v>
      </c>
      <c r="F4085" t="s">
        <v>168</v>
      </c>
      <c r="G4085" t="s">
        <v>96</v>
      </c>
      <c r="H4085" t="s">
        <v>68</v>
      </c>
      <c r="I4085" t="s">
        <v>43</v>
      </c>
      <c r="J4085" t="s">
        <v>50</v>
      </c>
      <c r="K4085" t="s">
        <v>38</v>
      </c>
      <c r="L4085">
        <v>2</v>
      </c>
      <c r="M4085">
        <v>736</v>
      </c>
      <c r="N4085">
        <v>36.799999999999997</v>
      </c>
      <c r="O4085">
        <v>0</v>
      </c>
      <c r="P4085">
        <v>1472</v>
      </c>
      <c r="Q4085">
        <v>1435.2</v>
      </c>
      <c r="R4085" t="s">
        <v>98</v>
      </c>
      <c r="S4085" t="s">
        <v>31</v>
      </c>
      <c r="T4085" t="s">
        <v>40</v>
      </c>
      <c r="U4085">
        <v>19</v>
      </c>
      <c r="V4085">
        <v>4.4000000000000004</v>
      </c>
      <c r="W4085">
        <f>Table2[[#This Row],[Quantity]]*Table2[[#This Row],[Item_Price]]</f>
        <v>1472</v>
      </c>
    </row>
    <row r="4086" spans="1:23" x14ac:dyDescent="0.25">
      <c r="A4086" t="s">
        <v>4189</v>
      </c>
      <c r="B4086" s="1">
        <v>45957</v>
      </c>
      <c r="C4086" t="s">
        <v>3846</v>
      </c>
      <c r="D4086">
        <v>10</v>
      </c>
      <c r="E4086">
        <v>27</v>
      </c>
      <c r="F4086" t="s">
        <v>168</v>
      </c>
      <c r="G4086" t="s">
        <v>80</v>
      </c>
      <c r="H4086" t="s">
        <v>105</v>
      </c>
      <c r="I4086" t="s">
        <v>43</v>
      </c>
      <c r="J4086" t="s">
        <v>66</v>
      </c>
      <c r="K4086" t="s">
        <v>38</v>
      </c>
      <c r="L4086">
        <v>1</v>
      </c>
      <c r="M4086">
        <v>694</v>
      </c>
      <c r="N4086">
        <v>104.1</v>
      </c>
      <c r="O4086">
        <v>0</v>
      </c>
      <c r="P4086">
        <v>694</v>
      </c>
      <c r="Q4086">
        <v>589.9</v>
      </c>
      <c r="R4086" t="s">
        <v>30</v>
      </c>
      <c r="S4086" t="s">
        <v>31</v>
      </c>
      <c r="T4086" t="s">
        <v>40</v>
      </c>
      <c r="U4086">
        <v>69</v>
      </c>
      <c r="V4086">
        <v>4.4000000000000004</v>
      </c>
      <c r="W4086">
        <f>Table2[[#This Row],[Quantity]]*Table2[[#This Row],[Item_Price]]</f>
        <v>694</v>
      </c>
    </row>
    <row r="4087" spans="1:23" x14ac:dyDescent="0.25">
      <c r="A4087" t="s">
        <v>4190</v>
      </c>
      <c r="B4087" s="1">
        <v>45957</v>
      </c>
      <c r="C4087" t="s">
        <v>3846</v>
      </c>
      <c r="D4087">
        <v>10</v>
      </c>
      <c r="E4087">
        <v>27</v>
      </c>
      <c r="F4087" t="s">
        <v>168</v>
      </c>
      <c r="G4087" t="s">
        <v>64</v>
      </c>
      <c r="H4087" t="s">
        <v>135</v>
      </c>
      <c r="I4087" t="s">
        <v>27</v>
      </c>
      <c r="J4087" t="s">
        <v>37</v>
      </c>
      <c r="K4087" t="s">
        <v>45</v>
      </c>
      <c r="L4087">
        <v>2</v>
      </c>
      <c r="M4087">
        <v>766</v>
      </c>
      <c r="N4087">
        <v>0</v>
      </c>
      <c r="O4087">
        <v>50</v>
      </c>
      <c r="P4087">
        <v>1532</v>
      </c>
      <c r="Q4087">
        <v>1582</v>
      </c>
      <c r="R4087" t="s">
        <v>39</v>
      </c>
      <c r="S4087" t="s">
        <v>31</v>
      </c>
      <c r="T4087" t="s">
        <v>40</v>
      </c>
      <c r="U4087">
        <v>19</v>
      </c>
      <c r="V4087">
        <v>4.5</v>
      </c>
      <c r="W4087">
        <f>Table2[[#This Row],[Quantity]]*Table2[[#This Row],[Item_Price]]</f>
        <v>1532</v>
      </c>
    </row>
    <row r="4088" spans="1:23" x14ac:dyDescent="0.25">
      <c r="A4088" t="s">
        <v>4191</v>
      </c>
      <c r="B4088" s="1">
        <v>45957</v>
      </c>
      <c r="C4088" t="s">
        <v>3846</v>
      </c>
      <c r="D4088">
        <v>10</v>
      </c>
      <c r="E4088">
        <v>27</v>
      </c>
      <c r="F4088" t="s">
        <v>168</v>
      </c>
      <c r="G4088" t="s">
        <v>64</v>
      </c>
      <c r="H4088" t="s">
        <v>139</v>
      </c>
      <c r="I4088" t="s">
        <v>43</v>
      </c>
      <c r="J4088" t="s">
        <v>82</v>
      </c>
      <c r="K4088" t="s">
        <v>38</v>
      </c>
      <c r="L4088">
        <v>2</v>
      </c>
      <c r="M4088">
        <v>513</v>
      </c>
      <c r="N4088">
        <v>0</v>
      </c>
      <c r="O4088">
        <v>60</v>
      </c>
      <c r="P4088">
        <v>1026</v>
      </c>
      <c r="Q4088">
        <v>1086</v>
      </c>
      <c r="R4088" t="s">
        <v>39</v>
      </c>
      <c r="S4088" t="s">
        <v>31</v>
      </c>
      <c r="T4088" t="s">
        <v>32</v>
      </c>
      <c r="U4088">
        <v>38</v>
      </c>
      <c r="V4088">
        <v>3.5</v>
      </c>
      <c r="W4088">
        <f>Table2[[#This Row],[Quantity]]*Table2[[#This Row],[Item_Price]]</f>
        <v>1026</v>
      </c>
    </row>
    <row r="4089" spans="1:23" x14ac:dyDescent="0.25">
      <c r="A4089" t="s">
        <v>4192</v>
      </c>
      <c r="B4089" s="1">
        <v>45957</v>
      </c>
      <c r="C4089" t="s">
        <v>3846</v>
      </c>
      <c r="D4089">
        <v>10</v>
      </c>
      <c r="E4089">
        <v>27</v>
      </c>
      <c r="F4089" t="s">
        <v>168</v>
      </c>
      <c r="G4089" t="s">
        <v>55</v>
      </c>
      <c r="H4089" t="s">
        <v>52</v>
      </c>
      <c r="I4089" t="s">
        <v>27</v>
      </c>
      <c r="J4089" t="s">
        <v>66</v>
      </c>
      <c r="K4089" t="s">
        <v>38</v>
      </c>
      <c r="L4089">
        <v>2</v>
      </c>
      <c r="M4089">
        <v>898</v>
      </c>
      <c r="N4089">
        <v>179.6</v>
      </c>
      <c r="O4089">
        <v>60</v>
      </c>
      <c r="P4089">
        <v>1796</v>
      </c>
      <c r="Q4089">
        <v>1676.4</v>
      </c>
      <c r="R4089" t="s">
        <v>75</v>
      </c>
      <c r="S4089" t="s">
        <v>31</v>
      </c>
      <c r="T4089" t="s">
        <v>40</v>
      </c>
      <c r="U4089">
        <v>35</v>
      </c>
      <c r="V4089">
        <v>4.0999999999999996</v>
      </c>
      <c r="W4089">
        <f>Table2[[#This Row],[Quantity]]*Table2[[#This Row],[Item_Price]]</f>
        <v>1796</v>
      </c>
    </row>
    <row r="4090" spans="1:23" x14ac:dyDescent="0.25">
      <c r="A4090" t="s">
        <v>4193</v>
      </c>
      <c r="B4090" s="1">
        <v>45957</v>
      </c>
      <c r="C4090" t="s">
        <v>3846</v>
      </c>
      <c r="D4090">
        <v>10</v>
      </c>
      <c r="E4090">
        <v>27</v>
      </c>
      <c r="F4090" t="s">
        <v>168</v>
      </c>
      <c r="G4090" t="s">
        <v>73</v>
      </c>
      <c r="H4090" t="s">
        <v>52</v>
      </c>
      <c r="I4090" t="s">
        <v>36</v>
      </c>
      <c r="J4090" t="s">
        <v>119</v>
      </c>
      <c r="K4090" t="s">
        <v>29</v>
      </c>
      <c r="L4090">
        <v>3</v>
      </c>
      <c r="M4090">
        <v>336</v>
      </c>
      <c r="N4090">
        <v>50.4</v>
      </c>
      <c r="O4090">
        <v>50</v>
      </c>
      <c r="P4090">
        <v>1008</v>
      </c>
      <c r="Q4090">
        <v>1007.6</v>
      </c>
      <c r="R4090" t="s">
        <v>39</v>
      </c>
      <c r="S4090" t="s">
        <v>31</v>
      </c>
      <c r="T4090" t="s">
        <v>32</v>
      </c>
      <c r="U4090">
        <v>38</v>
      </c>
      <c r="V4090">
        <v>4.7</v>
      </c>
      <c r="W4090">
        <f>Table2[[#This Row],[Quantity]]*Table2[[#This Row],[Item_Price]]</f>
        <v>1008</v>
      </c>
    </row>
    <row r="4091" spans="1:23" x14ac:dyDescent="0.25">
      <c r="A4091" t="s">
        <v>4194</v>
      </c>
      <c r="B4091" s="1">
        <v>45958</v>
      </c>
      <c r="C4091" t="s">
        <v>3846</v>
      </c>
      <c r="D4091">
        <v>10</v>
      </c>
      <c r="E4091">
        <v>28</v>
      </c>
      <c r="F4091" t="s">
        <v>178</v>
      </c>
      <c r="G4091" t="s">
        <v>25</v>
      </c>
      <c r="H4091" t="s">
        <v>77</v>
      </c>
      <c r="I4091" t="s">
        <v>57</v>
      </c>
      <c r="J4091" t="s">
        <v>37</v>
      </c>
      <c r="K4091" t="s">
        <v>38</v>
      </c>
      <c r="L4091">
        <v>1</v>
      </c>
      <c r="M4091">
        <v>519</v>
      </c>
      <c r="N4091">
        <v>51.9</v>
      </c>
      <c r="O4091">
        <v>30</v>
      </c>
      <c r="P4091">
        <v>519</v>
      </c>
      <c r="Q4091">
        <v>497.1</v>
      </c>
      <c r="R4091" t="s">
        <v>30</v>
      </c>
      <c r="S4091" t="s">
        <v>31</v>
      </c>
      <c r="T4091" t="s">
        <v>40</v>
      </c>
      <c r="U4091">
        <v>52</v>
      </c>
      <c r="V4091">
        <v>4.5999999999999996</v>
      </c>
      <c r="W4091">
        <f>Table2[[#This Row],[Quantity]]*Table2[[#This Row],[Item_Price]]</f>
        <v>519</v>
      </c>
    </row>
    <row r="4092" spans="1:23" x14ac:dyDescent="0.25">
      <c r="A4092" t="s">
        <v>4195</v>
      </c>
      <c r="B4092" s="1">
        <v>45958</v>
      </c>
      <c r="C4092" t="s">
        <v>3846</v>
      </c>
      <c r="D4092">
        <v>10</v>
      </c>
      <c r="E4092">
        <v>28</v>
      </c>
      <c r="F4092" t="s">
        <v>178</v>
      </c>
      <c r="G4092" t="s">
        <v>90</v>
      </c>
      <c r="H4092" t="s">
        <v>135</v>
      </c>
      <c r="I4092" t="s">
        <v>57</v>
      </c>
      <c r="J4092" t="s">
        <v>66</v>
      </c>
      <c r="K4092" t="s">
        <v>38</v>
      </c>
      <c r="L4092">
        <v>3</v>
      </c>
      <c r="M4092">
        <v>828</v>
      </c>
      <c r="N4092">
        <v>124.2</v>
      </c>
      <c r="O4092">
        <v>30</v>
      </c>
      <c r="P4092">
        <v>2484</v>
      </c>
      <c r="Q4092">
        <v>2389.8000000000002</v>
      </c>
      <c r="R4092" t="s">
        <v>30</v>
      </c>
      <c r="S4092" t="s">
        <v>31</v>
      </c>
      <c r="T4092" t="s">
        <v>32</v>
      </c>
      <c r="U4092">
        <v>53</v>
      </c>
      <c r="V4092">
        <v>4.5</v>
      </c>
      <c r="W4092">
        <f>Table2[[#This Row],[Quantity]]*Table2[[#This Row],[Item_Price]]</f>
        <v>2484</v>
      </c>
    </row>
    <row r="4093" spans="1:23" x14ac:dyDescent="0.25">
      <c r="A4093" t="s">
        <v>4196</v>
      </c>
      <c r="B4093" s="1">
        <v>45958</v>
      </c>
      <c r="C4093" t="s">
        <v>3846</v>
      </c>
      <c r="D4093">
        <v>10</v>
      </c>
      <c r="E4093">
        <v>28</v>
      </c>
      <c r="F4093" t="s">
        <v>178</v>
      </c>
      <c r="G4093" t="s">
        <v>84</v>
      </c>
      <c r="H4093" t="s">
        <v>105</v>
      </c>
      <c r="I4093" t="s">
        <v>36</v>
      </c>
      <c r="J4093" t="s">
        <v>101</v>
      </c>
      <c r="K4093" t="s">
        <v>38</v>
      </c>
      <c r="L4093">
        <v>1</v>
      </c>
      <c r="M4093">
        <v>707</v>
      </c>
      <c r="N4093">
        <v>176.75</v>
      </c>
      <c r="O4093">
        <v>20</v>
      </c>
      <c r="P4093">
        <v>707</v>
      </c>
      <c r="Q4093">
        <v>550.25</v>
      </c>
      <c r="R4093" t="s">
        <v>98</v>
      </c>
      <c r="S4093" t="s">
        <v>31</v>
      </c>
      <c r="T4093" t="s">
        <v>32</v>
      </c>
      <c r="U4093">
        <v>47</v>
      </c>
      <c r="V4093">
        <v>4.0999999999999996</v>
      </c>
      <c r="W4093">
        <f>Table2[[#This Row],[Quantity]]*Table2[[#This Row],[Item_Price]]</f>
        <v>707</v>
      </c>
    </row>
    <row r="4094" spans="1:23" x14ac:dyDescent="0.25">
      <c r="A4094" t="s">
        <v>4197</v>
      </c>
      <c r="B4094" s="1">
        <v>45958</v>
      </c>
      <c r="C4094" t="s">
        <v>3846</v>
      </c>
      <c r="D4094">
        <v>10</v>
      </c>
      <c r="E4094">
        <v>28</v>
      </c>
      <c r="F4094" t="s">
        <v>178</v>
      </c>
      <c r="G4094" t="s">
        <v>115</v>
      </c>
      <c r="H4094" t="s">
        <v>81</v>
      </c>
      <c r="I4094" t="s">
        <v>49</v>
      </c>
      <c r="J4094" t="s">
        <v>53</v>
      </c>
      <c r="K4094" t="s">
        <v>38</v>
      </c>
      <c r="L4094">
        <v>2</v>
      </c>
      <c r="M4094">
        <v>376</v>
      </c>
      <c r="N4094">
        <v>37.6</v>
      </c>
      <c r="O4094">
        <v>50</v>
      </c>
      <c r="P4094">
        <v>752</v>
      </c>
      <c r="Q4094">
        <v>764.4</v>
      </c>
      <c r="R4094" t="s">
        <v>75</v>
      </c>
      <c r="S4094" t="s">
        <v>31</v>
      </c>
      <c r="T4094" t="s">
        <v>40</v>
      </c>
      <c r="U4094">
        <v>31</v>
      </c>
      <c r="V4094">
        <v>3.9</v>
      </c>
      <c r="W4094">
        <f>Table2[[#This Row],[Quantity]]*Table2[[#This Row],[Item_Price]]</f>
        <v>752</v>
      </c>
    </row>
    <row r="4095" spans="1:23" x14ac:dyDescent="0.25">
      <c r="A4095" t="s">
        <v>4198</v>
      </c>
      <c r="B4095" s="1">
        <v>45958</v>
      </c>
      <c r="C4095" t="s">
        <v>3846</v>
      </c>
      <c r="D4095">
        <v>10</v>
      </c>
      <c r="E4095">
        <v>28</v>
      </c>
      <c r="F4095" t="s">
        <v>178</v>
      </c>
      <c r="G4095" t="s">
        <v>64</v>
      </c>
      <c r="H4095" t="s">
        <v>42</v>
      </c>
      <c r="I4095" t="s">
        <v>49</v>
      </c>
      <c r="J4095" t="s">
        <v>172</v>
      </c>
      <c r="K4095" t="s">
        <v>38</v>
      </c>
      <c r="L4095">
        <v>2</v>
      </c>
      <c r="M4095">
        <v>355</v>
      </c>
      <c r="N4095">
        <v>35.5</v>
      </c>
      <c r="O4095">
        <v>40</v>
      </c>
      <c r="P4095">
        <v>710</v>
      </c>
      <c r="Q4095">
        <v>714.5</v>
      </c>
      <c r="R4095" t="s">
        <v>39</v>
      </c>
      <c r="S4095" t="s">
        <v>31</v>
      </c>
      <c r="T4095" t="s">
        <v>32</v>
      </c>
      <c r="U4095">
        <v>40</v>
      </c>
      <c r="V4095">
        <v>4.5999999999999996</v>
      </c>
      <c r="W4095">
        <f>Table2[[#This Row],[Quantity]]*Table2[[#This Row],[Item_Price]]</f>
        <v>710</v>
      </c>
    </row>
    <row r="4096" spans="1:23" x14ac:dyDescent="0.25">
      <c r="A4096" t="s">
        <v>4199</v>
      </c>
      <c r="B4096" s="1">
        <v>45958</v>
      </c>
      <c r="C4096" t="s">
        <v>3846</v>
      </c>
      <c r="D4096">
        <v>10</v>
      </c>
      <c r="E4096">
        <v>28</v>
      </c>
      <c r="F4096" t="s">
        <v>178</v>
      </c>
      <c r="G4096" t="s">
        <v>80</v>
      </c>
      <c r="H4096" t="s">
        <v>56</v>
      </c>
      <c r="I4096" t="s">
        <v>85</v>
      </c>
      <c r="J4096" t="s">
        <v>37</v>
      </c>
      <c r="K4096" t="s">
        <v>45</v>
      </c>
      <c r="L4096">
        <v>3</v>
      </c>
      <c r="M4096">
        <v>579</v>
      </c>
      <c r="N4096">
        <v>57.9</v>
      </c>
      <c r="O4096">
        <v>50</v>
      </c>
      <c r="P4096">
        <v>1737</v>
      </c>
      <c r="Q4096">
        <v>1729.1</v>
      </c>
      <c r="R4096" t="s">
        <v>112</v>
      </c>
      <c r="S4096" t="s">
        <v>31</v>
      </c>
      <c r="T4096" t="s">
        <v>32</v>
      </c>
      <c r="U4096">
        <v>52</v>
      </c>
      <c r="V4096">
        <v>4.2</v>
      </c>
      <c r="W4096">
        <f>Table2[[#This Row],[Quantity]]*Table2[[#This Row],[Item_Price]]</f>
        <v>1737</v>
      </c>
    </row>
    <row r="4097" spans="1:23" x14ac:dyDescent="0.25">
      <c r="A4097" t="s">
        <v>4200</v>
      </c>
      <c r="B4097" s="1">
        <v>45958</v>
      </c>
      <c r="C4097" t="s">
        <v>3846</v>
      </c>
      <c r="D4097">
        <v>10</v>
      </c>
      <c r="E4097">
        <v>28</v>
      </c>
      <c r="F4097" t="s">
        <v>178</v>
      </c>
      <c r="G4097" t="s">
        <v>80</v>
      </c>
      <c r="H4097" t="s">
        <v>42</v>
      </c>
      <c r="I4097" t="s">
        <v>103</v>
      </c>
      <c r="J4097" t="s">
        <v>78</v>
      </c>
      <c r="K4097" t="s">
        <v>38</v>
      </c>
      <c r="L4097">
        <v>1</v>
      </c>
      <c r="M4097">
        <v>458</v>
      </c>
      <c r="N4097">
        <v>68.7</v>
      </c>
      <c r="O4097">
        <v>40</v>
      </c>
      <c r="P4097">
        <v>458</v>
      </c>
      <c r="Q4097">
        <v>429.3</v>
      </c>
      <c r="R4097" t="s">
        <v>75</v>
      </c>
      <c r="S4097" t="s">
        <v>46</v>
      </c>
      <c r="T4097" t="s">
        <v>40</v>
      </c>
      <c r="U4097">
        <v>20</v>
      </c>
      <c r="W4097">
        <f>Table2[[#This Row],[Quantity]]*Table2[[#This Row],[Item_Price]]</f>
        <v>458</v>
      </c>
    </row>
    <row r="4098" spans="1:23" x14ac:dyDescent="0.25">
      <c r="A4098" t="s">
        <v>4201</v>
      </c>
      <c r="B4098" s="1">
        <v>45958</v>
      </c>
      <c r="C4098" t="s">
        <v>3846</v>
      </c>
      <c r="D4098">
        <v>10</v>
      </c>
      <c r="E4098">
        <v>28</v>
      </c>
      <c r="F4098" t="s">
        <v>178</v>
      </c>
      <c r="G4098" t="s">
        <v>55</v>
      </c>
      <c r="H4098" t="s">
        <v>105</v>
      </c>
      <c r="I4098" t="s">
        <v>85</v>
      </c>
      <c r="J4098" t="s">
        <v>74</v>
      </c>
      <c r="K4098" t="s">
        <v>38</v>
      </c>
      <c r="L4098">
        <v>3</v>
      </c>
      <c r="M4098">
        <v>797</v>
      </c>
      <c r="N4098">
        <v>119.55</v>
      </c>
      <c r="O4098">
        <v>50</v>
      </c>
      <c r="P4098">
        <v>2391</v>
      </c>
      <c r="Q4098">
        <v>2321.4499999999998</v>
      </c>
      <c r="R4098" t="s">
        <v>39</v>
      </c>
      <c r="S4098" t="s">
        <v>31</v>
      </c>
      <c r="T4098" t="s">
        <v>40</v>
      </c>
      <c r="U4098">
        <v>43</v>
      </c>
      <c r="V4098">
        <v>3.7</v>
      </c>
      <c r="W4098">
        <f>Table2[[#This Row],[Quantity]]*Table2[[#This Row],[Item_Price]]</f>
        <v>2391</v>
      </c>
    </row>
    <row r="4099" spans="1:23" x14ac:dyDescent="0.25">
      <c r="A4099" t="s">
        <v>4202</v>
      </c>
      <c r="B4099" s="1">
        <v>45958</v>
      </c>
      <c r="C4099" t="s">
        <v>3846</v>
      </c>
      <c r="D4099">
        <v>10</v>
      </c>
      <c r="E4099">
        <v>28</v>
      </c>
      <c r="F4099" t="s">
        <v>178</v>
      </c>
      <c r="G4099" t="s">
        <v>34</v>
      </c>
      <c r="H4099" t="s">
        <v>68</v>
      </c>
      <c r="I4099" t="s">
        <v>61</v>
      </c>
      <c r="J4099" t="s">
        <v>66</v>
      </c>
      <c r="K4099" t="s">
        <v>45</v>
      </c>
      <c r="L4099">
        <v>1</v>
      </c>
      <c r="M4099">
        <v>855</v>
      </c>
      <c r="N4099">
        <v>85.5</v>
      </c>
      <c r="O4099">
        <v>30</v>
      </c>
      <c r="P4099">
        <v>855</v>
      </c>
      <c r="Q4099">
        <v>799.5</v>
      </c>
      <c r="R4099" t="s">
        <v>75</v>
      </c>
      <c r="S4099" t="s">
        <v>31</v>
      </c>
      <c r="T4099" t="s">
        <v>40</v>
      </c>
      <c r="U4099">
        <v>45</v>
      </c>
      <c r="V4099">
        <v>3</v>
      </c>
      <c r="W4099">
        <f>Table2[[#This Row],[Quantity]]*Table2[[#This Row],[Item_Price]]</f>
        <v>855</v>
      </c>
    </row>
    <row r="4100" spans="1:23" x14ac:dyDescent="0.25">
      <c r="A4100" t="s">
        <v>4203</v>
      </c>
      <c r="B4100" s="1">
        <v>45958</v>
      </c>
      <c r="C4100" t="s">
        <v>3846</v>
      </c>
      <c r="D4100">
        <v>10</v>
      </c>
      <c r="E4100">
        <v>28</v>
      </c>
      <c r="F4100" t="s">
        <v>178</v>
      </c>
      <c r="G4100" t="s">
        <v>80</v>
      </c>
      <c r="H4100" t="s">
        <v>68</v>
      </c>
      <c r="I4100" t="s">
        <v>57</v>
      </c>
      <c r="J4100" t="s">
        <v>66</v>
      </c>
      <c r="K4100" t="s">
        <v>38</v>
      </c>
      <c r="L4100">
        <v>1</v>
      </c>
      <c r="M4100">
        <v>575</v>
      </c>
      <c r="N4100">
        <v>143.75</v>
      </c>
      <c r="O4100">
        <v>0</v>
      </c>
      <c r="P4100">
        <v>575</v>
      </c>
      <c r="Q4100">
        <v>431.25</v>
      </c>
      <c r="R4100" t="s">
        <v>30</v>
      </c>
      <c r="S4100" t="s">
        <v>31</v>
      </c>
      <c r="T4100" t="s">
        <v>32</v>
      </c>
      <c r="U4100">
        <v>56</v>
      </c>
      <c r="V4100">
        <v>3.5</v>
      </c>
      <c r="W4100">
        <f>Table2[[#This Row],[Quantity]]*Table2[[#This Row],[Item_Price]]</f>
        <v>575</v>
      </c>
    </row>
    <row r="4101" spans="1:23" x14ac:dyDescent="0.25">
      <c r="A4101" t="s">
        <v>4204</v>
      </c>
      <c r="B4101" s="1">
        <v>45958</v>
      </c>
      <c r="C4101" t="s">
        <v>3846</v>
      </c>
      <c r="D4101">
        <v>10</v>
      </c>
      <c r="E4101">
        <v>28</v>
      </c>
      <c r="F4101" t="s">
        <v>178</v>
      </c>
      <c r="G4101" t="s">
        <v>34</v>
      </c>
      <c r="H4101" t="s">
        <v>105</v>
      </c>
      <c r="I4101" t="s">
        <v>61</v>
      </c>
      <c r="J4101" t="s">
        <v>78</v>
      </c>
      <c r="K4101" t="s">
        <v>38</v>
      </c>
      <c r="L4101">
        <v>1</v>
      </c>
      <c r="M4101">
        <v>624</v>
      </c>
      <c r="N4101">
        <v>0</v>
      </c>
      <c r="O4101">
        <v>50</v>
      </c>
      <c r="P4101">
        <v>624</v>
      </c>
      <c r="Q4101">
        <v>674</v>
      </c>
      <c r="R4101" t="s">
        <v>39</v>
      </c>
      <c r="S4101" t="s">
        <v>31</v>
      </c>
      <c r="T4101" t="s">
        <v>40</v>
      </c>
      <c r="U4101">
        <v>59</v>
      </c>
      <c r="V4101">
        <v>4.7</v>
      </c>
      <c r="W4101">
        <f>Table2[[#This Row],[Quantity]]*Table2[[#This Row],[Item_Price]]</f>
        <v>624</v>
      </c>
    </row>
    <row r="4102" spans="1:23" x14ac:dyDescent="0.25">
      <c r="A4102" t="s">
        <v>4205</v>
      </c>
      <c r="B4102" s="1">
        <v>45958</v>
      </c>
      <c r="C4102" t="s">
        <v>3846</v>
      </c>
      <c r="D4102">
        <v>10</v>
      </c>
      <c r="E4102">
        <v>28</v>
      </c>
      <c r="F4102" t="s">
        <v>178</v>
      </c>
      <c r="G4102" t="s">
        <v>73</v>
      </c>
      <c r="H4102" t="s">
        <v>77</v>
      </c>
      <c r="I4102" t="s">
        <v>36</v>
      </c>
      <c r="J4102" t="s">
        <v>78</v>
      </c>
      <c r="K4102" t="s">
        <v>45</v>
      </c>
      <c r="L4102">
        <v>1</v>
      </c>
      <c r="M4102">
        <v>150</v>
      </c>
      <c r="N4102">
        <v>7.5</v>
      </c>
      <c r="O4102">
        <v>50</v>
      </c>
      <c r="P4102">
        <v>150</v>
      </c>
      <c r="Q4102">
        <v>192.5</v>
      </c>
      <c r="R4102" t="s">
        <v>39</v>
      </c>
      <c r="S4102" t="s">
        <v>31</v>
      </c>
      <c r="T4102" t="s">
        <v>40</v>
      </c>
      <c r="U4102">
        <v>23</v>
      </c>
      <c r="V4102">
        <v>3.2</v>
      </c>
      <c r="W4102">
        <f>Table2[[#This Row],[Quantity]]*Table2[[#This Row],[Item_Price]]</f>
        <v>150</v>
      </c>
    </row>
    <row r="4103" spans="1:23" x14ac:dyDescent="0.25">
      <c r="A4103" t="s">
        <v>4206</v>
      </c>
      <c r="B4103" s="1">
        <v>45958</v>
      </c>
      <c r="C4103" t="s">
        <v>3846</v>
      </c>
      <c r="D4103">
        <v>10</v>
      </c>
      <c r="E4103">
        <v>28</v>
      </c>
      <c r="F4103" t="s">
        <v>178</v>
      </c>
      <c r="G4103" t="s">
        <v>25</v>
      </c>
      <c r="H4103" t="s">
        <v>56</v>
      </c>
      <c r="I4103" t="s">
        <v>85</v>
      </c>
      <c r="J4103" t="s">
        <v>82</v>
      </c>
      <c r="K4103" t="s">
        <v>38</v>
      </c>
      <c r="L4103">
        <v>3</v>
      </c>
      <c r="M4103">
        <v>329</v>
      </c>
      <c r="N4103">
        <v>65.8</v>
      </c>
      <c r="O4103">
        <v>60</v>
      </c>
      <c r="P4103">
        <v>987</v>
      </c>
      <c r="Q4103">
        <v>981.2</v>
      </c>
      <c r="R4103" t="s">
        <v>39</v>
      </c>
      <c r="S4103" t="s">
        <v>31</v>
      </c>
      <c r="T4103" t="s">
        <v>32</v>
      </c>
      <c r="U4103">
        <v>65</v>
      </c>
      <c r="V4103">
        <v>4.2</v>
      </c>
      <c r="W4103">
        <f>Table2[[#This Row],[Quantity]]*Table2[[#This Row],[Item_Price]]</f>
        <v>987</v>
      </c>
    </row>
    <row r="4104" spans="1:23" x14ac:dyDescent="0.25">
      <c r="A4104" t="s">
        <v>4207</v>
      </c>
      <c r="B4104" s="1">
        <v>45958</v>
      </c>
      <c r="C4104" t="s">
        <v>3846</v>
      </c>
      <c r="D4104">
        <v>10</v>
      </c>
      <c r="E4104">
        <v>28</v>
      </c>
      <c r="F4104" t="s">
        <v>178</v>
      </c>
      <c r="G4104" t="s">
        <v>55</v>
      </c>
      <c r="H4104" t="s">
        <v>108</v>
      </c>
      <c r="I4104" t="s">
        <v>85</v>
      </c>
      <c r="J4104" t="s">
        <v>37</v>
      </c>
      <c r="K4104" t="s">
        <v>38</v>
      </c>
      <c r="L4104">
        <v>1</v>
      </c>
      <c r="M4104">
        <v>803</v>
      </c>
      <c r="N4104">
        <v>160.6</v>
      </c>
      <c r="O4104">
        <v>50</v>
      </c>
      <c r="P4104">
        <v>803</v>
      </c>
      <c r="Q4104">
        <v>692.4</v>
      </c>
      <c r="R4104" t="s">
        <v>112</v>
      </c>
      <c r="S4104" t="s">
        <v>110</v>
      </c>
      <c r="T4104" t="s">
        <v>40</v>
      </c>
      <c r="U4104">
        <v>40</v>
      </c>
      <c r="W4104">
        <f>Table2[[#This Row],[Quantity]]*Table2[[#This Row],[Item_Price]]</f>
        <v>803</v>
      </c>
    </row>
    <row r="4105" spans="1:23" x14ac:dyDescent="0.25">
      <c r="A4105" t="s">
        <v>4208</v>
      </c>
      <c r="B4105" s="1">
        <v>45958</v>
      </c>
      <c r="C4105" t="s">
        <v>3846</v>
      </c>
      <c r="D4105">
        <v>10</v>
      </c>
      <c r="E4105">
        <v>28</v>
      </c>
      <c r="F4105" t="s">
        <v>178</v>
      </c>
      <c r="G4105" t="s">
        <v>64</v>
      </c>
      <c r="H4105" t="s">
        <v>139</v>
      </c>
      <c r="I4105" t="s">
        <v>43</v>
      </c>
      <c r="J4105" t="s">
        <v>101</v>
      </c>
      <c r="K4105" t="s">
        <v>45</v>
      </c>
      <c r="L4105">
        <v>1</v>
      </c>
      <c r="M4105">
        <v>330</v>
      </c>
      <c r="N4105">
        <v>82.5</v>
      </c>
      <c r="O4105">
        <v>50</v>
      </c>
      <c r="P4105">
        <v>330</v>
      </c>
      <c r="Q4105">
        <v>297.5</v>
      </c>
      <c r="R4105" t="s">
        <v>112</v>
      </c>
      <c r="S4105" t="s">
        <v>31</v>
      </c>
      <c r="T4105" t="s">
        <v>40</v>
      </c>
      <c r="U4105">
        <v>20</v>
      </c>
      <c r="V4105">
        <v>3.8</v>
      </c>
      <c r="W4105">
        <f>Table2[[#This Row],[Quantity]]*Table2[[#This Row],[Item_Price]]</f>
        <v>330</v>
      </c>
    </row>
    <row r="4106" spans="1:23" x14ac:dyDescent="0.25">
      <c r="A4106" t="s">
        <v>4209</v>
      </c>
      <c r="B4106" s="1">
        <v>45958</v>
      </c>
      <c r="C4106" t="s">
        <v>3846</v>
      </c>
      <c r="D4106">
        <v>10</v>
      </c>
      <c r="E4106">
        <v>28</v>
      </c>
      <c r="F4106" t="s">
        <v>178</v>
      </c>
      <c r="G4106" t="s">
        <v>73</v>
      </c>
      <c r="H4106" t="s">
        <v>52</v>
      </c>
      <c r="I4106" t="s">
        <v>69</v>
      </c>
      <c r="J4106" t="s">
        <v>66</v>
      </c>
      <c r="K4106" t="s">
        <v>58</v>
      </c>
      <c r="L4106">
        <v>1</v>
      </c>
      <c r="M4106">
        <v>347</v>
      </c>
      <c r="N4106">
        <v>52.05</v>
      </c>
      <c r="O4106">
        <v>30</v>
      </c>
      <c r="P4106">
        <v>347</v>
      </c>
      <c r="Q4106">
        <v>324.95</v>
      </c>
      <c r="R4106" t="s">
        <v>30</v>
      </c>
      <c r="S4106" t="s">
        <v>31</v>
      </c>
      <c r="T4106" t="s">
        <v>40</v>
      </c>
      <c r="U4106">
        <v>55</v>
      </c>
      <c r="V4106">
        <v>3.3</v>
      </c>
      <c r="W4106">
        <f>Table2[[#This Row],[Quantity]]*Table2[[#This Row],[Item_Price]]</f>
        <v>347</v>
      </c>
    </row>
    <row r="4107" spans="1:23" x14ac:dyDescent="0.25">
      <c r="A4107" t="s">
        <v>4210</v>
      </c>
      <c r="B4107" s="1">
        <v>45959</v>
      </c>
      <c r="C4107" t="s">
        <v>3846</v>
      </c>
      <c r="D4107">
        <v>10</v>
      </c>
      <c r="E4107">
        <v>29</v>
      </c>
      <c r="F4107" t="s">
        <v>24</v>
      </c>
      <c r="G4107" t="s">
        <v>73</v>
      </c>
      <c r="H4107" t="s">
        <v>60</v>
      </c>
      <c r="I4107" t="s">
        <v>97</v>
      </c>
      <c r="J4107" t="s">
        <v>119</v>
      </c>
      <c r="K4107" t="s">
        <v>38</v>
      </c>
      <c r="L4107">
        <v>2</v>
      </c>
      <c r="M4107">
        <v>673</v>
      </c>
      <c r="N4107">
        <v>134.6</v>
      </c>
      <c r="O4107">
        <v>30</v>
      </c>
      <c r="P4107">
        <v>1346</v>
      </c>
      <c r="Q4107">
        <v>1241.4000000000001</v>
      </c>
      <c r="R4107" t="s">
        <v>39</v>
      </c>
      <c r="S4107" t="s">
        <v>110</v>
      </c>
      <c r="T4107" t="s">
        <v>32</v>
      </c>
      <c r="U4107">
        <v>38</v>
      </c>
      <c r="W4107">
        <f>Table2[[#This Row],[Quantity]]*Table2[[#This Row],[Item_Price]]</f>
        <v>1346</v>
      </c>
    </row>
    <row r="4108" spans="1:23" x14ac:dyDescent="0.25">
      <c r="A4108" t="s">
        <v>4211</v>
      </c>
      <c r="B4108" s="1">
        <v>45959</v>
      </c>
      <c r="C4108" t="s">
        <v>3846</v>
      </c>
      <c r="D4108">
        <v>10</v>
      </c>
      <c r="E4108">
        <v>29</v>
      </c>
      <c r="F4108" t="s">
        <v>24</v>
      </c>
      <c r="G4108" t="s">
        <v>115</v>
      </c>
      <c r="H4108" t="s">
        <v>56</v>
      </c>
      <c r="I4108" t="s">
        <v>27</v>
      </c>
      <c r="J4108" t="s">
        <v>44</v>
      </c>
      <c r="K4108" t="s">
        <v>38</v>
      </c>
      <c r="L4108">
        <v>1</v>
      </c>
      <c r="M4108">
        <v>501</v>
      </c>
      <c r="N4108">
        <v>75.150000000000006</v>
      </c>
      <c r="O4108">
        <v>0</v>
      </c>
      <c r="P4108">
        <v>501</v>
      </c>
      <c r="Q4108">
        <v>425.85</v>
      </c>
      <c r="R4108" t="s">
        <v>39</v>
      </c>
      <c r="S4108" t="s">
        <v>31</v>
      </c>
      <c r="T4108" t="s">
        <v>32</v>
      </c>
      <c r="U4108">
        <v>34</v>
      </c>
      <c r="V4108">
        <v>5</v>
      </c>
      <c r="W4108">
        <f>Table2[[#This Row],[Quantity]]*Table2[[#This Row],[Item_Price]]</f>
        <v>501</v>
      </c>
    </row>
    <row r="4109" spans="1:23" x14ac:dyDescent="0.25">
      <c r="A4109" t="s">
        <v>4212</v>
      </c>
      <c r="B4109" s="1">
        <v>45959</v>
      </c>
      <c r="C4109" t="s">
        <v>3846</v>
      </c>
      <c r="D4109">
        <v>10</v>
      </c>
      <c r="E4109">
        <v>29</v>
      </c>
      <c r="F4109" t="s">
        <v>24</v>
      </c>
      <c r="G4109" t="s">
        <v>73</v>
      </c>
      <c r="H4109" t="s">
        <v>108</v>
      </c>
      <c r="I4109" t="s">
        <v>103</v>
      </c>
      <c r="J4109" t="s">
        <v>28</v>
      </c>
      <c r="K4109" t="s">
        <v>38</v>
      </c>
      <c r="L4109">
        <v>1</v>
      </c>
      <c r="M4109">
        <v>198</v>
      </c>
      <c r="N4109">
        <v>19.8</v>
      </c>
      <c r="O4109">
        <v>20</v>
      </c>
      <c r="P4109">
        <v>198</v>
      </c>
      <c r="Q4109">
        <v>198.2</v>
      </c>
      <c r="R4109" t="s">
        <v>30</v>
      </c>
      <c r="S4109" t="s">
        <v>31</v>
      </c>
      <c r="T4109" t="s">
        <v>40</v>
      </c>
      <c r="U4109">
        <v>22</v>
      </c>
      <c r="V4109">
        <v>3.7</v>
      </c>
      <c r="W4109">
        <f>Table2[[#This Row],[Quantity]]*Table2[[#This Row],[Item_Price]]</f>
        <v>198</v>
      </c>
    </row>
    <row r="4110" spans="1:23" x14ac:dyDescent="0.25">
      <c r="A4110" t="s">
        <v>4213</v>
      </c>
      <c r="B4110" s="1">
        <v>45959</v>
      </c>
      <c r="C4110" t="s">
        <v>3846</v>
      </c>
      <c r="D4110">
        <v>10</v>
      </c>
      <c r="E4110">
        <v>29</v>
      </c>
      <c r="F4110" t="s">
        <v>24</v>
      </c>
      <c r="G4110" t="s">
        <v>80</v>
      </c>
      <c r="H4110" t="s">
        <v>135</v>
      </c>
      <c r="I4110" t="s">
        <v>61</v>
      </c>
      <c r="J4110" t="s">
        <v>66</v>
      </c>
      <c r="K4110" t="s">
        <v>45</v>
      </c>
      <c r="L4110">
        <v>1</v>
      </c>
      <c r="M4110">
        <v>397</v>
      </c>
      <c r="N4110">
        <v>19.850000000000001</v>
      </c>
      <c r="O4110">
        <v>50</v>
      </c>
      <c r="P4110">
        <v>397</v>
      </c>
      <c r="Q4110">
        <v>427.15</v>
      </c>
      <c r="R4110" t="s">
        <v>39</v>
      </c>
      <c r="S4110" t="s">
        <v>31</v>
      </c>
      <c r="T4110" t="s">
        <v>32</v>
      </c>
      <c r="U4110">
        <v>43</v>
      </c>
      <c r="V4110">
        <v>3.8</v>
      </c>
      <c r="W4110">
        <f>Table2[[#This Row],[Quantity]]*Table2[[#This Row],[Item_Price]]</f>
        <v>397</v>
      </c>
    </row>
    <row r="4111" spans="1:23" x14ac:dyDescent="0.25">
      <c r="A4111" t="s">
        <v>4214</v>
      </c>
      <c r="B4111" s="1">
        <v>45959</v>
      </c>
      <c r="C4111" t="s">
        <v>3846</v>
      </c>
      <c r="D4111">
        <v>10</v>
      </c>
      <c r="E4111">
        <v>29</v>
      </c>
      <c r="F4111" t="s">
        <v>24</v>
      </c>
      <c r="G4111" t="s">
        <v>73</v>
      </c>
      <c r="H4111" t="s">
        <v>81</v>
      </c>
      <c r="I4111" t="s">
        <v>43</v>
      </c>
      <c r="J4111" t="s">
        <v>94</v>
      </c>
      <c r="K4111" t="s">
        <v>38</v>
      </c>
      <c r="L4111">
        <v>1</v>
      </c>
      <c r="M4111">
        <v>716</v>
      </c>
      <c r="N4111">
        <v>35.799999999999997</v>
      </c>
      <c r="O4111">
        <v>50</v>
      </c>
      <c r="P4111">
        <v>716</v>
      </c>
      <c r="Q4111">
        <v>730.2</v>
      </c>
      <c r="R4111" t="s">
        <v>39</v>
      </c>
      <c r="S4111" t="s">
        <v>46</v>
      </c>
      <c r="T4111" t="s">
        <v>40</v>
      </c>
      <c r="U4111">
        <v>52</v>
      </c>
      <c r="W4111">
        <f>Table2[[#This Row],[Quantity]]*Table2[[#This Row],[Item_Price]]</f>
        <v>716</v>
      </c>
    </row>
    <row r="4112" spans="1:23" x14ac:dyDescent="0.25">
      <c r="A4112" t="s">
        <v>4215</v>
      </c>
      <c r="B4112" s="1">
        <v>45959</v>
      </c>
      <c r="C4112" t="s">
        <v>3846</v>
      </c>
      <c r="D4112">
        <v>10</v>
      </c>
      <c r="E4112">
        <v>29</v>
      </c>
      <c r="F4112" t="s">
        <v>24</v>
      </c>
      <c r="G4112" t="s">
        <v>115</v>
      </c>
      <c r="H4112" t="s">
        <v>52</v>
      </c>
      <c r="I4112" t="s">
        <v>57</v>
      </c>
      <c r="J4112" t="s">
        <v>74</v>
      </c>
      <c r="K4112" t="s">
        <v>45</v>
      </c>
      <c r="L4112">
        <v>1</v>
      </c>
      <c r="M4112">
        <v>349</v>
      </c>
      <c r="N4112">
        <v>52.35</v>
      </c>
      <c r="O4112">
        <v>50</v>
      </c>
      <c r="P4112">
        <v>349</v>
      </c>
      <c r="Q4112">
        <v>346.65</v>
      </c>
      <c r="R4112" t="s">
        <v>75</v>
      </c>
      <c r="S4112" t="s">
        <v>31</v>
      </c>
      <c r="T4112" t="s">
        <v>32</v>
      </c>
      <c r="U4112">
        <v>57</v>
      </c>
      <c r="V4112">
        <v>4</v>
      </c>
      <c r="W4112">
        <f>Table2[[#This Row],[Quantity]]*Table2[[#This Row],[Item_Price]]</f>
        <v>349</v>
      </c>
    </row>
    <row r="4113" spans="1:23" x14ac:dyDescent="0.25">
      <c r="A4113" t="s">
        <v>4216</v>
      </c>
      <c r="B4113" s="1">
        <v>45959</v>
      </c>
      <c r="C4113" t="s">
        <v>3846</v>
      </c>
      <c r="D4113">
        <v>10</v>
      </c>
      <c r="E4113">
        <v>29</v>
      </c>
      <c r="F4113" t="s">
        <v>24</v>
      </c>
      <c r="G4113" t="s">
        <v>84</v>
      </c>
      <c r="H4113" t="s">
        <v>65</v>
      </c>
      <c r="I4113" t="s">
        <v>57</v>
      </c>
      <c r="J4113" t="s">
        <v>78</v>
      </c>
      <c r="K4113" t="s">
        <v>38</v>
      </c>
      <c r="L4113">
        <v>2</v>
      </c>
      <c r="M4113">
        <v>778</v>
      </c>
      <c r="N4113">
        <v>116.7</v>
      </c>
      <c r="O4113">
        <v>0</v>
      </c>
      <c r="P4113">
        <v>1556</v>
      </c>
      <c r="Q4113">
        <v>1439.3</v>
      </c>
      <c r="R4113" t="s">
        <v>39</v>
      </c>
      <c r="S4113" t="s">
        <v>31</v>
      </c>
      <c r="T4113" t="s">
        <v>40</v>
      </c>
      <c r="U4113">
        <v>59</v>
      </c>
      <c r="V4113">
        <v>5</v>
      </c>
      <c r="W4113">
        <f>Table2[[#This Row],[Quantity]]*Table2[[#This Row],[Item_Price]]</f>
        <v>1556</v>
      </c>
    </row>
    <row r="4114" spans="1:23" x14ac:dyDescent="0.25">
      <c r="A4114" t="s">
        <v>4217</v>
      </c>
      <c r="B4114" s="1">
        <v>45959</v>
      </c>
      <c r="C4114" t="s">
        <v>3846</v>
      </c>
      <c r="D4114">
        <v>10</v>
      </c>
      <c r="E4114">
        <v>29</v>
      </c>
      <c r="F4114" t="s">
        <v>24</v>
      </c>
      <c r="G4114" t="s">
        <v>64</v>
      </c>
      <c r="H4114" t="s">
        <v>56</v>
      </c>
      <c r="I4114" t="s">
        <v>27</v>
      </c>
      <c r="J4114" t="s">
        <v>123</v>
      </c>
      <c r="K4114" t="s">
        <v>38</v>
      </c>
      <c r="L4114">
        <v>1</v>
      </c>
      <c r="M4114">
        <v>389</v>
      </c>
      <c r="N4114">
        <v>58.35</v>
      </c>
      <c r="O4114">
        <v>40</v>
      </c>
      <c r="P4114">
        <v>389</v>
      </c>
      <c r="Q4114">
        <v>370.65</v>
      </c>
      <c r="R4114" t="s">
        <v>39</v>
      </c>
      <c r="S4114" t="s">
        <v>31</v>
      </c>
      <c r="T4114" t="s">
        <v>32</v>
      </c>
      <c r="U4114">
        <v>24</v>
      </c>
      <c r="V4114">
        <v>3.6</v>
      </c>
      <c r="W4114">
        <f>Table2[[#This Row],[Quantity]]*Table2[[#This Row],[Item_Price]]</f>
        <v>389</v>
      </c>
    </row>
    <row r="4115" spans="1:23" x14ac:dyDescent="0.25">
      <c r="A4115" t="s">
        <v>4218</v>
      </c>
      <c r="B4115" s="1">
        <v>45959</v>
      </c>
      <c r="C4115" t="s">
        <v>3846</v>
      </c>
      <c r="D4115">
        <v>10</v>
      </c>
      <c r="E4115">
        <v>29</v>
      </c>
      <c r="F4115" t="s">
        <v>24</v>
      </c>
      <c r="G4115" t="s">
        <v>64</v>
      </c>
      <c r="H4115" t="s">
        <v>135</v>
      </c>
      <c r="I4115" t="s">
        <v>69</v>
      </c>
      <c r="J4115" t="s">
        <v>101</v>
      </c>
      <c r="K4115" t="s">
        <v>38</v>
      </c>
      <c r="L4115">
        <v>3</v>
      </c>
      <c r="M4115">
        <v>465</v>
      </c>
      <c r="N4115">
        <v>46.5</v>
      </c>
      <c r="O4115">
        <v>0</v>
      </c>
      <c r="P4115">
        <v>1395</v>
      </c>
      <c r="Q4115">
        <v>1348.5</v>
      </c>
      <c r="R4115" t="s">
        <v>39</v>
      </c>
      <c r="S4115" t="s">
        <v>31</v>
      </c>
      <c r="T4115" t="s">
        <v>40</v>
      </c>
      <c r="U4115">
        <v>65</v>
      </c>
      <c r="V4115">
        <v>5</v>
      </c>
      <c r="W4115">
        <f>Table2[[#This Row],[Quantity]]*Table2[[#This Row],[Item_Price]]</f>
        <v>1395</v>
      </c>
    </row>
    <row r="4116" spans="1:23" x14ac:dyDescent="0.25">
      <c r="A4116" t="s">
        <v>4219</v>
      </c>
      <c r="B4116" s="1">
        <v>45959</v>
      </c>
      <c r="C4116" t="s">
        <v>3846</v>
      </c>
      <c r="D4116">
        <v>10</v>
      </c>
      <c r="E4116">
        <v>29</v>
      </c>
      <c r="F4116" t="s">
        <v>24</v>
      </c>
      <c r="G4116" t="s">
        <v>96</v>
      </c>
      <c r="H4116" t="s">
        <v>108</v>
      </c>
      <c r="I4116" t="s">
        <v>85</v>
      </c>
      <c r="J4116" t="s">
        <v>78</v>
      </c>
      <c r="K4116" t="s">
        <v>38</v>
      </c>
      <c r="L4116">
        <v>2</v>
      </c>
      <c r="M4116">
        <v>545</v>
      </c>
      <c r="N4116">
        <v>27.25</v>
      </c>
      <c r="O4116">
        <v>0</v>
      </c>
      <c r="P4116">
        <v>1090</v>
      </c>
      <c r="Q4116">
        <v>1062.75</v>
      </c>
      <c r="R4116" t="s">
        <v>75</v>
      </c>
      <c r="S4116" t="s">
        <v>46</v>
      </c>
      <c r="T4116" t="s">
        <v>40</v>
      </c>
      <c r="U4116">
        <v>59</v>
      </c>
      <c r="W4116">
        <f>Table2[[#This Row],[Quantity]]*Table2[[#This Row],[Item_Price]]</f>
        <v>1090</v>
      </c>
    </row>
    <row r="4117" spans="1:23" x14ac:dyDescent="0.25">
      <c r="A4117" t="s">
        <v>4220</v>
      </c>
      <c r="B4117" s="1">
        <v>45959</v>
      </c>
      <c r="C4117" t="s">
        <v>3846</v>
      </c>
      <c r="D4117">
        <v>10</v>
      </c>
      <c r="E4117">
        <v>29</v>
      </c>
      <c r="F4117" t="s">
        <v>24</v>
      </c>
      <c r="G4117" t="s">
        <v>80</v>
      </c>
      <c r="H4117" t="s">
        <v>135</v>
      </c>
      <c r="I4117" t="s">
        <v>103</v>
      </c>
      <c r="J4117" t="s">
        <v>66</v>
      </c>
      <c r="K4117" t="s">
        <v>29</v>
      </c>
      <c r="L4117">
        <v>2</v>
      </c>
      <c r="M4117">
        <v>126</v>
      </c>
      <c r="N4117">
        <v>18.899999999999999</v>
      </c>
      <c r="O4117">
        <v>20</v>
      </c>
      <c r="P4117">
        <v>252</v>
      </c>
      <c r="Q4117">
        <v>253.1</v>
      </c>
      <c r="R4117" t="s">
        <v>75</v>
      </c>
      <c r="S4117" t="s">
        <v>31</v>
      </c>
      <c r="T4117" t="s">
        <v>40</v>
      </c>
      <c r="U4117">
        <v>43</v>
      </c>
      <c r="V4117">
        <v>2.9</v>
      </c>
      <c r="W4117">
        <f>Table2[[#This Row],[Quantity]]*Table2[[#This Row],[Item_Price]]</f>
        <v>252</v>
      </c>
    </row>
    <row r="4118" spans="1:23" x14ac:dyDescent="0.25">
      <c r="A4118" t="s">
        <v>4221</v>
      </c>
      <c r="B4118" s="1">
        <v>45959</v>
      </c>
      <c r="C4118" t="s">
        <v>3846</v>
      </c>
      <c r="D4118">
        <v>10</v>
      </c>
      <c r="E4118">
        <v>29</v>
      </c>
      <c r="F4118" t="s">
        <v>24</v>
      </c>
      <c r="G4118" t="s">
        <v>80</v>
      </c>
      <c r="H4118" t="s">
        <v>68</v>
      </c>
      <c r="I4118" t="s">
        <v>103</v>
      </c>
      <c r="J4118" t="s">
        <v>44</v>
      </c>
      <c r="K4118" t="s">
        <v>38</v>
      </c>
      <c r="L4118">
        <v>3</v>
      </c>
      <c r="M4118">
        <v>373</v>
      </c>
      <c r="N4118">
        <v>37.299999999999997</v>
      </c>
      <c r="O4118">
        <v>0</v>
      </c>
      <c r="P4118">
        <v>1119</v>
      </c>
      <c r="Q4118">
        <v>1081.7</v>
      </c>
      <c r="R4118" t="s">
        <v>112</v>
      </c>
      <c r="S4118" t="s">
        <v>31</v>
      </c>
      <c r="T4118" t="s">
        <v>40</v>
      </c>
      <c r="U4118">
        <v>30</v>
      </c>
      <c r="V4118">
        <v>4</v>
      </c>
      <c r="W4118">
        <f>Table2[[#This Row],[Quantity]]*Table2[[#This Row],[Item_Price]]</f>
        <v>1119</v>
      </c>
    </row>
    <row r="4119" spans="1:23" x14ac:dyDescent="0.25">
      <c r="A4119" t="s">
        <v>4222</v>
      </c>
      <c r="B4119" s="1">
        <v>45959</v>
      </c>
      <c r="C4119" t="s">
        <v>3846</v>
      </c>
      <c r="D4119">
        <v>10</v>
      </c>
      <c r="E4119">
        <v>29</v>
      </c>
      <c r="F4119" t="s">
        <v>24</v>
      </c>
      <c r="G4119" t="s">
        <v>64</v>
      </c>
      <c r="H4119" t="s">
        <v>26</v>
      </c>
      <c r="I4119" t="s">
        <v>36</v>
      </c>
      <c r="J4119" t="s">
        <v>50</v>
      </c>
      <c r="K4119" t="s">
        <v>45</v>
      </c>
      <c r="L4119">
        <v>3</v>
      </c>
      <c r="M4119">
        <v>577</v>
      </c>
      <c r="N4119">
        <v>57.7</v>
      </c>
      <c r="O4119">
        <v>20</v>
      </c>
      <c r="P4119">
        <v>1731</v>
      </c>
      <c r="Q4119">
        <v>1693.3</v>
      </c>
      <c r="R4119" t="s">
        <v>75</v>
      </c>
      <c r="S4119" t="s">
        <v>31</v>
      </c>
      <c r="T4119" t="s">
        <v>40</v>
      </c>
      <c r="U4119">
        <v>44</v>
      </c>
      <c r="V4119">
        <v>2.8</v>
      </c>
      <c r="W4119">
        <f>Table2[[#This Row],[Quantity]]*Table2[[#This Row],[Item_Price]]</f>
        <v>1731</v>
      </c>
    </row>
    <row r="4120" spans="1:23" x14ac:dyDescent="0.25">
      <c r="A4120" t="s">
        <v>4223</v>
      </c>
      <c r="B4120" s="1">
        <v>45959</v>
      </c>
      <c r="C4120" t="s">
        <v>3846</v>
      </c>
      <c r="D4120">
        <v>10</v>
      </c>
      <c r="E4120">
        <v>29</v>
      </c>
      <c r="F4120" t="s">
        <v>24</v>
      </c>
      <c r="G4120" t="s">
        <v>73</v>
      </c>
      <c r="H4120" t="s">
        <v>135</v>
      </c>
      <c r="I4120" t="s">
        <v>49</v>
      </c>
      <c r="J4120" t="s">
        <v>74</v>
      </c>
      <c r="K4120" t="s">
        <v>38</v>
      </c>
      <c r="L4120">
        <v>2</v>
      </c>
      <c r="M4120">
        <v>653</v>
      </c>
      <c r="N4120">
        <v>130.6</v>
      </c>
      <c r="O4120">
        <v>50</v>
      </c>
      <c r="P4120">
        <v>1306</v>
      </c>
      <c r="Q4120">
        <v>1225.4000000000001</v>
      </c>
      <c r="R4120" t="s">
        <v>112</v>
      </c>
      <c r="S4120" t="s">
        <v>31</v>
      </c>
      <c r="T4120" t="s">
        <v>40</v>
      </c>
      <c r="U4120">
        <v>41</v>
      </c>
      <c r="V4120">
        <v>4.7</v>
      </c>
      <c r="W4120">
        <f>Table2[[#This Row],[Quantity]]*Table2[[#This Row],[Item_Price]]</f>
        <v>1306</v>
      </c>
    </row>
    <row r="4121" spans="1:23" x14ac:dyDescent="0.25">
      <c r="A4121" t="s">
        <v>4224</v>
      </c>
      <c r="B4121" s="1">
        <v>45959</v>
      </c>
      <c r="C4121" t="s">
        <v>3846</v>
      </c>
      <c r="D4121">
        <v>10</v>
      </c>
      <c r="E4121">
        <v>29</v>
      </c>
      <c r="F4121" t="s">
        <v>24</v>
      </c>
      <c r="G4121" t="s">
        <v>73</v>
      </c>
      <c r="H4121" t="s">
        <v>77</v>
      </c>
      <c r="I4121" t="s">
        <v>43</v>
      </c>
      <c r="J4121" t="s">
        <v>82</v>
      </c>
      <c r="K4121" t="s">
        <v>29</v>
      </c>
      <c r="L4121">
        <v>3</v>
      </c>
      <c r="M4121">
        <v>870</v>
      </c>
      <c r="N4121">
        <v>174</v>
      </c>
      <c r="O4121">
        <v>70</v>
      </c>
      <c r="P4121">
        <v>2610</v>
      </c>
      <c r="Q4121">
        <v>2506</v>
      </c>
      <c r="R4121" t="s">
        <v>39</v>
      </c>
      <c r="S4121" t="s">
        <v>31</v>
      </c>
      <c r="T4121" t="s">
        <v>40</v>
      </c>
      <c r="U4121">
        <v>36</v>
      </c>
      <c r="V4121">
        <v>3.1</v>
      </c>
      <c r="W4121">
        <f>Table2[[#This Row],[Quantity]]*Table2[[#This Row],[Item_Price]]</f>
        <v>2610</v>
      </c>
    </row>
    <row r="4122" spans="1:23" x14ac:dyDescent="0.25">
      <c r="A4122" t="s">
        <v>4225</v>
      </c>
      <c r="B4122" s="1">
        <v>45959</v>
      </c>
      <c r="C4122" t="s">
        <v>3846</v>
      </c>
      <c r="D4122">
        <v>10</v>
      </c>
      <c r="E4122">
        <v>29</v>
      </c>
      <c r="F4122" t="s">
        <v>24</v>
      </c>
      <c r="G4122" t="s">
        <v>55</v>
      </c>
      <c r="H4122" t="s">
        <v>60</v>
      </c>
      <c r="I4122" t="s">
        <v>43</v>
      </c>
      <c r="J4122" t="s">
        <v>50</v>
      </c>
      <c r="K4122" t="s">
        <v>38</v>
      </c>
      <c r="L4122">
        <v>3</v>
      </c>
      <c r="M4122">
        <v>330</v>
      </c>
      <c r="N4122">
        <v>0</v>
      </c>
      <c r="O4122">
        <v>50</v>
      </c>
      <c r="P4122">
        <v>990</v>
      </c>
      <c r="Q4122">
        <v>1040</v>
      </c>
      <c r="R4122" t="s">
        <v>112</v>
      </c>
      <c r="S4122" t="s">
        <v>31</v>
      </c>
      <c r="T4122" t="s">
        <v>32</v>
      </c>
      <c r="U4122">
        <v>22</v>
      </c>
      <c r="V4122">
        <v>3</v>
      </c>
      <c r="W4122">
        <f>Table2[[#This Row],[Quantity]]*Table2[[#This Row],[Item_Price]]</f>
        <v>990</v>
      </c>
    </row>
    <row r="4123" spans="1:23" x14ac:dyDescent="0.25">
      <c r="A4123" t="s">
        <v>4226</v>
      </c>
      <c r="B4123" s="1">
        <v>45959</v>
      </c>
      <c r="C4123" t="s">
        <v>3846</v>
      </c>
      <c r="D4123">
        <v>10</v>
      </c>
      <c r="E4123">
        <v>29</v>
      </c>
      <c r="F4123" t="s">
        <v>24</v>
      </c>
      <c r="G4123" t="s">
        <v>80</v>
      </c>
      <c r="H4123" t="s">
        <v>65</v>
      </c>
      <c r="I4123" t="s">
        <v>43</v>
      </c>
      <c r="J4123" t="s">
        <v>66</v>
      </c>
      <c r="K4123" t="s">
        <v>29</v>
      </c>
      <c r="L4123">
        <v>3</v>
      </c>
      <c r="M4123">
        <v>329</v>
      </c>
      <c r="N4123">
        <v>65.8</v>
      </c>
      <c r="O4123">
        <v>20</v>
      </c>
      <c r="P4123">
        <v>987</v>
      </c>
      <c r="Q4123">
        <v>941.2</v>
      </c>
      <c r="R4123" t="s">
        <v>30</v>
      </c>
      <c r="S4123" t="s">
        <v>110</v>
      </c>
      <c r="T4123" t="s">
        <v>40</v>
      </c>
      <c r="U4123">
        <v>28</v>
      </c>
      <c r="W4123">
        <f>Table2[[#This Row],[Quantity]]*Table2[[#This Row],[Item_Price]]</f>
        <v>987</v>
      </c>
    </row>
    <row r="4124" spans="1:23" x14ac:dyDescent="0.25">
      <c r="A4124" t="s">
        <v>4227</v>
      </c>
      <c r="B4124" s="1">
        <v>45959</v>
      </c>
      <c r="C4124" t="s">
        <v>3846</v>
      </c>
      <c r="D4124">
        <v>10</v>
      </c>
      <c r="E4124">
        <v>29</v>
      </c>
      <c r="F4124" t="s">
        <v>24</v>
      </c>
      <c r="G4124" t="s">
        <v>80</v>
      </c>
      <c r="H4124" t="s">
        <v>68</v>
      </c>
      <c r="I4124" t="s">
        <v>43</v>
      </c>
      <c r="J4124" t="s">
        <v>53</v>
      </c>
      <c r="K4124" t="s">
        <v>38</v>
      </c>
      <c r="L4124">
        <v>2</v>
      </c>
      <c r="M4124">
        <v>697</v>
      </c>
      <c r="N4124">
        <v>0</v>
      </c>
      <c r="O4124">
        <v>50</v>
      </c>
      <c r="P4124">
        <v>1394</v>
      </c>
      <c r="Q4124">
        <v>1444</v>
      </c>
      <c r="R4124" t="s">
        <v>112</v>
      </c>
      <c r="S4124" t="s">
        <v>31</v>
      </c>
      <c r="T4124" t="s">
        <v>32</v>
      </c>
      <c r="U4124">
        <v>49</v>
      </c>
      <c r="V4124">
        <v>4.5999999999999996</v>
      </c>
      <c r="W4124">
        <f>Table2[[#This Row],[Quantity]]*Table2[[#This Row],[Item_Price]]</f>
        <v>1394</v>
      </c>
    </row>
    <row r="4125" spans="1:23" x14ac:dyDescent="0.25">
      <c r="A4125" t="s">
        <v>4228</v>
      </c>
      <c r="B4125" s="1">
        <v>45959</v>
      </c>
      <c r="C4125" t="s">
        <v>3846</v>
      </c>
      <c r="D4125">
        <v>10</v>
      </c>
      <c r="E4125">
        <v>29</v>
      </c>
      <c r="F4125" t="s">
        <v>24</v>
      </c>
      <c r="G4125" t="s">
        <v>115</v>
      </c>
      <c r="H4125" t="s">
        <v>52</v>
      </c>
      <c r="I4125" t="s">
        <v>61</v>
      </c>
      <c r="J4125" t="s">
        <v>123</v>
      </c>
      <c r="K4125" t="s">
        <v>38</v>
      </c>
      <c r="L4125">
        <v>2</v>
      </c>
      <c r="M4125">
        <v>466</v>
      </c>
      <c r="N4125">
        <v>23.3</v>
      </c>
      <c r="O4125">
        <v>40</v>
      </c>
      <c r="P4125">
        <v>932</v>
      </c>
      <c r="Q4125">
        <v>948.7</v>
      </c>
      <c r="R4125" t="s">
        <v>39</v>
      </c>
      <c r="S4125" t="s">
        <v>31</v>
      </c>
      <c r="T4125" t="s">
        <v>40</v>
      </c>
      <c r="U4125">
        <v>53</v>
      </c>
      <c r="V4125">
        <v>4.3</v>
      </c>
      <c r="W4125">
        <f>Table2[[#This Row],[Quantity]]*Table2[[#This Row],[Item_Price]]</f>
        <v>932</v>
      </c>
    </row>
    <row r="4126" spans="1:23" x14ac:dyDescent="0.25">
      <c r="A4126" t="s">
        <v>4229</v>
      </c>
      <c r="B4126" s="1">
        <v>45960</v>
      </c>
      <c r="C4126" t="s">
        <v>3846</v>
      </c>
      <c r="D4126">
        <v>10</v>
      </c>
      <c r="E4126">
        <v>30</v>
      </c>
      <c r="F4126" t="s">
        <v>88</v>
      </c>
      <c r="G4126" t="s">
        <v>64</v>
      </c>
      <c r="H4126" t="s">
        <v>81</v>
      </c>
      <c r="I4126" t="s">
        <v>103</v>
      </c>
      <c r="J4126" t="s">
        <v>123</v>
      </c>
      <c r="K4126" t="s">
        <v>38</v>
      </c>
      <c r="L4126">
        <v>2</v>
      </c>
      <c r="M4126">
        <v>689</v>
      </c>
      <c r="N4126">
        <v>34.450000000000003</v>
      </c>
      <c r="O4126">
        <v>20</v>
      </c>
      <c r="P4126">
        <v>1378</v>
      </c>
      <c r="Q4126">
        <v>1363.55</v>
      </c>
      <c r="R4126" t="s">
        <v>39</v>
      </c>
      <c r="S4126" t="s">
        <v>31</v>
      </c>
      <c r="T4126" t="s">
        <v>32</v>
      </c>
      <c r="U4126">
        <v>27</v>
      </c>
      <c r="V4126">
        <v>4.7</v>
      </c>
      <c r="W4126">
        <f>Table2[[#This Row],[Quantity]]*Table2[[#This Row],[Item_Price]]</f>
        <v>1378</v>
      </c>
    </row>
    <row r="4127" spans="1:23" x14ac:dyDescent="0.25">
      <c r="A4127" t="s">
        <v>4230</v>
      </c>
      <c r="B4127" s="1">
        <v>45960</v>
      </c>
      <c r="C4127" t="s">
        <v>3846</v>
      </c>
      <c r="D4127">
        <v>10</v>
      </c>
      <c r="E4127">
        <v>30</v>
      </c>
      <c r="F4127" t="s">
        <v>88</v>
      </c>
      <c r="G4127" t="s">
        <v>64</v>
      </c>
      <c r="H4127" t="s">
        <v>35</v>
      </c>
      <c r="I4127" t="s">
        <v>36</v>
      </c>
      <c r="J4127" t="s">
        <v>50</v>
      </c>
      <c r="K4127" t="s">
        <v>38</v>
      </c>
      <c r="L4127">
        <v>1</v>
      </c>
      <c r="M4127">
        <v>187</v>
      </c>
      <c r="N4127">
        <v>9.35</v>
      </c>
      <c r="O4127">
        <v>20</v>
      </c>
      <c r="P4127">
        <v>187</v>
      </c>
      <c r="Q4127">
        <v>197.65</v>
      </c>
      <c r="R4127" t="s">
        <v>112</v>
      </c>
      <c r="S4127" t="s">
        <v>31</v>
      </c>
      <c r="T4127" t="s">
        <v>40</v>
      </c>
      <c r="U4127">
        <v>42</v>
      </c>
      <c r="V4127">
        <v>3.1</v>
      </c>
      <c r="W4127">
        <f>Table2[[#This Row],[Quantity]]*Table2[[#This Row],[Item_Price]]</f>
        <v>187</v>
      </c>
    </row>
    <row r="4128" spans="1:23" x14ac:dyDescent="0.25">
      <c r="A4128" t="s">
        <v>4231</v>
      </c>
      <c r="B4128" s="1">
        <v>45960</v>
      </c>
      <c r="C4128" t="s">
        <v>3846</v>
      </c>
      <c r="D4128">
        <v>10</v>
      </c>
      <c r="E4128">
        <v>30</v>
      </c>
      <c r="F4128" t="s">
        <v>88</v>
      </c>
      <c r="G4128" t="s">
        <v>96</v>
      </c>
      <c r="H4128" t="s">
        <v>35</v>
      </c>
      <c r="I4128" t="s">
        <v>85</v>
      </c>
      <c r="J4128" t="s">
        <v>119</v>
      </c>
      <c r="K4128" t="s">
        <v>38</v>
      </c>
      <c r="L4128">
        <v>1</v>
      </c>
      <c r="M4128">
        <v>656</v>
      </c>
      <c r="N4128">
        <v>98.4</v>
      </c>
      <c r="O4128">
        <v>60</v>
      </c>
      <c r="P4128">
        <v>656</v>
      </c>
      <c r="Q4128">
        <v>617.6</v>
      </c>
      <c r="R4128" t="s">
        <v>112</v>
      </c>
      <c r="S4128" t="s">
        <v>31</v>
      </c>
      <c r="T4128" t="s">
        <v>40</v>
      </c>
      <c r="U4128">
        <v>61</v>
      </c>
      <c r="V4128">
        <v>4.9000000000000004</v>
      </c>
      <c r="W4128">
        <f>Table2[[#This Row],[Quantity]]*Table2[[#This Row],[Item_Price]]</f>
        <v>656</v>
      </c>
    </row>
    <row r="4129" spans="1:23" x14ac:dyDescent="0.25">
      <c r="A4129" t="s">
        <v>4232</v>
      </c>
      <c r="B4129" s="1">
        <v>45960</v>
      </c>
      <c r="C4129" t="s">
        <v>3846</v>
      </c>
      <c r="D4129">
        <v>10</v>
      </c>
      <c r="E4129">
        <v>30</v>
      </c>
      <c r="F4129" t="s">
        <v>88</v>
      </c>
      <c r="G4129" t="s">
        <v>55</v>
      </c>
      <c r="H4129" t="s">
        <v>26</v>
      </c>
      <c r="I4129" t="s">
        <v>85</v>
      </c>
      <c r="J4129" t="s">
        <v>94</v>
      </c>
      <c r="K4129" t="s">
        <v>38</v>
      </c>
      <c r="L4129">
        <v>1</v>
      </c>
      <c r="M4129">
        <v>810</v>
      </c>
      <c r="N4129">
        <v>81</v>
      </c>
      <c r="O4129">
        <v>30</v>
      </c>
      <c r="P4129">
        <v>810</v>
      </c>
      <c r="Q4129">
        <v>759</v>
      </c>
      <c r="R4129" t="s">
        <v>39</v>
      </c>
      <c r="S4129" t="s">
        <v>31</v>
      </c>
      <c r="T4129" t="s">
        <v>32</v>
      </c>
      <c r="U4129">
        <v>34</v>
      </c>
      <c r="V4129">
        <v>3.2</v>
      </c>
      <c r="W4129">
        <f>Table2[[#This Row],[Quantity]]*Table2[[#This Row],[Item_Price]]</f>
        <v>810</v>
      </c>
    </row>
    <row r="4130" spans="1:23" x14ac:dyDescent="0.25">
      <c r="A4130" t="s">
        <v>4233</v>
      </c>
      <c r="B4130" s="1">
        <v>45960</v>
      </c>
      <c r="C4130" t="s">
        <v>3846</v>
      </c>
      <c r="D4130">
        <v>10</v>
      </c>
      <c r="E4130">
        <v>30</v>
      </c>
      <c r="F4130" t="s">
        <v>88</v>
      </c>
      <c r="G4130" t="s">
        <v>25</v>
      </c>
      <c r="H4130" t="s">
        <v>105</v>
      </c>
      <c r="I4130" t="s">
        <v>36</v>
      </c>
      <c r="J4130" t="s">
        <v>82</v>
      </c>
      <c r="K4130" t="s">
        <v>38</v>
      </c>
      <c r="L4130">
        <v>1</v>
      </c>
      <c r="M4130">
        <v>124</v>
      </c>
      <c r="N4130">
        <v>12.4</v>
      </c>
      <c r="O4130">
        <v>0</v>
      </c>
      <c r="P4130">
        <v>124</v>
      </c>
      <c r="Q4130">
        <v>111.6</v>
      </c>
      <c r="R4130" t="s">
        <v>75</v>
      </c>
      <c r="S4130" t="s">
        <v>31</v>
      </c>
      <c r="T4130" t="s">
        <v>40</v>
      </c>
      <c r="U4130">
        <v>52</v>
      </c>
      <c r="V4130">
        <v>3.5</v>
      </c>
      <c r="W4130">
        <f>Table2[[#This Row],[Quantity]]*Table2[[#This Row],[Item_Price]]</f>
        <v>124</v>
      </c>
    </row>
    <row r="4131" spans="1:23" x14ac:dyDescent="0.25">
      <c r="A4131" t="s">
        <v>4234</v>
      </c>
      <c r="B4131" s="1">
        <v>45960</v>
      </c>
      <c r="C4131" t="s">
        <v>3846</v>
      </c>
      <c r="D4131">
        <v>10</v>
      </c>
      <c r="E4131">
        <v>30</v>
      </c>
      <c r="F4131" t="s">
        <v>88</v>
      </c>
      <c r="G4131" t="s">
        <v>25</v>
      </c>
      <c r="H4131" t="s">
        <v>108</v>
      </c>
      <c r="I4131" t="s">
        <v>49</v>
      </c>
      <c r="J4131" t="s">
        <v>119</v>
      </c>
      <c r="K4131" t="s">
        <v>45</v>
      </c>
      <c r="L4131">
        <v>1</v>
      </c>
      <c r="M4131">
        <v>404</v>
      </c>
      <c r="N4131">
        <v>101</v>
      </c>
      <c r="O4131">
        <v>0</v>
      </c>
      <c r="P4131">
        <v>404</v>
      </c>
      <c r="Q4131">
        <v>303</v>
      </c>
      <c r="R4131" t="s">
        <v>98</v>
      </c>
      <c r="S4131" t="s">
        <v>31</v>
      </c>
      <c r="T4131" t="s">
        <v>32</v>
      </c>
      <c r="U4131">
        <v>19</v>
      </c>
      <c r="V4131">
        <v>3.7</v>
      </c>
      <c r="W4131">
        <f>Table2[[#This Row],[Quantity]]*Table2[[#This Row],[Item_Price]]</f>
        <v>404</v>
      </c>
    </row>
    <row r="4132" spans="1:23" x14ac:dyDescent="0.25">
      <c r="A4132" t="s">
        <v>4235</v>
      </c>
      <c r="B4132" s="1">
        <v>45960</v>
      </c>
      <c r="C4132" t="s">
        <v>3846</v>
      </c>
      <c r="D4132">
        <v>10</v>
      </c>
      <c r="E4132">
        <v>30</v>
      </c>
      <c r="F4132" t="s">
        <v>88</v>
      </c>
      <c r="G4132" t="s">
        <v>84</v>
      </c>
      <c r="H4132" t="s">
        <v>139</v>
      </c>
      <c r="I4132" t="s">
        <v>49</v>
      </c>
      <c r="J4132" t="s">
        <v>172</v>
      </c>
      <c r="K4132" t="s">
        <v>38</v>
      </c>
      <c r="L4132">
        <v>1</v>
      </c>
      <c r="M4132">
        <v>498</v>
      </c>
      <c r="N4132">
        <v>49.8</v>
      </c>
      <c r="O4132">
        <v>30</v>
      </c>
      <c r="P4132">
        <v>498</v>
      </c>
      <c r="Q4132">
        <v>478.2</v>
      </c>
      <c r="R4132" t="s">
        <v>75</v>
      </c>
      <c r="S4132" t="s">
        <v>46</v>
      </c>
      <c r="T4132" t="s">
        <v>32</v>
      </c>
      <c r="U4132">
        <v>36</v>
      </c>
      <c r="W4132">
        <f>Table2[[#This Row],[Quantity]]*Table2[[#This Row],[Item_Price]]</f>
        <v>498</v>
      </c>
    </row>
    <row r="4133" spans="1:23" x14ac:dyDescent="0.25">
      <c r="A4133" t="s">
        <v>4236</v>
      </c>
      <c r="B4133" s="1">
        <v>45960</v>
      </c>
      <c r="C4133" t="s">
        <v>3846</v>
      </c>
      <c r="D4133">
        <v>10</v>
      </c>
      <c r="E4133">
        <v>30</v>
      </c>
      <c r="F4133" t="s">
        <v>88</v>
      </c>
      <c r="G4133" t="s">
        <v>96</v>
      </c>
      <c r="H4133" t="s">
        <v>48</v>
      </c>
      <c r="I4133" t="s">
        <v>57</v>
      </c>
      <c r="J4133" t="s">
        <v>101</v>
      </c>
      <c r="K4133" t="s">
        <v>45</v>
      </c>
      <c r="L4133">
        <v>1</v>
      </c>
      <c r="M4133">
        <v>834</v>
      </c>
      <c r="N4133">
        <v>83.4</v>
      </c>
      <c r="O4133">
        <v>50</v>
      </c>
      <c r="P4133">
        <v>834</v>
      </c>
      <c r="Q4133">
        <v>800.6</v>
      </c>
      <c r="R4133" t="s">
        <v>39</v>
      </c>
      <c r="S4133" t="s">
        <v>31</v>
      </c>
      <c r="T4133" t="s">
        <v>32</v>
      </c>
      <c r="U4133">
        <v>60</v>
      </c>
      <c r="V4133">
        <v>2.9</v>
      </c>
      <c r="W4133">
        <f>Table2[[#This Row],[Quantity]]*Table2[[#This Row],[Item_Price]]</f>
        <v>834</v>
      </c>
    </row>
    <row r="4134" spans="1:23" x14ac:dyDescent="0.25">
      <c r="A4134" t="s">
        <v>4237</v>
      </c>
      <c r="B4134" s="1">
        <v>45960</v>
      </c>
      <c r="C4134" t="s">
        <v>3846</v>
      </c>
      <c r="D4134">
        <v>10</v>
      </c>
      <c r="E4134">
        <v>30</v>
      </c>
      <c r="F4134" t="s">
        <v>88</v>
      </c>
      <c r="G4134" t="s">
        <v>64</v>
      </c>
      <c r="H4134" t="s">
        <v>56</v>
      </c>
      <c r="I4134" t="s">
        <v>27</v>
      </c>
      <c r="J4134" t="s">
        <v>50</v>
      </c>
      <c r="K4134" t="s">
        <v>45</v>
      </c>
      <c r="L4134">
        <v>2</v>
      </c>
      <c r="M4134">
        <v>636</v>
      </c>
      <c r="N4134">
        <v>63.6</v>
      </c>
      <c r="O4134">
        <v>40</v>
      </c>
      <c r="P4134">
        <v>1272</v>
      </c>
      <c r="Q4134">
        <v>1248.4000000000001</v>
      </c>
      <c r="R4134" t="s">
        <v>39</v>
      </c>
      <c r="S4134" t="s">
        <v>31</v>
      </c>
      <c r="T4134" t="s">
        <v>32</v>
      </c>
      <c r="U4134">
        <v>35</v>
      </c>
      <c r="V4134">
        <v>3.7</v>
      </c>
      <c r="W4134">
        <f>Table2[[#This Row],[Quantity]]*Table2[[#This Row],[Item_Price]]</f>
        <v>1272</v>
      </c>
    </row>
    <row r="4135" spans="1:23" x14ac:dyDescent="0.25">
      <c r="A4135" t="s">
        <v>4238</v>
      </c>
      <c r="B4135" s="1">
        <v>45960</v>
      </c>
      <c r="C4135" t="s">
        <v>3846</v>
      </c>
      <c r="D4135">
        <v>10</v>
      </c>
      <c r="E4135">
        <v>30</v>
      </c>
      <c r="F4135" t="s">
        <v>88</v>
      </c>
      <c r="G4135" t="s">
        <v>80</v>
      </c>
      <c r="H4135" t="s">
        <v>56</v>
      </c>
      <c r="I4135" t="s">
        <v>61</v>
      </c>
      <c r="J4135" t="s">
        <v>50</v>
      </c>
      <c r="K4135" t="s">
        <v>38</v>
      </c>
      <c r="L4135">
        <v>1</v>
      </c>
      <c r="M4135">
        <v>593</v>
      </c>
      <c r="N4135">
        <v>59.3</v>
      </c>
      <c r="O4135">
        <v>30</v>
      </c>
      <c r="P4135">
        <v>593</v>
      </c>
      <c r="Q4135">
        <v>563.70000000000005</v>
      </c>
      <c r="R4135" t="s">
        <v>39</v>
      </c>
      <c r="S4135" t="s">
        <v>91</v>
      </c>
      <c r="T4135" t="s">
        <v>32</v>
      </c>
      <c r="U4135">
        <v>32</v>
      </c>
      <c r="W4135">
        <f>Table2[[#This Row],[Quantity]]*Table2[[#This Row],[Item_Price]]</f>
        <v>593</v>
      </c>
    </row>
    <row r="4136" spans="1:23" x14ac:dyDescent="0.25">
      <c r="A4136" t="s">
        <v>4239</v>
      </c>
      <c r="B4136" s="1">
        <v>45960</v>
      </c>
      <c r="C4136" t="s">
        <v>3846</v>
      </c>
      <c r="D4136">
        <v>10</v>
      </c>
      <c r="E4136">
        <v>30</v>
      </c>
      <c r="F4136" t="s">
        <v>88</v>
      </c>
      <c r="G4136" t="s">
        <v>34</v>
      </c>
      <c r="H4136" t="s">
        <v>135</v>
      </c>
      <c r="I4136" t="s">
        <v>49</v>
      </c>
      <c r="J4136" t="s">
        <v>50</v>
      </c>
      <c r="K4136" t="s">
        <v>38</v>
      </c>
      <c r="L4136">
        <v>3</v>
      </c>
      <c r="M4136">
        <v>484</v>
      </c>
      <c r="N4136">
        <v>0</v>
      </c>
      <c r="O4136">
        <v>30</v>
      </c>
      <c r="P4136">
        <v>1452</v>
      </c>
      <c r="Q4136">
        <v>1482</v>
      </c>
      <c r="R4136" t="s">
        <v>112</v>
      </c>
      <c r="S4136" t="s">
        <v>31</v>
      </c>
      <c r="T4136" t="s">
        <v>40</v>
      </c>
      <c r="U4136">
        <v>48</v>
      </c>
      <c r="V4136">
        <v>4.2</v>
      </c>
      <c r="W4136">
        <f>Table2[[#This Row],[Quantity]]*Table2[[#This Row],[Item_Price]]</f>
        <v>1452</v>
      </c>
    </row>
    <row r="4137" spans="1:23" x14ac:dyDescent="0.25">
      <c r="A4137" t="s">
        <v>4240</v>
      </c>
      <c r="B4137" s="1">
        <v>45960</v>
      </c>
      <c r="C4137" t="s">
        <v>3846</v>
      </c>
      <c r="D4137">
        <v>10</v>
      </c>
      <c r="E4137">
        <v>30</v>
      </c>
      <c r="F4137" t="s">
        <v>88</v>
      </c>
      <c r="G4137" t="s">
        <v>90</v>
      </c>
      <c r="H4137" t="s">
        <v>68</v>
      </c>
      <c r="I4137" t="s">
        <v>36</v>
      </c>
      <c r="J4137" t="s">
        <v>28</v>
      </c>
      <c r="K4137" t="s">
        <v>38</v>
      </c>
      <c r="L4137">
        <v>2</v>
      </c>
      <c r="M4137">
        <v>412</v>
      </c>
      <c r="N4137">
        <v>61.8</v>
      </c>
      <c r="O4137">
        <v>20</v>
      </c>
      <c r="P4137">
        <v>824</v>
      </c>
      <c r="Q4137">
        <v>782.2</v>
      </c>
      <c r="R4137" t="s">
        <v>30</v>
      </c>
      <c r="S4137" t="s">
        <v>31</v>
      </c>
      <c r="T4137" t="s">
        <v>40</v>
      </c>
      <c r="U4137">
        <v>37</v>
      </c>
      <c r="V4137">
        <v>3.3</v>
      </c>
      <c r="W4137">
        <f>Table2[[#This Row],[Quantity]]*Table2[[#This Row],[Item_Price]]</f>
        <v>824</v>
      </c>
    </row>
    <row r="4138" spans="1:23" x14ac:dyDescent="0.25">
      <c r="A4138" t="s">
        <v>4241</v>
      </c>
      <c r="B4138" s="1">
        <v>45960</v>
      </c>
      <c r="C4138" t="s">
        <v>3846</v>
      </c>
      <c r="D4138">
        <v>10</v>
      </c>
      <c r="E4138">
        <v>30</v>
      </c>
      <c r="F4138" t="s">
        <v>88</v>
      </c>
      <c r="G4138" t="s">
        <v>64</v>
      </c>
      <c r="H4138" t="s">
        <v>139</v>
      </c>
      <c r="I4138" t="s">
        <v>61</v>
      </c>
      <c r="J4138" t="s">
        <v>74</v>
      </c>
      <c r="K4138" t="s">
        <v>45</v>
      </c>
      <c r="L4138">
        <v>1</v>
      </c>
      <c r="M4138">
        <v>287</v>
      </c>
      <c r="N4138">
        <v>14.35</v>
      </c>
      <c r="O4138">
        <v>50</v>
      </c>
      <c r="P4138">
        <v>287</v>
      </c>
      <c r="Q4138">
        <v>322.64999999999998</v>
      </c>
      <c r="R4138" t="s">
        <v>39</v>
      </c>
      <c r="S4138" t="s">
        <v>91</v>
      </c>
      <c r="T4138" t="s">
        <v>40</v>
      </c>
      <c r="U4138">
        <v>47</v>
      </c>
      <c r="W4138">
        <f>Table2[[#This Row],[Quantity]]*Table2[[#This Row],[Item_Price]]</f>
        <v>287</v>
      </c>
    </row>
    <row r="4139" spans="1:23" x14ac:dyDescent="0.25">
      <c r="A4139" t="s">
        <v>4242</v>
      </c>
      <c r="B4139" s="1">
        <v>45960</v>
      </c>
      <c r="C4139" t="s">
        <v>3846</v>
      </c>
      <c r="D4139">
        <v>10</v>
      </c>
      <c r="E4139">
        <v>30</v>
      </c>
      <c r="F4139" t="s">
        <v>88</v>
      </c>
      <c r="G4139" t="s">
        <v>115</v>
      </c>
      <c r="H4139" t="s">
        <v>135</v>
      </c>
      <c r="I4139" t="s">
        <v>97</v>
      </c>
      <c r="J4139" t="s">
        <v>74</v>
      </c>
      <c r="K4139" t="s">
        <v>38</v>
      </c>
      <c r="L4139">
        <v>2</v>
      </c>
      <c r="M4139">
        <v>228</v>
      </c>
      <c r="N4139">
        <v>22.8</v>
      </c>
      <c r="O4139">
        <v>0</v>
      </c>
      <c r="P4139">
        <v>456</v>
      </c>
      <c r="Q4139">
        <v>433.2</v>
      </c>
      <c r="R4139" t="s">
        <v>30</v>
      </c>
      <c r="S4139" t="s">
        <v>31</v>
      </c>
      <c r="T4139" t="s">
        <v>40</v>
      </c>
      <c r="U4139">
        <v>30</v>
      </c>
      <c r="V4139">
        <v>3.7</v>
      </c>
      <c r="W4139">
        <f>Table2[[#This Row],[Quantity]]*Table2[[#This Row],[Item_Price]]</f>
        <v>456</v>
      </c>
    </row>
    <row r="4140" spans="1:23" x14ac:dyDescent="0.25">
      <c r="A4140" t="s">
        <v>4243</v>
      </c>
      <c r="B4140" s="1">
        <v>45960</v>
      </c>
      <c r="C4140" t="s">
        <v>3846</v>
      </c>
      <c r="D4140">
        <v>10</v>
      </c>
      <c r="E4140">
        <v>30</v>
      </c>
      <c r="F4140" t="s">
        <v>88</v>
      </c>
      <c r="G4140" t="s">
        <v>64</v>
      </c>
      <c r="H4140" t="s">
        <v>65</v>
      </c>
      <c r="I4140" t="s">
        <v>97</v>
      </c>
      <c r="J4140" t="s">
        <v>119</v>
      </c>
      <c r="K4140" t="s">
        <v>38</v>
      </c>
      <c r="L4140">
        <v>3</v>
      </c>
      <c r="M4140">
        <v>406</v>
      </c>
      <c r="N4140">
        <v>60.9</v>
      </c>
      <c r="O4140">
        <v>30</v>
      </c>
      <c r="P4140">
        <v>1218</v>
      </c>
      <c r="Q4140">
        <v>1187.0999999999999</v>
      </c>
      <c r="R4140" t="s">
        <v>30</v>
      </c>
      <c r="S4140" t="s">
        <v>31</v>
      </c>
      <c r="T4140" t="s">
        <v>40</v>
      </c>
      <c r="U4140">
        <v>39</v>
      </c>
      <c r="V4140">
        <v>4</v>
      </c>
      <c r="W4140">
        <f>Table2[[#This Row],[Quantity]]*Table2[[#This Row],[Item_Price]]</f>
        <v>1218</v>
      </c>
    </row>
    <row r="4141" spans="1:23" x14ac:dyDescent="0.25">
      <c r="A4141" t="s">
        <v>4244</v>
      </c>
      <c r="B4141" s="1">
        <v>45960</v>
      </c>
      <c r="C4141" t="s">
        <v>3846</v>
      </c>
      <c r="D4141">
        <v>10</v>
      </c>
      <c r="E4141">
        <v>30</v>
      </c>
      <c r="F4141" t="s">
        <v>88</v>
      </c>
      <c r="G4141" t="s">
        <v>73</v>
      </c>
      <c r="H4141" t="s">
        <v>35</v>
      </c>
      <c r="I4141" t="s">
        <v>69</v>
      </c>
      <c r="J4141" t="s">
        <v>37</v>
      </c>
      <c r="K4141" t="s">
        <v>38</v>
      </c>
      <c r="L4141">
        <v>2</v>
      </c>
      <c r="M4141">
        <v>336</v>
      </c>
      <c r="N4141">
        <v>67.2</v>
      </c>
      <c r="O4141">
        <v>0</v>
      </c>
      <c r="P4141">
        <v>672</v>
      </c>
      <c r="Q4141">
        <v>604.79999999999995</v>
      </c>
      <c r="R4141" t="s">
        <v>112</v>
      </c>
      <c r="S4141" t="s">
        <v>31</v>
      </c>
      <c r="T4141" t="s">
        <v>32</v>
      </c>
      <c r="U4141">
        <v>25</v>
      </c>
      <c r="V4141">
        <v>4.5</v>
      </c>
      <c r="W4141">
        <f>Table2[[#This Row],[Quantity]]*Table2[[#This Row],[Item_Price]]</f>
        <v>672</v>
      </c>
    </row>
    <row r="4142" spans="1:23" x14ac:dyDescent="0.25">
      <c r="A4142" t="s">
        <v>4245</v>
      </c>
      <c r="B4142" s="1">
        <v>45960</v>
      </c>
      <c r="C4142" t="s">
        <v>3846</v>
      </c>
      <c r="D4142">
        <v>10</v>
      </c>
      <c r="E4142">
        <v>30</v>
      </c>
      <c r="F4142" t="s">
        <v>88</v>
      </c>
      <c r="G4142" t="s">
        <v>80</v>
      </c>
      <c r="H4142" t="s">
        <v>26</v>
      </c>
      <c r="I4142" t="s">
        <v>69</v>
      </c>
      <c r="J4142" t="s">
        <v>53</v>
      </c>
      <c r="K4142" t="s">
        <v>38</v>
      </c>
      <c r="L4142">
        <v>2</v>
      </c>
      <c r="M4142">
        <v>759</v>
      </c>
      <c r="N4142">
        <v>75.900000000000006</v>
      </c>
      <c r="O4142">
        <v>30</v>
      </c>
      <c r="P4142">
        <v>1518</v>
      </c>
      <c r="Q4142">
        <v>1472.1</v>
      </c>
      <c r="R4142" t="s">
        <v>39</v>
      </c>
      <c r="S4142" t="s">
        <v>31</v>
      </c>
      <c r="T4142" t="s">
        <v>40</v>
      </c>
      <c r="U4142">
        <v>55</v>
      </c>
      <c r="V4142">
        <v>3.6</v>
      </c>
      <c r="W4142">
        <f>Table2[[#This Row],[Quantity]]*Table2[[#This Row],[Item_Price]]</f>
        <v>1518</v>
      </c>
    </row>
    <row r="4143" spans="1:23" x14ac:dyDescent="0.25">
      <c r="A4143" t="s">
        <v>4246</v>
      </c>
      <c r="B4143" s="1">
        <v>45960</v>
      </c>
      <c r="C4143" t="s">
        <v>3846</v>
      </c>
      <c r="D4143">
        <v>10</v>
      </c>
      <c r="E4143">
        <v>30</v>
      </c>
      <c r="F4143" t="s">
        <v>88</v>
      </c>
      <c r="G4143" t="s">
        <v>115</v>
      </c>
      <c r="H4143" t="s">
        <v>48</v>
      </c>
      <c r="I4143" t="s">
        <v>85</v>
      </c>
      <c r="J4143" t="s">
        <v>50</v>
      </c>
      <c r="K4143" t="s">
        <v>45</v>
      </c>
      <c r="L4143">
        <v>3</v>
      </c>
      <c r="M4143">
        <v>549</v>
      </c>
      <c r="N4143">
        <v>54.9</v>
      </c>
      <c r="O4143">
        <v>40</v>
      </c>
      <c r="P4143">
        <v>1647</v>
      </c>
      <c r="Q4143">
        <v>1632.1</v>
      </c>
      <c r="R4143" t="s">
        <v>75</v>
      </c>
      <c r="S4143" t="s">
        <v>110</v>
      </c>
      <c r="T4143" t="s">
        <v>40</v>
      </c>
      <c r="U4143">
        <v>52</v>
      </c>
      <c r="W4143">
        <f>Table2[[#This Row],[Quantity]]*Table2[[#This Row],[Item_Price]]</f>
        <v>1647</v>
      </c>
    </row>
    <row r="4144" spans="1:23" x14ac:dyDescent="0.25">
      <c r="A4144" t="s">
        <v>4247</v>
      </c>
      <c r="B4144" s="1">
        <v>45960</v>
      </c>
      <c r="C4144" t="s">
        <v>3846</v>
      </c>
      <c r="D4144">
        <v>10</v>
      </c>
      <c r="E4144">
        <v>30</v>
      </c>
      <c r="F4144" t="s">
        <v>88</v>
      </c>
      <c r="G4144" t="s">
        <v>80</v>
      </c>
      <c r="H4144" t="s">
        <v>35</v>
      </c>
      <c r="I4144" t="s">
        <v>85</v>
      </c>
      <c r="J4144" t="s">
        <v>119</v>
      </c>
      <c r="K4144" t="s">
        <v>38</v>
      </c>
      <c r="L4144">
        <v>2</v>
      </c>
      <c r="M4144">
        <v>490</v>
      </c>
      <c r="N4144">
        <v>98</v>
      </c>
      <c r="O4144">
        <v>50</v>
      </c>
      <c r="P4144">
        <v>980</v>
      </c>
      <c r="Q4144">
        <v>932</v>
      </c>
      <c r="R4144" t="s">
        <v>30</v>
      </c>
      <c r="S4144" t="s">
        <v>31</v>
      </c>
      <c r="T4144" t="s">
        <v>40</v>
      </c>
      <c r="U4144">
        <v>49</v>
      </c>
      <c r="V4144">
        <v>4.9000000000000004</v>
      </c>
      <c r="W4144">
        <f>Table2[[#This Row],[Quantity]]*Table2[[#This Row],[Item_Price]]</f>
        <v>980</v>
      </c>
    </row>
    <row r="4145" spans="1:23" x14ac:dyDescent="0.25">
      <c r="A4145" t="s">
        <v>4248</v>
      </c>
      <c r="B4145" s="1">
        <v>45960</v>
      </c>
      <c r="C4145" t="s">
        <v>3846</v>
      </c>
      <c r="D4145">
        <v>10</v>
      </c>
      <c r="E4145">
        <v>30</v>
      </c>
      <c r="F4145" t="s">
        <v>88</v>
      </c>
      <c r="G4145" t="s">
        <v>25</v>
      </c>
      <c r="H4145" t="s">
        <v>135</v>
      </c>
      <c r="I4145" t="s">
        <v>61</v>
      </c>
      <c r="J4145" t="s">
        <v>28</v>
      </c>
      <c r="K4145" t="s">
        <v>58</v>
      </c>
      <c r="L4145">
        <v>2</v>
      </c>
      <c r="M4145">
        <v>329</v>
      </c>
      <c r="N4145">
        <v>16.45</v>
      </c>
      <c r="O4145">
        <v>30</v>
      </c>
      <c r="P4145">
        <v>658</v>
      </c>
      <c r="Q4145">
        <v>671.55</v>
      </c>
      <c r="R4145" t="s">
        <v>75</v>
      </c>
      <c r="S4145" t="s">
        <v>31</v>
      </c>
      <c r="T4145" t="s">
        <v>40</v>
      </c>
      <c r="U4145">
        <v>26</v>
      </c>
      <c r="V4145">
        <v>4.3</v>
      </c>
      <c r="W4145">
        <f>Table2[[#This Row],[Quantity]]*Table2[[#This Row],[Item_Price]]</f>
        <v>658</v>
      </c>
    </row>
    <row r="4146" spans="1:23" x14ac:dyDescent="0.25">
      <c r="A4146" t="s">
        <v>4249</v>
      </c>
      <c r="B4146" s="1">
        <v>45960</v>
      </c>
      <c r="C4146" t="s">
        <v>3846</v>
      </c>
      <c r="D4146">
        <v>10</v>
      </c>
      <c r="E4146">
        <v>30</v>
      </c>
      <c r="F4146" t="s">
        <v>88</v>
      </c>
      <c r="G4146" t="s">
        <v>73</v>
      </c>
      <c r="H4146" t="s">
        <v>108</v>
      </c>
      <c r="I4146" t="s">
        <v>85</v>
      </c>
      <c r="J4146" t="s">
        <v>70</v>
      </c>
      <c r="K4146" t="s">
        <v>38</v>
      </c>
      <c r="L4146">
        <v>1</v>
      </c>
      <c r="M4146">
        <v>604</v>
      </c>
      <c r="N4146">
        <v>120.8</v>
      </c>
      <c r="O4146">
        <v>60</v>
      </c>
      <c r="P4146">
        <v>604</v>
      </c>
      <c r="Q4146">
        <v>543.20000000000005</v>
      </c>
      <c r="R4146" t="s">
        <v>75</v>
      </c>
      <c r="S4146" t="s">
        <v>31</v>
      </c>
      <c r="T4146" t="s">
        <v>40</v>
      </c>
      <c r="U4146">
        <v>45</v>
      </c>
      <c r="V4146">
        <v>4.8</v>
      </c>
      <c r="W4146">
        <f>Table2[[#This Row],[Quantity]]*Table2[[#This Row],[Item_Price]]</f>
        <v>604</v>
      </c>
    </row>
    <row r="4147" spans="1:23" x14ac:dyDescent="0.25">
      <c r="A4147" t="s">
        <v>4250</v>
      </c>
      <c r="B4147" s="1">
        <v>45961</v>
      </c>
      <c r="C4147" t="s">
        <v>3846</v>
      </c>
      <c r="D4147">
        <v>10</v>
      </c>
      <c r="E4147">
        <v>31</v>
      </c>
      <c r="F4147" t="s">
        <v>114</v>
      </c>
      <c r="G4147" t="s">
        <v>96</v>
      </c>
      <c r="H4147" t="s">
        <v>35</v>
      </c>
      <c r="I4147" t="s">
        <v>85</v>
      </c>
      <c r="J4147" t="s">
        <v>50</v>
      </c>
      <c r="K4147" t="s">
        <v>58</v>
      </c>
      <c r="L4147">
        <v>1</v>
      </c>
      <c r="M4147">
        <v>367</v>
      </c>
      <c r="N4147">
        <v>36.700000000000003</v>
      </c>
      <c r="O4147">
        <v>40</v>
      </c>
      <c r="P4147">
        <v>367</v>
      </c>
      <c r="Q4147">
        <v>370.3</v>
      </c>
      <c r="R4147" t="s">
        <v>75</v>
      </c>
      <c r="S4147" t="s">
        <v>46</v>
      </c>
      <c r="T4147" t="s">
        <v>32</v>
      </c>
      <c r="U4147">
        <v>52</v>
      </c>
      <c r="W4147">
        <f>Table2[[#This Row],[Quantity]]*Table2[[#This Row],[Item_Price]]</f>
        <v>367</v>
      </c>
    </row>
    <row r="4148" spans="1:23" x14ac:dyDescent="0.25">
      <c r="A4148" t="s">
        <v>4251</v>
      </c>
      <c r="B4148" s="1">
        <v>45961</v>
      </c>
      <c r="C4148" t="s">
        <v>3846</v>
      </c>
      <c r="D4148">
        <v>10</v>
      </c>
      <c r="E4148">
        <v>31</v>
      </c>
      <c r="F4148" t="s">
        <v>114</v>
      </c>
      <c r="G4148" t="s">
        <v>64</v>
      </c>
      <c r="H4148" t="s">
        <v>56</v>
      </c>
      <c r="I4148" t="s">
        <v>49</v>
      </c>
      <c r="J4148" t="s">
        <v>123</v>
      </c>
      <c r="K4148" t="s">
        <v>38</v>
      </c>
      <c r="L4148">
        <v>3</v>
      </c>
      <c r="M4148">
        <v>699</v>
      </c>
      <c r="N4148">
        <v>69.900000000000006</v>
      </c>
      <c r="O4148">
        <v>60</v>
      </c>
      <c r="P4148">
        <v>2097</v>
      </c>
      <c r="Q4148">
        <v>2087.1</v>
      </c>
      <c r="R4148" t="s">
        <v>30</v>
      </c>
      <c r="S4148" t="s">
        <v>31</v>
      </c>
      <c r="T4148" t="s">
        <v>40</v>
      </c>
      <c r="U4148">
        <v>66</v>
      </c>
      <c r="V4148">
        <v>4.5</v>
      </c>
      <c r="W4148">
        <f>Table2[[#This Row],[Quantity]]*Table2[[#This Row],[Item_Price]]</f>
        <v>2097</v>
      </c>
    </row>
    <row r="4149" spans="1:23" x14ac:dyDescent="0.25">
      <c r="A4149" t="s">
        <v>4252</v>
      </c>
      <c r="B4149" s="1">
        <v>45961</v>
      </c>
      <c r="C4149" t="s">
        <v>3846</v>
      </c>
      <c r="D4149">
        <v>10</v>
      </c>
      <c r="E4149">
        <v>31</v>
      </c>
      <c r="F4149" t="s">
        <v>114</v>
      </c>
      <c r="G4149" t="s">
        <v>80</v>
      </c>
      <c r="H4149" t="s">
        <v>26</v>
      </c>
      <c r="I4149" t="s">
        <v>43</v>
      </c>
      <c r="J4149" t="s">
        <v>119</v>
      </c>
      <c r="K4149" t="s">
        <v>38</v>
      </c>
      <c r="L4149">
        <v>2</v>
      </c>
      <c r="M4149">
        <v>575</v>
      </c>
      <c r="N4149">
        <v>0</v>
      </c>
      <c r="O4149">
        <v>30</v>
      </c>
      <c r="P4149">
        <v>1150</v>
      </c>
      <c r="Q4149">
        <v>1180</v>
      </c>
      <c r="R4149" t="s">
        <v>30</v>
      </c>
      <c r="S4149" t="s">
        <v>31</v>
      </c>
      <c r="T4149" t="s">
        <v>40</v>
      </c>
      <c r="U4149">
        <v>19</v>
      </c>
      <c r="V4149">
        <v>4.4000000000000004</v>
      </c>
      <c r="W4149">
        <f>Table2[[#This Row],[Quantity]]*Table2[[#This Row],[Item_Price]]</f>
        <v>1150</v>
      </c>
    </row>
    <row r="4150" spans="1:23" x14ac:dyDescent="0.25">
      <c r="A4150" t="s">
        <v>4253</v>
      </c>
      <c r="B4150" s="1">
        <v>45961</v>
      </c>
      <c r="C4150" t="s">
        <v>3846</v>
      </c>
      <c r="D4150">
        <v>10</v>
      </c>
      <c r="E4150">
        <v>31</v>
      </c>
      <c r="F4150" t="s">
        <v>114</v>
      </c>
      <c r="G4150" t="s">
        <v>80</v>
      </c>
      <c r="H4150" t="s">
        <v>135</v>
      </c>
      <c r="I4150" t="s">
        <v>49</v>
      </c>
      <c r="J4150" t="s">
        <v>66</v>
      </c>
      <c r="K4150" t="s">
        <v>45</v>
      </c>
      <c r="L4150">
        <v>3</v>
      </c>
      <c r="M4150">
        <v>260</v>
      </c>
      <c r="N4150">
        <v>26</v>
      </c>
      <c r="O4150">
        <v>60</v>
      </c>
      <c r="P4150">
        <v>780</v>
      </c>
      <c r="Q4150">
        <v>814</v>
      </c>
      <c r="R4150" t="s">
        <v>30</v>
      </c>
      <c r="S4150" t="s">
        <v>110</v>
      </c>
      <c r="T4150" t="s">
        <v>40</v>
      </c>
      <c r="U4150">
        <v>63</v>
      </c>
      <c r="W4150">
        <f>Table2[[#This Row],[Quantity]]*Table2[[#This Row],[Item_Price]]</f>
        <v>780</v>
      </c>
    </row>
    <row r="4151" spans="1:23" x14ac:dyDescent="0.25">
      <c r="A4151" t="s">
        <v>4254</v>
      </c>
      <c r="B4151" s="1">
        <v>45961</v>
      </c>
      <c r="C4151" t="s">
        <v>3846</v>
      </c>
      <c r="D4151">
        <v>10</v>
      </c>
      <c r="E4151">
        <v>31</v>
      </c>
      <c r="F4151" t="s">
        <v>114</v>
      </c>
      <c r="G4151" t="s">
        <v>84</v>
      </c>
      <c r="H4151" t="s">
        <v>26</v>
      </c>
      <c r="I4151" t="s">
        <v>43</v>
      </c>
      <c r="J4151" t="s">
        <v>66</v>
      </c>
      <c r="K4151" t="s">
        <v>38</v>
      </c>
      <c r="L4151">
        <v>1</v>
      </c>
      <c r="M4151">
        <v>590</v>
      </c>
      <c r="N4151">
        <v>29.5</v>
      </c>
      <c r="O4151">
        <v>40</v>
      </c>
      <c r="P4151">
        <v>590</v>
      </c>
      <c r="Q4151">
        <v>600.5</v>
      </c>
      <c r="R4151" t="s">
        <v>39</v>
      </c>
      <c r="S4151" t="s">
        <v>31</v>
      </c>
      <c r="T4151" t="s">
        <v>40</v>
      </c>
      <c r="U4151">
        <v>31</v>
      </c>
      <c r="V4151">
        <v>5</v>
      </c>
      <c r="W4151">
        <f>Table2[[#This Row],[Quantity]]*Table2[[#This Row],[Item_Price]]</f>
        <v>590</v>
      </c>
    </row>
    <row r="4152" spans="1:23" x14ac:dyDescent="0.25">
      <c r="A4152" t="s">
        <v>4255</v>
      </c>
      <c r="B4152" s="1">
        <v>45961</v>
      </c>
      <c r="C4152" t="s">
        <v>3846</v>
      </c>
      <c r="D4152">
        <v>10</v>
      </c>
      <c r="E4152">
        <v>31</v>
      </c>
      <c r="F4152" t="s">
        <v>114</v>
      </c>
      <c r="G4152" t="s">
        <v>73</v>
      </c>
      <c r="H4152" t="s">
        <v>105</v>
      </c>
      <c r="I4152" t="s">
        <v>57</v>
      </c>
      <c r="J4152" t="s">
        <v>119</v>
      </c>
      <c r="K4152" t="s">
        <v>38</v>
      </c>
      <c r="L4152">
        <v>1</v>
      </c>
      <c r="M4152">
        <v>457</v>
      </c>
      <c r="N4152">
        <v>114.25</v>
      </c>
      <c r="O4152">
        <v>30</v>
      </c>
      <c r="P4152">
        <v>457</v>
      </c>
      <c r="Q4152">
        <v>372.75</v>
      </c>
      <c r="R4152" t="s">
        <v>98</v>
      </c>
      <c r="S4152" t="s">
        <v>31</v>
      </c>
      <c r="T4152" t="s">
        <v>32</v>
      </c>
      <c r="U4152">
        <v>67</v>
      </c>
      <c r="V4152">
        <v>2.1</v>
      </c>
      <c r="W4152">
        <f>Table2[[#This Row],[Quantity]]*Table2[[#This Row],[Item_Price]]</f>
        <v>457</v>
      </c>
    </row>
    <row r="4153" spans="1:23" x14ac:dyDescent="0.25">
      <c r="A4153" t="s">
        <v>4256</v>
      </c>
      <c r="B4153" s="1">
        <v>45961</v>
      </c>
      <c r="C4153" t="s">
        <v>3846</v>
      </c>
      <c r="D4153">
        <v>10</v>
      </c>
      <c r="E4153">
        <v>31</v>
      </c>
      <c r="F4153" t="s">
        <v>114</v>
      </c>
      <c r="G4153" t="s">
        <v>55</v>
      </c>
      <c r="H4153" t="s">
        <v>60</v>
      </c>
      <c r="I4153" t="s">
        <v>43</v>
      </c>
      <c r="J4153" t="s">
        <v>66</v>
      </c>
      <c r="K4153" t="s">
        <v>38</v>
      </c>
      <c r="L4153">
        <v>3</v>
      </c>
      <c r="M4153">
        <v>373</v>
      </c>
      <c r="N4153">
        <v>37.299999999999997</v>
      </c>
      <c r="O4153">
        <v>30</v>
      </c>
      <c r="P4153">
        <v>1119</v>
      </c>
      <c r="Q4153">
        <v>1111.7</v>
      </c>
      <c r="R4153" t="s">
        <v>39</v>
      </c>
      <c r="S4153" t="s">
        <v>31</v>
      </c>
      <c r="T4153" t="s">
        <v>40</v>
      </c>
      <c r="U4153">
        <v>34</v>
      </c>
      <c r="V4153">
        <v>4.7</v>
      </c>
      <c r="W4153">
        <f>Table2[[#This Row],[Quantity]]*Table2[[#This Row],[Item_Price]]</f>
        <v>1119</v>
      </c>
    </row>
    <row r="4154" spans="1:23" x14ac:dyDescent="0.25">
      <c r="A4154" t="s">
        <v>4257</v>
      </c>
      <c r="B4154" s="1">
        <v>45961</v>
      </c>
      <c r="C4154" t="s">
        <v>3846</v>
      </c>
      <c r="D4154">
        <v>10</v>
      </c>
      <c r="E4154">
        <v>31</v>
      </c>
      <c r="F4154" t="s">
        <v>114</v>
      </c>
      <c r="G4154" t="s">
        <v>25</v>
      </c>
      <c r="H4154" t="s">
        <v>42</v>
      </c>
      <c r="I4154" t="s">
        <v>43</v>
      </c>
      <c r="J4154" t="s">
        <v>50</v>
      </c>
      <c r="K4154" t="s">
        <v>29</v>
      </c>
      <c r="L4154">
        <v>1</v>
      </c>
      <c r="M4154">
        <v>845</v>
      </c>
      <c r="N4154">
        <v>0</v>
      </c>
      <c r="O4154">
        <v>50</v>
      </c>
      <c r="P4154">
        <v>845</v>
      </c>
      <c r="Q4154">
        <v>895</v>
      </c>
      <c r="R4154" t="s">
        <v>75</v>
      </c>
      <c r="S4154" t="s">
        <v>31</v>
      </c>
      <c r="T4154" t="s">
        <v>32</v>
      </c>
      <c r="U4154">
        <v>65</v>
      </c>
      <c r="V4154">
        <v>3.2</v>
      </c>
      <c r="W4154">
        <f>Table2[[#This Row],[Quantity]]*Table2[[#This Row],[Item_Price]]</f>
        <v>845</v>
      </c>
    </row>
    <row r="4155" spans="1:23" x14ac:dyDescent="0.25">
      <c r="A4155" t="s">
        <v>4258</v>
      </c>
      <c r="B4155" s="1">
        <v>45961</v>
      </c>
      <c r="C4155" t="s">
        <v>3846</v>
      </c>
      <c r="D4155">
        <v>10</v>
      </c>
      <c r="E4155">
        <v>31</v>
      </c>
      <c r="F4155" t="s">
        <v>114</v>
      </c>
      <c r="G4155" t="s">
        <v>115</v>
      </c>
      <c r="H4155" t="s">
        <v>42</v>
      </c>
      <c r="I4155" t="s">
        <v>49</v>
      </c>
      <c r="J4155" t="s">
        <v>119</v>
      </c>
      <c r="K4155" t="s">
        <v>38</v>
      </c>
      <c r="L4155">
        <v>1</v>
      </c>
      <c r="M4155">
        <v>146</v>
      </c>
      <c r="N4155">
        <v>0</v>
      </c>
      <c r="O4155">
        <v>60</v>
      </c>
      <c r="P4155">
        <v>146</v>
      </c>
      <c r="Q4155">
        <v>206</v>
      </c>
      <c r="R4155" t="s">
        <v>39</v>
      </c>
      <c r="S4155" t="s">
        <v>31</v>
      </c>
      <c r="T4155" t="s">
        <v>32</v>
      </c>
      <c r="U4155">
        <v>62</v>
      </c>
      <c r="V4155">
        <v>3.2</v>
      </c>
      <c r="W4155">
        <f>Table2[[#This Row],[Quantity]]*Table2[[#This Row],[Item_Price]]</f>
        <v>146</v>
      </c>
    </row>
    <row r="4156" spans="1:23" x14ac:dyDescent="0.25">
      <c r="A4156" t="s">
        <v>4259</v>
      </c>
      <c r="B4156" s="1">
        <v>45961</v>
      </c>
      <c r="C4156" t="s">
        <v>3846</v>
      </c>
      <c r="D4156">
        <v>10</v>
      </c>
      <c r="E4156">
        <v>31</v>
      </c>
      <c r="F4156" t="s">
        <v>114</v>
      </c>
      <c r="G4156" t="s">
        <v>90</v>
      </c>
      <c r="H4156" t="s">
        <v>26</v>
      </c>
      <c r="I4156" t="s">
        <v>61</v>
      </c>
      <c r="J4156" t="s">
        <v>119</v>
      </c>
      <c r="K4156" t="s">
        <v>45</v>
      </c>
      <c r="L4156">
        <v>3</v>
      </c>
      <c r="M4156">
        <v>391</v>
      </c>
      <c r="N4156">
        <v>0</v>
      </c>
      <c r="O4156">
        <v>0</v>
      </c>
      <c r="P4156">
        <v>1173</v>
      </c>
      <c r="Q4156">
        <v>1173</v>
      </c>
      <c r="R4156" t="s">
        <v>39</v>
      </c>
      <c r="S4156" t="s">
        <v>31</v>
      </c>
      <c r="T4156" t="s">
        <v>40</v>
      </c>
      <c r="U4156">
        <v>69</v>
      </c>
      <c r="V4156">
        <v>5</v>
      </c>
      <c r="W4156">
        <f>Table2[[#This Row],[Quantity]]*Table2[[#This Row],[Item_Price]]</f>
        <v>1173</v>
      </c>
    </row>
    <row r="4157" spans="1:23" x14ac:dyDescent="0.25">
      <c r="A4157" t="s">
        <v>4260</v>
      </c>
      <c r="B4157" s="1">
        <v>45961</v>
      </c>
      <c r="C4157" t="s">
        <v>3846</v>
      </c>
      <c r="D4157">
        <v>10</v>
      </c>
      <c r="E4157">
        <v>31</v>
      </c>
      <c r="F4157" t="s">
        <v>114</v>
      </c>
      <c r="G4157" t="s">
        <v>55</v>
      </c>
      <c r="H4157" t="s">
        <v>105</v>
      </c>
      <c r="I4157" t="s">
        <v>27</v>
      </c>
      <c r="J4157" t="s">
        <v>70</v>
      </c>
      <c r="K4157" t="s">
        <v>38</v>
      </c>
      <c r="L4157">
        <v>1</v>
      </c>
      <c r="M4157">
        <v>571</v>
      </c>
      <c r="N4157">
        <v>57.1</v>
      </c>
      <c r="O4157">
        <v>0</v>
      </c>
      <c r="P4157">
        <v>571</v>
      </c>
      <c r="Q4157">
        <v>513.9</v>
      </c>
      <c r="R4157" t="s">
        <v>39</v>
      </c>
      <c r="S4157" t="s">
        <v>31</v>
      </c>
      <c r="T4157" t="s">
        <v>32</v>
      </c>
      <c r="U4157">
        <v>49</v>
      </c>
      <c r="V4157">
        <v>4.0999999999999996</v>
      </c>
      <c r="W4157">
        <f>Table2[[#This Row],[Quantity]]*Table2[[#This Row],[Item_Price]]</f>
        <v>571</v>
      </c>
    </row>
    <row r="4158" spans="1:23" x14ac:dyDescent="0.25">
      <c r="A4158" t="s">
        <v>4261</v>
      </c>
      <c r="B4158" s="1">
        <v>45961</v>
      </c>
      <c r="C4158" t="s">
        <v>3846</v>
      </c>
      <c r="D4158">
        <v>10</v>
      </c>
      <c r="E4158">
        <v>31</v>
      </c>
      <c r="F4158" t="s">
        <v>114</v>
      </c>
      <c r="G4158" t="s">
        <v>96</v>
      </c>
      <c r="H4158" t="s">
        <v>77</v>
      </c>
      <c r="I4158" t="s">
        <v>57</v>
      </c>
      <c r="J4158" t="s">
        <v>37</v>
      </c>
      <c r="K4158" t="s">
        <v>38</v>
      </c>
      <c r="L4158">
        <v>2</v>
      </c>
      <c r="M4158">
        <v>754</v>
      </c>
      <c r="N4158">
        <v>37.700000000000003</v>
      </c>
      <c r="O4158">
        <v>0</v>
      </c>
      <c r="P4158">
        <v>1508</v>
      </c>
      <c r="Q4158">
        <v>1470.3</v>
      </c>
      <c r="R4158" t="s">
        <v>30</v>
      </c>
      <c r="S4158" t="s">
        <v>46</v>
      </c>
      <c r="T4158" t="s">
        <v>40</v>
      </c>
      <c r="U4158">
        <v>38</v>
      </c>
      <c r="W4158">
        <f>Table2[[#This Row],[Quantity]]*Table2[[#This Row],[Item_Price]]</f>
        <v>1508</v>
      </c>
    </row>
    <row r="4159" spans="1:23" x14ac:dyDescent="0.25">
      <c r="A4159" t="s">
        <v>4262</v>
      </c>
      <c r="B4159" s="1">
        <v>45961</v>
      </c>
      <c r="C4159" t="s">
        <v>3846</v>
      </c>
      <c r="D4159">
        <v>10</v>
      </c>
      <c r="E4159">
        <v>31</v>
      </c>
      <c r="F4159" t="s">
        <v>114</v>
      </c>
      <c r="G4159" t="s">
        <v>25</v>
      </c>
      <c r="H4159" t="s">
        <v>48</v>
      </c>
      <c r="I4159" t="s">
        <v>27</v>
      </c>
      <c r="J4159" t="s">
        <v>123</v>
      </c>
      <c r="K4159" t="s">
        <v>29</v>
      </c>
      <c r="L4159">
        <v>3</v>
      </c>
      <c r="M4159">
        <v>449</v>
      </c>
      <c r="N4159">
        <v>44.9</v>
      </c>
      <c r="O4159">
        <v>50</v>
      </c>
      <c r="P4159">
        <v>1347</v>
      </c>
      <c r="Q4159">
        <v>1352.1</v>
      </c>
      <c r="R4159" t="s">
        <v>112</v>
      </c>
      <c r="S4159" t="s">
        <v>31</v>
      </c>
      <c r="T4159" t="s">
        <v>32</v>
      </c>
      <c r="U4159">
        <v>34</v>
      </c>
      <c r="V4159">
        <v>3.9</v>
      </c>
      <c r="W4159">
        <f>Table2[[#This Row],[Quantity]]*Table2[[#This Row],[Item_Price]]</f>
        <v>1347</v>
      </c>
    </row>
    <row r="4160" spans="1:23" x14ac:dyDescent="0.25">
      <c r="A4160" t="s">
        <v>4263</v>
      </c>
      <c r="B4160" s="1">
        <v>45961</v>
      </c>
      <c r="C4160" t="s">
        <v>3846</v>
      </c>
      <c r="D4160">
        <v>10</v>
      </c>
      <c r="E4160">
        <v>31</v>
      </c>
      <c r="F4160" t="s">
        <v>114</v>
      </c>
      <c r="G4160" t="s">
        <v>34</v>
      </c>
      <c r="H4160" t="s">
        <v>60</v>
      </c>
      <c r="I4160" t="s">
        <v>85</v>
      </c>
      <c r="J4160" t="s">
        <v>53</v>
      </c>
      <c r="K4160" t="s">
        <v>38</v>
      </c>
      <c r="L4160">
        <v>3</v>
      </c>
      <c r="M4160">
        <v>548</v>
      </c>
      <c r="N4160">
        <v>0</v>
      </c>
      <c r="O4160">
        <v>50</v>
      </c>
      <c r="P4160">
        <v>1644</v>
      </c>
      <c r="Q4160">
        <v>1694</v>
      </c>
      <c r="R4160" t="s">
        <v>39</v>
      </c>
      <c r="S4160" t="s">
        <v>31</v>
      </c>
      <c r="T4160" t="s">
        <v>32</v>
      </c>
      <c r="U4160">
        <v>62</v>
      </c>
      <c r="V4160">
        <v>3</v>
      </c>
      <c r="W4160">
        <f>Table2[[#This Row],[Quantity]]*Table2[[#This Row],[Item_Price]]</f>
        <v>1644</v>
      </c>
    </row>
    <row r="4161" spans="1:23" x14ac:dyDescent="0.25">
      <c r="A4161" t="s">
        <v>4264</v>
      </c>
      <c r="B4161" s="1">
        <v>45962</v>
      </c>
      <c r="C4161" t="s">
        <v>4265</v>
      </c>
      <c r="D4161">
        <v>11</v>
      </c>
      <c r="E4161">
        <v>1</v>
      </c>
      <c r="F4161" t="s">
        <v>134</v>
      </c>
      <c r="G4161" t="s">
        <v>64</v>
      </c>
      <c r="H4161" t="s">
        <v>52</v>
      </c>
      <c r="I4161" t="s">
        <v>27</v>
      </c>
      <c r="J4161" t="s">
        <v>53</v>
      </c>
      <c r="K4161" t="s">
        <v>38</v>
      </c>
      <c r="L4161">
        <v>1</v>
      </c>
      <c r="M4161">
        <v>661</v>
      </c>
      <c r="N4161">
        <v>99.15</v>
      </c>
      <c r="O4161">
        <v>40</v>
      </c>
      <c r="P4161">
        <v>661</v>
      </c>
      <c r="Q4161">
        <v>601.85</v>
      </c>
      <c r="R4161" t="s">
        <v>39</v>
      </c>
      <c r="S4161" t="s">
        <v>31</v>
      </c>
      <c r="T4161" t="s">
        <v>40</v>
      </c>
      <c r="U4161">
        <v>35</v>
      </c>
      <c r="V4161">
        <v>4</v>
      </c>
      <c r="W4161">
        <f>Table2[[#This Row],[Quantity]]*Table2[[#This Row],[Item_Price]]</f>
        <v>661</v>
      </c>
    </row>
    <row r="4162" spans="1:23" x14ac:dyDescent="0.25">
      <c r="A4162" t="s">
        <v>4266</v>
      </c>
      <c r="B4162" s="1">
        <v>45962</v>
      </c>
      <c r="C4162" t="s">
        <v>4265</v>
      </c>
      <c r="D4162">
        <v>11</v>
      </c>
      <c r="E4162">
        <v>1</v>
      </c>
      <c r="F4162" t="s">
        <v>134</v>
      </c>
      <c r="G4162" t="s">
        <v>73</v>
      </c>
      <c r="H4162" t="s">
        <v>56</v>
      </c>
      <c r="I4162" t="s">
        <v>49</v>
      </c>
      <c r="J4162" t="s">
        <v>94</v>
      </c>
      <c r="K4162" t="s">
        <v>38</v>
      </c>
      <c r="L4162">
        <v>3</v>
      </c>
      <c r="M4162">
        <v>531</v>
      </c>
      <c r="N4162">
        <v>53.1</v>
      </c>
      <c r="O4162">
        <v>20</v>
      </c>
      <c r="P4162">
        <v>1593</v>
      </c>
      <c r="Q4162">
        <v>1559.9</v>
      </c>
      <c r="R4162" t="s">
        <v>39</v>
      </c>
      <c r="S4162" t="s">
        <v>31</v>
      </c>
      <c r="T4162" t="s">
        <v>40</v>
      </c>
      <c r="U4162">
        <v>62</v>
      </c>
      <c r="V4162">
        <v>4</v>
      </c>
      <c r="W4162">
        <f>Table2[[#This Row],[Quantity]]*Table2[[#This Row],[Item_Price]]</f>
        <v>1593</v>
      </c>
    </row>
    <row r="4163" spans="1:23" x14ac:dyDescent="0.25">
      <c r="A4163" t="s">
        <v>4267</v>
      </c>
      <c r="B4163" s="1">
        <v>45962</v>
      </c>
      <c r="C4163" t="s">
        <v>4265</v>
      </c>
      <c r="D4163">
        <v>11</v>
      </c>
      <c r="E4163">
        <v>1</v>
      </c>
      <c r="F4163" t="s">
        <v>134</v>
      </c>
      <c r="G4163" t="s">
        <v>55</v>
      </c>
      <c r="H4163" t="s">
        <v>81</v>
      </c>
      <c r="I4163" t="s">
        <v>49</v>
      </c>
      <c r="J4163" t="s">
        <v>62</v>
      </c>
      <c r="K4163" t="s">
        <v>45</v>
      </c>
      <c r="L4163">
        <v>2</v>
      </c>
      <c r="M4163">
        <v>738</v>
      </c>
      <c r="N4163">
        <v>36.9</v>
      </c>
      <c r="O4163">
        <v>40</v>
      </c>
      <c r="P4163">
        <v>1476</v>
      </c>
      <c r="Q4163">
        <v>1479.1</v>
      </c>
      <c r="R4163" t="s">
        <v>30</v>
      </c>
      <c r="S4163" t="s">
        <v>31</v>
      </c>
      <c r="T4163" t="s">
        <v>32</v>
      </c>
      <c r="U4163">
        <v>29</v>
      </c>
      <c r="V4163">
        <v>4.3</v>
      </c>
      <c r="W4163">
        <f>Table2[[#This Row],[Quantity]]*Table2[[#This Row],[Item_Price]]</f>
        <v>1476</v>
      </c>
    </row>
    <row r="4164" spans="1:23" x14ac:dyDescent="0.25">
      <c r="A4164" t="s">
        <v>4268</v>
      </c>
      <c r="B4164" s="1">
        <v>45962</v>
      </c>
      <c r="C4164" t="s">
        <v>4265</v>
      </c>
      <c r="D4164">
        <v>11</v>
      </c>
      <c r="E4164">
        <v>1</v>
      </c>
      <c r="F4164" t="s">
        <v>134</v>
      </c>
      <c r="G4164" t="s">
        <v>115</v>
      </c>
      <c r="H4164" t="s">
        <v>105</v>
      </c>
      <c r="I4164" t="s">
        <v>36</v>
      </c>
      <c r="J4164" t="s">
        <v>82</v>
      </c>
      <c r="K4164" t="s">
        <v>38</v>
      </c>
      <c r="L4164">
        <v>3</v>
      </c>
      <c r="M4164">
        <v>613</v>
      </c>
      <c r="N4164">
        <v>0</v>
      </c>
      <c r="O4164">
        <v>30</v>
      </c>
      <c r="P4164">
        <v>1839</v>
      </c>
      <c r="Q4164">
        <v>1869</v>
      </c>
      <c r="R4164" t="s">
        <v>75</v>
      </c>
      <c r="S4164" t="s">
        <v>31</v>
      </c>
      <c r="T4164" t="s">
        <v>40</v>
      </c>
      <c r="U4164">
        <v>38</v>
      </c>
      <c r="V4164">
        <v>3.8</v>
      </c>
      <c r="W4164">
        <f>Table2[[#This Row],[Quantity]]*Table2[[#This Row],[Item_Price]]</f>
        <v>1839</v>
      </c>
    </row>
    <row r="4165" spans="1:23" x14ac:dyDescent="0.25">
      <c r="A4165" t="s">
        <v>4269</v>
      </c>
      <c r="B4165" s="1">
        <v>45962</v>
      </c>
      <c r="C4165" t="s">
        <v>4265</v>
      </c>
      <c r="D4165">
        <v>11</v>
      </c>
      <c r="E4165">
        <v>1</v>
      </c>
      <c r="F4165" t="s">
        <v>134</v>
      </c>
      <c r="G4165" t="s">
        <v>64</v>
      </c>
      <c r="H4165" t="s">
        <v>26</v>
      </c>
      <c r="I4165" t="s">
        <v>85</v>
      </c>
      <c r="J4165" t="s">
        <v>119</v>
      </c>
      <c r="K4165" t="s">
        <v>29</v>
      </c>
      <c r="L4165">
        <v>1</v>
      </c>
      <c r="M4165">
        <v>347</v>
      </c>
      <c r="N4165">
        <v>69.400000000000006</v>
      </c>
      <c r="O4165">
        <v>20</v>
      </c>
      <c r="P4165">
        <v>347</v>
      </c>
      <c r="Q4165">
        <v>297.60000000000002</v>
      </c>
      <c r="R4165" t="s">
        <v>30</v>
      </c>
      <c r="S4165" t="s">
        <v>31</v>
      </c>
      <c r="T4165" t="s">
        <v>32</v>
      </c>
      <c r="U4165">
        <v>25</v>
      </c>
      <c r="V4165">
        <v>4.5999999999999996</v>
      </c>
      <c r="W4165">
        <f>Table2[[#This Row],[Quantity]]*Table2[[#This Row],[Item_Price]]</f>
        <v>347</v>
      </c>
    </row>
    <row r="4166" spans="1:23" x14ac:dyDescent="0.25">
      <c r="A4166" t="s">
        <v>4270</v>
      </c>
      <c r="B4166" s="1">
        <v>45962</v>
      </c>
      <c r="C4166" t="s">
        <v>4265</v>
      </c>
      <c r="D4166">
        <v>11</v>
      </c>
      <c r="E4166">
        <v>1</v>
      </c>
      <c r="F4166" t="s">
        <v>134</v>
      </c>
      <c r="G4166" t="s">
        <v>90</v>
      </c>
      <c r="H4166" t="s">
        <v>135</v>
      </c>
      <c r="I4166" t="s">
        <v>61</v>
      </c>
      <c r="J4166" t="s">
        <v>123</v>
      </c>
      <c r="K4166" t="s">
        <v>38</v>
      </c>
      <c r="L4166">
        <v>1</v>
      </c>
      <c r="M4166">
        <v>420</v>
      </c>
      <c r="N4166">
        <v>105</v>
      </c>
      <c r="O4166">
        <v>40</v>
      </c>
      <c r="P4166">
        <v>420</v>
      </c>
      <c r="Q4166">
        <v>355</v>
      </c>
      <c r="R4166" t="s">
        <v>75</v>
      </c>
      <c r="S4166" t="s">
        <v>91</v>
      </c>
      <c r="T4166" t="s">
        <v>40</v>
      </c>
      <c r="U4166">
        <v>18</v>
      </c>
      <c r="W4166">
        <f>Table2[[#This Row],[Quantity]]*Table2[[#This Row],[Item_Price]]</f>
        <v>420</v>
      </c>
    </row>
    <row r="4167" spans="1:23" x14ac:dyDescent="0.25">
      <c r="A4167" t="s">
        <v>4271</v>
      </c>
      <c r="B4167" s="1">
        <v>45962</v>
      </c>
      <c r="C4167" t="s">
        <v>4265</v>
      </c>
      <c r="D4167">
        <v>11</v>
      </c>
      <c r="E4167">
        <v>1</v>
      </c>
      <c r="F4167" t="s">
        <v>134</v>
      </c>
      <c r="G4167" t="s">
        <v>115</v>
      </c>
      <c r="H4167" t="s">
        <v>135</v>
      </c>
      <c r="I4167" t="s">
        <v>61</v>
      </c>
      <c r="J4167" t="s">
        <v>78</v>
      </c>
      <c r="K4167" t="s">
        <v>38</v>
      </c>
      <c r="L4167">
        <v>2</v>
      </c>
      <c r="M4167">
        <v>279</v>
      </c>
      <c r="N4167">
        <v>0</v>
      </c>
      <c r="O4167">
        <v>30</v>
      </c>
      <c r="P4167">
        <v>558</v>
      </c>
      <c r="Q4167">
        <v>588</v>
      </c>
      <c r="R4167" t="s">
        <v>75</v>
      </c>
      <c r="S4167" t="s">
        <v>31</v>
      </c>
      <c r="T4167" t="s">
        <v>32</v>
      </c>
      <c r="U4167">
        <v>37</v>
      </c>
      <c r="V4167">
        <v>4.5</v>
      </c>
      <c r="W4167">
        <f>Table2[[#This Row],[Quantity]]*Table2[[#This Row],[Item_Price]]</f>
        <v>558</v>
      </c>
    </row>
    <row r="4168" spans="1:23" x14ac:dyDescent="0.25">
      <c r="A4168" t="s">
        <v>4272</v>
      </c>
      <c r="B4168" s="1">
        <v>45962</v>
      </c>
      <c r="C4168" t="s">
        <v>4265</v>
      </c>
      <c r="D4168">
        <v>11</v>
      </c>
      <c r="E4168">
        <v>1</v>
      </c>
      <c r="F4168" t="s">
        <v>134</v>
      </c>
      <c r="G4168" t="s">
        <v>25</v>
      </c>
      <c r="H4168" t="s">
        <v>77</v>
      </c>
      <c r="I4168" t="s">
        <v>57</v>
      </c>
      <c r="J4168" t="s">
        <v>70</v>
      </c>
      <c r="K4168" t="s">
        <v>38</v>
      </c>
      <c r="L4168">
        <v>1</v>
      </c>
      <c r="M4168">
        <v>189</v>
      </c>
      <c r="N4168">
        <v>9.4499999999999993</v>
      </c>
      <c r="O4168">
        <v>50</v>
      </c>
      <c r="P4168">
        <v>189</v>
      </c>
      <c r="Q4168">
        <v>229.55</v>
      </c>
      <c r="R4168" t="s">
        <v>112</v>
      </c>
      <c r="S4168" t="s">
        <v>31</v>
      </c>
      <c r="T4168" t="s">
        <v>40</v>
      </c>
      <c r="U4168">
        <v>59</v>
      </c>
      <c r="V4168">
        <v>3.5</v>
      </c>
      <c r="W4168">
        <f>Table2[[#This Row],[Quantity]]*Table2[[#This Row],[Item_Price]]</f>
        <v>189</v>
      </c>
    </row>
    <row r="4169" spans="1:23" x14ac:dyDescent="0.25">
      <c r="A4169" t="s">
        <v>4273</v>
      </c>
      <c r="B4169" s="1">
        <v>45962</v>
      </c>
      <c r="C4169" t="s">
        <v>4265</v>
      </c>
      <c r="D4169">
        <v>11</v>
      </c>
      <c r="E4169">
        <v>1</v>
      </c>
      <c r="F4169" t="s">
        <v>134</v>
      </c>
      <c r="G4169" t="s">
        <v>84</v>
      </c>
      <c r="H4169" t="s">
        <v>77</v>
      </c>
      <c r="I4169" t="s">
        <v>49</v>
      </c>
      <c r="J4169" t="s">
        <v>70</v>
      </c>
      <c r="K4169" t="s">
        <v>38</v>
      </c>
      <c r="L4169">
        <v>1</v>
      </c>
      <c r="M4169">
        <v>778</v>
      </c>
      <c r="N4169">
        <v>155.6</v>
      </c>
      <c r="O4169">
        <v>50</v>
      </c>
      <c r="P4169">
        <v>778</v>
      </c>
      <c r="Q4169">
        <v>672.4</v>
      </c>
      <c r="R4169" t="s">
        <v>39</v>
      </c>
      <c r="S4169" t="s">
        <v>46</v>
      </c>
      <c r="T4169" t="s">
        <v>40</v>
      </c>
      <c r="U4169">
        <v>58</v>
      </c>
      <c r="W4169">
        <f>Table2[[#This Row],[Quantity]]*Table2[[#This Row],[Item_Price]]</f>
        <v>778</v>
      </c>
    </row>
    <row r="4170" spans="1:23" x14ac:dyDescent="0.25">
      <c r="A4170" t="s">
        <v>4274</v>
      </c>
      <c r="B4170" s="1">
        <v>45962</v>
      </c>
      <c r="C4170" t="s">
        <v>4265</v>
      </c>
      <c r="D4170">
        <v>11</v>
      </c>
      <c r="E4170">
        <v>1</v>
      </c>
      <c r="F4170" t="s">
        <v>134</v>
      </c>
      <c r="G4170" t="s">
        <v>34</v>
      </c>
      <c r="H4170" t="s">
        <v>52</v>
      </c>
      <c r="I4170" t="s">
        <v>49</v>
      </c>
      <c r="J4170" t="s">
        <v>101</v>
      </c>
      <c r="K4170" t="s">
        <v>38</v>
      </c>
      <c r="L4170">
        <v>1</v>
      </c>
      <c r="M4170">
        <v>850</v>
      </c>
      <c r="N4170">
        <v>170</v>
      </c>
      <c r="O4170">
        <v>50</v>
      </c>
      <c r="P4170">
        <v>850</v>
      </c>
      <c r="Q4170">
        <v>730</v>
      </c>
      <c r="R4170" t="s">
        <v>30</v>
      </c>
      <c r="S4170" t="s">
        <v>31</v>
      </c>
      <c r="T4170" t="s">
        <v>40</v>
      </c>
      <c r="U4170">
        <v>38</v>
      </c>
      <c r="V4170">
        <v>2.7</v>
      </c>
      <c r="W4170">
        <f>Table2[[#This Row],[Quantity]]*Table2[[#This Row],[Item_Price]]</f>
        <v>850</v>
      </c>
    </row>
    <row r="4171" spans="1:23" x14ac:dyDescent="0.25">
      <c r="A4171" t="s">
        <v>4275</v>
      </c>
      <c r="B4171" s="1">
        <v>45962</v>
      </c>
      <c r="C4171" t="s">
        <v>4265</v>
      </c>
      <c r="D4171">
        <v>11</v>
      </c>
      <c r="E4171">
        <v>1</v>
      </c>
      <c r="F4171" t="s">
        <v>134</v>
      </c>
      <c r="G4171" t="s">
        <v>64</v>
      </c>
      <c r="H4171" t="s">
        <v>81</v>
      </c>
      <c r="I4171" t="s">
        <v>69</v>
      </c>
      <c r="J4171" t="s">
        <v>50</v>
      </c>
      <c r="K4171" t="s">
        <v>38</v>
      </c>
      <c r="L4171">
        <v>3</v>
      </c>
      <c r="M4171">
        <v>874</v>
      </c>
      <c r="N4171">
        <v>87.4</v>
      </c>
      <c r="O4171">
        <v>30</v>
      </c>
      <c r="P4171">
        <v>2622</v>
      </c>
      <c r="Q4171">
        <v>2564.6</v>
      </c>
      <c r="R4171" t="s">
        <v>39</v>
      </c>
      <c r="S4171" t="s">
        <v>31</v>
      </c>
      <c r="T4171" t="s">
        <v>32</v>
      </c>
      <c r="U4171">
        <v>18</v>
      </c>
      <c r="V4171">
        <v>4.2</v>
      </c>
      <c r="W4171">
        <f>Table2[[#This Row],[Quantity]]*Table2[[#This Row],[Item_Price]]</f>
        <v>2622</v>
      </c>
    </row>
    <row r="4172" spans="1:23" x14ac:dyDescent="0.25">
      <c r="A4172" t="s">
        <v>4276</v>
      </c>
      <c r="B4172" s="1">
        <v>45962</v>
      </c>
      <c r="C4172" t="s">
        <v>4265</v>
      </c>
      <c r="D4172">
        <v>11</v>
      </c>
      <c r="E4172">
        <v>1</v>
      </c>
      <c r="F4172" t="s">
        <v>134</v>
      </c>
      <c r="G4172" t="s">
        <v>80</v>
      </c>
      <c r="H4172" t="s">
        <v>42</v>
      </c>
      <c r="I4172" t="s">
        <v>61</v>
      </c>
      <c r="J4172" t="s">
        <v>119</v>
      </c>
      <c r="K4172" t="s">
        <v>38</v>
      </c>
      <c r="L4172">
        <v>1</v>
      </c>
      <c r="M4172">
        <v>826</v>
      </c>
      <c r="N4172">
        <v>165.2</v>
      </c>
      <c r="O4172">
        <v>0</v>
      </c>
      <c r="P4172">
        <v>826</v>
      </c>
      <c r="Q4172">
        <v>660.8</v>
      </c>
      <c r="R4172" t="s">
        <v>75</v>
      </c>
      <c r="S4172" t="s">
        <v>31</v>
      </c>
      <c r="T4172" t="s">
        <v>40</v>
      </c>
      <c r="U4172">
        <v>26</v>
      </c>
      <c r="V4172">
        <v>4.3</v>
      </c>
      <c r="W4172">
        <f>Table2[[#This Row],[Quantity]]*Table2[[#This Row],[Item_Price]]</f>
        <v>826</v>
      </c>
    </row>
    <row r="4173" spans="1:23" x14ac:dyDescent="0.25">
      <c r="A4173" t="s">
        <v>4277</v>
      </c>
      <c r="B4173" s="1">
        <v>45962</v>
      </c>
      <c r="C4173" t="s">
        <v>4265</v>
      </c>
      <c r="D4173">
        <v>11</v>
      </c>
      <c r="E4173">
        <v>1</v>
      </c>
      <c r="F4173" t="s">
        <v>134</v>
      </c>
      <c r="G4173" t="s">
        <v>80</v>
      </c>
      <c r="H4173" t="s">
        <v>108</v>
      </c>
      <c r="I4173" t="s">
        <v>97</v>
      </c>
      <c r="J4173" t="s">
        <v>123</v>
      </c>
      <c r="K4173" t="s">
        <v>38</v>
      </c>
      <c r="L4173">
        <v>3</v>
      </c>
      <c r="M4173">
        <v>177</v>
      </c>
      <c r="N4173">
        <v>17.7</v>
      </c>
      <c r="O4173">
        <v>30</v>
      </c>
      <c r="P4173">
        <v>531</v>
      </c>
      <c r="Q4173">
        <v>543.29999999999995</v>
      </c>
      <c r="R4173" t="s">
        <v>39</v>
      </c>
      <c r="S4173" t="s">
        <v>31</v>
      </c>
      <c r="T4173" t="s">
        <v>32</v>
      </c>
      <c r="U4173">
        <v>36</v>
      </c>
      <c r="V4173">
        <v>2.7</v>
      </c>
      <c r="W4173">
        <f>Table2[[#This Row],[Quantity]]*Table2[[#This Row],[Item_Price]]</f>
        <v>531</v>
      </c>
    </row>
    <row r="4174" spans="1:23" x14ac:dyDescent="0.25">
      <c r="A4174" t="s">
        <v>4278</v>
      </c>
      <c r="B4174" s="1">
        <v>45962</v>
      </c>
      <c r="C4174" t="s">
        <v>4265</v>
      </c>
      <c r="D4174">
        <v>11</v>
      </c>
      <c r="E4174">
        <v>1</v>
      </c>
      <c r="F4174" t="s">
        <v>134</v>
      </c>
      <c r="G4174" t="s">
        <v>34</v>
      </c>
      <c r="H4174" t="s">
        <v>139</v>
      </c>
      <c r="I4174" t="s">
        <v>49</v>
      </c>
      <c r="J4174" t="s">
        <v>82</v>
      </c>
      <c r="K4174" t="s">
        <v>38</v>
      </c>
      <c r="L4174">
        <v>1</v>
      </c>
      <c r="M4174">
        <v>763</v>
      </c>
      <c r="N4174">
        <v>38.15</v>
      </c>
      <c r="O4174">
        <v>40</v>
      </c>
      <c r="P4174">
        <v>763</v>
      </c>
      <c r="Q4174">
        <v>764.85</v>
      </c>
      <c r="R4174" t="s">
        <v>39</v>
      </c>
      <c r="S4174" t="s">
        <v>31</v>
      </c>
      <c r="T4174" t="s">
        <v>32</v>
      </c>
      <c r="U4174">
        <v>49</v>
      </c>
      <c r="V4174">
        <v>4.8</v>
      </c>
      <c r="W4174">
        <f>Table2[[#This Row],[Quantity]]*Table2[[#This Row],[Item_Price]]</f>
        <v>763</v>
      </c>
    </row>
    <row r="4175" spans="1:23" x14ac:dyDescent="0.25">
      <c r="A4175" t="s">
        <v>4279</v>
      </c>
      <c r="B4175" s="1">
        <v>45962</v>
      </c>
      <c r="C4175" t="s">
        <v>4265</v>
      </c>
      <c r="D4175">
        <v>11</v>
      </c>
      <c r="E4175">
        <v>1</v>
      </c>
      <c r="F4175" t="s">
        <v>134</v>
      </c>
      <c r="G4175" t="s">
        <v>84</v>
      </c>
      <c r="H4175" t="s">
        <v>77</v>
      </c>
      <c r="I4175" t="s">
        <v>43</v>
      </c>
      <c r="J4175" t="s">
        <v>172</v>
      </c>
      <c r="K4175" t="s">
        <v>38</v>
      </c>
      <c r="L4175">
        <v>3</v>
      </c>
      <c r="M4175">
        <v>173</v>
      </c>
      <c r="N4175">
        <v>8.65</v>
      </c>
      <c r="O4175">
        <v>30</v>
      </c>
      <c r="P4175">
        <v>519</v>
      </c>
      <c r="Q4175">
        <v>540.35</v>
      </c>
      <c r="R4175" t="s">
        <v>39</v>
      </c>
      <c r="S4175" t="s">
        <v>110</v>
      </c>
      <c r="T4175" t="s">
        <v>40</v>
      </c>
      <c r="U4175">
        <v>49</v>
      </c>
      <c r="W4175">
        <f>Table2[[#This Row],[Quantity]]*Table2[[#This Row],[Item_Price]]</f>
        <v>519</v>
      </c>
    </row>
    <row r="4176" spans="1:23" x14ac:dyDescent="0.25">
      <c r="A4176" t="s">
        <v>4280</v>
      </c>
      <c r="B4176" s="1">
        <v>45962</v>
      </c>
      <c r="C4176" t="s">
        <v>4265</v>
      </c>
      <c r="D4176">
        <v>11</v>
      </c>
      <c r="E4176">
        <v>1</v>
      </c>
      <c r="F4176" t="s">
        <v>134</v>
      </c>
      <c r="G4176" t="s">
        <v>115</v>
      </c>
      <c r="H4176" t="s">
        <v>77</v>
      </c>
      <c r="I4176" t="s">
        <v>85</v>
      </c>
      <c r="J4176" t="s">
        <v>74</v>
      </c>
      <c r="K4176" t="s">
        <v>38</v>
      </c>
      <c r="L4176">
        <v>1</v>
      </c>
      <c r="M4176">
        <v>273</v>
      </c>
      <c r="N4176">
        <v>54.6</v>
      </c>
      <c r="O4176">
        <v>40</v>
      </c>
      <c r="P4176">
        <v>273</v>
      </c>
      <c r="Q4176">
        <v>258.39999999999998</v>
      </c>
      <c r="R4176" t="s">
        <v>39</v>
      </c>
      <c r="S4176" t="s">
        <v>31</v>
      </c>
      <c r="T4176" t="s">
        <v>40</v>
      </c>
      <c r="U4176">
        <v>58</v>
      </c>
      <c r="V4176">
        <v>4.5</v>
      </c>
      <c r="W4176">
        <f>Table2[[#This Row],[Quantity]]*Table2[[#This Row],[Item_Price]]</f>
        <v>273</v>
      </c>
    </row>
    <row r="4177" spans="1:23" x14ac:dyDescent="0.25">
      <c r="A4177" t="s">
        <v>4281</v>
      </c>
      <c r="B4177" s="1">
        <v>45962</v>
      </c>
      <c r="C4177" t="s">
        <v>4265</v>
      </c>
      <c r="D4177">
        <v>11</v>
      </c>
      <c r="E4177">
        <v>1</v>
      </c>
      <c r="F4177" t="s">
        <v>134</v>
      </c>
      <c r="G4177" t="s">
        <v>64</v>
      </c>
      <c r="H4177" t="s">
        <v>35</v>
      </c>
      <c r="I4177" t="s">
        <v>27</v>
      </c>
      <c r="J4177" t="s">
        <v>172</v>
      </c>
      <c r="K4177" t="s">
        <v>29</v>
      </c>
      <c r="L4177">
        <v>1</v>
      </c>
      <c r="M4177">
        <v>191</v>
      </c>
      <c r="N4177">
        <v>19.100000000000001</v>
      </c>
      <c r="O4177">
        <v>20</v>
      </c>
      <c r="P4177">
        <v>191</v>
      </c>
      <c r="Q4177">
        <v>191.9</v>
      </c>
      <c r="R4177" t="s">
        <v>39</v>
      </c>
      <c r="S4177" t="s">
        <v>31</v>
      </c>
      <c r="T4177" t="s">
        <v>40</v>
      </c>
      <c r="U4177">
        <v>45</v>
      </c>
      <c r="V4177">
        <v>4</v>
      </c>
      <c r="W4177">
        <f>Table2[[#This Row],[Quantity]]*Table2[[#This Row],[Item_Price]]</f>
        <v>191</v>
      </c>
    </row>
    <row r="4178" spans="1:23" x14ac:dyDescent="0.25">
      <c r="A4178" t="s">
        <v>4282</v>
      </c>
      <c r="B4178" s="1">
        <v>45962</v>
      </c>
      <c r="C4178" t="s">
        <v>4265</v>
      </c>
      <c r="D4178">
        <v>11</v>
      </c>
      <c r="E4178">
        <v>1</v>
      </c>
      <c r="F4178" t="s">
        <v>134</v>
      </c>
      <c r="G4178" t="s">
        <v>73</v>
      </c>
      <c r="H4178" t="s">
        <v>65</v>
      </c>
      <c r="I4178" t="s">
        <v>85</v>
      </c>
      <c r="J4178" t="s">
        <v>66</v>
      </c>
      <c r="K4178" t="s">
        <v>38</v>
      </c>
      <c r="L4178">
        <v>1</v>
      </c>
      <c r="M4178">
        <v>884</v>
      </c>
      <c r="N4178">
        <v>88.4</v>
      </c>
      <c r="O4178">
        <v>40</v>
      </c>
      <c r="P4178">
        <v>884</v>
      </c>
      <c r="Q4178">
        <v>835.6</v>
      </c>
      <c r="R4178" t="s">
        <v>112</v>
      </c>
      <c r="S4178" t="s">
        <v>31</v>
      </c>
      <c r="T4178" t="s">
        <v>32</v>
      </c>
      <c r="U4178">
        <v>50</v>
      </c>
      <c r="V4178">
        <v>4.3</v>
      </c>
      <c r="W4178">
        <f>Table2[[#This Row],[Quantity]]*Table2[[#This Row],[Item_Price]]</f>
        <v>884</v>
      </c>
    </row>
    <row r="4179" spans="1:23" x14ac:dyDescent="0.25">
      <c r="A4179" t="s">
        <v>4283</v>
      </c>
      <c r="B4179" s="1">
        <v>45963</v>
      </c>
      <c r="C4179" t="s">
        <v>4265</v>
      </c>
      <c r="D4179">
        <v>11</v>
      </c>
      <c r="E4179">
        <v>2</v>
      </c>
      <c r="F4179" t="s">
        <v>149</v>
      </c>
      <c r="G4179" t="s">
        <v>80</v>
      </c>
      <c r="H4179" t="s">
        <v>48</v>
      </c>
      <c r="I4179" t="s">
        <v>49</v>
      </c>
      <c r="J4179" t="s">
        <v>37</v>
      </c>
      <c r="K4179" t="s">
        <v>45</v>
      </c>
      <c r="L4179">
        <v>2</v>
      </c>
      <c r="M4179">
        <v>181</v>
      </c>
      <c r="N4179">
        <v>45.25</v>
      </c>
      <c r="O4179">
        <v>30</v>
      </c>
      <c r="P4179">
        <v>362</v>
      </c>
      <c r="Q4179">
        <v>346.75</v>
      </c>
      <c r="R4179" t="s">
        <v>75</v>
      </c>
      <c r="S4179" t="s">
        <v>110</v>
      </c>
      <c r="T4179" t="s">
        <v>32</v>
      </c>
      <c r="U4179">
        <v>28</v>
      </c>
      <c r="W4179">
        <f>Table2[[#This Row],[Quantity]]*Table2[[#This Row],[Item_Price]]</f>
        <v>362</v>
      </c>
    </row>
    <row r="4180" spans="1:23" x14ac:dyDescent="0.25">
      <c r="A4180" t="s">
        <v>4284</v>
      </c>
      <c r="B4180" s="1">
        <v>45963</v>
      </c>
      <c r="C4180" t="s">
        <v>4265</v>
      </c>
      <c r="D4180">
        <v>11</v>
      </c>
      <c r="E4180">
        <v>2</v>
      </c>
      <c r="F4180" t="s">
        <v>149</v>
      </c>
      <c r="G4180" t="s">
        <v>73</v>
      </c>
      <c r="H4180" t="s">
        <v>52</v>
      </c>
      <c r="I4180" t="s">
        <v>27</v>
      </c>
      <c r="J4180" t="s">
        <v>74</v>
      </c>
      <c r="K4180" t="s">
        <v>45</v>
      </c>
      <c r="L4180">
        <v>3</v>
      </c>
      <c r="M4180">
        <v>684</v>
      </c>
      <c r="N4180">
        <v>68.400000000000006</v>
      </c>
      <c r="O4180">
        <v>20</v>
      </c>
      <c r="P4180">
        <v>2052</v>
      </c>
      <c r="Q4180">
        <v>2003.6</v>
      </c>
      <c r="R4180" t="s">
        <v>75</v>
      </c>
      <c r="S4180" t="s">
        <v>31</v>
      </c>
      <c r="T4180" t="s">
        <v>40</v>
      </c>
      <c r="U4180">
        <v>50</v>
      </c>
      <c r="V4180">
        <v>2.8</v>
      </c>
      <c r="W4180">
        <f>Table2[[#This Row],[Quantity]]*Table2[[#This Row],[Item_Price]]</f>
        <v>2052</v>
      </c>
    </row>
    <row r="4181" spans="1:23" x14ac:dyDescent="0.25">
      <c r="A4181" t="s">
        <v>4285</v>
      </c>
      <c r="B4181" s="1">
        <v>45963</v>
      </c>
      <c r="C4181" t="s">
        <v>4265</v>
      </c>
      <c r="D4181">
        <v>11</v>
      </c>
      <c r="E4181">
        <v>2</v>
      </c>
      <c r="F4181" t="s">
        <v>149</v>
      </c>
      <c r="G4181" t="s">
        <v>90</v>
      </c>
      <c r="H4181" t="s">
        <v>108</v>
      </c>
      <c r="I4181" t="s">
        <v>57</v>
      </c>
      <c r="J4181" t="s">
        <v>50</v>
      </c>
      <c r="K4181" t="s">
        <v>38</v>
      </c>
      <c r="L4181">
        <v>1</v>
      </c>
      <c r="M4181">
        <v>340</v>
      </c>
      <c r="N4181">
        <v>85</v>
      </c>
      <c r="O4181">
        <v>20</v>
      </c>
      <c r="P4181">
        <v>340</v>
      </c>
      <c r="Q4181">
        <v>275</v>
      </c>
      <c r="R4181" t="s">
        <v>98</v>
      </c>
      <c r="S4181" t="s">
        <v>31</v>
      </c>
      <c r="T4181" t="s">
        <v>40</v>
      </c>
      <c r="U4181">
        <v>38</v>
      </c>
      <c r="V4181">
        <v>4.2</v>
      </c>
      <c r="W4181">
        <f>Table2[[#This Row],[Quantity]]*Table2[[#This Row],[Item_Price]]</f>
        <v>340</v>
      </c>
    </row>
    <row r="4182" spans="1:23" x14ac:dyDescent="0.25">
      <c r="A4182" t="s">
        <v>4286</v>
      </c>
      <c r="B4182" s="1">
        <v>45963</v>
      </c>
      <c r="C4182" t="s">
        <v>4265</v>
      </c>
      <c r="D4182">
        <v>11</v>
      </c>
      <c r="E4182">
        <v>2</v>
      </c>
      <c r="F4182" t="s">
        <v>149</v>
      </c>
      <c r="G4182" t="s">
        <v>80</v>
      </c>
      <c r="H4182" t="s">
        <v>135</v>
      </c>
      <c r="I4182" t="s">
        <v>103</v>
      </c>
      <c r="J4182" t="s">
        <v>94</v>
      </c>
      <c r="K4182" t="s">
        <v>38</v>
      </c>
      <c r="L4182">
        <v>1</v>
      </c>
      <c r="M4182">
        <v>321</v>
      </c>
      <c r="N4182">
        <v>32.1</v>
      </c>
      <c r="O4182">
        <v>40</v>
      </c>
      <c r="P4182">
        <v>321</v>
      </c>
      <c r="Q4182">
        <v>328.9</v>
      </c>
      <c r="R4182" t="s">
        <v>39</v>
      </c>
      <c r="S4182" t="s">
        <v>31</v>
      </c>
      <c r="T4182" t="s">
        <v>32</v>
      </c>
      <c r="U4182">
        <v>53</v>
      </c>
      <c r="V4182">
        <v>2.5</v>
      </c>
      <c r="W4182">
        <f>Table2[[#This Row],[Quantity]]*Table2[[#This Row],[Item_Price]]</f>
        <v>321</v>
      </c>
    </row>
    <row r="4183" spans="1:23" x14ac:dyDescent="0.25">
      <c r="A4183" t="s">
        <v>4287</v>
      </c>
      <c r="B4183" s="1">
        <v>45963</v>
      </c>
      <c r="C4183" t="s">
        <v>4265</v>
      </c>
      <c r="D4183">
        <v>11</v>
      </c>
      <c r="E4183">
        <v>2</v>
      </c>
      <c r="F4183" t="s">
        <v>149</v>
      </c>
      <c r="G4183" t="s">
        <v>80</v>
      </c>
      <c r="H4183" t="s">
        <v>52</v>
      </c>
      <c r="I4183" t="s">
        <v>85</v>
      </c>
      <c r="J4183" t="s">
        <v>101</v>
      </c>
      <c r="K4183" t="s">
        <v>38</v>
      </c>
      <c r="L4183">
        <v>2</v>
      </c>
      <c r="M4183">
        <v>830</v>
      </c>
      <c r="N4183">
        <v>0</v>
      </c>
      <c r="O4183">
        <v>50</v>
      </c>
      <c r="P4183">
        <v>1660</v>
      </c>
      <c r="Q4183">
        <v>1710</v>
      </c>
      <c r="R4183" t="s">
        <v>39</v>
      </c>
      <c r="S4183" t="s">
        <v>31</v>
      </c>
      <c r="T4183" t="s">
        <v>40</v>
      </c>
      <c r="U4183">
        <v>31</v>
      </c>
      <c r="V4183">
        <v>4.4000000000000004</v>
      </c>
      <c r="W4183">
        <f>Table2[[#This Row],[Quantity]]*Table2[[#This Row],[Item_Price]]</f>
        <v>1660</v>
      </c>
    </row>
    <row r="4184" spans="1:23" x14ac:dyDescent="0.25">
      <c r="A4184" t="s">
        <v>4288</v>
      </c>
      <c r="B4184" s="1">
        <v>45963</v>
      </c>
      <c r="C4184" t="s">
        <v>4265</v>
      </c>
      <c r="D4184">
        <v>11</v>
      </c>
      <c r="E4184">
        <v>2</v>
      </c>
      <c r="F4184" t="s">
        <v>149</v>
      </c>
      <c r="G4184" t="s">
        <v>64</v>
      </c>
      <c r="H4184" t="s">
        <v>48</v>
      </c>
      <c r="I4184" t="s">
        <v>57</v>
      </c>
      <c r="J4184" t="s">
        <v>37</v>
      </c>
      <c r="K4184" t="s">
        <v>38</v>
      </c>
      <c r="L4184">
        <v>1</v>
      </c>
      <c r="M4184">
        <v>196</v>
      </c>
      <c r="N4184">
        <v>9.8000000000000007</v>
      </c>
      <c r="O4184">
        <v>40</v>
      </c>
      <c r="P4184">
        <v>196</v>
      </c>
      <c r="Q4184">
        <v>226.2</v>
      </c>
      <c r="R4184" t="s">
        <v>39</v>
      </c>
      <c r="S4184" t="s">
        <v>46</v>
      </c>
      <c r="T4184" t="s">
        <v>32</v>
      </c>
      <c r="U4184">
        <v>26</v>
      </c>
      <c r="W4184">
        <f>Table2[[#This Row],[Quantity]]*Table2[[#This Row],[Item_Price]]</f>
        <v>196</v>
      </c>
    </row>
    <row r="4185" spans="1:23" x14ac:dyDescent="0.25">
      <c r="A4185" t="s">
        <v>4289</v>
      </c>
      <c r="B4185" s="1">
        <v>45963</v>
      </c>
      <c r="C4185" t="s">
        <v>4265</v>
      </c>
      <c r="D4185">
        <v>11</v>
      </c>
      <c r="E4185">
        <v>2</v>
      </c>
      <c r="F4185" t="s">
        <v>149</v>
      </c>
      <c r="G4185" t="s">
        <v>80</v>
      </c>
      <c r="H4185" t="s">
        <v>42</v>
      </c>
      <c r="I4185" t="s">
        <v>27</v>
      </c>
      <c r="J4185" t="s">
        <v>28</v>
      </c>
      <c r="K4185" t="s">
        <v>38</v>
      </c>
      <c r="L4185">
        <v>1</v>
      </c>
      <c r="M4185">
        <v>701</v>
      </c>
      <c r="N4185">
        <v>70.099999999999994</v>
      </c>
      <c r="O4185">
        <v>40</v>
      </c>
      <c r="P4185">
        <v>701</v>
      </c>
      <c r="Q4185">
        <v>670.9</v>
      </c>
      <c r="R4185" t="s">
        <v>30</v>
      </c>
      <c r="S4185" t="s">
        <v>91</v>
      </c>
      <c r="T4185" t="s">
        <v>40</v>
      </c>
      <c r="U4185">
        <v>53</v>
      </c>
      <c r="W4185">
        <f>Table2[[#This Row],[Quantity]]*Table2[[#This Row],[Item_Price]]</f>
        <v>701</v>
      </c>
    </row>
    <row r="4186" spans="1:23" x14ac:dyDescent="0.25">
      <c r="A4186" t="s">
        <v>4290</v>
      </c>
      <c r="B4186" s="1">
        <v>45963</v>
      </c>
      <c r="C4186" t="s">
        <v>4265</v>
      </c>
      <c r="D4186">
        <v>11</v>
      </c>
      <c r="E4186">
        <v>2</v>
      </c>
      <c r="F4186" t="s">
        <v>149</v>
      </c>
      <c r="G4186" t="s">
        <v>34</v>
      </c>
      <c r="H4186" t="s">
        <v>108</v>
      </c>
      <c r="I4186" t="s">
        <v>49</v>
      </c>
      <c r="J4186" t="s">
        <v>66</v>
      </c>
      <c r="K4186" t="s">
        <v>38</v>
      </c>
      <c r="L4186">
        <v>1</v>
      </c>
      <c r="M4186">
        <v>844</v>
      </c>
      <c r="N4186">
        <v>211</v>
      </c>
      <c r="O4186">
        <v>20</v>
      </c>
      <c r="P4186">
        <v>844</v>
      </c>
      <c r="Q4186">
        <v>653</v>
      </c>
      <c r="R4186" t="s">
        <v>98</v>
      </c>
      <c r="S4186" t="s">
        <v>110</v>
      </c>
      <c r="T4186" t="s">
        <v>40</v>
      </c>
      <c r="U4186">
        <v>36</v>
      </c>
      <c r="W4186">
        <f>Table2[[#This Row],[Quantity]]*Table2[[#This Row],[Item_Price]]</f>
        <v>844</v>
      </c>
    </row>
    <row r="4187" spans="1:23" x14ac:dyDescent="0.25">
      <c r="A4187" t="s">
        <v>4291</v>
      </c>
      <c r="B4187" s="1">
        <v>45964</v>
      </c>
      <c r="C4187" t="s">
        <v>4265</v>
      </c>
      <c r="D4187">
        <v>11</v>
      </c>
      <c r="E4187">
        <v>3</v>
      </c>
      <c r="F4187" t="s">
        <v>168</v>
      </c>
      <c r="G4187" t="s">
        <v>64</v>
      </c>
      <c r="H4187" t="s">
        <v>108</v>
      </c>
      <c r="I4187" t="s">
        <v>43</v>
      </c>
      <c r="J4187" t="s">
        <v>28</v>
      </c>
      <c r="K4187" t="s">
        <v>38</v>
      </c>
      <c r="L4187">
        <v>2</v>
      </c>
      <c r="M4187">
        <v>283</v>
      </c>
      <c r="N4187">
        <v>28.3</v>
      </c>
      <c r="O4187">
        <v>40</v>
      </c>
      <c r="P4187">
        <v>566</v>
      </c>
      <c r="Q4187">
        <v>577.70000000000005</v>
      </c>
      <c r="R4187" t="s">
        <v>39</v>
      </c>
      <c r="S4187" t="s">
        <v>46</v>
      </c>
      <c r="T4187" t="s">
        <v>40</v>
      </c>
      <c r="U4187">
        <v>33</v>
      </c>
      <c r="W4187">
        <f>Table2[[#This Row],[Quantity]]*Table2[[#This Row],[Item_Price]]</f>
        <v>566</v>
      </c>
    </row>
    <row r="4188" spans="1:23" x14ac:dyDescent="0.25">
      <c r="A4188" t="s">
        <v>4292</v>
      </c>
      <c r="B4188" s="1">
        <v>45964</v>
      </c>
      <c r="C4188" t="s">
        <v>4265</v>
      </c>
      <c r="D4188">
        <v>11</v>
      </c>
      <c r="E4188">
        <v>3</v>
      </c>
      <c r="F4188" t="s">
        <v>168</v>
      </c>
      <c r="G4188" t="s">
        <v>80</v>
      </c>
      <c r="H4188" t="s">
        <v>108</v>
      </c>
      <c r="I4188" t="s">
        <v>97</v>
      </c>
      <c r="J4188" t="s">
        <v>53</v>
      </c>
      <c r="K4188" t="s">
        <v>38</v>
      </c>
      <c r="L4188">
        <v>2</v>
      </c>
      <c r="M4188">
        <v>458</v>
      </c>
      <c r="N4188">
        <v>114.5</v>
      </c>
      <c r="O4188">
        <v>70</v>
      </c>
      <c r="P4188">
        <v>916</v>
      </c>
      <c r="Q4188">
        <v>871.5</v>
      </c>
      <c r="R4188" t="s">
        <v>39</v>
      </c>
      <c r="S4188" t="s">
        <v>110</v>
      </c>
      <c r="T4188" t="s">
        <v>32</v>
      </c>
      <c r="U4188">
        <v>38</v>
      </c>
      <c r="W4188">
        <f>Table2[[#This Row],[Quantity]]*Table2[[#This Row],[Item_Price]]</f>
        <v>916</v>
      </c>
    </row>
    <row r="4189" spans="1:23" x14ac:dyDescent="0.25">
      <c r="A4189" t="s">
        <v>4293</v>
      </c>
      <c r="B4189" s="1">
        <v>45964</v>
      </c>
      <c r="C4189" t="s">
        <v>4265</v>
      </c>
      <c r="D4189">
        <v>11</v>
      </c>
      <c r="E4189">
        <v>3</v>
      </c>
      <c r="F4189" t="s">
        <v>168</v>
      </c>
      <c r="G4189" t="s">
        <v>64</v>
      </c>
      <c r="H4189" t="s">
        <v>35</v>
      </c>
      <c r="I4189" t="s">
        <v>36</v>
      </c>
      <c r="J4189" t="s">
        <v>119</v>
      </c>
      <c r="K4189" t="s">
        <v>38</v>
      </c>
      <c r="L4189">
        <v>2</v>
      </c>
      <c r="M4189">
        <v>535</v>
      </c>
      <c r="N4189">
        <v>80.25</v>
      </c>
      <c r="O4189">
        <v>40</v>
      </c>
      <c r="P4189">
        <v>1070</v>
      </c>
      <c r="Q4189">
        <v>1029.75</v>
      </c>
      <c r="R4189" t="s">
        <v>112</v>
      </c>
      <c r="S4189" t="s">
        <v>31</v>
      </c>
      <c r="T4189" t="s">
        <v>40</v>
      </c>
      <c r="U4189">
        <v>50</v>
      </c>
      <c r="V4189">
        <v>2.9</v>
      </c>
      <c r="W4189">
        <f>Table2[[#This Row],[Quantity]]*Table2[[#This Row],[Item_Price]]</f>
        <v>1070</v>
      </c>
    </row>
    <row r="4190" spans="1:23" x14ac:dyDescent="0.25">
      <c r="A4190" t="s">
        <v>4294</v>
      </c>
      <c r="B4190" s="1">
        <v>45964</v>
      </c>
      <c r="C4190" t="s">
        <v>4265</v>
      </c>
      <c r="D4190">
        <v>11</v>
      </c>
      <c r="E4190">
        <v>3</v>
      </c>
      <c r="F4190" t="s">
        <v>168</v>
      </c>
      <c r="G4190" t="s">
        <v>80</v>
      </c>
      <c r="H4190" t="s">
        <v>139</v>
      </c>
      <c r="I4190" t="s">
        <v>85</v>
      </c>
      <c r="J4190" t="s">
        <v>172</v>
      </c>
      <c r="K4190" t="s">
        <v>38</v>
      </c>
      <c r="L4190">
        <v>2</v>
      </c>
      <c r="M4190">
        <v>707</v>
      </c>
      <c r="N4190">
        <v>141.4</v>
      </c>
      <c r="O4190">
        <v>30</v>
      </c>
      <c r="P4190">
        <v>1414</v>
      </c>
      <c r="Q4190">
        <v>1302.5999999999999</v>
      </c>
      <c r="R4190" t="s">
        <v>30</v>
      </c>
      <c r="S4190" t="s">
        <v>46</v>
      </c>
      <c r="T4190" t="s">
        <v>40</v>
      </c>
      <c r="U4190">
        <v>61</v>
      </c>
      <c r="W4190">
        <f>Table2[[#This Row],[Quantity]]*Table2[[#This Row],[Item_Price]]</f>
        <v>1414</v>
      </c>
    </row>
    <row r="4191" spans="1:23" x14ac:dyDescent="0.25">
      <c r="A4191" t="s">
        <v>4295</v>
      </c>
      <c r="B4191" s="1">
        <v>45964</v>
      </c>
      <c r="C4191" t="s">
        <v>4265</v>
      </c>
      <c r="D4191">
        <v>11</v>
      </c>
      <c r="E4191">
        <v>3</v>
      </c>
      <c r="F4191" t="s">
        <v>168</v>
      </c>
      <c r="G4191" t="s">
        <v>80</v>
      </c>
      <c r="H4191" t="s">
        <v>35</v>
      </c>
      <c r="I4191" t="s">
        <v>61</v>
      </c>
      <c r="J4191" t="s">
        <v>44</v>
      </c>
      <c r="K4191" t="s">
        <v>38</v>
      </c>
      <c r="L4191">
        <v>1</v>
      </c>
      <c r="M4191">
        <v>419</v>
      </c>
      <c r="N4191">
        <v>104.75</v>
      </c>
      <c r="O4191">
        <v>20</v>
      </c>
      <c r="P4191">
        <v>419</v>
      </c>
      <c r="Q4191">
        <v>334.25</v>
      </c>
      <c r="R4191" t="s">
        <v>39</v>
      </c>
      <c r="S4191" t="s">
        <v>31</v>
      </c>
      <c r="T4191" t="s">
        <v>40</v>
      </c>
      <c r="U4191">
        <v>61</v>
      </c>
      <c r="V4191">
        <v>3.9</v>
      </c>
      <c r="W4191">
        <f>Table2[[#This Row],[Quantity]]*Table2[[#This Row],[Item_Price]]</f>
        <v>419</v>
      </c>
    </row>
    <row r="4192" spans="1:23" x14ac:dyDescent="0.25">
      <c r="A4192" t="s">
        <v>4296</v>
      </c>
      <c r="B4192" s="1">
        <v>45964</v>
      </c>
      <c r="C4192" t="s">
        <v>4265</v>
      </c>
      <c r="D4192">
        <v>11</v>
      </c>
      <c r="E4192">
        <v>3</v>
      </c>
      <c r="F4192" t="s">
        <v>168</v>
      </c>
      <c r="G4192" t="s">
        <v>90</v>
      </c>
      <c r="H4192" t="s">
        <v>105</v>
      </c>
      <c r="I4192" t="s">
        <v>36</v>
      </c>
      <c r="J4192" t="s">
        <v>70</v>
      </c>
      <c r="K4192" t="s">
        <v>38</v>
      </c>
      <c r="L4192">
        <v>2</v>
      </c>
      <c r="M4192">
        <v>636</v>
      </c>
      <c r="N4192">
        <v>159</v>
      </c>
      <c r="O4192">
        <v>40</v>
      </c>
      <c r="P4192">
        <v>1272</v>
      </c>
      <c r="Q4192">
        <v>1153</v>
      </c>
      <c r="R4192" t="s">
        <v>112</v>
      </c>
      <c r="S4192" t="s">
        <v>31</v>
      </c>
      <c r="T4192" t="s">
        <v>40</v>
      </c>
      <c r="U4192">
        <v>55</v>
      </c>
      <c r="V4192">
        <v>4.2</v>
      </c>
      <c r="W4192">
        <f>Table2[[#This Row],[Quantity]]*Table2[[#This Row],[Item_Price]]</f>
        <v>1272</v>
      </c>
    </row>
    <row r="4193" spans="1:23" x14ac:dyDescent="0.25">
      <c r="A4193" t="s">
        <v>4297</v>
      </c>
      <c r="B4193" s="1">
        <v>45964</v>
      </c>
      <c r="C4193" t="s">
        <v>4265</v>
      </c>
      <c r="D4193">
        <v>11</v>
      </c>
      <c r="E4193">
        <v>3</v>
      </c>
      <c r="F4193" t="s">
        <v>168</v>
      </c>
      <c r="G4193" t="s">
        <v>55</v>
      </c>
      <c r="H4193" t="s">
        <v>60</v>
      </c>
      <c r="I4193" t="s">
        <v>97</v>
      </c>
      <c r="J4193" t="s">
        <v>28</v>
      </c>
      <c r="K4193" t="s">
        <v>45</v>
      </c>
      <c r="L4193">
        <v>2</v>
      </c>
      <c r="M4193">
        <v>588</v>
      </c>
      <c r="N4193">
        <v>29.4</v>
      </c>
      <c r="O4193">
        <v>40</v>
      </c>
      <c r="P4193">
        <v>1176</v>
      </c>
      <c r="Q4193">
        <v>1186.5999999999999</v>
      </c>
      <c r="R4193" t="s">
        <v>75</v>
      </c>
      <c r="S4193" t="s">
        <v>31</v>
      </c>
      <c r="T4193" t="s">
        <v>40</v>
      </c>
      <c r="U4193">
        <v>19</v>
      </c>
      <c r="V4193">
        <v>4.0999999999999996</v>
      </c>
      <c r="W4193">
        <f>Table2[[#This Row],[Quantity]]*Table2[[#This Row],[Item_Price]]</f>
        <v>1176</v>
      </c>
    </row>
    <row r="4194" spans="1:23" x14ac:dyDescent="0.25">
      <c r="A4194" t="s">
        <v>4298</v>
      </c>
      <c r="B4194" s="1">
        <v>45964</v>
      </c>
      <c r="C4194" t="s">
        <v>4265</v>
      </c>
      <c r="D4194">
        <v>11</v>
      </c>
      <c r="E4194">
        <v>3</v>
      </c>
      <c r="F4194" t="s">
        <v>168</v>
      </c>
      <c r="G4194" t="s">
        <v>80</v>
      </c>
      <c r="H4194" t="s">
        <v>65</v>
      </c>
      <c r="I4194" t="s">
        <v>103</v>
      </c>
      <c r="J4194" t="s">
        <v>70</v>
      </c>
      <c r="K4194" t="s">
        <v>58</v>
      </c>
      <c r="L4194">
        <v>3</v>
      </c>
      <c r="M4194">
        <v>675</v>
      </c>
      <c r="N4194">
        <v>135</v>
      </c>
      <c r="O4194">
        <v>20</v>
      </c>
      <c r="P4194">
        <v>2025</v>
      </c>
      <c r="Q4194">
        <v>1910</v>
      </c>
      <c r="R4194" t="s">
        <v>39</v>
      </c>
      <c r="S4194" t="s">
        <v>31</v>
      </c>
      <c r="T4194" t="s">
        <v>40</v>
      </c>
      <c r="U4194">
        <v>48</v>
      </c>
      <c r="V4194">
        <v>4.5999999999999996</v>
      </c>
      <c r="W4194">
        <f>Table2[[#This Row],[Quantity]]*Table2[[#This Row],[Item_Price]]</f>
        <v>2025</v>
      </c>
    </row>
    <row r="4195" spans="1:23" x14ac:dyDescent="0.25">
      <c r="A4195" t="s">
        <v>4299</v>
      </c>
      <c r="B4195" s="1">
        <v>45964</v>
      </c>
      <c r="C4195" t="s">
        <v>4265</v>
      </c>
      <c r="D4195">
        <v>11</v>
      </c>
      <c r="E4195">
        <v>3</v>
      </c>
      <c r="F4195" t="s">
        <v>168</v>
      </c>
      <c r="G4195" t="s">
        <v>90</v>
      </c>
      <c r="H4195" t="s">
        <v>26</v>
      </c>
      <c r="I4195" t="s">
        <v>69</v>
      </c>
      <c r="J4195" t="s">
        <v>44</v>
      </c>
      <c r="K4195" t="s">
        <v>38</v>
      </c>
      <c r="L4195">
        <v>1</v>
      </c>
      <c r="M4195">
        <v>530</v>
      </c>
      <c r="N4195">
        <v>0</v>
      </c>
      <c r="O4195">
        <v>0</v>
      </c>
      <c r="P4195">
        <v>530</v>
      </c>
      <c r="Q4195">
        <v>530</v>
      </c>
      <c r="R4195" t="s">
        <v>75</v>
      </c>
      <c r="S4195" t="s">
        <v>91</v>
      </c>
      <c r="T4195" t="s">
        <v>40</v>
      </c>
      <c r="U4195">
        <v>52</v>
      </c>
      <c r="W4195">
        <f>Table2[[#This Row],[Quantity]]*Table2[[#This Row],[Item_Price]]</f>
        <v>530</v>
      </c>
    </row>
    <row r="4196" spans="1:23" x14ac:dyDescent="0.25">
      <c r="A4196" t="s">
        <v>4300</v>
      </c>
      <c r="B4196" s="1">
        <v>45964</v>
      </c>
      <c r="C4196" t="s">
        <v>4265</v>
      </c>
      <c r="D4196">
        <v>11</v>
      </c>
      <c r="E4196">
        <v>3</v>
      </c>
      <c r="F4196" t="s">
        <v>168</v>
      </c>
      <c r="G4196" t="s">
        <v>34</v>
      </c>
      <c r="H4196" t="s">
        <v>48</v>
      </c>
      <c r="I4196" t="s">
        <v>57</v>
      </c>
      <c r="J4196" t="s">
        <v>172</v>
      </c>
      <c r="K4196" t="s">
        <v>38</v>
      </c>
      <c r="L4196">
        <v>1</v>
      </c>
      <c r="M4196">
        <v>289</v>
      </c>
      <c r="N4196">
        <v>14.45</v>
      </c>
      <c r="O4196">
        <v>50</v>
      </c>
      <c r="P4196">
        <v>289</v>
      </c>
      <c r="Q4196">
        <v>324.55</v>
      </c>
      <c r="R4196" t="s">
        <v>98</v>
      </c>
      <c r="S4196" t="s">
        <v>91</v>
      </c>
      <c r="T4196" t="s">
        <v>40</v>
      </c>
      <c r="U4196">
        <v>49</v>
      </c>
      <c r="W4196">
        <f>Table2[[#This Row],[Quantity]]*Table2[[#This Row],[Item_Price]]</f>
        <v>289</v>
      </c>
    </row>
    <row r="4197" spans="1:23" x14ac:dyDescent="0.25">
      <c r="A4197" t="s">
        <v>4301</v>
      </c>
      <c r="B4197" s="1">
        <v>45964</v>
      </c>
      <c r="C4197" t="s">
        <v>4265</v>
      </c>
      <c r="D4197">
        <v>11</v>
      </c>
      <c r="E4197">
        <v>3</v>
      </c>
      <c r="F4197" t="s">
        <v>168</v>
      </c>
      <c r="G4197" t="s">
        <v>64</v>
      </c>
      <c r="H4197" t="s">
        <v>60</v>
      </c>
      <c r="I4197" t="s">
        <v>27</v>
      </c>
      <c r="J4197" t="s">
        <v>50</v>
      </c>
      <c r="K4197" t="s">
        <v>38</v>
      </c>
      <c r="L4197">
        <v>2</v>
      </c>
      <c r="M4197">
        <v>325</v>
      </c>
      <c r="N4197">
        <v>0</v>
      </c>
      <c r="O4197">
        <v>30</v>
      </c>
      <c r="P4197">
        <v>650</v>
      </c>
      <c r="Q4197">
        <v>680</v>
      </c>
      <c r="R4197" t="s">
        <v>30</v>
      </c>
      <c r="S4197" t="s">
        <v>31</v>
      </c>
      <c r="T4197" t="s">
        <v>40</v>
      </c>
      <c r="U4197">
        <v>68</v>
      </c>
      <c r="V4197">
        <v>4.5999999999999996</v>
      </c>
      <c r="W4197">
        <f>Table2[[#This Row],[Quantity]]*Table2[[#This Row],[Item_Price]]</f>
        <v>650</v>
      </c>
    </row>
    <row r="4198" spans="1:23" x14ac:dyDescent="0.25">
      <c r="A4198" t="s">
        <v>4302</v>
      </c>
      <c r="B4198" s="1">
        <v>45965</v>
      </c>
      <c r="C4198" t="s">
        <v>4265</v>
      </c>
      <c r="D4198">
        <v>11</v>
      </c>
      <c r="E4198">
        <v>4</v>
      </c>
      <c r="F4198" t="s">
        <v>178</v>
      </c>
      <c r="G4198" t="s">
        <v>80</v>
      </c>
      <c r="H4198" t="s">
        <v>48</v>
      </c>
      <c r="I4198" t="s">
        <v>43</v>
      </c>
      <c r="J4198" t="s">
        <v>53</v>
      </c>
      <c r="K4198" t="s">
        <v>38</v>
      </c>
      <c r="L4198">
        <v>3</v>
      </c>
      <c r="M4198">
        <v>701</v>
      </c>
      <c r="N4198">
        <v>140.19999999999999</v>
      </c>
      <c r="O4198">
        <v>30</v>
      </c>
      <c r="P4198">
        <v>2103</v>
      </c>
      <c r="Q4198">
        <v>1992.8</v>
      </c>
      <c r="R4198" t="s">
        <v>98</v>
      </c>
      <c r="S4198" t="s">
        <v>31</v>
      </c>
      <c r="T4198" t="s">
        <v>40</v>
      </c>
      <c r="U4198">
        <v>22</v>
      </c>
      <c r="V4198">
        <v>4.0999999999999996</v>
      </c>
      <c r="W4198">
        <f>Table2[[#This Row],[Quantity]]*Table2[[#This Row],[Item_Price]]</f>
        <v>2103</v>
      </c>
    </row>
    <row r="4199" spans="1:23" x14ac:dyDescent="0.25">
      <c r="A4199" t="s">
        <v>4303</v>
      </c>
      <c r="B4199" s="1">
        <v>45965</v>
      </c>
      <c r="C4199" t="s">
        <v>4265</v>
      </c>
      <c r="D4199">
        <v>11</v>
      </c>
      <c r="E4199">
        <v>4</v>
      </c>
      <c r="F4199" t="s">
        <v>178</v>
      </c>
      <c r="G4199" t="s">
        <v>73</v>
      </c>
      <c r="H4199" t="s">
        <v>42</v>
      </c>
      <c r="I4199" t="s">
        <v>57</v>
      </c>
      <c r="J4199" t="s">
        <v>37</v>
      </c>
      <c r="K4199" t="s">
        <v>38</v>
      </c>
      <c r="L4199">
        <v>2</v>
      </c>
      <c r="M4199">
        <v>707</v>
      </c>
      <c r="N4199">
        <v>141.4</v>
      </c>
      <c r="O4199">
        <v>30</v>
      </c>
      <c r="P4199">
        <v>1414</v>
      </c>
      <c r="Q4199">
        <v>1302.5999999999999</v>
      </c>
      <c r="R4199" t="s">
        <v>39</v>
      </c>
      <c r="S4199" t="s">
        <v>91</v>
      </c>
      <c r="T4199" t="s">
        <v>32</v>
      </c>
      <c r="U4199">
        <v>49</v>
      </c>
      <c r="W4199">
        <f>Table2[[#This Row],[Quantity]]*Table2[[#This Row],[Item_Price]]</f>
        <v>1414</v>
      </c>
    </row>
    <row r="4200" spans="1:23" x14ac:dyDescent="0.25">
      <c r="A4200" t="s">
        <v>4304</v>
      </c>
      <c r="B4200" s="1">
        <v>45965</v>
      </c>
      <c r="C4200" t="s">
        <v>4265</v>
      </c>
      <c r="D4200">
        <v>11</v>
      </c>
      <c r="E4200">
        <v>4</v>
      </c>
      <c r="F4200" t="s">
        <v>178</v>
      </c>
      <c r="G4200" t="s">
        <v>64</v>
      </c>
      <c r="H4200" t="s">
        <v>81</v>
      </c>
      <c r="I4200" t="s">
        <v>85</v>
      </c>
      <c r="J4200" t="s">
        <v>44</v>
      </c>
      <c r="K4200" t="s">
        <v>58</v>
      </c>
      <c r="L4200">
        <v>2</v>
      </c>
      <c r="M4200">
        <v>420</v>
      </c>
      <c r="N4200">
        <v>42</v>
      </c>
      <c r="O4200">
        <v>30</v>
      </c>
      <c r="P4200">
        <v>840</v>
      </c>
      <c r="Q4200">
        <v>828</v>
      </c>
      <c r="R4200" t="s">
        <v>39</v>
      </c>
      <c r="S4200" t="s">
        <v>31</v>
      </c>
      <c r="T4200" t="s">
        <v>40</v>
      </c>
      <c r="U4200">
        <v>24</v>
      </c>
      <c r="V4200">
        <v>3.1</v>
      </c>
      <c r="W4200">
        <f>Table2[[#This Row],[Quantity]]*Table2[[#This Row],[Item_Price]]</f>
        <v>840</v>
      </c>
    </row>
    <row r="4201" spans="1:23" x14ac:dyDescent="0.25">
      <c r="A4201" t="s">
        <v>4305</v>
      </c>
      <c r="B4201" s="1">
        <v>45965</v>
      </c>
      <c r="C4201" t="s">
        <v>4265</v>
      </c>
      <c r="D4201">
        <v>11</v>
      </c>
      <c r="E4201">
        <v>4</v>
      </c>
      <c r="F4201" t="s">
        <v>178</v>
      </c>
      <c r="G4201" t="s">
        <v>64</v>
      </c>
      <c r="H4201" t="s">
        <v>42</v>
      </c>
      <c r="I4201" t="s">
        <v>49</v>
      </c>
      <c r="J4201" t="s">
        <v>94</v>
      </c>
      <c r="K4201" t="s">
        <v>38</v>
      </c>
      <c r="L4201">
        <v>1</v>
      </c>
      <c r="M4201">
        <v>729</v>
      </c>
      <c r="N4201">
        <v>0</v>
      </c>
      <c r="O4201">
        <v>60</v>
      </c>
      <c r="P4201">
        <v>729</v>
      </c>
      <c r="Q4201">
        <v>789</v>
      </c>
      <c r="R4201" t="s">
        <v>39</v>
      </c>
      <c r="S4201" t="s">
        <v>31</v>
      </c>
      <c r="T4201" t="s">
        <v>40</v>
      </c>
      <c r="U4201">
        <v>66</v>
      </c>
      <c r="V4201">
        <v>4</v>
      </c>
      <c r="W4201">
        <f>Table2[[#This Row],[Quantity]]*Table2[[#This Row],[Item_Price]]</f>
        <v>729</v>
      </c>
    </row>
    <row r="4202" spans="1:23" x14ac:dyDescent="0.25">
      <c r="A4202" t="s">
        <v>4306</v>
      </c>
      <c r="B4202" s="1">
        <v>45965</v>
      </c>
      <c r="C4202" t="s">
        <v>4265</v>
      </c>
      <c r="D4202">
        <v>11</v>
      </c>
      <c r="E4202">
        <v>4</v>
      </c>
      <c r="F4202" t="s">
        <v>178</v>
      </c>
      <c r="G4202" t="s">
        <v>73</v>
      </c>
      <c r="H4202" t="s">
        <v>135</v>
      </c>
      <c r="I4202" t="s">
        <v>27</v>
      </c>
      <c r="J4202" t="s">
        <v>74</v>
      </c>
      <c r="K4202" t="s">
        <v>38</v>
      </c>
      <c r="L4202">
        <v>2</v>
      </c>
      <c r="M4202">
        <v>681</v>
      </c>
      <c r="N4202">
        <v>68.099999999999994</v>
      </c>
      <c r="O4202">
        <v>60</v>
      </c>
      <c r="P4202">
        <v>1362</v>
      </c>
      <c r="Q4202">
        <v>1353.9</v>
      </c>
      <c r="R4202" t="s">
        <v>98</v>
      </c>
      <c r="S4202" t="s">
        <v>46</v>
      </c>
      <c r="T4202" t="s">
        <v>40</v>
      </c>
      <c r="U4202">
        <v>43</v>
      </c>
      <c r="W4202">
        <f>Table2[[#This Row],[Quantity]]*Table2[[#This Row],[Item_Price]]</f>
        <v>1362</v>
      </c>
    </row>
    <row r="4203" spans="1:23" x14ac:dyDescent="0.25">
      <c r="A4203" t="s">
        <v>4307</v>
      </c>
      <c r="B4203" s="1">
        <v>45965</v>
      </c>
      <c r="C4203" t="s">
        <v>4265</v>
      </c>
      <c r="D4203">
        <v>11</v>
      </c>
      <c r="E4203">
        <v>4</v>
      </c>
      <c r="F4203" t="s">
        <v>178</v>
      </c>
      <c r="G4203" t="s">
        <v>55</v>
      </c>
      <c r="H4203" t="s">
        <v>35</v>
      </c>
      <c r="I4203" t="s">
        <v>85</v>
      </c>
      <c r="J4203" t="s">
        <v>94</v>
      </c>
      <c r="K4203" t="s">
        <v>45</v>
      </c>
      <c r="L4203">
        <v>1</v>
      </c>
      <c r="M4203">
        <v>857</v>
      </c>
      <c r="N4203">
        <v>42.85</v>
      </c>
      <c r="O4203">
        <v>20</v>
      </c>
      <c r="P4203">
        <v>857</v>
      </c>
      <c r="Q4203">
        <v>834.15</v>
      </c>
      <c r="R4203" t="s">
        <v>75</v>
      </c>
      <c r="S4203" t="s">
        <v>31</v>
      </c>
      <c r="T4203" t="s">
        <v>32</v>
      </c>
      <c r="U4203">
        <v>66</v>
      </c>
      <c r="V4203">
        <v>5</v>
      </c>
      <c r="W4203">
        <f>Table2[[#This Row],[Quantity]]*Table2[[#This Row],[Item_Price]]</f>
        <v>857</v>
      </c>
    </row>
    <row r="4204" spans="1:23" x14ac:dyDescent="0.25">
      <c r="A4204" t="s">
        <v>4308</v>
      </c>
      <c r="B4204" s="1">
        <v>45965</v>
      </c>
      <c r="C4204" t="s">
        <v>4265</v>
      </c>
      <c r="D4204">
        <v>11</v>
      </c>
      <c r="E4204">
        <v>4</v>
      </c>
      <c r="F4204" t="s">
        <v>178</v>
      </c>
      <c r="G4204" t="s">
        <v>73</v>
      </c>
      <c r="H4204" t="s">
        <v>81</v>
      </c>
      <c r="I4204" t="s">
        <v>103</v>
      </c>
      <c r="J4204" t="s">
        <v>53</v>
      </c>
      <c r="K4204" t="s">
        <v>45</v>
      </c>
      <c r="L4204">
        <v>3</v>
      </c>
      <c r="M4204">
        <v>660</v>
      </c>
      <c r="N4204">
        <v>33</v>
      </c>
      <c r="O4204">
        <v>40</v>
      </c>
      <c r="P4204">
        <v>1980</v>
      </c>
      <c r="Q4204">
        <v>1987</v>
      </c>
      <c r="R4204" t="s">
        <v>39</v>
      </c>
      <c r="S4204" t="s">
        <v>31</v>
      </c>
      <c r="T4204" t="s">
        <v>40</v>
      </c>
      <c r="U4204">
        <v>52</v>
      </c>
      <c r="V4204">
        <v>5</v>
      </c>
      <c r="W4204">
        <f>Table2[[#This Row],[Quantity]]*Table2[[#This Row],[Item_Price]]</f>
        <v>1980</v>
      </c>
    </row>
    <row r="4205" spans="1:23" x14ac:dyDescent="0.25">
      <c r="A4205" t="s">
        <v>4309</v>
      </c>
      <c r="B4205" s="1">
        <v>45965</v>
      </c>
      <c r="C4205" t="s">
        <v>4265</v>
      </c>
      <c r="D4205">
        <v>11</v>
      </c>
      <c r="E4205">
        <v>4</v>
      </c>
      <c r="F4205" t="s">
        <v>178</v>
      </c>
      <c r="G4205" t="s">
        <v>64</v>
      </c>
      <c r="H4205" t="s">
        <v>48</v>
      </c>
      <c r="I4205" t="s">
        <v>36</v>
      </c>
      <c r="J4205" t="s">
        <v>44</v>
      </c>
      <c r="K4205" t="s">
        <v>38</v>
      </c>
      <c r="L4205">
        <v>1</v>
      </c>
      <c r="M4205">
        <v>506</v>
      </c>
      <c r="N4205">
        <v>0</v>
      </c>
      <c r="O4205">
        <v>40</v>
      </c>
      <c r="P4205">
        <v>506</v>
      </c>
      <c r="Q4205">
        <v>546</v>
      </c>
      <c r="R4205" t="s">
        <v>30</v>
      </c>
      <c r="S4205" t="s">
        <v>31</v>
      </c>
      <c r="T4205" t="s">
        <v>40</v>
      </c>
      <c r="U4205">
        <v>18</v>
      </c>
      <c r="V4205">
        <v>5</v>
      </c>
      <c r="W4205">
        <f>Table2[[#This Row],[Quantity]]*Table2[[#This Row],[Item_Price]]</f>
        <v>506</v>
      </c>
    </row>
    <row r="4206" spans="1:23" x14ac:dyDescent="0.25">
      <c r="A4206" t="s">
        <v>4310</v>
      </c>
      <c r="B4206" s="1">
        <v>45965</v>
      </c>
      <c r="C4206" t="s">
        <v>4265</v>
      </c>
      <c r="D4206">
        <v>11</v>
      </c>
      <c r="E4206">
        <v>4</v>
      </c>
      <c r="F4206" t="s">
        <v>178</v>
      </c>
      <c r="G4206" t="s">
        <v>80</v>
      </c>
      <c r="H4206" t="s">
        <v>105</v>
      </c>
      <c r="I4206" t="s">
        <v>97</v>
      </c>
      <c r="J4206" t="s">
        <v>70</v>
      </c>
      <c r="K4206" t="s">
        <v>38</v>
      </c>
      <c r="L4206">
        <v>1</v>
      </c>
      <c r="M4206">
        <v>356</v>
      </c>
      <c r="N4206">
        <v>71.2</v>
      </c>
      <c r="O4206">
        <v>40</v>
      </c>
      <c r="P4206">
        <v>356</v>
      </c>
      <c r="Q4206">
        <v>324.8</v>
      </c>
      <c r="R4206" t="s">
        <v>30</v>
      </c>
      <c r="S4206" t="s">
        <v>31</v>
      </c>
      <c r="T4206" t="s">
        <v>40</v>
      </c>
      <c r="U4206">
        <v>38</v>
      </c>
      <c r="V4206">
        <v>3</v>
      </c>
      <c r="W4206">
        <f>Table2[[#This Row],[Quantity]]*Table2[[#This Row],[Item_Price]]</f>
        <v>356</v>
      </c>
    </row>
    <row r="4207" spans="1:23" x14ac:dyDescent="0.25">
      <c r="A4207" t="s">
        <v>4311</v>
      </c>
      <c r="B4207" s="1">
        <v>45965</v>
      </c>
      <c r="C4207" t="s">
        <v>4265</v>
      </c>
      <c r="D4207">
        <v>11</v>
      </c>
      <c r="E4207">
        <v>4</v>
      </c>
      <c r="F4207" t="s">
        <v>178</v>
      </c>
      <c r="G4207" t="s">
        <v>115</v>
      </c>
      <c r="H4207" t="s">
        <v>77</v>
      </c>
      <c r="I4207" t="s">
        <v>69</v>
      </c>
      <c r="J4207" t="s">
        <v>78</v>
      </c>
      <c r="K4207" t="s">
        <v>45</v>
      </c>
      <c r="L4207">
        <v>1</v>
      </c>
      <c r="M4207">
        <v>589</v>
      </c>
      <c r="N4207">
        <v>147.25</v>
      </c>
      <c r="O4207">
        <v>50</v>
      </c>
      <c r="P4207">
        <v>589</v>
      </c>
      <c r="Q4207">
        <v>491.75</v>
      </c>
      <c r="R4207" t="s">
        <v>98</v>
      </c>
      <c r="S4207" t="s">
        <v>46</v>
      </c>
      <c r="T4207" t="s">
        <v>40</v>
      </c>
      <c r="U4207">
        <v>61</v>
      </c>
      <c r="W4207">
        <f>Table2[[#This Row],[Quantity]]*Table2[[#This Row],[Item_Price]]</f>
        <v>589</v>
      </c>
    </row>
    <row r="4208" spans="1:23" x14ac:dyDescent="0.25">
      <c r="A4208" t="s">
        <v>4312</v>
      </c>
      <c r="B4208" s="1">
        <v>45965</v>
      </c>
      <c r="C4208" t="s">
        <v>4265</v>
      </c>
      <c r="D4208">
        <v>11</v>
      </c>
      <c r="E4208">
        <v>4</v>
      </c>
      <c r="F4208" t="s">
        <v>178</v>
      </c>
      <c r="G4208" t="s">
        <v>34</v>
      </c>
      <c r="H4208" t="s">
        <v>56</v>
      </c>
      <c r="I4208" t="s">
        <v>36</v>
      </c>
      <c r="J4208" t="s">
        <v>74</v>
      </c>
      <c r="K4208" t="s">
        <v>38</v>
      </c>
      <c r="L4208">
        <v>2</v>
      </c>
      <c r="M4208">
        <v>168</v>
      </c>
      <c r="N4208">
        <v>25.2</v>
      </c>
      <c r="O4208">
        <v>40</v>
      </c>
      <c r="P4208">
        <v>336</v>
      </c>
      <c r="Q4208">
        <v>350.8</v>
      </c>
      <c r="R4208" t="s">
        <v>39</v>
      </c>
      <c r="S4208" t="s">
        <v>31</v>
      </c>
      <c r="T4208" t="s">
        <v>32</v>
      </c>
      <c r="U4208">
        <v>35</v>
      </c>
      <c r="V4208">
        <v>4.5</v>
      </c>
      <c r="W4208">
        <f>Table2[[#This Row],[Quantity]]*Table2[[#This Row],[Item_Price]]</f>
        <v>336</v>
      </c>
    </row>
    <row r="4209" spans="1:23" x14ac:dyDescent="0.25">
      <c r="A4209" t="s">
        <v>4313</v>
      </c>
      <c r="B4209" s="1">
        <v>45965</v>
      </c>
      <c r="C4209" t="s">
        <v>4265</v>
      </c>
      <c r="D4209">
        <v>11</v>
      </c>
      <c r="E4209">
        <v>4</v>
      </c>
      <c r="F4209" t="s">
        <v>178</v>
      </c>
      <c r="G4209" t="s">
        <v>64</v>
      </c>
      <c r="H4209" t="s">
        <v>35</v>
      </c>
      <c r="I4209" t="s">
        <v>61</v>
      </c>
      <c r="J4209" t="s">
        <v>70</v>
      </c>
      <c r="K4209" t="s">
        <v>38</v>
      </c>
      <c r="L4209">
        <v>1</v>
      </c>
      <c r="M4209">
        <v>205</v>
      </c>
      <c r="N4209">
        <v>51.25</v>
      </c>
      <c r="O4209">
        <v>30</v>
      </c>
      <c r="P4209">
        <v>205</v>
      </c>
      <c r="Q4209">
        <v>183.75</v>
      </c>
      <c r="R4209" t="s">
        <v>39</v>
      </c>
      <c r="S4209" t="s">
        <v>31</v>
      </c>
      <c r="T4209" t="s">
        <v>40</v>
      </c>
      <c r="U4209">
        <v>47</v>
      </c>
      <c r="V4209">
        <v>5</v>
      </c>
      <c r="W4209">
        <f>Table2[[#This Row],[Quantity]]*Table2[[#This Row],[Item_Price]]</f>
        <v>205</v>
      </c>
    </row>
    <row r="4210" spans="1:23" x14ac:dyDescent="0.25">
      <c r="A4210" t="s">
        <v>4314</v>
      </c>
      <c r="B4210" s="1">
        <v>45966</v>
      </c>
      <c r="C4210" t="s">
        <v>4265</v>
      </c>
      <c r="D4210">
        <v>11</v>
      </c>
      <c r="E4210">
        <v>5</v>
      </c>
      <c r="F4210" t="s">
        <v>24</v>
      </c>
      <c r="G4210" t="s">
        <v>64</v>
      </c>
      <c r="H4210" t="s">
        <v>48</v>
      </c>
      <c r="I4210" t="s">
        <v>103</v>
      </c>
      <c r="J4210" t="s">
        <v>37</v>
      </c>
      <c r="K4210" t="s">
        <v>58</v>
      </c>
      <c r="L4210">
        <v>1</v>
      </c>
      <c r="M4210">
        <v>694</v>
      </c>
      <c r="N4210">
        <v>138.80000000000001</v>
      </c>
      <c r="O4210">
        <v>50</v>
      </c>
      <c r="P4210">
        <v>694</v>
      </c>
      <c r="Q4210">
        <v>605.20000000000005</v>
      </c>
      <c r="R4210" t="s">
        <v>112</v>
      </c>
      <c r="S4210" t="s">
        <v>31</v>
      </c>
      <c r="T4210" t="s">
        <v>32</v>
      </c>
      <c r="U4210">
        <v>43</v>
      </c>
      <c r="V4210">
        <v>3.9</v>
      </c>
      <c r="W4210">
        <f>Table2[[#This Row],[Quantity]]*Table2[[#This Row],[Item_Price]]</f>
        <v>694</v>
      </c>
    </row>
    <row r="4211" spans="1:23" x14ac:dyDescent="0.25">
      <c r="A4211" t="s">
        <v>4315</v>
      </c>
      <c r="B4211" s="1">
        <v>45966</v>
      </c>
      <c r="C4211" t="s">
        <v>4265</v>
      </c>
      <c r="D4211">
        <v>11</v>
      </c>
      <c r="E4211">
        <v>5</v>
      </c>
      <c r="F4211" t="s">
        <v>24</v>
      </c>
      <c r="G4211" t="s">
        <v>90</v>
      </c>
      <c r="H4211" t="s">
        <v>26</v>
      </c>
      <c r="I4211" t="s">
        <v>85</v>
      </c>
      <c r="J4211" t="s">
        <v>94</v>
      </c>
      <c r="K4211" t="s">
        <v>45</v>
      </c>
      <c r="L4211">
        <v>2</v>
      </c>
      <c r="M4211">
        <v>335</v>
      </c>
      <c r="N4211">
        <v>16.75</v>
      </c>
      <c r="O4211">
        <v>0</v>
      </c>
      <c r="P4211">
        <v>670</v>
      </c>
      <c r="Q4211">
        <v>653.25</v>
      </c>
      <c r="R4211" t="s">
        <v>39</v>
      </c>
      <c r="S4211" t="s">
        <v>91</v>
      </c>
      <c r="T4211" t="s">
        <v>32</v>
      </c>
      <c r="U4211">
        <v>22</v>
      </c>
      <c r="W4211">
        <f>Table2[[#This Row],[Quantity]]*Table2[[#This Row],[Item_Price]]</f>
        <v>670</v>
      </c>
    </row>
    <row r="4212" spans="1:23" x14ac:dyDescent="0.25">
      <c r="A4212" t="s">
        <v>4316</v>
      </c>
      <c r="B4212" s="1">
        <v>45966</v>
      </c>
      <c r="C4212" t="s">
        <v>4265</v>
      </c>
      <c r="D4212">
        <v>11</v>
      </c>
      <c r="E4212">
        <v>5</v>
      </c>
      <c r="F4212" t="s">
        <v>24</v>
      </c>
      <c r="G4212" t="s">
        <v>34</v>
      </c>
      <c r="H4212" t="s">
        <v>68</v>
      </c>
      <c r="I4212" t="s">
        <v>61</v>
      </c>
      <c r="J4212" t="s">
        <v>78</v>
      </c>
      <c r="K4212" t="s">
        <v>38</v>
      </c>
      <c r="L4212">
        <v>2</v>
      </c>
      <c r="M4212">
        <v>545</v>
      </c>
      <c r="N4212">
        <v>81.75</v>
      </c>
      <c r="O4212">
        <v>50</v>
      </c>
      <c r="P4212">
        <v>1090</v>
      </c>
      <c r="Q4212">
        <v>1058.25</v>
      </c>
      <c r="R4212" t="s">
        <v>75</v>
      </c>
      <c r="S4212" t="s">
        <v>31</v>
      </c>
      <c r="T4212" t="s">
        <v>40</v>
      </c>
      <c r="U4212">
        <v>56</v>
      </c>
      <c r="V4212">
        <v>4</v>
      </c>
      <c r="W4212">
        <f>Table2[[#This Row],[Quantity]]*Table2[[#This Row],[Item_Price]]</f>
        <v>1090</v>
      </c>
    </row>
    <row r="4213" spans="1:23" x14ac:dyDescent="0.25">
      <c r="A4213" t="s">
        <v>4317</v>
      </c>
      <c r="B4213" s="1">
        <v>45966</v>
      </c>
      <c r="C4213" t="s">
        <v>4265</v>
      </c>
      <c r="D4213">
        <v>11</v>
      </c>
      <c r="E4213">
        <v>5</v>
      </c>
      <c r="F4213" t="s">
        <v>24</v>
      </c>
      <c r="G4213" t="s">
        <v>73</v>
      </c>
      <c r="H4213" t="s">
        <v>52</v>
      </c>
      <c r="I4213" t="s">
        <v>69</v>
      </c>
      <c r="J4213" t="s">
        <v>70</v>
      </c>
      <c r="K4213" t="s">
        <v>38</v>
      </c>
      <c r="L4213">
        <v>3</v>
      </c>
      <c r="M4213">
        <v>160</v>
      </c>
      <c r="N4213">
        <v>24</v>
      </c>
      <c r="O4213">
        <v>70</v>
      </c>
      <c r="P4213">
        <v>480</v>
      </c>
      <c r="Q4213">
        <v>526</v>
      </c>
      <c r="R4213" t="s">
        <v>39</v>
      </c>
      <c r="S4213" t="s">
        <v>31</v>
      </c>
      <c r="T4213" t="s">
        <v>32</v>
      </c>
      <c r="U4213">
        <v>64</v>
      </c>
      <c r="V4213">
        <v>4.5999999999999996</v>
      </c>
      <c r="W4213">
        <f>Table2[[#This Row],[Quantity]]*Table2[[#This Row],[Item_Price]]</f>
        <v>480</v>
      </c>
    </row>
    <row r="4214" spans="1:23" x14ac:dyDescent="0.25">
      <c r="A4214" t="s">
        <v>4318</v>
      </c>
      <c r="B4214" s="1">
        <v>45966</v>
      </c>
      <c r="C4214" t="s">
        <v>4265</v>
      </c>
      <c r="D4214">
        <v>11</v>
      </c>
      <c r="E4214">
        <v>5</v>
      </c>
      <c r="F4214" t="s">
        <v>24</v>
      </c>
      <c r="G4214" t="s">
        <v>34</v>
      </c>
      <c r="H4214" t="s">
        <v>42</v>
      </c>
      <c r="I4214" t="s">
        <v>43</v>
      </c>
      <c r="J4214" t="s">
        <v>74</v>
      </c>
      <c r="K4214" t="s">
        <v>38</v>
      </c>
      <c r="L4214">
        <v>3</v>
      </c>
      <c r="M4214">
        <v>383</v>
      </c>
      <c r="N4214">
        <v>76.599999999999994</v>
      </c>
      <c r="O4214">
        <v>20</v>
      </c>
      <c r="P4214">
        <v>1149</v>
      </c>
      <c r="Q4214">
        <v>1092.4000000000001</v>
      </c>
      <c r="R4214" t="s">
        <v>39</v>
      </c>
      <c r="S4214" t="s">
        <v>31</v>
      </c>
      <c r="T4214" t="s">
        <v>40</v>
      </c>
      <c r="U4214">
        <v>29</v>
      </c>
      <c r="V4214">
        <v>4</v>
      </c>
      <c r="W4214">
        <f>Table2[[#This Row],[Quantity]]*Table2[[#This Row],[Item_Price]]</f>
        <v>1149</v>
      </c>
    </row>
    <row r="4215" spans="1:23" x14ac:dyDescent="0.25">
      <c r="A4215" t="s">
        <v>4319</v>
      </c>
      <c r="B4215" s="1">
        <v>45966</v>
      </c>
      <c r="C4215" t="s">
        <v>4265</v>
      </c>
      <c r="D4215">
        <v>11</v>
      </c>
      <c r="E4215">
        <v>5</v>
      </c>
      <c r="F4215" t="s">
        <v>24</v>
      </c>
      <c r="G4215" t="s">
        <v>55</v>
      </c>
      <c r="H4215" t="s">
        <v>42</v>
      </c>
      <c r="I4215" t="s">
        <v>61</v>
      </c>
      <c r="J4215" t="s">
        <v>28</v>
      </c>
      <c r="K4215" t="s">
        <v>45</v>
      </c>
      <c r="L4215">
        <v>1</v>
      </c>
      <c r="M4215">
        <v>900</v>
      </c>
      <c r="N4215">
        <v>135</v>
      </c>
      <c r="O4215">
        <v>50</v>
      </c>
      <c r="P4215">
        <v>900</v>
      </c>
      <c r="Q4215">
        <v>815</v>
      </c>
      <c r="R4215" t="s">
        <v>30</v>
      </c>
      <c r="S4215" t="s">
        <v>31</v>
      </c>
      <c r="T4215" t="s">
        <v>40</v>
      </c>
      <c r="U4215">
        <v>36</v>
      </c>
      <c r="V4215">
        <v>5</v>
      </c>
      <c r="W4215">
        <f>Table2[[#This Row],[Quantity]]*Table2[[#This Row],[Item_Price]]</f>
        <v>900</v>
      </c>
    </row>
    <row r="4216" spans="1:23" x14ac:dyDescent="0.25">
      <c r="A4216" t="s">
        <v>4320</v>
      </c>
      <c r="B4216" s="1">
        <v>45966</v>
      </c>
      <c r="C4216" t="s">
        <v>4265</v>
      </c>
      <c r="D4216">
        <v>11</v>
      </c>
      <c r="E4216">
        <v>5</v>
      </c>
      <c r="F4216" t="s">
        <v>24</v>
      </c>
      <c r="G4216" t="s">
        <v>84</v>
      </c>
      <c r="H4216" t="s">
        <v>81</v>
      </c>
      <c r="I4216" t="s">
        <v>43</v>
      </c>
      <c r="J4216" t="s">
        <v>28</v>
      </c>
      <c r="K4216" t="s">
        <v>38</v>
      </c>
      <c r="L4216">
        <v>2</v>
      </c>
      <c r="M4216">
        <v>234</v>
      </c>
      <c r="N4216">
        <v>35.1</v>
      </c>
      <c r="O4216">
        <v>20</v>
      </c>
      <c r="P4216">
        <v>468</v>
      </c>
      <c r="Q4216">
        <v>452.9</v>
      </c>
      <c r="R4216" t="s">
        <v>39</v>
      </c>
      <c r="S4216" t="s">
        <v>31</v>
      </c>
      <c r="T4216" t="s">
        <v>32</v>
      </c>
      <c r="U4216">
        <v>35</v>
      </c>
      <c r="V4216">
        <v>3.8</v>
      </c>
      <c r="W4216">
        <f>Table2[[#This Row],[Quantity]]*Table2[[#This Row],[Item_Price]]</f>
        <v>468</v>
      </c>
    </row>
    <row r="4217" spans="1:23" x14ac:dyDescent="0.25">
      <c r="A4217" t="s">
        <v>4321</v>
      </c>
      <c r="B4217" s="1">
        <v>45966</v>
      </c>
      <c r="C4217" t="s">
        <v>4265</v>
      </c>
      <c r="D4217">
        <v>11</v>
      </c>
      <c r="E4217">
        <v>5</v>
      </c>
      <c r="F4217" t="s">
        <v>24</v>
      </c>
      <c r="G4217" t="s">
        <v>115</v>
      </c>
      <c r="H4217" t="s">
        <v>68</v>
      </c>
      <c r="I4217" t="s">
        <v>57</v>
      </c>
      <c r="J4217" t="s">
        <v>101</v>
      </c>
      <c r="K4217" t="s">
        <v>38</v>
      </c>
      <c r="L4217">
        <v>2</v>
      </c>
      <c r="M4217">
        <v>361</v>
      </c>
      <c r="N4217">
        <v>90.25</v>
      </c>
      <c r="O4217">
        <v>40</v>
      </c>
      <c r="P4217">
        <v>722</v>
      </c>
      <c r="Q4217">
        <v>671.75</v>
      </c>
      <c r="R4217" t="s">
        <v>39</v>
      </c>
      <c r="S4217" t="s">
        <v>31</v>
      </c>
      <c r="T4217" t="s">
        <v>32</v>
      </c>
      <c r="U4217">
        <v>19</v>
      </c>
      <c r="V4217">
        <v>5</v>
      </c>
      <c r="W4217">
        <f>Table2[[#This Row],[Quantity]]*Table2[[#This Row],[Item_Price]]</f>
        <v>722</v>
      </c>
    </row>
    <row r="4218" spans="1:23" x14ac:dyDescent="0.25">
      <c r="A4218" t="s">
        <v>4322</v>
      </c>
      <c r="B4218" s="1">
        <v>45966</v>
      </c>
      <c r="C4218" t="s">
        <v>4265</v>
      </c>
      <c r="D4218">
        <v>11</v>
      </c>
      <c r="E4218">
        <v>5</v>
      </c>
      <c r="F4218" t="s">
        <v>24</v>
      </c>
      <c r="G4218" t="s">
        <v>84</v>
      </c>
      <c r="H4218" t="s">
        <v>26</v>
      </c>
      <c r="I4218" t="s">
        <v>43</v>
      </c>
      <c r="J4218" t="s">
        <v>78</v>
      </c>
      <c r="K4218" t="s">
        <v>38</v>
      </c>
      <c r="L4218">
        <v>2</v>
      </c>
      <c r="M4218">
        <v>530</v>
      </c>
      <c r="N4218">
        <v>0</v>
      </c>
      <c r="O4218">
        <v>50</v>
      </c>
      <c r="P4218">
        <v>1060</v>
      </c>
      <c r="Q4218">
        <v>1110</v>
      </c>
      <c r="R4218" t="s">
        <v>39</v>
      </c>
      <c r="S4218" t="s">
        <v>31</v>
      </c>
      <c r="T4218" t="s">
        <v>40</v>
      </c>
      <c r="U4218">
        <v>23</v>
      </c>
      <c r="V4218">
        <v>4</v>
      </c>
      <c r="W4218">
        <f>Table2[[#This Row],[Quantity]]*Table2[[#This Row],[Item_Price]]</f>
        <v>1060</v>
      </c>
    </row>
    <row r="4219" spans="1:23" x14ac:dyDescent="0.25">
      <c r="A4219" t="s">
        <v>4323</v>
      </c>
      <c r="B4219" s="1">
        <v>45966</v>
      </c>
      <c r="C4219" t="s">
        <v>4265</v>
      </c>
      <c r="D4219">
        <v>11</v>
      </c>
      <c r="E4219">
        <v>5</v>
      </c>
      <c r="F4219" t="s">
        <v>24</v>
      </c>
      <c r="G4219" t="s">
        <v>55</v>
      </c>
      <c r="H4219" t="s">
        <v>26</v>
      </c>
      <c r="I4219" t="s">
        <v>49</v>
      </c>
      <c r="J4219" t="s">
        <v>44</v>
      </c>
      <c r="K4219" t="s">
        <v>29</v>
      </c>
      <c r="L4219">
        <v>1</v>
      </c>
      <c r="M4219">
        <v>479</v>
      </c>
      <c r="N4219">
        <v>71.849999999999994</v>
      </c>
      <c r="O4219">
        <v>40</v>
      </c>
      <c r="P4219">
        <v>479</v>
      </c>
      <c r="Q4219">
        <v>447.15</v>
      </c>
      <c r="R4219" t="s">
        <v>30</v>
      </c>
      <c r="S4219" t="s">
        <v>31</v>
      </c>
      <c r="T4219" t="s">
        <v>32</v>
      </c>
      <c r="U4219">
        <v>21</v>
      </c>
      <c r="V4219">
        <v>4.3</v>
      </c>
      <c r="W4219">
        <f>Table2[[#This Row],[Quantity]]*Table2[[#This Row],[Item_Price]]</f>
        <v>479</v>
      </c>
    </row>
    <row r="4220" spans="1:23" x14ac:dyDescent="0.25">
      <c r="A4220" t="s">
        <v>4324</v>
      </c>
      <c r="B4220" s="1">
        <v>45966</v>
      </c>
      <c r="C4220" t="s">
        <v>4265</v>
      </c>
      <c r="D4220">
        <v>11</v>
      </c>
      <c r="E4220">
        <v>5</v>
      </c>
      <c r="F4220" t="s">
        <v>24</v>
      </c>
      <c r="G4220" t="s">
        <v>115</v>
      </c>
      <c r="H4220" t="s">
        <v>77</v>
      </c>
      <c r="I4220" t="s">
        <v>103</v>
      </c>
      <c r="J4220" t="s">
        <v>28</v>
      </c>
      <c r="K4220" t="s">
        <v>38</v>
      </c>
      <c r="L4220">
        <v>2</v>
      </c>
      <c r="M4220">
        <v>647</v>
      </c>
      <c r="N4220">
        <v>97.05</v>
      </c>
      <c r="O4220">
        <v>20</v>
      </c>
      <c r="P4220">
        <v>1294</v>
      </c>
      <c r="Q4220">
        <v>1216.95</v>
      </c>
      <c r="R4220" t="s">
        <v>112</v>
      </c>
      <c r="S4220" t="s">
        <v>31</v>
      </c>
      <c r="T4220" t="s">
        <v>40</v>
      </c>
      <c r="U4220">
        <v>58</v>
      </c>
      <c r="V4220">
        <v>3.3</v>
      </c>
      <c r="W4220">
        <f>Table2[[#This Row],[Quantity]]*Table2[[#This Row],[Item_Price]]</f>
        <v>1294</v>
      </c>
    </row>
    <row r="4221" spans="1:23" x14ac:dyDescent="0.25">
      <c r="A4221" t="s">
        <v>4325</v>
      </c>
      <c r="B4221" s="1">
        <v>45966</v>
      </c>
      <c r="C4221" t="s">
        <v>4265</v>
      </c>
      <c r="D4221">
        <v>11</v>
      </c>
      <c r="E4221">
        <v>5</v>
      </c>
      <c r="F4221" t="s">
        <v>24</v>
      </c>
      <c r="G4221" t="s">
        <v>80</v>
      </c>
      <c r="H4221" t="s">
        <v>60</v>
      </c>
      <c r="I4221" t="s">
        <v>57</v>
      </c>
      <c r="J4221" t="s">
        <v>50</v>
      </c>
      <c r="K4221" t="s">
        <v>29</v>
      </c>
      <c r="L4221">
        <v>2</v>
      </c>
      <c r="M4221">
        <v>365</v>
      </c>
      <c r="N4221">
        <v>54.75</v>
      </c>
      <c r="O4221">
        <v>60</v>
      </c>
      <c r="P4221">
        <v>730</v>
      </c>
      <c r="Q4221">
        <v>735.25</v>
      </c>
      <c r="R4221" t="s">
        <v>39</v>
      </c>
      <c r="S4221" t="s">
        <v>31</v>
      </c>
      <c r="T4221" t="s">
        <v>40</v>
      </c>
      <c r="U4221">
        <v>31</v>
      </c>
      <c r="V4221">
        <v>4.2</v>
      </c>
      <c r="W4221">
        <f>Table2[[#This Row],[Quantity]]*Table2[[#This Row],[Item_Price]]</f>
        <v>730</v>
      </c>
    </row>
    <row r="4222" spans="1:23" x14ac:dyDescent="0.25">
      <c r="A4222" t="s">
        <v>4326</v>
      </c>
      <c r="B4222" s="1">
        <v>45967</v>
      </c>
      <c r="C4222" t="s">
        <v>4265</v>
      </c>
      <c r="D4222">
        <v>11</v>
      </c>
      <c r="E4222">
        <v>6</v>
      </c>
      <c r="F4222" t="s">
        <v>88</v>
      </c>
      <c r="G4222" t="s">
        <v>34</v>
      </c>
      <c r="H4222" t="s">
        <v>65</v>
      </c>
      <c r="I4222" t="s">
        <v>61</v>
      </c>
      <c r="J4222" t="s">
        <v>50</v>
      </c>
      <c r="K4222" t="s">
        <v>45</v>
      </c>
      <c r="L4222">
        <v>3</v>
      </c>
      <c r="M4222">
        <v>867</v>
      </c>
      <c r="N4222">
        <v>86.7</v>
      </c>
      <c r="O4222">
        <v>50</v>
      </c>
      <c r="P4222">
        <v>2601</v>
      </c>
      <c r="Q4222">
        <v>2564.3000000000002</v>
      </c>
      <c r="R4222" t="s">
        <v>112</v>
      </c>
      <c r="S4222" t="s">
        <v>31</v>
      </c>
      <c r="T4222" t="s">
        <v>32</v>
      </c>
      <c r="U4222">
        <v>36</v>
      </c>
      <c r="V4222">
        <v>4.4000000000000004</v>
      </c>
      <c r="W4222">
        <f>Table2[[#This Row],[Quantity]]*Table2[[#This Row],[Item_Price]]</f>
        <v>2601</v>
      </c>
    </row>
    <row r="4223" spans="1:23" x14ac:dyDescent="0.25">
      <c r="A4223" t="s">
        <v>4327</v>
      </c>
      <c r="B4223" s="1">
        <v>45967</v>
      </c>
      <c r="C4223" t="s">
        <v>4265</v>
      </c>
      <c r="D4223">
        <v>11</v>
      </c>
      <c r="E4223">
        <v>6</v>
      </c>
      <c r="F4223" t="s">
        <v>88</v>
      </c>
      <c r="G4223" t="s">
        <v>55</v>
      </c>
      <c r="H4223" t="s">
        <v>60</v>
      </c>
      <c r="I4223" t="s">
        <v>97</v>
      </c>
      <c r="J4223" t="s">
        <v>66</v>
      </c>
      <c r="K4223" t="s">
        <v>38</v>
      </c>
      <c r="L4223">
        <v>1</v>
      </c>
      <c r="M4223">
        <v>534</v>
      </c>
      <c r="N4223">
        <v>0</v>
      </c>
      <c r="O4223">
        <v>60</v>
      </c>
      <c r="P4223">
        <v>534</v>
      </c>
      <c r="Q4223">
        <v>594</v>
      </c>
      <c r="R4223" t="s">
        <v>39</v>
      </c>
      <c r="S4223" t="s">
        <v>31</v>
      </c>
      <c r="T4223" t="s">
        <v>40</v>
      </c>
      <c r="U4223">
        <v>19</v>
      </c>
      <c r="V4223">
        <v>2.4</v>
      </c>
      <c r="W4223">
        <f>Table2[[#This Row],[Quantity]]*Table2[[#This Row],[Item_Price]]</f>
        <v>534</v>
      </c>
    </row>
    <row r="4224" spans="1:23" x14ac:dyDescent="0.25">
      <c r="A4224" t="s">
        <v>4328</v>
      </c>
      <c r="B4224" s="1">
        <v>45967</v>
      </c>
      <c r="C4224" t="s">
        <v>4265</v>
      </c>
      <c r="D4224">
        <v>11</v>
      </c>
      <c r="E4224">
        <v>6</v>
      </c>
      <c r="F4224" t="s">
        <v>88</v>
      </c>
      <c r="G4224" t="s">
        <v>64</v>
      </c>
      <c r="H4224" t="s">
        <v>60</v>
      </c>
      <c r="I4224" t="s">
        <v>43</v>
      </c>
      <c r="J4224" t="s">
        <v>94</v>
      </c>
      <c r="K4224" t="s">
        <v>38</v>
      </c>
      <c r="L4224">
        <v>2</v>
      </c>
      <c r="M4224">
        <v>360</v>
      </c>
      <c r="N4224">
        <v>18</v>
      </c>
      <c r="O4224">
        <v>50</v>
      </c>
      <c r="P4224">
        <v>720</v>
      </c>
      <c r="Q4224">
        <v>752</v>
      </c>
      <c r="R4224" t="s">
        <v>39</v>
      </c>
      <c r="S4224" t="s">
        <v>91</v>
      </c>
      <c r="T4224" t="s">
        <v>40</v>
      </c>
      <c r="U4224">
        <v>26</v>
      </c>
      <c r="W4224">
        <f>Table2[[#This Row],[Quantity]]*Table2[[#This Row],[Item_Price]]</f>
        <v>720</v>
      </c>
    </row>
    <row r="4225" spans="1:23" x14ac:dyDescent="0.25">
      <c r="A4225" t="s">
        <v>4329</v>
      </c>
      <c r="B4225" s="1">
        <v>45967</v>
      </c>
      <c r="C4225" t="s">
        <v>4265</v>
      </c>
      <c r="D4225">
        <v>11</v>
      </c>
      <c r="E4225">
        <v>6</v>
      </c>
      <c r="F4225" t="s">
        <v>88</v>
      </c>
      <c r="G4225" t="s">
        <v>90</v>
      </c>
      <c r="H4225" t="s">
        <v>26</v>
      </c>
      <c r="I4225" t="s">
        <v>49</v>
      </c>
      <c r="J4225" t="s">
        <v>119</v>
      </c>
      <c r="K4225" t="s">
        <v>38</v>
      </c>
      <c r="L4225">
        <v>3</v>
      </c>
      <c r="M4225">
        <v>481</v>
      </c>
      <c r="N4225">
        <v>48.1</v>
      </c>
      <c r="O4225">
        <v>60</v>
      </c>
      <c r="P4225">
        <v>1443</v>
      </c>
      <c r="Q4225">
        <v>1454.9</v>
      </c>
      <c r="R4225" t="s">
        <v>75</v>
      </c>
      <c r="S4225" t="s">
        <v>31</v>
      </c>
      <c r="T4225" t="s">
        <v>40</v>
      </c>
      <c r="U4225">
        <v>24</v>
      </c>
      <c r="V4225">
        <v>4.3</v>
      </c>
      <c r="W4225">
        <f>Table2[[#This Row],[Quantity]]*Table2[[#This Row],[Item_Price]]</f>
        <v>1443</v>
      </c>
    </row>
    <row r="4226" spans="1:23" x14ac:dyDescent="0.25">
      <c r="A4226" t="s">
        <v>4330</v>
      </c>
      <c r="B4226" s="1">
        <v>45967</v>
      </c>
      <c r="C4226" t="s">
        <v>4265</v>
      </c>
      <c r="D4226">
        <v>11</v>
      </c>
      <c r="E4226">
        <v>6</v>
      </c>
      <c r="F4226" t="s">
        <v>88</v>
      </c>
      <c r="G4226" t="s">
        <v>84</v>
      </c>
      <c r="H4226" t="s">
        <v>56</v>
      </c>
      <c r="I4226" t="s">
        <v>36</v>
      </c>
      <c r="J4226" t="s">
        <v>94</v>
      </c>
      <c r="K4226" t="s">
        <v>45</v>
      </c>
      <c r="L4226">
        <v>2</v>
      </c>
      <c r="M4226">
        <v>514</v>
      </c>
      <c r="N4226">
        <v>77.099999999999994</v>
      </c>
      <c r="O4226">
        <v>0</v>
      </c>
      <c r="P4226">
        <v>1028</v>
      </c>
      <c r="Q4226">
        <v>950.9</v>
      </c>
      <c r="R4226" t="s">
        <v>98</v>
      </c>
      <c r="S4226" t="s">
        <v>31</v>
      </c>
      <c r="T4226" t="s">
        <v>32</v>
      </c>
      <c r="U4226">
        <v>46</v>
      </c>
      <c r="V4226">
        <v>3.7</v>
      </c>
      <c r="W4226">
        <f>Table2[[#This Row],[Quantity]]*Table2[[#This Row],[Item_Price]]</f>
        <v>1028</v>
      </c>
    </row>
    <row r="4227" spans="1:23" x14ac:dyDescent="0.25">
      <c r="A4227" t="s">
        <v>4331</v>
      </c>
      <c r="B4227" s="1">
        <v>45967</v>
      </c>
      <c r="C4227" t="s">
        <v>4265</v>
      </c>
      <c r="D4227">
        <v>11</v>
      </c>
      <c r="E4227">
        <v>6</v>
      </c>
      <c r="F4227" t="s">
        <v>88</v>
      </c>
      <c r="G4227" t="s">
        <v>34</v>
      </c>
      <c r="H4227" t="s">
        <v>42</v>
      </c>
      <c r="I4227" t="s">
        <v>27</v>
      </c>
      <c r="J4227" t="s">
        <v>119</v>
      </c>
      <c r="K4227" t="s">
        <v>38</v>
      </c>
      <c r="L4227">
        <v>2</v>
      </c>
      <c r="M4227">
        <v>347</v>
      </c>
      <c r="N4227">
        <v>86.75</v>
      </c>
      <c r="O4227">
        <v>50</v>
      </c>
      <c r="P4227">
        <v>694</v>
      </c>
      <c r="Q4227">
        <v>657.25</v>
      </c>
      <c r="R4227" t="s">
        <v>39</v>
      </c>
      <c r="S4227" t="s">
        <v>31</v>
      </c>
      <c r="T4227" t="s">
        <v>40</v>
      </c>
      <c r="U4227">
        <v>28</v>
      </c>
      <c r="V4227">
        <v>3.2</v>
      </c>
      <c r="W4227">
        <f>Table2[[#This Row],[Quantity]]*Table2[[#This Row],[Item_Price]]</f>
        <v>694</v>
      </c>
    </row>
    <row r="4228" spans="1:23" x14ac:dyDescent="0.25">
      <c r="A4228" t="s">
        <v>4332</v>
      </c>
      <c r="B4228" s="1">
        <v>45967</v>
      </c>
      <c r="C4228" t="s">
        <v>4265</v>
      </c>
      <c r="D4228">
        <v>11</v>
      </c>
      <c r="E4228">
        <v>6</v>
      </c>
      <c r="F4228" t="s">
        <v>88</v>
      </c>
      <c r="G4228" t="s">
        <v>73</v>
      </c>
      <c r="H4228" t="s">
        <v>26</v>
      </c>
      <c r="I4228" t="s">
        <v>57</v>
      </c>
      <c r="J4228" t="s">
        <v>78</v>
      </c>
      <c r="K4228" t="s">
        <v>38</v>
      </c>
      <c r="L4228">
        <v>1</v>
      </c>
      <c r="M4228">
        <v>813</v>
      </c>
      <c r="N4228">
        <v>121.95</v>
      </c>
      <c r="O4228">
        <v>0</v>
      </c>
      <c r="P4228">
        <v>813</v>
      </c>
      <c r="Q4228">
        <v>691.05</v>
      </c>
      <c r="R4228" t="s">
        <v>39</v>
      </c>
      <c r="S4228" t="s">
        <v>91</v>
      </c>
      <c r="T4228" t="s">
        <v>40</v>
      </c>
      <c r="U4228">
        <v>58</v>
      </c>
      <c r="W4228">
        <f>Table2[[#This Row],[Quantity]]*Table2[[#This Row],[Item_Price]]</f>
        <v>813</v>
      </c>
    </row>
    <row r="4229" spans="1:23" x14ac:dyDescent="0.25">
      <c r="A4229" t="s">
        <v>4333</v>
      </c>
      <c r="B4229" s="1">
        <v>45967</v>
      </c>
      <c r="C4229" t="s">
        <v>4265</v>
      </c>
      <c r="D4229">
        <v>11</v>
      </c>
      <c r="E4229">
        <v>6</v>
      </c>
      <c r="F4229" t="s">
        <v>88</v>
      </c>
      <c r="G4229" t="s">
        <v>64</v>
      </c>
      <c r="H4229" t="s">
        <v>105</v>
      </c>
      <c r="I4229" t="s">
        <v>103</v>
      </c>
      <c r="J4229" t="s">
        <v>82</v>
      </c>
      <c r="K4229" t="s">
        <v>38</v>
      </c>
      <c r="L4229">
        <v>1</v>
      </c>
      <c r="M4229">
        <v>642</v>
      </c>
      <c r="N4229">
        <v>96.3</v>
      </c>
      <c r="O4229">
        <v>20</v>
      </c>
      <c r="P4229">
        <v>642</v>
      </c>
      <c r="Q4229">
        <v>565.70000000000005</v>
      </c>
      <c r="R4229" t="s">
        <v>39</v>
      </c>
      <c r="S4229" t="s">
        <v>31</v>
      </c>
      <c r="T4229" t="s">
        <v>40</v>
      </c>
      <c r="U4229">
        <v>51</v>
      </c>
      <c r="V4229">
        <v>5</v>
      </c>
      <c r="W4229">
        <f>Table2[[#This Row],[Quantity]]*Table2[[#This Row],[Item_Price]]</f>
        <v>642</v>
      </c>
    </row>
    <row r="4230" spans="1:23" x14ac:dyDescent="0.25">
      <c r="A4230" t="s">
        <v>4334</v>
      </c>
      <c r="B4230" s="1">
        <v>45967</v>
      </c>
      <c r="C4230" t="s">
        <v>4265</v>
      </c>
      <c r="D4230">
        <v>11</v>
      </c>
      <c r="E4230">
        <v>6</v>
      </c>
      <c r="F4230" t="s">
        <v>88</v>
      </c>
      <c r="G4230" t="s">
        <v>25</v>
      </c>
      <c r="H4230" t="s">
        <v>108</v>
      </c>
      <c r="I4230" t="s">
        <v>69</v>
      </c>
      <c r="J4230" t="s">
        <v>119</v>
      </c>
      <c r="K4230" t="s">
        <v>38</v>
      </c>
      <c r="L4230">
        <v>3</v>
      </c>
      <c r="M4230">
        <v>460</v>
      </c>
      <c r="N4230">
        <v>115</v>
      </c>
      <c r="O4230">
        <v>30</v>
      </c>
      <c r="P4230">
        <v>1380</v>
      </c>
      <c r="Q4230">
        <v>1295</v>
      </c>
      <c r="R4230" t="s">
        <v>75</v>
      </c>
      <c r="S4230" t="s">
        <v>110</v>
      </c>
      <c r="T4230" t="s">
        <v>40</v>
      </c>
      <c r="U4230">
        <v>26</v>
      </c>
      <c r="W4230">
        <f>Table2[[#This Row],[Quantity]]*Table2[[#This Row],[Item_Price]]</f>
        <v>1380</v>
      </c>
    </row>
    <row r="4231" spans="1:23" x14ac:dyDescent="0.25">
      <c r="A4231" t="s">
        <v>4335</v>
      </c>
      <c r="B4231" s="1">
        <v>45967</v>
      </c>
      <c r="C4231" t="s">
        <v>4265</v>
      </c>
      <c r="D4231">
        <v>11</v>
      </c>
      <c r="E4231">
        <v>6</v>
      </c>
      <c r="F4231" t="s">
        <v>88</v>
      </c>
      <c r="G4231" t="s">
        <v>64</v>
      </c>
      <c r="H4231" t="s">
        <v>35</v>
      </c>
      <c r="I4231" t="s">
        <v>49</v>
      </c>
      <c r="J4231" t="s">
        <v>101</v>
      </c>
      <c r="K4231" t="s">
        <v>38</v>
      </c>
      <c r="L4231">
        <v>1</v>
      </c>
      <c r="M4231">
        <v>588</v>
      </c>
      <c r="N4231">
        <v>147</v>
      </c>
      <c r="O4231">
        <v>60</v>
      </c>
      <c r="P4231">
        <v>588</v>
      </c>
      <c r="Q4231">
        <v>501</v>
      </c>
      <c r="R4231" t="s">
        <v>39</v>
      </c>
      <c r="S4231" t="s">
        <v>31</v>
      </c>
      <c r="T4231" t="s">
        <v>32</v>
      </c>
      <c r="U4231">
        <v>60</v>
      </c>
      <c r="V4231">
        <v>3.9</v>
      </c>
      <c r="W4231">
        <f>Table2[[#This Row],[Quantity]]*Table2[[#This Row],[Item_Price]]</f>
        <v>588</v>
      </c>
    </row>
    <row r="4232" spans="1:23" x14ac:dyDescent="0.25">
      <c r="A4232" t="s">
        <v>4336</v>
      </c>
      <c r="B4232" s="1">
        <v>45967</v>
      </c>
      <c r="C4232" t="s">
        <v>4265</v>
      </c>
      <c r="D4232">
        <v>11</v>
      </c>
      <c r="E4232">
        <v>6</v>
      </c>
      <c r="F4232" t="s">
        <v>88</v>
      </c>
      <c r="G4232" t="s">
        <v>64</v>
      </c>
      <c r="H4232" t="s">
        <v>26</v>
      </c>
      <c r="I4232" t="s">
        <v>57</v>
      </c>
      <c r="J4232" t="s">
        <v>101</v>
      </c>
      <c r="K4232" t="s">
        <v>38</v>
      </c>
      <c r="L4232">
        <v>1</v>
      </c>
      <c r="M4232">
        <v>809</v>
      </c>
      <c r="N4232">
        <v>40.450000000000003</v>
      </c>
      <c r="O4232">
        <v>70</v>
      </c>
      <c r="P4232">
        <v>809</v>
      </c>
      <c r="Q4232">
        <v>838.55</v>
      </c>
      <c r="R4232" t="s">
        <v>75</v>
      </c>
      <c r="S4232" t="s">
        <v>31</v>
      </c>
      <c r="T4232" t="s">
        <v>32</v>
      </c>
      <c r="U4232">
        <v>68</v>
      </c>
      <c r="V4232">
        <v>3.8</v>
      </c>
      <c r="W4232">
        <f>Table2[[#This Row],[Quantity]]*Table2[[#This Row],[Item_Price]]</f>
        <v>809</v>
      </c>
    </row>
    <row r="4233" spans="1:23" x14ac:dyDescent="0.25">
      <c r="A4233" t="s">
        <v>4337</v>
      </c>
      <c r="B4233" s="1">
        <v>45967</v>
      </c>
      <c r="C4233" t="s">
        <v>4265</v>
      </c>
      <c r="D4233">
        <v>11</v>
      </c>
      <c r="E4233">
        <v>6</v>
      </c>
      <c r="F4233" t="s">
        <v>88</v>
      </c>
      <c r="G4233" t="s">
        <v>25</v>
      </c>
      <c r="H4233" t="s">
        <v>108</v>
      </c>
      <c r="I4233" t="s">
        <v>69</v>
      </c>
      <c r="J4233" t="s">
        <v>123</v>
      </c>
      <c r="K4233" t="s">
        <v>38</v>
      </c>
      <c r="L4233">
        <v>1</v>
      </c>
      <c r="M4233">
        <v>865</v>
      </c>
      <c r="N4233">
        <v>129.75</v>
      </c>
      <c r="O4233">
        <v>40</v>
      </c>
      <c r="P4233">
        <v>865</v>
      </c>
      <c r="Q4233">
        <v>775.25</v>
      </c>
      <c r="R4233" t="s">
        <v>39</v>
      </c>
      <c r="S4233" t="s">
        <v>31</v>
      </c>
      <c r="T4233" t="s">
        <v>40</v>
      </c>
      <c r="U4233">
        <v>49</v>
      </c>
      <c r="V4233">
        <v>4.0999999999999996</v>
      </c>
      <c r="W4233">
        <f>Table2[[#This Row],[Quantity]]*Table2[[#This Row],[Item_Price]]</f>
        <v>865</v>
      </c>
    </row>
    <row r="4234" spans="1:23" x14ac:dyDescent="0.25">
      <c r="A4234" t="s">
        <v>4338</v>
      </c>
      <c r="B4234" s="1">
        <v>45967</v>
      </c>
      <c r="C4234" t="s">
        <v>4265</v>
      </c>
      <c r="D4234">
        <v>11</v>
      </c>
      <c r="E4234">
        <v>6</v>
      </c>
      <c r="F4234" t="s">
        <v>88</v>
      </c>
      <c r="G4234" t="s">
        <v>25</v>
      </c>
      <c r="H4234" t="s">
        <v>26</v>
      </c>
      <c r="I4234" t="s">
        <v>43</v>
      </c>
      <c r="J4234" t="s">
        <v>37</v>
      </c>
      <c r="K4234" t="s">
        <v>45</v>
      </c>
      <c r="L4234">
        <v>2</v>
      </c>
      <c r="M4234">
        <v>285</v>
      </c>
      <c r="N4234">
        <v>0</v>
      </c>
      <c r="O4234">
        <v>50</v>
      </c>
      <c r="P4234">
        <v>570</v>
      </c>
      <c r="Q4234">
        <v>620</v>
      </c>
      <c r="R4234" t="s">
        <v>75</v>
      </c>
      <c r="S4234" t="s">
        <v>31</v>
      </c>
      <c r="T4234" t="s">
        <v>32</v>
      </c>
      <c r="U4234">
        <v>20</v>
      </c>
      <c r="V4234">
        <v>3.6</v>
      </c>
      <c r="W4234">
        <f>Table2[[#This Row],[Quantity]]*Table2[[#This Row],[Item_Price]]</f>
        <v>570</v>
      </c>
    </row>
    <row r="4235" spans="1:23" x14ac:dyDescent="0.25">
      <c r="A4235" t="s">
        <v>4339</v>
      </c>
      <c r="B4235" s="1">
        <v>45967</v>
      </c>
      <c r="C4235" t="s">
        <v>4265</v>
      </c>
      <c r="D4235">
        <v>11</v>
      </c>
      <c r="E4235">
        <v>6</v>
      </c>
      <c r="F4235" t="s">
        <v>88</v>
      </c>
      <c r="G4235" t="s">
        <v>73</v>
      </c>
      <c r="H4235" t="s">
        <v>26</v>
      </c>
      <c r="I4235" t="s">
        <v>49</v>
      </c>
      <c r="J4235" t="s">
        <v>78</v>
      </c>
      <c r="K4235" t="s">
        <v>38</v>
      </c>
      <c r="L4235">
        <v>1</v>
      </c>
      <c r="M4235">
        <v>818</v>
      </c>
      <c r="N4235">
        <v>40.9</v>
      </c>
      <c r="O4235">
        <v>40</v>
      </c>
      <c r="P4235">
        <v>818</v>
      </c>
      <c r="Q4235">
        <v>817.1</v>
      </c>
      <c r="R4235" t="s">
        <v>30</v>
      </c>
      <c r="S4235" t="s">
        <v>31</v>
      </c>
      <c r="T4235" t="s">
        <v>40</v>
      </c>
      <c r="U4235">
        <v>45</v>
      </c>
      <c r="V4235">
        <v>4.2</v>
      </c>
      <c r="W4235">
        <f>Table2[[#This Row],[Quantity]]*Table2[[#This Row],[Item_Price]]</f>
        <v>818</v>
      </c>
    </row>
    <row r="4236" spans="1:23" x14ac:dyDescent="0.25">
      <c r="A4236" t="s">
        <v>4340</v>
      </c>
      <c r="B4236" s="1">
        <v>45967</v>
      </c>
      <c r="C4236" t="s">
        <v>4265</v>
      </c>
      <c r="D4236">
        <v>11</v>
      </c>
      <c r="E4236">
        <v>6</v>
      </c>
      <c r="F4236" t="s">
        <v>88</v>
      </c>
      <c r="G4236" t="s">
        <v>115</v>
      </c>
      <c r="H4236" t="s">
        <v>56</v>
      </c>
      <c r="I4236" t="s">
        <v>27</v>
      </c>
      <c r="J4236" t="s">
        <v>28</v>
      </c>
      <c r="K4236" t="s">
        <v>38</v>
      </c>
      <c r="L4236">
        <v>3</v>
      </c>
      <c r="M4236">
        <v>318</v>
      </c>
      <c r="N4236">
        <v>47.7</v>
      </c>
      <c r="O4236">
        <v>20</v>
      </c>
      <c r="P4236">
        <v>954</v>
      </c>
      <c r="Q4236">
        <v>926.3</v>
      </c>
      <c r="R4236" t="s">
        <v>30</v>
      </c>
      <c r="S4236" t="s">
        <v>31</v>
      </c>
      <c r="T4236" t="s">
        <v>40</v>
      </c>
      <c r="U4236">
        <v>47</v>
      </c>
      <c r="V4236">
        <v>4.5999999999999996</v>
      </c>
      <c r="W4236">
        <f>Table2[[#This Row],[Quantity]]*Table2[[#This Row],[Item_Price]]</f>
        <v>954</v>
      </c>
    </row>
    <row r="4237" spans="1:23" x14ac:dyDescent="0.25">
      <c r="A4237" t="s">
        <v>4341</v>
      </c>
      <c r="B4237" s="1">
        <v>45967</v>
      </c>
      <c r="C4237" t="s">
        <v>4265</v>
      </c>
      <c r="D4237">
        <v>11</v>
      </c>
      <c r="E4237">
        <v>6</v>
      </c>
      <c r="F4237" t="s">
        <v>88</v>
      </c>
      <c r="G4237" t="s">
        <v>25</v>
      </c>
      <c r="H4237" t="s">
        <v>26</v>
      </c>
      <c r="I4237" t="s">
        <v>61</v>
      </c>
      <c r="J4237" t="s">
        <v>28</v>
      </c>
      <c r="K4237" t="s">
        <v>45</v>
      </c>
      <c r="L4237">
        <v>3</v>
      </c>
      <c r="M4237">
        <v>509</v>
      </c>
      <c r="N4237">
        <v>50.9</v>
      </c>
      <c r="O4237">
        <v>30</v>
      </c>
      <c r="P4237">
        <v>1527</v>
      </c>
      <c r="Q4237">
        <v>1506.1</v>
      </c>
      <c r="R4237" t="s">
        <v>39</v>
      </c>
      <c r="S4237" t="s">
        <v>31</v>
      </c>
      <c r="T4237" t="s">
        <v>32</v>
      </c>
      <c r="U4237">
        <v>63</v>
      </c>
      <c r="V4237">
        <v>4</v>
      </c>
      <c r="W4237">
        <f>Table2[[#This Row],[Quantity]]*Table2[[#This Row],[Item_Price]]</f>
        <v>1527</v>
      </c>
    </row>
    <row r="4238" spans="1:23" x14ac:dyDescent="0.25">
      <c r="A4238" t="s">
        <v>4342</v>
      </c>
      <c r="B4238" s="1">
        <v>45967</v>
      </c>
      <c r="C4238" t="s">
        <v>4265</v>
      </c>
      <c r="D4238">
        <v>11</v>
      </c>
      <c r="E4238">
        <v>6</v>
      </c>
      <c r="F4238" t="s">
        <v>88</v>
      </c>
      <c r="G4238" t="s">
        <v>80</v>
      </c>
      <c r="H4238" t="s">
        <v>35</v>
      </c>
      <c r="I4238" t="s">
        <v>103</v>
      </c>
      <c r="J4238" t="s">
        <v>101</v>
      </c>
      <c r="K4238" t="s">
        <v>38</v>
      </c>
      <c r="L4238">
        <v>2</v>
      </c>
      <c r="M4238">
        <v>721</v>
      </c>
      <c r="N4238">
        <v>144.19999999999999</v>
      </c>
      <c r="O4238">
        <v>20</v>
      </c>
      <c r="P4238">
        <v>1442</v>
      </c>
      <c r="Q4238">
        <v>1317.8</v>
      </c>
      <c r="R4238" t="s">
        <v>75</v>
      </c>
      <c r="S4238" t="s">
        <v>31</v>
      </c>
      <c r="T4238" t="s">
        <v>40</v>
      </c>
      <c r="U4238">
        <v>47</v>
      </c>
      <c r="V4238">
        <v>4</v>
      </c>
      <c r="W4238">
        <f>Table2[[#This Row],[Quantity]]*Table2[[#This Row],[Item_Price]]</f>
        <v>1442</v>
      </c>
    </row>
    <row r="4239" spans="1:23" x14ac:dyDescent="0.25">
      <c r="A4239" t="s">
        <v>4343</v>
      </c>
      <c r="B4239" s="1">
        <v>45967</v>
      </c>
      <c r="C4239" t="s">
        <v>4265</v>
      </c>
      <c r="D4239">
        <v>11</v>
      </c>
      <c r="E4239">
        <v>6</v>
      </c>
      <c r="F4239" t="s">
        <v>88</v>
      </c>
      <c r="G4239" t="s">
        <v>34</v>
      </c>
      <c r="H4239" t="s">
        <v>108</v>
      </c>
      <c r="I4239" t="s">
        <v>57</v>
      </c>
      <c r="J4239" t="s">
        <v>50</v>
      </c>
      <c r="K4239" t="s">
        <v>38</v>
      </c>
      <c r="L4239">
        <v>1</v>
      </c>
      <c r="M4239">
        <v>330</v>
      </c>
      <c r="N4239">
        <v>49.5</v>
      </c>
      <c r="O4239">
        <v>40</v>
      </c>
      <c r="P4239">
        <v>330</v>
      </c>
      <c r="Q4239">
        <v>320.5</v>
      </c>
      <c r="R4239" t="s">
        <v>112</v>
      </c>
      <c r="S4239" t="s">
        <v>31</v>
      </c>
      <c r="T4239" t="s">
        <v>32</v>
      </c>
      <c r="U4239">
        <v>18</v>
      </c>
      <c r="V4239">
        <v>3.1</v>
      </c>
      <c r="W4239">
        <f>Table2[[#This Row],[Quantity]]*Table2[[#This Row],[Item_Price]]</f>
        <v>330</v>
      </c>
    </row>
    <row r="4240" spans="1:23" x14ac:dyDescent="0.25">
      <c r="A4240" t="s">
        <v>4344</v>
      </c>
      <c r="B4240" s="1">
        <v>45967</v>
      </c>
      <c r="C4240" t="s">
        <v>4265</v>
      </c>
      <c r="D4240">
        <v>11</v>
      </c>
      <c r="E4240">
        <v>6</v>
      </c>
      <c r="F4240" t="s">
        <v>88</v>
      </c>
      <c r="G4240" t="s">
        <v>64</v>
      </c>
      <c r="H4240" t="s">
        <v>105</v>
      </c>
      <c r="I4240" t="s">
        <v>69</v>
      </c>
      <c r="J4240" t="s">
        <v>101</v>
      </c>
      <c r="K4240" t="s">
        <v>38</v>
      </c>
      <c r="L4240">
        <v>1</v>
      </c>
      <c r="M4240">
        <v>689</v>
      </c>
      <c r="N4240">
        <v>172.25</v>
      </c>
      <c r="O4240">
        <v>60</v>
      </c>
      <c r="P4240">
        <v>689</v>
      </c>
      <c r="Q4240">
        <v>576.75</v>
      </c>
      <c r="R4240" t="s">
        <v>39</v>
      </c>
      <c r="S4240" t="s">
        <v>46</v>
      </c>
      <c r="T4240" t="s">
        <v>32</v>
      </c>
      <c r="U4240">
        <v>69</v>
      </c>
      <c r="W4240">
        <f>Table2[[#This Row],[Quantity]]*Table2[[#This Row],[Item_Price]]</f>
        <v>689</v>
      </c>
    </row>
    <row r="4241" spans="1:23" x14ac:dyDescent="0.25">
      <c r="A4241" t="s">
        <v>4345</v>
      </c>
      <c r="B4241" s="1">
        <v>45968</v>
      </c>
      <c r="C4241" t="s">
        <v>4265</v>
      </c>
      <c r="D4241">
        <v>11</v>
      </c>
      <c r="E4241">
        <v>7</v>
      </c>
      <c r="F4241" t="s">
        <v>114</v>
      </c>
      <c r="G4241" t="s">
        <v>80</v>
      </c>
      <c r="H4241" t="s">
        <v>48</v>
      </c>
      <c r="I4241" t="s">
        <v>69</v>
      </c>
      <c r="J4241" t="s">
        <v>28</v>
      </c>
      <c r="K4241" t="s">
        <v>38</v>
      </c>
      <c r="L4241">
        <v>2</v>
      </c>
      <c r="M4241">
        <v>594</v>
      </c>
      <c r="N4241">
        <v>89.1</v>
      </c>
      <c r="O4241">
        <v>40</v>
      </c>
      <c r="P4241">
        <v>1188</v>
      </c>
      <c r="Q4241">
        <v>1138.9000000000001</v>
      </c>
      <c r="R4241" t="s">
        <v>75</v>
      </c>
      <c r="S4241" t="s">
        <v>31</v>
      </c>
      <c r="T4241" t="s">
        <v>40</v>
      </c>
      <c r="U4241">
        <v>49</v>
      </c>
      <c r="V4241">
        <v>4.2</v>
      </c>
      <c r="W4241">
        <f>Table2[[#This Row],[Quantity]]*Table2[[#This Row],[Item_Price]]</f>
        <v>1188</v>
      </c>
    </row>
    <row r="4242" spans="1:23" x14ac:dyDescent="0.25">
      <c r="A4242" t="s">
        <v>4346</v>
      </c>
      <c r="B4242" s="1">
        <v>45968</v>
      </c>
      <c r="C4242" t="s">
        <v>4265</v>
      </c>
      <c r="D4242">
        <v>11</v>
      </c>
      <c r="E4242">
        <v>7</v>
      </c>
      <c r="F4242" t="s">
        <v>114</v>
      </c>
      <c r="G4242" t="s">
        <v>34</v>
      </c>
      <c r="H4242" t="s">
        <v>139</v>
      </c>
      <c r="I4242" t="s">
        <v>49</v>
      </c>
      <c r="J4242" t="s">
        <v>28</v>
      </c>
      <c r="K4242" t="s">
        <v>29</v>
      </c>
      <c r="L4242">
        <v>1</v>
      </c>
      <c r="M4242">
        <v>716</v>
      </c>
      <c r="N4242">
        <v>71.599999999999994</v>
      </c>
      <c r="O4242">
        <v>0</v>
      </c>
      <c r="P4242">
        <v>716</v>
      </c>
      <c r="Q4242">
        <v>644.4</v>
      </c>
      <c r="R4242" t="s">
        <v>39</v>
      </c>
      <c r="S4242" t="s">
        <v>31</v>
      </c>
      <c r="T4242" t="s">
        <v>40</v>
      </c>
      <c r="U4242">
        <v>19</v>
      </c>
      <c r="V4242">
        <v>4.9000000000000004</v>
      </c>
      <c r="W4242">
        <f>Table2[[#This Row],[Quantity]]*Table2[[#This Row],[Item_Price]]</f>
        <v>716</v>
      </c>
    </row>
    <row r="4243" spans="1:23" x14ac:dyDescent="0.25">
      <c r="A4243" t="s">
        <v>4347</v>
      </c>
      <c r="B4243" s="1">
        <v>45968</v>
      </c>
      <c r="C4243" t="s">
        <v>4265</v>
      </c>
      <c r="D4243">
        <v>11</v>
      </c>
      <c r="E4243">
        <v>7</v>
      </c>
      <c r="F4243" t="s">
        <v>114</v>
      </c>
      <c r="G4243" t="s">
        <v>34</v>
      </c>
      <c r="H4243" t="s">
        <v>65</v>
      </c>
      <c r="I4243" t="s">
        <v>36</v>
      </c>
      <c r="J4243" t="s">
        <v>119</v>
      </c>
      <c r="K4243" t="s">
        <v>38</v>
      </c>
      <c r="L4243">
        <v>1</v>
      </c>
      <c r="M4243">
        <v>338</v>
      </c>
      <c r="N4243">
        <v>0</v>
      </c>
      <c r="O4243">
        <v>40</v>
      </c>
      <c r="P4243">
        <v>338</v>
      </c>
      <c r="Q4243">
        <v>378</v>
      </c>
      <c r="R4243" t="s">
        <v>39</v>
      </c>
      <c r="S4243" t="s">
        <v>31</v>
      </c>
      <c r="T4243" t="s">
        <v>40</v>
      </c>
      <c r="U4243">
        <v>44</v>
      </c>
      <c r="V4243">
        <v>3.4</v>
      </c>
      <c r="W4243">
        <f>Table2[[#This Row],[Quantity]]*Table2[[#This Row],[Item_Price]]</f>
        <v>338</v>
      </c>
    </row>
    <row r="4244" spans="1:23" x14ac:dyDescent="0.25">
      <c r="A4244" t="s">
        <v>4348</v>
      </c>
      <c r="B4244" s="1">
        <v>45968</v>
      </c>
      <c r="C4244" t="s">
        <v>4265</v>
      </c>
      <c r="D4244">
        <v>11</v>
      </c>
      <c r="E4244">
        <v>7</v>
      </c>
      <c r="F4244" t="s">
        <v>114</v>
      </c>
      <c r="G4244" t="s">
        <v>64</v>
      </c>
      <c r="H4244" t="s">
        <v>81</v>
      </c>
      <c r="I4244" t="s">
        <v>103</v>
      </c>
      <c r="J4244" t="s">
        <v>66</v>
      </c>
      <c r="K4244" t="s">
        <v>38</v>
      </c>
      <c r="L4244">
        <v>2</v>
      </c>
      <c r="M4244">
        <v>568</v>
      </c>
      <c r="N4244">
        <v>142</v>
      </c>
      <c r="O4244">
        <v>40</v>
      </c>
      <c r="P4244">
        <v>1136</v>
      </c>
      <c r="Q4244">
        <v>1034</v>
      </c>
      <c r="R4244" t="s">
        <v>112</v>
      </c>
      <c r="S4244" t="s">
        <v>31</v>
      </c>
      <c r="T4244" t="s">
        <v>32</v>
      </c>
      <c r="U4244">
        <v>24</v>
      </c>
      <c r="V4244">
        <v>4.3</v>
      </c>
      <c r="W4244">
        <f>Table2[[#This Row],[Quantity]]*Table2[[#This Row],[Item_Price]]</f>
        <v>1136</v>
      </c>
    </row>
    <row r="4245" spans="1:23" x14ac:dyDescent="0.25">
      <c r="A4245" t="s">
        <v>4349</v>
      </c>
      <c r="B4245" s="1">
        <v>45968</v>
      </c>
      <c r="C4245" t="s">
        <v>4265</v>
      </c>
      <c r="D4245">
        <v>11</v>
      </c>
      <c r="E4245">
        <v>7</v>
      </c>
      <c r="F4245" t="s">
        <v>114</v>
      </c>
      <c r="G4245" t="s">
        <v>64</v>
      </c>
      <c r="H4245" t="s">
        <v>139</v>
      </c>
      <c r="I4245" t="s">
        <v>61</v>
      </c>
      <c r="J4245" t="s">
        <v>94</v>
      </c>
      <c r="K4245" t="s">
        <v>38</v>
      </c>
      <c r="L4245">
        <v>1</v>
      </c>
      <c r="M4245">
        <v>203</v>
      </c>
      <c r="N4245">
        <v>10.15</v>
      </c>
      <c r="O4245">
        <v>40</v>
      </c>
      <c r="P4245">
        <v>203</v>
      </c>
      <c r="Q4245">
        <v>232.85</v>
      </c>
      <c r="R4245" t="s">
        <v>98</v>
      </c>
      <c r="S4245" t="s">
        <v>31</v>
      </c>
      <c r="T4245" t="s">
        <v>40</v>
      </c>
      <c r="U4245">
        <v>40</v>
      </c>
      <c r="V4245">
        <v>3.8</v>
      </c>
      <c r="W4245">
        <f>Table2[[#This Row],[Quantity]]*Table2[[#This Row],[Item_Price]]</f>
        <v>203</v>
      </c>
    </row>
    <row r="4246" spans="1:23" x14ac:dyDescent="0.25">
      <c r="A4246" t="s">
        <v>4350</v>
      </c>
      <c r="B4246" s="1">
        <v>45968</v>
      </c>
      <c r="C4246" t="s">
        <v>4265</v>
      </c>
      <c r="D4246">
        <v>11</v>
      </c>
      <c r="E4246">
        <v>7</v>
      </c>
      <c r="F4246" t="s">
        <v>114</v>
      </c>
      <c r="G4246" t="s">
        <v>64</v>
      </c>
      <c r="H4246" t="s">
        <v>81</v>
      </c>
      <c r="I4246" t="s">
        <v>85</v>
      </c>
      <c r="J4246" t="s">
        <v>101</v>
      </c>
      <c r="K4246" t="s">
        <v>38</v>
      </c>
      <c r="L4246">
        <v>2</v>
      </c>
      <c r="M4246">
        <v>213</v>
      </c>
      <c r="N4246">
        <v>21.3</v>
      </c>
      <c r="O4246">
        <v>60</v>
      </c>
      <c r="P4246">
        <v>426</v>
      </c>
      <c r="Q4246">
        <v>464.7</v>
      </c>
      <c r="R4246" t="s">
        <v>75</v>
      </c>
      <c r="S4246" t="s">
        <v>31</v>
      </c>
      <c r="T4246" t="s">
        <v>40</v>
      </c>
      <c r="U4246">
        <v>55</v>
      </c>
      <c r="V4246">
        <v>5</v>
      </c>
      <c r="W4246">
        <f>Table2[[#This Row],[Quantity]]*Table2[[#This Row],[Item_Price]]</f>
        <v>426</v>
      </c>
    </row>
    <row r="4247" spans="1:23" x14ac:dyDescent="0.25">
      <c r="A4247" t="s">
        <v>4351</v>
      </c>
      <c r="B4247" s="1">
        <v>45968</v>
      </c>
      <c r="C4247" t="s">
        <v>4265</v>
      </c>
      <c r="D4247">
        <v>11</v>
      </c>
      <c r="E4247">
        <v>7</v>
      </c>
      <c r="F4247" t="s">
        <v>114</v>
      </c>
      <c r="G4247" t="s">
        <v>80</v>
      </c>
      <c r="H4247" t="s">
        <v>52</v>
      </c>
      <c r="I4247" t="s">
        <v>49</v>
      </c>
      <c r="J4247" t="s">
        <v>62</v>
      </c>
      <c r="K4247" t="s">
        <v>38</v>
      </c>
      <c r="L4247">
        <v>1</v>
      </c>
      <c r="M4247">
        <v>316</v>
      </c>
      <c r="N4247">
        <v>0</v>
      </c>
      <c r="O4247">
        <v>60</v>
      </c>
      <c r="P4247">
        <v>316</v>
      </c>
      <c r="Q4247">
        <v>376</v>
      </c>
      <c r="R4247" t="s">
        <v>98</v>
      </c>
      <c r="S4247" t="s">
        <v>31</v>
      </c>
      <c r="T4247" t="s">
        <v>40</v>
      </c>
      <c r="U4247">
        <v>46</v>
      </c>
      <c r="V4247">
        <v>5</v>
      </c>
      <c r="W4247">
        <f>Table2[[#This Row],[Quantity]]*Table2[[#This Row],[Item_Price]]</f>
        <v>316</v>
      </c>
    </row>
    <row r="4248" spans="1:23" x14ac:dyDescent="0.25">
      <c r="A4248" t="s">
        <v>4352</v>
      </c>
      <c r="B4248" s="1">
        <v>45968</v>
      </c>
      <c r="C4248" t="s">
        <v>4265</v>
      </c>
      <c r="D4248">
        <v>11</v>
      </c>
      <c r="E4248">
        <v>7</v>
      </c>
      <c r="F4248" t="s">
        <v>114</v>
      </c>
      <c r="G4248" t="s">
        <v>64</v>
      </c>
      <c r="H4248" t="s">
        <v>48</v>
      </c>
      <c r="I4248" t="s">
        <v>36</v>
      </c>
      <c r="J4248" t="s">
        <v>70</v>
      </c>
      <c r="K4248" t="s">
        <v>38</v>
      </c>
      <c r="L4248">
        <v>1</v>
      </c>
      <c r="M4248">
        <v>203</v>
      </c>
      <c r="N4248">
        <v>40.6</v>
      </c>
      <c r="O4248">
        <v>40</v>
      </c>
      <c r="P4248">
        <v>203</v>
      </c>
      <c r="Q4248">
        <v>202.4</v>
      </c>
      <c r="R4248" t="s">
        <v>30</v>
      </c>
      <c r="S4248" t="s">
        <v>31</v>
      </c>
      <c r="T4248" t="s">
        <v>32</v>
      </c>
      <c r="U4248">
        <v>44</v>
      </c>
      <c r="V4248">
        <v>4</v>
      </c>
      <c r="W4248">
        <f>Table2[[#This Row],[Quantity]]*Table2[[#This Row],[Item_Price]]</f>
        <v>203</v>
      </c>
    </row>
    <row r="4249" spans="1:23" x14ac:dyDescent="0.25">
      <c r="A4249" t="s">
        <v>4353</v>
      </c>
      <c r="B4249" s="1">
        <v>45968</v>
      </c>
      <c r="C4249" t="s">
        <v>4265</v>
      </c>
      <c r="D4249">
        <v>11</v>
      </c>
      <c r="E4249">
        <v>7</v>
      </c>
      <c r="F4249" t="s">
        <v>114</v>
      </c>
      <c r="G4249" t="s">
        <v>64</v>
      </c>
      <c r="H4249" t="s">
        <v>26</v>
      </c>
      <c r="I4249" t="s">
        <v>27</v>
      </c>
      <c r="J4249" t="s">
        <v>119</v>
      </c>
      <c r="K4249" t="s">
        <v>38</v>
      </c>
      <c r="L4249">
        <v>1</v>
      </c>
      <c r="M4249">
        <v>375</v>
      </c>
      <c r="N4249">
        <v>93.75</v>
      </c>
      <c r="O4249">
        <v>30</v>
      </c>
      <c r="P4249">
        <v>375</v>
      </c>
      <c r="Q4249">
        <v>311.25</v>
      </c>
      <c r="R4249" t="s">
        <v>39</v>
      </c>
      <c r="S4249" t="s">
        <v>31</v>
      </c>
      <c r="T4249" t="s">
        <v>40</v>
      </c>
      <c r="U4249">
        <v>49</v>
      </c>
      <c r="V4249">
        <v>4.4000000000000004</v>
      </c>
      <c r="W4249">
        <f>Table2[[#This Row],[Quantity]]*Table2[[#This Row],[Item_Price]]</f>
        <v>375</v>
      </c>
    </row>
    <row r="4250" spans="1:23" x14ac:dyDescent="0.25">
      <c r="A4250" t="s">
        <v>4354</v>
      </c>
      <c r="B4250" s="1">
        <v>45968</v>
      </c>
      <c r="C4250" t="s">
        <v>4265</v>
      </c>
      <c r="D4250">
        <v>11</v>
      </c>
      <c r="E4250">
        <v>7</v>
      </c>
      <c r="F4250" t="s">
        <v>114</v>
      </c>
      <c r="G4250" t="s">
        <v>90</v>
      </c>
      <c r="H4250" t="s">
        <v>68</v>
      </c>
      <c r="I4250" t="s">
        <v>69</v>
      </c>
      <c r="J4250" t="s">
        <v>70</v>
      </c>
      <c r="K4250" t="s">
        <v>38</v>
      </c>
      <c r="L4250">
        <v>1</v>
      </c>
      <c r="M4250">
        <v>773</v>
      </c>
      <c r="N4250">
        <v>154.6</v>
      </c>
      <c r="O4250">
        <v>40</v>
      </c>
      <c r="P4250">
        <v>773</v>
      </c>
      <c r="Q4250">
        <v>658.4</v>
      </c>
      <c r="R4250" t="s">
        <v>39</v>
      </c>
      <c r="S4250" t="s">
        <v>31</v>
      </c>
      <c r="T4250" t="s">
        <v>32</v>
      </c>
      <c r="U4250">
        <v>36</v>
      </c>
      <c r="V4250">
        <v>4.4000000000000004</v>
      </c>
      <c r="W4250">
        <f>Table2[[#This Row],[Quantity]]*Table2[[#This Row],[Item_Price]]</f>
        <v>773</v>
      </c>
    </row>
    <row r="4251" spans="1:23" x14ac:dyDescent="0.25">
      <c r="A4251" t="s">
        <v>4355</v>
      </c>
      <c r="B4251" s="1">
        <v>45968</v>
      </c>
      <c r="C4251" t="s">
        <v>4265</v>
      </c>
      <c r="D4251">
        <v>11</v>
      </c>
      <c r="E4251">
        <v>7</v>
      </c>
      <c r="F4251" t="s">
        <v>114</v>
      </c>
      <c r="G4251" t="s">
        <v>25</v>
      </c>
      <c r="H4251" t="s">
        <v>56</v>
      </c>
      <c r="I4251" t="s">
        <v>103</v>
      </c>
      <c r="J4251" t="s">
        <v>62</v>
      </c>
      <c r="K4251" t="s">
        <v>45</v>
      </c>
      <c r="L4251">
        <v>1</v>
      </c>
      <c r="M4251">
        <v>122</v>
      </c>
      <c r="N4251">
        <v>24.4</v>
      </c>
      <c r="O4251">
        <v>20</v>
      </c>
      <c r="P4251">
        <v>122</v>
      </c>
      <c r="Q4251">
        <v>117.6</v>
      </c>
      <c r="R4251" t="s">
        <v>30</v>
      </c>
      <c r="S4251" t="s">
        <v>31</v>
      </c>
      <c r="T4251" t="s">
        <v>32</v>
      </c>
      <c r="U4251">
        <v>34</v>
      </c>
      <c r="V4251">
        <v>3.4</v>
      </c>
      <c r="W4251">
        <f>Table2[[#This Row],[Quantity]]*Table2[[#This Row],[Item_Price]]</f>
        <v>122</v>
      </c>
    </row>
    <row r="4252" spans="1:23" x14ac:dyDescent="0.25">
      <c r="A4252" t="s">
        <v>4356</v>
      </c>
      <c r="B4252" s="1">
        <v>45968</v>
      </c>
      <c r="C4252" t="s">
        <v>4265</v>
      </c>
      <c r="D4252">
        <v>11</v>
      </c>
      <c r="E4252">
        <v>7</v>
      </c>
      <c r="F4252" t="s">
        <v>114</v>
      </c>
      <c r="G4252" t="s">
        <v>73</v>
      </c>
      <c r="H4252" t="s">
        <v>60</v>
      </c>
      <c r="I4252" t="s">
        <v>103</v>
      </c>
      <c r="J4252" t="s">
        <v>50</v>
      </c>
      <c r="K4252" t="s">
        <v>38</v>
      </c>
      <c r="L4252">
        <v>2</v>
      </c>
      <c r="M4252">
        <v>629</v>
      </c>
      <c r="N4252">
        <v>62.9</v>
      </c>
      <c r="O4252">
        <v>20</v>
      </c>
      <c r="P4252">
        <v>1258</v>
      </c>
      <c r="Q4252">
        <v>1215.0999999999999</v>
      </c>
      <c r="R4252" t="s">
        <v>98</v>
      </c>
      <c r="S4252" t="s">
        <v>31</v>
      </c>
      <c r="T4252" t="s">
        <v>40</v>
      </c>
      <c r="U4252">
        <v>68</v>
      </c>
      <c r="V4252">
        <v>3.3</v>
      </c>
      <c r="W4252">
        <f>Table2[[#This Row],[Quantity]]*Table2[[#This Row],[Item_Price]]</f>
        <v>1258</v>
      </c>
    </row>
    <row r="4253" spans="1:23" x14ac:dyDescent="0.25">
      <c r="A4253" t="s">
        <v>4357</v>
      </c>
      <c r="B4253" s="1">
        <v>45968</v>
      </c>
      <c r="C4253" t="s">
        <v>4265</v>
      </c>
      <c r="D4253">
        <v>11</v>
      </c>
      <c r="E4253">
        <v>7</v>
      </c>
      <c r="F4253" t="s">
        <v>114</v>
      </c>
      <c r="G4253" t="s">
        <v>25</v>
      </c>
      <c r="H4253" t="s">
        <v>35</v>
      </c>
      <c r="I4253" t="s">
        <v>49</v>
      </c>
      <c r="J4253" t="s">
        <v>62</v>
      </c>
      <c r="K4253" t="s">
        <v>29</v>
      </c>
      <c r="L4253">
        <v>1</v>
      </c>
      <c r="M4253">
        <v>724</v>
      </c>
      <c r="N4253">
        <v>0</v>
      </c>
      <c r="O4253">
        <v>0</v>
      </c>
      <c r="P4253">
        <v>724</v>
      </c>
      <c r="Q4253">
        <v>724</v>
      </c>
      <c r="R4253" t="s">
        <v>39</v>
      </c>
      <c r="S4253" t="s">
        <v>31</v>
      </c>
      <c r="T4253" t="s">
        <v>32</v>
      </c>
      <c r="U4253">
        <v>54</v>
      </c>
      <c r="V4253">
        <v>4.2</v>
      </c>
      <c r="W4253">
        <f>Table2[[#This Row],[Quantity]]*Table2[[#This Row],[Item_Price]]</f>
        <v>724</v>
      </c>
    </row>
    <row r="4254" spans="1:23" x14ac:dyDescent="0.25">
      <c r="A4254" t="s">
        <v>4358</v>
      </c>
      <c r="B4254" s="1">
        <v>45968</v>
      </c>
      <c r="C4254" t="s">
        <v>4265</v>
      </c>
      <c r="D4254">
        <v>11</v>
      </c>
      <c r="E4254">
        <v>7</v>
      </c>
      <c r="F4254" t="s">
        <v>114</v>
      </c>
      <c r="G4254" t="s">
        <v>80</v>
      </c>
      <c r="H4254" t="s">
        <v>35</v>
      </c>
      <c r="I4254" t="s">
        <v>103</v>
      </c>
      <c r="J4254" t="s">
        <v>101</v>
      </c>
      <c r="K4254" t="s">
        <v>45</v>
      </c>
      <c r="L4254">
        <v>1</v>
      </c>
      <c r="M4254">
        <v>325</v>
      </c>
      <c r="N4254">
        <v>48.75</v>
      </c>
      <c r="O4254">
        <v>30</v>
      </c>
      <c r="P4254">
        <v>325</v>
      </c>
      <c r="Q4254">
        <v>306.25</v>
      </c>
      <c r="R4254" t="s">
        <v>39</v>
      </c>
      <c r="S4254" t="s">
        <v>31</v>
      </c>
      <c r="T4254" t="s">
        <v>40</v>
      </c>
      <c r="U4254">
        <v>18</v>
      </c>
      <c r="V4254">
        <v>4.2</v>
      </c>
      <c r="W4254">
        <f>Table2[[#This Row],[Quantity]]*Table2[[#This Row],[Item_Price]]</f>
        <v>325</v>
      </c>
    </row>
    <row r="4255" spans="1:23" x14ac:dyDescent="0.25">
      <c r="A4255" t="s">
        <v>4359</v>
      </c>
      <c r="B4255" s="1">
        <v>45969</v>
      </c>
      <c r="C4255" t="s">
        <v>4265</v>
      </c>
      <c r="D4255">
        <v>11</v>
      </c>
      <c r="E4255">
        <v>8</v>
      </c>
      <c r="F4255" t="s">
        <v>134</v>
      </c>
      <c r="G4255" t="s">
        <v>64</v>
      </c>
      <c r="H4255" t="s">
        <v>65</v>
      </c>
      <c r="I4255" t="s">
        <v>61</v>
      </c>
      <c r="J4255" t="s">
        <v>62</v>
      </c>
      <c r="K4255" t="s">
        <v>45</v>
      </c>
      <c r="L4255">
        <v>1</v>
      </c>
      <c r="M4255">
        <v>449</v>
      </c>
      <c r="N4255">
        <v>0</v>
      </c>
      <c r="O4255">
        <v>50</v>
      </c>
      <c r="P4255">
        <v>449</v>
      </c>
      <c r="Q4255">
        <v>499</v>
      </c>
      <c r="R4255" t="s">
        <v>39</v>
      </c>
      <c r="S4255" t="s">
        <v>91</v>
      </c>
      <c r="T4255" t="s">
        <v>40</v>
      </c>
      <c r="U4255">
        <v>25</v>
      </c>
      <c r="W4255">
        <f>Table2[[#This Row],[Quantity]]*Table2[[#This Row],[Item_Price]]</f>
        <v>449</v>
      </c>
    </row>
    <row r="4256" spans="1:23" x14ac:dyDescent="0.25">
      <c r="A4256" t="s">
        <v>4360</v>
      </c>
      <c r="B4256" s="1">
        <v>45969</v>
      </c>
      <c r="C4256" t="s">
        <v>4265</v>
      </c>
      <c r="D4256">
        <v>11</v>
      </c>
      <c r="E4256">
        <v>8</v>
      </c>
      <c r="F4256" t="s">
        <v>134</v>
      </c>
      <c r="G4256" t="s">
        <v>96</v>
      </c>
      <c r="H4256" t="s">
        <v>26</v>
      </c>
      <c r="I4256" t="s">
        <v>43</v>
      </c>
      <c r="J4256" t="s">
        <v>119</v>
      </c>
      <c r="K4256" t="s">
        <v>38</v>
      </c>
      <c r="L4256">
        <v>1</v>
      </c>
      <c r="M4256">
        <v>188</v>
      </c>
      <c r="N4256">
        <v>47</v>
      </c>
      <c r="O4256">
        <v>70</v>
      </c>
      <c r="P4256">
        <v>188</v>
      </c>
      <c r="Q4256">
        <v>211</v>
      </c>
      <c r="R4256" t="s">
        <v>39</v>
      </c>
      <c r="S4256" t="s">
        <v>31</v>
      </c>
      <c r="T4256" t="s">
        <v>32</v>
      </c>
      <c r="U4256">
        <v>18</v>
      </c>
      <c r="V4256">
        <v>3.8</v>
      </c>
      <c r="W4256">
        <f>Table2[[#This Row],[Quantity]]*Table2[[#This Row],[Item_Price]]</f>
        <v>188</v>
      </c>
    </row>
    <row r="4257" spans="1:23" x14ac:dyDescent="0.25">
      <c r="A4257" t="s">
        <v>4361</v>
      </c>
      <c r="B4257" s="1">
        <v>45969</v>
      </c>
      <c r="C4257" t="s">
        <v>4265</v>
      </c>
      <c r="D4257">
        <v>11</v>
      </c>
      <c r="E4257">
        <v>8</v>
      </c>
      <c r="F4257" t="s">
        <v>134</v>
      </c>
      <c r="G4257" t="s">
        <v>73</v>
      </c>
      <c r="H4257" t="s">
        <v>26</v>
      </c>
      <c r="I4257" t="s">
        <v>49</v>
      </c>
      <c r="J4257" t="s">
        <v>53</v>
      </c>
      <c r="K4257" t="s">
        <v>38</v>
      </c>
      <c r="L4257">
        <v>1</v>
      </c>
      <c r="M4257">
        <v>532</v>
      </c>
      <c r="N4257">
        <v>53.2</v>
      </c>
      <c r="O4257">
        <v>20</v>
      </c>
      <c r="P4257">
        <v>532</v>
      </c>
      <c r="Q4257">
        <v>498.8</v>
      </c>
      <c r="R4257" t="s">
        <v>39</v>
      </c>
      <c r="S4257" t="s">
        <v>31</v>
      </c>
      <c r="T4257" t="s">
        <v>40</v>
      </c>
      <c r="U4257">
        <v>68</v>
      </c>
      <c r="V4257">
        <v>4.2</v>
      </c>
      <c r="W4257">
        <f>Table2[[#This Row],[Quantity]]*Table2[[#This Row],[Item_Price]]</f>
        <v>532</v>
      </c>
    </row>
    <row r="4258" spans="1:23" x14ac:dyDescent="0.25">
      <c r="A4258" t="s">
        <v>4362</v>
      </c>
      <c r="B4258" s="1">
        <v>45969</v>
      </c>
      <c r="C4258" t="s">
        <v>4265</v>
      </c>
      <c r="D4258">
        <v>11</v>
      </c>
      <c r="E4258">
        <v>8</v>
      </c>
      <c r="F4258" t="s">
        <v>134</v>
      </c>
      <c r="G4258" t="s">
        <v>64</v>
      </c>
      <c r="H4258" t="s">
        <v>60</v>
      </c>
      <c r="I4258" t="s">
        <v>103</v>
      </c>
      <c r="J4258" t="s">
        <v>172</v>
      </c>
      <c r="K4258" t="s">
        <v>45</v>
      </c>
      <c r="L4258">
        <v>1</v>
      </c>
      <c r="M4258">
        <v>718</v>
      </c>
      <c r="N4258">
        <v>0</v>
      </c>
      <c r="O4258">
        <v>30</v>
      </c>
      <c r="P4258">
        <v>718</v>
      </c>
      <c r="Q4258">
        <v>748</v>
      </c>
      <c r="R4258" t="s">
        <v>30</v>
      </c>
      <c r="S4258" t="s">
        <v>31</v>
      </c>
      <c r="T4258" t="s">
        <v>40</v>
      </c>
      <c r="U4258">
        <v>37</v>
      </c>
      <c r="V4258">
        <v>3.9</v>
      </c>
      <c r="W4258">
        <f>Table2[[#This Row],[Quantity]]*Table2[[#This Row],[Item_Price]]</f>
        <v>718</v>
      </c>
    </row>
    <row r="4259" spans="1:23" x14ac:dyDescent="0.25">
      <c r="A4259" t="s">
        <v>4363</v>
      </c>
      <c r="B4259" s="1">
        <v>45969</v>
      </c>
      <c r="C4259" t="s">
        <v>4265</v>
      </c>
      <c r="D4259">
        <v>11</v>
      </c>
      <c r="E4259">
        <v>8</v>
      </c>
      <c r="F4259" t="s">
        <v>134</v>
      </c>
      <c r="G4259" t="s">
        <v>34</v>
      </c>
      <c r="H4259" t="s">
        <v>105</v>
      </c>
      <c r="I4259" t="s">
        <v>85</v>
      </c>
      <c r="J4259" t="s">
        <v>50</v>
      </c>
      <c r="K4259" t="s">
        <v>45</v>
      </c>
      <c r="L4259">
        <v>2</v>
      </c>
      <c r="M4259">
        <v>128</v>
      </c>
      <c r="N4259">
        <v>32</v>
      </c>
      <c r="O4259">
        <v>30</v>
      </c>
      <c r="P4259">
        <v>256</v>
      </c>
      <c r="Q4259">
        <v>254</v>
      </c>
      <c r="R4259" t="s">
        <v>39</v>
      </c>
      <c r="S4259" t="s">
        <v>31</v>
      </c>
      <c r="T4259" t="s">
        <v>32</v>
      </c>
      <c r="U4259">
        <v>53</v>
      </c>
      <c r="V4259">
        <v>3.5</v>
      </c>
      <c r="W4259">
        <f>Table2[[#This Row],[Quantity]]*Table2[[#This Row],[Item_Price]]</f>
        <v>256</v>
      </c>
    </row>
    <row r="4260" spans="1:23" x14ac:dyDescent="0.25">
      <c r="A4260" t="s">
        <v>4364</v>
      </c>
      <c r="B4260" s="1">
        <v>45969</v>
      </c>
      <c r="C4260" t="s">
        <v>4265</v>
      </c>
      <c r="D4260">
        <v>11</v>
      </c>
      <c r="E4260">
        <v>8</v>
      </c>
      <c r="F4260" t="s">
        <v>134</v>
      </c>
      <c r="G4260" t="s">
        <v>115</v>
      </c>
      <c r="H4260" t="s">
        <v>108</v>
      </c>
      <c r="I4260" t="s">
        <v>43</v>
      </c>
      <c r="J4260" t="s">
        <v>50</v>
      </c>
      <c r="K4260" t="s">
        <v>38</v>
      </c>
      <c r="L4260">
        <v>2</v>
      </c>
      <c r="M4260">
        <v>566</v>
      </c>
      <c r="N4260">
        <v>141.5</v>
      </c>
      <c r="O4260">
        <v>30</v>
      </c>
      <c r="P4260">
        <v>1132</v>
      </c>
      <c r="Q4260">
        <v>1020.5</v>
      </c>
      <c r="R4260" t="s">
        <v>39</v>
      </c>
      <c r="S4260" t="s">
        <v>31</v>
      </c>
      <c r="T4260" t="s">
        <v>40</v>
      </c>
      <c r="U4260">
        <v>26</v>
      </c>
      <c r="V4260">
        <v>4.7</v>
      </c>
      <c r="W4260">
        <f>Table2[[#This Row],[Quantity]]*Table2[[#This Row],[Item_Price]]</f>
        <v>1132</v>
      </c>
    </row>
    <row r="4261" spans="1:23" x14ac:dyDescent="0.25">
      <c r="A4261" t="s">
        <v>4365</v>
      </c>
      <c r="B4261" s="1">
        <v>45969</v>
      </c>
      <c r="C4261" t="s">
        <v>4265</v>
      </c>
      <c r="D4261">
        <v>11</v>
      </c>
      <c r="E4261">
        <v>8</v>
      </c>
      <c r="F4261" t="s">
        <v>134</v>
      </c>
      <c r="G4261" t="s">
        <v>73</v>
      </c>
      <c r="H4261" t="s">
        <v>35</v>
      </c>
      <c r="I4261" t="s">
        <v>27</v>
      </c>
      <c r="J4261" t="s">
        <v>37</v>
      </c>
      <c r="K4261" t="s">
        <v>38</v>
      </c>
      <c r="L4261">
        <v>2</v>
      </c>
      <c r="M4261">
        <v>160</v>
      </c>
      <c r="N4261">
        <v>24</v>
      </c>
      <c r="O4261">
        <v>50</v>
      </c>
      <c r="P4261">
        <v>320</v>
      </c>
      <c r="Q4261">
        <v>346</v>
      </c>
      <c r="R4261" t="s">
        <v>39</v>
      </c>
      <c r="S4261" t="s">
        <v>31</v>
      </c>
      <c r="T4261" t="s">
        <v>40</v>
      </c>
      <c r="U4261">
        <v>35</v>
      </c>
      <c r="V4261">
        <v>3.5</v>
      </c>
      <c r="W4261">
        <f>Table2[[#This Row],[Quantity]]*Table2[[#This Row],[Item_Price]]</f>
        <v>320</v>
      </c>
    </row>
    <row r="4262" spans="1:23" x14ac:dyDescent="0.25">
      <c r="A4262" t="s">
        <v>4366</v>
      </c>
      <c r="B4262" s="1">
        <v>45969</v>
      </c>
      <c r="C4262" t="s">
        <v>4265</v>
      </c>
      <c r="D4262">
        <v>11</v>
      </c>
      <c r="E4262">
        <v>8</v>
      </c>
      <c r="F4262" t="s">
        <v>134</v>
      </c>
      <c r="G4262" t="s">
        <v>25</v>
      </c>
      <c r="H4262" t="s">
        <v>42</v>
      </c>
      <c r="I4262" t="s">
        <v>85</v>
      </c>
      <c r="J4262" t="s">
        <v>66</v>
      </c>
      <c r="K4262" t="s">
        <v>38</v>
      </c>
      <c r="L4262">
        <v>3</v>
      </c>
      <c r="M4262">
        <v>433</v>
      </c>
      <c r="N4262">
        <v>86.6</v>
      </c>
      <c r="O4262">
        <v>40</v>
      </c>
      <c r="P4262">
        <v>1299</v>
      </c>
      <c r="Q4262">
        <v>1252.4000000000001</v>
      </c>
      <c r="R4262" t="s">
        <v>112</v>
      </c>
      <c r="S4262" t="s">
        <v>31</v>
      </c>
      <c r="T4262" t="s">
        <v>40</v>
      </c>
      <c r="U4262">
        <v>25</v>
      </c>
      <c r="V4262">
        <v>4</v>
      </c>
      <c r="W4262">
        <f>Table2[[#This Row],[Quantity]]*Table2[[#This Row],[Item_Price]]</f>
        <v>1299</v>
      </c>
    </row>
    <row r="4263" spans="1:23" x14ac:dyDescent="0.25">
      <c r="A4263" t="s">
        <v>4367</v>
      </c>
      <c r="B4263" s="1">
        <v>45969</v>
      </c>
      <c r="C4263" t="s">
        <v>4265</v>
      </c>
      <c r="D4263">
        <v>11</v>
      </c>
      <c r="E4263">
        <v>8</v>
      </c>
      <c r="F4263" t="s">
        <v>134</v>
      </c>
      <c r="G4263" t="s">
        <v>80</v>
      </c>
      <c r="H4263" t="s">
        <v>139</v>
      </c>
      <c r="I4263" t="s">
        <v>85</v>
      </c>
      <c r="J4263" t="s">
        <v>101</v>
      </c>
      <c r="K4263" t="s">
        <v>45</v>
      </c>
      <c r="L4263">
        <v>3</v>
      </c>
      <c r="M4263">
        <v>444</v>
      </c>
      <c r="N4263">
        <v>44.4</v>
      </c>
      <c r="O4263">
        <v>40</v>
      </c>
      <c r="P4263">
        <v>1332</v>
      </c>
      <c r="Q4263">
        <v>1327.6</v>
      </c>
      <c r="R4263" t="s">
        <v>30</v>
      </c>
      <c r="S4263" t="s">
        <v>31</v>
      </c>
      <c r="T4263" t="s">
        <v>32</v>
      </c>
      <c r="U4263">
        <v>40</v>
      </c>
      <c r="V4263">
        <v>4.3</v>
      </c>
      <c r="W4263">
        <f>Table2[[#This Row],[Quantity]]*Table2[[#This Row],[Item_Price]]</f>
        <v>1332</v>
      </c>
    </row>
    <row r="4264" spans="1:23" x14ac:dyDescent="0.25">
      <c r="A4264" t="s">
        <v>4368</v>
      </c>
      <c r="B4264" s="1">
        <v>45969</v>
      </c>
      <c r="C4264" t="s">
        <v>4265</v>
      </c>
      <c r="D4264">
        <v>11</v>
      </c>
      <c r="E4264">
        <v>8</v>
      </c>
      <c r="F4264" t="s">
        <v>134</v>
      </c>
      <c r="G4264" t="s">
        <v>64</v>
      </c>
      <c r="H4264" t="s">
        <v>68</v>
      </c>
      <c r="I4264" t="s">
        <v>43</v>
      </c>
      <c r="J4264" t="s">
        <v>62</v>
      </c>
      <c r="K4264" t="s">
        <v>38</v>
      </c>
      <c r="L4264">
        <v>2</v>
      </c>
      <c r="M4264">
        <v>618</v>
      </c>
      <c r="N4264">
        <v>123.6</v>
      </c>
      <c r="O4264">
        <v>0</v>
      </c>
      <c r="P4264">
        <v>1236</v>
      </c>
      <c r="Q4264">
        <v>1112.4000000000001</v>
      </c>
      <c r="R4264" t="s">
        <v>30</v>
      </c>
      <c r="S4264" t="s">
        <v>31</v>
      </c>
      <c r="T4264" t="s">
        <v>40</v>
      </c>
      <c r="U4264">
        <v>57</v>
      </c>
      <c r="V4264">
        <v>4</v>
      </c>
      <c r="W4264">
        <f>Table2[[#This Row],[Quantity]]*Table2[[#This Row],[Item_Price]]</f>
        <v>1236</v>
      </c>
    </row>
    <row r="4265" spans="1:23" x14ac:dyDescent="0.25">
      <c r="A4265" t="s">
        <v>4369</v>
      </c>
      <c r="B4265" s="1">
        <v>45969</v>
      </c>
      <c r="C4265" t="s">
        <v>4265</v>
      </c>
      <c r="D4265">
        <v>11</v>
      </c>
      <c r="E4265">
        <v>8</v>
      </c>
      <c r="F4265" t="s">
        <v>134</v>
      </c>
      <c r="G4265" t="s">
        <v>34</v>
      </c>
      <c r="H4265" t="s">
        <v>65</v>
      </c>
      <c r="I4265" t="s">
        <v>97</v>
      </c>
      <c r="J4265" t="s">
        <v>37</v>
      </c>
      <c r="K4265" t="s">
        <v>38</v>
      </c>
      <c r="L4265">
        <v>1</v>
      </c>
      <c r="M4265">
        <v>309</v>
      </c>
      <c r="N4265">
        <v>0</v>
      </c>
      <c r="O4265">
        <v>30</v>
      </c>
      <c r="P4265">
        <v>309</v>
      </c>
      <c r="Q4265">
        <v>339</v>
      </c>
      <c r="R4265" t="s">
        <v>98</v>
      </c>
      <c r="S4265" t="s">
        <v>31</v>
      </c>
      <c r="T4265" t="s">
        <v>40</v>
      </c>
      <c r="U4265">
        <v>59</v>
      </c>
      <c r="V4265">
        <v>3</v>
      </c>
      <c r="W4265">
        <f>Table2[[#This Row],[Quantity]]*Table2[[#This Row],[Item_Price]]</f>
        <v>309</v>
      </c>
    </row>
    <row r="4266" spans="1:23" x14ac:dyDescent="0.25">
      <c r="A4266" t="s">
        <v>4370</v>
      </c>
      <c r="B4266" s="1">
        <v>45969</v>
      </c>
      <c r="C4266" t="s">
        <v>4265</v>
      </c>
      <c r="D4266">
        <v>11</v>
      </c>
      <c r="E4266">
        <v>8</v>
      </c>
      <c r="F4266" t="s">
        <v>134</v>
      </c>
      <c r="G4266" t="s">
        <v>55</v>
      </c>
      <c r="H4266" t="s">
        <v>77</v>
      </c>
      <c r="I4266" t="s">
        <v>61</v>
      </c>
      <c r="J4266" t="s">
        <v>66</v>
      </c>
      <c r="K4266" t="s">
        <v>38</v>
      </c>
      <c r="L4266">
        <v>1</v>
      </c>
      <c r="M4266">
        <v>594</v>
      </c>
      <c r="N4266">
        <v>59.4</v>
      </c>
      <c r="O4266">
        <v>50</v>
      </c>
      <c r="P4266">
        <v>594</v>
      </c>
      <c r="Q4266">
        <v>584.6</v>
      </c>
      <c r="R4266" t="s">
        <v>39</v>
      </c>
      <c r="S4266" t="s">
        <v>31</v>
      </c>
      <c r="T4266" t="s">
        <v>40</v>
      </c>
      <c r="U4266">
        <v>36</v>
      </c>
      <c r="V4266">
        <v>3.8</v>
      </c>
      <c r="W4266">
        <f>Table2[[#This Row],[Quantity]]*Table2[[#This Row],[Item_Price]]</f>
        <v>594</v>
      </c>
    </row>
    <row r="4267" spans="1:23" x14ac:dyDescent="0.25">
      <c r="A4267" t="s">
        <v>4371</v>
      </c>
      <c r="B4267" s="1">
        <v>45969</v>
      </c>
      <c r="C4267" t="s">
        <v>4265</v>
      </c>
      <c r="D4267">
        <v>11</v>
      </c>
      <c r="E4267">
        <v>8</v>
      </c>
      <c r="F4267" t="s">
        <v>134</v>
      </c>
      <c r="G4267" t="s">
        <v>80</v>
      </c>
      <c r="H4267" t="s">
        <v>56</v>
      </c>
      <c r="I4267" t="s">
        <v>49</v>
      </c>
      <c r="J4267" t="s">
        <v>44</v>
      </c>
      <c r="K4267" t="s">
        <v>38</v>
      </c>
      <c r="L4267">
        <v>3</v>
      </c>
      <c r="M4267">
        <v>384</v>
      </c>
      <c r="N4267">
        <v>0</v>
      </c>
      <c r="O4267">
        <v>70</v>
      </c>
      <c r="P4267">
        <v>1152</v>
      </c>
      <c r="Q4267">
        <v>1222</v>
      </c>
      <c r="R4267" t="s">
        <v>39</v>
      </c>
      <c r="S4267" t="s">
        <v>110</v>
      </c>
      <c r="T4267" t="s">
        <v>40</v>
      </c>
      <c r="U4267">
        <v>65</v>
      </c>
      <c r="W4267">
        <f>Table2[[#This Row],[Quantity]]*Table2[[#This Row],[Item_Price]]</f>
        <v>1152</v>
      </c>
    </row>
    <row r="4268" spans="1:23" x14ac:dyDescent="0.25">
      <c r="A4268" t="s">
        <v>4372</v>
      </c>
      <c r="B4268" s="1">
        <v>45970</v>
      </c>
      <c r="C4268" t="s">
        <v>4265</v>
      </c>
      <c r="D4268">
        <v>11</v>
      </c>
      <c r="E4268">
        <v>9</v>
      </c>
      <c r="F4268" t="s">
        <v>149</v>
      </c>
      <c r="G4268" t="s">
        <v>96</v>
      </c>
      <c r="H4268" t="s">
        <v>65</v>
      </c>
      <c r="I4268" t="s">
        <v>97</v>
      </c>
      <c r="J4268" t="s">
        <v>119</v>
      </c>
      <c r="K4268" t="s">
        <v>45</v>
      </c>
      <c r="L4268">
        <v>2</v>
      </c>
      <c r="M4268">
        <v>309</v>
      </c>
      <c r="N4268">
        <v>0</v>
      </c>
      <c r="O4268">
        <v>40</v>
      </c>
      <c r="P4268">
        <v>618</v>
      </c>
      <c r="Q4268">
        <v>658</v>
      </c>
      <c r="R4268" t="s">
        <v>98</v>
      </c>
      <c r="S4268" t="s">
        <v>31</v>
      </c>
      <c r="T4268" t="s">
        <v>32</v>
      </c>
      <c r="U4268">
        <v>28</v>
      </c>
      <c r="V4268">
        <v>5</v>
      </c>
      <c r="W4268">
        <f>Table2[[#This Row],[Quantity]]*Table2[[#This Row],[Item_Price]]</f>
        <v>618</v>
      </c>
    </row>
    <row r="4269" spans="1:23" x14ac:dyDescent="0.25">
      <c r="A4269" t="s">
        <v>4373</v>
      </c>
      <c r="B4269" s="1">
        <v>45970</v>
      </c>
      <c r="C4269" t="s">
        <v>4265</v>
      </c>
      <c r="D4269">
        <v>11</v>
      </c>
      <c r="E4269">
        <v>9</v>
      </c>
      <c r="F4269" t="s">
        <v>149</v>
      </c>
      <c r="G4269" t="s">
        <v>90</v>
      </c>
      <c r="H4269" t="s">
        <v>108</v>
      </c>
      <c r="I4269" t="s">
        <v>43</v>
      </c>
      <c r="J4269" t="s">
        <v>74</v>
      </c>
      <c r="K4269" t="s">
        <v>38</v>
      </c>
      <c r="L4269">
        <v>1</v>
      </c>
      <c r="M4269">
        <v>413</v>
      </c>
      <c r="N4269">
        <v>0</v>
      </c>
      <c r="O4269">
        <v>40</v>
      </c>
      <c r="P4269">
        <v>413</v>
      </c>
      <c r="Q4269">
        <v>453</v>
      </c>
      <c r="R4269" t="s">
        <v>75</v>
      </c>
      <c r="S4269" t="s">
        <v>31</v>
      </c>
      <c r="T4269" t="s">
        <v>32</v>
      </c>
      <c r="U4269">
        <v>42</v>
      </c>
      <c r="V4269">
        <v>5</v>
      </c>
      <c r="W4269">
        <f>Table2[[#This Row],[Quantity]]*Table2[[#This Row],[Item_Price]]</f>
        <v>413</v>
      </c>
    </row>
    <row r="4270" spans="1:23" x14ac:dyDescent="0.25">
      <c r="A4270" t="s">
        <v>4374</v>
      </c>
      <c r="B4270" s="1">
        <v>45970</v>
      </c>
      <c r="C4270" t="s">
        <v>4265</v>
      </c>
      <c r="D4270">
        <v>11</v>
      </c>
      <c r="E4270">
        <v>9</v>
      </c>
      <c r="F4270" t="s">
        <v>149</v>
      </c>
      <c r="G4270" t="s">
        <v>84</v>
      </c>
      <c r="H4270" t="s">
        <v>60</v>
      </c>
      <c r="I4270" t="s">
        <v>97</v>
      </c>
      <c r="J4270" t="s">
        <v>70</v>
      </c>
      <c r="K4270" t="s">
        <v>38</v>
      </c>
      <c r="L4270">
        <v>2</v>
      </c>
      <c r="M4270">
        <v>669</v>
      </c>
      <c r="N4270">
        <v>66.900000000000006</v>
      </c>
      <c r="O4270">
        <v>70</v>
      </c>
      <c r="P4270">
        <v>1338</v>
      </c>
      <c r="Q4270">
        <v>1341.1</v>
      </c>
      <c r="R4270" t="s">
        <v>98</v>
      </c>
      <c r="S4270" t="s">
        <v>31</v>
      </c>
      <c r="T4270" t="s">
        <v>40</v>
      </c>
      <c r="U4270">
        <v>60</v>
      </c>
      <c r="V4270">
        <v>4.2</v>
      </c>
      <c r="W4270">
        <f>Table2[[#This Row],[Quantity]]*Table2[[#This Row],[Item_Price]]</f>
        <v>1338</v>
      </c>
    </row>
    <row r="4271" spans="1:23" x14ac:dyDescent="0.25">
      <c r="A4271" t="s">
        <v>4375</v>
      </c>
      <c r="B4271" s="1">
        <v>45970</v>
      </c>
      <c r="C4271" t="s">
        <v>4265</v>
      </c>
      <c r="D4271">
        <v>11</v>
      </c>
      <c r="E4271">
        <v>9</v>
      </c>
      <c r="F4271" t="s">
        <v>149</v>
      </c>
      <c r="G4271" t="s">
        <v>55</v>
      </c>
      <c r="H4271" t="s">
        <v>68</v>
      </c>
      <c r="I4271" t="s">
        <v>27</v>
      </c>
      <c r="J4271" t="s">
        <v>70</v>
      </c>
      <c r="K4271" t="s">
        <v>38</v>
      </c>
      <c r="L4271">
        <v>1</v>
      </c>
      <c r="M4271">
        <v>757</v>
      </c>
      <c r="N4271">
        <v>75.7</v>
      </c>
      <c r="O4271">
        <v>30</v>
      </c>
      <c r="P4271">
        <v>757</v>
      </c>
      <c r="Q4271">
        <v>711.3</v>
      </c>
      <c r="R4271" t="s">
        <v>98</v>
      </c>
      <c r="S4271" t="s">
        <v>31</v>
      </c>
      <c r="T4271" t="s">
        <v>40</v>
      </c>
      <c r="U4271">
        <v>35</v>
      </c>
      <c r="V4271">
        <v>4.0999999999999996</v>
      </c>
      <c r="W4271">
        <f>Table2[[#This Row],[Quantity]]*Table2[[#This Row],[Item_Price]]</f>
        <v>757</v>
      </c>
    </row>
    <row r="4272" spans="1:23" x14ac:dyDescent="0.25">
      <c r="A4272" t="s">
        <v>4376</v>
      </c>
      <c r="B4272" s="1">
        <v>45970</v>
      </c>
      <c r="C4272" t="s">
        <v>4265</v>
      </c>
      <c r="D4272">
        <v>11</v>
      </c>
      <c r="E4272">
        <v>9</v>
      </c>
      <c r="F4272" t="s">
        <v>149</v>
      </c>
      <c r="G4272" t="s">
        <v>25</v>
      </c>
      <c r="H4272" t="s">
        <v>52</v>
      </c>
      <c r="I4272" t="s">
        <v>85</v>
      </c>
      <c r="J4272" t="s">
        <v>62</v>
      </c>
      <c r="K4272" t="s">
        <v>38</v>
      </c>
      <c r="L4272">
        <v>1</v>
      </c>
      <c r="M4272">
        <v>292</v>
      </c>
      <c r="N4272">
        <v>0</v>
      </c>
      <c r="O4272">
        <v>60</v>
      </c>
      <c r="P4272">
        <v>292</v>
      </c>
      <c r="Q4272">
        <v>352</v>
      </c>
      <c r="R4272" t="s">
        <v>98</v>
      </c>
      <c r="S4272" t="s">
        <v>31</v>
      </c>
      <c r="T4272" t="s">
        <v>40</v>
      </c>
      <c r="U4272">
        <v>20</v>
      </c>
      <c r="V4272">
        <v>4.4000000000000004</v>
      </c>
      <c r="W4272">
        <f>Table2[[#This Row],[Quantity]]*Table2[[#This Row],[Item_Price]]</f>
        <v>292</v>
      </c>
    </row>
    <row r="4273" spans="1:23" x14ac:dyDescent="0.25">
      <c r="A4273" t="s">
        <v>4377</v>
      </c>
      <c r="B4273" s="1">
        <v>45970</v>
      </c>
      <c r="C4273" t="s">
        <v>4265</v>
      </c>
      <c r="D4273">
        <v>11</v>
      </c>
      <c r="E4273">
        <v>9</v>
      </c>
      <c r="F4273" t="s">
        <v>149</v>
      </c>
      <c r="G4273" t="s">
        <v>34</v>
      </c>
      <c r="H4273" t="s">
        <v>65</v>
      </c>
      <c r="I4273" t="s">
        <v>85</v>
      </c>
      <c r="J4273" t="s">
        <v>123</v>
      </c>
      <c r="K4273" t="s">
        <v>38</v>
      </c>
      <c r="L4273">
        <v>2</v>
      </c>
      <c r="M4273">
        <v>128</v>
      </c>
      <c r="N4273">
        <v>25.6</v>
      </c>
      <c r="O4273">
        <v>40</v>
      </c>
      <c r="P4273">
        <v>256</v>
      </c>
      <c r="Q4273">
        <v>270.39999999999998</v>
      </c>
      <c r="R4273" t="s">
        <v>39</v>
      </c>
      <c r="S4273" t="s">
        <v>31</v>
      </c>
      <c r="T4273" t="s">
        <v>40</v>
      </c>
      <c r="U4273">
        <v>69</v>
      </c>
      <c r="V4273">
        <v>4.7</v>
      </c>
      <c r="W4273">
        <f>Table2[[#This Row],[Quantity]]*Table2[[#This Row],[Item_Price]]</f>
        <v>256</v>
      </c>
    </row>
    <row r="4274" spans="1:23" x14ac:dyDescent="0.25">
      <c r="A4274" t="s">
        <v>4378</v>
      </c>
      <c r="B4274" s="1">
        <v>45970</v>
      </c>
      <c r="C4274" t="s">
        <v>4265</v>
      </c>
      <c r="D4274">
        <v>11</v>
      </c>
      <c r="E4274">
        <v>9</v>
      </c>
      <c r="F4274" t="s">
        <v>149</v>
      </c>
      <c r="G4274" t="s">
        <v>73</v>
      </c>
      <c r="H4274" t="s">
        <v>105</v>
      </c>
      <c r="I4274" t="s">
        <v>49</v>
      </c>
      <c r="J4274" t="s">
        <v>123</v>
      </c>
      <c r="K4274" t="s">
        <v>38</v>
      </c>
      <c r="L4274">
        <v>1</v>
      </c>
      <c r="M4274">
        <v>847</v>
      </c>
      <c r="N4274">
        <v>127.05</v>
      </c>
      <c r="O4274">
        <v>40</v>
      </c>
      <c r="P4274">
        <v>847</v>
      </c>
      <c r="Q4274">
        <v>759.95</v>
      </c>
      <c r="R4274" t="s">
        <v>39</v>
      </c>
      <c r="S4274" t="s">
        <v>31</v>
      </c>
      <c r="T4274" t="s">
        <v>40</v>
      </c>
      <c r="U4274">
        <v>33</v>
      </c>
      <c r="V4274">
        <v>4.0999999999999996</v>
      </c>
      <c r="W4274">
        <f>Table2[[#This Row],[Quantity]]*Table2[[#This Row],[Item_Price]]</f>
        <v>847</v>
      </c>
    </row>
    <row r="4275" spans="1:23" x14ac:dyDescent="0.25">
      <c r="A4275" t="s">
        <v>4379</v>
      </c>
      <c r="B4275" s="1">
        <v>45970</v>
      </c>
      <c r="C4275" t="s">
        <v>4265</v>
      </c>
      <c r="D4275">
        <v>11</v>
      </c>
      <c r="E4275">
        <v>9</v>
      </c>
      <c r="F4275" t="s">
        <v>149</v>
      </c>
      <c r="G4275" t="s">
        <v>34</v>
      </c>
      <c r="H4275" t="s">
        <v>56</v>
      </c>
      <c r="I4275" t="s">
        <v>69</v>
      </c>
      <c r="J4275" t="s">
        <v>28</v>
      </c>
      <c r="K4275" t="s">
        <v>29</v>
      </c>
      <c r="L4275">
        <v>1</v>
      </c>
      <c r="M4275">
        <v>270</v>
      </c>
      <c r="N4275">
        <v>54</v>
      </c>
      <c r="O4275">
        <v>60</v>
      </c>
      <c r="P4275">
        <v>270</v>
      </c>
      <c r="Q4275">
        <v>276</v>
      </c>
      <c r="R4275" t="s">
        <v>39</v>
      </c>
      <c r="S4275" t="s">
        <v>31</v>
      </c>
      <c r="T4275" t="s">
        <v>40</v>
      </c>
      <c r="U4275">
        <v>30</v>
      </c>
      <c r="V4275">
        <v>2.9</v>
      </c>
      <c r="W4275">
        <f>Table2[[#This Row],[Quantity]]*Table2[[#This Row],[Item_Price]]</f>
        <v>270</v>
      </c>
    </row>
    <row r="4276" spans="1:23" x14ac:dyDescent="0.25">
      <c r="A4276" t="s">
        <v>4380</v>
      </c>
      <c r="B4276" s="1">
        <v>45970</v>
      </c>
      <c r="C4276" t="s">
        <v>4265</v>
      </c>
      <c r="D4276">
        <v>11</v>
      </c>
      <c r="E4276">
        <v>9</v>
      </c>
      <c r="F4276" t="s">
        <v>149</v>
      </c>
      <c r="G4276" t="s">
        <v>80</v>
      </c>
      <c r="H4276" t="s">
        <v>48</v>
      </c>
      <c r="I4276" t="s">
        <v>85</v>
      </c>
      <c r="J4276" t="s">
        <v>70</v>
      </c>
      <c r="K4276" t="s">
        <v>29</v>
      </c>
      <c r="L4276">
        <v>3</v>
      </c>
      <c r="M4276">
        <v>491</v>
      </c>
      <c r="N4276">
        <v>98.2</v>
      </c>
      <c r="O4276">
        <v>30</v>
      </c>
      <c r="P4276">
        <v>1473</v>
      </c>
      <c r="Q4276">
        <v>1404.8</v>
      </c>
      <c r="R4276" t="s">
        <v>30</v>
      </c>
      <c r="S4276" t="s">
        <v>31</v>
      </c>
      <c r="T4276" t="s">
        <v>40</v>
      </c>
      <c r="U4276">
        <v>31</v>
      </c>
      <c r="V4276">
        <v>4.8</v>
      </c>
      <c r="W4276">
        <f>Table2[[#This Row],[Quantity]]*Table2[[#This Row],[Item_Price]]</f>
        <v>1473</v>
      </c>
    </row>
    <row r="4277" spans="1:23" x14ac:dyDescent="0.25">
      <c r="A4277" t="s">
        <v>4381</v>
      </c>
      <c r="B4277" s="1">
        <v>45970</v>
      </c>
      <c r="C4277" t="s">
        <v>4265</v>
      </c>
      <c r="D4277">
        <v>11</v>
      </c>
      <c r="E4277">
        <v>9</v>
      </c>
      <c r="F4277" t="s">
        <v>149</v>
      </c>
      <c r="G4277" t="s">
        <v>90</v>
      </c>
      <c r="H4277" t="s">
        <v>105</v>
      </c>
      <c r="I4277" t="s">
        <v>43</v>
      </c>
      <c r="J4277" t="s">
        <v>53</v>
      </c>
      <c r="K4277" t="s">
        <v>38</v>
      </c>
      <c r="L4277">
        <v>3</v>
      </c>
      <c r="M4277">
        <v>874</v>
      </c>
      <c r="N4277">
        <v>131.1</v>
      </c>
      <c r="O4277">
        <v>50</v>
      </c>
      <c r="P4277">
        <v>2622</v>
      </c>
      <c r="Q4277">
        <v>2540.9</v>
      </c>
      <c r="R4277" t="s">
        <v>39</v>
      </c>
      <c r="S4277" t="s">
        <v>46</v>
      </c>
      <c r="T4277" t="s">
        <v>40</v>
      </c>
      <c r="U4277">
        <v>63</v>
      </c>
      <c r="W4277">
        <f>Table2[[#This Row],[Quantity]]*Table2[[#This Row],[Item_Price]]</f>
        <v>2622</v>
      </c>
    </row>
    <row r="4278" spans="1:23" x14ac:dyDescent="0.25">
      <c r="A4278" t="s">
        <v>4382</v>
      </c>
      <c r="B4278" s="1">
        <v>45970</v>
      </c>
      <c r="C4278" t="s">
        <v>4265</v>
      </c>
      <c r="D4278">
        <v>11</v>
      </c>
      <c r="E4278">
        <v>9</v>
      </c>
      <c r="F4278" t="s">
        <v>149</v>
      </c>
      <c r="G4278" t="s">
        <v>80</v>
      </c>
      <c r="H4278" t="s">
        <v>52</v>
      </c>
      <c r="I4278" t="s">
        <v>61</v>
      </c>
      <c r="J4278" t="s">
        <v>82</v>
      </c>
      <c r="K4278" t="s">
        <v>45</v>
      </c>
      <c r="L4278">
        <v>1</v>
      </c>
      <c r="M4278">
        <v>605</v>
      </c>
      <c r="N4278">
        <v>60.5</v>
      </c>
      <c r="O4278">
        <v>30</v>
      </c>
      <c r="P4278">
        <v>605</v>
      </c>
      <c r="Q4278">
        <v>574.5</v>
      </c>
      <c r="R4278" t="s">
        <v>75</v>
      </c>
      <c r="S4278" t="s">
        <v>31</v>
      </c>
      <c r="T4278" t="s">
        <v>32</v>
      </c>
      <c r="U4278">
        <v>35</v>
      </c>
      <c r="V4278">
        <v>4.3</v>
      </c>
      <c r="W4278">
        <f>Table2[[#This Row],[Quantity]]*Table2[[#This Row],[Item_Price]]</f>
        <v>605</v>
      </c>
    </row>
    <row r="4279" spans="1:23" x14ac:dyDescent="0.25">
      <c r="A4279" t="s">
        <v>4383</v>
      </c>
      <c r="B4279" s="1">
        <v>45970</v>
      </c>
      <c r="C4279" t="s">
        <v>4265</v>
      </c>
      <c r="D4279">
        <v>11</v>
      </c>
      <c r="E4279">
        <v>9</v>
      </c>
      <c r="F4279" t="s">
        <v>149</v>
      </c>
      <c r="G4279" t="s">
        <v>84</v>
      </c>
      <c r="H4279" t="s">
        <v>68</v>
      </c>
      <c r="I4279" t="s">
        <v>36</v>
      </c>
      <c r="J4279" t="s">
        <v>28</v>
      </c>
      <c r="K4279" t="s">
        <v>38</v>
      </c>
      <c r="L4279">
        <v>2</v>
      </c>
      <c r="M4279">
        <v>736</v>
      </c>
      <c r="N4279">
        <v>73.599999999999994</v>
      </c>
      <c r="O4279">
        <v>30</v>
      </c>
      <c r="P4279">
        <v>1472</v>
      </c>
      <c r="Q4279">
        <v>1428.4</v>
      </c>
      <c r="R4279" t="s">
        <v>39</v>
      </c>
      <c r="S4279" t="s">
        <v>46</v>
      </c>
      <c r="T4279" t="s">
        <v>40</v>
      </c>
      <c r="U4279">
        <v>30</v>
      </c>
      <c r="W4279">
        <f>Table2[[#This Row],[Quantity]]*Table2[[#This Row],[Item_Price]]</f>
        <v>1472</v>
      </c>
    </row>
    <row r="4280" spans="1:23" x14ac:dyDescent="0.25">
      <c r="A4280" t="s">
        <v>4384</v>
      </c>
      <c r="B4280" s="1">
        <v>45970</v>
      </c>
      <c r="C4280" t="s">
        <v>4265</v>
      </c>
      <c r="D4280">
        <v>11</v>
      </c>
      <c r="E4280">
        <v>9</v>
      </c>
      <c r="F4280" t="s">
        <v>149</v>
      </c>
      <c r="G4280" t="s">
        <v>25</v>
      </c>
      <c r="H4280" t="s">
        <v>35</v>
      </c>
      <c r="I4280" t="s">
        <v>97</v>
      </c>
      <c r="J4280" t="s">
        <v>94</v>
      </c>
      <c r="K4280" t="s">
        <v>38</v>
      </c>
      <c r="L4280">
        <v>3</v>
      </c>
      <c r="M4280">
        <v>738</v>
      </c>
      <c r="N4280">
        <v>110.7</v>
      </c>
      <c r="O4280">
        <v>60</v>
      </c>
      <c r="P4280">
        <v>2214</v>
      </c>
      <c r="Q4280">
        <v>2163.3000000000002</v>
      </c>
      <c r="R4280" t="s">
        <v>112</v>
      </c>
      <c r="S4280" t="s">
        <v>31</v>
      </c>
      <c r="T4280" t="s">
        <v>32</v>
      </c>
      <c r="U4280">
        <v>49</v>
      </c>
      <c r="V4280">
        <v>3.7</v>
      </c>
      <c r="W4280">
        <f>Table2[[#This Row],[Quantity]]*Table2[[#This Row],[Item_Price]]</f>
        <v>2214</v>
      </c>
    </row>
    <row r="4281" spans="1:23" x14ac:dyDescent="0.25">
      <c r="A4281" t="s">
        <v>4385</v>
      </c>
      <c r="B4281" s="1">
        <v>45970</v>
      </c>
      <c r="C4281" t="s">
        <v>4265</v>
      </c>
      <c r="D4281">
        <v>11</v>
      </c>
      <c r="E4281">
        <v>9</v>
      </c>
      <c r="F4281" t="s">
        <v>149</v>
      </c>
      <c r="G4281" t="s">
        <v>96</v>
      </c>
      <c r="H4281" t="s">
        <v>60</v>
      </c>
      <c r="I4281" t="s">
        <v>61</v>
      </c>
      <c r="J4281" t="s">
        <v>74</v>
      </c>
      <c r="K4281" t="s">
        <v>38</v>
      </c>
      <c r="L4281">
        <v>2</v>
      </c>
      <c r="M4281">
        <v>561</v>
      </c>
      <c r="N4281">
        <v>56.1</v>
      </c>
      <c r="O4281">
        <v>0</v>
      </c>
      <c r="P4281">
        <v>1122</v>
      </c>
      <c r="Q4281">
        <v>1065.9000000000001</v>
      </c>
      <c r="R4281" t="s">
        <v>39</v>
      </c>
      <c r="S4281" t="s">
        <v>31</v>
      </c>
      <c r="T4281" t="s">
        <v>40</v>
      </c>
      <c r="U4281">
        <v>20</v>
      </c>
      <c r="V4281">
        <v>4.7</v>
      </c>
      <c r="W4281">
        <f>Table2[[#This Row],[Quantity]]*Table2[[#This Row],[Item_Price]]</f>
        <v>1122</v>
      </c>
    </row>
    <row r="4282" spans="1:23" x14ac:dyDescent="0.25">
      <c r="A4282" t="s">
        <v>4386</v>
      </c>
      <c r="B4282" s="1">
        <v>45970</v>
      </c>
      <c r="C4282" t="s">
        <v>4265</v>
      </c>
      <c r="D4282">
        <v>11</v>
      </c>
      <c r="E4282">
        <v>9</v>
      </c>
      <c r="F4282" t="s">
        <v>149</v>
      </c>
      <c r="G4282" t="s">
        <v>73</v>
      </c>
      <c r="H4282" t="s">
        <v>35</v>
      </c>
      <c r="I4282" t="s">
        <v>57</v>
      </c>
      <c r="J4282" t="s">
        <v>94</v>
      </c>
      <c r="K4282" t="s">
        <v>29</v>
      </c>
      <c r="L4282">
        <v>3</v>
      </c>
      <c r="M4282">
        <v>484</v>
      </c>
      <c r="N4282">
        <v>72.599999999999994</v>
      </c>
      <c r="O4282">
        <v>50</v>
      </c>
      <c r="P4282">
        <v>1452</v>
      </c>
      <c r="Q4282">
        <v>1429.4</v>
      </c>
      <c r="R4282" t="s">
        <v>39</v>
      </c>
      <c r="S4282" t="s">
        <v>110</v>
      </c>
      <c r="T4282" t="s">
        <v>40</v>
      </c>
      <c r="U4282">
        <v>43</v>
      </c>
      <c r="W4282">
        <f>Table2[[#This Row],[Quantity]]*Table2[[#This Row],[Item_Price]]</f>
        <v>1452</v>
      </c>
    </row>
    <row r="4283" spans="1:23" x14ac:dyDescent="0.25">
      <c r="A4283" t="s">
        <v>4387</v>
      </c>
      <c r="B4283" s="1">
        <v>45970</v>
      </c>
      <c r="C4283" t="s">
        <v>4265</v>
      </c>
      <c r="D4283">
        <v>11</v>
      </c>
      <c r="E4283">
        <v>9</v>
      </c>
      <c r="F4283" t="s">
        <v>149</v>
      </c>
      <c r="G4283" t="s">
        <v>73</v>
      </c>
      <c r="H4283" t="s">
        <v>81</v>
      </c>
      <c r="I4283" t="s">
        <v>49</v>
      </c>
      <c r="J4283" t="s">
        <v>50</v>
      </c>
      <c r="K4283" t="s">
        <v>38</v>
      </c>
      <c r="L4283">
        <v>2</v>
      </c>
      <c r="M4283">
        <v>336</v>
      </c>
      <c r="N4283">
        <v>33.6</v>
      </c>
      <c r="O4283">
        <v>70</v>
      </c>
      <c r="P4283">
        <v>672</v>
      </c>
      <c r="Q4283">
        <v>708.4</v>
      </c>
      <c r="R4283" t="s">
        <v>75</v>
      </c>
      <c r="S4283" t="s">
        <v>31</v>
      </c>
      <c r="T4283" t="s">
        <v>32</v>
      </c>
      <c r="U4283">
        <v>26</v>
      </c>
      <c r="V4283">
        <v>3.9</v>
      </c>
      <c r="W4283">
        <f>Table2[[#This Row],[Quantity]]*Table2[[#This Row],[Item_Price]]</f>
        <v>672</v>
      </c>
    </row>
    <row r="4284" spans="1:23" x14ac:dyDescent="0.25">
      <c r="A4284" t="s">
        <v>4388</v>
      </c>
      <c r="B4284" s="1">
        <v>45970</v>
      </c>
      <c r="C4284" t="s">
        <v>4265</v>
      </c>
      <c r="D4284">
        <v>11</v>
      </c>
      <c r="E4284">
        <v>9</v>
      </c>
      <c r="F4284" t="s">
        <v>149</v>
      </c>
      <c r="G4284" t="s">
        <v>73</v>
      </c>
      <c r="H4284" t="s">
        <v>52</v>
      </c>
      <c r="I4284" t="s">
        <v>97</v>
      </c>
      <c r="J4284" t="s">
        <v>70</v>
      </c>
      <c r="K4284" t="s">
        <v>38</v>
      </c>
      <c r="L4284">
        <v>1</v>
      </c>
      <c r="M4284">
        <v>686</v>
      </c>
      <c r="N4284">
        <v>137.19999999999999</v>
      </c>
      <c r="O4284">
        <v>20</v>
      </c>
      <c r="P4284">
        <v>686</v>
      </c>
      <c r="Q4284">
        <v>568.79999999999995</v>
      </c>
      <c r="R4284" t="s">
        <v>75</v>
      </c>
      <c r="S4284" t="s">
        <v>31</v>
      </c>
      <c r="T4284" t="s">
        <v>40</v>
      </c>
      <c r="U4284">
        <v>41</v>
      </c>
      <c r="V4284">
        <v>2.9</v>
      </c>
      <c r="W4284">
        <f>Table2[[#This Row],[Quantity]]*Table2[[#This Row],[Item_Price]]</f>
        <v>686</v>
      </c>
    </row>
    <row r="4285" spans="1:23" x14ac:dyDescent="0.25">
      <c r="A4285" t="s">
        <v>4389</v>
      </c>
      <c r="B4285" s="1">
        <v>45970</v>
      </c>
      <c r="C4285" t="s">
        <v>4265</v>
      </c>
      <c r="D4285">
        <v>11</v>
      </c>
      <c r="E4285">
        <v>9</v>
      </c>
      <c r="F4285" t="s">
        <v>149</v>
      </c>
      <c r="G4285" t="s">
        <v>55</v>
      </c>
      <c r="H4285" t="s">
        <v>77</v>
      </c>
      <c r="I4285" t="s">
        <v>36</v>
      </c>
      <c r="J4285" t="s">
        <v>28</v>
      </c>
      <c r="K4285" t="s">
        <v>38</v>
      </c>
      <c r="L4285">
        <v>3</v>
      </c>
      <c r="M4285">
        <v>719</v>
      </c>
      <c r="N4285">
        <v>35.950000000000003</v>
      </c>
      <c r="O4285">
        <v>0</v>
      </c>
      <c r="P4285">
        <v>2157</v>
      </c>
      <c r="Q4285">
        <v>2121.0500000000002</v>
      </c>
      <c r="R4285" t="s">
        <v>98</v>
      </c>
      <c r="S4285" t="s">
        <v>31</v>
      </c>
      <c r="T4285" t="s">
        <v>32</v>
      </c>
      <c r="U4285">
        <v>37</v>
      </c>
      <c r="V4285">
        <v>5</v>
      </c>
      <c r="W4285">
        <f>Table2[[#This Row],[Quantity]]*Table2[[#This Row],[Item_Price]]</f>
        <v>2157</v>
      </c>
    </row>
    <row r="4286" spans="1:23" x14ac:dyDescent="0.25">
      <c r="A4286" t="s">
        <v>4390</v>
      </c>
      <c r="B4286" s="1">
        <v>45970</v>
      </c>
      <c r="C4286" t="s">
        <v>4265</v>
      </c>
      <c r="D4286">
        <v>11</v>
      </c>
      <c r="E4286">
        <v>9</v>
      </c>
      <c r="F4286" t="s">
        <v>149</v>
      </c>
      <c r="G4286" t="s">
        <v>90</v>
      </c>
      <c r="H4286" t="s">
        <v>105</v>
      </c>
      <c r="I4286" t="s">
        <v>69</v>
      </c>
      <c r="J4286" t="s">
        <v>44</v>
      </c>
      <c r="K4286" t="s">
        <v>38</v>
      </c>
      <c r="L4286">
        <v>2</v>
      </c>
      <c r="M4286">
        <v>160</v>
      </c>
      <c r="N4286">
        <v>40</v>
      </c>
      <c r="O4286">
        <v>60</v>
      </c>
      <c r="P4286">
        <v>320</v>
      </c>
      <c r="Q4286">
        <v>340</v>
      </c>
      <c r="R4286" t="s">
        <v>112</v>
      </c>
      <c r="S4286" t="s">
        <v>31</v>
      </c>
      <c r="T4286" t="s">
        <v>40</v>
      </c>
      <c r="U4286">
        <v>53</v>
      </c>
      <c r="V4286">
        <v>3.6</v>
      </c>
      <c r="W4286">
        <f>Table2[[#This Row],[Quantity]]*Table2[[#This Row],[Item_Price]]</f>
        <v>320</v>
      </c>
    </row>
    <row r="4287" spans="1:23" x14ac:dyDescent="0.25">
      <c r="A4287" t="s">
        <v>4391</v>
      </c>
      <c r="B4287" s="1">
        <v>45970</v>
      </c>
      <c r="C4287" t="s">
        <v>4265</v>
      </c>
      <c r="D4287">
        <v>11</v>
      </c>
      <c r="E4287">
        <v>9</v>
      </c>
      <c r="F4287" t="s">
        <v>149</v>
      </c>
      <c r="G4287" t="s">
        <v>55</v>
      </c>
      <c r="H4287" t="s">
        <v>52</v>
      </c>
      <c r="I4287" t="s">
        <v>57</v>
      </c>
      <c r="J4287" t="s">
        <v>37</v>
      </c>
      <c r="K4287" t="s">
        <v>58</v>
      </c>
      <c r="L4287">
        <v>1</v>
      </c>
      <c r="M4287">
        <v>774</v>
      </c>
      <c r="N4287">
        <v>154.80000000000001</v>
      </c>
      <c r="O4287">
        <v>40</v>
      </c>
      <c r="P4287">
        <v>774</v>
      </c>
      <c r="Q4287">
        <v>659.2</v>
      </c>
      <c r="R4287" t="s">
        <v>112</v>
      </c>
      <c r="S4287" t="s">
        <v>110</v>
      </c>
      <c r="T4287" t="s">
        <v>40</v>
      </c>
      <c r="U4287">
        <v>45</v>
      </c>
      <c r="W4287">
        <f>Table2[[#This Row],[Quantity]]*Table2[[#This Row],[Item_Price]]</f>
        <v>774</v>
      </c>
    </row>
    <row r="4288" spans="1:23" x14ac:dyDescent="0.25">
      <c r="A4288" t="s">
        <v>4392</v>
      </c>
      <c r="B4288" s="1">
        <v>45970</v>
      </c>
      <c r="C4288" t="s">
        <v>4265</v>
      </c>
      <c r="D4288">
        <v>11</v>
      </c>
      <c r="E4288">
        <v>9</v>
      </c>
      <c r="F4288" t="s">
        <v>149</v>
      </c>
      <c r="G4288" t="s">
        <v>80</v>
      </c>
      <c r="H4288" t="s">
        <v>139</v>
      </c>
      <c r="I4288" t="s">
        <v>85</v>
      </c>
      <c r="J4288" t="s">
        <v>172</v>
      </c>
      <c r="K4288" t="s">
        <v>45</v>
      </c>
      <c r="L4288">
        <v>2</v>
      </c>
      <c r="M4288">
        <v>187</v>
      </c>
      <c r="N4288">
        <v>18.7</v>
      </c>
      <c r="O4288">
        <v>0</v>
      </c>
      <c r="P4288">
        <v>374</v>
      </c>
      <c r="Q4288">
        <v>355.3</v>
      </c>
      <c r="R4288" t="s">
        <v>39</v>
      </c>
      <c r="S4288" t="s">
        <v>31</v>
      </c>
      <c r="T4288" t="s">
        <v>32</v>
      </c>
      <c r="U4288">
        <v>61</v>
      </c>
      <c r="V4288">
        <v>3.9</v>
      </c>
      <c r="W4288">
        <f>Table2[[#This Row],[Quantity]]*Table2[[#This Row],[Item_Price]]</f>
        <v>374</v>
      </c>
    </row>
    <row r="4289" spans="1:23" x14ac:dyDescent="0.25">
      <c r="A4289" t="s">
        <v>4393</v>
      </c>
      <c r="B4289" s="1">
        <v>45970</v>
      </c>
      <c r="C4289" t="s">
        <v>4265</v>
      </c>
      <c r="D4289">
        <v>11</v>
      </c>
      <c r="E4289">
        <v>9</v>
      </c>
      <c r="F4289" t="s">
        <v>149</v>
      </c>
      <c r="G4289" t="s">
        <v>64</v>
      </c>
      <c r="H4289" t="s">
        <v>135</v>
      </c>
      <c r="I4289" t="s">
        <v>103</v>
      </c>
      <c r="J4289" t="s">
        <v>123</v>
      </c>
      <c r="K4289" t="s">
        <v>38</v>
      </c>
      <c r="L4289">
        <v>2</v>
      </c>
      <c r="M4289">
        <v>176</v>
      </c>
      <c r="N4289">
        <v>17.600000000000001</v>
      </c>
      <c r="O4289">
        <v>70</v>
      </c>
      <c r="P4289">
        <v>352</v>
      </c>
      <c r="Q4289">
        <v>404.4</v>
      </c>
      <c r="R4289" t="s">
        <v>30</v>
      </c>
      <c r="S4289" t="s">
        <v>31</v>
      </c>
      <c r="T4289" t="s">
        <v>40</v>
      </c>
      <c r="U4289">
        <v>37</v>
      </c>
      <c r="V4289">
        <v>4.7</v>
      </c>
      <c r="W4289">
        <f>Table2[[#This Row],[Quantity]]*Table2[[#This Row],[Item_Price]]</f>
        <v>352</v>
      </c>
    </row>
    <row r="4290" spans="1:23" x14ac:dyDescent="0.25">
      <c r="A4290" t="s">
        <v>4394</v>
      </c>
      <c r="B4290" s="1">
        <v>45970</v>
      </c>
      <c r="C4290" t="s">
        <v>4265</v>
      </c>
      <c r="D4290">
        <v>11</v>
      </c>
      <c r="E4290">
        <v>9</v>
      </c>
      <c r="F4290" t="s">
        <v>149</v>
      </c>
      <c r="G4290" t="s">
        <v>80</v>
      </c>
      <c r="H4290" t="s">
        <v>65</v>
      </c>
      <c r="I4290" t="s">
        <v>49</v>
      </c>
      <c r="J4290" t="s">
        <v>53</v>
      </c>
      <c r="K4290" t="s">
        <v>45</v>
      </c>
      <c r="L4290">
        <v>1</v>
      </c>
      <c r="M4290">
        <v>840</v>
      </c>
      <c r="N4290">
        <v>0</v>
      </c>
      <c r="O4290">
        <v>30</v>
      </c>
      <c r="P4290">
        <v>840</v>
      </c>
      <c r="Q4290">
        <v>870</v>
      </c>
      <c r="R4290" t="s">
        <v>75</v>
      </c>
      <c r="S4290" t="s">
        <v>31</v>
      </c>
      <c r="T4290" t="s">
        <v>40</v>
      </c>
      <c r="U4290">
        <v>32</v>
      </c>
      <c r="V4290">
        <v>4.5999999999999996</v>
      </c>
      <c r="W4290">
        <f>Table2[[#This Row],[Quantity]]*Table2[[#This Row],[Item_Price]]</f>
        <v>840</v>
      </c>
    </row>
    <row r="4291" spans="1:23" x14ac:dyDescent="0.25">
      <c r="A4291" t="s">
        <v>4395</v>
      </c>
      <c r="B4291" s="1">
        <v>45970</v>
      </c>
      <c r="C4291" t="s">
        <v>4265</v>
      </c>
      <c r="D4291">
        <v>11</v>
      </c>
      <c r="E4291">
        <v>9</v>
      </c>
      <c r="F4291" t="s">
        <v>149</v>
      </c>
      <c r="G4291" t="s">
        <v>96</v>
      </c>
      <c r="H4291" t="s">
        <v>26</v>
      </c>
      <c r="I4291" t="s">
        <v>97</v>
      </c>
      <c r="J4291" t="s">
        <v>172</v>
      </c>
      <c r="K4291" t="s">
        <v>38</v>
      </c>
      <c r="L4291">
        <v>2</v>
      </c>
      <c r="M4291">
        <v>506</v>
      </c>
      <c r="N4291">
        <v>50.6</v>
      </c>
      <c r="O4291">
        <v>20</v>
      </c>
      <c r="P4291">
        <v>1012</v>
      </c>
      <c r="Q4291">
        <v>981.4</v>
      </c>
      <c r="R4291" t="s">
        <v>75</v>
      </c>
      <c r="S4291" t="s">
        <v>31</v>
      </c>
      <c r="T4291" t="s">
        <v>40</v>
      </c>
      <c r="U4291">
        <v>31</v>
      </c>
      <c r="V4291">
        <v>3.2</v>
      </c>
      <c r="W4291">
        <f>Table2[[#This Row],[Quantity]]*Table2[[#This Row],[Item_Price]]</f>
        <v>1012</v>
      </c>
    </row>
    <row r="4292" spans="1:23" x14ac:dyDescent="0.25">
      <c r="A4292" t="s">
        <v>4396</v>
      </c>
      <c r="B4292" s="1">
        <v>45971</v>
      </c>
      <c r="C4292" t="s">
        <v>4265</v>
      </c>
      <c r="D4292">
        <v>11</v>
      </c>
      <c r="E4292">
        <v>10</v>
      </c>
      <c r="F4292" t="s">
        <v>168</v>
      </c>
      <c r="G4292" t="s">
        <v>73</v>
      </c>
      <c r="H4292" t="s">
        <v>42</v>
      </c>
      <c r="I4292" t="s">
        <v>61</v>
      </c>
      <c r="J4292" t="s">
        <v>50</v>
      </c>
      <c r="K4292" t="s">
        <v>38</v>
      </c>
      <c r="L4292">
        <v>1</v>
      </c>
      <c r="M4292">
        <v>525</v>
      </c>
      <c r="N4292">
        <v>78.75</v>
      </c>
      <c r="O4292">
        <v>40</v>
      </c>
      <c r="P4292">
        <v>525</v>
      </c>
      <c r="Q4292">
        <v>486.25</v>
      </c>
      <c r="R4292" t="s">
        <v>75</v>
      </c>
      <c r="S4292" t="s">
        <v>31</v>
      </c>
      <c r="T4292" t="s">
        <v>32</v>
      </c>
      <c r="U4292">
        <v>34</v>
      </c>
      <c r="V4292">
        <v>4.5</v>
      </c>
      <c r="W4292">
        <f>Table2[[#This Row],[Quantity]]*Table2[[#This Row],[Item_Price]]</f>
        <v>525</v>
      </c>
    </row>
    <row r="4293" spans="1:23" x14ac:dyDescent="0.25">
      <c r="A4293" t="s">
        <v>4397</v>
      </c>
      <c r="B4293" s="1">
        <v>45971</v>
      </c>
      <c r="C4293" t="s">
        <v>4265</v>
      </c>
      <c r="D4293">
        <v>11</v>
      </c>
      <c r="E4293">
        <v>10</v>
      </c>
      <c r="F4293" t="s">
        <v>168</v>
      </c>
      <c r="G4293" t="s">
        <v>84</v>
      </c>
      <c r="H4293" t="s">
        <v>65</v>
      </c>
      <c r="I4293" t="s">
        <v>85</v>
      </c>
      <c r="J4293" t="s">
        <v>172</v>
      </c>
      <c r="K4293" t="s">
        <v>38</v>
      </c>
      <c r="L4293">
        <v>1</v>
      </c>
      <c r="M4293">
        <v>697</v>
      </c>
      <c r="N4293">
        <v>174.25</v>
      </c>
      <c r="O4293">
        <v>40</v>
      </c>
      <c r="P4293">
        <v>697</v>
      </c>
      <c r="Q4293">
        <v>562.75</v>
      </c>
      <c r="R4293" t="s">
        <v>39</v>
      </c>
      <c r="S4293" t="s">
        <v>110</v>
      </c>
      <c r="T4293" t="s">
        <v>32</v>
      </c>
      <c r="U4293">
        <v>43</v>
      </c>
      <c r="W4293">
        <f>Table2[[#This Row],[Quantity]]*Table2[[#This Row],[Item_Price]]</f>
        <v>697</v>
      </c>
    </row>
    <row r="4294" spans="1:23" x14ac:dyDescent="0.25">
      <c r="A4294" t="s">
        <v>4398</v>
      </c>
      <c r="B4294" s="1">
        <v>45971</v>
      </c>
      <c r="C4294" t="s">
        <v>4265</v>
      </c>
      <c r="D4294">
        <v>11</v>
      </c>
      <c r="E4294">
        <v>10</v>
      </c>
      <c r="F4294" t="s">
        <v>168</v>
      </c>
      <c r="G4294" t="s">
        <v>96</v>
      </c>
      <c r="H4294" t="s">
        <v>56</v>
      </c>
      <c r="I4294" t="s">
        <v>85</v>
      </c>
      <c r="J4294" t="s">
        <v>66</v>
      </c>
      <c r="K4294" t="s">
        <v>45</v>
      </c>
      <c r="L4294">
        <v>1</v>
      </c>
      <c r="M4294">
        <v>405</v>
      </c>
      <c r="N4294">
        <v>40.5</v>
      </c>
      <c r="O4294">
        <v>60</v>
      </c>
      <c r="P4294">
        <v>405</v>
      </c>
      <c r="Q4294">
        <v>424.5</v>
      </c>
      <c r="R4294" t="s">
        <v>75</v>
      </c>
      <c r="S4294" t="s">
        <v>31</v>
      </c>
      <c r="T4294" t="s">
        <v>40</v>
      </c>
      <c r="U4294">
        <v>69</v>
      </c>
      <c r="V4294">
        <v>3.5</v>
      </c>
      <c r="W4294">
        <f>Table2[[#This Row],[Quantity]]*Table2[[#This Row],[Item_Price]]</f>
        <v>405</v>
      </c>
    </row>
    <row r="4295" spans="1:23" x14ac:dyDescent="0.25">
      <c r="A4295" t="s">
        <v>4399</v>
      </c>
      <c r="B4295" s="1">
        <v>45971</v>
      </c>
      <c r="C4295" t="s">
        <v>4265</v>
      </c>
      <c r="D4295">
        <v>11</v>
      </c>
      <c r="E4295">
        <v>10</v>
      </c>
      <c r="F4295" t="s">
        <v>168</v>
      </c>
      <c r="G4295" t="s">
        <v>90</v>
      </c>
      <c r="H4295" t="s">
        <v>65</v>
      </c>
      <c r="I4295" t="s">
        <v>69</v>
      </c>
      <c r="J4295" t="s">
        <v>62</v>
      </c>
      <c r="K4295" t="s">
        <v>45</v>
      </c>
      <c r="L4295">
        <v>1</v>
      </c>
      <c r="M4295">
        <v>476</v>
      </c>
      <c r="N4295">
        <v>0</v>
      </c>
      <c r="O4295">
        <v>30</v>
      </c>
      <c r="P4295">
        <v>476</v>
      </c>
      <c r="Q4295">
        <v>506</v>
      </c>
      <c r="R4295" t="s">
        <v>39</v>
      </c>
      <c r="S4295" t="s">
        <v>31</v>
      </c>
      <c r="T4295" t="s">
        <v>40</v>
      </c>
      <c r="U4295">
        <v>27</v>
      </c>
      <c r="V4295">
        <v>4.2</v>
      </c>
      <c r="W4295">
        <f>Table2[[#This Row],[Quantity]]*Table2[[#This Row],[Item_Price]]</f>
        <v>476</v>
      </c>
    </row>
    <row r="4296" spans="1:23" x14ac:dyDescent="0.25">
      <c r="A4296" t="s">
        <v>4400</v>
      </c>
      <c r="B4296" s="1">
        <v>45971</v>
      </c>
      <c r="C4296" t="s">
        <v>4265</v>
      </c>
      <c r="D4296">
        <v>11</v>
      </c>
      <c r="E4296">
        <v>10</v>
      </c>
      <c r="F4296" t="s">
        <v>168</v>
      </c>
      <c r="G4296" t="s">
        <v>73</v>
      </c>
      <c r="H4296" t="s">
        <v>56</v>
      </c>
      <c r="I4296" t="s">
        <v>36</v>
      </c>
      <c r="J4296" t="s">
        <v>53</v>
      </c>
      <c r="K4296" t="s">
        <v>29</v>
      </c>
      <c r="L4296">
        <v>3</v>
      </c>
      <c r="M4296">
        <v>657</v>
      </c>
      <c r="N4296">
        <v>131.4</v>
      </c>
      <c r="O4296">
        <v>0</v>
      </c>
      <c r="P4296">
        <v>1971</v>
      </c>
      <c r="Q4296">
        <v>1839.6</v>
      </c>
      <c r="R4296" t="s">
        <v>39</v>
      </c>
      <c r="S4296" t="s">
        <v>31</v>
      </c>
      <c r="T4296" t="s">
        <v>40</v>
      </c>
      <c r="U4296">
        <v>25</v>
      </c>
      <c r="V4296">
        <v>4.4000000000000004</v>
      </c>
      <c r="W4296">
        <f>Table2[[#This Row],[Quantity]]*Table2[[#This Row],[Item_Price]]</f>
        <v>1971</v>
      </c>
    </row>
    <row r="4297" spans="1:23" x14ac:dyDescent="0.25">
      <c r="A4297" t="s">
        <v>4401</v>
      </c>
      <c r="B4297" s="1">
        <v>45971</v>
      </c>
      <c r="C4297" t="s">
        <v>4265</v>
      </c>
      <c r="D4297">
        <v>11</v>
      </c>
      <c r="E4297">
        <v>10</v>
      </c>
      <c r="F4297" t="s">
        <v>168</v>
      </c>
      <c r="G4297" t="s">
        <v>64</v>
      </c>
      <c r="H4297" t="s">
        <v>35</v>
      </c>
      <c r="I4297" t="s">
        <v>36</v>
      </c>
      <c r="J4297" t="s">
        <v>74</v>
      </c>
      <c r="K4297" t="s">
        <v>38</v>
      </c>
      <c r="L4297">
        <v>2</v>
      </c>
      <c r="M4297">
        <v>484</v>
      </c>
      <c r="N4297">
        <v>48.4</v>
      </c>
      <c r="O4297">
        <v>50</v>
      </c>
      <c r="P4297">
        <v>968</v>
      </c>
      <c r="Q4297">
        <v>969.6</v>
      </c>
      <c r="R4297" t="s">
        <v>75</v>
      </c>
      <c r="S4297" t="s">
        <v>31</v>
      </c>
      <c r="T4297" t="s">
        <v>32</v>
      </c>
      <c r="U4297">
        <v>61</v>
      </c>
      <c r="V4297">
        <v>4.2</v>
      </c>
      <c r="W4297">
        <f>Table2[[#This Row],[Quantity]]*Table2[[#This Row],[Item_Price]]</f>
        <v>968</v>
      </c>
    </row>
    <row r="4298" spans="1:23" x14ac:dyDescent="0.25">
      <c r="A4298" t="s">
        <v>4402</v>
      </c>
      <c r="B4298" s="1">
        <v>45971</v>
      </c>
      <c r="C4298" t="s">
        <v>4265</v>
      </c>
      <c r="D4298">
        <v>11</v>
      </c>
      <c r="E4298">
        <v>10</v>
      </c>
      <c r="F4298" t="s">
        <v>168</v>
      </c>
      <c r="G4298" t="s">
        <v>80</v>
      </c>
      <c r="H4298" t="s">
        <v>135</v>
      </c>
      <c r="I4298" t="s">
        <v>57</v>
      </c>
      <c r="J4298" t="s">
        <v>172</v>
      </c>
      <c r="K4298" t="s">
        <v>38</v>
      </c>
      <c r="L4298">
        <v>1</v>
      </c>
      <c r="M4298">
        <v>170</v>
      </c>
      <c r="N4298">
        <v>42.5</v>
      </c>
      <c r="O4298">
        <v>50</v>
      </c>
      <c r="P4298">
        <v>170</v>
      </c>
      <c r="Q4298">
        <v>177.5</v>
      </c>
      <c r="R4298" t="s">
        <v>39</v>
      </c>
      <c r="S4298" t="s">
        <v>31</v>
      </c>
      <c r="T4298" t="s">
        <v>40</v>
      </c>
      <c r="U4298">
        <v>66</v>
      </c>
      <c r="V4298">
        <v>3.5</v>
      </c>
      <c r="W4298">
        <f>Table2[[#This Row],[Quantity]]*Table2[[#This Row],[Item_Price]]</f>
        <v>170</v>
      </c>
    </row>
    <row r="4299" spans="1:23" x14ac:dyDescent="0.25">
      <c r="A4299" t="s">
        <v>4403</v>
      </c>
      <c r="B4299" s="1">
        <v>45971</v>
      </c>
      <c r="C4299" t="s">
        <v>4265</v>
      </c>
      <c r="D4299">
        <v>11</v>
      </c>
      <c r="E4299">
        <v>10</v>
      </c>
      <c r="F4299" t="s">
        <v>168</v>
      </c>
      <c r="G4299" t="s">
        <v>73</v>
      </c>
      <c r="H4299" t="s">
        <v>65</v>
      </c>
      <c r="I4299" t="s">
        <v>103</v>
      </c>
      <c r="J4299" t="s">
        <v>62</v>
      </c>
      <c r="K4299" t="s">
        <v>45</v>
      </c>
      <c r="L4299">
        <v>1</v>
      </c>
      <c r="M4299">
        <v>128</v>
      </c>
      <c r="N4299">
        <v>6.4</v>
      </c>
      <c r="O4299">
        <v>40</v>
      </c>
      <c r="P4299">
        <v>128</v>
      </c>
      <c r="Q4299">
        <v>161.6</v>
      </c>
      <c r="R4299" t="s">
        <v>39</v>
      </c>
      <c r="S4299" t="s">
        <v>31</v>
      </c>
      <c r="T4299" t="s">
        <v>32</v>
      </c>
      <c r="U4299">
        <v>31</v>
      </c>
      <c r="V4299">
        <v>4.2</v>
      </c>
      <c r="W4299">
        <f>Table2[[#This Row],[Quantity]]*Table2[[#This Row],[Item_Price]]</f>
        <v>128</v>
      </c>
    </row>
    <row r="4300" spans="1:23" x14ac:dyDescent="0.25">
      <c r="A4300" t="s">
        <v>4404</v>
      </c>
      <c r="B4300" s="1">
        <v>45971</v>
      </c>
      <c r="C4300" t="s">
        <v>4265</v>
      </c>
      <c r="D4300">
        <v>11</v>
      </c>
      <c r="E4300">
        <v>10</v>
      </c>
      <c r="F4300" t="s">
        <v>168</v>
      </c>
      <c r="G4300" t="s">
        <v>96</v>
      </c>
      <c r="H4300" t="s">
        <v>77</v>
      </c>
      <c r="I4300" t="s">
        <v>85</v>
      </c>
      <c r="J4300" t="s">
        <v>53</v>
      </c>
      <c r="K4300" t="s">
        <v>38</v>
      </c>
      <c r="L4300">
        <v>2</v>
      </c>
      <c r="M4300">
        <v>753</v>
      </c>
      <c r="N4300">
        <v>112.95</v>
      </c>
      <c r="O4300">
        <v>20</v>
      </c>
      <c r="P4300">
        <v>1506</v>
      </c>
      <c r="Q4300">
        <v>1413.05</v>
      </c>
      <c r="R4300" t="s">
        <v>75</v>
      </c>
      <c r="S4300" t="s">
        <v>31</v>
      </c>
      <c r="T4300" t="s">
        <v>40</v>
      </c>
      <c r="U4300">
        <v>66</v>
      </c>
      <c r="V4300">
        <v>3</v>
      </c>
      <c r="W4300">
        <f>Table2[[#This Row],[Quantity]]*Table2[[#This Row],[Item_Price]]</f>
        <v>1506</v>
      </c>
    </row>
    <row r="4301" spans="1:23" x14ac:dyDescent="0.25">
      <c r="A4301" t="s">
        <v>4405</v>
      </c>
      <c r="B4301" s="1">
        <v>45971</v>
      </c>
      <c r="C4301" t="s">
        <v>4265</v>
      </c>
      <c r="D4301">
        <v>11</v>
      </c>
      <c r="E4301">
        <v>10</v>
      </c>
      <c r="F4301" t="s">
        <v>168</v>
      </c>
      <c r="G4301" t="s">
        <v>25</v>
      </c>
      <c r="H4301" t="s">
        <v>139</v>
      </c>
      <c r="I4301" t="s">
        <v>27</v>
      </c>
      <c r="J4301" t="s">
        <v>119</v>
      </c>
      <c r="K4301" t="s">
        <v>38</v>
      </c>
      <c r="L4301">
        <v>1</v>
      </c>
      <c r="M4301">
        <v>552</v>
      </c>
      <c r="N4301">
        <v>82.8</v>
      </c>
      <c r="O4301">
        <v>30</v>
      </c>
      <c r="P4301">
        <v>552</v>
      </c>
      <c r="Q4301">
        <v>499.2</v>
      </c>
      <c r="R4301" t="s">
        <v>112</v>
      </c>
      <c r="S4301" t="s">
        <v>31</v>
      </c>
      <c r="T4301" t="s">
        <v>32</v>
      </c>
      <c r="U4301">
        <v>25</v>
      </c>
      <c r="V4301">
        <v>3.2</v>
      </c>
      <c r="W4301">
        <f>Table2[[#This Row],[Quantity]]*Table2[[#This Row],[Item_Price]]</f>
        <v>552</v>
      </c>
    </row>
    <row r="4302" spans="1:23" x14ac:dyDescent="0.25">
      <c r="A4302" t="s">
        <v>4406</v>
      </c>
      <c r="B4302" s="1">
        <v>45971</v>
      </c>
      <c r="C4302" t="s">
        <v>4265</v>
      </c>
      <c r="D4302">
        <v>11</v>
      </c>
      <c r="E4302">
        <v>10</v>
      </c>
      <c r="F4302" t="s">
        <v>168</v>
      </c>
      <c r="G4302" t="s">
        <v>90</v>
      </c>
      <c r="H4302" t="s">
        <v>26</v>
      </c>
      <c r="I4302" t="s">
        <v>61</v>
      </c>
      <c r="J4302" t="s">
        <v>50</v>
      </c>
      <c r="K4302" t="s">
        <v>38</v>
      </c>
      <c r="L4302">
        <v>1</v>
      </c>
      <c r="M4302">
        <v>316</v>
      </c>
      <c r="N4302">
        <v>79</v>
      </c>
      <c r="O4302">
        <v>40</v>
      </c>
      <c r="P4302">
        <v>316</v>
      </c>
      <c r="Q4302">
        <v>277</v>
      </c>
      <c r="R4302" t="s">
        <v>39</v>
      </c>
      <c r="S4302" t="s">
        <v>31</v>
      </c>
      <c r="T4302" t="s">
        <v>40</v>
      </c>
      <c r="U4302">
        <v>37</v>
      </c>
      <c r="V4302">
        <v>3.2</v>
      </c>
      <c r="W4302">
        <f>Table2[[#This Row],[Quantity]]*Table2[[#This Row],[Item_Price]]</f>
        <v>316</v>
      </c>
    </row>
    <row r="4303" spans="1:23" x14ac:dyDescent="0.25">
      <c r="A4303" t="s">
        <v>4407</v>
      </c>
      <c r="B4303" s="1">
        <v>45971</v>
      </c>
      <c r="C4303" t="s">
        <v>4265</v>
      </c>
      <c r="D4303">
        <v>11</v>
      </c>
      <c r="E4303">
        <v>10</v>
      </c>
      <c r="F4303" t="s">
        <v>168</v>
      </c>
      <c r="G4303" t="s">
        <v>73</v>
      </c>
      <c r="H4303" t="s">
        <v>35</v>
      </c>
      <c r="I4303" t="s">
        <v>103</v>
      </c>
      <c r="J4303" t="s">
        <v>74</v>
      </c>
      <c r="K4303" t="s">
        <v>45</v>
      </c>
      <c r="L4303">
        <v>2</v>
      </c>
      <c r="M4303">
        <v>284</v>
      </c>
      <c r="N4303">
        <v>0</v>
      </c>
      <c r="O4303">
        <v>60</v>
      </c>
      <c r="P4303">
        <v>568</v>
      </c>
      <c r="Q4303">
        <v>628</v>
      </c>
      <c r="R4303" t="s">
        <v>75</v>
      </c>
      <c r="S4303" t="s">
        <v>31</v>
      </c>
      <c r="T4303" t="s">
        <v>40</v>
      </c>
      <c r="U4303">
        <v>31</v>
      </c>
      <c r="V4303">
        <v>5</v>
      </c>
      <c r="W4303">
        <f>Table2[[#This Row],[Quantity]]*Table2[[#This Row],[Item_Price]]</f>
        <v>568</v>
      </c>
    </row>
    <row r="4304" spans="1:23" x14ac:dyDescent="0.25">
      <c r="A4304" t="s">
        <v>4408</v>
      </c>
      <c r="B4304" s="1">
        <v>45971</v>
      </c>
      <c r="C4304" t="s">
        <v>4265</v>
      </c>
      <c r="D4304">
        <v>11</v>
      </c>
      <c r="E4304">
        <v>10</v>
      </c>
      <c r="F4304" t="s">
        <v>168</v>
      </c>
      <c r="G4304" t="s">
        <v>84</v>
      </c>
      <c r="H4304" t="s">
        <v>108</v>
      </c>
      <c r="I4304" t="s">
        <v>61</v>
      </c>
      <c r="J4304" t="s">
        <v>50</v>
      </c>
      <c r="K4304" t="s">
        <v>58</v>
      </c>
      <c r="L4304">
        <v>1</v>
      </c>
      <c r="M4304">
        <v>457</v>
      </c>
      <c r="N4304">
        <v>0</v>
      </c>
      <c r="O4304">
        <v>70</v>
      </c>
      <c r="P4304">
        <v>457</v>
      </c>
      <c r="Q4304">
        <v>527</v>
      </c>
      <c r="R4304" t="s">
        <v>112</v>
      </c>
      <c r="S4304" t="s">
        <v>31</v>
      </c>
      <c r="T4304" t="s">
        <v>40</v>
      </c>
      <c r="U4304">
        <v>47</v>
      </c>
      <c r="V4304">
        <v>5</v>
      </c>
      <c r="W4304">
        <f>Table2[[#This Row],[Quantity]]*Table2[[#This Row],[Item_Price]]</f>
        <v>457</v>
      </c>
    </row>
    <row r="4305" spans="1:23" x14ac:dyDescent="0.25">
      <c r="A4305" t="s">
        <v>4409</v>
      </c>
      <c r="B4305" s="1">
        <v>45971</v>
      </c>
      <c r="C4305" t="s">
        <v>4265</v>
      </c>
      <c r="D4305">
        <v>11</v>
      </c>
      <c r="E4305">
        <v>10</v>
      </c>
      <c r="F4305" t="s">
        <v>168</v>
      </c>
      <c r="G4305" t="s">
        <v>25</v>
      </c>
      <c r="H4305" t="s">
        <v>56</v>
      </c>
      <c r="I4305" t="s">
        <v>97</v>
      </c>
      <c r="J4305" t="s">
        <v>28</v>
      </c>
      <c r="K4305" t="s">
        <v>58</v>
      </c>
      <c r="L4305">
        <v>1</v>
      </c>
      <c r="M4305">
        <v>605</v>
      </c>
      <c r="N4305">
        <v>30.25</v>
      </c>
      <c r="O4305">
        <v>40</v>
      </c>
      <c r="P4305">
        <v>605</v>
      </c>
      <c r="Q4305">
        <v>614.75</v>
      </c>
      <c r="R4305" t="s">
        <v>39</v>
      </c>
      <c r="S4305" t="s">
        <v>31</v>
      </c>
      <c r="T4305" t="s">
        <v>32</v>
      </c>
      <c r="U4305">
        <v>59</v>
      </c>
      <c r="V4305">
        <v>4.0999999999999996</v>
      </c>
      <c r="W4305">
        <f>Table2[[#This Row],[Quantity]]*Table2[[#This Row],[Item_Price]]</f>
        <v>605</v>
      </c>
    </row>
    <row r="4306" spans="1:23" x14ac:dyDescent="0.25">
      <c r="A4306" t="s">
        <v>4410</v>
      </c>
      <c r="B4306" s="1">
        <v>45971</v>
      </c>
      <c r="C4306" t="s">
        <v>4265</v>
      </c>
      <c r="D4306">
        <v>11</v>
      </c>
      <c r="E4306">
        <v>10</v>
      </c>
      <c r="F4306" t="s">
        <v>168</v>
      </c>
      <c r="G4306" t="s">
        <v>25</v>
      </c>
      <c r="H4306" t="s">
        <v>81</v>
      </c>
      <c r="I4306" t="s">
        <v>97</v>
      </c>
      <c r="J4306" t="s">
        <v>53</v>
      </c>
      <c r="K4306" t="s">
        <v>38</v>
      </c>
      <c r="L4306">
        <v>1</v>
      </c>
      <c r="M4306">
        <v>139</v>
      </c>
      <c r="N4306">
        <v>27.8</v>
      </c>
      <c r="O4306">
        <v>30</v>
      </c>
      <c r="P4306">
        <v>139</v>
      </c>
      <c r="Q4306">
        <v>141.19999999999999</v>
      </c>
      <c r="R4306" t="s">
        <v>75</v>
      </c>
      <c r="S4306" t="s">
        <v>46</v>
      </c>
      <c r="T4306" t="s">
        <v>32</v>
      </c>
      <c r="U4306">
        <v>23</v>
      </c>
      <c r="W4306">
        <f>Table2[[#This Row],[Quantity]]*Table2[[#This Row],[Item_Price]]</f>
        <v>139</v>
      </c>
    </row>
    <row r="4307" spans="1:23" x14ac:dyDescent="0.25">
      <c r="A4307" t="s">
        <v>4411</v>
      </c>
      <c r="B4307" s="1">
        <v>45971</v>
      </c>
      <c r="C4307" t="s">
        <v>4265</v>
      </c>
      <c r="D4307">
        <v>11</v>
      </c>
      <c r="E4307">
        <v>10</v>
      </c>
      <c r="F4307" t="s">
        <v>168</v>
      </c>
      <c r="G4307" t="s">
        <v>96</v>
      </c>
      <c r="H4307" t="s">
        <v>68</v>
      </c>
      <c r="I4307" t="s">
        <v>85</v>
      </c>
      <c r="J4307" t="s">
        <v>50</v>
      </c>
      <c r="K4307" t="s">
        <v>38</v>
      </c>
      <c r="L4307">
        <v>3</v>
      </c>
      <c r="M4307">
        <v>272</v>
      </c>
      <c r="N4307">
        <v>40.799999999999997</v>
      </c>
      <c r="O4307">
        <v>40</v>
      </c>
      <c r="P4307">
        <v>816</v>
      </c>
      <c r="Q4307">
        <v>815.2</v>
      </c>
      <c r="R4307" t="s">
        <v>75</v>
      </c>
      <c r="S4307" t="s">
        <v>31</v>
      </c>
      <c r="T4307" t="s">
        <v>40</v>
      </c>
      <c r="U4307">
        <v>41</v>
      </c>
      <c r="V4307">
        <v>2.6</v>
      </c>
      <c r="W4307">
        <f>Table2[[#This Row],[Quantity]]*Table2[[#This Row],[Item_Price]]</f>
        <v>816</v>
      </c>
    </row>
    <row r="4308" spans="1:23" x14ac:dyDescent="0.25">
      <c r="A4308" t="s">
        <v>4412</v>
      </c>
      <c r="B4308" s="1">
        <v>45971</v>
      </c>
      <c r="C4308" t="s">
        <v>4265</v>
      </c>
      <c r="D4308">
        <v>11</v>
      </c>
      <c r="E4308">
        <v>10</v>
      </c>
      <c r="F4308" t="s">
        <v>168</v>
      </c>
      <c r="G4308" t="s">
        <v>25</v>
      </c>
      <c r="H4308" t="s">
        <v>68</v>
      </c>
      <c r="I4308" t="s">
        <v>97</v>
      </c>
      <c r="J4308" t="s">
        <v>66</v>
      </c>
      <c r="K4308" t="s">
        <v>38</v>
      </c>
      <c r="L4308">
        <v>3</v>
      </c>
      <c r="M4308">
        <v>877</v>
      </c>
      <c r="N4308">
        <v>0</v>
      </c>
      <c r="O4308">
        <v>50</v>
      </c>
      <c r="P4308">
        <v>2631</v>
      </c>
      <c r="Q4308">
        <v>2681</v>
      </c>
      <c r="R4308" t="s">
        <v>30</v>
      </c>
      <c r="S4308" t="s">
        <v>31</v>
      </c>
      <c r="T4308" t="s">
        <v>40</v>
      </c>
      <c r="U4308">
        <v>67</v>
      </c>
      <c r="V4308">
        <v>3.3</v>
      </c>
      <c r="W4308">
        <f>Table2[[#This Row],[Quantity]]*Table2[[#This Row],[Item_Price]]</f>
        <v>2631</v>
      </c>
    </row>
    <row r="4309" spans="1:23" x14ac:dyDescent="0.25">
      <c r="A4309" t="s">
        <v>4413</v>
      </c>
      <c r="B4309" s="1">
        <v>45971</v>
      </c>
      <c r="C4309" t="s">
        <v>4265</v>
      </c>
      <c r="D4309">
        <v>11</v>
      </c>
      <c r="E4309">
        <v>10</v>
      </c>
      <c r="F4309" t="s">
        <v>168</v>
      </c>
      <c r="G4309" t="s">
        <v>90</v>
      </c>
      <c r="H4309" t="s">
        <v>56</v>
      </c>
      <c r="I4309" t="s">
        <v>36</v>
      </c>
      <c r="J4309" t="s">
        <v>44</v>
      </c>
      <c r="K4309" t="s">
        <v>45</v>
      </c>
      <c r="L4309">
        <v>2</v>
      </c>
      <c r="M4309">
        <v>306</v>
      </c>
      <c r="N4309">
        <v>30.6</v>
      </c>
      <c r="O4309">
        <v>20</v>
      </c>
      <c r="P4309">
        <v>612</v>
      </c>
      <c r="Q4309">
        <v>601.4</v>
      </c>
      <c r="R4309" t="s">
        <v>39</v>
      </c>
      <c r="S4309" t="s">
        <v>31</v>
      </c>
      <c r="T4309" t="s">
        <v>40</v>
      </c>
      <c r="U4309">
        <v>43</v>
      </c>
      <c r="V4309">
        <v>4.0999999999999996</v>
      </c>
      <c r="W4309">
        <f>Table2[[#This Row],[Quantity]]*Table2[[#This Row],[Item_Price]]</f>
        <v>612</v>
      </c>
    </row>
    <row r="4310" spans="1:23" x14ac:dyDescent="0.25">
      <c r="A4310" t="s">
        <v>4414</v>
      </c>
      <c r="B4310" s="1">
        <v>45971</v>
      </c>
      <c r="C4310" t="s">
        <v>4265</v>
      </c>
      <c r="D4310">
        <v>11</v>
      </c>
      <c r="E4310">
        <v>10</v>
      </c>
      <c r="F4310" t="s">
        <v>168</v>
      </c>
      <c r="G4310" t="s">
        <v>73</v>
      </c>
      <c r="H4310" t="s">
        <v>105</v>
      </c>
      <c r="I4310" t="s">
        <v>103</v>
      </c>
      <c r="J4310" t="s">
        <v>101</v>
      </c>
      <c r="K4310" t="s">
        <v>58</v>
      </c>
      <c r="L4310">
        <v>2</v>
      </c>
      <c r="M4310">
        <v>360</v>
      </c>
      <c r="N4310">
        <v>36</v>
      </c>
      <c r="O4310">
        <v>40</v>
      </c>
      <c r="P4310">
        <v>720</v>
      </c>
      <c r="Q4310">
        <v>724</v>
      </c>
      <c r="R4310" t="s">
        <v>112</v>
      </c>
      <c r="S4310" t="s">
        <v>31</v>
      </c>
      <c r="T4310" t="s">
        <v>40</v>
      </c>
      <c r="U4310">
        <v>64</v>
      </c>
      <c r="V4310">
        <v>3.8</v>
      </c>
      <c r="W4310">
        <f>Table2[[#This Row],[Quantity]]*Table2[[#This Row],[Item_Price]]</f>
        <v>720</v>
      </c>
    </row>
    <row r="4311" spans="1:23" x14ac:dyDescent="0.25">
      <c r="A4311" t="s">
        <v>4415</v>
      </c>
      <c r="B4311" s="1">
        <v>45972</v>
      </c>
      <c r="C4311" t="s">
        <v>4265</v>
      </c>
      <c r="D4311">
        <v>11</v>
      </c>
      <c r="E4311">
        <v>11</v>
      </c>
      <c r="F4311" t="s">
        <v>178</v>
      </c>
      <c r="G4311" t="s">
        <v>80</v>
      </c>
      <c r="H4311" t="s">
        <v>81</v>
      </c>
      <c r="I4311" t="s">
        <v>36</v>
      </c>
      <c r="J4311" t="s">
        <v>101</v>
      </c>
      <c r="K4311" t="s">
        <v>38</v>
      </c>
      <c r="L4311">
        <v>1</v>
      </c>
      <c r="M4311">
        <v>603</v>
      </c>
      <c r="N4311">
        <v>60.3</v>
      </c>
      <c r="O4311">
        <v>40</v>
      </c>
      <c r="P4311">
        <v>603</v>
      </c>
      <c r="Q4311">
        <v>582.70000000000005</v>
      </c>
      <c r="R4311" t="s">
        <v>30</v>
      </c>
      <c r="S4311" t="s">
        <v>91</v>
      </c>
      <c r="T4311" t="s">
        <v>40</v>
      </c>
      <c r="U4311">
        <v>54</v>
      </c>
      <c r="W4311">
        <f>Table2[[#This Row],[Quantity]]*Table2[[#This Row],[Item_Price]]</f>
        <v>603</v>
      </c>
    </row>
    <row r="4312" spans="1:23" x14ac:dyDescent="0.25">
      <c r="A4312" t="s">
        <v>4416</v>
      </c>
      <c r="B4312" s="1">
        <v>45972</v>
      </c>
      <c r="C4312" t="s">
        <v>4265</v>
      </c>
      <c r="D4312">
        <v>11</v>
      </c>
      <c r="E4312">
        <v>11</v>
      </c>
      <c r="F4312" t="s">
        <v>178</v>
      </c>
      <c r="G4312" t="s">
        <v>25</v>
      </c>
      <c r="H4312" t="s">
        <v>35</v>
      </c>
      <c r="I4312" t="s">
        <v>49</v>
      </c>
      <c r="J4312" t="s">
        <v>66</v>
      </c>
      <c r="K4312" t="s">
        <v>38</v>
      </c>
      <c r="L4312">
        <v>2</v>
      </c>
      <c r="M4312">
        <v>858</v>
      </c>
      <c r="N4312">
        <v>85.8</v>
      </c>
      <c r="O4312">
        <v>20</v>
      </c>
      <c r="P4312">
        <v>1716</v>
      </c>
      <c r="Q4312">
        <v>1650.2</v>
      </c>
      <c r="R4312" t="s">
        <v>39</v>
      </c>
      <c r="S4312" t="s">
        <v>31</v>
      </c>
      <c r="T4312" t="s">
        <v>40</v>
      </c>
      <c r="U4312">
        <v>58</v>
      </c>
      <c r="V4312">
        <v>4</v>
      </c>
      <c r="W4312">
        <f>Table2[[#This Row],[Quantity]]*Table2[[#This Row],[Item_Price]]</f>
        <v>1716</v>
      </c>
    </row>
    <row r="4313" spans="1:23" x14ac:dyDescent="0.25">
      <c r="A4313" t="s">
        <v>4417</v>
      </c>
      <c r="B4313" s="1">
        <v>45972</v>
      </c>
      <c r="C4313" t="s">
        <v>4265</v>
      </c>
      <c r="D4313">
        <v>11</v>
      </c>
      <c r="E4313">
        <v>11</v>
      </c>
      <c r="F4313" t="s">
        <v>178</v>
      </c>
      <c r="G4313" t="s">
        <v>80</v>
      </c>
      <c r="H4313" t="s">
        <v>105</v>
      </c>
      <c r="I4313" t="s">
        <v>97</v>
      </c>
      <c r="J4313" t="s">
        <v>94</v>
      </c>
      <c r="K4313" t="s">
        <v>38</v>
      </c>
      <c r="L4313">
        <v>1</v>
      </c>
      <c r="M4313">
        <v>850</v>
      </c>
      <c r="N4313">
        <v>170</v>
      </c>
      <c r="O4313">
        <v>30</v>
      </c>
      <c r="P4313">
        <v>850</v>
      </c>
      <c r="Q4313">
        <v>710</v>
      </c>
      <c r="R4313" t="s">
        <v>39</v>
      </c>
      <c r="S4313" t="s">
        <v>31</v>
      </c>
      <c r="T4313" t="s">
        <v>32</v>
      </c>
      <c r="U4313">
        <v>68</v>
      </c>
      <c r="V4313">
        <v>3</v>
      </c>
      <c r="W4313">
        <f>Table2[[#This Row],[Quantity]]*Table2[[#This Row],[Item_Price]]</f>
        <v>850</v>
      </c>
    </row>
    <row r="4314" spans="1:23" x14ac:dyDescent="0.25">
      <c r="A4314" t="s">
        <v>4418</v>
      </c>
      <c r="B4314" s="1">
        <v>45972</v>
      </c>
      <c r="C4314" t="s">
        <v>4265</v>
      </c>
      <c r="D4314">
        <v>11</v>
      </c>
      <c r="E4314">
        <v>11</v>
      </c>
      <c r="F4314" t="s">
        <v>178</v>
      </c>
      <c r="G4314" t="s">
        <v>80</v>
      </c>
      <c r="H4314" t="s">
        <v>60</v>
      </c>
      <c r="I4314" t="s">
        <v>85</v>
      </c>
      <c r="J4314" t="s">
        <v>53</v>
      </c>
      <c r="K4314" t="s">
        <v>38</v>
      </c>
      <c r="L4314">
        <v>2</v>
      </c>
      <c r="M4314">
        <v>651</v>
      </c>
      <c r="N4314">
        <v>65.099999999999994</v>
      </c>
      <c r="O4314">
        <v>70</v>
      </c>
      <c r="P4314">
        <v>1302</v>
      </c>
      <c r="Q4314">
        <v>1306.9000000000001</v>
      </c>
      <c r="R4314" t="s">
        <v>30</v>
      </c>
      <c r="S4314" t="s">
        <v>46</v>
      </c>
      <c r="T4314" t="s">
        <v>40</v>
      </c>
      <c r="U4314">
        <v>70</v>
      </c>
      <c r="W4314">
        <f>Table2[[#This Row],[Quantity]]*Table2[[#This Row],[Item_Price]]</f>
        <v>1302</v>
      </c>
    </row>
    <row r="4315" spans="1:23" x14ac:dyDescent="0.25">
      <c r="A4315" t="s">
        <v>4419</v>
      </c>
      <c r="B4315" s="1">
        <v>45972</v>
      </c>
      <c r="C4315" t="s">
        <v>4265</v>
      </c>
      <c r="D4315">
        <v>11</v>
      </c>
      <c r="E4315">
        <v>11</v>
      </c>
      <c r="F4315" t="s">
        <v>178</v>
      </c>
      <c r="G4315" t="s">
        <v>55</v>
      </c>
      <c r="H4315" t="s">
        <v>35</v>
      </c>
      <c r="I4315" t="s">
        <v>97</v>
      </c>
      <c r="J4315" t="s">
        <v>28</v>
      </c>
      <c r="K4315" t="s">
        <v>38</v>
      </c>
      <c r="L4315">
        <v>1</v>
      </c>
      <c r="M4315">
        <v>670</v>
      </c>
      <c r="N4315">
        <v>100.5</v>
      </c>
      <c r="O4315">
        <v>50</v>
      </c>
      <c r="P4315">
        <v>670</v>
      </c>
      <c r="Q4315">
        <v>619.5</v>
      </c>
      <c r="R4315" t="s">
        <v>112</v>
      </c>
      <c r="S4315" t="s">
        <v>31</v>
      </c>
      <c r="T4315" t="s">
        <v>40</v>
      </c>
      <c r="U4315">
        <v>69</v>
      </c>
      <c r="V4315">
        <v>4.0999999999999996</v>
      </c>
      <c r="W4315">
        <f>Table2[[#This Row],[Quantity]]*Table2[[#This Row],[Item_Price]]</f>
        <v>670</v>
      </c>
    </row>
    <row r="4316" spans="1:23" x14ac:dyDescent="0.25">
      <c r="A4316" t="s">
        <v>4420</v>
      </c>
      <c r="B4316" s="1">
        <v>45972</v>
      </c>
      <c r="C4316" t="s">
        <v>4265</v>
      </c>
      <c r="D4316">
        <v>11</v>
      </c>
      <c r="E4316">
        <v>11</v>
      </c>
      <c r="F4316" t="s">
        <v>178</v>
      </c>
      <c r="G4316" t="s">
        <v>25</v>
      </c>
      <c r="H4316" t="s">
        <v>26</v>
      </c>
      <c r="I4316" t="s">
        <v>97</v>
      </c>
      <c r="J4316" t="s">
        <v>78</v>
      </c>
      <c r="K4316" t="s">
        <v>38</v>
      </c>
      <c r="L4316">
        <v>2</v>
      </c>
      <c r="M4316">
        <v>291</v>
      </c>
      <c r="N4316">
        <v>0</v>
      </c>
      <c r="O4316">
        <v>20</v>
      </c>
      <c r="P4316">
        <v>582</v>
      </c>
      <c r="Q4316">
        <v>602</v>
      </c>
      <c r="R4316" t="s">
        <v>75</v>
      </c>
      <c r="S4316" t="s">
        <v>31</v>
      </c>
      <c r="T4316" t="s">
        <v>32</v>
      </c>
      <c r="U4316">
        <v>60</v>
      </c>
      <c r="V4316">
        <v>2.8</v>
      </c>
      <c r="W4316">
        <f>Table2[[#This Row],[Quantity]]*Table2[[#This Row],[Item_Price]]</f>
        <v>582</v>
      </c>
    </row>
    <row r="4317" spans="1:23" x14ac:dyDescent="0.25">
      <c r="A4317" t="s">
        <v>4421</v>
      </c>
      <c r="B4317" s="1">
        <v>45972</v>
      </c>
      <c r="C4317" t="s">
        <v>4265</v>
      </c>
      <c r="D4317">
        <v>11</v>
      </c>
      <c r="E4317">
        <v>11</v>
      </c>
      <c r="F4317" t="s">
        <v>178</v>
      </c>
      <c r="G4317" t="s">
        <v>73</v>
      </c>
      <c r="H4317" t="s">
        <v>35</v>
      </c>
      <c r="I4317" t="s">
        <v>85</v>
      </c>
      <c r="J4317" t="s">
        <v>44</v>
      </c>
      <c r="K4317" t="s">
        <v>38</v>
      </c>
      <c r="L4317">
        <v>1</v>
      </c>
      <c r="M4317">
        <v>467</v>
      </c>
      <c r="N4317">
        <v>70.05</v>
      </c>
      <c r="O4317">
        <v>30</v>
      </c>
      <c r="P4317">
        <v>467</v>
      </c>
      <c r="Q4317">
        <v>426.95</v>
      </c>
      <c r="R4317" t="s">
        <v>39</v>
      </c>
      <c r="S4317" t="s">
        <v>31</v>
      </c>
      <c r="T4317" t="s">
        <v>32</v>
      </c>
      <c r="U4317">
        <v>59</v>
      </c>
      <c r="V4317">
        <v>3.2</v>
      </c>
      <c r="W4317">
        <f>Table2[[#This Row],[Quantity]]*Table2[[#This Row],[Item_Price]]</f>
        <v>467</v>
      </c>
    </row>
    <row r="4318" spans="1:23" x14ac:dyDescent="0.25">
      <c r="A4318" t="s">
        <v>4422</v>
      </c>
      <c r="B4318" s="1">
        <v>45972</v>
      </c>
      <c r="C4318" t="s">
        <v>4265</v>
      </c>
      <c r="D4318">
        <v>11</v>
      </c>
      <c r="E4318">
        <v>11</v>
      </c>
      <c r="F4318" t="s">
        <v>178</v>
      </c>
      <c r="G4318" t="s">
        <v>34</v>
      </c>
      <c r="H4318" t="s">
        <v>60</v>
      </c>
      <c r="I4318" t="s">
        <v>43</v>
      </c>
      <c r="J4318" t="s">
        <v>66</v>
      </c>
      <c r="K4318" t="s">
        <v>38</v>
      </c>
      <c r="L4318">
        <v>2</v>
      </c>
      <c r="M4318">
        <v>661</v>
      </c>
      <c r="N4318">
        <v>66.099999999999994</v>
      </c>
      <c r="O4318">
        <v>30</v>
      </c>
      <c r="P4318">
        <v>1322</v>
      </c>
      <c r="Q4318">
        <v>1285.9000000000001</v>
      </c>
      <c r="R4318" t="s">
        <v>75</v>
      </c>
      <c r="S4318" t="s">
        <v>31</v>
      </c>
      <c r="T4318" t="s">
        <v>40</v>
      </c>
      <c r="U4318">
        <v>26</v>
      </c>
      <c r="V4318">
        <v>3.3</v>
      </c>
      <c r="W4318">
        <f>Table2[[#This Row],[Quantity]]*Table2[[#This Row],[Item_Price]]</f>
        <v>1322</v>
      </c>
    </row>
    <row r="4319" spans="1:23" x14ac:dyDescent="0.25">
      <c r="A4319" t="s">
        <v>4423</v>
      </c>
      <c r="B4319" s="1">
        <v>45972</v>
      </c>
      <c r="C4319" t="s">
        <v>4265</v>
      </c>
      <c r="D4319">
        <v>11</v>
      </c>
      <c r="E4319">
        <v>11</v>
      </c>
      <c r="F4319" t="s">
        <v>178</v>
      </c>
      <c r="G4319" t="s">
        <v>25</v>
      </c>
      <c r="H4319" t="s">
        <v>135</v>
      </c>
      <c r="I4319" t="s">
        <v>97</v>
      </c>
      <c r="J4319" t="s">
        <v>101</v>
      </c>
      <c r="K4319" t="s">
        <v>38</v>
      </c>
      <c r="L4319">
        <v>1</v>
      </c>
      <c r="M4319">
        <v>552</v>
      </c>
      <c r="N4319">
        <v>55.2</v>
      </c>
      <c r="O4319">
        <v>60</v>
      </c>
      <c r="P4319">
        <v>552</v>
      </c>
      <c r="Q4319">
        <v>556.79999999999995</v>
      </c>
      <c r="R4319" t="s">
        <v>39</v>
      </c>
      <c r="S4319" t="s">
        <v>91</v>
      </c>
      <c r="T4319" t="s">
        <v>32</v>
      </c>
      <c r="U4319">
        <v>37</v>
      </c>
      <c r="W4319">
        <f>Table2[[#This Row],[Quantity]]*Table2[[#This Row],[Item_Price]]</f>
        <v>552</v>
      </c>
    </row>
    <row r="4320" spans="1:23" x14ac:dyDescent="0.25">
      <c r="A4320" t="s">
        <v>4424</v>
      </c>
      <c r="B4320" s="1">
        <v>45972</v>
      </c>
      <c r="C4320" t="s">
        <v>4265</v>
      </c>
      <c r="D4320">
        <v>11</v>
      </c>
      <c r="E4320">
        <v>11</v>
      </c>
      <c r="F4320" t="s">
        <v>178</v>
      </c>
      <c r="G4320" t="s">
        <v>64</v>
      </c>
      <c r="H4320" t="s">
        <v>35</v>
      </c>
      <c r="I4320" t="s">
        <v>85</v>
      </c>
      <c r="J4320" t="s">
        <v>74</v>
      </c>
      <c r="K4320" t="s">
        <v>58</v>
      </c>
      <c r="L4320">
        <v>2</v>
      </c>
      <c r="M4320">
        <v>257</v>
      </c>
      <c r="N4320">
        <v>25.7</v>
      </c>
      <c r="O4320">
        <v>40</v>
      </c>
      <c r="P4320">
        <v>514</v>
      </c>
      <c r="Q4320">
        <v>528.29999999999995</v>
      </c>
      <c r="R4320" t="s">
        <v>30</v>
      </c>
      <c r="S4320" t="s">
        <v>46</v>
      </c>
      <c r="T4320" t="s">
        <v>40</v>
      </c>
      <c r="U4320">
        <v>49</v>
      </c>
      <c r="W4320">
        <f>Table2[[#This Row],[Quantity]]*Table2[[#This Row],[Item_Price]]</f>
        <v>514</v>
      </c>
    </row>
    <row r="4321" spans="1:23" x14ac:dyDescent="0.25">
      <c r="A4321" t="s">
        <v>4425</v>
      </c>
      <c r="B4321" s="1">
        <v>45973</v>
      </c>
      <c r="C4321" t="s">
        <v>4265</v>
      </c>
      <c r="D4321">
        <v>11</v>
      </c>
      <c r="E4321">
        <v>12</v>
      </c>
      <c r="F4321" t="s">
        <v>24</v>
      </c>
      <c r="G4321" t="s">
        <v>25</v>
      </c>
      <c r="H4321" t="s">
        <v>60</v>
      </c>
      <c r="I4321" t="s">
        <v>57</v>
      </c>
      <c r="J4321" t="s">
        <v>78</v>
      </c>
      <c r="K4321" t="s">
        <v>45</v>
      </c>
      <c r="L4321">
        <v>2</v>
      </c>
      <c r="M4321">
        <v>140</v>
      </c>
      <c r="N4321">
        <v>21</v>
      </c>
      <c r="O4321">
        <v>40</v>
      </c>
      <c r="P4321">
        <v>280</v>
      </c>
      <c r="Q4321">
        <v>299</v>
      </c>
      <c r="R4321" t="s">
        <v>112</v>
      </c>
      <c r="S4321" t="s">
        <v>110</v>
      </c>
      <c r="T4321" t="s">
        <v>40</v>
      </c>
      <c r="U4321">
        <v>52</v>
      </c>
      <c r="W4321">
        <f>Table2[[#This Row],[Quantity]]*Table2[[#This Row],[Item_Price]]</f>
        <v>280</v>
      </c>
    </row>
    <row r="4322" spans="1:23" x14ac:dyDescent="0.25">
      <c r="A4322" t="s">
        <v>4426</v>
      </c>
      <c r="B4322" s="1">
        <v>45973</v>
      </c>
      <c r="C4322" t="s">
        <v>4265</v>
      </c>
      <c r="D4322">
        <v>11</v>
      </c>
      <c r="E4322">
        <v>12</v>
      </c>
      <c r="F4322" t="s">
        <v>24</v>
      </c>
      <c r="G4322" t="s">
        <v>96</v>
      </c>
      <c r="H4322" t="s">
        <v>48</v>
      </c>
      <c r="I4322" t="s">
        <v>97</v>
      </c>
      <c r="J4322" t="s">
        <v>37</v>
      </c>
      <c r="K4322" t="s">
        <v>29</v>
      </c>
      <c r="L4322">
        <v>1</v>
      </c>
      <c r="M4322">
        <v>359</v>
      </c>
      <c r="N4322">
        <v>0</v>
      </c>
      <c r="O4322">
        <v>0</v>
      </c>
      <c r="P4322">
        <v>359</v>
      </c>
      <c r="Q4322">
        <v>359</v>
      </c>
      <c r="R4322" t="s">
        <v>39</v>
      </c>
      <c r="S4322" t="s">
        <v>31</v>
      </c>
      <c r="T4322" t="s">
        <v>40</v>
      </c>
      <c r="U4322">
        <v>47</v>
      </c>
      <c r="V4322">
        <v>4.9000000000000004</v>
      </c>
      <c r="W4322">
        <f>Table2[[#This Row],[Quantity]]*Table2[[#This Row],[Item_Price]]</f>
        <v>359</v>
      </c>
    </row>
    <row r="4323" spans="1:23" x14ac:dyDescent="0.25">
      <c r="A4323" t="s">
        <v>4427</v>
      </c>
      <c r="B4323" s="1">
        <v>45973</v>
      </c>
      <c r="C4323" t="s">
        <v>4265</v>
      </c>
      <c r="D4323">
        <v>11</v>
      </c>
      <c r="E4323">
        <v>12</v>
      </c>
      <c r="F4323" t="s">
        <v>24</v>
      </c>
      <c r="G4323" t="s">
        <v>55</v>
      </c>
      <c r="H4323" t="s">
        <v>52</v>
      </c>
      <c r="I4323" t="s">
        <v>43</v>
      </c>
      <c r="J4323" t="s">
        <v>94</v>
      </c>
      <c r="K4323" t="s">
        <v>38</v>
      </c>
      <c r="L4323">
        <v>2</v>
      </c>
      <c r="M4323">
        <v>338</v>
      </c>
      <c r="N4323">
        <v>67.599999999999994</v>
      </c>
      <c r="O4323">
        <v>50</v>
      </c>
      <c r="P4323">
        <v>676</v>
      </c>
      <c r="Q4323">
        <v>658.4</v>
      </c>
      <c r="R4323" t="s">
        <v>75</v>
      </c>
      <c r="S4323" t="s">
        <v>31</v>
      </c>
      <c r="T4323" t="s">
        <v>40</v>
      </c>
      <c r="U4323">
        <v>25</v>
      </c>
      <c r="V4323">
        <v>4.3</v>
      </c>
      <c r="W4323">
        <f>Table2[[#This Row],[Quantity]]*Table2[[#This Row],[Item_Price]]</f>
        <v>676</v>
      </c>
    </row>
    <row r="4324" spans="1:23" x14ac:dyDescent="0.25">
      <c r="A4324" t="s">
        <v>4428</v>
      </c>
      <c r="B4324" s="1">
        <v>45973</v>
      </c>
      <c r="C4324" t="s">
        <v>4265</v>
      </c>
      <c r="D4324">
        <v>11</v>
      </c>
      <c r="E4324">
        <v>12</v>
      </c>
      <c r="F4324" t="s">
        <v>24</v>
      </c>
      <c r="G4324" t="s">
        <v>115</v>
      </c>
      <c r="H4324" t="s">
        <v>60</v>
      </c>
      <c r="I4324" t="s">
        <v>27</v>
      </c>
      <c r="J4324" t="s">
        <v>62</v>
      </c>
      <c r="K4324" t="s">
        <v>45</v>
      </c>
      <c r="L4324">
        <v>3</v>
      </c>
      <c r="M4324">
        <v>332</v>
      </c>
      <c r="N4324">
        <v>0</v>
      </c>
      <c r="O4324">
        <v>60</v>
      </c>
      <c r="P4324">
        <v>996</v>
      </c>
      <c r="Q4324">
        <v>1056</v>
      </c>
      <c r="R4324" t="s">
        <v>30</v>
      </c>
      <c r="S4324" t="s">
        <v>31</v>
      </c>
      <c r="T4324" t="s">
        <v>40</v>
      </c>
      <c r="U4324">
        <v>61</v>
      </c>
      <c r="V4324">
        <v>4.5</v>
      </c>
      <c r="W4324">
        <f>Table2[[#This Row],[Quantity]]*Table2[[#This Row],[Item_Price]]</f>
        <v>996</v>
      </c>
    </row>
    <row r="4325" spans="1:23" x14ac:dyDescent="0.25">
      <c r="A4325" t="s">
        <v>4429</v>
      </c>
      <c r="B4325" s="1">
        <v>45973</v>
      </c>
      <c r="C4325" t="s">
        <v>4265</v>
      </c>
      <c r="D4325">
        <v>11</v>
      </c>
      <c r="E4325">
        <v>12</v>
      </c>
      <c r="F4325" t="s">
        <v>24</v>
      </c>
      <c r="G4325" t="s">
        <v>80</v>
      </c>
      <c r="H4325" t="s">
        <v>48</v>
      </c>
      <c r="I4325" t="s">
        <v>49</v>
      </c>
      <c r="J4325" t="s">
        <v>172</v>
      </c>
      <c r="K4325" t="s">
        <v>29</v>
      </c>
      <c r="L4325">
        <v>2</v>
      </c>
      <c r="M4325">
        <v>258</v>
      </c>
      <c r="N4325">
        <v>38.700000000000003</v>
      </c>
      <c r="O4325">
        <v>40</v>
      </c>
      <c r="P4325">
        <v>516</v>
      </c>
      <c r="Q4325">
        <v>517.29999999999995</v>
      </c>
      <c r="R4325" t="s">
        <v>112</v>
      </c>
      <c r="S4325" t="s">
        <v>110</v>
      </c>
      <c r="T4325" t="s">
        <v>32</v>
      </c>
      <c r="U4325">
        <v>38</v>
      </c>
      <c r="W4325">
        <f>Table2[[#This Row],[Quantity]]*Table2[[#This Row],[Item_Price]]</f>
        <v>516</v>
      </c>
    </row>
    <row r="4326" spans="1:23" x14ac:dyDescent="0.25">
      <c r="A4326" t="s">
        <v>4430</v>
      </c>
      <c r="B4326" s="1">
        <v>45973</v>
      </c>
      <c r="C4326" t="s">
        <v>4265</v>
      </c>
      <c r="D4326">
        <v>11</v>
      </c>
      <c r="E4326">
        <v>12</v>
      </c>
      <c r="F4326" t="s">
        <v>24</v>
      </c>
      <c r="G4326" t="s">
        <v>115</v>
      </c>
      <c r="H4326" t="s">
        <v>52</v>
      </c>
      <c r="I4326" t="s">
        <v>85</v>
      </c>
      <c r="J4326" t="s">
        <v>119</v>
      </c>
      <c r="K4326" t="s">
        <v>58</v>
      </c>
      <c r="L4326">
        <v>2</v>
      </c>
      <c r="M4326">
        <v>884</v>
      </c>
      <c r="N4326">
        <v>132.6</v>
      </c>
      <c r="O4326">
        <v>50</v>
      </c>
      <c r="P4326">
        <v>1768</v>
      </c>
      <c r="Q4326">
        <v>1685.4</v>
      </c>
      <c r="R4326" t="s">
        <v>39</v>
      </c>
      <c r="S4326" t="s">
        <v>31</v>
      </c>
      <c r="T4326" t="s">
        <v>40</v>
      </c>
      <c r="U4326">
        <v>38</v>
      </c>
      <c r="V4326">
        <v>4.5</v>
      </c>
      <c r="W4326">
        <f>Table2[[#This Row],[Quantity]]*Table2[[#This Row],[Item_Price]]</f>
        <v>1768</v>
      </c>
    </row>
    <row r="4327" spans="1:23" x14ac:dyDescent="0.25">
      <c r="A4327" t="s">
        <v>4431</v>
      </c>
      <c r="B4327" s="1">
        <v>45973</v>
      </c>
      <c r="C4327" t="s">
        <v>4265</v>
      </c>
      <c r="D4327">
        <v>11</v>
      </c>
      <c r="E4327">
        <v>12</v>
      </c>
      <c r="F4327" t="s">
        <v>24</v>
      </c>
      <c r="G4327" t="s">
        <v>80</v>
      </c>
      <c r="H4327" t="s">
        <v>48</v>
      </c>
      <c r="I4327" t="s">
        <v>57</v>
      </c>
      <c r="J4327" t="s">
        <v>172</v>
      </c>
      <c r="K4327" t="s">
        <v>38</v>
      </c>
      <c r="L4327">
        <v>3</v>
      </c>
      <c r="M4327">
        <v>294</v>
      </c>
      <c r="N4327">
        <v>44.1</v>
      </c>
      <c r="O4327">
        <v>60</v>
      </c>
      <c r="P4327">
        <v>882</v>
      </c>
      <c r="Q4327">
        <v>897.9</v>
      </c>
      <c r="R4327" t="s">
        <v>30</v>
      </c>
      <c r="S4327" t="s">
        <v>31</v>
      </c>
      <c r="T4327" t="s">
        <v>32</v>
      </c>
      <c r="U4327">
        <v>31</v>
      </c>
      <c r="V4327">
        <v>4</v>
      </c>
      <c r="W4327">
        <f>Table2[[#This Row],[Quantity]]*Table2[[#This Row],[Item_Price]]</f>
        <v>882</v>
      </c>
    </row>
    <row r="4328" spans="1:23" x14ac:dyDescent="0.25">
      <c r="A4328" t="s">
        <v>4432</v>
      </c>
      <c r="B4328" s="1">
        <v>45973</v>
      </c>
      <c r="C4328" t="s">
        <v>4265</v>
      </c>
      <c r="D4328">
        <v>11</v>
      </c>
      <c r="E4328">
        <v>12</v>
      </c>
      <c r="F4328" t="s">
        <v>24</v>
      </c>
      <c r="G4328" t="s">
        <v>34</v>
      </c>
      <c r="H4328" t="s">
        <v>135</v>
      </c>
      <c r="I4328" t="s">
        <v>36</v>
      </c>
      <c r="J4328" t="s">
        <v>119</v>
      </c>
      <c r="K4328" t="s">
        <v>45</v>
      </c>
      <c r="L4328">
        <v>2</v>
      </c>
      <c r="M4328">
        <v>713</v>
      </c>
      <c r="N4328">
        <v>0</v>
      </c>
      <c r="O4328">
        <v>0</v>
      </c>
      <c r="P4328">
        <v>1426</v>
      </c>
      <c r="Q4328">
        <v>1426</v>
      </c>
      <c r="R4328" t="s">
        <v>75</v>
      </c>
      <c r="S4328" t="s">
        <v>31</v>
      </c>
      <c r="T4328" t="s">
        <v>40</v>
      </c>
      <c r="U4328">
        <v>51</v>
      </c>
      <c r="V4328">
        <v>3.6</v>
      </c>
      <c r="W4328">
        <f>Table2[[#This Row],[Quantity]]*Table2[[#This Row],[Item_Price]]</f>
        <v>1426</v>
      </c>
    </row>
    <row r="4329" spans="1:23" x14ac:dyDescent="0.25">
      <c r="A4329" t="s">
        <v>4433</v>
      </c>
      <c r="B4329" s="1">
        <v>45973</v>
      </c>
      <c r="C4329" t="s">
        <v>4265</v>
      </c>
      <c r="D4329">
        <v>11</v>
      </c>
      <c r="E4329">
        <v>12</v>
      </c>
      <c r="F4329" t="s">
        <v>24</v>
      </c>
      <c r="G4329" t="s">
        <v>115</v>
      </c>
      <c r="H4329" t="s">
        <v>81</v>
      </c>
      <c r="I4329" t="s">
        <v>97</v>
      </c>
      <c r="J4329" t="s">
        <v>28</v>
      </c>
      <c r="K4329" t="s">
        <v>38</v>
      </c>
      <c r="L4329">
        <v>3</v>
      </c>
      <c r="M4329">
        <v>185</v>
      </c>
      <c r="N4329">
        <v>37</v>
      </c>
      <c r="O4329">
        <v>20</v>
      </c>
      <c r="P4329">
        <v>555</v>
      </c>
      <c r="Q4329">
        <v>538</v>
      </c>
      <c r="R4329" t="s">
        <v>75</v>
      </c>
      <c r="S4329" t="s">
        <v>31</v>
      </c>
      <c r="T4329" t="s">
        <v>32</v>
      </c>
      <c r="U4329">
        <v>58</v>
      </c>
      <c r="V4329">
        <v>4.3</v>
      </c>
      <c r="W4329">
        <f>Table2[[#This Row],[Quantity]]*Table2[[#This Row],[Item_Price]]</f>
        <v>555</v>
      </c>
    </row>
    <row r="4330" spans="1:23" x14ac:dyDescent="0.25">
      <c r="A4330" t="s">
        <v>4434</v>
      </c>
      <c r="B4330" s="1">
        <v>45973</v>
      </c>
      <c r="C4330" t="s">
        <v>4265</v>
      </c>
      <c r="D4330">
        <v>11</v>
      </c>
      <c r="E4330">
        <v>12</v>
      </c>
      <c r="F4330" t="s">
        <v>24</v>
      </c>
      <c r="G4330" t="s">
        <v>80</v>
      </c>
      <c r="H4330" t="s">
        <v>108</v>
      </c>
      <c r="I4330" t="s">
        <v>36</v>
      </c>
      <c r="J4330" t="s">
        <v>74</v>
      </c>
      <c r="K4330" t="s">
        <v>38</v>
      </c>
      <c r="L4330">
        <v>2</v>
      </c>
      <c r="M4330">
        <v>854</v>
      </c>
      <c r="N4330">
        <v>85.4</v>
      </c>
      <c r="O4330">
        <v>20</v>
      </c>
      <c r="P4330">
        <v>1708</v>
      </c>
      <c r="Q4330">
        <v>1642.6</v>
      </c>
      <c r="R4330" t="s">
        <v>112</v>
      </c>
      <c r="S4330" t="s">
        <v>31</v>
      </c>
      <c r="T4330" t="s">
        <v>40</v>
      </c>
      <c r="U4330">
        <v>63</v>
      </c>
      <c r="V4330">
        <v>5</v>
      </c>
      <c r="W4330">
        <f>Table2[[#This Row],[Quantity]]*Table2[[#This Row],[Item_Price]]</f>
        <v>1708</v>
      </c>
    </row>
    <row r="4331" spans="1:23" x14ac:dyDescent="0.25">
      <c r="A4331" t="s">
        <v>4435</v>
      </c>
      <c r="B4331" s="1">
        <v>45973</v>
      </c>
      <c r="C4331" t="s">
        <v>4265</v>
      </c>
      <c r="D4331">
        <v>11</v>
      </c>
      <c r="E4331">
        <v>12</v>
      </c>
      <c r="F4331" t="s">
        <v>24</v>
      </c>
      <c r="G4331" t="s">
        <v>84</v>
      </c>
      <c r="H4331" t="s">
        <v>48</v>
      </c>
      <c r="I4331" t="s">
        <v>69</v>
      </c>
      <c r="J4331" t="s">
        <v>101</v>
      </c>
      <c r="K4331" t="s">
        <v>38</v>
      </c>
      <c r="L4331">
        <v>2</v>
      </c>
      <c r="M4331">
        <v>259</v>
      </c>
      <c r="N4331">
        <v>12.95</v>
      </c>
      <c r="O4331">
        <v>30</v>
      </c>
      <c r="P4331">
        <v>518</v>
      </c>
      <c r="Q4331">
        <v>535.04999999999995</v>
      </c>
      <c r="R4331" t="s">
        <v>98</v>
      </c>
      <c r="S4331" t="s">
        <v>31</v>
      </c>
      <c r="T4331" t="s">
        <v>40</v>
      </c>
      <c r="U4331">
        <v>48</v>
      </c>
      <c r="V4331">
        <v>4.5</v>
      </c>
      <c r="W4331">
        <f>Table2[[#This Row],[Quantity]]*Table2[[#This Row],[Item_Price]]</f>
        <v>518</v>
      </c>
    </row>
    <row r="4332" spans="1:23" x14ac:dyDescent="0.25">
      <c r="A4332" t="s">
        <v>4436</v>
      </c>
      <c r="B4332" s="1">
        <v>45973</v>
      </c>
      <c r="C4332" t="s">
        <v>4265</v>
      </c>
      <c r="D4332">
        <v>11</v>
      </c>
      <c r="E4332">
        <v>12</v>
      </c>
      <c r="F4332" t="s">
        <v>24</v>
      </c>
      <c r="G4332" t="s">
        <v>80</v>
      </c>
      <c r="H4332" t="s">
        <v>108</v>
      </c>
      <c r="I4332" t="s">
        <v>69</v>
      </c>
      <c r="J4332" t="s">
        <v>78</v>
      </c>
      <c r="K4332" t="s">
        <v>58</v>
      </c>
      <c r="L4332">
        <v>1</v>
      </c>
      <c r="M4332">
        <v>899</v>
      </c>
      <c r="N4332">
        <v>44.95</v>
      </c>
      <c r="O4332">
        <v>0</v>
      </c>
      <c r="P4332">
        <v>899</v>
      </c>
      <c r="Q4332">
        <v>854.05</v>
      </c>
      <c r="R4332" t="s">
        <v>98</v>
      </c>
      <c r="S4332" t="s">
        <v>31</v>
      </c>
      <c r="T4332" t="s">
        <v>40</v>
      </c>
      <c r="U4332">
        <v>61</v>
      </c>
      <c r="V4332">
        <v>4</v>
      </c>
      <c r="W4332">
        <f>Table2[[#This Row],[Quantity]]*Table2[[#This Row],[Item_Price]]</f>
        <v>899</v>
      </c>
    </row>
    <row r="4333" spans="1:23" x14ac:dyDescent="0.25">
      <c r="A4333" t="s">
        <v>4437</v>
      </c>
      <c r="B4333" s="1">
        <v>45973</v>
      </c>
      <c r="C4333" t="s">
        <v>4265</v>
      </c>
      <c r="D4333">
        <v>11</v>
      </c>
      <c r="E4333">
        <v>12</v>
      </c>
      <c r="F4333" t="s">
        <v>24</v>
      </c>
      <c r="G4333" t="s">
        <v>73</v>
      </c>
      <c r="H4333" t="s">
        <v>77</v>
      </c>
      <c r="I4333" t="s">
        <v>97</v>
      </c>
      <c r="J4333" t="s">
        <v>28</v>
      </c>
      <c r="K4333" t="s">
        <v>38</v>
      </c>
      <c r="L4333">
        <v>2</v>
      </c>
      <c r="M4333">
        <v>833</v>
      </c>
      <c r="N4333">
        <v>83.3</v>
      </c>
      <c r="O4333">
        <v>40</v>
      </c>
      <c r="P4333">
        <v>1666</v>
      </c>
      <c r="Q4333">
        <v>1622.7</v>
      </c>
      <c r="R4333" t="s">
        <v>112</v>
      </c>
      <c r="S4333" t="s">
        <v>31</v>
      </c>
      <c r="T4333" t="s">
        <v>40</v>
      </c>
      <c r="U4333">
        <v>32</v>
      </c>
      <c r="V4333">
        <v>4</v>
      </c>
      <c r="W4333">
        <f>Table2[[#This Row],[Quantity]]*Table2[[#This Row],[Item_Price]]</f>
        <v>1666</v>
      </c>
    </row>
    <row r="4334" spans="1:23" x14ac:dyDescent="0.25">
      <c r="A4334" t="s">
        <v>4438</v>
      </c>
      <c r="B4334" s="1">
        <v>45973</v>
      </c>
      <c r="C4334" t="s">
        <v>4265</v>
      </c>
      <c r="D4334">
        <v>11</v>
      </c>
      <c r="E4334">
        <v>12</v>
      </c>
      <c r="F4334" t="s">
        <v>24</v>
      </c>
      <c r="G4334" t="s">
        <v>115</v>
      </c>
      <c r="H4334" t="s">
        <v>77</v>
      </c>
      <c r="I4334" t="s">
        <v>49</v>
      </c>
      <c r="J4334" t="s">
        <v>119</v>
      </c>
      <c r="K4334" t="s">
        <v>38</v>
      </c>
      <c r="L4334">
        <v>2</v>
      </c>
      <c r="M4334">
        <v>674</v>
      </c>
      <c r="N4334">
        <v>67.400000000000006</v>
      </c>
      <c r="O4334">
        <v>40</v>
      </c>
      <c r="P4334">
        <v>1348</v>
      </c>
      <c r="Q4334">
        <v>1320.6</v>
      </c>
      <c r="R4334" t="s">
        <v>112</v>
      </c>
      <c r="S4334" t="s">
        <v>31</v>
      </c>
      <c r="T4334" t="s">
        <v>40</v>
      </c>
      <c r="U4334">
        <v>44</v>
      </c>
      <c r="V4334">
        <v>3.2</v>
      </c>
      <c r="W4334">
        <f>Table2[[#This Row],[Quantity]]*Table2[[#This Row],[Item_Price]]</f>
        <v>1348</v>
      </c>
    </row>
    <row r="4335" spans="1:23" x14ac:dyDescent="0.25">
      <c r="A4335" t="s">
        <v>4439</v>
      </c>
      <c r="B4335" s="1">
        <v>45973</v>
      </c>
      <c r="C4335" t="s">
        <v>4265</v>
      </c>
      <c r="D4335">
        <v>11</v>
      </c>
      <c r="E4335">
        <v>12</v>
      </c>
      <c r="F4335" t="s">
        <v>24</v>
      </c>
      <c r="G4335" t="s">
        <v>64</v>
      </c>
      <c r="H4335" t="s">
        <v>81</v>
      </c>
      <c r="I4335" t="s">
        <v>43</v>
      </c>
      <c r="J4335" t="s">
        <v>123</v>
      </c>
      <c r="K4335" t="s">
        <v>38</v>
      </c>
      <c r="L4335">
        <v>2</v>
      </c>
      <c r="M4335">
        <v>124</v>
      </c>
      <c r="N4335">
        <v>0</v>
      </c>
      <c r="O4335">
        <v>50</v>
      </c>
      <c r="P4335">
        <v>248</v>
      </c>
      <c r="Q4335">
        <v>298</v>
      </c>
      <c r="R4335" t="s">
        <v>112</v>
      </c>
      <c r="S4335" t="s">
        <v>31</v>
      </c>
      <c r="T4335" t="s">
        <v>32</v>
      </c>
      <c r="U4335">
        <v>46</v>
      </c>
      <c r="V4335">
        <v>4.7</v>
      </c>
      <c r="W4335">
        <f>Table2[[#This Row],[Quantity]]*Table2[[#This Row],[Item_Price]]</f>
        <v>248</v>
      </c>
    </row>
    <row r="4336" spans="1:23" x14ac:dyDescent="0.25">
      <c r="A4336" t="s">
        <v>4440</v>
      </c>
      <c r="B4336" s="1">
        <v>45973</v>
      </c>
      <c r="C4336" t="s">
        <v>4265</v>
      </c>
      <c r="D4336">
        <v>11</v>
      </c>
      <c r="E4336">
        <v>12</v>
      </c>
      <c r="F4336" t="s">
        <v>24</v>
      </c>
      <c r="G4336" t="s">
        <v>25</v>
      </c>
      <c r="H4336" t="s">
        <v>42</v>
      </c>
      <c r="I4336" t="s">
        <v>97</v>
      </c>
      <c r="J4336" t="s">
        <v>119</v>
      </c>
      <c r="K4336" t="s">
        <v>38</v>
      </c>
      <c r="L4336">
        <v>3</v>
      </c>
      <c r="M4336">
        <v>576</v>
      </c>
      <c r="N4336">
        <v>57.6</v>
      </c>
      <c r="O4336">
        <v>20</v>
      </c>
      <c r="P4336">
        <v>1728</v>
      </c>
      <c r="Q4336">
        <v>1690.4</v>
      </c>
      <c r="R4336" t="s">
        <v>39</v>
      </c>
      <c r="S4336" t="s">
        <v>31</v>
      </c>
      <c r="T4336" t="s">
        <v>40</v>
      </c>
      <c r="U4336">
        <v>49</v>
      </c>
      <c r="V4336">
        <v>2.8</v>
      </c>
      <c r="W4336">
        <f>Table2[[#This Row],[Quantity]]*Table2[[#This Row],[Item_Price]]</f>
        <v>1728</v>
      </c>
    </row>
    <row r="4337" spans="1:23" x14ac:dyDescent="0.25">
      <c r="A4337" t="s">
        <v>4441</v>
      </c>
      <c r="B4337" s="1">
        <v>45974</v>
      </c>
      <c r="C4337" t="s">
        <v>4265</v>
      </c>
      <c r="D4337">
        <v>11</v>
      </c>
      <c r="E4337">
        <v>13</v>
      </c>
      <c r="F4337" t="s">
        <v>88</v>
      </c>
      <c r="G4337" t="s">
        <v>80</v>
      </c>
      <c r="H4337" t="s">
        <v>65</v>
      </c>
      <c r="I4337" t="s">
        <v>85</v>
      </c>
      <c r="J4337" t="s">
        <v>123</v>
      </c>
      <c r="K4337" t="s">
        <v>38</v>
      </c>
      <c r="L4337">
        <v>2</v>
      </c>
      <c r="M4337">
        <v>552</v>
      </c>
      <c r="N4337">
        <v>138</v>
      </c>
      <c r="O4337">
        <v>50</v>
      </c>
      <c r="P4337">
        <v>1104</v>
      </c>
      <c r="Q4337">
        <v>1016</v>
      </c>
      <c r="R4337" t="s">
        <v>39</v>
      </c>
      <c r="S4337" t="s">
        <v>31</v>
      </c>
      <c r="T4337" t="s">
        <v>40</v>
      </c>
      <c r="U4337">
        <v>38</v>
      </c>
      <c r="V4337">
        <v>4.4000000000000004</v>
      </c>
      <c r="W4337">
        <f>Table2[[#This Row],[Quantity]]*Table2[[#This Row],[Item_Price]]</f>
        <v>1104</v>
      </c>
    </row>
    <row r="4338" spans="1:23" x14ac:dyDescent="0.25">
      <c r="A4338" t="s">
        <v>4442</v>
      </c>
      <c r="B4338" s="1">
        <v>45974</v>
      </c>
      <c r="C4338" t="s">
        <v>4265</v>
      </c>
      <c r="D4338">
        <v>11</v>
      </c>
      <c r="E4338">
        <v>13</v>
      </c>
      <c r="F4338" t="s">
        <v>88</v>
      </c>
      <c r="G4338" t="s">
        <v>80</v>
      </c>
      <c r="H4338" t="s">
        <v>42</v>
      </c>
      <c r="I4338" t="s">
        <v>49</v>
      </c>
      <c r="J4338" t="s">
        <v>78</v>
      </c>
      <c r="K4338" t="s">
        <v>45</v>
      </c>
      <c r="L4338">
        <v>1</v>
      </c>
      <c r="M4338">
        <v>669</v>
      </c>
      <c r="N4338">
        <v>167.25</v>
      </c>
      <c r="O4338">
        <v>30</v>
      </c>
      <c r="P4338">
        <v>669</v>
      </c>
      <c r="Q4338">
        <v>531.75</v>
      </c>
      <c r="R4338" t="s">
        <v>75</v>
      </c>
      <c r="S4338" t="s">
        <v>46</v>
      </c>
      <c r="T4338" t="s">
        <v>32</v>
      </c>
      <c r="U4338">
        <v>37</v>
      </c>
      <c r="W4338">
        <f>Table2[[#This Row],[Quantity]]*Table2[[#This Row],[Item_Price]]</f>
        <v>669</v>
      </c>
    </row>
    <row r="4339" spans="1:23" x14ac:dyDescent="0.25">
      <c r="A4339" t="s">
        <v>4443</v>
      </c>
      <c r="B4339" s="1">
        <v>45974</v>
      </c>
      <c r="C4339" t="s">
        <v>4265</v>
      </c>
      <c r="D4339">
        <v>11</v>
      </c>
      <c r="E4339">
        <v>13</v>
      </c>
      <c r="F4339" t="s">
        <v>88</v>
      </c>
      <c r="G4339" t="s">
        <v>34</v>
      </c>
      <c r="H4339" t="s">
        <v>81</v>
      </c>
      <c r="I4339" t="s">
        <v>43</v>
      </c>
      <c r="J4339" t="s">
        <v>101</v>
      </c>
      <c r="K4339" t="s">
        <v>45</v>
      </c>
      <c r="L4339">
        <v>2</v>
      </c>
      <c r="M4339">
        <v>460</v>
      </c>
      <c r="N4339">
        <v>0</v>
      </c>
      <c r="O4339">
        <v>70</v>
      </c>
      <c r="P4339">
        <v>920</v>
      </c>
      <c r="Q4339">
        <v>990</v>
      </c>
      <c r="R4339" t="s">
        <v>98</v>
      </c>
      <c r="S4339" t="s">
        <v>31</v>
      </c>
      <c r="T4339" t="s">
        <v>40</v>
      </c>
      <c r="U4339">
        <v>39</v>
      </c>
      <c r="V4339">
        <v>4.5999999999999996</v>
      </c>
      <c r="W4339">
        <f>Table2[[#This Row],[Quantity]]*Table2[[#This Row],[Item_Price]]</f>
        <v>920</v>
      </c>
    </row>
    <row r="4340" spans="1:23" x14ac:dyDescent="0.25">
      <c r="A4340" t="s">
        <v>4444</v>
      </c>
      <c r="B4340" s="1">
        <v>45974</v>
      </c>
      <c r="C4340" t="s">
        <v>4265</v>
      </c>
      <c r="D4340">
        <v>11</v>
      </c>
      <c r="E4340">
        <v>13</v>
      </c>
      <c r="F4340" t="s">
        <v>88</v>
      </c>
      <c r="G4340" t="s">
        <v>84</v>
      </c>
      <c r="H4340" t="s">
        <v>135</v>
      </c>
      <c r="I4340" t="s">
        <v>57</v>
      </c>
      <c r="J4340" t="s">
        <v>28</v>
      </c>
      <c r="K4340" t="s">
        <v>38</v>
      </c>
      <c r="L4340">
        <v>3</v>
      </c>
      <c r="M4340">
        <v>430</v>
      </c>
      <c r="N4340">
        <v>107.5</v>
      </c>
      <c r="O4340">
        <v>40</v>
      </c>
      <c r="P4340">
        <v>1290</v>
      </c>
      <c r="Q4340">
        <v>1222.5</v>
      </c>
      <c r="R4340" t="s">
        <v>112</v>
      </c>
      <c r="S4340" t="s">
        <v>31</v>
      </c>
      <c r="T4340" t="s">
        <v>40</v>
      </c>
      <c r="U4340">
        <v>59</v>
      </c>
      <c r="V4340">
        <v>4</v>
      </c>
      <c r="W4340">
        <f>Table2[[#This Row],[Quantity]]*Table2[[#This Row],[Item_Price]]</f>
        <v>1290</v>
      </c>
    </row>
    <row r="4341" spans="1:23" x14ac:dyDescent="0.25">
      <c r="A4341" t="s">
        <v>4445</v>
      </c>
      <c r="B4341" s="1">
        <v>45974</v>
      </c>
      <c r="C4341" t="s">
        <v>4265</v>
      </c>
      <c r="D4341">
        <v>11</v>
      </c>
      <c r="E4341">
        <v>13</v>
      </c>
      <c r="F4341" t="s">
        <v>88</v>
      </c>
      <c r="G4341" t="s">
        <v>115</v>
      </c>
      <c r="H4341" t="s">
        <v>135</v>
      </c>
      <c r="I4341" t="s">
        <v>69</v>
      </c>
      <c r="J4341" t="s">
        <v>94</v>
      </c>
      <c r="K4341" t="s">
        <v>29</v>
      </c>
      <c r="L4341">
        <v>1</v>
      </c>
      <c r="M4341">
        <v>548</v>
      </c>
      <c r="N4341">
        <v>137</v>
      </c>
      <c r="O4341">
        <v>30</v>
      </c>
      <c r="P4341">
        <v>548</v>
      </c>
      <c r="Q4341">
        <v>441</v>
      </c>
      <c r="R4341" t="s">
        <v>39</v>
      </c>
      <c r="S4341" t="s">
        <v>31</v>
      </c>
      <c r="T4341" t="s">
        <v>32</v>
      </c>
      <c r="U4341">
        <v>49</v>
      </c>
      <c r="V4341">
        <v>4.0999999999999996</v>
      </c>
      <c r="W4341">
        <f>Table2[[#This Row],[Quantity]]*Table2[[#This Row],[Item_Price]]</f>
        <v>548</v>
      </c>
    </row>
    <row r="4342" spans="1:23" x14ac:dyDescent="0.25">
      <c r="A4342" t="s">
        <v>4446</v>
      </c>
      <c r="B4342" s="1">
        <v>45974</v>
      </c>
      <c r="C4342" t="s">
        <v>4265</v>
      </c>
      <c r="D4342">
        <v>11</v>
      </c>
      <c r="E4342">
        <v>13</v>
      </c>
      <c r="F4342" t="s">
        <v>88</v>
      </c>
      <c r="G4342" t="s">
        <v>64</v>
      </c>
      <c r="H4342" t="s">
        <v>68</v>
      </c>
      <c r="I4342" t="s">
        <v>43</v>
      </c>
      <c r="J4342" t="s">
        <v>101</v>
      </c>
      <c r="K4342" t="s">
        <v>38</v>
      </c>
      <c r="L4342">
        <v>2</v>
      </c>
      <c r="M4342">
        <v>803</v>
      </c>
      <c r="N4342">
        <v>40.15</v>
      </c>
      <c r="O4342">
        <v>30</v>
      </c>
      <c r="P4342">
        <v>1606</v>
      </c>
      <c r="Q4342">
        <v>1595.85</v>
      </c>
      <c r="R4342" t="s">
        <v>75</v>
      </c>
      <c r="S4342" t="s">
        <v>31</v>
      </c>
      <c r="T4342" t="s">
        <v>40</v>
      </c>
      <c r="U4342">
        <v>33</v>
      </c>
      <c r="V4342">
        <v>4.5999999999999996</v>
      </c>
      <c r="W4342">
        <f>Table2[[#This Row],[Quantity]]*Table2[[#This Row],[Item_Price]]</f>
        <v>1606</v>
      </c>
    </row>
    <row r="4343" spans="1:23" x14ac:dyDescent="0.25">
      <c r="A4343" t="s">
        <v>4447</v>
      </c>
      <c r="B4343" s="1">
        <v>45974</v>
      </c>
      <c r="C4343" t="s">
        <v>4265</v>
      </c>
      <c r="D4343">
        <v>11</v>
      </c>
      <c r="E4343">
        <v>13</v>
      </c>
      <c r="F4343" t="s">
        <v>88</v>
      </c>
      <c r="G4343" t="s">
        <v>84</v>
      </c>
      <c r="H4343" t="s">
        <v>105</v>
      </c>
      <c r="I4343" t="s">
        <v>85</v>
      </c>
      <c r="J4343" t="s">
        <v>119</v>
      </c>
      <c r="K4343" t="s">
        <v>38</v>
      </c>
      <c r="L4343">
        <v>2</v>
      </c>
      <c r="M4343">
        <v>206</v>
      </c>
      <c r="N4343">
        <v>41.2</v>
      </c>
      <c r="O4343">
        <v>50</v>
      </c>
      <c r="P4343">
        <v>412</v>
      </c>
      <c r="Q4343">
        <v>420.8</v>
      </c>
      <c r="R4343" t="s">
        <v>39</v>
      </c>
      <c r="S4343" t="s">
        <v>31</v>
      </c>
      <c r="T4343" t="s">
        <v>40</v>
      </c>
      <c r="U4343">
        <v>54</v>
      </c>
      <c r="V4343">
        <v>3.3</v>
      </c>
      <c r="W4343">
        <f>Table2[[#This Row],[Quantity]]*Table2[[#This Row],[Item_Price]]</f>
        <v>412</v>
      </c>
    </row>
    <row r="4344" spans="1:23" x14ac:dyDescent="0.25">
      <c r="A4344" t="s">
        <v>4448</v>
      </c>
      <c r="B4344" s="1">
        <v>45974</v>
      </c>
      <c r="C4344" t="s">
        <v>4265</v>
      </c>
      <c r="D4344">
        <v>11</v>
      </c>
      <c r="E4344">
        <v>13</v>
      </c>
      <c r="F4344" t="s">
        <v>88</v>
      </c>
      <c r="G4344" t="s">
        <v>34</v>
      </c>
      <c r="H4344" t="s">
        <v>108</v>
      </c>
      <c r="I4344" t="s">
        <v>97</v>
      </c>
      <c r="J4344" t="s">
        <v>94</v>
      </c>
      <c r="K4344" t="s">
        <v>38</v>
      </c>
      <c r="L4344">
        <v>1</v>
      </c>
      <c r="M4344">
        <v>844</v>
      </c>
      <c r="N4344">
        <v>211</v>
      </c>
      <c r="O4344">
        <v>0</v>
      </c>
      <c r="P4344">
        <v>844</v>
      </c>
      <c r="Q4344">
        <v>633</v>
      </c>
      <c r="R4344" t="s">
        <v>112</v>
      </c>
      <c r="S4344" t="s">
        <v>91</v>
      </c>
      <c r="T4344" t="s">
        <v>40</v>
      </c>
      <c r="U4344">
        <v>20</v>
      </c>
      <c r="W4344">
        <f>Table2[[#This Row],[Quantity]]*Table2[[#This Row],[Item_Price]]</f>
        <v>844</v>
      </c>
    </row>
    <row r="4345" spans="1:23" x14ac:dyDescent="0.25">
      <c r="A4345" t="s">
        <v>4449</v>
      </c>
      <c r="B4345" s="1">
        <v>45974</v>
      </c>
      <c r="C4345" t="s">
        <v>4265</v>
      </c>
      <c r="D4345">
        <v>11</v>
      </c>
      <c r="E4345">
        <v>13</v>
      </c>
      <c r="F4345" t="s">
        <v>88</v>
      </c>
      <c r="G4345" t="s">
        <v>80</v>
      </c>
      <c r="H4345" t="s">
        <v>52</v>
      </c>
      <c r="I4345" t="s">
        <v>85</v>
      </c>
      <c r="J4345" t="s">
        <v>37</v>
      </c>
      <c r="K4345" t="s">
        <v>45</v>
      </c>
      <c r="L4345">
        <v>3</v>
      </c>
      <c r="M4345">
        <v>900</v>
      </c>
      <c r="N4345">
        <v>45</v>
      </c>
      <c r="O4345">
        <v>40</v>
      </c>
      <c r="P4345">
        <v>2700</v>
      </c>
      <c r="Q4345">
        <v>2695</v>
      </c>
      <c r="R4345" t="s">
        <v>112</v>
      </c>
      <c r="S4345" t="s">
        <v>31</v>
      </c>
      <c r="T4345" t="s">
        <v>32</v>
      </c>
      <c r="U4345">
        <v>50</v>
      </c>
      <c r="V4345">
        <v>4.3</v>
      </c>
      <c r="W4345">
        <f>Table2[[#This Row],[Quantity]]*Table2[[#This Row],[Item_Price]]</f>
        <v>2700</v>
      </c>
    </row>
    <row r="4346" spans="1:23" x14ac:dyDescent="0.25">
      <c r="A4346" t="s">
        <v>4450</v>
      </c>
      <c r="B4346" s="1">
        <v>45974</v>
      </c>
      <c r="C4346" t="s">
        <v>4265</v>
      </c>
      <c r="D4346">
        <v>11</v>
      </c>
      <c r="E4346">
        <v>13</v>
      </c>
      <c r="F4346" t="s">
        <v>88</v>
      </c>
      <c r="G4346" t="s">
        <v>73</v>
      </c>
      <c r="H4346" t="s">
        <v>48</v>
      </c>
      <c r="I4346" t="s">
        <v>69</v>
      </c>
      <c r="J4346" t="s">
        <v>101</v>
      </c>
      <c r="K4346" t="s">
        <v>38</v>
      </c>
      <c r="L4346">
        <v>1</v>
      </c>
      <c r="M4346">
        <v>772</v>
      </c>
      <c r="N4346">
        <v>77.2</v>
      </c>
      <c r="O4346">
        <v>20</v>
      </c>
      <c r="P4346">
        <v>772</v>
      </c>
      <c r="Q4346">
        <v>714.8</v>
      </c>
      <c r="R4346" t="s">
        <v>112</v>
      </c>
      <c r="S4346" t="s">
        <v>31</v>
      </c>
      <c r="T4346" t="s">
        <v>32</v>
      </c>
      <c r="U4346">
        <v>23</v>
      </c>
      <c r="V4346">
        <v>3.5</v>
      </c>
      <c r="W4346">
        <f>Table2[[#This Row],[Quantity]]*Table2[[#This Row],[Item_Price]]</f>
        <v>772</v>
      </c>
    </row>
    <row r="4347" spans="1:23" x14ac:dyDescent="0.25">
      <c r="A4347" t="s">
        <v>4451</v>
      </c>
      <c r="B4347" s="1">
        <v>45975</v>
      </c>
      <c r="C4347" t="s">
        <v>4265</v>
      </c>
      <c r="D4347">
        <v>11</v>
      </c>
      <c r="E4347">
        <v>14</v>
      </c>
      <c r="F4347" t="s">
        <v>114</v>
      </c>
      <c r="G4347" t="s">
        <v>73</v>
      </c>
      <c r="H4347" t="s">
        <v>52</v>
      </c>
      <c r="I4347" t="s">
        <v>43</v>
      </c>
      <c r="J4347" t="s">
        <v>172</v>
      </c>
      <c r="K4347" t="s">
        <v>58</v>
      </c>
      <c r="L4347">
        <v>2</v>
      </c>
      <c r="M4347">
        <v>344</v>
      </c>
      <c r="N4347">
        <v>51.6</v>
      </c>
      <c r="O4347">
        <v>60</v>
      </c>
      <c r="P4347">
        <v>688</v>
      </c>
      <c r="Q4347">
        <v>696.4</v>
      </c>
      <c r="R4347" t="s">
        <v>39</v>
      </c>
      <c r="S4347" t="s">
        <v>31</v>
      </c>
      <c r="T4347" t="s">
        <v>40</v>
      </c>
      <c r="U4347">
        <v>69</v>
      </c>
      <c r="V4347">
        <v>5</v>
      </c>
      <c r="W4347">
        <f>Table2[[#This Row],[Quantity]]*Table2[[#This Row],[Item_Price]]</f>
        <v>688</v>
      </c>
    </row>
    <row r="4348" spans="1:23" x14ac:dyDescent="0.25">
      <c r="A4348" t="s">
        <v>4452</v>
      </c>
      <c r="B4348" s="1">
        <v>45975</v>
      </c>
      <c r="C4348" t="s">
        <v>4265</v>
      </c>
      <c r="D4348">
        <v>11</v>
      </c>
      <c r="E4348">
        <v>14</v>
      </c>
      <c r="F4348" t="s">
        <v>114</v>
      </c>
      <c r="G4348" t="s">
        <v>64</v>
      </c>
      <c r="H4348" t="s">
        <v>52</v>
      </c>
      <c r="I4348" t="s">
        <v>97</v>
      </c>
      <c r="J4348" t="s">
        <v>28</v>
      </c>
      <c r="K4348" t="s">
        <v>38</v>
      </c>
      <c r="L4348">
        <v>1</v>
      </c>
      <c r="M4348">
        <v>766</v>
      </c>
      <c r="N4348">
        <v>114.9</v>
      </c>
      <c r="O4348">
        <v>20</v>
      </c>
      <c r="P4348">
        <v>766</v>
      </c>
      <c r="Q4348">
        <v>671.1</v>
      </c>
      <c r="R4348" t="s">
        <v>30</v>
      </c>
      <c r="S4348" t="s">
        <v>91</v>
      </c>
      <c r="T4348" t="s">
        <v>40</v>
      </c>
      <c r="U4348">
        <v>28</v>
      </c>
      <c r="W4348">
        <f>Table2[[#This Row],[Quantity]]*Table2[[#This Row],[Item_Price]]</f>
        <v>766</v>
      </c>
    </row>
    <row r="4349" spans="1:23" x14ac:dyDescent="0.25">
      <c r="A4349" t="s">
        <v>4453</v>
      </c>
      <c r="B4349" s="1">
        <v>45975</v>
      </c>
      <c r="C4349" t="s">
        <v>4265</v>
      </c>
      <c r="D4349">
        <v>11</v>
      </c>
      <c r="E4349">
        <v>14</v>
      </c>
      <c r="F4349" t="s">
        <v>114</v>
      </c>
      <c r="G4349" t="s">
        <v>80</v>
      </c>
      <c r="H4349" t="s">
        <v>26</v>
      </c>
      <c r="I4349" t="s">
        <v>49</v>
      </c>
      <c r="J4349" t="s">
        <v>50</v>
      </c>
      <c r="K4349" t="s">
        <v>38</v>
      </c>
      <c r="L4349">
        <v>2</v>
      </c>
      <c r="M4349">
        <v>849</v>
      </c>
      <c r="N4349">
        <v>212.25</v>
      </c>
      <c r="O4349">
        <v>30</v>
      </c>
      <c r="P4349">
        <v>1698</v>
      </c>
      <c r="Q4349">
        <v>1515.75</v>
      </c>
      <c r="R4349" t="s">
        <v>39</v>
      </c>
      <c r="S4349" t="s">
        <v>31</v>
      </c>
      <c r="T4349" t="s">
        <v>40</v>
      </c>
      <c r="U4349">
        <v>60</v>
      </c>
      <c r="V4349">
        <v>3.9</v>
      </c>
      <c r="W4349">
        <f>Table2[[#This Row],[Quantity]]*Table2[[#This Row],[Item_Price]]</f>
        <v>1698</v>
      </c>
    </row>
    <row r="4350" spans="1:23" x14ac:dyDescent="0.25">
      <c r="A4350" t="s">
        <v>4454</v>
      </c>
      <c r="B4350" s="1">
        <v>45975</v>
      </c>
      <c r="C4350" t="s">
        <v>4265</v>
      </c>
      <c r="D4350">
        <v>11</v>
      </c>
      <c r="E4350">
        <v>14</v>
      </c>
      <c r="F4350" t="s">
        <v>114</v>
      </c>
      <c r="G4350" t="s">
        <v>115</v>
      </c>
      <c r="H4350" t="s">
        <v>81</v>
      </c>
      <c r="I4350" t="s">
        <v>36</v>
      </c>
      <c r="J4350" t="s">
        <v>37</v>
      </c>
      <c r="K4350" t="s">
        <v>38</v>
      </c>
      <c r="L4350">
        <v>1</v>
      </c>
      <c r="M4350">
        <v>825</v>
      </c>
      <c r="N4350">
        <v>165</v>
      </c>
      <c r="O4350">
        <v>60</v>
      </c>
      <c r="P4350">
        <v>825</v>
      </c>
      <c r="Q4350">
        <v>720</v>
      </c>
      <c r="R4350" t="s">
        <v>30</v>
      </c>
      <c r="S4350" t="s">
        <v>31</v>
      </c>
      <c r="T4350" t="s">
        <v>40</v>
      </c>
      <c r="U4350">
        <v>51</v>
      </c>
      <c r="V4350">
        <v>3.7</v>
      </c>
      <c r="W4350">
        <f>Table2[[#This Row],[Quantity]]*Table2[[#This Row],[Item_Price]]</f>
        <v>825</v>
      </c>
    </row>
    <row r="4351" spans="1:23" x14ac:dyDescent="0.25">
      <c r="A4351" t="s">
        <v>4455</v>
      </c>
      <c r="B4351" s="1">
        <v>45975</v>
      </c>
      <c r="C4351" t="s">
        <v>4265</v>
      </c>
      <c r="D4351">
        <v>11</v>
      </c>
      <c r="E4351">
        <v>14</v>
      </c>
      <c r="F4351" t="s">
        <v>114</v>
      </c>
      <c r="G4351" t="s">
        <v>34</v>
      </c>
      <c r="H4351" t="s">
        <v>68</v>
      </c>
      <c r="I4351" t="s">
        <v>61</v>
      </c>
      <c r="J4351" t="s">
        <v>74</v>
      </c>
      <c r="K4351" t="s">
        <v>45</v>
      </c>
      <c r="L4351">
        <v>2</v>
      </c>
      <c r="M4351">
        <v>759</v>
      </c>
      <c r="N4351">
        <v>37.950000000000003</v>
      </c>
      <c r="O4351">
        <v>30</v>
      </c>
      <c r="P4351">
        <v>1518</v>
      </c>
      <c r="Q4351">
        <v>1510.05</v>
      </c>
      <c r="R4351" t="s">
        <v>98</v>
      </c>
      <c r="S4351" t="s">
        <v>31</v>
      </c>
      <c r="T4351" t="s">
        <v>40</v>
      </c>
      <c r="U4351">
        <v>51</v>
      </c>
      <c r="V4351">
        <v>4.9000000000000004</v>
      </c>
      <c r="W4351">
        <f>Table2[[#This Row],[Quantity]]*Table2[[#This Row],[Item_Price]]</f>
        <v>1518</v>
      </c>
    </row>
    <row r="4352" spans="1:23" x14ac:dyDescent="0.25">
      <c r="A4352" t="s">
        <v>4456</v>
      </c>
      <c r="B4352" s="1">
        <v>45975</v>
      </c>
      <c r="C4352" t="s">
        <v>4265</v>
      </c>
      <c r="D4352">
        <v>11</v>
      </c>
      <c r="E4352">
        <v>14</v>
      </c>
      <c r="F4352" t="s">
        <v>114</v>
      </c>
      <c r="G4352" t="s">
        <v>84</v>
      </c>
      <c r="H4352" t="s">
        <v>52</v>
      </c>
      <c r="I4352" t="s">
        <v>103</v>
      </c>
      <c r="J4352" t="s">
        <v>172</v>
      </c>
      <c r="K4352" t="s">
        <v>38</v>
      </c>
      <c r="L4352">
        <v>1</v>
      </c>
      <c r="M4352">
        <v>552</v>
      </c>
      <c r="N4352">
        <v>138</v>
      </c>
      <c r="O4352">
        <v>0</v>
      </c>
      <c r="P4352">
        <v>552</v>
      </c>
      <c r="Q4352">
        <v>414</v>
      </c>
      <c r="R4352" t="s">
        <v>75</v>
      </c>
      <c r="S4352" t="s">
        <v>31</v>
      </c>
      <c r="T4352" t="s">
        <v>32</v>
      </c>
      <c r="U4352">
        <v>57</v>
      </c>
      <c r="V4352">
        <v>3.5</v>
      </c>
      <c r="W4352">
        <f>Table2[[#This Row],[Quantity]]*Table2[[#This Row],[Item_Price]]</f>
        <v>552</v>
      </c>
    </row>
    <row r="4353" spans="1:23" x14ac:dyDescent="0.25">
      <c r="A4353" t="s">
        <v>4457</v>
      </c>
      <c r="B4353" s="1">
        <v>45975</v>
      </c>
      <c r="C4353" t="s">
        <v>4265</v>
      </c>
      <c r="D4353">
        <v>11</v>
      </c>
      <c r="E4353">
        <v>14</v>
      </c>
      <c r="F4353" t="s">
        <v>114</v>
      </c>
      <c r="G4353" t="s">
        <v>90</v>
      </c>
      <c r="H4353" t="s">
        <v>60</v>
      </c>
      <c r="I4353" t="s">
        <v>36</v>
      </c>
      <c r="J4353" t="s">
        <v>94</v>
      </c>
      <c r="K4353" t="s">
        <v>38</v>
      </c>
      <c r="L4353">
        <v>1</v>
      </c>
      <c r="M4353">
        <v>557</v>
      </c>
      <c r="N4353">
        <v>27.85</v>
      </c>
      <c r="O4353">
        <v>50</v>
      </c>
      <c r="P4353">
        <v>557</v>
      </c>
      <c r="Q4353">
        <v>579.15</v>
      </c>
      <c r="R4353" t="s">
        <v>39</v>
      </c>
      <c r="S4353" t="s">
        <v>31</v>
      </c>
      <c r="T4353" t="s">
        <v>40</v>
      </c>
      <c r="U4353">
        <v>32</v>
      </c>
      <c r="V4353">
        <v>4.0999999999999996</v>
      </c>
      <c r="W4353">
        <f>Table2[[#This Row],[Quantity]]*Table2[[#This Row],[Item_Price]]</f>
        <v>557</v>
      </c>
    </row>
    <row r="4354" spans="1:23" x14ac:dyDescent="0.25">
      <c r="A4354" t="s">
        <v>4458</v>
      </c>
      <c r="B4354" s="1">
        <v>45975</v>
      </c>
      <c r="C4354" t="s">
        <v>4265</v>
      </c>
      <c r="D4354">
        <v>11</v>
      </c>
      <c r="E4354">
        <v>14</v>
      </c>
      <c r="F4354" t="s">
        <v>114</v>
      </c>
      <c r="G4354" t="s">
        <v>115</v>
      </c>
      <c r="H4354" t="s">
        <v>139</v>
      </c>
      <c r="I4354" t="s">
        <v>57</v>
      </c>
      <c r="J4354" t="s">
        <v>78</v>
      </c>
      <c r="K4354" t="s">
        <v>45</v>
      </c>
      <c r="L4354">
        <v>1</v>
      </c>
      <c r="M4354">
        <v>451</v>
      </c>
      <c r="N4354">
        <v>112.75</v>
      </c>
      <c r="O4354">
        <v>40</v>
      </c>
      <c r="P4354">
        <v>451</v>
      </c>
      <c r="Q4354">
        <v>378.25</v>
      </c>
      <c r="R4354" t="s">
        <v>39</v>
      </c>
      <c r="S4354" t="s">
        <v>31</v>
      </c>
      <c r="T4354" t="s">
        <v>40</v>
      </c>
      <c r="U4354">
        <v>62</v>
      </c>
      <c r="V4354">
        <v>4.2</v>
      </c>
      <c r="W4354">
        <f>Table2[[#This Row],[Quantity]]*Table2[[#This Row],[Item_Price]]</f>
        <v>451</v>
      </c>
    </row>
    <row r="4355" spans="1:23" x14ac:dyDescent="0.25">
      <c r="A4355" t="s">
        <v>4459</v>
      </c>
      <c r="B4355" s="1">
        <v>45975</v>
      </c>
      <c r="C4355" t="s">
        <v>4265</v>
      </c>
      <c r="D4355">
        <v>11</v>
      </c>
      <c r="E4355">
        <v>14</v>
      </c>
      <c r="F4355" t="s">
        <v>114</v>
      </c>
      <c r="G4355" t="s">
        <v>64</v>
      </c>
      <c r="H4355" t="s">
        <v>26</v>
      </c>
      <c r="I4355" t="s">
        <v>61</v>
      </c>
      <c r="J4355" t="s">
        <v>70</v>
      </c>
      <c r="K4355" t="s">
        <v>38</v>
      </c>
      <c r="L4355">
        <v>1</v>
      </c>
      <c r="M4355">
        <v>188</v>
      </c>
      <c r="N4355">
        <v>18.8</v>
      </c>
      <c r="O4355">
        <v>60</v>
      </c>
      <c r="P4355">
        <v>188</v>
      </c>
      <c r="Q4355">
        <v>229.2</v>
      </c>
      <c r="R4355" t="s">
        <v>39</v>
      </c>
      <c r="S4355" t="s">
        <v>91</v>
      </c>
      <c r="T4355" t="s">
        <v>32</v>
      </c>
      <c r="U4355">
        <v>32</v>
      </c>
      <c r="W4355">
        <f>Table2[[#This Row],[Quantity]]*Table2[[#This Row],[Item_Price]]</f>
        <v>188</v>
      </c>
    </row>
    <row r="4356" spans="1:23" x14ac:dyDescent="0.25">
      <c r="A4356" t="s">
        <v>4460</v>
      </c>
      <c r="B4356" s="1">
        <v>45975</v>
      </c>
      <c r="C4356" t="s">
        <v>4265</v>
      </c>
      <c r="D4356">
        <v>11</v>
      </c>
      <c r="E4356">
        <v>14</v>
      </c>
      <c r="F4356" t="s">
        <v>114</v>
      </c>
      <c r="G4356" t="s">
        <v>34</v>
      </c>
      <c r="H4356" t="s">
        <v>139</v>
      </c>
      <c r="I4356" t="s">
        <v>36</v>
      </c>
      <c r="J4356" t="s">
        <v>50</v>
      </c>
      <c r="K4356" t="s">
        <v>45</v>
      </c>
      <c r="L4356">
        <v>3</v>
      </c>
      <c r="M4356">
        <v>438</v>
      </c>
      <c r="N4356">
        <v>21.9</v>
      </c>
      <c r="O4356">
        <v>20</v>
      </c>
      <c r="P4356">
        <v>1314</v>
      </c>
      <c r="Q4356">
        <v>1312.1</v>
      </c>
      <c r="R4356" t="s">
        <v>112</v>
      </c>
      <c r="S4356" t="s">
        <v>31</v>
      </c>
      <c r="T4356" t="s">
        <v>40</v>
      </c>
      <c r="U4356">
        <v>70</v>
      </c>
      <c r="V4356">
        <v>3.8</v>
      </c>
      <c r="W4356">
        <f>Table2[[#This Row],[Quantity]]*Table2[[#This Row],[Item_Price]]</f>
        <v>1314</v>
      </c>
    </row>
    <row r="4357" spans="1:23" x14ac:dyDescent="0.25">
      <c r="A4357" t="s">
        <v>4461</v>
      </c>
      <c r="B4357" s="1">
        <v>45975</v>
      </c>
      <c r="C4357" t="s">
        <v>4265</v>
      </c>
      <c r="D4357">
        <v>11</v>
      </c>
      <c r="E4357">
        <v>14</v>
      </c>
      <c r="F4357" t="s">
        <v>114</v>
      </c>
      <c r="G4357" t="s">
        <v>64</v>
      </c>
      <c r="H4357" t="s">
        <v>52</v>
      </c>
      <c r="I4357" t="s">
        <v>97</v>
      </c>
      <c r="J4357" t="s">
        <v>94</v>
      </c>
      <c r="K4357" t="s">
        <v>38</v>
      </c>
      <c r="L4357">
        <v>3</v>
      </c>
      <c r="M4357">
        <v>417</v>
      </c>
      <c r="N4357">
        <v>20.85</v>
      </c>
      <c r="O4357">
        <v>50</v>
      </c>
      <c r="P4357">
        <v>1251</v>
      </c>
      <c r="Q4357">
        <v>1280.1500000000001</v>
      </c>
      <c r="R4357" t="s">
        <v>39</v>
      </c>
      <c r="S4357" t="s">
        <v>31</v>
      </c>
      <c r="T4357" t="s">
        <v>32</v>
      </c>
      <c r="U4357">
        <v>51</v>
      </c>
      <c r="V4357">
        <v>3.9</v>
      </c>
      <c r="W4357">
        <f>Table2[[#This Row],[Quantity]]*Table2[[#This Row],[Item_Price]]</f>
        <v>1251</v>
      </c>
    </row>
    <row r="4358" spans="1:23" x14ac:dyDescent="0.25">
      <c r="A4358" t="s">
        <v>4462</v>
      </c>
      <c r="B4358" s="1">
        <v>45975</v>
      </c>
      <c r="C4358" t="s">
        <v>4265</v>
      </c>
      <c r="D4358">
        <v>11</v>
      </c>
      <c r="E4358">
        <v>14</v>
      </c>
      <c r="F4358" t="s">
        <v>114</v>
      </c>
      <c r="G4358" t="s">
        <v>64</v>
      </c>
      <c r="H4358" t="s">
        <v>81</v>
      </c>
      <c r="I4358" t="s">
        <v>36</v>
      </c>
      <c r="J4358" t="s">
        <v>62</v>
      </c>
      <c r="K4358" t="s">
        <v>29</v>
      </c>
      <c r="L4358">
        <v>3</v>
      </c>
      <c r="M4358">
        <v>556</v>
      </c>
      <c r="N4358">
        <v>55.6</v>
      </c>
      <c r="O4358">
        <v>0</v>
      </c>
      <c r="P4358">
        <v>1668</v>
      </c>
      <c r="Q4358">
        <v>1612.4</v>
      </c>
      <c r="R4358" t="s">
        <v>75</v>
      </c>
      <c r="S4358" t="s">
        <v>31</v>
      </c>
      <c r="T4358" t="s">
        <v>32</v>
      </c>
      <c r="U4358">
        <v>62</v>
      </c>
      <c r="V4358">
        <v>3.9</v>
      </c>
      <c r="W4358">
        <f>Table2[[#This Row],[Quantity]]*Table2[[#This Row],[Item_Price]]</f>
        <v>1668</v>
      </c>
    </row>
    <row r="4359" spans="1:23" x14ac:dyDescent="0.25">
      <c r="A4359" t="s">
        <v>4463</v>
      </c>
      <c r="B4359" s="1">
        <v>45975</v>
      </c>
      <c r="C4359" t="s">
        <v>4265</v>
      </c>
      <c r="D4359">
        <v>11</v>
      </c>
      <c r="E4359">
        <v>14</v>
      </c>
      <c r="F4359" t="s">
        <v>114</v>
      </c>
      <c r="G4359" t="s">
        <v>115</v>
      </c>
      <c r="H4359" t="s">
        <v>26</v>
      </c>
      <c r="I4359" t="s">
        <v>49</v>
      </c>
      <c r="J4359" t="s">
        <v>70</v>
      </c>
      <c r="K4359" t="s">
        <v>38</v>
      </c>
      <c r="L4359">
        <v>2</v>
      </c>
      <c r="M4359">
        <v>123</v>
      </c>
      <c r="N4359">
        <v>24.6</v>
      </c>
      <c r="O4359">
        <v>60</v>
      </c>
      <c r="P4359">
        <v>246</v>
      </c>
      <c r="Q4359">
        <v>281.39999999999998</v>
      </c>
      <c r="R4359" t="s">
        <v>75</v>
      </c>
      <c r="S4359" t="s">
        <v>31</v>
      </c>
      <c r="T4359" t="s">
        <v>40</v>
      </c>
      <c r="U4359">
        <v>39</v>
      </c>
      <c r="V4359">
        <v>4.0999999999999996</v>
      </c>
      <c r="W4359">
        <f>Table2[[#This Row],[Quantity]]*Table2[[#This Row],[Item_Price]]</f>
        <v>246</v>
      </c>
    </row>
    <row r="4360" spans="1:23" x14ac:dyDescent="0.25">
      <c r="A4360" t="s">
        <v>4464</v>
      </c>
      <c r="B4360" s="1">
        <v>45975</v>
      </c>
      <c r="C4360" t="s">
        <v>4265</v>
      </c>
      <c r="D4360">
        <v>11</v>
      </c>
      <c r="E4360">
        <v>14</v>
      </c>
      <c r="F4360" t="s">
        <v>114</v>
      </c>
      <c r="G4360" t="s">
        <v>73</v>
      </c>
      <c r="H4360" t="s">
        <v>139</v>
      </c>
      <c r="I4360" t="s">
        <v>43</v>
      </c>
      <c r="J4360" t="s">
        <v>74</v>
      </c>
      <c r="K4360" t="s">
        <v>38</v>
      </c>
      <c r="L4360">
        <v>1</v>
      </c>
      <c r="M4360">
        <v>423</v>
      </c>
      <c r="N4360">
        <v>0</v>
      </c>
      <c r="O4360">
        <v>70</v>
      </c>
      <c r="P4360">
        <v>423</v>
      </c>
      <c r="Q4360">
        <v>493</v>
      </c>
      <c r="R4360" t="s">
        <v>75</v>
      </c>
      <c r="S4360" t="s">
        <v>31</v>
      </c>
      <c r="T4360" t="s">
        <v>40</v>
      </c>
      <c r="U4360">
        <v>25</v>
      </c>
      <c r="V4360">
        <v>3.8</v>
      </c>
      <c r="W4360">
        <f>Table2[[#This Row],[Quantity]]*Table2[[#This Row],[Item_Price]]</f>
        <v>423</v>
      </c>
    </row>
    <row r="4361" spans="1:23" x14ac:dyDescent="0.25">
      <c r="A4361" t="s">
        <v>4465</v>
      </c>
      <c r="B4361" s="1">
        <v>45975</v>
      </c>
      <c r="C4361" t="s">
        <v>4265</v>
      </c>
      <c r="D4361">
        <v>11</v>
      </c>
      <c r="E4361">
        <v>14</v>
      </c>
      <c r="F4361" t="s">
        <v>114</v>
      </c>
      <c r="G4361" t="s">
        <v>73</v>
      </c>
      <c r="H4361" t="s">
        <v>65</v>
      </c>
      <c r="I4361" t="s">
        <v>97</v>
      </c>
      <c r="J4361" t="s">
        <v>123</v>
      </c>
      <c r="K4361" t="s">
        <v>38</v>
      </c>
      <c r="L4361">
        <v>3</v>
      </c>
      <c r="M4361">
        <v>188</v>
      </c>
      <c r="N4361">
        <v>37.6</v>
      </c>
      <c r="O4361">
        <v>40</v>
      </c>
      <c r="P4361">
        <v>564</v>
      </c>
      <c r="Q4361">
        <v>566.4</v>
      </c>
      <c r="R4361" t="s">
        <v>75</v>
      </c>
      <c r="S4361" t="s">
        <v>31</v>
      </c>
      <c r="T4361" t="s">
        <v>40</v>
      </c>
      <c r="U4361">
        <v>56</v>
      </c>
      <c r="V4361">
        <v>3.5</v>
      </c>
      <c r="W4361">
        <f>Table2[[#This Row],[Quantity]]*Table2[[#This Row],[Item_Price]]</f>
        <v>564</v>
      </c>
    </row>
    <row r="4362" spans="1:23" x14ac:dyDescent="0.25">
      <c r="A4362" t="s">
        <v>4466</v>
      </c>
      <c r="B4362" s="1">
        <v>45975</v>
      </c>
      <c r="C4362" t="s">
        <v>4265</v>
      </c>
      <c r="D4362">
        <v>11</v>
      </c>
      <c r="E4362">
        <v>14</v>
      </c>
      <c r="F4362" t="s">
        <v>114</v>
      </c>
      <c r="G4362" t="s">
        <v>34</v>
      </c>
      <c r="H4362" t="s">
        <v>81</v>
      </c>
      <c r="I4362" t="s">
        <v>36</v>
      </c>
      <c r="J4362" t="s">
        <v>94</v>
      </c>
      <c r="K4362" t="s">
        <v>58</v>
      </c>
      <c r="L4362">
        <v>1</v>
      </c>
      <c r="M4362">
        <v>844</v>
      </c>
      <c r="N4362">
        <v>84.4</v>
      </c>
      <c r="O4362">
        <v>50</v>
      </c>
      <c r="P4362">
        <v>844</v>
      </c>
      <c r="Q4362">
        <v>809.6</v>
      </c>
      <c r="R4362" t="s">
        <v>39</v>
      </c>
      <c r="S4362" t="s">
        <v>31</v>
      </c>
      <c r="T4362" t="s">
        <v>40</v>
      </c>
      <c r="U4362">
        <v>49</v>
      </c>
      <c r="V4362">
        <v>3.6</v>
      </c>
      <c r="W4362">
        <f>Table2[[#This Row],[Quantity]]*Table2[[#This Row],[Item_Price]]</f>
        <v>844</v>
      </c>
    </row>
    <row r="4363" spans="1:23" x14ac:dyDescent="0.25">
      <c r="A4363" t="s">
        <v>4467</v>
      </c>
      <c r="B4363" s="1">
        <v>45975</v>
      </c>
      <c r="C4363" t="s">
        <v>4265</v>
      </c>
      <c r="D4363">
        <v>11</v>
      </c>
      <c r="E4363">
        <v>14</v>
      </c>
      <c r="F4363" t="s">
        <v>114</v>
      </c>
      <c r="G4363" t="s">
        <v>73</v>
      </c>
      <c r="H4363" t="s">
        <v>77</v>
      </c>
      <c r="I4363" t="s">
        <v>103</v>
      </c>
      <c r="J4363" t="s">
        <v>82</v>
      </c>
      <c r="K4363" t="s">
        <v>38</v>
      </c>
      <c r="L4363">
        <v>2</v>
      </c>
      <c r="M4363">
        <v>362</v>
      </c>
      <c r="N4363">
        <v>54.3</v>
      </c>
      <c r="O4363">
        <v>0</v>
      </c>
      <c r="P4363">
        <v>724</v>
      </c>
      <c r="Q4363">
        <v>669.7</v>
      </c>
      <c r="R4363" t="s">
        <v>39</v>
      </c>
      <c r="S4363" t="s">
        <v>46</v>
      </c>
      <c r="T4363" t="s">
        <v>40</v>
      </c>
      <c r="U4363">
        <v>40</v>
      </c>
      <c r="W4363">
        <f>Table2[[#This Row],[Quantity]]*Table2[[#This Row],[Item_Price]]</f>
        <v>724</v>
      </c>
    </row>
    <row r="4364" spans="1:23" x14ac:dyDescent="0.25">
      <c r="A4364" t="s">
        <v>4468</v>
      </c>
      <c r="B4364" s="1">
        <v>45975</v>
      </c>
      <c r="C4364" t="s">
        <v>4265</v>
      </c>
      <c r="D4364">
        <v>11</v>
      </c>
      <c r="E4364">
        <v>14</v>
      </c>
      <c r="F4364" t="s">
        <v>114</v>
      </c>
      <c r="G4364" t="s">
        <v>90</v>
      </c>
      <c r="H4364" t="s">
        <v>135</v>
      </c>
      <c r="I4364" t="s">
        <v>57</v>
      </c>
      <c r="J4364" t="s">
        <v>78</v>
      </c>
      <c r="K4364" t="s">
        <v>38</v>
      </c>
      <c r="L4364">
        <v>1</v>
      </c>
      <c r="M4364">
        <v>494</v>
      </c>
      <c r="N4364">
        <v>74.099999999999994</v>
      </c>
      <c r="O4364">
        <v>20</v>
      </c>
      <c r="P4364">
        <v>494</v>
      </c>
      <c r="Q4364">
        <v>439.9</v>
      </c>
      <c r="R4364" t="s">
        <v>30</v>
      </c>
      <c r="S4364" t="s">
        <v>31</v>
      </c>
      <c r="T4364" t="s">
        <v>40</v>
      </c>
      <c r="U4364">
        <v>66</v>
      </c>
      <c r="V4364">
        <v>5</v>
      </c>
      <c r="W4364">
        <f>Table2[[#This Row],[Quantity]]*Table2[[#This Row],[Item_Price]]</f>
        <v>494</v>
      </c>
    </row>
    <row r="4365" spans="1:23" x14ac:dyDescent="0.25">
      <c r="A4365" t="s">
        <v>4469</v>
      </c>
      <c r="B4365" s="1">
        <v>45975</v>
      </c>
      <c r="C4365" t="s">
        <v>4265</v>
      </c>
      <c r="D4365">
        <v>11</v>
      </c>
      <c r="E4365">
        <v>14</v>
      </c>
      <c r="F4365" t="s">
        <v>114</v>
      </c>
      <c r="G4365" t="s">
        <v>34</v>
      </c>
      <c r="H4365" t="s">
        <v>60</v>
      </c>
      <c r="I4365" t="s">
        <v>43</v>
      </c>
      <c r="J4365" t="s">
        <v>28</v>
      </c>
      <c r="K4365" t="s">
        <v>38</v>
      </c>
      <c r="L4365">
        <v>2</v>
      </c>
      <c r="M4365">
        <v>269</v>
      </c>
      <c r="N4365">
        <v>26.9</v>
      </c>
      <c r="O4365">
        <v>60</v>
      </c>
      <c r="P4365">
        <v>538</v>
      </c>
      <c r="Q4365">
        <v>571.1</v>
      </c>
      <c r="R4365" t="s">
        <v>30</v>
      </c>
      <c r="S4365" t="s">
        <v>31</v>
      </c>
      <c r="T4365" t="s">
        <v>32</v>
      </c>
      <c r="U4365">
        <v>66</v>
      </c>
      <c r="V4365">
        <v>4.0999999999999996</v>
      </c>
      <c r="W4365">
        <f>Table2[[#This Row],[Quantity]]*Table2[[#This Row],[Item_Price]]</f>
        <v>538</v>
      </c>
    </row>
    <row r="4366" spans="1:23" x14ac:dyDescent="0.25">
      <c r="A4366" t="s">
        <v>4470</v>
      </c>
      <c r="B4366" s="1">
        <v>45975</v>
      </c>
      <c r="C4366" t="s">
        <v>4265</v>
      </c>
      <c r="D4366">
        <v>11</v>
      </c>
      <c r="E4366">
        <v>14</v>
      </c>
      <c r="F4366" t="s">
        <v>114</v>
      </c>
      <c r="G4366" t="s">
        <v>34</v>
      </c>
      <c r="H4366" t="s">
        <v>48</v>
      </c>
      <c r="I4366" t="s">
        <v>97</v>
      </c>
      <c r="J4366" t="s">
        <v>53</v>
      </c>
      <c r="K4366" t="s">
        <v>38</v>
      </c>
      <c r="L4366">
        <v>2</v>
      </c>
      <c r="M4366">
        <v>571</v>
      </c>
      <c r="N4366">
        <v>142.75</v>
      </c>
      <c r="O4366">
        <v>70</v>
      </c>
      <c r="P4366">
        <v>1142</v>
      </c>
      <c r="Q4366">
        <v>1069.25</v>
      </c>
      <c r="R4366" t="s">
        <v>30</v>
      </c>
      <c r="S4366" t="s">
        <v>31</v>
      </c>
      <c r="T4366" t="s">
        <v>40</v>
      </c>
      <c r="U4366">
        <v>64</v>
      </c>
      <c r="V4366">
        <v>3.9</v>
      </c>
      <c r="W4366">
        <f>Table2[[#This Row],[Quantity]]*Table2[[#This Row],[Item_Price]]</f>
        <v>1142</v>
      </c>
    </row>
    <row r="4367" spans="1:23" x14ac:dyDescent="0.25">
      <c r="A4367" t="s">
        <v>4471</v>
      </c>
      <c r="B4367" s="1">
        <v>45976</v>
      </c>
      <c r="C4367" t="s">
        <v>4265</v>
      </c>
      <c r="D4367">
        <v>11</v>
      </c>
      <c r="E4367">
        <v>15</v>
      </c>
      <c r="F4367" t="s">
        <v>134</v>
      </c>
      <c r="G4367" t="s">
        <v>73</v>
      </c>
      <c r="H4367" t="s">
        <v>42</v>
      </c>
      <c r="I4367" t="s">
        <v>36</v>
      </c>
      <c r="J4367" t="s">
        <v>101</v>
      </c>
      <c r="K4367" t="s">
        <v>45</v>
      </c>
      <c r="L4367">
        <v>1</v>
      </c>
      <c r="M4367">
        <v>410</v>
      </c>
      <c r="N4367">
        <v>102.5</v>
      </c>
      <c r="O4367">
        <v>0</v>
      </c>
      <c r="P4367">
        <v>410</v>
      </c>
      <c r="Q4367">
        <v>307.5</v>
      </c>
      <c r="R4367" t="s">
        <v>75</v>
      </c>
      <c r="S4367" t="s">
        <v>110</v>
      </c>
      <c r="T4367" t="s">
        <v>40</v>
      </c>
      <c r="U4367">
        <v>64</v>
      </c>
      <c r="W4367">
        <f>Table2[[#This Row],[Quantity]]*Table2[[#This Row],[Item_Price]]</f>
        <v>410</v>
      </c>
    </row>
    <row r="4368" spans="1:23" x14ac:dyDescent="0.25">
      <c r="A4368" t="s">
        <v>4472</v>
      </c>
      <c r="B4368" s="1">
        <v>45976</v>
      </c>
      <c r="C4368" t="s">
        <v>4265</v>
      </c>
      <c r="D4368">
        <v>11</v>
      </c>
      <c r="E4368">
        <v>15</v>
      </c>
      <c r="F4368" t="s">
        <v>134</v>
      </c>
      <c r="G4368" t="s">
        <v>64</v>
      </c>
      <c r="H4368" t="s">
        <v>105</v>
      </c>
      <c r="I4368" t="s">
        <v>36</v>
      </c>
      <c r="J4368" t="s">
        <v>78</v>
      </c>
      <c r="K4368" t="s">
        <v>38</v>
      </c>
      <c r="L4368">
        <v>2</v>
      </c>
      <c r="M4368">
        <v>270</v>
      </c>
      <c r="N4368">
        <v>54</v>
      </c>
      <c r="O4368">
        <v>60</v>
      </c>
      <c r="P4368">
        <v>540</v>
      </c>
      <c r="Q4368">
        <v>546</v>
      </c>
      <c r="R4368" t="s">
        <v>112</v>
      </c>
      <c r="S4368" t="s">
        <v>110</v>
      </c>
      <c r="T4368" t="s">
        <v>40</v>
      </c>
      <c r="U4368">
        <v>41</v>
      </c>
      <c r="W4368">
        <f>Table2[[#This Row],[Quantity]]*Table2[[#This Row],[Item_Price]]</f>
        <v>540</v>
      </c>
    </row>
    <row r="4369" spans="1:23" x14ac:dyDescent="0.25">
      <c r="A4369" t="s">
        <v>4473</v>
      </c>
      <c r="B4369" s="1">
        <v>45976</v>
      </c>
      <c r="C4369" t="s">
        <v>4265</v>
      </c>
      <c r="D4369">
        <v>11</v>
      </c>
      <c r="E4369">
        <v>15</v>
      </c>
      <c r="F4369" t="s">
        <v>134</v>
      </c>
      <c r="G4369" t="s">
        <v>73</v>
      </c>
      <c r="H4369" t="s">
        <v>135</v>
      </c>
      <c r="I4369" t="s">
        <v>61</v>
      </c>
      <c r="J4369" t="s">
        <v>62</v>
      </c>
      <c r="K4369" t="s">
        <v>38</v>
      </c>
      <c r="L4369">
        <v>2</v>
      </c>
      <c r="M4369">
        <v>351</v>
      </c>
      <c r="N4369">
        <v>70.2</v>
      </c>
      <c r="O4369">
        <v>50</v>
      </c>
      <c r="P4369">
        <v>702</v>
      </c>
      <c r="Q4369">
        <v>681.8</v>
      </c>
      <c r="R4369" t="s">
        <v>39</v>
      </c>
      <c r="S4369" t="s">
        <v>31</v>
      </c>
      <c r="T4369" t="s">
        <v>40</v>
      </c>
      <c r="U4369">
        <v>25</v>
      </c>
      <c r="V4369">
        <v>4</v>
      </c>
      <c r="W4369">
        <f>Table2[[#This Row],[Quantity]]*Table2[[#This Row],[Item_Price]]</f>
        <v>702</v>
      </c>
    </row>
    <row r="4370" spans="1:23" x14ac:dyDescent="0.25">
      <c r="A4370" t="s">
        <v>4474</v>
      </c>
      <c r="B4370" s="1">
        <v>45976</v>
      </c>
      <c r="C4370" t="s">
        <v>4265</v>
      </c>
      <c r="D4370">
        <v>11</v>
      </c>
      <c r="E4370">
        <v>15</v>
      </c>
      <c r="F4370" t="s">
        <v>134</v>
      </c>
      <c r="G4370" t="s">
        <v>96</v>
      </c>
      <c r="H4370" t="s">
        <v>26</v>
      </c>
      <c r="I4370" t="s">
        <v>36</v>
      </c>
      <c r="J4370" t="s">
        <v>74</v>
      </c>
      <c r="K4370" t="s">
        <v>38</v>
      </c>
      <c r="L4370">
        <v>2</v>
      </c>
      <c r="M4370">
        <v>419</v>
      </c>
      <c r="N4370">
        <v>104.75</v>
      </c>
      <c r="O4370">
        <v>30</v>
      </c>
      <c r="P4370">
        <v>838</v>
      </c>
      <c r="Q4370">
        <v>763.25</v>
      </c>
      <c r="R4370" t="s">
        <v>98</v>
      </c>
      <c r="S4370" t="s">
        <v>31</v>
      </c>
      <c r="T4370" t="s">
        <v>32</v>
      </c>
      <c r="U4370">
        <v>69</v>
      </c>
      <c r="V4370">
        <v>3.9</v>
      </c>
      <c r="W4370">
        <f>Table2[[#This Row],[Quantity]]*Table2[[#This Row],[Item_Price]]</f>
        <v>838</v>
      </c>
    </row>
    <row r="4371" spans="1:23" x14ac:dyDescent="0.25">
      <c r="A4371" t="s">
        <v>4475</v>
      </c>
      <c r="B4371" s="1">
        <v>45976</v>
      </c>
      <c r="C4371" t="s">
        <v>4265</v>
      </c>
      <c r="D4371">
        <v>11</v>
      </c>
      <c r="E4371">
        <v>15</v>
      </c>
      <c r="F4371" t="s">
        <v>134</v>
      </c>
      <c r="G4371" t="s">
        <v>73</v>
      </c>
      <c r="H4371" t="s">
        <v>139</v>
      </c>
      <c r="I4371" t="s">
        <v>57</v>
      </c>
      <c r="J4371" t="s">
        <v>123</v>
      </c>
      <c r="K4371" t="s">
        <v>45</v>
      </c>
      <c r="L4371">
        <v>1</v>
      </c>
      <c r="M4371">
        <v>709</v>
      </c>
      <c r="N4371">
        <v>177.25</v>
      </c>
      <c r="O4371">
        <v>40</v>
      </c>
      <c r="P4371">
        <v>709</v>
      </c>
      <c r="Q4371">
        <v>571.75</v>
      </c>
      <c r="R4371" t="s">
        <v>98</v>
      </c>
      <c r="S4371" t="s">
        <v>31</v>
      </c>
      <c r="T4371" t="s">
        <v>40</v>
      </c>
      <c r="U4371">
        <v>40</v>
      </c>
      <c r="V4371">
        <v>3.7</v>
      </c>
      <c r="W4371">
        <f>Table2[[#This Row],[Quantity]]*Table2[[#This Row],[Item_Price]]</f>
        <v>709</v>
      </c>
    </row>
    <row r="4372" spans="1:23" x14ac:dyDescent="0.25">
      <c r="A4372" t="s">
        <v>4476</v>
      </c>
      <c r="B4372" s="1">
        <v>45976</v>
      </c>
      <c r="C4372" t="s">
        <v>4265</v>
      </c>
      <c r="D4372">
        <v>11</v>
      </c>
      <c r="E4372">
        <v>15</v>
      </c>
      <c r="F4372" t="s">
        <v>134</v>
      </c>
      <c r="G4372" t="s">
        <v>73</v>
      </c>
      <c r="H4372" t="s">
        <v>52</v>
      </c>
      <c r="I4372" t="s">
        <v>97</v>
      </c>
      <c r="J4372" t="s">
        <v>172</v>
      </c>
      <c r="K4372" t="s">
        <v>38</v>
      </c>
      <c r="L4372">
        <v>3</v>
      </c>
      <c r="M4372">
        <v>605</v>
      </c>
      <c r="N4372">
        <v>0</v>
      </c>
      <c r="O4372">
        <v>0</v>
      </c>
      <c r="P4372">
        <v>1815</v>
      </c>
      <c r="Q4372">
        <v>1815</v>
      </c>
      <c r="R4372" t="s">
        <v>98</v>
      </c>
      <c r="S4372" t="s">
        <v>31</v>
      </c>
      <c r="T4372" t="s">
        <v>32</v>
      </c>
      <c r="U4372">
        <v>22</v>
      </c>
      <c r="V4372">
        <v>4.0999999999999996</v>
      </c>
      <c r="W4372">
        <f>Table2[[#This Row],[Quantity]]*Table2[[#This Row],[Item_Price]]</f>
        <v>1815</v>
      </c>
    </row>
    <row r="4373" spans="1:23" x14ac:dyDescent="0.25">
      <c r="A4373" t="s">
        <v>4477</v>
      </c>
      <c r="B4373" s="1">
        <v>45976</v>
      </c>
      <c r="C4373" t="s">
        <v>4265</v>
      </c>
      <c r="D4373">
        <v>11</v>
      </c>
      <c r="E4373">
        <v>15</v>
      </c>
      <c r="F4373" t="s">
        <v>134</v>
      </c>
      <c r="G4373" t="s">
        <v>55</v>
      </c>
      <c r="H4373" t="s">
        <v>77</v>
      </c>
      <c r="I4373" t="s">
        <v>36</v>
      </c>
      <c r="J4373" t="s">
        <v>123</v>
      </c>
      <c r="K4373" t="s">
        <v>38</v>
      </c>
      <c r="L4373">
        <v>2</v>
      </c>
      <c r="M4373">
        <v>581</v>
      </c>
      <c r="N4373">
        <v>145.25</v>
      </c>
      <c r="O4373">
        <v>40</v>
      </c>
      <c r="P4373">
        <v>1162</v>
      </c>
      <c r="Q4373">
        <v>1056.75</v>
      </c>
      <c r="R4373" t="s">
        <v>30</v>
      </c>
      <c r="S4373" t="s">
        <v>31</v>
      </c>
      <c r="T4373" t="s">
        <v>40</v>
      </c>
      <c r="U4373">
        <v>56</v>
      </c>
      <c r="V4373">
        <v>3.9</v>
      </c>
      <c r="W4373">
        <f>Table2[[#This Row],[Quantity]]*Table2[[#This Row],[Item_Price]]</f>
        <v>1162</v>
      </c>
    </row>
    <row r="4374" spans="1:23" x14ac:dyDescent="0.25">
      <c r="A4374" t="s">
        <v>4478</v>
      </c>
      <c r="B4374" s="1">
        <v>45976</v>
      </c>
      <c r="C4374" t="s">
        <v>4265</v>
      </c>
      <c r="D4374">
        <v>11</v>
      </c>
      <c r="E4374">
        <v>15</v>
      </c>
      <c r="F4374" t="s">
        <v>134</v>
      </c>
      <c r="G4374" t="s">
        <v>34</v>
      </c>
      <c r="H4374" t="s">
        <v>68</v>
      </c>
      <c r="I4374" t="s">
        <v>27</v>
      </c>
      <c r="J4374" t="s">
        <v>101</v>
      </c>
      <c r="K4374" t="s">
        <v>45</v>
      </c>
      <c r="L4374">
        <v>1</v>
      </c>
      <c r="M4374">
        <v>688</v>
      </c>
      <c r="N4374">
        <v>68.8</v>
      </c>
      <c r="O4374">
        <v>0</v>
      </c>
      <c r="P4374">
        <v>688</v>
      </c>
      <c r="Q4374">
        <v>619.20000000000005</v>
      </c>
      <c r="R4374" t="s">
        <v>30</v>
      </c>
      <c r="S4374" t="s">
        <v>31</v>
      </c>
      <c r="T4374" t="s">
        <v>40</v>
      </c>
      <c r="U4374">
        <v>35</v>
      </c>
      <c r="V4374">
        <v>3.8</v>
      </c>
      <c r="W4374">
        <f>Table2[[#This Row],[Quantity]]*Table2[[#This Row],[Item_Price]]</f>
        <v>688</v>
      </c>
    </row>
    <row r="4375" spans="1:23" x14ac:dyDescent="0.25">
      <c r="A4375" t="s">
        <v>4479</v>
      </c>
      <c r="B4375" s="1">
        <v>45976</v>
      </c>
      <c r="C4375" t="s">
        <v>4265</v>
      </c>
      <c r="D4375">
        <v>11</v>
      </c>
      <c r="E4375">
        <v>15</v>
      </c>
      <c r="F4375" t="s">
        <v>134</v>
      </c>
      <c r="G4375" t="s">
        <v>25</v>
      </c>
      <c r="H4375" t="s">
        <v>77</v>
      </c>
      <c r="I4375" t="s">
        <v>97</v>
      </c>
      <c r="J4375" t="s">
        <v>172</v>
      </c>
      <c r="K4375" t="s">
        <v>38</v>
      </c>
      <c r="L4375">
        <v>3</v>
      </c>
      <c r="M4375">
        <v>747</v>
      </c>
      <c r="N4375">
        <v>0</v>
      </c>
      <c r="O4375">
        <v>70</v>
      </c>
      <c r="P4375">
        <v>2241</v>
      </c>
      <c r="Q4375">
        <v>2311</v>
      </c>
      <c r="R4375" t="s">
        <v>39</v>
      </c>
      <c r="S4375" t="s">
        <v>31</v>
      </c>
      <c r="T4375" t="s">
        <v>40</v>
      </c>
      <c r="U4375">
        <v>46</v>
      </c>
      <c r="V4375">
        <v>3</v>
      </c>
      <c r="W4375">
        <f>Table2[[#This Row],[Quantity]]*Table2[[#This Row],[Item_Price]]</f>
        <v>2241</v>
      </c>
    </row>
    <row r="4376" spans="1:23" x14ac:dyDescent="0.25">
      <c r="A4376" t="s">
        <v>4480</v>
      </c>
      <c r="B4376" s="1">
        <v>45976</v>
      </c>
      <c r="C4376" t="s">
        <v>4265</v>
      </c>
      <c r="D4376">
        <v>11</v>
      </c>
      <c r="E4376">
        <v>15</v>
      </c>
      <c r="F4376" t="s">
        <v>134</v>
      </c>
      <c r="G4376" t="s">
        <v>115</v>
      </c>
      <c r="H4376" t="s">
        <v>108</v>
      </c>
      <c r="I4376" t="s">
        <v>43</v>
      </c>
      <c r="J4376" t="s">
        <v>66</v>
      </c>
      <c r="K4376" t="s">
        <v>38</v>
      </c>
      <c r="L4376">
        <v>1</v>
      </c>
      <c r="M4376">
        <v>637</v>
      </c>
      <c r="N4376">
        <v>95.55</v>
      </c>
      <c r="O4376">
        <v>30</v>
      </c>
      <c r="P4376">
        <v>637</v>
      </c>
      <c r="Q4376">
        <v>571.45000000000005</v>
      </c>
      <c r="R4376" t="s">
        <v>75</v>
      </c>
      <c r="S4376" t="s">
        <v>31</v>
      </c>
      <c r="T4376" t="s">
        <v>40</v>
      </c>
      <c r="U4376">
        <v>27</v>
      </c>
      <c r="V4376">
        <v>3.4</v>
      </c>
      <c r="W4376">
        <f>Table2[[#This Row],[Quantity]]*Table2[[#This Row],[Item_Price]]</f>
        <v>637</v>
      </c>
    </row>
    <row r="4377" spans="1:23" x14ac:dyDescent="0.25">
      <c r="A4377" t="s">
        <v>4481</v>
      </c>
      <c r="B4377" s="1">
        <v>45976</v>
      </c>
      <c r="C4377" t="s">
        <v>4265</v>
      </c>
      <c r="D4377">
        <v>11</v>
      </c>
      <c r="E4377">
        <v>15</v>
      </c>
      <c r="F4377" t="s">
        <v>134</v>
      </c>
      <c r="G4377" t="s">
        <v>80</v>
      </c>
      <c r="H4377" t="s">
        <v>52</v>
      </c>
      <c r="I4377" t="s">
        <v>69</v>
      </c>
      <c r="J4377" t="s">
        <v>37</v>
      </c>
      <c r="K4377" t="s">
        <v>58</v>
      </c>
      <c r="L4377">
        <v>1</v>
      </c>
      <c r="M4377">
        <v>632</v>
      </c>
      <c r="N4377">
        <v>63.2</v>
      </c>
      <c r="O4377">
        <v>50</v>
      </c>
      <c r="P4377">
        <v>632</v>
      </c>
      <c r="Q4377">
        <v>618.79999999999995</v>
      </c>
      <c r="R4377" t="s">
        <v>30</v>
      </c>
      <c r="S4377" t="s">
        <v>31</v>
      </c>
      <c r="T4377" t="s">
        <v>40</v>
      </c>
      <c r="U4377">
        <v>51</v>
      </c>
      <c r="V4377">
        <v>4</v>
      </c>
      <c r="W4377">
        <f>Table2[[#This Row],[Quantity]]*Table2[[#This Row],[Item_Price]]</f>
        <v>632</v>
      </c>
    </row>
    <row r="4378" spans="1:23" x14ac:dyDescent="0.25">
      <c r="A4378" t="s">
        <v>4482</v>
      </c>
      <c r="B4378" s="1">
        <v>45976</v>
      </c>
      <c r="C4378" t="s">
        <v>4265</v>
      </c>
      <c r="D4378">
        <v>11</v>
      </c>
      <c r="E4378">
        <v>15</v>
      </c>
      <c r="F4378" t="s">
        <v>134</v>
      </c>
      <c r="G4378" t="s">
        <v>64</v>
      </c>
      <c r="H4378" t="s">
        <v>81</v>
      </c>
      <c r="I4378" t="s">
        <v>69</v>
      </c>
      <c r="J4378" t="s">
        <v>101</v>
      </c>
      <c r="K4378" t="s">
        <v>58</v>
      </c>
      <c r="L4378">
        <v>1</v>
      </c>
      <c r="M4378">
        <v>717</v>
      </c>
      <c r="N4378">
        <v>35.85</v>
      </c>
      <c r="O4378">
        <v>0</v>
      </c>
      <c r="P4378">
        <v>717</v>
      </c>
      <c r="Q4378">
        <v>681.15</v>
      </c>
      <c r="R4378" t="s">
        <v>39</v>
      </c>
      <c r="S4378" t="s">
        <v>31</v>
      </c>
      <c r="T4378" t="s">
        <v>32</v>
      </c>
      <c r="U4378">
        <v>48</v>
      </c>
      <c r="V4378">
        <v>3.9</v>
      </c>
      <c r="W4378">
        <f>Table2[[#This Row],[Quantity]]*Table2[[#This Row],[Item_Price]]</f>
        <v>717</v>
      </c>
    </row>
    <row r="4379" spans="1:23" x14ac:dyDescent="0.25">
      <c r="A4379" t="s">
        <v>4483</v>
      </c>
      <c r="B4379" s="1">
        <v>45976</v>
      </c>
      <c r="C4379" t="s">
        <v>4265</v>
      </c>
      <c r="D4379">
        <v>11</v>
      </c>
      <c r="E4379">
        <v>15</v>
      </c>
      <c r="F4379" t="s">
        <v>134</v>
      </c>
      <c r="G4379" t="s">
        <v>73</v>
      </c>
      <c r="H4379" t="s">
        <v>105</v>
      </c>
      <c r="I4379" t="s">
        <v>85</v>
      </c>
      <c r="J4379" t="s">
        <v>28</v>
      </c>
      <c r="K4379" t="s">
        <v>38</v>
      </c>
      <c r="L4379">
        <v>2</v>
      </c>
      <c r="M4379">
        <v>122</v>
      </c>
      <c r="N4379">
        <v>12.2</v>
      </c>
      <c r="O4379">
        <v>0</v>
      </c>
      <c r="P4379">
        <v>244</v>
      </c>
      <c r="Q4379">
        <v>231.8</v>
      </c>
      <c r="R4379" t="s">
        <v>98</v>
      </c>
      <c r="S4379" t="s">
        <v>31</v>
      </c>
      <c r="T4379" t="s">
        <v>40</v>
      </c>
      <c r="U4379">
        <v>37</v>
      </c>
      <c r="V4379">
        <v>5</v>
      </c>
      <c r="W4379">
        <f>Table2[[#This Row],[Quantity]]*Table2[[#This Row],[Item_Price]]</f>
        <v>244</v>
      </c>
    </row>
    <row r="4380" spans="1:23" x14ac:dyDescent="0.25">
      <c r="A4380" t="s">
        <v>4484</v>
      </c>
      <c r="B4380" s="1">
        <v>45976</v>
      </c>
      <c r="C4380" t="s">
        <v>4265</v>
      </c>
      <c r="D4380">
        <v>11</v>
      </c>
      <c r="E4380">
        <v>15</v>
      </c>
      <c r="F4380" t="s">
        <v>134</v>
      </c>
      <c r="G4380" t="s">
        <v>64</v>
      </c>
      <c r="H4380" t="s">
        <v>26</v>
      </c>
      <c r="I4380" t="s">
        <v>97</v>
      </c>
      <c r="J4380" t="s">
        <v>28</v>
      </c>
      <c r="K4380" t="s">
        <v>38</v>
      </c>
      <c r="L4380">
        <v>1</v>
      </c>
      <c r="M4380">
        <v>342</v>
      </c>
      <c r="N4380">
        <v>17.100000000000001</v>
      </c>
      <c r="O4380">
        <v>40</v>
      </c>
      <c r="P4380">
        <v>342</v>
      </c>
      <c r="Q4380">
        <v>364.9</v>
      </c>
      <c r="R4380" t="s">
        <v>39</v>
      </c>
      <c r="S4380" t="s">
        <v>31</v>
      </c>
      <c r="T4380" t="s">
        <v>40</v>
      </c>
      <c r="U4380">
        <v>35</v>
      </c>
      <c r="V4380">
        <v>3.8</v>
      </c>
      <c r="W4380">
        <f>Table2[[#This Row],[Quantity]]*Table2[[#This Row],[Item_Price]]</f>
        <v>342</v>
      </c>
    </row>
    <row r="4381" spans="1:23" x14ac:dyDescent="0.25">
      <c r="A4381" t="s">
        <v>4485</v>
      </c>
      <c r="B4381" s="1">
        <v>45977</v>
      </c>
      <c r="C4381" t="s">
        <v>4265</v>
      </c>
      <c r="D4381">
        <v>11</v>
      </c>
      <c r="E4381">
        <v>16</v>
      </c>
      <c r="F4381" t="s">
        <v>149</v>
      </c>
      <c r="G4381" t="s">
        <v>25</v>
      </c>
      <c r="H4381" t="s">
        <v>135</v>
      </c>
      <c r="I4381" t="s">
        <v>57</v>
      </c>
      <c r="J4381" t="s">
        <v>70</v>
      </c>
      <c r="K4381" t="s">
        <v>38</v>
      </c>
      <c r="L4381">
        <v>3</v>
      </c>
      <c r="M4381">
        <v>499</v>
      </c>
      <c r="N4381">
        <v>49.9</v>
      </c>
      <c r="O4381">
        <v>40</v>
      </c>
      <c r="P4381">
        <v>1497</v>
      </c>
      <c r="Q4381">
        <v>1487.1</v>
      </c>
      <c r="R4381" t="s">
        <v>30</v>
      </c>
      <c r="S4381" t="s">
        <v>31</v>
      </c>
      <c r="T4381" t="s">
        <v>32</v>
      </c>
      <c r="U4381">
        <v>29</v>
      </c>
      <c r="V4381">
        <v>3.9</v>
      </c>
      <c r="W4381">
        <f>Table2[[#This Row],[Quantity]]*Table2[[#This Row],[Item_Price]]</f>
        <v>1497</v>
      </c>
    </row>
    <row r="4382" spans="1:23" x14ac:dyDescent="0.25">
      <c r="A4382" t="s">
        <v>4486</v>
      </c>
      <c r="B4382" s="1">
        <v>45977</v>
      </c>
      <c r="C4382" t="s">
        <v>4265</v>
      </c>
      <c r="D4382">
        <v>11</v>
      </c>
      <c r="E4382">
        <v>16</v>
      </c>
      <c r="F4382" t="s">
        <v>149</v>
      </c>
      <c r="G4382" t="s">
        <v>96</v>
      </c>
      <c r="H4382" t="s">
        <v>77</v>
      </c>
      <c r="I4382" t="s">
        <v>61</v>
      </c>
      <c r="J4382" t="s">
        <v>70</v>
      </c>
      <c r="K4382" t="s">
        <v>38</v>
      </c>
      <c r="L4382">
        <v>1</v>
      </c>
      <c r="M4382">
        <v>366</v>
      </c>
      <c r="N4382">
        <v>0</v>
      </c>
      <c r="O4382">
        <v>60</v>
      </c>
      <c r="P4382">
        <v>366</v>
      </c>
      <c r="Q4382">
        <v>426</v>
      </c>
      <c r="R4382" t="s">
        <v>112</v>
      </c>
      <c r="S4382" t="s">
        <v>31</v>
      </c>
      <c r="T4382" t="s">
        <v>32</v>
      </c>
      <c r="U4382">
        <v>63</v>
      </c>
      <c r="V4382">
        <v>4.2</v>
      </c>
      <c r="W4382">
        <f>Table2[[#This Row],[Quantity]]*Table2[[#This Row],[Item_Price]]</f>
        <v>366</v>
      </c>
    </row>
    <row r="4383" spans="1:23" x14ac:dyDescent="0.25">
      <c r="A4383" t="s">
        <v>4487</v>
      </c>
      <c r="B4383" s="1">
        <v>45977</v>
      </c>
      <c r="C4383" t="s">
        <v>4265</v>
      </c>
      <c r="D4383">
        <v>11</v>
      </c>
      <c r="E4383">
        <v>16</v>
      </c>
      <c r="F4383" t="s">
        <v>149</v>
      </c>
      <c r="G4383" t="s">
        <v>34</v>
      </c>
      <c r="H4383" t="s">
        <v>81</v>
      </c>
      <c r="I4383" t="s">
        <v>69</v>
      </c>
      <c r="J4383" t="s">
        <v>62</v>
      </c>
      <c r="K4383" t="s">
        <v>38</v>
      </c>
      <c r="L4383">
        <v>2</v>
      </c>
      <c r="M4383">
        <v>760</v>
      </c>
      <c r="N4383">
        <v>152</v>
      </c>
      <c r="O4383">
        <v>40</v>
      </c>
      <c r="P4383">
        <v>1520</v>
      </c>
      <c r="Q4383">
        <v>1408</v>
      </c>
      <c r="R4383" t="s">
        <v>39</v>
      </c>
      <c r="S4383" t="s">
        <v>31</v>
      </c>
      <c r="T4383" t="s">
        <v>40</v>
      </c>
      <c r="U4383">
        <v>34</v>
      </c>
      <c r="V4383">
        <v>4.8</v>
      </c>
      <c r="W4383">
        <f>Table2[[#This Row],[Quantity]]*Table2[[#This Row],[Item_Price]]</f>
        <v>1520</v>
      </c>
    </row>
    <row r="4384" spans="1:23" x14ac:dyDescent="0.25">
      <c r="A4384" t="s">
        <v>4488</v>
      </c>
      <c r="B4384" s="1">
        <v>45977</v>
      </c>
      <c r="C4384" t="s">
        <v>4265</v>
      </c>
      <c r="D4384">
        <v>11</v>
      </c>
      <c r="E4384">
        <v>16</v>
      </c>
      <c r="F4384" t="s">
        <v>149</v>
      </c>
      <c r="G4384" t="s">
        <v>64</v>
      </c>
      <c r="H4384" t="s">
        <v>105</v>
      </c>
      <c r="I4384" t="s">
        <v>27</v>
      </c>
      <c r="J4384" t="s">
        <v>94</v>
      </c>
      <c r="K4384" t="s">
        <v>58</v>
      </c>
      <c r="L4384">
        <v>1</v>
      </c>
      <c r="M4384">
        <v>301</v>
      </c>
      <c r="N4384">
        <v>30.1</v>
      </c>
      <c r="O4384">
        <v>30</v>
      </c>
      <c r="P4384">
        <v>301</v>
      </c>
      <c r="Q4384">
        <v>300.89999999999998</v>
      </c>
      <c r="R4384" t="s">
        <v>112</v>
      </c>
      <c r="S4384" t="s">
        <v>31</v>
      </c>
      <c r="T4384" t="s">
        <v>40</v>
      </c>
      <c r="U4384">
        <v>53</v>
      </c>
      <c r="V4384">
        <v>2.8</v>
      </c>
      <c r="W4384">
        <f>Table2[[#This Row],[Quantity]]*Table2[[#This Row],[Item_Price]]</f>
        <v>301</v>
      </c>
    </row>
    <row r="4385" spans="1:23" x14ac:dyDescent="0.25">
      <c r="A4385" t="s">
        <v>4489</v>
      </c>
      <c r="B4385" s="1">
        <v>45977</v>
      </c>
      <c r="C4385" t="s">
        <v>4265</v>
      </c>
      <c r="D4385">
        <v>11</v>
      </c>
      <c r="E4385">
        <v>16</v>
      </c>
      <c r="F4385" t="s">
        <v>149</v>
      </c>
      <c r="G4385" t="s">
        <v>64</v>
      </c>
      <c r="H4385" t="s">
        <v>60</v>
      </c>
      <c r="I4385" t="s">
        <v>57</v>
      </c>
      <c r="J4385" t="s">
        <v>82</v>
      </c>
      <c r="K4385" t="s">
        <v>38</v>
      </c>
      <c r="L4385">
        <v>2</v>
      </c>
      <c r="M4385">
        <v>821</v>
      </c>
      <c r="N4385">
        <v>123.15</v>
      </c>
      <c r="O4385">
        <v>0</v>
      </c>
      <c r="P4385">
        <v>1642</v>
      </c>
      <c r="Q4385">
        <v>1518.85</v>
      </c>
      <c r="R4385" t="s">
        <v>75</v>
      </c>
      <c r="S4385" t="s">
        <v>46</v>
      </c>
      <c r="T4385" t="s">
        <v>40</v>
      </c>
      <c r="U4385">
        <v>45</v>
      </c>
      <c r="W4385">
        <f>Table2[[#This Row],[Quantity]]*Table2[[#This Row],[Item_Price]]</f>
        <v>1642</v>
      </c>
    </row>
    <row r="4386" spans="1:23" x14ac:dyDescent="0.25">
      <c r="A4386" t="s">
        <v>4490</v>
      </c>
      <c r="B4386" s="1">
        <v>45977</v>
      </c>
      <c r="C4386" t="s">
        <v>4265</v>
      </c>
      <c r="D4386">
        <v>11</v>
      </c>
      <c r="E4386">
        <v>16</v>
      </c>
      <c r="F4386" t="s">
        <v>149</v>
      </c>
      <c r="G4386" t="s">
        <v>115</v>
      </c>
      <c r="H4386" t="s">
        <v>105</v>
      </c>
      <c r="I4386" t="s">
        <v>43</v>
      </c>
      <c r="J4386" t="s">
        <v>50</v>
      </c>
      <c r="K4386" t="s">
        <v>45</v>
      </c>
      <c r="L4386">
        <v>1</v>
      </c>
      <c r="M4386">
        <v>323</v>
      </c>
      <c r="N4386">
        <v>32.299999999999997</v>
      </c>
      <c r="O4386">
        <v>60</v>
      </c>
      <c r="P4386">
        <v>323</v>
      </c>
      <c r="Q4386">
        <v>350.7</v>
      </c>
      <c r="R4386" t="s">
        <v>112</v>
      </c>
      <c r="S4386" t="s">
        <v>91</v>
      </c>
      <c r="T4386" t="s">
        <v>32</v>
      </c>
      <c r="U4386">
        <v>39</v>
      </c>
      <c r="W4386">
        <f>Table2[[#This Row],[Quantity]]*Table2[[#This Row],[Item_Price]]</f>
        <v>323</v>
      </c>
    </row>
    <row r="4387" spans="1:23" x14ac:dyDescent="0.25">
      <c r="A4387" t="s">
        <v>4491</v>
      </c>
      <c r="B4387" s="1">
        <v>45977</v>
      </c>
      <c r="C4387" t="s">
        <v>4265</v>
      </c>
      <c r="D4387">
        <v>11</v>
      </c>
      <c r="E4387">
        <v>16</v>
      </c>
      <c r="F4387" t="s">
        <v>149</v>
      </c>
      <c r="G4387" t="s">
        <v>64</v>
      </c>
      <c r="H4387" t="s">
        <v>135</v>
      </c>
      <c r="I4387" t="s">
        <v>43</v>
      </c>
      <c r="J4387" t="s">
        <v>28</v>
      </c>
      <c r="K4387" t="s">
        <v>58</v>
      </c>
      <c r="L4387">
        <v>1</v>
      </c>
      <c r="M4387">
        <v>249</v>
      </c>
      <c r="N4387">
        <v>62.25</v>
      </c>
      <c r="O4387">
        <v>30</v>
      </c>
      <c r="P4387">
        <v>249</v>
      </c>
      <c r="Q4387">
        <v>216.75</v>
      </c>
      <c r="R4387" t="s">
        <v>39</v>
      </c>
      <c r="S4387" t="s">
        <v>31</v>
      </c>
      <c r="T4387" t="s">
        <v>32</v>
      </c>
      <c r="U4387">
        <v>39</v>
      </c>
      <c r="V4387">
        <v>3.5</v>
      </c>
      <c r="W4387">
        <f>Table2[[#This Row],[Quantity]]*Table2[[#This Row],[Item_Price]]</f>
        <v>249</v>
      </c>
    </row>
    <row r="4388" spans="1:23" x14ac:dyDescent="0.25">
      <c r="A4388" t="s">
        <v>4492</v>
      </c>
      <c r="B4388" s="1">
        <v>45977</v>
      </c>
      <c r="C4388" t="s">
        <v>4265</v>
      </c>
      <c r="D4388">
        <v>11</v>
      </c>
      <c r="E4388">
        <v>16</v>
      </c>
      <c r="F4388" t="s">
        <v>149</v>
      </c>
      <c r="G4388" t="s">
        <v>34</v>
      </c>
      <c r="H4388" t="s">
        <v>52</v>
      </c>
      <c r="I4388" t="s">
        <v>57</v>
      </c>
      <c r="J4388" t="s">
        <v>82</v>
      </c>
      <c r="K4388" t="s">
        <v>38</v>
      </c>
      <c r="L4388">
        <v>2</v>
      </c>
      <c r="M4388">
        <v>484</v>
      </c>
      <c r="N4388">
        <v>0</v>
      </c>
      <c r="O4388">
        <v>30</v>
      </c>
      <c r="P4388">
        <v>968</v>
      </c>
      <c r="Q4388">
        <v>998</v>
      </c>
      <c r="R4388" t="s">
        <v>39</v>
      </c>
      <c r="S4388" t="s">
        <v>31</v>
      </c>
      <c r="T4388" t="s">
        <v>40</v>
      </c>
      <c r="U4388">
        <v>67</v>
      </c>
      <c r="V4388">
        <v>4.0999999999999996</v>
      </c>
      <c r="W4388">
        <f>Table2[[#This Row],[Quantity]]*Table2[[#This Row],[Item_Price]]</f>
        <v>968</v>
      </c>
    </row>
    <row r="4389" spans="1:23" x14ac:dyDescent="0.25">
      <c r="A4389" t="s">
        <v>4493</v>
      </c>
      <c r="B4389" s="1">
        <v>45977</v>
      </c>
      <c r="C4389" t="s">
        <v>4265</v>
      </c>
      <c r="D4389">
        <v>11</v>
      </c>
      <c r="E4389">
        <v>16</v>
      </c>
      <c r="F4389" t="s">
        <v>149</v>
      </c>
      <c r="G4389" t="s">
        <v>80</v>
      </c>
      <c r="H4389" t="s">
        <v>35</v>
      </c>
      <c r="I4389" t="s">
        <v>43</v>
      </c>
      <c r="J4389" t="s">
        <v>82</v>
      </c>
      <c r="K4389" t="s">
        <v>38</v>
      </c>
      <c r="L4389">
        <v>2</v>
      </c>
      <c r="M4389">
        <v>679</v>
      </c>
      <c r="N4389">
        <v>67.900000000000006</v>
      </c>
      <c r="O4389">
        <v>20</v>
      </c>
      <c r="P4389">
        <v>1358</v>
      </c>
      <c r="Q4389">
        <v>1310.0999999999999</v>
      </c>
      <c r="R4389" t="s">
        <v>75</v>
      </c>
      <c r="S4389" t="s">
        <v>31</v>
      </c>
      <c r="T4389" t="s">
        <v>32</v>
      </c>
      <c r="U4389">
        <v>25</v>
      </c>
      <c r="V4389">
        <v>4.5</v>
      </c>
      <c r="W4389">
        <f>Table2[[#This Row],[Quantity]]*Table2[[#This Row],[Item_Price]]</f>
        <v>1358</v>
      </c>
    </row>
    <row r="4390" spans="1:23" x14ac:dyDescent="0.25">
      <c r="A4390" t="s">
        <v>4494</v>
      </c>
      <c r="B4390" s="1">
        <v>45977</v>
      </c>
      <c r="C4390" t="s">
        <v>4265</v>
      </c>
      <c r="D4390">
        <v>11</v>
      </c>
      <c r="E4390">
        <v>16</v>
      </c>
      <c r="F4390" t="s">
        <v>149</v>
      </c>
      <c r="G4390" t="s">
        <v>115</v>
      </c>
      <c r="H4390" t="s">
        <v>56</v>
      </c>
      <c r="I4390" t="s">
        <v>57</v>
      </c>
      <c r="J4390" t="s">
        <v>172</v>
      </c>
      <c r="K4390" t="s">
        <v>38</v>
      </c>
      <c r="L4390">
        <v>1</v>
      </c>
      <c r="M4390">
        <v>471</v>
      </c>
      <c r="N4390">
        <v>47.1</v>
      </c>
      <c r="O4390">
        <v>0</v>
      </c>
      <c r="P4390">
        <v>471</v>
      </c>
      <c r="Q4390">
        <v>423.9</v>
      </c>
      <c r="R4390" t="s">
        <v>75</v>
      </c>
      <c r="S4390" t="s">
        <v>31</v>
      </c>
      <c r="T4390" t="s">
        <v>32</v>
      </c>
      <c r="U4390">
        <v>35</v>
      </c>
      <c r="V4390">
        <v>4.3</v>
      </c>
      <c r="W4390">
        <f>Table2[[#This Row],[Quantity]]*Table2[[#This Row],[Item_Price]]</f>
        <v>471</v>
      </c>
    </row>
    <row r="4391" spans="1:23" x14ac:dyDescent="0.25">
      <c r="A4391" t="s">
        <v>4495</v>
      </c>
      <c r="B4391" s="1">
        <v>45977</v>
      </c>
      <c r="C4391" t="s">
        <v>4265</v>
      </c>
      <c r="D4391">
        <v>11</v>
      </c>
      <c r="E4391">
        <v>16</v>
      </c>
      <c r="F4391" t="s">
        <v>149</v>
      </c>
      <c r="G4391" t="s">
        <v>64</v>
      </c>
      <c r="H4391" t="s">
        <v>108</v>
      </c>
      <c r="I4391" t="s">
        <v>97</v>
      </c>
      <c r="J4391" t="s">
        <v>101</v>
      </c>
      <c r="K4391" t="s">
        <v>45</v>
      </c>
      <c r="L4391">
        <v>2</v>
      </c>
      <c r="M4391">
        <v>331</v>
      </c>
      <c r="N4391">
        <v>33.1</v>
      </c>
      <c r="O4391">
        <v>60</v>
      </c>
      <c r="P4391">
        <v>662</v>
      </c>
      <c r="Q4391">
        <v>688.9</v>
      </c>
      <c r="R4391" t="s">
        <v>30</v>
      </c>
      <c r="S4391" t="s">
        <v>31</v>
      </c>
      <c r="T4391" t="s">
        <v>40</v>
      </c>
      <c r="U4391">
        <v>51</v>
      </c>
      <c r="V4391">
        <v>3.2</v>
      </c>
      <c r="W4391">
        <f>Table2[[#This Row],[Quantity]]*Table2[[#This Row],[Item_Price]]</f>
        <v>662</v>
      </c>
    </row>
    <row r="4392" spans="1:23" x14ac:dyDescent="0.25">
      <c r="A4392" t="s">
        <v>4496</v>
      </c>
      <c r="B4392" s="1">
        <v>45977</v>
      </c>
      <c r="C4392" t="s">
        <v>4265</v>
      </c>
      <c r="D4392">
        <v>11</v>
      </c>
      <c r="E4392">
        <v>16</v>
      </c>
      <c r="F4392" t="s">
        <v>149</v>
      </c>
      <c r="G4392" t="s">
        <v>64</v>
      </c>
      <c r="H4392" t="s">
        <v>52</v>
      </c>
      <c r="I4392" t="s">
        <v>103</v>
      </c>
      <c r="J4392" t="s">
        <v>53</v>
      </c>
      <c r="K4392" t="s">
        <v>38</v>
      </c>
      <c r="L4392">
        <v>1</v>
      </c>
      <c r="M4392">
        <v>543</v>
      </c>
      <c r="N4392">
        <v>81.45</v>
      </c>
      <c r="O4392">
        <v>40</v>
      </c>
      <c r="P4392">
        <v>543</v>
      </c>
      <c r="Q4392">
        <v>501.55</v>
      </c>
      <c r="R4392" t="s">
        <v>30</v>
      </c>
      <c r="S4392" t="s">
        <v>91</v>
      </c>
      <c r="T4392" t="s">
        <v>40</v>
      </c>
      <c r="U4392">
        <v>50</v>
      </c>
      <c r="W4392">
        <f>Table2[[#This Row],[Quantity]]*Table2[[#This Row],[Item_Price]]</f>
        <v>543</v>
      </c>
    </row>
    <row r="4393" spans="1:23" x14ac:dyDescent="0.25">
      <c r="A4393" t="s">
        <v>4497</v>
      </c>
      <c r="B4393" s="1">
        <v>45977</v>
      </c>
      <c r="C4393" t="s">
        <v>4265</v>
      </c>
      <c r="D4393">
        <v>11</v>
      </c>
      <c r="E4393">
        <v>16</v>
      </c>
      <c r="F4393" t="s">
        <v>149</v>
      </c>
      <c r="G4393" t="s">
        <v>80</v>
      </c>
      <c r="H4393" t="s">
        <v>108</v>
      </c>
      <c r="I4393" t="s">
        <v>43</v>
      </c>
      <c r="J4393" t="s">
        <v>44</v>
      </c>
      <c r="K4393" t="s">
        <v>45</v>
      </c>
      <c r="L4393">
        <v>1</v>
      </c>
      <c r="M4393">
        <v>271</v>
      </c>
      <c r="N4393">
        <v>27.1</v>
      </c>
      <c r="O4393">
        <v>30</v>
      </c>
      <c r="P4393">
        <v>271</v>
      </c>
      <c r="Q4393">
        <v>273.89999999999998</v>
      </c>
      <c r="R4393" t="s">
        <v>30</v>
      </c>
      <c r="S4393" t="s">
        <v>31</v>
      </c>
      <c r="T4393" t="s">
        <v>40</v>
      </c>
      <c r="U4393">
        <v>55</v>
      </c>
      <c r="V4393">
        <v>4</v>
      </c>
      <c r="W4393">
        <f>Table2[[#This Row],[Quantity]]*Table2[[#This Row],[Item_Price]]</f>
        <v>271</v>
      </c>
    </row>
    <row r="4394" spans="1:23" x14ac:dyDescent="0.25">
      <c r="A4394" t="s">
        <v>4498</v>
      </c>
      <c r="B4394" s="1">
        <v>45977</v>
      </c>
      <c r="C4394" t="s">
        <v>4265</v>
      </c>
      <c r="D4394">
        <v>11</v>
      </c>
      <c r="E4394">
        <v>16</v>
      </c>
      <c r="F4394" t="s">
        <v>149</v>
      </c>
      <c r="G4394" t="s">
        <v>25</v>
      </c>
      <c r="H4394" t="s">
        <v>56</v>
      </c>
      <c r="I4394" t="s">
        <v>103</v>
      </c>
      <c r="J4394" t="s">
        <v>74</v>
      </c>
      <c r="K4394" t="s">
        <v>38</v>
      </c>
      <c r="L4394">
        <v>2</v>
      </c>
      <c r="M4394">
        <v>763</v>
      </c>
      <c r="N4394">
        <v>76.3</v>
      </c>
      <c r="O4394">
        <v>30</v>
      </c>
      <c r="P4394">
        <v>1526</v>
      </c>
      <c r="Q4394">
        <v>1479.7</v>
      </c>
      <c r="R4394" t="s">
        <v>39</v>
      </c>
      <c r="S4394" t="s">
        <v>31</v>
      </c>
      <c r="T4394" t="s">
        <v>32</v>
      </c>
      <c r="U4394">
        <v>22</v>
      </c>
      <c r="V4394">
        <v>3.1</v>
      </c>
      <c r="W4394">
        <f>Table2[[#This Row],[Quantity]]*Table2[[#This Row],[Item_Price]]</f>
        <v>1526</v>
      </c>
    </row>
    <row r="4395" spans="1:23" x14ac:dyDescent="0.25">
      <c r="A4395" t="s">
        <v>4499</v>
      </c>
      <c r="B4395" s="1">
        <v>45977</v>
      </c>
      <c r="C4395" t="s">
        <v>4265</v>
      </c>
      <c r="D4395">
        <v>11</v>
      </c>
      <c r="E4395">
        <v>16</v>
      </c>
      <c r="F4395" t="s">
        <v>149</v>
      </c>
      <c r="G4395" t="s">
        <v>96</v>
      </c>
      <c r="H4395" t="s">
        <v>139</v>
      </c>
      <c r="I4395" t="s">
        <v>85</v>
      </c>
      <c r="J4395" t="s">
        <v>66</v>
      </c>
      <c r="K4395" t="s">
        <v>38</v>
      </c>
      <c r="L4395">
        <v>3</v>
      </c>
      <c r="M4395">
        <v>272</v>
      </c>
      <c r="N4395">
        <v>27.2</v>
      </c>
      <c r="O4395">
        <v>70</v>
      </c>
      <c r="P4395">
        <v>816</v>
      </c>
      <c r="Q4395">
        <v>858.8</v>
      </c>
      <c r="R4395" t="s">
        <v>30</v>
      </c>
      <c r="S4395" t="s">
        <v>31</v>
      </c>
      <c r="T4395" t="s">
        <v>40</v>
      </c>
      <c r="U4395">
        <v>46</v>
      </c>
      <c r="V4395">
        <v>4</v>
      </c>
      <c r="W4395">
        <f>Table2[[#This Row],[Quantity]]*Table2[[#This Row],[Item_Price]]</f>
        <v>816</v>
      </c>
    </row>
    <row r="4396" spans="1:23" x14ac:dyDescent="0.25">
      <c r="A4396" t="s">
        <v>4500</v>
      </c>
      <c r="B4396" s="1">
        <v>45977</v>
      </c>
      <c r="C4396" t="s">
        <v>4265</v>
      </c>
      <c r="D4396">
        <v>11</v>
      </c>
      <c r="E4396">
        <v>16</v>
      </c>
      <c r="F4396" t="s">
        <v>149</v>
      </c>
      <c r="G4396" t="s">
        <v>80</v>
      </c>
      <c r="H4396" t="s">
        <v>135</v>
      </c>
      <c r="I4396" t="s">
        <v>69</v>
      </c>
      <c r="J4396" t="s">
        <v>66</v>
      </c>
      <c r="K4396" t="s">
        <v>38</v>
      </c>
      <c r="L4396">
        <v>3</v>
      </c>
      <c r="M4396">
        <v>516</v>
      </c>
      <c r="N4396">
        <v>51.6</v>
      </c>
      <c r="O4396">
        <v>40</v>
      </c>
      <c r="P4396">
        <v>1548</v>
      </c>
      <c r="Q4396">
        <v>1536.4</v>
      </c>
      <c r="R4396" t="s">
        <v>39</v>
      </c>
      <c r="S4396" t="s">
        <v>31</v>
      </c>
      <c r="T4396" t="s">
        <v>32</v>
      </c>
      <c r="U4396">
        <v>33</v>
      </c>
      <c r="V4396">
        <v>4.7</v>
      </c>
      <c r="W4396">
        <f>Table2[[#This Row],[Quantity]]*Table2[[#This Row],[Item_Price]]</f>
        <v>1548</v>
      </c>
    </row>
    <row r="4397" spans="1:23" x14ac:dyDescent="0.25">
      <c r="A4397" t="s">
        <v>4501</v>
      </c>
      <c r="B4397" s="1">
        <v>45977</v>
      </c>
      <c r="C4397" t="s">
        <v>4265</v>
      </c>
      <c r="D4397">
        <v>11</v>
      </c>
      <c r="E4397">
        <v>16</v>
      </c>
      <c r="F4397" t="s">
        <v>149</v>
      </c>
      <c r="G4397" t="s">
        <v>84</v>
      </c>
      <c r="H4397" t="s">
        <v>108</v>
      </c>
      <c r="I4397" t="s">
        <v>57</v>
      </c>
      <c r="J4397" t="s">
        <v>66</v>
      </c>
      <c r="K4397" t="s">
        <v>38</v>
      </c>
      <c r="L4397">
        <v>1</v>
      </c>
      <c r="M4397">
        <v>441</v>
      </c>
      <c r="N4397">
        <v>44.1</v>
      </c>
      <c r="O4397">
        <v>0</v>
      </c>
      <c r="P4397">
        <v>441</v>
      </c>
      <c r="Q4397">
        <v>396.9</v>
      </c>
      <c r="R4397" t="s">
        <v>30</v>
      </c>
      <c r="S4397" t="s">
        <v>31</v>
      </c>
      <c r="T4397" t="s">
        <v>32</v>
      </c>
      <c r="U4397">
        <v>28</v>
      </c>
      <c r="V4397">
        <v>4.5</v>
      </c>
      <c r="W4397">
        <f>Table2[[#This Row],[Quantity]]*Table2[[#This Row],[Item_Price]]</f>
        <v>441</v>
      </c>
    </row>
    <row r="4398" spans="1:23" x14ac:dyDescent="0.25">
      <c r="A4398" t="s">
        <v>4502</v>
      </c>
      <c r="B4398" s="1">
        <v>45977</v>
      </c>
      <c r="C4398" t="s">
        <v>4265</v>
      </c>
      <c r="D4398">
        <v>11</v>
      </c>
      <c r="E4398">
        <v>16</v>
      </c>
      <c r="F4398" t="s">
        <v>149</v>
      </c>
      <c r="G4398" t="s">
        <v>80</v>
      </c>
      <c r="H4398" t="s">
        <v>26</v>
      </c>
      <c r="I4398" t="s">
        <v>103</v>
      </c>
      <c r="J4398" t="s">
        <v>123</v>
      </c>
      <c r="K4398" t="s">
        <v>38</v>
      </c>
      <c r="L4398">
        <v>1</v>
      </c>
      <c r="M4398">
        <v>611</v>
      </c>
      <c r="N4398">
        <v>152.75</v>
      </c>
      <c r="O4398">
        <v>0</v>
      </c>
      <c r="P4398">
        <v>611</v>
      </c>
      <c r="Q4398">
        <v>458.25</v>
      </c>
      <c r="R4398" t="s">
        <v>112</v>
      </c>
      <c r="S4398" t="s">
        <v>31</v>
      </c>
      <c r="T4398" t="s">
        <v>40</v>
      </c>
      <c r="U4398">
        <v>63</v>
      </c>
      <c r="V4398">
        <v>4.3</v>
      </c>
      <c r="W4398">
        <f>Table2[[#This Row],[Quantity]]*Table2[[#This Row],[Item_Price]]</f>
        <v>611</v>
      </c>
    </row>
    <row r="4399" spans="1:23" x14ac:dyDescent="0.25">
      <c r="A4399" t="s">
        <v>4503</v>
      </c>
      <c r="B4399" s="1">
        <v>45978</v>
      </c>
      <c r="C4399" t="s">
        <v>4265</v>
      </c>
      <c r="D4399">
        <v>11</v>
      </c>
      <c r="E4399">
        <v>17</v>
      </c>
      <c r="F4399" t="s">
        <v>168</v>
      </c>
      <c r="G4399" t="s">
        <v>34</v>
      </c>
      <c r="H4399" t="s">
        <v>68</v>
      </c>
      <c r="I4399" t="s">
        <v>85</v>
      </c>
      <c r="J4399" t="s">
        <v>74</v>
      </c>
      <c r="K4399" t="s">
        <v>45</v>
      </c>
      <c r="L4399">
        <v>3</v>
      </c>
      <c r="M4399">
        <v>761</v>
      </c>
      <c r="N4399">
        <v>76.099999999999994</v>
      </c>
      <c r="O4399">
        <v>40</v>
      </c>
      <c r="P4399">
        <v>2283</v>
      </c>
      <c r="Q4399">
        <v>2246.9</v>
      </c>
      <c r="R4399" t="s">
        <v>30</v>
      </c>
      <c r="S4399" t="s">
        <v>31</v>
      </c>
      <c r="T4399" t="s">
        <v>40</v>
      </c>
      <c r="U4399">
        <v>25</v>
      </c>
      <c r="V4399">
        <v>3</v>
      </c>
      <c r="W4399">
        <f>Table2[[#This Row],[Quantity]]*Table2[[#This Row],[Item_Price]]</f>
        <v>2283</v>
      </c>
    </row>
    <row r="4400" spans="1:23" x14ac:dyDescent="0.25">
      <c r="A4400" t="s">
        <v>4504</v>
      </c>
      <c r="B4400" s="1">
        <v>45978</v>
      </c>
      <c r="C4400" t="s">
        <v>4265</v>
      </c>
      <c r="D4400">
        <v>11</v>
      </c>
      <c r="E4400">
        <v>17</v>
      </c>
      <c r="F4400" t="s">
        <v>168</v>
      </c>
      <c r="G4400" t="s">
        <v>80</v>
      </c>
      <c r="H4400" t="s">
        <v>35</v>
      </c>
      <c r="I4400" t="s">
        <v>61</v>
      </c>
      <c r="J4400" t="s">
        <v>78</v>
      </c>
      <c r="K4400" t="s">
        <v>38</v>
      </c>
      <c r="L4400">
        <v>1</v>
      </c>
      <c r="M4400">
        <v>327</v>
      </c>
      <c r="N4400">
        <v>49.05</v>
      </c>
      <c r="O4400">
        <v>50</v>
      </c>
      <c r="P4400">
        <v>327</v>
      </c>
      <c r="Q4400">
        <v>327.95</v>
      </c>
      <c r="R4400" t="s">
        <v>39</v>
      </c>
      <c r="S4400" t="s">
        <v>31</v>
      </c>
      <c r="T4400" t="s">
        <v>40</v>
      </c>
      <c r="U4400">
        <v>61</v>
      </c>
      <c r="V4400">
        <v>3.8</v>
      </c>
      <c r="W4400">
        <f>Table2[[#This Row],[Quantity]]*Table2[[#This Row],[Item_Price]]</f>
        <v>327</v>
      </c>
    </row>
    <row r="4401" spans="1:23" x14ac:dyDescent="0.25">
      <c r="A4401" t="s">
        <v>4505</v>
      </c>
      <c r="B4401" s="1">
        <v>45978</v>
      </c>
      <c r="C4401" t="s">
        <v>4265</v>
      </c>
      <c r="D4401">
        <v>11</v>
      </c>
      <c r="E4401">
        <v>17</v>
      </c>
      <c r="F4401" t="s">
        <v>168</v>
      </c>
      <c r="G4401" t="s">
        <v>25</v>
      </c>
      <c r="H4401" t="s">
        <v>68</v>
      </c>
      <c r="I4401" t="s">
        <v>103</v>
      </c>
      <c r="J4401" t="s">
        <v>44</v>
      </c>
      <c r="K4401" t="s">
        <v>38</v>
      </c>
      <c r="L4401">
        <v>1</v>
      </c>
      <c r="M4401">
        <v>724</v>
      </c>
      <c r="N4401">
        <v>144.80000000000001</v>
      </c>
      <c r="O4401">
        <v>20</v>
      </c>
      <c r="P4401">
        <v>724</v>
      </c>
      <c r="Q4401">
        <v>599.20000000000005</v>
      </c>
      <c r="R4401" t="s">
        <v>30</v>
      </c>
      <c r="S4401" t="s">
        <v>31</v>
      </c>
      <c r="T4401" t="s">
        <v>40</v>
      </c>
      <c r="U4401">
        <v>31</v>
      </c>
      <c r="V4401">
        <v>2.9</v>
      </c>
      <c r="W4401">
        <f>Table2[[#This Row],[Quantity]]*Table2[[#This Row],[Item_Price]]</f>
        <v>724</v>
      </c>
    </row>
    <row r="4402" spans="1:23" x14ac:dyDescent="0.25">
      <c r="A4402" t="s">
        <v>4506</v>
      </c>
      <c r="B4402" s="1">
        <v>45978</v>
      </c>
      <c r="C4402" t="s">
        <v>4265</v>
      </c>
      <c r="D4402">
        <v>11</v>
      </c>
      <c r="E4402">
        <v>17</v>
      </c>
      <c r="F4402" t="s">
        <v>168</v>
      </c>
      <c r="G4402" t="s">
        <v>80</v>
      </c>
      <c r="H4402" t="s">
        <v>35</v>
      </c>
      <c r="I4402" t="s">
        <v>36</v>
      </c>
      <c r="J4402" t="s">
        <v>44</v>
      </c>
      <c r="K4402" t="s">
        <v>38</v>
      </c>
      <c r="L4402">
        <v>2</v>
      </c>
      <c r="M4402">
        <v>346</v>
      </c>
      <c r="N4402">
        <v>34.6</v>
      </c>
      <c r="O4402">
        <v>60</v>
      </c>
      <c r="P4402">
        <v>692</v>
      </c>
      <c r="Q4402">
        <v>717.4</v>
      </c>
      <c r="R4402" t="s">
        <v>75</v>
      </c>
      <c r="S4402" t="s">
        <v>91</v>
      </c>
      <c r="T4402" t="s">
        <v>32</v>
      </c>
      <c r="U4402">
        <v>18</v>
      </c>
      <c r="W4402">
        <f>Table2[[#This Row],[Quantity]]*Table2[[#This Row],[Item_Price]]</f>
        <v>692</v>
      </c>
    </row>
    <row r="4403" spans="1:23" x14ac:dyDescent="0.25">
      <c r="A4403" t="s">
        <v>4507</v>
      </c>
      <c r="B4403" s="1">
        <v>45978</v>
      </c>
      <c r="C4403" t="s">
        <v>4265</v>
      </c>
      <c r="D4403">
        <v>11</v>
      </c>
      <c r="E4403">
        <v>17</v>
      </c>
      <c r="F4403" t="s">
        <v>168</v>
      </c>
      <c r="G4403" t="s">
        <v>25</v>
      </c>
      <c r="H4403" t="s">
        <v>68</v>
      </c>
      <c r="I4403" t="s">
        <v>27</v>
      </c>
      <c r="J4403" t="s">
        <v>119</v>
      </c>
      <c r="K4403" t="s">
        <v>38</v>
      </c>
      <c r="L4403">
        <v>1</v>
      </c>
      <c r="M4403">
        <v>299</v>
      </c>
      <c r="N4403">
        <v>59.8</v>
      </c>
      <c r="O4403">
        <v>40</v>
      </c>
      <c r="P4403">
        <v>299</v>
      </c>
      <c r="Q4403">
        <v>279.2</v>
      </c>
      <c r="R4403" t="s">
        <v>112</v>
      </c>
      <c r="S4403" t="s">
        <v>31</v>
      </c>
      <c r="T4403" t="s">
        <v>32</v>
      </c>
      <c r="U4403">
        <v>69</v>
      </c>
      <c r="V4403">
        <v>3.6</v>
      </c>
      <c r="W4403">
        <f>Table2[[#This Row],[Quantity]]*Table2[[#This Row],[Item_Price]]</f>
        <v>299</v>
      </c>
    </row>
    <row r="4404" spans="1:23" x14ac:dyDescent="0.25">
      <c r="A4404" t="s">
        <v>4508</v>
      </c>
      <c r="B4404" s="1">
        <v>45978</v>
      </c>
      <c r="C4404" t="s">
        <v>4265</v>
      </c>
      <c r="D4404">
        <v>11</v>
      </c>
      <c r="E4404">
        <v>17</v>
      </c>
      <c r="F4404" t="s">
        <v>168</v>
      </c>
      <c r="G4404" t="s">
        <v>80</v>
      </c>
      <c r="H4404" t="s">
        <v>105</v>
      </c>
      <c r="I4404" t="s">
        <v>85</v>
      </c>
      <c r="J4404" t="s">
        <v>62</v>
      </c>
      <c r="K4404" t="s">
        <v>58</v>
      </c>
      <c r="L4404">
        <v>1</v>
      </c>
      <c r="M4404">
        <v>402</v>
      </c>
      <c r="N4404">
        <v>40.200000000000003</v>
      </c>
      <c r="O4404">
        <v>20</v>
      </c>
      <c r="P4404">
        <v>402</v>
      </c>
      <c r="Q4404">
        <v>381.8</v>
      </c>
      <c r="R4404" t="s">
        <v>112</v>
      </c>
      <c r="S4404" t="s">
        <v>31</v>
      </c>
      <c r="T4404" t="s">
        <v>40</v>
      </c>
      <c r="U4404">
        <v>31</v>
      </c>
      <c r="V4404">
        <v>4.8</v>
      </c>
      <c r="W4404">
        <f>Table2[[#This Row],[Quantity]]*Table2[[#This Row],[Item_Price]]</f>
        <v>402</v>
      </c>
    </row>
    <row r="4405" spans="1:23" x14ac:dyDescent="0.25">
      <c r="A4405" t="s">
        <v>4509</v>
      </c>
      <c r="B4405" s="1">
        <v>45978</v>
      </c>
      <c r="C4405" t="s">
        <v>4265</v>
      </c>
      <c r="D4405">
        <v>11</v>
      </c>
      <c r="E4405">
        <v>17</v>
      </c>
      <c r="F4405" t="s">
        <v>168</v>
      </c>
      <c r="G4405" t="s">
        <v>80</v>
      </c>
      <c r="H4405" t="s">
        <v>135</v>
      </c>
      <c r="I4405" t="s">
        <v>27</v>
      </c>
      <c r="J4405" t="s">
        <v>119</v>
      </c>
      <c r="K4405" t="s">
        <v>45</v>
      </c>
      <c r="L4405">
        <v>2</v>
      </c>
      <c r="M4405">
        <v>496</v>
      </c>
      <c r="N4405">
        <v>74.400000000000006</v>
      </c>
      <c r="O4405">
        <v>30</v>
      </c>
      <c r="P4405">
        <v>992</v>
      </c>
      <c r="Q4405">
        <v>947.6</v>
      </c>
      <c r="R4405" t="s">
        <v>39</v>
      </c>
      <c r="S4405" t="s">
        <v>46</v>
      </c>
      <c r="T4405" t="s">
        <v>40</v>
      </c>
      <c r="U4405">
        <v>58</v>
      </c>
      <c r="W4405">
        <f>Table2[[#This Row],[Quantity]]*Table2[[#This Row],[Item_Price]]</f>
        <v>992</v>
      </c>
    </row>
    <row r="4406" spans="1:23" x14ac:dyDescent="0.25">
      <c r="A4406" t="s">
        <v>4510</v>
      </c>
      <c r="B4406" s="1">
        <v>45978</v>
      </c>
      <c r="C4406" t="s">
        <v>4265</v>
      </c>
      <c r="D4406">
        <v>11</v>
      </c>
      <c r="E4406">
        <v>17</v>
      </c>
      <c r="F4406" t="s">
        <v>168</v>
      </c>
      <c r="G4406" t="s">
        <v>80</v>
      </c>
      <c r="H4406" t="s">
        <v>48</v>
      </c>
      <c r="I4406" t="s">
        <v>57</v>
      </c>
      <c r="J4406" t="s">
        <v>66</v>
      </c>
      <c r="K4406" t="s">
        <v>38</v>
      </c>
      <c r="L4406">
        <v>2</v>
      </c>
      <c r="M4406">
        <v>607</v>
      </c>
      <c r="N4406">
        <v>121.4</v>
      </c>
      <c r="O4406">
        <v>60</v>
      </c>
      <c r="P4406">
        <v>1214</v>
      </c>
      <c r="Q4406">
        <v>1152.5999999999999</v>
      </c>
      <c r="R4406" t="s">
        <v>75</v>
      </c>
      <c r="S4406" t="s">
        <v>31</v>
      </c>
      <c r="T4406" t="s">
        <v>32</v>
      </c>
      <c r="U4406">
        <v>21</v>
      </c>
      <c r="V4406">
        <v>4.9000000000000004</v>
      </c>
      <c r="W4406">
        <f>Table2[[#This Row],[Quantity]]*Table2[[#This Row],[Item_Price]]</f>
        <v>1214</v>
      </c>
    </row>
    <row r="4407" spans="1:23" x14ac:dyDescent="0.25">
      <c r="A4407" t="s">
        <v>4511</v>
      </c>
      <c r="B4407" s="1">
        <v>45978</v>
      </c>
      <c r="C4407" t="s">
        <v>4265</v>
      </c>
      <c r="D4407">
        <v>11</v>
      </c>
      <c r="E4407">
        <v>17</v>
      </c>
      <c r="F4407" t="s">
        <v>168</v>
      </c>
      <c r="G4407" t="s">
        <v>73</v>
      </c>
      <c r="H4407" t="s">
        <v>60</v>
      </c>
      <c r="I4407" t="s">
        <v>43</v>
      </c>
      <c r="J4407" t="s">
        <v>94</v>
      </c>
      <c r="K4407" t="s">
        <v>38</v>
      </c>
      <c r="L4407">
        <v>2</v>
      </c>
      <c r="M4407">
        <v>351</v>
      </c>
      <c r="N4407">
        <v>35.1</v>
      </c>
      <c r="O4407">
        <v>50</v>
      </c>
      <c r="P4407">
        <v>702</v>
      </c>
      <c r="Q4407">
        <v>716.9</v>
      </c>
      <c r="R4407" t="s">
        <v>75</v>
      </c>
      <c r="S4407" t="s">
        <v>31</v>
      </c>
      <c r="T4407" t="s">
        <v>40</v>
      </c>
      <c r="U4407">
        <v>42</v>
      </c>
      <c r="V4407">
        <v>4.5</v>
      </c>
      <c r="W4407">
        <f>Table2[[#This Row],[Quantity]]*Table2[[#This Row],[Item_Price]]</f>
        <v>702</v>
      </c>
    </row>
    <row r="4408" spans="1:23" x14ac:dyDescent="0.25">
      <c r="A4408" t="s">
        <v>4512</v>
      </c>
      <c r="B4408" s="1">
        <v>45978</v>
      </c>
      <c r="C4408" t="s">
        <v>4265</v>
      </c>
      <c r="D4408">
        <v>11</v>
      </c>
      <c r="E4408">
        <v>17</v>
      </c>
      <c r="F4408" t="s">
        <v>168</v>
      </c>
      <c r="G4408" t="s">
        <v>64</v>
      </c>
      <c r="H4408" t="s">
        <v>52</v>
      </c>
      <c r="I4408" t="s">
        <v>27</v>
      </c>
      <c r="J4408" t="s">
        <v>94</v>
      </c>
      <c r="K4408" t="s">
        <v>58</v>
      </c>
      <c r="L4408">
        <v>2</v>
      </c>
      <c r="M4408">
        <v>437</v>
      </c>
      <c r="N4408">
        <v>43.7</v>
      </c>
      <c r="O4408">
        <v>30</v>
      </c>
      <c r="P4408">
        <v>874</v>
      </c>
      <c r="Q4408">
        <v>860.3</v>
      </c>
      <c r="R4408" t="s">
        <v>39</v>
      </c>
      <c r="S4408" t="s">
        <v>31</v>
      </c>
      <c r="T4408" t="s">
        <v>40</v>
      </c>
      <c r="U4408">
        <v>62</v>
      </c>
      <c r="V4408">
        <v>3.8</v>
      </c>
      <c r="W4408">
        <f>Table2[[#This Row],[Quantity]]*Table2[[#This Row],[Item_Price]]</f>
        <v>874</v>
      </c>
    </row>
    <row r="4409" spans="1:23" x14ac:dyDescent="0.25">
      <c r="A4409" t="s">
        <v>4513</v>
      </c>
      <c r="B4409" s="1">
        <v>45978</v>
      </c>
      <c r="C4409" t="s">
        <v>4265</v>
      </c>
      <c r="D4409">
        <v>11</v>
      </c>
      <c r="E4409">
        <v>17</v>
      </c>
      <c r="F4409" t="s">
        <v>168</v>
      </c>
      <c r="G4409" t="s">
        <v>115</v>
      </c>
      <c r="H4409" t="s">
        <v>48</v>
      </c>
      <c r="I4409" t="s">
        <v>27</v>
      </c>
      <c r="J4409" t="s">
        <v>123</v>
      </c>
      <c r="K4409" t="s">
        <v>38</v>
      </c>
      <c r="L4409">
        <v>2</v>
      </c>
      <c r="M4409">
        <v>536</v>
      </c>
      <c r="N4409">
        <v>26.8</v>
      </c>
      <c r="O4409">
        <v>40</v>
      </c>
      <c r="P4409">
        <v>1072</v>
      </c>
      <c r="Q4409">
        <v>1085.2</v>
      </c>
      <c r="R4409" t="s">
        <v>39</v>
      </c>
      <c r="S4409" t="s">
        <v>31</v>
      </c>
      <c r="T4409" t="s">
        <v>40</v>
      </c>
      <c r="U4409">
        <v>38</v>
      </c>
      <c r="V4409">
        <v>4.0999999999999996</v>
      </c>
      <c r="W4409">
        <f>Table2[[#This Row],[Quantity]]*Table2[[#This Row],[Item_Price]]</f>
        <v>1072</v>
      </c>
    </row>
    <row r="4410" spans="1:23" x14ac:dyDescent="0.25">
      <c r="A4410" t="s">
        <v>4514</v>
      </c>
      <c r="B4410" s="1">
        <v>45978</v>
      </c>
      <c r="C4410" t="s">
        <v>4265</v>
      </c>
      <c r="D4410">
        <v>11</v>
      </c>
      <c r="E4410">
        <v>17</v>
      </c>
      <c r="F4410" t="s">
        <v>168</v>
      </c>
      <c r="G4410" t="s">
        <v>80</v>
      </c>
      <c r="H4410" t="s">
        <v>65</v>
      </c>
      <c r="I4410" t="s">
        <v>97</v>
      </c>
      <c r="J4410" t="s">
        <v>62</v>
      </c>
      <c r="K4410" t="s">
        <v>38</v>
      </c>
      <c r="L4410">
        <v>1</v>
      </c>
      <c r="M4410">
        <v>212</v>
      </c>
      <c r="N4410">
        <v>53</v>
      </c>
      <c r="O4410">
        <v>30</v>
      </c>
      <c r="P4410">
        <v>212</v>
      </c>
      <c r="Q4410">
        <v>189</v>
      </c>
      <c r="R4410" t="s">
        <v>39</v>
      </c>
      <c r="S4410" t="s">
        <v>31</v>
      </c>
      <c r="T4410" t="s">
        <v>40</v>
      </c>
      <c r="U4410">
        <v>43</v>
      </c>
      <c r="V4410">
        <v>4.3</v>
      </c>
      <c r="W4410">
        <f>Table2[[#This Row],[Quantity]]*Table2[[#This Row],[Item_Price]]</f>
        <v>212</v>
      </c>
    </row>
    <row r="4411" spans="1:23" x14ac:dyDescent="0.25">
      <c r="A4411" t="s">
        <v>4515</v>
      </c>
      <c r="B4411" s="1">
        <v>45978</v>
      </c>
      <c r="C4411" t="s">
        <v>4265</v>
      </c>
      <c r="D4411">
        <v>11</v>
      </c>
      <c r="E4411">
        <v>17</v>
      </c>
      <c r="F4411" t="s">
        <v>168</v>
      </c>
      <c r="G4411" t="s">
        <v>64</v>
      </c>
      <c r="H4411" t="s">
        <v>65</v>
      </c>
      <c r="I4411" t="s">
        <v>36</v>
      </c>
      <c r="J4411" t="s">
        <v>74</v>
      </c>
      <c r="K4411" t="s">
        <v>45</v>
      </c>
      <c r="L4411">
        <v>1</v>
      </c>
      <c r="M4411">
        <v>472</v>
      </c>
      <c r="N4411">
        <v>70.8</v>
      </c>
      <c r="O4411">
        <v>40</v>
      </c>
      <c r="P4411">
        <v>472</v>
      </c>
      <c r="Q4411">
        <v>441.2</v>
      </c>
      <c r="R4411" t="s">
        <v>39</v>
      </c>
      <c r="S4411" t="s">
        <v>31</v>
      </c>
      <c r="T4411" t="s">
        <v>40</v>
      </c>
      <c r="U4411">
        <v>18</v>
      </c>
      <c r="V4411">
        <v>3.8</v>
      </c>
      <c r="W4411">
        <f>Table2[[#This Row],[Quantity]]*Table2[[#This Row],[Item_Price]]</f>
        <v>472</v>
      </c>
    </row>
    <row r="4412" spans="1:23" x14ac:dyDescent="0.25">
      <c r="A4412" t="s">
        <v>4516</v>
      </c>
      <c r="B4412" s="1">
        <v>45978</v>
      </c>
      <c r="C4412" t="s">
        <v>4265</v>
      </c>
      <c r="D4412">
        <v>11</v>
      </c>
      <c r="E4412">
        <v>17</v>
      </c>
      <c r="F4412" t="s">
        <v>168</v>
      </c>
      <c r="G4412" t="s">
        <v>55</v>
      </c>
      <c r="H4412" t="s">
        <v>42</v>
      </c>
      <c r="I4412" t="s">
        <v>49</v>
      </c>
      <c r="J4412" t="s">
        <v>74</v>
      </c>
      <c r="K4412" t="s">
        <v>38</v>
      </c>
      <c r="L4412">
        <v>1</v>
      </c>
      <c r="M4412">
        <v>253</v>
      </c>
      <c r="N4412">
        <v>63.25</v>
      </c>
      <c r="O4412">
        <v>30</v>
      </c>
      <c r="P4412">
        <v>253</v>
      </c>
      <c r="Q4412">
        <v>219.75</v>
      </c>
      <c r="R4412" t="s">
        <v>39</v>
      </c>
      <c r="S4412" t="s">
        <v>31</v>
      </c>
      <c r="T4412" t="s">
        <v>40</v>
      </c>
      <c r="U4412">
        <v>43</v>
      </c>
      <c r="V4412">
        <v>4.9000000000000004</v>
      </c>
      <c r="W4412">
        <f>Table2[[#This Row],[Quantity]]*Table2[[#This Row],[Item_Price]]</f>
        <v>253</v>
      </c>
    </row>
    <row r="4413" spans="1:23" x14ac:dyDescent="0.25">
      <c r="A4413" t="s">
        <v>4517</v>
      </c>
      <c r="B4413" s="1">
        <v>45978</v>
      </c>
      <c r="C4413" t="s">
        <v>4265</v>
      </c>
      <c r="D4413">
        <v>11</v>
      </c>
      <c r="E4413">
        <v>17</v>
      </c>
      <c r="F4413" t="s">
        <v>168</v>
      </c>
      <c r="G4413" t="s">
        <v>34</v>
      </c>
      <c r="H4413" t="s">
        <v>65</v>
      </c>
      <c r="I4413" t="s">
        <v>85</v>
      </c>
      <c r="J4413" t="s">
        <v>53</v>
      </c>
      <c r="K4413" t="s">
        <v>29</v>
      </c>
      <c r="L4413">
        <v>2</v>
      </c>
      <c r="M4413">
        <v>652</v>
      </c>
      <c r="N4413">
        <v>65.2</v>
      </c>
      <c r="O4413">
        <v>40</v>
      </c>
      <c r="P4413">
        <v>1304</v>
      </c>
      <c r="Q4413">
        <v>1278.8</v>
      </c>
      <c r="R4413" t="s">
        <v>39</v>
      </c>
      <c r="S4413" t="s">
        <v>110</v>
      </c>
      <c r="T4413" t="s">
        <v>40</v>
      </c>
      <c r="U4413">
        <v>33</v>
      </c>
      <c r="W4413">
        <f>Table2[[#This Row],[Quantity]]*Table2[[#This Row],[Item_Price]]</f>
        <v>1304</v>
      </c>
    </row>
    <row r="4414" spans="1:23" x14ac:dyDescent="0.25">
      <c r="A4414" t="s">
        <v>4518</v>
      </c>
      <c r="B4414" s="1">
        <v>45978</v>
      </c>
      <c r="C4414" t="s">
        <v>4265</v>
      </c>
      <c r="D4414">
        <v>11</v>
      </c>
      <c r="E4414">
        <v>17</v>
      </c>
      <c r="F4414" t="s">
        <v>168</v>
      </c>
      <c r="G4414" t="s">
        <v>34</v>
      </c>
      <c r="H4414" t="s">
        <v>42</v>
      </c>
      <c r="I4414" t="s">
        <v>43</v>
      </c>
      <c r="J4414" t="s">
        <v>44</v>
      </c>
      <c r="K4414" t="s">
        <v>38</v>
      </c>
      <c r="L4414">
        <v>1</v>
      </c>
      <c r="M4414">
        <v>134</v>
      </c>
      <c r="N4414">
        <v>13.4</v>
      </c>
      <c r="O4414">
        <v>40</v>
      </c>
      <c r="P4414">
        <v>134</v>
      </c>
      <c r="Q4414">
        <v>160.6</v>
      </c>
      <c r="R4414" t="s">
        <v>30</v>
      </c>
      <c r="S4414" t="s">
        <v>31</v>
      </c>
      <c r="T4414" t="s">
        <v>32</v>
      </c>
      <c r="U4414">
        <v>34</v>
      </c>
      <c r="V4414">
        <v>3.2</v>
      </c>
      <c r="W4414">
        <f>Table2[[#This Row],[Quantity]]*Table2[[#This Row],[Item_Price]]</f>
        <v>134</v>
      </c>
    </row>
    <row r="4415" spans="1:23" x14ac:dyDescent="0.25">
      <c r="A4415" t="s">
        <v>4519</v>
      </c>
      <c r="B4415" s="1">
        <v>45978</v>
      </c>
      <c r="C4415" t="s">
        <v>4265</v>
      </c>
      <c r="D4415">
        <v>11</v>
      </c>
      <c r="E4415">
        <v>17</v>
      </c>
      <c r="F4415" t="s">
        <v>168</v>
      </c>
      <c r="G4415" t="s">
        <v>64</v>
      </c>
      <c r="H4415" t="s">
        <v>105</v>
      </c>
      <c r="I4415" t="s">
        <v>103</v>
      </c>
      <c r="J4415" t="s">
        <v>101</v>
      </c>
      <c r="K4415" t="s">
        <v>38</v>
      </c>
      <c r="L4415">
        <v>1</v>
      </c>
      <c r="M4415">
        <v>289</v>
      </c>
      <c r="N4415">
        <v>43.35</v>
      </c>
      <c r="O4415">
        <v>40</v>
      </c>
      <c r="P4415">
        <v>289</v>
      </c>
      <c r="Q4415">
        <v>285.64999999999998</v>
      </c>
      <c r="R4415" t="s">
        <v>39</v>
      </c>
      <c r="S4415" t="s">
        <v>31</v>
      </c>
      <c r="T4415" t="s">
        <v>40</v>
      </c>
      <c r="U4415">
        <v>35</v>
      </c>
      <c r="V4415">
        <v>3.6</v>
      </c>
      <c r="W4415">
        <f>Table2[[#This Row],[Quantity]]*Table2[[#This Row],[Item_Price]]</f>
        <v>289</v>
      </c>
    </row>
    <row r="4416" spans="1:23" x14ac:dyDescent="0.25">
      <c r="A4416" t="s">
        <v>4520</v>
      </c>
      <c r="B4416" s="1">
        <v>45979</v>
      </c>
      <c r="C4416" t="s">
        <v>4265</v>
      </c>
      <c r="D4416">
        <v>11</v>
      </c>
      <c r="E4416">
        <v>18</v>
      </c>
      <c r="F4416" t="s">
        <v>178</v>
      </c>
      <c r="G4416" t="s">
        <v>96</v>
      </c>
      <c r="H4416" t="s">
        <v>42</v>
      </c>
      <c r="I4416" t="s">
        <v>49</v>
      </c>
      <c r="J4416" t="s">
        <v>119</v>
      </c>
      <c r="K4416" t="s">
        <v>38</v>
      </c>
      <c r="L4416">
        <v>2</v>
      </c>
      <c r="M4416">
        <v>535</v>
      </c>
      <c r="N4416">
        <v>0</v>
      </c>
      <c r="O4416">
        <v>50</v>
      </c>
      <c r="P4416">
        <v>1070</v>
      </c>
      <c r="Q4416">
        <v>1120</v>
      </c>
      <c r="R4416" t="s">
        <v>39</v>
      </c>
      <c r="S4416" t="s">
        <v>46</v>
      </c>
      <c r="T4416" t="s">
        <v>40</v>
      </c>
      <c r="U4416">
        <v>30</v>
      </c>
      <c r="W4416">
        <f>Table2[[#This Row],[Quantity]]*Table2[[#This Row],[Item_Price]]</f>
        <v>1070</v>
      </c>
    </row>
    <row r="4417" spans="1:23" x14ac:dyDescent="0.25">
      <c r="A4417" t="s">
        <v>4521</v>
      </c>
      <c r="B4417" s="1">
        <v>45979</v>
      </c>
      <c r="C4417" t="s">
        <v>4265</v>
      </c>
      <c r="D4417">
        <v>11</v>
      </c>
      <c r="E4417">
        <v>18</v>
      </c>
      <c r="F4417" t="s">
        <v>178</v>
      </c>
      <c r="G4417" t="s">
        <v>80</v>
      </c>
      <c r="H4417" t="s">
        <v>48</v>
      </c>
      <c r="I4417" t="s">
        <v>103</v>
      </c>
      <c r="J4417" t="s">
        <v>44</v>
      </c>
      <c r="K4417" t="s">
        <v>38</v>
      </c>
      <c r="L4417">
        <v>2</v>
      </c>
      <c r="M4417">
        <v>400</v>
      </c>
      <c r="N4417">
        <v>0</v>
      </c>
      <c r="O4417">
        <v>20</v>
      </c>
      <c r="P4417">
        <v>800</v>
      </c>
      <c r="Q4417">
        <v>820</v>
      </c>
      <c r="R4417" t="s">
        <v>75</v>
      </c>
      <c r="S4417" t="s">
        <v>31</v>
      </c>
      <c r="T4417" t="s">
        <v>40</v>
      </c>
      <c r="U4417">
        <v>39</v>
      </c>
      <c r="V4417">
        <v>3.9</v>
      </c>
      <c r="W4417">
        <f>Table2[[#This Row],[Quantity]]*Table2[[#This Row],[Item_Price]]</f>
        <v>800</v>
      </c>
    </row>
    <row r="4418" spans="1:23" x14ac:dyDescent="0.25">
      <c r="A4418" t="s">
        <v>4522</v>
      </c>
      <c r="B4418" s="1">
        <v>45979</v>
      </c>
      <c r="C4418" t="s">
        <v>4265</v>
      </c>
      <c r="D4418">
        <v>11</v>
      </c>
      <c r="E4418">
        <v>18</v>
      </c>
      <c r="F4418" t="s">
        <v>178</v>
      </c>
      <c r="G4418" t="s">
        <v>34</v>
      </c>
      <c r="H4418" t="s">
        <v>56</v>
      </c>
      <c r="I4418" t="s">
        <v>103</v>
      </c>
      <c r="J4418" t="s">
        <v>172</v>
      </c>
      <c r="K4418" t="s">
        <v>29</v>
      </c>
      <c r="L4418">
        <v>1</v>
      </c>
      <c r="M4418">
        <v>381</v>
      </c>
      <c r="N4418">
        <v>19.05</v>
      </c>
      <c r="O4418">
        <v>30</v>
      </c>
      <c r="P4418">
        <v>381</v>
      </c>
      <c r="Q4418">
        <v>391.95</v>
      </c>
      <c r="R4418" t="s">
        <v>39</v>
      </c>
      <c r="S4418" t="s">
        <v>31</v>
      </c>
      <c r="T4418" t="s">
        <v>40</v>
      </c>
      <c r="U4418">
        <v>35</v>
      </c>
      <c r="V4418">
        <v>1.7</v>
      </c>
      <c r="W4418">
        <f>Table2[[#This Row],[Quantity]]*Table2[[#This Row],[Item_Price]]</f>
        <v>381</v>
      </c>
    </row>
    <row r="4419" spans="1:23" x14ac:dyDescent="0.25">
      <c r="A4419" t="s">
        <v>4523</v>
      </c>
      <c r="B4419" s="1">
        <v>45979</v>
      </c>
      <c r="C4419" t="s">
        <v>4265</v>
      </c>
      <c r="D4419">
        <v>11</v>
      </c>
      <c r="E4419">
        <v>18</v>
      </c>
      <c r="F4419" t="s">
        <v>178</v>
      </c>
      <c r="G4419" t="s">
        <v>80</v>
      </c>
      <c r="H4419" t="s">
        <v>48</v>
      </c>
      <c r="I4419" t="s">
        <v>43</v>
      </c>
      <c r="J4419" t="s">
        <v>94</v>
      </c>
      <c r="K4419" t="s">
        <v>38</v>
      </c>
      <c r="L4419">
        <v>1</v>
      </c>
      <c r="M4419">
        <v>558</v>
      </c>
      <c r="N4419">
        <v>83.7</v>
      </c>
      <c r="O4419">
        <v>50</v>
      </c>
      <c r="P4419">
        <v>558</v>
      </c>
      <c r="Q4419">
        <v>524.29999999999995</v>
      </c>
      <c r="R4419" t="s">
        <v>39</v>
      </c>
      <c r="S4419" t="s">
        <v>110</v>
      </c>
      <c r="T4419" t="s">
        <v>40</v>
      </c>
      <c r="U4419">
        <v>64</v>
      </c>
      <c r="W4419">
        <f>Table2[[#This Row],[Quantity]]*Table2[[#This Row],[Item_Price]]</f>
        <v>558</v>
      </c>
    </row>
    <row r="4420" spans="1:23" x14ac:dyDescent="0.25">
      <c r="A4420" t="s">
        <v>4524</v>
      </c>
      <c r="B4420" s="1">
        <v>45979</v>
      </c>
      <c r="C4420" t="s">
        <v>4265</v>
      </c>
      <c r="D4420">
        <v>11</v>
      </c>
      <c r="E4420">
        <v>18</v>
      </c>
      <c r="F4420" t="s">
        <v>178</v>
      </c>
      <c r="G4420" t="s">
        <v>80</v>
      </c>
      <c r="H4420" t="s">
        <v>77</v>
      </c>
      <c r="I4420" t="s">
        <v>57</v>
      </c>
      <c r="J4420" t="s">
        <v>44</v>
      </c>
      <c r="K4420" t="s">
        <v>58</v>
      </c>
      <c r="L4420">
        <v>2</v>
      </c>
      <c r="M4420">
        <v>676</v>
      </c>
      <c r="N4420">
        <v>67.599999999999994</v>
      </c>
      <c r="O4420">
        <v>30</v>
      </c>
      <c r="P4420">
        <v>1352</v>
      </c>
      <c r="Q4420">
        <v>1314.4</v>
      </c>
      <c r="R4420" t="s">
        <v>75</v>
      </c>
      <c r="S4420" t="s">
        <v>31</v>
      </c>
      <c r="T4420" t="s">
        <v>40</v>
      </c>
      <c r="U4420">
        <v>22</v>
      </c>
      <c r="V4420">
        <v>4.4000000000000004</v>
      </c>
      <c r="W4420">
        <f>Table2[[#This Row],[Quantity]]*Table2[[#This Row],[Item_Price]]</f>
        <v>1352</v>
      </c>
    </row>
    <row r="4421" spans="1:23" x14ac:dyDescent="0.25">
      <c r="A4421" t="s">
        <v>4525</v>
      </c>
      <c r="B4421" s="1">
        <v>45979</v>
      </c>
      <c r="C4421" t="s">
        <v>4265</v>
      </c>
      <c r="D4421">
        <v>11</v>
      </c>
      <c r="E4421">
        <v>18</v>
      </c>
      <c r="F4421" t="s">
        <v>178</v>
      </c>
      <c r="G4421" t="s">
        <v>55</v>
      </c>
      <c r="H4421" t="s">
        <v>26</v>
      </c>
      <c r="I4421" t="s">
        <v>103</v>
      </c>
      <c r="J4421" t="s">
        <v>82</v>
      </c>
      <c r="K4421" t="s">
        <v>38</v>
      </c>
      <c r="L4421">
        <v>3</v>
      </c>
      <c r="M4421">
        <v>587</v>
      </c>
      <c r="N4421">
        <v>117.4</v>
      </c>
      <c r="O4421">
        <v>0</v>
      </c>
      <c r="P4421">
        <v>1761</v>
      </c>
      <c r="Q4421">
        <v>1643.6</v>
      </c>
      <c r="R4421" t="s">
        <v>39</v>
      </c>
      <c r="S4421" t="s">
        <v>31</v>
      </c>
      <c r="T4421" t="s">
        <v>32</v>
      </c>
      <c r="U4421">
        <v>18</v>
      </c>
      <c r="V4421">
        <v>4.5</v>
      </c>
      <c r="W4421">
        <f>Table2[[#This Row],[Quantity]]*Table2[[#This Row],[Item_Price]]</f>
        <v>1761</v>
      </c>
    </row>
    <row r="4422" spans="1:23" x14ac:dyDescent="0.25">
      <c r="A4422" t="s">
        <v>4526</v>
      </c>
      <c r="B4422" s="1">
        <v>45979</v>
      </c>
      <c r="C4422" t="s">
        <v>4265</v>
      </c>
      <c r="D4422">
        <v>11</v>
      </c>
      <c r="E4422">
        <v>18</v>
      </c>
      <c r="F4422" t="s">
        <v>178</v>
      </c>
      <c r="G4422" t="s">
        <v>25</v>
      </c>
      <c r="H4422" t="s">
        <v>48</v>
      </c>
      <c r="I4422" t="s">
        <v>49</v>
      </c>
      <c r="J4422" t="s">
        <v>123</v>
      </c>
      <c r="K4422" t="s">
        <v>38</v>
      </c>
      <c r="L4422">
        <v>3</v>
      </c>
      <c r="M4422">
        <v>318</v>
      </c>
      <c r="N4422">
        <v>31.8</v>
      </c>
      <c r="O4422">
        <v>40</v>
      </c>
      <c r="P4422">
        <v>954</v>
      </c>
      <c r="Q4422">
        <v>962.2</v>
      </c>
      <c r="R4422" t="s">
        <v>75</v>
      </c>
      <c r="S4422" t="s">
        <v>31</v>
      </c>
      <c r="T4422" t="s">
        <v>40</v>
      </c>
      <c r="U4422">
        <v>34</v>
      </c>
      <c r="V4422">
        <v>5</v>
      </c>
      <c r="W4422">
        <f>Table2[[#This Row],[Quantity]]*Table2[[#This Row],[Item_Price]]</f>
        <v>954</v>
      </c>
    </row>
    <row r="4423" spans="1:23" x14ac:dyDescent="0.25">
      <c r="A4423" t="s">
        <v>4527</v>
      </c>
      <c r="B4423" s="1">
        <v>45979</v>
      </c>
      <c r="C4423" t="s">
        <v>4265</v>
      </c>
      <c r="D4423">
        <v>11</v>
      </c>
      <c r="E4423">
        <v>18</v>
      </c>
      <c r="F4423" t="s">
        <v>178</v>
      </c>
      <c r="G4423" t="s">
        <v>64</v>
      </c>
      <c r="H4423" t="s">
        <v>81</v>
      </c>
      <c r="I4423" t="s">
        <v>36</v>
      </c>
      <c r="J4423" t="s">
        <v>172</v>
      </c>
      <c r="K4423" t="s">
        <v>38</v>
      </c>
      <c r="L4423">
        <v>2</v>
      </c>
      <c r="M4423">
        <v>629</v>
      </c>
      <c r="N4423">
        <v>94.35</v>
      </c>
      <c r="O4423">
        <v>60</v>
      </c>
      <c r="P4423">
        <v>1258</v>
      </c>
      <c r="Q4423">
        <v>1223.6500000000001</v>
      </c>
      <c r="R4423" t="s">
        <v>30</v>
      </c>
      <c r="S4423" t="s">
        <v>91</v>
      </c>
      <c r="T4423" t="s">
        <v>40</v>
      </c>
      <c r="U4423">
        <v>19</v>
      </c>
      <c r="W4423">
        <f>Table2[[#This Row],[Quantity]]*Table2[[#This Row],[Item_Price]]</f>
        <v>1258</v>
      </c>
    </row>
    <row r="4424" spans="1:23" x14ac:dyDescent="0.25">
      <c r="A4424" t="s">
        <v>4528</v>
      </c>
      <c r="B4424" s="1">
        <v>45979</v>
      </c>
      <c r="C4424" t="s">
        <v>4265</v>
      </c>
      <c r="D4424">
        <v>11</v>
      </c>
      <c r="E4424">
        <v>18</v>
      </c>
      <c r="F4424" t="s">
        <v>178</v>
      </c>
      <c r="G4424" t="s">
        <v>90</v>
      </c>
      <c r="H4424" t="s">
        <v>108</v>
      </c>
      <c r="I4424" t="s">
        <v>43</v>
      </c>
      <c r="J4424" t="s">
        <v>94</v>
      </c>
      <c r="K4424" t="s">
        <v>45</v>
      </c>
      <c r="L4424">
        <v>1</v>
      </c>
      <c r="M4424">
        <v>234</v>
      </c>
      <c r="N4424">
        <v>46.8</v>
      </c>
      <c r="O4424">
        <v>50</v>
      </c>
      <c r="P4424">
        <v>234</v>
      </c>
      <c r="Q4424">
        <v>237.2</v>
      </c>
      <c r="R4424" t="s">
        <v>75</v>
      </c>
      <c r="S4424" t="s">
        <v>31</v>
      </c>
      <c r="T4424" t="s">
        <v>32</v>
      </c>
      <c r="U4424">
        <v>25</v>
      </c>
      <c r="V4424">
        <v>3.7</v>
      </c>
      <c r="W4424">
        <f>Table2[[#This Row],[Quantity]]*Table2[[#This Row],[Item_Price]]</f>
        <v>234</v>
      </c>
    </row>
    <row r="4425" spans="1:23" x14ac:dyDescent="0.25">
      <c r="A4425" t="s">
        <v>4529</v>
      </c>
      <c r="B4425" s="1">
        <v>45979</v>
      </c>
      <c r="C4425" t="s">
        <v>4265</v>
      </c>
      <c r="D4425">
        <v>11</v>
      </c>
      <c r="E4425">
        <v>18</v>
      </c>
      <c r="F4425" t="s">
        <v>178</v>
      </c>
      <c r="G4425" t="s">
        <v>90</v>
      </c>
      <c r="H4425" t="s">
        <v>105</v>
      </c>
      <c r="I4425" t="s">
        <v>85</v>
      </c>
      <c r="J4425" t="s">
        <v>44</v>
      </c>
      <c r="K4425" t="s">
        <v>38</v>
      </c>
      <c r="L4425">
        <v>2</v>
      </c>
      <c r="M4425">
        <v>513</v>
      </c>
      <c r="N4425">
        <v>0</v>
      </c>
      <c r="O4425">
        <v>40</v>
      </c>
      <c r="P4425">
        <v>1026</v>
      </c>
      <c r="Q4425">
        <v>1066</v>
      </c>
      <c r="R4425" t="s">
        <v>98</v>
      </c>
      <c r="S4425" t="s">
        <v>31</v>
      </c>
      <c r="T4425" t="s">
        <v>32</v>
      </c>
      <c r="U4425">
        <v>38</v>
      </c>
      <c r="V4425">
        <v>5</v>
      </c>
      <c r="W4425">
        <f>Table2[[#This Row],[Quantity]]*Table2[[#This Row],[Item_Price]]</f>
        <v>1026</v>
      </c>
    </row>
    <row r="4426" spans="1:23" x14ac:dyDescent="0.25">
      <c r="A4426" t="s">
        <v>4530</v>
      </c>
      <c r="B4426" s="1">
        <v>45980</v>
      </c>
      <c r="C4426" t="s">
        <v>4265</v>
      </c>
      <c r="D4426">
        <v>11</v>
      </c>
      <c r="E4426">
        <v>19</v>
      </c>
      <c r="F4426" t="s">
        <v>24</v>
      </c>
      <c r="G4426" t="s">
        <v>25</v>
      </c>
      <c r="H4426" t="s">
        <v>60</v>
      </c>
      <c r="I4426" t="s">
        <v>43</v>
      </c>
      <c r="J4426" t="s">
        <v>50</v>
      </c>
      <c r="K4426" t="s">
        <v>38</v>
      </c>
      <c r="L4426">
        <v>2</v>
      </c>
      <c r="M4426">
        <v>747</v>
      </c>
      <c r="N4426">
        <v>74.7</v>
      </c>
      <c r="O4426">
        <v>30</v>
      </c>
      <c r="P4426">
        <v>1494</v>
      </c>
      <c r="Q4426">
        <v>1449.3</v>
      </c>
      <c r="R4426" t="s">
        <v>75</v>
      </c>
      <c r="S4426" t="s">
        <v>31</v>
      </c>
      <c r="T4426" t="s">
        <v>40</v>
      </c>
      <c r="U4426">
        <v>58</v>
      </c>
      <c r="V4426">
        <v>3.9</v>
      </c>
      <c r="W4426">
        <f>Table2[[#This Row],[Quantity]]*Table2[[#This Row],[Item_Price]]</f>
        <v>1494</v>
      </c>
    </row>
    <row r="4427" spans="1:23" x14ac:dyDescent="0.25">
      <c r="A4427" t="s">
        <v>4531</v>
      </c>
      <c r="B4427" s="1">
        <v>45980</v>
      </c>
      <c r="C4427" t="s">
        <v>4265</v>
      </c>
      <c r="D4427">
        <v>11</v>
      </c>
      <c r="E4427">
        <v>19</v>
      </c>
      <c r="F4427" t="s">
        <v>24</v>
      </c>
      <c r="G4427" t="s">
        <v>84</v>
      </c>
      <c r="H4427" t="s">
        <v>42</v>
      </c>
      <c r="I4427" t="s">
        <v>43</v>
      </c>
      <c r="J4427" t="s">
        <v>82</v>
      </c>
      <c r="K4427" t="s">
        <v>38</v>
      </c>
      <c r="L4427">
        <v>1</v>
      </c>
      <c r="M4427">
        <v>868</v>
      </c>
      <c r="N4427">
        <v>0</v>
      </c>
      <c r="O4427">
        <v>40</v>
      </c>
      <c r="P4427">
        <v>868</v>
      </c>
      <c r="Q4427">
        <v>908</v>
      </c>
      <c r="R4427" t="s">
        <v>30</v>
      </c>
      <c r="S4427" t="s">
        <v>31</v>
      </c>
      <c r="T4427" t="s">
        <v>32</v>
      </c>
      <c r="U4427">
        <v>60</v>
      </c>
      <c r="V4427">
        <v>4.2</v>
      </c>
      <c r="W4427">
        <f>Table2[[#This Row],[Quantity]]*Table2[[#This Row],[Item_Price]]</f>
        <v>868</v>
      </c>
    </row>
    <row r="4428" spans="1:23" x14ac:dyDescent="0.25">
      <c r="A4428" t="s">
        <v>4532</v>
      </c>
      <c r="B4428" s="1">
        <v>45980</v>
      </c>
      <c r="C4428" t="s">
        <v>4265</v>
      </c>
      <c r="D4428">
        <v>11</v>
      </c>
      <c r="E4428">
        <v>19</v>
      </c>
      <c r="F4428" t="s">
        <v>24</v>
      </c>
      <c r="G4428" t="s">
        <v>55</v>
      </c>
      <c r="H4428" t="s">
        <v>77</v>
      </c>
      <c r="I4428" t="s">
        <v>27</v>
      </c>
      <c r="J4428" t="s">
        <v>28</v>
      </c>
      <c r="K4428" t="s">
        <v>38</v>
      </c>
      <c r="L4428">
        <v>1</v>
      </c>
      <c r="M4428">
        <v>136</v>
      </c>
      <c r="N4428">
        <v>20.399999999999999</v>
      </c>
      <c r="O4428">
        <v>20</v>
      </c>
      <c r="P4428">
        <v>136</v>
      </c>
      <c r="Q4428">
        <v>135.6</v>
      </c>
      <c r="R4428" t="s">
        <v>39</v>
      </c>
      <c r="S4428" t="s">
        <v>31</v>
      </c>
      <c r="T4428" t="s">
        <v>32</v>
      </c>
      <c r="U4428">
        <v>28</v>
      </c>
      <c r="V4428">
        <v>5</v>
      </c>
      <c r="W4428">
        <f>Table2[[#This Row],[Quantity]]*Table2[[#This Row],[Item_Price]]</f>
        <v>136</v>
      </c>
    </row>
    <row r="4429" spans="1:23" x14ac:dyDescent="0.25">
      <c r="A4429" t="s">
        <v>4533</v>
      </c>
      <c r="B4429" s="1">
        <v>45980</v>
      </c>
      <c r="C4429" t="s">
        <v>4265</v>
      </c>
      <c r="D4429">
        <v>11</v>
      </c>
      <c r="E4429">
        <v>19</v>
      </c>
      <c r="F4429" t="s">
        <v>24</v>
      </c>
      <c r="G4429" t="s">
        <v>55</v>
      </c>
      <c r="H4429" t="s">
        <v>60</v>
      </c>
      <c r="I4429" t="s">
        <v>69</v>
      </c>
      <c r="J4429" t="s">
        <v>123</v>
      </c>
      <c r="K4429" t="s">
        <v>45</v>
      </c>
      <c r="L4429">
        <v>1</v>
      </c>
      <c r="M4429">
        <v>572</v>
      </c>
      <c r="N4429">
        <v>114.4</v>
      </c>
      <c r="O4429">
        <v>40</v>
      </c>
      <c r="P4429">
        <v>572</v>
      </c>
      <c r="Q4429">
        <v>497.6</v>
      </c>
      <c r="R4429" t="s">
        <v>39</v>
      </c>
      <c r="S4429" t="s">
        <v>31</v>
      </c>
      <c r="T4429" t="s">
        <v>32</v>
      </c>
      <c r="U4429">
        <v>49</v>
      </c>
      <c r="V4429">
        <v>3.8</v>
      </c>
      <c r="W4429">
        <f>Table2[[#This Row],[Quantity]]*Table2[[#This Row],[Item_Price]]</f>
        <v>572</v>
      </c>
    </row>
    <row r="4430" spans="1:23" x14ac:dyDescent="0.25">
      <c r="A4430" t="s">
        <v>4534</v>
      </c>
      <c r="B4430" s="1">
        <v>45980</v>
      </c>
      <c r="C4430" t="s">
        <v>4265</v>
      </c>
      <c r="D4430">
        <v>11</v>
      </c>
      <c r="E4430">
        <v>19</v>
      </c>
      <c r="F4430" t="s">
        <v>24</v>
      </c>
      <c r="G4430" t="s">
        <v>55</v>
      </c>
      <c r="H4430" t="s">
        <v>60</v>
      </c>
      <c r="I4430" t="s">
        <v>103</v>
      </c>
      <c r="J4430" t="s">
        <v>50</v>
      </c>
      <c r="K4430" t="s">
        <v>38</v>
      </c>
      <c r="L4430">
        <v>1</v>
      </c>
      <c r="M4430">
        <v>380</v>
      </c>
      <c r="N4430">
        <v>95</v>
      </c>
      <c r="O4430">
        <v>20</v>
      </c>
      <c r="P4430">
        <v>380</v>
      </c>
      <c r="Q4430">
        <v>305</v>
      </c>
      <c r="R4430" t="s">
        <v>98</v>
      </c>
      <c r="S4430" t="s">
        <v>31</v>
      </c>
      <c r="T4430" t="s">
        <v>40</v>
      </c>
      <c r="U4430">
        <v>59</v>
      </c>
      <c r="V4430">
        <v>3.4</v>
      </c>
      <c r="W4430">
        <f>Table2[[#This Row],[Quantity]]*Table2[[#This Row],[Item_Price]]</f>
        <v>380</v>
      </c>
    </row>
    <row r="4431" spans="1:23" x14ac:dyDescent="0.25">
      <c r="A4431" t="s">
        <v>4535</v>
      </c>
      <c r="B4431" s="1">
        <v>45980</v>
      </c>
      <c r="C4431" t="s">
        <v>4265</v>
      </c>
      <c r="D4431">
        <v>11</v>
      </c>
      <c r="E4431">
        <v>19</v>
      </c>
      <c r="F4431" t="s">
        <v>24</v>
      </c>
      <c r="G4431" t="s">
        <v>80</v>
      </c>
      <c r="H4431" t="s">
        <v>26</v>
      </c>
      <c r="I4431" t="s">
        <v>61</v>
      </c>
      <c r="J4431" t="s">
        <v>44</v>
      </c>
      <c r="K4431" t="s">
        <v>58</v>
      </c>
      <c r="L4431">
        <v>1</v>
      </c>
      <c r="M4431">
        <v>356</v>
      </c>
      <c r="N4431">
        <v>71.2</v>
      </c>
      <c r="O4431">
        <v>20</v>
      </c>
      <c r="P4431">
        <v>356</v>
      </c>
      <c r="Q4431">
        <v>304.8</v>
      </c>
      <c r="R4431" t="s">
        <v>30</v>
      </c>
      <c r="S4431" t="s">
        <v>31</v>
      </c>
      <c r="T4431" t="s">
        <v>40</v>
      </c>
      <c r="U4431">
        <v>51</v>
      </c>
      <c r="V4431">
        <v>4.7</v>
      </c>
      <c r="W4431">
        <f>Table2[[#This Row],[Quantity]]*Table2[[#This Row],[Item_Price]]</f>
        <v>356</v>
      </c>
    </row>
    <row r="4432" spans="1:23" x14ac:dyDescent="0.25">
      <c r="A4432" t="s">
        <v>4536</v>
      </c>
      <c r="B4432" s="1">
        <v>45980</v>
      </c>
      <c r="C4432" t="s">
        <v>4265</v>
      </c>
      <c r="D4432">
        <v>11</v>
      </c>
      <c r="E4432">
        <v>19</v>
      </c>
      <c r="F4432" t="s">
        <v>24</v>
      </c>
      <c r="G4432" t="s">
        <v>90</v>
      </c>
      <c r="H4432" t="s">
        <v>77</v>
      </c>
      <c r="I4432" t="s">
        <v>103</v>
      </c>
      <c r="J4432" t="s">
        <v>119</v>
      </c>
      <c r="K4432" t="s">
        <v>38</v>
      </c>
      <c r="L4432">
        <v>3</v>
      </c>
      <c r="M4432">
        <v>801</v>
      </c>
      <c r="N4432">
        <v>80.099999999999994</v>
      </c>
      <c r="O4432">
        <v>50</v>
      </c>
      <c r="P4432">
        <v>2403</v>
      </c>
      <c r="Q4432">
        <v>2372.9</v>
      </c>
      <c r="R4432" t="s">
        <v>39</v>
      </c>
      <c r="S4432" t="s">
        <v>31</v>
      </c>
      <c r="T4432" t="s">
        <v>32</v>
      </c>
      <c r="U4432">
        <v>49</v>
      </c>
      <c r="V4432">
        <v>4.4000000000000004</v>
      </c>
      <c r="W4432">
        <f>Table2[[#This Row],[Quantity]]*Table2[[#This Row],[Item_Price]]</f>
        <v>2403</v>
      </c>
    </row>
    <row r="4433" spans="1:23" x14ac:dyDescent="0.25">
      <c r="A4433" t="s">
        <v>4537</v>
      </c>
      <c r="B4433" s="1">
        <v>45980</v>
      </c>
      <c r="C4433" t="s">
        <v>4265</v>
      </c>
      <c r="D4433">
        <v>11</v>
      </c>
      <c r="E4433">
        <v>19</v>
      </c>
      <c r="F4433" t="s">
        <v>24</v>
      </c>
      <c r="G4433" t="s">
        <v>115</v>
      </c>
      <c r="H4433" t="s">
        <v>65</v>
      </c>
      <c r="I4433" t="s">
        <v>27</v>
      </c>
      <c r="J4433" t="s">
        <v>78</v>
      </c>
      <c r="K4433" t="s">
        <v>38</v>
      </c>
      <c r="L4433">
        <v>2</v>
      </c>
      <c r="M4433">
        <v>658</v>
      </c>
      <c r="N4433">
        <v>0</v>
      </c>
      <c r="O4433">
        <v>60</v>
      </c>
      <c r="P4433">
        <v>1316</v>
      </c>
      <c r="Q4433">
        <v>1376</v>
      </c>
      <c r="R4433" t="s">
        <v>75</v>
      </c>
      <c r="S4433" t="s">
        <v>31</v>
      </c>
      <c r="T4433" t="s">
        <v>40</v>
      </c>
      <c r="U4433">
        <v>70</v>
      </c>
      <c r="V4433">
        <v>4.3</v>
      </c>
      <c r="W4433">
        <f>Table2[[#This Row],[Quantity]]*Table2[[#This Row],[Item_Price]]</f>
        <v>1316</v>
      </c>
    </row>
    <row r="4434" spans="1:23" x14ac:dyDescent="0.25">
      <c r="A4434" t="s">
        <v>4538</v>
      </c>
      <c r="B4434" s="1">
        <v>45980</v>
      </c>
      <c r="C4434" t="s">
        <v>4265</v>
      </c>
      <c r="D4434">
        <v>11</v>
      </c>
      <c r="E4434">
        <v>19</v>
      </c>
      <c r="F4434" t="s">
        <v>24</v>
      </c>
      <c r="G4434" t="s">
        <v>84</v>
      </c>
      <c r="H4434" t="s">
        <v>77</v>
      </c>
      <c r="I4434" t="s">
        <v>61</v>
      </c>
      <c r="J4434" t="s">
        <v>123</v>
      </c>
      <c r="K4434" t="s">
        <v>38</v>
      </c>
      <c r="L4434">
        <v>1</v>
      </c>
      <c r="M4434">
        <v>382</v>
      </c>
      <c r="N4434">
        <v>19.100000000000001</v>
      </c>
      <c r="O4434">
        <v>30</v>
      </c>
      <c r="P4434">
        <v>382</v>
      </c>
      <c r="Q4434">
        <v>392.9</v>
      </c>
      <c r="R4434" t="s">
        <v>112</v>
      </c>
      <c r="S4434" t="s">
        <v>31</v>
      </c>
      <c r="T4434" t="s">
        <v>40</v>
      </c>
      <c r="U4434">
        <v>28</v>
      </c>
      <c r="V4434">
        <v>5</v>
      </c>
      <c r="W4434">
        <f>Table2[[#This Row],[Quantity]]*Table2[[#This Row],[Item_Price]]</f>
        <v>382</v>
      </c>
    </row>
    <row r="4435" spans="1:23" x14ac:dyDescent="0.25">
      <c r="A4435" t="s">
        <v>4539</v>
      </c>
      <c r="B4435" s="1">
        <v>45980</v>
      </c>
      <c r="C4435" t="s">
        <v>4265</v>
      </c>
      <c r="D4435">
        <v>11</v>
      </c>
      <c r="E4435">
        <v>19</v>
      </c>
      <c r="F4435" t="s">
        <v>24</v>
      </c>
      <c r="G4435" t="s">
        <v>73</v>
      </c>
      <c r="H4435" t="s">
        <v>48</v>
      </c>
      <c r="I4435" t="s">
        <v>27</v>
      </c>
      <c r="J4435" t="s">
        <v>70</v>
      </c>
      <c r="K4435" t="s">
        <v>38</v>
      </c>
      <c r="L4435">
        <v>3</v>
      </c>
      <c r="M4435">
        <v>550</v>
      </c>
      <c r="N4435">
        <v>110</v>
      </c>
      <c r="O4435">
        <v>60</v>
      </c>
      <c r="P4435">
        <v>1650</v>
      </c>
      <c r="Q4435">
        <v>1600</v>
      </c>
      <c r="R4435" t="s">
        <v>75</v>
      </c>
      <c r="S4435" t="s">
        <v>31</v>
      </c>
      <c r="T4435" t="s">
        <v>32</v>
      </c>
      <c r="U4435">
        <v>41</v>
      </c>
      <c r="V4435">
        <v>4.0999999999999996</v>
      </c>
      <c r="W4435">
        <f>Table2[[#This Row],[Quantity]]*Table2[[#This Row],[Item_Price]]</f>
        <v>1650</v>
      </c>
    </row>
    <row r="4436" spans="1:23" x14ac:dyDescent="0.25">
      <c r="A4436" t="s">
        <v>4540</v>
      </c>
      <c r="B4436" s="1">
        <v>45980</v>
      </c>
      <c r="C4436" t="s">
        <v>4265</v>
      </c>
      <c r="D4436">
        <v>11</v>
      </c>
      <c r="E4436">
        <v>19</v>
      </c>
      <c r="F4436" t="s">
        <v>24</v>
      </c>
      <c r="G4436" t="s">
        <v>73</v>
      </c>
      <c r="H4436" t="s">
        <v>135</v>
      </c>
      <c r="I4436" t="s">
        <v>27</v>
      </c>
      <c r="J4436" t="s">
        <v>119</v>
      </c>
      <c r="K4436" t="s">
        <v>38</v>
      </c>
      <c r="L4436">
        <v>2</v>
      </c>
      <c r="M4436">
        <v>652</v>
      </c>
      <c r="N4436">
        <v>97.8</v>
      </c>
      <c r="O4436">
        <v>50</v>
      </c>
      <c r="P4436">
        <v>1304</v>
      </c>
      <c r="Q4436">
        <v>1256.2</v>
      </c>
      <c r="R4436" t="s">
        <v>112</v>
      </c>
      <c r="S4436" t="s">
        <v>31</v>
      </c>
      <c r="T4436" t="s">
        <v>40</v>
      </c>
      <c r="U4436">
        <v>28</v>
      </c>
      <c r="V4436">
        <v>4.3</v>
      </c>
      <c r="W4436">
        <f>Table2[[#This Row],[Quantity]]*Table2[[#This Row],[Item_Price]]</f>
        <v>1304</v>
      </c>
    </row>
    <row r="4437" spans="1:23" x14ac:dyDescent="0.25">
      <c r="A4437" t="s">
        <v>4541</v>
      </c>
      <c r="B4437" s="1">
        <v>45980</v>
      </c>
      <c r="C4437" t="s">
        <v>4265</v>
      </c>
      <c r="D4437">
        <v>11</v>
      </c>
      <c r="E4437">
        <v>19</v>
      </c>
      <c r="F4437" t="s">
        <v>24</v>
      </c>
      <c r="G4437" t="s">
        <v>73</v>
      </c>
      <c r="H4437" t="s">
        <v>60</v>
      </c>
      <c r="I4437" t="s">
        <v>61</v>
      </c>
      <c r="J4437" t="s">
        <v>50</v>
      </c>
      <c r="K4437" t="s">
        <v>38</v>
      </c>
      <c r="L4437">
        <v>3</v>
      </c>
      <c r="M4437">
        <v>693</v>
      </c>
      <c r="N4437">
        <v>69.3</v>
      </c>
      <c r="O4437">
        <v>50</v>
      </c>
      <c r="P4437">
        <v>2079</v>
      </c>
      <c r="Q4437">
        <v>2059.6999999999998</v>
      </c>
      <c r="R4437" t="s">
        <v>39</v>
      </c>
      <c r="S4437" t="s">
        <v>31</v>
      </c>
      <c r="T4437" t="s">
        <v>32</v>
      </c>
      <c r="U4437">
        <v>55</v>
      </c>
      <c r="V4437">
        <v>3.9</v>
      </c>
      <c r="W4437">
        <f>Table2[[#This Row],[Quantity]]*Table2[[#This Row],[Item_Price]]</f>
        <v>2079</v>
      </c>
    </row>
    <row r="4438" spans="1:23" x14ac:dyDescent="0.25">
      <c r="A4438" t="s">
        <v>4542</v>
      </c>
      <c r="B4438" s="1">
        <v>45980</v>
      </c>
      <c r="C4438" t="s">
        <v>4265</v>
      </c>
      <c r="D4438">
        <v>11</v>
      </c>
      <c r="E4438">
        <v>19</v>
      </c>
      <c r="F4438" t="s">
        <v>24</v>
      </c>
      <c r="G4438" t="s">
        <v>34</v>
      </c>
      <c r="H4438" t="s">
        <v>65</v>
      </c>
      <c r="I4438" t="s">
        <v>97</v>
      </c>
      <c r="J4438" t="s">
        <v>78</v>
      </c>
      <c r="K4438" t="s">
        <v>38</v>
      </c>
      <c r="L4438">
        <v>1</v>
      </c>
      <c r="M4438">
        <v>624</v>
      </c>
      <c r="N4438">
        <v>0</v>
      </c>
      <c r="O4438">
        <v>30</v>
      </c>
      <c r="P4438">
        <v>624</v>
      </c>
      <c r="Q4438">
        <v>654</v>
      </c>
      <c r="R4438" t="s">
        <v>39</v>
      </c>
      <c r="S4438" t="s">
        <v>31</v>
      </c>
      <c r="T4438" t="s">
        <v>40</v>
      </c>
      <c r="U4438">
        <v>36</v>
      </c>
      <c r="V4438">
        <v>4.5999999999999996</v>
      </c>
      <c r="W4438">
        <f>Table2[[#This Row],[Quantity]]*Table2[[#This Row],[Item_Price]]</f>
        <v>624</v>
      </c>
    </row>
    <row r="4439" spans="1:23" x14ac:dyDescent="0.25">
      <c r="A4439" t="s">
        <v>4543</v>
      </c>
      <c r="B4439" s="1">
        <v>45980</v>
      </c>
      <c r="C4439" t="s">
        <v>4265</v>
      </c>
      <c r="D4439">
        <v>11</v>
      </c>
      <c r="E4439">
        <v>19</v>
      </c>
      <c r="F4439" t="s">
        <v>24</v>
      </c>
      <c r="G4439" t="s">
        <v>115</v>
      </c>
      <c r="H4439" t="s">
        <v>56</v>
      </c>
      <c r="I4439" t="s">
        <v>36</v>
      </c>
      <c r="J4439" t="s">
        <v>53</v>
      </c>
      <c r="K4439" t="s">
        <v>38</v>
      </c>
      <c r="L4439">
        <v>3</v>
      </c>
      <c r="M4439">
        <v>520</v>
      </c>
      <c r="N4439">
        <v>26</v>
      </c>
      <c r="O4439">
        <v>50</v>
      </c>
      <c r="P4439">
        <v>1560</v>
      </c>
      <c r="Q4439">
        <v>1584</v>
      </c>
      <c r="R4439" t="s">
        <v>39</v>
      </c>
      <c r="S4439" t="s">
        <v>31</v>
      </c>
      <c r="T4439" t="s">
        <v>40</v>
      </c>
      <c r="U4439">
        <v>40</v>
      </c>
      <c r="V4439">
        <v>3.8</v>
      </c>
      <c r="W4439">
        <f>Table2[[#This Row],[Quantity]]*Table2[[#This Row],[Item_Price]]</f>
        <v>1560</v>
      </c>
    </row>
    <row r="4440" spans="1:23" x14ac:dyDescent="0.25">
      <c r="A4440" t="s">
        <v>4544</v>
      </c>
      <c r="B4440" s="1">
        <v>45981</v>
      </c>
      <c r="C4440" t="s">
        <v>4265</v>
      </c>
      <c r="D4440">
        <v>11</v>
      </c>
      <c r="E4440">
        <v>20</v>
      </c>
      <c r="F4440" t="s">
        <v>88</v>
      </c>
      <c r="G4440" t="s">
        <v>64</v>
      </c>
      <c r="H4440" t="s">
        <v>139</v>
      </c>
      <c r="I4440" t="s">
        <v>69</v>
      </c>
      <c r="J4440" t="s">
        <v>78</v>
      </c>
      <c r="K4440" t="s">
        <v>29</v>
      </c>
      <c r="L4440">
        <v>2</v>
      </c>
      <c r="M4440">
        <v>577</v>
      </c>
      <c r="N4440">
        <v>86.55</v>
      </c>
      <c r="O4440">
        <v>50</v>
      </c>
      <c r="P4440">
        <v>1154</v>
      </c>
      <c r="Q4440">
        <v>1117.45</v>
      </c>
      <c r="R4440" t="s">
        <v>39</v>
      </c>
      <c r="S4440" t="s">
        <v>31</v>
      </c>
      <c r="T4440" t="s">
        <v>32</v>
      </c>
      <c r="U4440">
        <v>66</v>
      </c>
      <c r="V4440">
        <v>2.9</v>
      </c>
      <c r="W4440">
        <f>Table2[[#This Row],[Quantity]]*Table2[[#This Row],[Item_Price]]</f>
        <v>1154</v>
      </c>
    </row>
    <row r="4441" spans="1:23" x14ac:dyDescent="0.25">
      <c r="A4441" t="s">
        <v>4545</v>
      </c>
      <c r="B4441" s="1">
        <v>45981</v>
      </c>
      <c r="C4441" t="s">
        <v>4265</v>
      </c>
      <c r="D4441">
        <v>11</v>
      </c>
      <c r="E4441">
        <v>20</v>
      </c>
      <c r="F4441" t="s">
        <v>88</v>
      </c>
      <c r="G4441" t="s">
        <v>25</v>
      </c>
      <c r="H4441" t="s">
        <v>52</v>
      </c>
      <c r="I4441" t="s">
        <v>97</v>
      </c>
      <c r="J4441" t="s">
        <v>62</v>
      </c>
      <c r="K4441" t="s">
        <v>38</v>
      </c>
      <c r="L4441">
        <v>2</v>
      </c>
      <c r="M4441">
        <v>541</v>
      </c>
      <c r="N4441">
        <v>0</v>
      </c>
      <c r="O4441">
        <v>40</v>
      </c>
      <c r="P4441">
        <v>1082</v>
      </c>
      <c r="Q4441">
        <v>1122</v>
      </c>
      <c r="R4441" t="s">
        <v>112</v>
      </c>
      <c r="S4441" t="s">
        <v>31</v>
      </c>
      <c r="T4441" t="s">
        <v>32</v>
      </c>
      <c r="U4441">
        <v>63</v>
      </c>
      <c r="V4441">
        <v>3.9</v>
      </c>
      <c r="W4441">
        <f>Table2[[#This Row],[Quantity]]*Table2[[#This Row],[Item_Price]]</f>
        <v>1082</v>
      </c>
    </row>
    <row r="4442" spans="1:23" x14ac:dyDescent="0.25">
      <c r="A4442" t="s">
        <v>4546</v>
      </c>
      <c r="B4442" s="1">
        <v>45981</v>
      </c>
      <c r="C4442" t="s">
        <v>4265</v>
      </c>
      <c r="D4442">
        <v>11</v>
      </c>
      <c r="E4442">
        <v>20</v>
      </c>
      <c r="F4442" t="s">
        <v>88</v>
      </c>
      <c r="G4442" t="s">
        <v>64</v>
      </c>
      <c r="H4442" t="s">
        <v>26</v>
      </c>
      <c r="I4442" t="s">
        <v>97</v>
      </c>
      <c r="J4442" t="s">
        <v>53</v>
      </c>
      <c r="K4442" t="s">
        <v>38</v>
      </c>
      <c r="L4442">
        <v>2</v>
      </c>
      <c r="M4442">
        <v>884</v>
      </c>
      <c r="N4442">
        <v>221</v>
      </c>
      <c r="O4442">
        <v>30</v>
      </c>
      <c r="P4442">
        <v>1768</v>
      </c>
      <c r="Q4442">
        <v>1577</v>
      </c>
      <c r="R4442" t="s">
        <v>98</v>
      </c>
      <c r="S4442" t="s">
        <v>31</v>
      </c>
      <c r="T4442" t="s">
        <v>40</v>
      </c>
      <c r="U4442">
        <v>34</v>
      </c>
      <c r="V4442">
        <v>4.3</v>
      </c>
      <c r="W4442">
        <f>Table2[[#This Row],[Quantity]]*Table2[[#This Row],[Item_Price]]</f>
        <v>1768</v>
      </c>
    </row>
    <row r="4443" spans="1:23" x14ac:dyDescent="0.25">
      <c r="A4443" t="s">
        <v>4547</v>
      </c>
      <c r="B4443" s="1">
        <v>45981</v>
      </c>
      <c r="C4443" t="s">
        <v>4265</v>
      </c>
      <c r="D4443">
        <v>11</v>
      </c>
      <c r="E4443">
        <v>20</v>
      </c>
      <c r="F4443" t="s">
        <v>88</v>
      </c>
      <c r="G4443" t="s">
        <v>96</v>
      </c>
      <c r="H4443" t="s">
        <v>65</v>
      </c>
      <c r="I4443" t="s">
        <v>36</v>
      </c>
      <c r="J4443" t="s">
        <v>172</v>
      </c>
      <c r="K4443" t="s">
        <v>38</v>
      </c>
      <c r="L4443">
        <v>2</v>
      </c>
      <c r="M4443">
        <v>632</v>
      </c>
      <c r="N4443">
        <v>63.2</v>
      </c>
      <c r="O4443">
        <v>30</v>
      </c>
      <c r="P4443">
        <v>1264</v>
      </c>
      <c r="Q4443">
        <v>1230.8</v>
      </c>
      <c r="R4443" t="s">
        <v>39</v>
      </c>
      <c r="S4443" t="s">
        <v>31</v>
      </c>
      <c r="T4443" t="s">
        <v>40</v>
      </c>
      <c r="U4443">
        <v>50</v>
      </c>
      <c r="V4443">
        <v>2.5</v>
      </c>
      <c r="W4443">
        <f>Table2[[#This Row],[Quantity]]*Table2[[#This Row],[Item_Price]]</f>
        <v>1264</v>
      </c>
    </row>
    <row r="4444" spans="1:23" x14ac:dyDescent="0.25">
      <c r="A4444" t="s">
        <v>4548</v>
      </c>
      <c r="B4444" s="1">
        <v>45981</v>
      </c>
      <c r="C4444" t="s">
        <v>4265</v>
      </c>
      <c r="D4444">
        <v>11</v>
      </c>
      <c r="E4444">
        <v>20</v>
      </c>
      <c r="F4444" t="s">
        <v>88</v>
      </c>
      <c r="G4444" t="s">
        <v>34</v>
      </c>
      <c r="H4444" t="s">
        <v>135</v>
      </c>
      <c r="I4444" t="s">
        <v>27</v>
      </c>
      <c r="J4444" t="s">
        <v>74</v>
      </c>
      <c r="K4444" t="s">
        <v>38</v>
      </c>
      <c r="L4444">
        <v>3</v>
      </c>
      <c r="M4444">
        <v>597</v>
      </c>
      <c r="N4444">
        <v>59.7</v>
      </c>
      <c r="O4444">
        <v>0</v>
      </c>
      <c r="P4444">
        <v>1791</v>
      </c>
      <c r="Q4444">
        <v>1731.3</v>
      </c>
      <c r="R4444" t="s">
        <v>39</v>
      </c>
      <c r="S4444" t="s">
        <v>46</v>
      </c>
      <c r="T4444" t="s">
        <v>40</v>
      </c>
      <c r="U4444">
        <v>65</v>
      </c>
      <c r="W4444">
        <f>Table2[[#This Row],[Quantity]]*Table2[[#This Row],[Item_Price]]</f>
        <v>1791</v>
      </c>
    </row>
    <row r="4445" spans="1:23" x14ac:dyDescent="0.25">
      <c r="A4445" t="s">
        <v>4549</v>
      </c>
      <c r="B4445" s="1">
        <v>45981</v>
      </c>
      <c r="C4445" t="s">
        <v>4265</v>
      </c>
      <c r="D4445">
        <v>11</v>
      </c>
      <c r="E4445">
        <v>20</v>
      </c>
      <c r="F4445" t="s">
        <v>88</v>
      </c>
      <c r="G4445" t="s">
        <v>34</v>
      </c>
      <c r="H4445" t="s">
        <v>77</v>
      </c>
      <c r="I4445" t="s">
        <v>61</v>
      </c>
      <c r="J4445" t="s">
        <v>101</v>
      </c>
      <c r="K4445" t="s">
        <v>38</v>
      </c>
      <c r="L4445">
        <v>1</v>
      </c>
      <c r="M4445">
        <v>368</v>
      </c>
      <c r="N4445">
        <v>73.599999999999994</v>
      </c>
      <c r="O4445">
        <v>20</v>
      </c>
      <c r="P4445">
        <v>368</v>
      </c>
      <c r="Q4445">
        <v>314.39999999999998</v>
      </c>
      <c r="R4445" t="s">
        <v>30</v>
      </c>
      <c r="S4445" t="s">
        <v>31</v>
      </c>
      <c r="T4445" t="s">
        <v>40</v>
      </c>
      <c r="U4445">
        <v>69</v>
      </c>
      <c r="V4445">
        <v>4.5999999999999996</v>
      </c>
      <c r="W4445">
        <f>Table2[[#This Row],[Quantity]]*Table2[[#This Row],[Item_Price]]</f>
        <v>368</v>
      </c>
    </row>
    <row r="4446" spans="1:23" x14ac:dyDescent="0.25">
      <c r="A4446" t="s">
        <v>4550</v>
      </c>
      <c r="B4446" s="1">
        <v>45981</v>
      </c>
      <c r="C4446" t="s">
        <v>4265</v>
      </c>
      <c r="D4446">
        <v>11</v>
      </c>
      <c r="E4446">
        <v>20</v>
      </c>
      <c r="F4446" t="s">
        <v>88</v>
      </c>
      <c r="G4446" t="s">
        <v>55</v>
      </c>
      <c r="H4446" t="s">
        <v>108</v>
      </c>
      <c r="I4446" t="s">
        <v>85</v>
      </c>
      <c r="J4446" t="s">
        <v>53</v>
      </c>
      <c r="K4446" t="s">
        <v>38</v>
      </c>
      <c r="L4446">
        <v>1</v>
      </c>
      <c r="M4446">
        <v>818</v>
      </c>
      <c r="N4446">
        <v>163.6</v>
      </c>
      <c r="O4446">
        <v>30</v>
      </c>
      <c r="P4446">
        <v>818</v>
      </c>
      <c r="Q4446">
        <v>684.4</v>
      </c>
      <c r="R4446" t="s">
        <v>98</v>
      </c>
      <c r="S4446" t="s">
        <v>91</v>
      </c>
      <c r="T4446" t="s">
        <v>32</v>
      </c>
      <c r="U4446">
        <v>65</v>
      </c>
      <c r="W4446">
        <f>Table2[[#This Row],[Quantity]]*Table2[[#This Row],[Item_Price]]</f>
        <v>818</v>
      </c>
    </row>
    <row r="4447" spans="1:23" x14ac:dyDescent="0.25">
      <c r="A4447" t="s">
        <v>4551</v>
      </c>
      <c r="B4447" s="1">
        <v>45981</v>
      </c>
      <c r="C4447" t="s">
        <v>4265</v>
      </c>
      <c r="D4447">
        <v>11</v>
      </c>
      <c r="E4447">
        <v>20</v>
      </c>
      <c r="F4447" t="s">
        <v>88</v>
      </c>
      <c r="G4447" t="s">
        <v>64</v>
      </c>
      <c r="H4447" t="s">
        <v>52</v>
      </c>
      <c r="I4447" t="s">
        <v>49</v>
      </c>
      <c r="J4447" t="s">
        <v>82</v>
      </c>
      <c r="K4447" t="s">
        <v>45</v>
      </c>
      <c r="L4447">
        <v>1</v>
      </c>
      <c r="M4447">
        <v>683</v>
      </c>
      <c r="N4447">
        <v>34.15</v>
      </c>
      <c r="O4447">
        <v>50</v>
      </c>
      <c r="P4447">
        <v>683</v>
      </c>
      <c r="Q4447">
        <v>698.85</v>
      </c>
      <c r="R4447" t="s">
        <v>112</v>
      </c>
      <c r="S4447" t="s">
        <v>110</v>
      </c>
      <c r="T4447" t="s">
        <v>40</v>
      </c>
      <c r="U4447">
        <v>44</v>
      </c>
      <c r="W4447">
        <f>Table2[[#This Row],[Quantity]]*Table2[[#This Row],[Item_Price]]</f>
        <v>683</v>
      </c>
    </row>
    <row r="4448" spans="1:23" x14ac:dyDescent="0.25">
      <c r="A4448" t="s">
        <v>4552</v>
      </c>
      <c r="B4448" s="1">
        <v>45981</v>
      </c>
      <c r="C4448" t="s">
        <v>4265</v>
      </c>
      <c r="D4448">
        <v>11</v>
      </c>
      <c r="E4448">
        <v>20</v>
      </c>
      <c r="F4448" t="s">
        <v>88</v>
      </c>
      <c r="G4448" t="s">
        <v>84</v>
      </c>
      <c r="H4448" t="s">
        <v>60</v>
      </c>
      <c r="I4448" t="s">
        <v>103</v>
      </c>
      <c r="J4448" t="s">
        <v>70</v>
      </c>
      <c r="K4448" t="s">
        <v>38</v>
      </c>
      <c r="L4448">
        <v>2</v>
      </c>
      <c r="M4448">
        <v>142</v>
      </c>
      <c r="N4448">
        <v>28.4</v>
      </c>
      <c r="O4448">
        <v>40</v>
      </c>
      <c r="P4448">
        <v>284</v>
      </c>
      <c r="Q4448">
        <v>295.60000000000002</v>
      </c>
      <c r="R4448" t="s">
        <v>75</v>
      </c>
      <c r="S4448" t="s">
        <v>31</v>
      </c>
      <c r="T4448" t="s">
        <v>40</v>
      </c>
      <c r="U4448">
        <v>68</v>
      </c>
      <c r="V4448">
        <v>3.8</v>
      </c>
      <c r="W4448">
        <f>Table2[[#This Row],[Quantity]]*Table2[[#This Row],[Item_Price]]</f>
        <v>284</v>
      </c>
    </row>
    <row r="4449" spans="1:23" x14ac:dyDescent="0.25">
      <c r="A4449" t="s">
        <v>4553</v>
      </c>
      <c r="B4449" s="1">
        <v>45981</v>
      </c>
      <c r="C4449" t="s">
        <v>4265</v>
      </c>
      <c r="D4449">
        <v>11</v>
      </c>
      <c r="E4449">
        <v>20</v>
      </c>
      <c r="F4449" t="s">
        <v>88</v>
      </c>
      <c r="G4449" t="s">
        <v>64</v>
      </c>
      <c r="H4449" t="s">
        <v>108</v>
      </c>
      <c r="I4449" t="s">
        <v>49</v>
      </c>
      <c r="J4449" t="s">
        <v>123</v>
      </c>
      <c r="K4449" t="s">
        <v>45</v>
      </c>
      <c r="L4449">
        <v>3</v>
      </c>
      <c r="M4449">
        <v>370</v>
      </c>
      <c r="N4449">
        <v>0</v>
      </c>
      <c r="O4449">
        <v>50</v>
      </c>
      <c r="P4449">
        <v>1110</v>
      </c>
      <c r="Q4449">
        <v>1160</v>
      </c>
      <c r="R4449" t="s">
        <v>75</v>
      </c>
      <c r="S4449" t="s">
        <v>31</v>
      </c>
      <c r="T4449" t="s">
        <v>40</v>
      </c>
      <c r="U4449">
        <v>43</v>
      </c>
      <c r="V4449">
        <v>3.5</v>
      </c>
      <c r="W4449">
        <f>Table2[[#This Row],[Quantity]]*Table2[[#This Row],[Item_Price]]</f>
        <v>1110</v>
      </c>
    </row>
    <row r="4450" spans="1:23" x14ac:dyDescent="0.25">
      <c r="A4450" t="s">
        <v>4554</v>
      </c>
      <c r="B4450" s="1">
        <v>45981</v>
      </c>
      <c r="C4450" t="s">
        <v>4265</v>
      </c>
      <c r="D4450">
        <v>11</v>
      </c>
      <c r="E4450">
        <v>20</v>
      </c>
      <c r="F4450" t="s">
        <v>88</v>
      </c>
      <c r="G4450" t="s">
        <v>90</v>
      </c>
      <c r="H4450" t="s">
        <v>68</v>
      </c>
      <c r="I4450" t="s">
        <v>85</v>
      </c>
      <c r="J4450" t="s">
        <v>78</v>
      </c>
      <c r="K4450" t="s">
        <v>38</v>
      </c>
      <c r="L4450">
        <v>2</v>
      </c>
      <c r="M4450">
        <v>398</v>
      </c>
      <c r="N4450">
        <v>59.7</v>
      </c>
      <c r="O4450">
        <v>20</v>
      </c>
      <c r="P4450">
        <v>796</v>
      </c>
      <c r="Q4450">
        <v>756.3</v>
      </c>
      <c r="R4450" t="s">
        <v>39</v>
      </c>
      <c r="S4450" t="s">
        <v>31</v>
      </c>
      <c r="T4450" t="s">
        <v>40</v>
      </c>
      <c r="U4450">
        <v>61</v>
      </c>
      <c r="V4450">
        <v>4.2</v>
      </c>
      <c r="W4450">
        <f>Table2[[#This Row],[Quantity]]*Table2[[#This Row],[Item_Price]]</f>
        <v>796</v>
      </c>
    </row>
    <row r="4451" spans="1:23" x14ac:dyDescent="0.25">
      <c r="A4451" t="s">
        <v>4555</v>
      </c>
      <c r="B4451" s="1">
        <v>45981</v>
      </c>
      <c r="C4451" t="s">
        <v>4265</v>
      </c>
      <c r="D4451">
        <v>11</v>
      </c>
      <c r="E4451">
        <v>20</v>
      </c>
      <c r="F4451" t="s">
        <v>88</v>
      </c>
      <c r="G4451" t="s">
        <v>90</v>
      </c>
      <c r="H4451" t="s">
        <v>60</v>
      </c>
      <c r="I4451" t="s">
        <v>43</v>
      </c>
      <c r="J4451" t="s">
        <v>119</v>
      </c>
      <c r="K4451" t="s">
        <v>38</v>
      </c>
      <c r="L4451">
        <v>3</v>
      </c>
      <c r="M4451">
        <v>453</v>
      </c>
      <c r="N4451">
        <v>22.65</v>
      </c>
      <c r="O4451">
        <v>40</v>
      </c>
      <c r="P4451">
        <v>1359</v>
      </c>
      <c r="Q4451">
        <v>1376.35</v>
      </c>
      <c r="R4451" t="s">
        <v>75</v>
      </c>
      <c r="S4451" t="s">
        <v>31</v>
      </c>
      <c r="T4451" t="s">
        <v>32</v>
      </c>
      <c r="U4451">
        <v>41</v>
      </c>
      <c r="V4451">
        <v>4.9000000000000004</v>
      </c>
      <c r="W4451">
        <f>Table2[[#This Row],[Quantity]]*Table2[[#This Row],[Item_Price]]</f>
        <v>1359</v>
      </c>
    </row>
    <row r="4452" spans="1:23" x14ac:dyDescent="0.25">
      <c r="A4452" t="s">
        <v>4556</v>
      </c>
      <c r="B4452" s="1">
        <v>45981</v>
      </c>
      <c r="C4452" t="s">
        <v>4265</v>
      </c>
      <c r="D4452">
        <v>11</v>
      </c>
      <c r="E4452">
        <v>20</v>
      </c>
      <c r="F4452" t="s">
        <v>88</v>
      </c>
      <c r="G4452" t="s">
        <v>34</v>
      </c>
      <c r="H4452" t="s">
        <v>77</v>
      </c>
      <c r="I4452" t="s">
        <v>69</v>
      </c>
      <c r="J4452" t="s">
        <v>50</v>
      </c>
      <c r="K4452" t="s">
        <v>38</v>
      </c>
      <c r="L4452">
        <v>1</v>
      </c>
      <c r="M4452">
        <v>743</v>
      </c>
      <c r="N4452">
        <v>0</v>
      </c>
      <c r="O4452">
        <v>60</v>
      </c>
      <c r="P4452">
        <v>743</v>
      </c>
      <c r="Q4452">
        <v>803</v>
      </c>
      <c r="R4452" t="s">
        <v>30</v>
      </c>
      <c r="S4452" t="s">
        <v>31</v>
      </c>
      <c r="T4452" t="s">
        <v>32</v>
      </c>
      <c r="U4452">
        <v>30</v>
      </c>
      <c r="V4452">
        <v>4.0999999999999996</v>
      </c>
      <c r="W4452">
        <f>Table2[[#This Row],[Quantity]]*Table2[[#This Row],[Item_Price]]</f>
        <v>743</v>
      </c>
    </row>
    <row r="4453" spans="1:23" x14ac:dyDescent="0.25">
      <c r="A4453" t="s">
        <v>4557</v>
      </c>
      <c r="B4453" s="1">
        <v>45981</v>
      </c>
      <c r="C4453" t="s">
        <v>4265</v>
      </c>
      <c r="D4453">
        <v>11</v>
      </c>
      <c r="E4453">
        <v>20</v>
      </c>
      <c r="F4453" t="s">
        <v>88</v>
      </c>
      <c r="G4453" t="s">
        <v>90</v>
      </c>
      <c r="H4453" t="s">
        <v>68</v>
      </c>
      <c r="I4453" t="s">
        <v>97</v>
      </c>
      <c r="J4453" t="s">
        <v>172</v>
      </c>
      <c r="K4453" t="s">
        <v>45</v>
      </c>
      <c r="L4453">
        <v>1</v>
      </c>
      <c r="M4453">
        <v>367</v>
      </c>
      <c r="N4453">
        <v>55.05</v>
      </c>
      <c r="O4453">
        <v>50</v>
      </c>
      <c r="P4453">
        <v>367</v>
      </c>
      <c r="Q4453">
        <v>361.95</v>
      </c>
      <c r="R4453" t="s">
        <v>98</v>
      </c>
      <c r="S4453" t="s">
        <v>31</v>
      </c>
      <c r="T4453" t="s">
        <v>32</v>
      </c>
      <c r="U4453">
        <v>47</v>
      </c>
      <c r="V4453">
        <v>4.5</v>
      </c>
      <c r="W4453">
        <f>Table2[[#This Row],[Quantity]]*Table2[[#This Row],[Item_Price]]</f>
        <v>367</v>
      </c>
    </row>
    <row r="4454" spans="1:23" x14ac:dyDescent="0.25">
      <c r="A4454" t="s">
        <v>4558</v>
      </c>
      <c r="B4454" s="1">
        <v>45981</v>
      </c>
      <c r="C4454" t="s">
        <v>4265</v>
      </c>
      <c r="D4454">
        <v>11</v>
      </c>
      <c r="E4454">
        <v>20</v>
      </c>
      <c r="F4454" t="s">
        <v>88</v>
      </c>
      <c r="G4454" t="s">
        <v>73</v>
      </c>
      <c r="H4454" t="s">
        <v>81</v>
      </c>
      <c r="I4454" t="s">
        <v>36</v>
      </c>
      <c r="J4454" t="s">
        <v>62</v>
      </c>
      <c r="K4454" t="s">
        <v>29</v>
      </c>
      <c r="L4454">
        <v>2</v>
      </c>
      <c r="M4454">
        <v>801</v>
      </c>
      <c r="N4454">
        <v>80.099999999999994</v>
      </c>
      <c r="O4454">
        <v>0</v>
      </c>
      <c r="P4454">
        <v>1602</v>
      </c>
      <c r="Q4454">
        <v>1521.9</v>
      </c>
      <c r="R4454" t="s">
        <v>30</v>
      </c>
      <c r="S4454" t="s">
        <v>31</v>
      </c>
      <c r="T4454" t="s">
        <v>40</v>
      </c>
      <c r="U4454">
        <v>27</v>
      </c>
      <c r="V4454">
        <v>3.4</v>
      </c>
      <c r="W4454">
        <f>Table2[[#This Row],[Quantity]]*Table2[[#This Row],[Item_Price]]</f>
        <v>1602</v>
      </c>
    </row>
    <row r="4455" spans="1:23" x14ac:dyDescent="0.25">
      <c r="A4455" t="s">
        <v>4559</v>
      </c>
      <c r="B4455" s="1">
        <v>45981</v>
      </c>
      <c r="C4455" t="s">
        <v>4265</v>
      </c>
      <c r="D4455">
        <v>11</v>
      </c>
      <c r="E4455">
        <v>20</v>
      </c>
      <c r="F4455" t="s">
        <v>88</v>
      </c>
      <c r="G4455" t="s">
        <v>25</v>
      </c>
      <c r="H4455" t="s">
        <v>105</v>
      </c>
      <c r="I4455" t="s">
        <v>49</v>
      </c>
      <c r="J4455" t="s">
        <v>172</v>
      </c>
      <c r="K4455" t="s">
        <v>38</v>
      </c>
      <c r="L4455">
        <v>1</v>
      </c>
      <c r="M4455">
        <v>848</v>
      </c>
      <c r="N4455">
        <v>0</v>
      </c>
      <c r="O4455">
        <v>0</v>
      </c>
      <c r="P4455">
        <v>848</v>
      </c>
      <c r="Q4455">
        <v>848</v>
      </c>
      <c r="R4455" t="s">
        <v>112</v>
      </c>
      <c r="S4455" t="s">
        <v>31</v>
      </c>
      <c r="T4455" t="s">
        <v>40</v>
      </c>
      <c r="U4455">
        <v>66</v>
      </c>
      <c r="V4455">
        <v>4.0999999999999996</v>
      </c>
      <c r="W4455">
        <f>Table2[[#This Row],[Quantity]]*Table2[[#This Row],[Item_Price]]</f>
        <v>848</v>
      </c>
    </row>
    <row r="4456" spans="1:23" x14ac:dyDescent="0.25">
      <c r="A4456" t="s">
        <v>4560</v>
      </c>
      <c r="B4456" s="1">
        <v>45982</v>
      </c>
      <c r="C4456" t="s">
        <v>4265</v>
      </c>
      <c r="D4456">
        <v>11</v>
      </c>
      <c r="E4456">
        <v>21</v>
      </c>
      <c r="F4456" t="s">
        <v>114</v>
      </c>
      <c r="G4456" t="s">
        <v>84</v>
      </c>
      <c r="H4456" t="s">
        <v>68</v>
      </c>
      <c r="I4456" t="s">
        <v>97</v>
      </c>
      <c r="J4456" t="s">
        <v>70</v>
      </c>
      <c r="K4456" t="s">
        <v>38</v>
      </c>
      <c r="L4456">
        <v>1</v>
      </c>
      <c r="M4456">
        <v>122</v>
      </c>
      <c r="N4456">
        <v>12.2</v>
      </c>
      <c r="O4456">
        <v>60</v>
      </c>
      <c r="P4456">
        <v>122</v>
      </c>
      <c r="Q4456">
        <v>169.8</v>
      </c>
      <c r="R4456" t="s">
        <v>75</v>
      </c>
      <c r="S4456" t="s">
        <v>31</v>
      </c>
      <c r="T4456" t="s">
        <v>40</v>
      </c>
      <c r="U4456">
        <v>45</v>
      </c>
      <c r="V4456">
        <v>2.8</v>
      </c>
      <c r="W4456">
        <f>Table2[[#This Row],[Quantity]]*Table2[[#This Row],[Item_Price]]</f>
        <v>122</v>
      </c>
    </row>
    <row r="4457" spans="1:23" x14ac:dyDescent="0.25">
      <c r="A4457" t="s">
        <v>4561</v>
      </c>
      <c r="B4457" s="1">
        <v>45982</v>
      </c>
      <c r="C4457" t="s">
        <v>4265</v>
      </c>
      <c r="D4457">
        <v>11</v>
      </c>
      <c r="E4457">
        <v>21</v>
      </c>
      <c r="F4457" t="s">
        <v>114</v>
      </c>
      <c r="G4457" t="s">
        <v>80</v>
      </c>
      <c r="H4457" t="s">
        <v>26</v>
      </c>
      <c r="I4457" t="s">
        <v>97</v>
      </c>
      <c r="J4457" t="s">
        <v>70</v>
      </c>
      <c r="K4457" t="s">
        <v>38</v>
      </c>
      <c r="L4457">
        <v>1</v>
      </c>
      <c r="M4457">
        <v>419</v>
      </c>
      <c r="N4457">
        <v>41.9</v>
      </c>
      <c r="O4457">
        <v>50</v>
      </c>
      <c r="P4457">
        <v>419</v>
      </c>
      <c r="Q4457">
        <v>427.1</v>
      </c>
      <c r="R4457" t="s">
        <v>30</v>
      </c>
      <c r="S4457" t="s">
        <v>31</v>
      </c>
      <c r="T4457" t="s">
        <v>32</v>
      </c>
      <c r="U4457">
        <v>31</v>
      </c>
      <c r="V4457">
        <v>4.7</v>
      </c>
      <c r="W4457">
        <f>Table2[[#This Row],[Quantity]]*Table2[[#This Row],[Item_Price]]</f>
        <v>419</v>
      </c>
    </row>
    <row r="4458" spans="1:23" x14ac:dyDescent="0.25">
      <c r="A4458" t="s">
        <v>4562</v>
      </c>
      <c r="B4458" s="1">
        <v>45982</v>
      </c>
      <c r="C4458" t="s">
        <v>4265</v>
      </c>
      <c r="D4458">
        <v>11</v>
      </c>
      <c r="E4458">
        <v>21</v>
      </c>
      <c r="F4458" t="s">
        <v>114</v>
      </c>
      <c r="G4458" t="s">
        <v>80</v>
      </c>
      <c r="H4458" t="s">
        <v>68</v>
      </c>
      <c r="I4458" t="s">
        <v>103</v>
      </c>
      <c r="J4458" t="s">
        <v>94</v>
      </c>
      <c r="K4458" t="s">
        <v>38</v>
      </c>
      <c r="L4458">
        <v>1</v>
      </c>
      <c r="M4458">
        <v>613</v>
      </c>
      <c r="N4458">
        <v>61.3</v>
      </c>
      <c r="O4458">
        <v>50</v>
      </c>
      <c r="P4458">
        <v>613</v>
      </c>
      <c r="Q4458">
        <v>601.70000000000005</v>
      </c>
      <c r="R4458" t="s">
        <v>75</v>
      </c>
      <c r="S4458" t="s">
        <v>31</v>
      </c>
      <c r="T4458" t="s">
        <v>32</v>
      </c>
      <c r="U4458">
        <v>59</v>
      </c>
      <c r="V4458">
        <v>4.0999999999999996</v>
      </c>
      <c r="W4458">
        <f>Table2[[#This Row],[Quantity]]*Table2[[#This Row],[Item_Price]]</f>
        <v>613</v>
      </c>
    </row>
    <row r="4459" spans="1:23" x14ac:dyDescent="0.25">
      <c r="A4459" t="s">
        <v>4563</v>
      </c>
      <c r="B4459" s="1">
        <v>45982</v>
      </c>
      <c r="C4459" t="s">
        <v>4265</v>
      </c>
      <c r="D4459">
        <v>11</v>
      </c>
      <c r="E4459">
        <v>21</v>
      </c>
      <c r="F4459" t="s">
        <v>114</v>
      </c>
      <c r="G4459" t="s">
        <v>34</v>
      </c>
      <c r="H4459" t="s">
        <v>68</v>
      </c>
      <c r="I4459" t="s">
        <v>61</v>
      </c>
      <c r="J4459" t="s">
        <v>101</v>
      </c>
      <c r="K4459" t="s">
        <v>38</v>
      </c>
      <c r="L4459">
        <v>1</v>
      </c>
      <c r="M4459">
        <v>585</v>
      </c>
      <c r="N4459">
        <v>87.75</v>
      </c>
      <c r="O4459">
        <v>50</v>
      </c>
      <c r="P4459">
        <v>585</v>
      </c>
      <c r="Q4459">
        <v>547.25</v>
      </c>
      <c r="R4459" t="s">
        <v>30</v>
      </c>
      <c r="S4459" t="s">
        <v>31</v>
      </c>
      <c r="T4459" t="s">
        <v>40</v>
      </c>
      <c r="U4459">
        <v>24</v>
      </c>
      <c r="V4459">
        <v>4.5999999999999996</v>
      </c>
      <c r="W4459">
        <f>Table2[[#This Row],[Quantity]]*Table2[[#This Row],[Item_Price]]</f>
        <v>585</v>
      </c>
    </row>
    <row r="4460" spans="1:23" x14ac:dyDescent="0.25">
      <c r="A4460" t="s">
        <v>4564</v>
      </c>
      <c r="B4460" s="1">
        <v>45982</v>
      </c>
      <c r="C4460" t="s">
        <v>4265</v>
      </c>
      <c r="D4460">
        <v>11</v>
      </c>
      <c r="E4460">
        <v>21</v>
      </c>
      <c r="F4460" t="s">
        <v>114</v>
      </c>
      <c r="G4460" t="s">
        <v>80</v>
      </c>
      <c r="H4460" t="s">
        <v>108</v>
      </c>
      <c r="I4460" t="s">
        <v>69</v>
      </c>
      <c r="J4460" t="s">
        <v>94</v>
      </c>
      <c r="K4460" t="s">
        <v>38</v>
      </c>
      <c r="L4460">
        <v>1</v>
      </c>
      <c r="M4460">
        <v>752</v>
      </c>
      <c r="N4460">
        <v>75.2</v>
      </c>
      <c r="O4460">
        <v>50</v>
      </c>
      <c r="P4460">
        <v>752</v>
      </c>
      <c r="Q4460">
        <v>726.8</v>
      </c>
      <c r="R4460" t="s">
        <v>39</v>
      </c>
      <c r="S4460" t="s">
        <v>31</v>
      </c>
      <c r="T4460" t="s">
        <v>32</v>
      </c>
      <c r="U4460">
        <v>31</v>
      </c>
      <c r="V4460">
        <v>4</v>
      </c>
      <c r="W4460">
        <f>Table2[[#This Row],[Quantity]]*Table2[[#This Row],[Item_Price]]</f>
        <v>752</v>
      </c>
    </row>
    <row r="4461" spans="1:23" x14ac:dyDescent="0.25">
      <c r="A4461" t="s">
        <v>4565</v>
      </c>
      <c r="B4461" s="1">
        <v>45982</v>
      </c>
      <c r="C4461" t="s">
        <v>4265</v>
      </c>
      <c r="D4461">
        <v>11</v>
      </c>
      <c r="E4461">
        <v>21</v>
      </c>
      <c r="F4461" t="s">
        <v>114</v>
      </c>
      <c r="G4461" t="s">
        <v>84</v>
      </c>
      <c r="H4461" t="s">
        <v>105</v>
      </c>
      <c r="I4461" t="s">
        <v>27</v>
      </c>
      <c r="J4461" t="s">
        <v>119</v>
      </c>
      <c r="K4461" t="s">
        <v>38</v>
      </c>
      <c r="L4461">
        <v>1</v>
      </c>
      <c r="M4461">
        <v>271</v>
      </c>
      <c r="N4461">
        <v>67.75</v>
      </c>
      <c r="O4461">
        <v>0</v>
      </c>
      <c r="P4461">
        <v>271</v>
      </c>
      <c r="Q4461">
        <v>203.25</v>
      </c>
      <c r="R4461" t="s">
        <v>39</v>
      </c>
      <c r="S4461" t="s">
        <v>110</v>
      </c>
      <c r="T4461" t="s">
        <v>40</v>
      </c>
      <c r="U4461">
        <v>61</v>
      </c>
      <c r="W4461">
        <f>Table2[[#This Row],[Quantity]]*Table2[[#This Row],[Item_Price]]</f>
        <v>271</v>
      </c>
    </row>
    <row r="4462" spans="1:23" x14ac:dyDescent="0.25">
      <c r="A4462" t="s">
        <v>4566</v>
      </c>
      <c r="B4462" s="1">
        <v>45982</v>
      </c>
      <c r="C4462" t="s">
        <v>4265</v>
      </c>
      <c r="D4462">
        <v>11</v>
      </c>
      <c r="E4462">
        <v>21</v>
      </c>
      <c r="F4462" t="s">
        <v>114</v>
      </c>
      <c r="G4462" t="s">
        <v>80</v>
      </c>
      <c r="H4462" t="s">
        <v>135</v>
      </c>
      <c r="I4462" t="s">
        <v>43</v>
      </c>
      <c r="J4462" t="s">
        <v>119</v>
      </c>
      <c r="K4462" t="s">
        <v>38</v>
      </c>
      <c r="L4462">
        <v>2</v>
      </c>
      <c r="M4462">
        <v>745</v>
      </c>
      <c r="N4462">
        <v>37.25</v>
      </c>
      <c r="O4462">
        <v>70</v>
      </c>
      <c r="P4462">
        <v>1490</v>
      </c>
      <c r="Q4462">
        <v>1522.75</v>
      </c>
      <c r="R4462" t="s">
        <v>39</v>
      </c>
      <c r="S4462" t="s">
        <v>46</v>
      </c>
      <c r="T4462" t="s">
        <v>40</v>
      </c>
      <c r="U4462">
        <v>18</v>
      </c>
      <c r="W4462">
        <f>Table2[[#This Row],[Quantity]]*Table2[[#This Row],[Item_Price]]</f>
        <v>1490</v>
      </c>
    </row>
    <row r="4463" spans="1:23" x14ac:dyDescent="0.25">
      <c r="A4463" t="s">
        <v>4567</v>
      </c>
      <c r="B4463" s="1">
        <v>45982</v>
      </c>
      <c r="C4463" t="s">
        <v>4265</v>
      </c>
      <c r="D4463">
        <v>11</v>
      </c>
      <c r="E4463">
        <v>21</v>
      </c>
      <c r="F4463" t="s">
        <v>114</v>
      </c>
      <c r="G4463" t="s">
        <v>115</v>
      </c>
      <c r="H4463" t="s">
        <v>56</v>
      </c>
      <c r="I4463" t="s">
        <v>103</v>
      </c>
      <c r="J4463" t="s">
        <v>78</v>
      </c>
      <c r="K4463" t="s">
        <v>29</v>
      </c>
      <c r="L4463">
        <v>3</v>
      </c>
      <c r="M4463">
        <v>127</v>
      </c>
      <c r="N4463">
        <v>25.4</v>
      </c>
      <c r="O4463">
        <v>50</v>
      </c>
      <c r="P4463">
        <v>381</v>
      </c>
      <c r="Q4463">
        <v>405.6</v>
      </c>
      <c r="R4463" t="s">
        <v>39</v>
      </c>
      <c r="S4463" t="s">
        <v>31</v>
      </c>
      <c r="T4463" t="s">
        <v>40</v>
      </c>
      <c r="U4463">
        <v>38</v>
      </c>
      <c r="V4463">
        <v>4.3</v>
      </c>
      <c r="W4463">
        <f>Table2[[#This Row],[Quantity]]*Table2[[#This Row],[Item_Price]]</f>
        <v>381</v>
      </c>
    </row>
    <row r="4464" spans="1:23" x14ac:dyDescent="0.25">
      <c r="A4464" t="s">
        <v>4568</v>
      </c>
      <c r="B4464" s="1">
        <v>45982</v>
      </c>
      <c r="C4464" t="s">
        <v>4265</v>
      </c>
      <c r="D4464">
        <v>11</v>
      </c>
      <c r="E4464">
        <v>21</v>
      </c>
      <c r="F4464" t="s">
        <v>114</v>
      </c>
      <c r="G4464" t="s">
        <v>25</v>
      </c>
      <c r="H4464" t="s">
        <v>48</v>
      </c>
      <c r="I4464" t="s">
        <v>57</v>
      </c>
      <c r="J4464" t="s">
        <v>66</v>
      </c>
      <c r="K4464" t="s">
        <v>38</v>
      </c>
      <c r="L4464">
        <v>1</v>
      </c>
      <c r="M4464">
        <v>359</v>
      </c>
      <c r="N4464">
        <v>35.9</v>
      </c>
      <c r="O4464">
        <v>60</v>
      </c>
      <c r="P4464">
        <v>359</v>
      </c>
      <c r="Q4464">
        <v>383.1</v>
      </c>
      <c r="R4464" t="s">
        <v>112</v>
      </c>
      <c r="S4464" t="s">
        <v>31</v>
      </c>
      <c r="T4464" t="s">
        <v>40</v>
      </c>
      <c r="U4464">
        <v>70</v>
      </c>
      <c r="V4464">
        <v>4.8</v>
      </c>
      <c r="W4464">
        <f>Table2[[#This Row],[Quantity]]*Table2[[#This Row],[Item_Price]]</f>
        <v>359</v>
      </c>
    </row>
    <row r="4465" spans="1:23" x14ac:dyDescent="0.25">
      <c r="A4465" t="s">
        <v>4569</v>
      </c>
      <c r="B4465" s="1">
        <v>45982</v>
      </c>
      <c r="C4465" t="s">
        <v>4265</v>
      </c>
      <c r="D4465">
        <v>11</v>
      </c>
      <c r="E4465">
        <v>21</v>
      </c>
      <c r="F4465" t="s">
        <v>114</v>
      </c>
      <c r="G4465" t="s">
        <v>34</v>
      </c>
      <c r="H4465" t="s">
        <v>65</v>
      </c>
      <c r="I4465" t="s">
        <v>57</v>
      </c>
      <c r="J4465" t="s">
        <v>28</v>
      </c>
      <c r="K4465" t="s">
        <v>38</v>
      </c>
      <c r="L4465">
        <v>2</v>
      </c>
      <c r="M4465">
        <v>243</v>
      </c>
      <c r="N4465">
        <v>48.6</v>
      </c>
      <c r="O4465">
        <v>20</v>
      </c>
      <c r="P4465">
        <v>486</v>
      </c>
      <c r="Q4465">
        <v>457.4</v>
      </c>
      <c r="R4465" t="s">
        <v>39</v>
      </c>
      <c r="S4465" t="s">
        <v>31</v>
      </c>
      <c r="T4465" t="s">
        <v>40</v>
      </c>
      <c r="U4465">
        <v>51</v>
      </c>
      <c r="V4465">
        <v>3.4</v>
      </c>
      <c r="W4465">
        <f>Table2[[#This Row],[Quantity]]*Table2[[#This Row],[Item_Price]]</f>
        <v>486</v>
      </c>
    </row>
    <row r="4466" spans="1:23" x14ac:dyDescent="0.25">
      <c r="A4466" t="s">
        <v>4570</v>
      </c>
      <c r="B4466" s="1">
        <v>45982</v>
      </c>
      <c r="C4466" t="s">
        <v>4265</v>
      </c>
      <c r="D4466">
        <v>11</v>
      </c>
      <c r="E4466">
        <v>21</v>
      </c>
      <c r="F4466" t="s">
        <v>114</v>
      </c>
      <c r="G4466" t="s">
        <v>55</v>
      </c>
      <c r="H4466" t="s">
        <v>48</v>
      </c>
      <c r="I4466" t="s">
        <v>103</v>
      </c>
      <c r="J4466" t="s">
        <v>82</v>
      </c>
      <c r="K4466" t="s">
        <v>58</v>
      </c>
      <c r="L4466">
        <v>1</v>
      </c>
      <c r="M4466">
        <v>806</v>
      </c>
      <c r="N4466">
        <v>161.19999999999999</v>
      </c>
      <c r="O4466">
        <v>50</v>
      </c>
      <c r="P4466">
        <v>806</v>
      </c>
      <c r="Q4466">
        <v>694.8</v>
      </c>
      <c r="R4466" t="s">
        <v>75</v>
      </c>
      <c r="S4466" t="s">
        <v>31</v>
      </c>
      <c r="T4466" t="s">
        <v>40</v>
      </c>
      <c r="U4466">
        <v>51</v>
      </c>
      <c r="V4466">
        <v>5</v>
      </c>
      <c r="W4466">
        <f>Table2[[#This Row],[Quantity]]*Table2[[#This Row],[Item_Price]]</f>
        <v>806</v>
      </c>
    </row>
    <row r="4467" spans="1:23" x14ac:dyDescent="0.25">
      <c r="A4467" t="s">
        <v>4571</v>
      </c>
      <c r="B4467" s="1">
        <v>45982</v>
      </c>
      <c r="C4467" t="s">
        <v>4265</v>
      </c>
      <c r="D4467">
        <v>11</v>
      </c>
      <c r="E4467">
        <v>21</v>
      </c>
      <c r="F4467" t="s">
        <v>114</v>
      </c>
      <c r="G4467" t="s">
        <v>64</v>
      </c>
      <c r="H4467" t="s">
        <v>139</v>
      </c>
      <c r="I4467" t="s">
        <v>36</v>
      </c>
      <c r="J4467" t="s">
        <v>62</v>
      </c>
      <c r="K4467" t="s">
        <v>38</v>
      </c>
      <c r="L4467">
        <v>2</v>
      </c>
      <c r="M4467">
        <v>831</v>
      </c>
      <c r="N4467">
        <v>41.55</v>
      </c>
      <c r="O4467">
        <v>20</v>
      </c>
      <c r="P4467">
        <v>1662</v>
      </c>
      <c r="Q4467">
        <v>1640.45</v>
      </c>
      <c r="R4467" t="s">
        <v>39</v>
      </c>
      <c r="S4467" t="s">
        <v>31</v>
      </c>
      <c r="T4467" t="s">
        <v>40</v>
      </c>
      <c r="U4467">
        <v>53</v>
      </c>
      <c r="V4467">
        <v>4</v>
      </c>
      <c r="W4467">
        <f>Table2[[#This Row],[Quantity]]*Table2[[#This Row],[Item_Price]]</f>
        <v>1662</v>
      </c>
    </row>
    <row r="4468" spans="1:23" x14ac:dyDescent="0.25">
      <c r="A4468" t="s">
        <v>4572</v>
      </c>
      <c r="B4468" s="1">
        <v>45982</v>
      </c>
      <c r="C4468" t="s">
        <v>4265</v>
      </c>
      <c r="D4468">
        <v>11</v>
      </c>
      <c r="E4468">
        <v>21</v>
      </c>
      <c r="F4468" t="s">
        <v>114</v>
      </c>
      <c r="G4468" t="s">
        <v>96</v>
      </c>
      <c r="H4468" t="s">
        <v>42</v>
      </c>
      <c r="I4468" t="s">
        <v>57</v>
      </c>
      <c r="J4468" t="s">
        <v>66</v>
      </c>
      <c r="K4468" t="s">
        <v>38</v>
      </c>
      <c r="L4468">
        <v>3</v>
      </c>
      <c r="M4468">
        <v>762</v>
      </c>
      <c r="N4468">
        <v>0</v>
      </c>
      <c r="O4468">
        <v>60</v>
      </c>
      <c r="P4468">
        <v>2286</v>
      </c>
      <c r="Q4468">
        <v>2346</v>
      </c>
      <c r="R4468" t="s">
        <v>39</v>
      </c>
      <c r="S4468" t="s">
        <v>91</v>
      </c>
      <c r="T4468" t="s">
        <v>40</v>
      </c>
      <c r="U4468">
        <v>28</v>
      </c>
      <c r="W4468">
        <f>Table2[[#This Row],[Quantity]]*Table2[[#This Row],[Item_Price]]</f>
        <v>2286</v>
      </c>
    </row>
    <row r="4469" spans="1:23" x14ac:dyDescent="0.25">
      <c r="A4469" t="s">
        <v>4573</v>
      </c>
      <c r="B4469" s="1">
        <v>45982</v>
      </c>
      <c r="C4469" t="s">
        <v>4265</v>
      </c>
      <c r="D4469">
        <v>11</v>
      </c>
      <c r="E4469">
        <v>21</v>
      </c>
      <c r="F4469" t="s">
        <v>114</v>
      </c>
      <c r="G4469" t="s">
        <v>25</v>
      </c>
      <c r="H4469" t="s">
        <v>35</v>
      </c>
      <c r="I4469" t="s">
        <v>85</v>
      </c>
      <c r="J4469" t="s">
        <v>66</v>
      </c>
      <c r="K4469" t="s">
        <v>38</v>
      </c>
      <c r="L4469">
        <v>1</v>
      </c>
      <c r="M4469">
        <v>171</v>
      </c>
      <c r="N4469">
        <v>8.5500000000000007</v>
      </c>
      <c r="O4469">
        <v>60</v>
      </c>
      <c r="P4469">
        <v>171</v>
      </c>
      <c r="Q4469">
        <v>222.45</v>
      </c>
      <c r="R4469" t="s">
        <v>112</v>
      </c>
      <c r="S4469" t="s">
        <v>91</v>
      </c>
      <c r="T4469" t="s">
        <v>32</v>
      </c>
      <c r="U4469">
        <v>41</v>
      </c>
      <c r="W4469">
        <f>Table2[[#This Row],[Quantity]]*Table2[[#This Row],[Item_Price]]</f>
        <v>171</v>
      </c>
    </row>
    <row r="4470" spans="1:23" x14ac:dyDescent="0.25">
      <c r="A4470" t="s">
        <v>4574</v>
      </c>
      <c r="B4470" s="1">
        <v>45982</v>
      </c>
      <c r="C4470" t="s">
        <v>4265</v>
      </c>
      <c r="D4470">
        <v>11</v>
      </c>
      <c r="E4470">
        <v>21</v>
      </c>
      <c r="F4470" t="s">
        <v>114</v>
      </c>
      <c r="G4470" t="s">
        <v>90</v>
      </c>
      <c r="H4470" t="s">
        <v>56</v>
      </c>
      <c r="I4470" t="s">
        <v>43</v>
      </c>
      <c r="J4470" t="s">
        <v>28</v>
      </c>
      <c r="K4470" t="s">
        <v>45</v>
      </c>
      <c r="L4470">
        <v>1</v>
      </c>
      <c r="M4470">
        <v>624</v>
      </c>
      <c r="N4470">
        <v>0</v>
      </c>
      <c r="O4470">
        <v>60</v>
      </c>
      <c r="P4470">
        <v>624</v>
      </c>
      <c r="Q4470">
        <v>684</v>
      </c>
      <c r="R4470" t="s">
        <v>30</v>
      </c>
      <c r="S4470" t="s">
        <v>31</v>
      </c>
      <c r="T4470" t="s">
        <v>32</v>
      </c>
      <c r="U4470">
        <v>45</v>
      </c>
      <c r="V4470">
        <v>3.9</v>
      </c>
      <c r="W4470">
        <f>Table2[[#This Row],[Quantity]]*Table2[[#This Row],[Item_Price]]</f>
        <v>624</v>
      </c>
    </row>
    <row r="4471" spans="1:23" x14ac:dyDescent="0.25">
      <c r="A4471" t="s">
        <v>4575</v>
      </c>
      <c r="B4471" s="1">
        <v>45983</v>
      </c>
      <c r="C4471" t="s">
        <v>4265</v>
      </c>
      <c r="D4471">
        <v>11</v>
      </c>
      <c r="E4471">
        <v>22</v>
      </c>
      <c r="F4471" t="s">
        <v>134</v>
      </c>
      <c r="G4471" t="s">
        <v>90</v>
      </c>
      <c r="H4471" t="s">
        <v>105</v>
      </c>
      <c r="I4471" t="s">
        <v>69</v>
      </c>
      <c r="J4471" t="s">
        <v>119</v>
      </c>
      <c r="K4471" t="s">
        <v>38</v>
      </c>
      <c r="L4471">
        <v>3</v>
      </c>
      <c r="M4471">
        <v>559</v>
      </c>
      <c r="N4471">
        <v>83.85</v>
      </c>
      <c r="O4471">
        <v>50</v>
      </c>
      <c r="P4471">
        <v>1677</v>
      </c>
      <c r="Q4471">
        <v>1643.15</v>
      </c>
      <c r="R4471" t="s">
        <v>30</v>
      </c>
      <c r="S4471" t="s">
        <v>31</v>
      </c>
      <c r="T4471" t="s">
        <v>32</v>
      </c>
      <c r="U4471">
        <v>63</v>
      </c>
      <c r="V4471">
        <v>4.7</v>
      </c>
      <c r="W4471">
        <f>Table2[[#This Row],[Quantity]]*Table2[[#This Row],[Item_Price]]</f>
        <v>1677</v>
      </c>
    </row>
    <row r="4472" spans="1:23" x14ac:dyDescent="0.25">
      <c r="A4472" t="s">
        <v>4576</v>
      </c>
      <c r="B4472" s="1">
        <v>45983</v>
      </c>
      <c r="C4472" t="s">
        <v>4265</v>
      </c>
      <c r="D4472">
        <v>11</v>
      </c>
      <c r="E4472">
        <v>22</v>
      </c>
      <c r="F4472" t="s">
        <v>134</v>
      </c>
      <c r="G4472" t="s">
        <v>25</v>
      </c>
      <c r="H4472" t="s">
        <v>65</v>
      </c>
      <c r="I4472" t="s">
        <v>69</v>
      </c>
      <c r="J4472" t="s">
        <v>74</v>
      </c>
      <c r="K4472" t="s">
        <v>38</v>
      </c>
      <c r="L4472">
        <v>2</v>
      </c>
      <c r="M4472">
        <v>900</v>
      </c>
      <c r="N4472">
        <v>135</v>
      </c>
      <c r="O4472">
        <v>50</v>
      </c>
      <c r="P4472">
        <v>1800</v>
      </c>
      <c r="Q4472">
        <v>1715</v>
      </c>
      <c r="R4472" t="s">
        <v>39</v>
      </c>
      <c r="S4472" t="s">
        <v>31</v>
      </c>
      <c r="T4472" t="s">
        <v>40</v>
      </c>
      <c r="U4472">
        <v>60</v>
      </c>
      <c r="V4472">
        <v>3.5</v>
      </c>
      <c r="W4472">
        <f>Table2[[#This Row],[Quantity]]*Table2[[#This Row],[Item_Price]]</f>
        <v>1800</v>
      </c>
    </row>
    <row r="4473" spans="1:23" x14ac:dyDescent="0.25">
      <c r="A4473" t="s">
        <v>4577</v>
      </c>
      <c r="B4473" s="1">
        <v>45983</v>
      </c>
      <c r="C4473" t="s">
        <v>4265</v>
      </c>
      <c r="D4473">
        <v>11</v>
      </c>
      <c r="E4473">
        <v>22</v>
      </c>
      <c r="F4473" t="s">
        <v>134</v>
      </c>
      <c r="G4473" t="s">
        <v>73</v>
      </c>
      <c r="H4473" t="s">
        <v>35</v>
      </c>
      <c r="I4473" t="s">
        <v>57</v>
      </c>
      <c r="J4473" t="s">
        <v>50</v>
      </c>
      <c r="K4473" t="s">
        <v>38</v>
      </c>
      <c r="L4473">
        <v>1</v>
      </c>
      <c r="M4473">
        <v>205</v>
      </c>
      <c r="N4473">
        <v>30.75</v>
      </c>
      <c r="O4473">
        <v>30</v>
      </c>
      <c r="P4473">
        <v>205</v>
      </c>
      <c r="Q4473">
        <v>204.25</v>
      </c>
      <c r="R4473" t="s">
        <v>39</v>
      </c>
      <c r="S4473" t="s">
        <v>31</v>
      </c>
      <c r="T4473" t="s">
        <v>40</v>
      </c>
      <c r="U4473">
        <v>48</v>
      </c>
      <c r="V4473">
        <v>3.9</v>
      </c>
      <c r="W4473">
        <f>Table2[[#This Row],[Quantity]]*Table2[[#This Row],[Item_Price]]</f>
        <v>205</v>
      </c>
    </row>
    <row r="4474" spans="1:23" x14ac:dyDescent="0.25">
      <c r="A4474" t="s">
        <v>4578</v>
      </c>
      <c r="B4474" s="1">
        <v>45983</v>
      </c>
      <c r="C4474" t="s">
        <v>4265</v>
      </c>
      <c r="D4474">
        <v>11</v>
      </c>
      <c r="E4474">
        <v>22</v>
      </c>
      <c r="F4474" t="s">
        <v>134</v>
      </c>
      <c r="G4474" t="s">
        <v>80</v>
      </c>
      <c r="H4474" t="s">
        <v>35</v>
      </c>
      <c r="I4474" t="s">
        <v>57</v>
      </c>
      <c r="J4474" t="s">
        <v>37</v>
      </c>
      <c r="K4474" t="s">
        <v>38</v>
      </c>
      <c r="L4474">
        <v>2</v>
      </c>
      <c r="M4474">
        <v>519</v>
      </c>
      <c r="N4474">
        <v>77.849999999999994</v>
      </c>
      <c r="O4474">
        <v>40</v>
      </c>
      <c r="P4474">
        <v>1038</v>
      </c>
      <c r="Q4474">
        <v>1000.15</v>
      </c>
      <c r="R4474" t="s">
        <v>39</v>
      </c>
      <c r="S4474" t="s">
        <v>31</v>
      </c>
      <c r="T4474" t="s">
        <v>40</v>
      </c>
      <c r="U4474">
        <v>19</v>
      </c>
      <c r="V4474">
        <v>3.5</v>
      </c>
      <c r="W4474">
        <f>Table2[[#This Row],[Quantity]]*Table2[[#This Row],[Item_Price]]</f>
        <v>1038</v>
      </c>
    </row>
    <row r="4475" spans="1:23" x14ac:dyDescent="0.25">
      <c r="A4475" t="s">
        <v>4579</v>
      </c>
      <c r="B4475" s="1">
        <v>45983</v>
      </c>
      <c r="C4475" t="s">
        <v>4265</v>
      </c>
      <c r="D4475">
        <v>11</v>
      </c>
      <c r="E4475">
        <v>22</v>
      </c>
      <c r="F4475" t="s">
        <v>134</v>
      </c>
      <c r="G4475" t="s">
        <v>80</v>
      </c>
      <c r="H4475" t="s">
        <v>139</v>
      </c>
      <c r="I4475" t="s">
        <v>97</v>
      </c>
      <c r="J4475" t="s">
        <v>119</v>
      </c>
      <c r="K4475" t="s">
        <v>45</v>
      </c>
      <c r="L4475">
        <v>1</v>
      </c>
      <c r="M4475">
        <v>765</v>
      </c>
      <c r="N4475">
        <v>153</v>
      </c>
      <c r="O4475">
        <v>30</v>
      </c>
      <c r="P4475">
        <v>765</v>
      </c>
      <c r="Q4475">
        <v>642</v>
      </c>
      <c r="R4475" t="s">
        <v>98</v>
      </c>
      <c r="S4475" t="s">
        <v>31</v>
      </c>
      <c r="T4475" t="s">
        <v>40</v>
      </c>
      <c r="U4475">
        <v>39</v>
      </c>
      <c r="V4475">
        <v>4.3</v>
      </c>
      <c r="W4475">
        <f>Table2[[#This Row],[Quantity]]*Table2[[#This Row],[Item_Price]]</f>
        <v>765</v>
      </c>
    </row>
    <row r="4476" spans="1:23" x14ac:dyDescent="0.25">
      <c r="A4476" t="s">
        <v>4580</v>
      </c>
      <c r="B4476" s="1">
        <v>45983</v>
      </c>
      <c r="C4476" t="s">
        <v>4265</v>
      </c>
      <c r="D4476">
        <v>11</v>
      </c>
      <c r="E4476">
        <v>22</v>
      </c>
      <c r="F4476" t="s">
        <v>134</v>
      </c>
      <c r="G4476" t="s">
        <v>115</v>
      </c>
      <c r="H4476" t="s">
        <v>42</v>
      </c>
      <c r="I4476" t="s">
        <v>103</v>
      </c>
      <c r="J4476" t="s">
        <v>66</v>
      </c>
      <c r="K4476" t="s">
        <v>29</v>
      </c>
      <c r="L4476">
        <v>1</v>
      </c>
      <c r="M4476">
        <v>287</v>
      </c>
      <c r="N4476">
        <v>43.05</v>
      </c>
      <c r="O4476">
        <v>0</v>
      </c>
      <c r="P4476">
        <v>287</v>
      </c>
      <c r="Q4476">
        <v>243.95</v>
      </c>
      <c r="R4476" t="s">
        <v>39</v>
      </c>
      <c r="S4476" t="s">
        <v>31</v>
      </c>
      <c r="T4476" t="s">
        <v>40</v>
      </c>
      <c r="U4476">
        <v>46</v>
      </c>
      <c r="V4476">
        <v>4.9000000000000004</v>
      </c>
      <c r="W4476">
        <f>Table2[[#This Row],[Quantity]]*Table2[[#This Row],[Item_Price]]</f>
        <v>287</v>
      </c>
    </row>
    <row r="4477" spans="1:23" x14ac:dyDescent="0.25">
      <c r="A4477" t="s">
        <v>4581</v>
      </c>
      <c r="B4477" s="1">
        <v>45983</v>
      </c>
      <c r="C4477" t="s">
        <v>4265</v>
      </c>
      <c r="D4477">
        <v>11</v>
      </c>
      <c r="E4477">
        <v>22</v>
      </c>
      <c r="F4477" t="s">
        <v>134</v>
      </c>
      <c r="G4477" t="s">
        <v>55</v>
      </c>
      <c r="H4477" t="s">
        <v>48</v>
      </c>
      <c r="I4477" t="s">
        <v>97</v>
      </c>
      <c r="J4477" t="s">
        <v>82</v>
      </c>
      <c r="K4477" t="s">
        <v>38</v>
      </c>
      <c r="L4477">
        <v>2</v>
      </c>
      <c r="M4477">
        <v>828</v>
      </c>
      <c r="N4477">
        <v>0</v>
      </c>
      <c r="O4477">
        <v>30</v>
      </c>
      <c r="P4477">
        <v>1656</v>
      </c>
      <c r="Q4477">
        <v>1686</v>
      </c>
      <c r="R4477" t="s">
        <v>30</v>
      </c>
      <c r="S4477" t="s">
        <v>31</v>
      </c>
      <c r="T4477" t="s">
        <v>40</v>
      </c>
      <c r="U4477">
        <v>66</v>
      </c>
      <c r="V4477">
        <v>3.6</v>
      </c>
      <c r="W4477">
        <f>Table2[[#This Row],[Quantity]]*Table2[[#This Row],[Item_Price]]</f>
        <v>1656</v>
      </c>
    </row>
    <row r="4478" spans="1:23" x14ac:dyDescent="0.25">
      <c r="A4478" t="s">
        <v>4582</v>
      </c>
      <c r="B4478" s="1">
        <v>45983</v>
      </c>
      <c r="C4478" t="s">
        <v>4265</v>
      </c>
      <c r="D4478">
        <v>11</v>
      </c>
      <c r="E4478">
        <v>22</v>
      </c>
      <c r="F4478" t="s">
        <v>134</v>
      </c>
      <c r="G4478" t="s">
        <v>34</v>
      </c>
      <c r="H4478" t="s">
        <v>77</v>
      </c>
      <c r="I4478" t="s">
        <v>36</v>
      </c>
      <c r="J4478" t="s">
        <v>70</v>
      </c>
      <c r="K4478" t="s">
        <v>38</v>
      </c>
      <c r="L4478">
        <v>1</v>
      </c>
      <c r="M4478">
        <v>397</v>
      </c>
      <c r="N4478">
        <v>19.850000000000001</v>
      </c>
      <c r="O4478">
        <v>20</v>
      </c>
      <c r="P4478">
        <v>397</v>
      </c>
      <c r="Q4478">
        <v>397.15</v>
      </c>
      <c r="R4478" t="s">
        <v>39</v>
      </c>
      <c r="S4478" t="s">
        <v>31</v>
      </c>
      <c r="T4478" t="s">
        <v>32</v>
      </c>
      <c r="U4478">
        <v>38</v>
      </c>
      <c r="V4478">
        <v>4.5</v>
      </c>
      <c r="W4478">
        <f>Table2[[#This Row],[Quantity]]*Table2[[#This Row],[Item_Price]]</f>
        <v>397</v>
      </c>
    </row>
    <row r="4479" spans="1:23" x14ac:dyDescent="0.25">
      <c r="A4479" t="s">
        <v>4583</v>
      </c>
      <c r="B4479" s="1">
        <v>45983</v>
      </c>
      <c r="C4479" t="s">
        <v>4265</v>
      </c>
      <c r="D4479">
        <v>11</v>
      </c>
      <c r="E4479">
        <v>22</v>
      </c>
      <c r="F4479" t="s">
        <v>134</v>
      </c>
      <c r="G4479" t="s">
        <v>80</v>
      </c>
      <c r="H4479" t="s">
        <v>68</v>
      </c>
      <c r="I4479" t="s">
        <v>97</v>
      </c>
      <c r="J4479" t="s">
        <v>62</v>
      </c>
      <c r="K4479" t="s">
        <v>38</v>
      </c>
      <c r="L4479">
        <v>2</v>
      </c>
      <c r="M4479">
        <v>135</v>
      </c>
      <c r="N4479">
        <v>13.5</v>
      </c>
      <c r="O4479">
        <v>50</v>
      </c>
      <c r="P4479">
        <v>270</v>
      </c>
      <c r="Q4479">
        <v>306.5</v>
      </c>
      <c r="R4479" t="s">
        <v>112</v>
      </c>
      <c r="S4479" t="s">
        <v>46</v>
      </c>
      <c r="T4479" t="s">
        <v>40</v>
      </c>
      <c r="U4479">
        <v>64</v>
      </c>
      <c r="W4479">
        <f>Table2[[#This Row],[Quantity]]*Table2[[#This Row],[Item_Price]]</f>
        <v>270</v>
      </c>
    </row>
    <row r="4480" spans="1:23" x14ac:dyDescent="0.25">
      <c r="A4480" t="s">
        <v>4584</v>
      </c>
      <c r="B4480" s="1">
        <v>45983</v>
      </c>
      <c r="C4480" t="s">
        <v>4265</v>
      </c>
      <c r="D4480">
        <v>11</v>
      </c>
      <c r="E4480">
        <v>22</v>
      </c>
      <c r="F4480" t="s">
        <v>134</v>
      </c>
      <c r="G4480" t="s">
        <v>84</v>
      </c>
      <c r="H4480" t="s">
        <v>52</v>
      </c>
      <c r="I4480" t="s">
        <v>97</v>
      </c>
      <c r="J4480" t="s">
        <v>66</v>
      </c>
      <c r="K4480" t="s">
        <v>45</v>
      </c>
      <c r="L4480">
        <v>1</v>
      </c>
      <c r="M4480">
        <v>147</v>
      </c>
      <c r="N4480">
        <v>22.05</v>
      </c>
      <c r="O4480">
        <v>0</v>
      </c>
      <c r="P4480">
        <v>147</v>
      </c>
      <c r="Q4480">
        <v>124.95</v>
      </c>
      <c r="R4480" t="s">
        <v>39</v>
      </c>
      <c r="S4480" t="s">
        <v>31</v>
      </c>
      <c r="T4480" t="s">
        <v>32</v>
      </c>
      <c r="U4480">
        <v>31</v>
      </c>
      <c r="V4480">
        <v>4.5</v>
      </c>
      <c r="W4480">
        <f>Table2[[#This Row],[Quantity]]*Table2[[#This Row],[Item_Price]]</f>
        <v>147</v>
      </c>
    </row>
    <row r="4481" spans="1:23" x14ac:dyDescent="0.25">
      <c r="A4481" t="s">
        <v>4585</v>
      </c>
      <c r="B4481" s="1">
        <v>45983</v>
      </c>
      <c r="C4481" t="s">
        <v>4265</v>
      </c>
      <c r="D4481">
        <v>11</v>
      </c>
      <c r="E4481">
        <v>22</v>
      </c>
      <c r="F4481" t="s">
        <v>134</v>
      </c>
      <c r="G4481" t="s">
        <v>90</v>
      </c>
      <c r="H4481" t="s">
        <v>77</v>
      </c>
      <c r="I4481" t="s">
        <v>43</v>
      </c>
      <c r="J4481" t="s">
        <v>53</v>
      </c>
      <c r="K4481" t="s">
        <v>38</v>
      </c>
      <c r="L4481">
        <v>3</v>
      </c>
      <c r="M4481">
        <v>731</v>
      </c>
      <c r="N4481">
        <v>146.19999999999999</v>
      </c>
      <c r="O4481">
        <v>50</v>
      </c>
      <c r="P4481">
        <v>2193</v>
      </c>
      <c r="Q4481">
        <v>2096.8000000000002</v>
      </c>
      <c r="R4481" t="s">
        <v>39</v>
      </c>
      <c r="S4481" t="s">
        <v>31</v>
      </c>
      <c r="T4481" t="s">
        <v>40</v>
      </c>
      <c r="U4481">
        <v>47</v>
      </c>
      <c r="V4481">
        <v>4.0999999999999996</v>
      </c>
      <c r="W4481">
        <f>Table2[[#This Row],[Quantity]]*Table2[[#This Row],[Item_Price]]</f>
        <v>2193</v>
      </c>
    </row>
    <row r="4482" spans="1:23" x14ac:dyDescent="0.25">
      <c r="A4482" t="s">
        <v>4586</v>
      </c>
      <c r="B4482" s="1">
        <v>45983</v>
      </c>
      <c r="C4482" t="s">
        <v>4265</v>
      </c>
      <c r="D4482">
        <v>11</v>
      </c>
      <c r="E4482">
        <v>22</v>
      </c>
      <c r="F4482" t="s">
        <v>134</v>
      </c>
      <c r="G4482" t="s">
        <v>115</v>
      </c>
      <c r="H4482" t="s">
        <v>35</v>
      </c>
      <c r="I4482" t="s">
        <v>36</v>
      </c>
      <c r="J4482" t="s">
        <v>53</v>
      </c>
      <c r="K4482" t="s">
        <v>38</v>
      </c>
      <c r="L4482">
        <v>1</v>
      </c>
      <c r="M4482">
        <v>171</v>
      </c>
      <c r="N4482">
        <v>17.100000000000001</v>
      </c>
      <c r="O4482">
        <v>40</v>
      </c>
      <c r="P4482">
        <v>171</v>
      </c>
      <c r="Q4482">
        <v>193.9</v>
      </c>
      <c r="R4482" t="s">
        <v>75</v>
      </c>
      <c r="S4482" t="s">
        <v>31</v>
      </c>
      <c r="T4482" t="s">
        <v>40</v>
      </c>
      <c r="U4482">
        <v>32</v>
      </c>
      <c r="V4482">
        <v>3.6</v>
      </c>
      <c r="W4482">
        <f>Table2[[#This Row],[Quantity]]*Table2[[#This Row],[Item_Price]]</f>
        <v>171</v>
      </c>
    </row>
    <row r="4483" spans="1:23" x14ac:dyDescent="0.25">
      <c r="A4483" t="s">
        <v>4587</v>
      </c>
      <c r="B4483" s="1">
        <v>45983</v>
      </c>
      <c r="C4483" t="s">
        <v>4265</v>
      </c>
      <c r="D4483">
        <v>11</v>
      </c>
      <c r="E4483">
        <v>22</v>
      </c>
      <c r="F4483" t="s">
        <v>134</v>
      </c>
      <c r="G4483" t="s">
        <v>73</v>
      </c>
      <c r="H4483" t="s">
        <v>52</v>
      </c>
      <c r="I4483" t="s">
        <v>27</v>
      </c>
      <c r="J4483" t="s">
        <v>28</v>
      </c>
      <c r="K4483" t="s">
        <v>38</v>
      </c>
      <c r="L4483">
        <v>2</v>
      </c>
      <c r="M4483">
        <v>840</v>
      </c>
      <c r="N4483">
        <v>84</v>
      </c>
      <c r="O4483">
        <v>60</v>
      </c>
      <c r="P4483">
        <v>1680</v>
      </c>
      <c r="Q4483">
        <v>1656</v>
      </c>
      <c r="R4483" t="s">
        <v>98</v>
      </c>
      <c r="S4483" t="s">
        <v>31</v>
      </c>
      <c r="T4483" t="s">
        <v>32</v>
      </c>
      <c r="U4483">
        <v>56</v>
      </c>
      <c r="V4483">
        <v>3.6</v>
      </c>
      <c r="W4483">
        <f>Table2[[#This Row],[Quantity]]*Table2[[#This Row],[Item_Price]]</f>
        <v>1680</v>
      </c>
    </row>
    <row r="4484" spans="1:23" x14ac:dyDescent="0.25">
      <c r="A4484" t="s">
        <v>4588</v>
      </c>
      <c r="B4484" s="1">
        <v>45983</v>
      </c>
      <c r="C4484" t="s">
        <v>4265</v>
      </c>
      <c r="D4484">
        <v>11</v>
      </c>
      <c r="E4484">
        <v>22</v>
      </c>
      <c r="F4484" t="s">
        <v>134</v>
      </c>
      <c r="G4484" t="s">
        <v>25</v>
      </c>
      <c r="H4484" t="s">
        <v>52</v>
      </c>
      <c r="I4484" t="s">
        <v>36</v>
      </c>
      <c r="J4484" t="s">
        <v>66</v>
      </c>
      <c r="K4484" t="s">
        <v>45</v>
      </c>
      <c r="L4484">
        <v>1</v>
      </c>
      <c r="M4484">
        <v>199</v>
      </c>
      <c r="N4484">
        <v>0</v>
      </c>
      <c r="O4484">
        <v>60</v>
      </c>
      <c r="P4484">
        <v>199</v>
      </c>
      <c r="Q4484">
        <v>259</v>
      </c>
      <c r="R4484" t="s">
        <v>30</v>
      </c>
      <c r="S4484" t="s">
        <v>31</v>
      </c>
      <c r="T4484" t="s">
        <v>40</v>
      </c>
      <c r="U4484">
        <v>62</v>
      </c>
      <c r="V4484">
        <v>3.5</v>
      </c>
      <c r="W4484">
        <f>Table2[[#This Row],[Quantity]]*Table2[[#This Row],[Item_Price]]</f>
        <v>199</v>
      </c>
    </row>
    <row r="4485" spans="1:23" x14ac:dyDescent="0.25">
      <c r="A4485" t="s">
        <v>4589</v>
      </c>
      <c r="B4485" s="1">
        <v>45984</v>
      </c>
      <c r="C4485" t="s">
        <v>4265</v>
      </c>
      <c r="D4485">
        <v>11</v>
      </c>
      <c r="E4485">
        <v>23</v>
      </c>
      <c r="F4485" t="s">
        <v>149</v>
      </c>
      <c r="G4485" t="s">
        <v>115</v>
      </c>
      <c r="H4485" t="s">
        <v>26</v>
      </c>
      <c r="I4485" t="s">
        <v>69</v>
      </c>
      <c r="J4485" t="s">
        <v>82</v>
      </c>
      <c r="K4485" t="s">
        <v>45</v>
      </c>
      <c r="L4485">
        <v>1</v>
      </c>
      <c r="M4485">
        <v>129</v>
      </c>
      <c r="N4485">
        <v>25.8</v>
      </c>
      <c r="O4485">
        <v>40</v>
      </c>
      <c r="P4485">
        <v>129</v>
      </c>
      <c r="Q4485">
        <v>143.19999999999999</v>
      </c>
      <c r="R4485" t="s">
        <v>39</v>
      </c>
      <c r="S4485" t="s">
        <v>31</v>
      </c>
      <c r="T4485" t="s">
        <v>40</v>
      </c>
      <c r="U4485">
        <v>40</v>
      </c>
      <c r="V4485">
        <v>4.3</v>
      </c>
      <c r="W4485">
        <f>Table2[[#This Row],[Quantity]]*Table2[[#This Row],[Item_Price]]</f>
        <v>129</v>
      </c>
    </row>
    <row r="4486" spans="1:23" x14ac:dyDescent="0.25">
      <c r="A4486" t="s">
        <v>4590</v>
      </c>
      <c r="B4486" s="1">
        <v>45984</v>
      </c>
      <c r="C4486" t="s">
        <v>4265</v>
      </c>
      <c r="D4486">
        <v>11</v>
      </c>
      <c r="E4486">
        <v>23</v>
      </c>
      <c r="F4486" t="s">
        <v>149</v>
      </c>
      <c r="G4486" t="s">
        <v>80</v>
      </c>
      <c r="H4486" t="s">
        <v>52</v>
      </c>
      <c r="I4486" t="s">
        <v>103</v>
      </c>
      <c r="J4486" t="s">
        <v>82</v>
      </c>
      <c r="K4486" t="s">
        <v>38</v>
      </c>
      <c r="L4486">
        <v>2</v>
      </c>
      <c r="M4486">
        <v>489</v>
      </c>
      <c r="N4486">
        <v>24.45</v>
      </c>
      <c r="O4486">
        <v>30</v>
      </c>
      <c r="P4486">
        <v>978</v>
      </c>
      <c r="Q4486">
        <v>983.55</v>
      </c>
      <c r="R4486" t="s">
        <v>98</v>
      </c>
      <c r="S4486" t="s">
        <v>31</v>
      </c>
      <c r="T4486" t="s">
        <v>40</v>
      </c>
      <c r="U4486">
        <v>30</v>
      </c>
      <c r="V4486">
        <v>3.9</v>
      </c>
      <c r="W4486">
        <f>Table2[[#This Row],[Quantity]]*Table2[[#This Row],[Item_Price]]</f>
        <v>978</v>
      </c>
    </row>
    <row r="4487" spans="1:23" x14ac:dyDescent="0.25">
      <c r="A4487" t="s">
        <v>4591</v>
      </c>
      <c r="B4487" s="1">
        <v>45984</v>
      </c>
      <c r="C4487" t="s">
        <v>4265</v>
      </c>
      <c r="D4487">
        <v>11</v>
      </c>
      <c r="E4487">
        <v>23</v>
      </c>
      <c r="F4487" t="s">
        <v>149</v>
      </c>
      <c r="G4487" t="s">
        <v>84</v>
      </c>
      <c r="H4487" t="s">
        <v>48</v>
      </c>
      <c r="I4487" t="s">
        <v>57</v>
      </c>
      <c r="J4487" t="s">
        <v>123</v>
      </c>
      <c r="K4487" t="s">
        <v>38</v>
      </c>
      <c r="L4487">
        <v>2</v>
      </c>
      <c r="M4487">
        <v>389</v>
      </c>
      <c r="N4487">
        <v>38.9</v>
      </c>
      <c r="O4487">
        <v>0</v>
      </c>
      <c r="P4487">
        <v>778</v>
      </c>
      <c r="Q4487">
        <v>739.1</v>
      </c>
      <c r="R4487" t="s">
        <v>39</v>
      </c>
      <c r="S4487" t="s">
        <v>31</v>
      </c>
      <c r="T4487" t="s">
        <v>32</v>
      </c>
      <c r="U4487">
        <v>35</v>
      </c>
      <c r="V4487">
        <v>3.9</v>
      </c>
      <c r="W4487">
        <f>Table2[[#This Row],[Quantity]]*Table2[[#This Row],[Item_Price]]</f>
        <v>778</v>
      </c>
    </row>
    <row r="4488" spans="1:23" x14ac:dyDescent="0.25">
      <c r="A4488" t="s">
        <v>4592</v>
      </c>
      <c r="B4488" s="1">
        <v>45984</v>
      </c>
      <c r="C4488" t="s">
        <v>4265</v>
      </c>
      <c r="D4488">
        <v>11</v>
      </c>
      <c r="E4488">
        <v>23</v>
      </c>
      <c r="F4488" t="s">
        <v>149</v>
      </c>
      <c r="G4488" t="s">
        <v>73</v>
      </c>
      <c r="H4488" t="s">
        <v>26</v>
      </c>
      <c r="I4488" t="s">
        <v>69</v>
      </c>
      <c r="J4488" t="s">
        <v>74</v>
      </c>
      <c r="K4488" t="s">
        <v>38</v>
      </c>
      <c r="L4488">
        <v>2</v>
      </c>
      <c r="M4488">
        <v>591</v>
      </c>
      <c r="N4488">
        <v>0</v>
      </c>
      <c r="O4488">
        <v>0</v>
      </c>
      <c r="P4488">
        <v>1182</v>
      </c>
      <c r="Q4488">
        <v>1182</v>
      </c>
      <c r="R4488" t="s">
        <v>30</v>
      </c>
      <c r="S4488" t="s">
        <v>31</v>
      </c>
      <c r="T4488" t="s">
        <v>40</v>
      </c>
      <c r="U4488">
        <v>29</v>
      </c>
      <c r="V4488">
        <v>4</v>
      </c>
      <c r="W4488">
        <f>Table2[[#This Row],[Quantity]]*Table2[[#This Row],[Item_Price]]</f>
        <v>1182</v>
      </c>
    </row>
    <row r="4489" spans="1:23" x14ac:dyDescent="0.25">
      <c r="A4489" t="s">
        <v>4593</v>
      </c>
      <c r="B4489" s="1">
        <v>45984</v>
      </c>
      <c r="C4489" t="s">
        <v>4265</v>
      </c>
      <c r="D4489">
        <v>11</v>
      </c>
      <c r="E4489">
        <v>23</v>
      </c>
      <c r="F4489" t="s">
        <v>149</v>
      </c>
      <c r="G4489" t="s">
        <v>80</v>
      </c>
      <c r="H4489" t="s">
        <v>26</v>
      </c>
      <c r="I4489" t="s">
        <v>69</v>
      </c>
      <c r="J4489" t="s">
        <v>53</v>
      </c>
      <c r="K4489" t="s">
        <v>38</v>
      </c>
      <c r="L4489">
        <v>2</v>
      </c>
      <c r="M4489">
        <v>578</v>
      </c>
      <c r="N4489">
        <v>86.7</v>
      </c>
      <c r="O4489">
        <v>30</v>
      </c>
      <c r="P4489">
        <v>1156</v>
      </c>
      <c r="Q4489">
        <v>1099.3</v>
      </c>
      <c r="R4489" t="s">
        <v>39</v>
      </c>
      <c r="S4489" t="s">
        <v>46</v>
      </c>
      <c r="T4489" t="s">
        <v>32</v>
      </c>
      <c r="U4489">
        <v>49</v>
      </c>
      <c r="W4489">
        <f>Table2[[#This Row],[Quantity]]*Table2[[#This Row],[Item_Price]]</f>
        <v>1156</v>
      </c>
    </row>
    <row r="4490" spans="1:23" x14ac:dyDescent="0.25">
      <c r="A4490" t="s">
        <v>4594</v>
      </c>
      <c r="B4490" s="1">
        <v>45984</v>
      </c>
      <c r="C4490" t="s">
        <v>4265</v>
      </c>
      <c r="D4490">
        <v>11</v>
      </c>
      <c r="E4490">
        <v>23</v>
      </c>
      <c r="F4490" t="s">
        <v>149</v>
      </c>
      <c r="G4490" t="s">
        <v>80</v>
      </c>
      <c r="H4490" t="s">
        <v>35</v>
      </c>
      <c r="I4490" t="s">
        <v>36</v>
      </c>
      <c r="J4490" t="s">
        <v>78</v>
      </c>
      <c r="K4490" t="s">
        <v>38</v>
      </c>
      <c r="L4490">
        <v>3</v>
      </c>
      <c r="M4490">
        <v>882</v>
      </c>
      <c r="N4490">
        <v>176.4</v>
      </c>
      <c r="O4490">
        <v>40</v>
      </c>
      <c r="P4490">
        <v>2646</v>
      </c>
      <c r="Q4490">
        <v>2509.6</v>
      </c>
      <c r="R4490" t="s">
        <v>30</v>
      </c>
      <c r="S4490" t="s">
        <v>31</v>
      </c>
      <c r="T4490" t="s">
        <v>40</v>
      </c>
      <c r="U4490">
        <v>22</v>
      </c>
      <c r="V4490">
        <v>4.0999999999999996</v>
      </c>
      <c r="W4490">
        <f>Table2[[#This Row],[Quantity]]*Table2[[#This Row],[Item_Price]]</f>
        <v>2646</v>
      </c>
    </row>
    <row r="4491" spans="1:23" x14ac:dyDescent="0.25">
      <c r="A4491" t="s">
        <v>4595</v>
      </c>
      <c r="B4491" s="1">
        <v>45984</v>
      </c>
      <c r="C4491" t="s">
        <v>4265</v>
      </c>
      <c r="D4491">
        <v>11</v>
      </c>
      <c r="E4491">
        <v>23</v>
      </c>
      <c r="F4491" t="s">
        <v>149</v>
      </c>
      <c r="G4491" t="s">
        <v>73</v>
      </c>
      <c r="H4491" t="s">
        <v>35</v>
      </c>
      <c r="I4491" t="s">
        <v>43</v>
      </c>
      <c r="J4491" t="s">
        <v>123</v>
      </c>
      <c r="K4491" t="s">
        <v>45</v>
      </c>
      <c r="L4491">
        <v>3</v>
      </c>
      <c r="M4491">
        <v>156</v>
      </c>
      <c r="N4491">
        <v>7.8</v>
      </c>
      <c r="O4491">
        <v>0</v>
      </c>
      <c r="P4491">
        <v>468</v>
      </c>
      <c r="Q4491">
        <v>460.2</v>
      </c>
      <c r="R4491" t="s">
        <v>75</v>
      </c>
      <c r="S4491" t="s">
        <v>31</v>
      </c>
      <c r="T4491" t="s">
        <v>32</v>
      </c>
      <c r="U4491">
        <v>53</v>
      </c>
      <c r="V4491">
        <v>3.7</v>
      </c>
      <c r="W4491">
        <f>Table2[[#This Row],[Quantity]]*Table2[[#This Row],[Item_Price]]</f>
        <v>468</v>
      </c>
    </row>
    <row r="4492" spans="1:23" x14ac:dyDescent="0.25">
      <c r="A4492" t="s">
        <v>4596</v>
      </c>
      <c r="B4492" s="1">
        <v>45984</v>
      </c>
      <c r="C4492" t="s">
        <v>4265</v>
      </c>
      <c r="D4492">
        <v>11</v>
      </c>
      <c r="E4492">
        <v>23</v>
      </c>
      <c r="F4492" t="s">
        <v>149</v>
      </c>
      <c r="G4492" t="s">
        <v>115</v>
      </c>
      <c r="H4492" t="s">
        <v>68</v>
      </c>
      <c r="I4492" t="s">
        <v>97</v>
      </c>
      <c r="J4492" t="s">
        <v>70</v>
      </c>
      <c r="K4492" t="s">
        <v>38</v>
      </c>
      <c r="L4492">
        <v>2</v>
      </c>
      <c r="M4492">
        <v>140</v>
      </c>
      <c r="N4492">
        <v>21</v>
      </c>
      <c r="O4492">
        <v>50</v>
      </c>
      <c r="P4492">
        <v>280</v>
      </c>
      <c r="Q4492">
        <v>309</v>
      </c>
      <c r="R4492" t="s">
        <v>39</v>
      </c>
      <c r="S4492" t="s">
        <v>31</v>
      </c>
      <c r="T4492" t="s">
        <v>32</v>
      </c>
      <c r="U4492">
        <v>49</v>
      </c>
      <c r="V4492">
        <v>4.0999999999999996</v>
      </c>
      <c r="W4492">
        <f>Table2[[#This Row],[Quantity]]*Table2[[#This Row],[Item_Price]]</f>
        <v>280</v>
      </c>
    </row>
    <row r="4493" spans="1:23" x14ac:dyDescent="0.25">
      <c r="A4493" t="s">
        <v>4597</v>
      </c>
      <c r="B4493" s="1">
        <v>45984</v>
      </c>
      <c r="C4493" t="s">
        <v>4265</v>
      </c>
      <c r="D4493">
        <v>11</v>
      </c>
      <c r="E4493">
        <v>23</v>
      </c>
      <c r="F4493" t="s">
        <v>149</v>
      </c>
      <c r="G4493" t="s">
        <v>64</v>
      </c>
      <c r="H4493" t="s">
        <v>35</v>
      </c>
      <c r="I4493" t="s">
        <v>85</v>
      </c>
      <c r="J4493" t="s">
        <v>50</v>
      </c>
      <c r="K4493" t="s">
        <v>45</v>
      </c>
      <c r="L4493">
        <v>3</v>
      </c>
      <c r="M4493">
        <v>451</v>
      </c>
      <c r="N4493">
        <v>45.1</v>
      </c>
      <c r="O4493">
        <v>20</v>
      </c>
      <c r="P4493">
        <v>1353</v>
      </c>
      <c r="Q4493">
        <v>1327.9</v>
      </c>
      <c r="R4493" t="s">
        <v>30</v>
      </c>
      <c r="S4493" t="s">
        <v>31</v>
      </c>
      <c r="T4493" t="s">
        <v>40</v>
      </c>
      <c r="U4493">
        <v>41</v>
      </c>
      <c r="V4493">
        <v>4.0999999999999996</v>
      </c>
      <c r="W4493">
        <f>Table2[[#This Row],[Quantity]]*Table2[[#This Row],[Item_Price]]</f>
        <v>1353</v>
      </c>
    </row>
    <row r="4494" spans="1:23" x14ac:dyDescent="0.25">
      <c r="A4494" t="s">
        <v>4598</v>
      </c>
      <c r="B4494" s="1">
        <v>45984</v>
      </c>
      <c r="C4494" t="s">
        <v>4265</v>
      </c>
      <c r="D4494">
        <v>11</v>
      </c>
      <c r="E4494">
        <v>23</v>
      </c>
      <c r="F4494" t="s">
        <v>149</v>
      </c>
      <c r="G4494" t="s">
        <v>73</v>
      </c>
      <c r="H4494" t="s">
        <v>26</v>
      </c>
      <c r="I4494" t="s">
        <v>97</v>
      </c>
      <c r="J4494" t="s">
        <v>44</v>
      </c>
      <c r="K4494" t="s">
        <v>38</v>
      </c>
      <c r="L4494">
        <v>2</v>
      </c>
      <c r="M4494">
        <v>511</v>
      </c>
      <c r="N4494">
        <v>102.2</v>
      </c>
      <c r="O4494">
        <v>30</v>
      </c>
      <c r="P4494">
        <v>1022</v>
      </c>
      <c r="Q4494">
        <v>949.8</v>
      </c>
      <c r="R4494" t="s">
        <v>39</v>
      </c>
      <c r="S4494" t="s">
        <v>31</v>
      </c>
      <c r="T4494" t="s">
        <v>32</v>
      </c>
      <c r="U4494">
        <v>25</v>
      </c>
      <c r="V4494">
        <v>3.6</v>
      </c>
      <c r="W4494">
        <f>Table2[[#This Row],[Quantity]]*Table2[[#This Row],[Item_Price]]</f>
        <v>1022</v>
      </c>
    </row>
    <row r="4495" spans="1:23" x14ac:dyDescent="0.25">
      <c r="A4495" t="s">
        <v>4599</v>
      </c>
      <c r="B4495" s="1">
        <v>45985</v>
      </c>
      <c r="C4495" t="s">
        <v>4265</v>
      </c>
      <c r="D4495">
        <v>11</v>
      </c>
      <c r="E4495">
        <v>24</v>
      </c>
      <c r="F4495" t="s">
        <v>168</v>
      </c>
      <c r="G4495" t="s">
        <v>55</v>
      </c>
      <c r="H4495" t="s">
        <v>48</v>
      </c>
      <c r="I4495" t="s">
        <v>36</v>
      </c>
      <c r="J4495" t="s">
        <v>101</v>
      </c>
      <c r="K4495" t="s">
        <v>38</v>
      </c>
      <c r="L4495">
        <v>1</v>
      </c>
      <c r="M4495">
        <v>544</v>
      </c>
      <c r="N4495">
        <v>0</v>
      </c>
      <c r="O4495">
        <v>40</v>
      </c>
      <c r="P4495">
        <v>544</v>
      </c>
      <c r="Q4495">
        <v>584</v>
      </c>
      <c r="R4495" t="s">
        <v>75</v>
      </c>
      <c r="S4495" t="s">
        <v>31</v>
      </c>
      <c r="T4495" t="s">
        <v>32</v>
      </c>
      <c r="U4495">
        <v>61</v>
      </c>
      <c r="V4495">
        <v>3.6</v>
      </c>
      <c r="W4495">
        <f>Table2[[#This Row],[Quantity]]*Table2[[#This Row],[Item_Price]]</f>
        <v>544</v>
      </c>
    </row>
    <row r="4496" spans="1:23" x14ac:dyDescent="0.25">
      <c r="A4496" t="s">
        <v>4600</v>
      </c>
      <c r="B4496" s="1">
        <v>45985</v>
      </c>
      <c r="C4496" t="s">
        <v>4265</v>
      </c>
      <c r="D4496">
        <v>11</v>
      </c>
      <c r="E4496">
        <v>24</v>
      </c>
      <c r="F4496" t="s">
        <v>168</v>
      </c>
      <c r="G4496" t="s">
        <v>64</v>
      </c>
      <c r="H4496" t="s">
        <v>52</v>
      </c>
      <c r="I4496" t="s">
        <v>43</v>
      </c>
      <c r="J4496" t="s">
        <v>123</v>
      </c>
      <c r="K4496" t="s">
        <v>38</v>
      </c>
      <c r="L4496">
        <v>1</v>
      </c>
      <c r="M4496">
        <v>285</v>
      </c>
      <c r="N4496">
        <v>0</v>
      </c>
      <c r="O4496">
        <v>30</v>
      </c>
      <c r="P4496">
        <v>285</v>
      </c>
      <c r="Q4496">
        <v>315</v>
      </c>
      <c r="R4496" t="s">
        <v>98</v>
      </c>
      <c r="S4496" t="s">
        <v>31</v>
      </c>
      <c r="T4496" t="s">
        <v>32</v>
      </c>
      <c r="U4496">
        <v>59</v>
      </c>
      <c r="V4496">
        <v>3.6</v>
      </c>
      <c r="W4496">
        <f>Table2[[#This Row],[Quantity]]*Table2[[#This Row],[Item_Price]]</f>
        <v>285</v>
      </c>
    </row>
    <row r="4497" spans="1:23" x14ac:dyDescent="0.25">
      <c r="A4497" t="s">
        <v>4601</v>
      </c>
      <c r="B4497" s="1">
        <v>45985</v>
      </c>
      <c r="C4497" t="s">
        <v>4265</v>
      </c>
      <c r="D4497">
        <v>11</v>
      </c>
      <c r="E4497">
        <v>24</v>
      </c>
      <c r="F4497" t="s">
        <v>168</v>
      </c>
      <c r="G4497" t="s">
        <v>34</v>
      </c>
      <c r="H4497" t="s">
        <v>68</v>
      </c>
      <c r="I4497" t="s">
        <v>69</v>
      </c>
      <c r="J4497" t="s">
        <v>82</v>
      </c>
      <c r="K4497" t="s">
        <v>45</v>
      </c>
      <c r="L4497">
        <v>1</v>
      </c>
      <c r="M4497">
        <v>708</v>
      </c>
      <c r="N4497">
        <v>35.4</v>
      </c>
      <c r="O4497">
        <v>0</v>
      </c>
      <c r="P4497">
        <v>708</v>
      </c>
      <c r="Q4497">
        <v>672.6</v>
      </c>
      <c r="R4497" t="s">
        <v>39</v>
      </c>
      <c r="S4497" t="s">
        <v>31</v>
      </c>
      <c r="T4497" t="s">
        <v>32</v>
      </c>
      <c r="U4497">
        <v>22</v>
      </c>
      <c r="V4497">
        <v>3.7</v>
      </c>
      <c r="W4497">
        <f>Table2[[#This Row],[Quantity]]*Table2[[#This Row],[Item_Price]]</f>
        <v>708</v>
      </c>
    </row>
    <row r="4498" spans="1:23" x14ac:dyDescent="0.25">
      <c r="A4498" t="s">
        <v>4602</v>
      </c>
      <c r="B4498" s="1">
        <v>45985</v>
      </c>
      <c r="C4498" t="s">
        <v>4265</v>
      </c>
      <c r="D4498">
        <v>11</v>
      </c>
      <c r="E4498">
        <v>24</v>
      </c>
      <c r="F4498" t="s">
        <v>168</v>
      </c>
      <c r="G4498" t="s">
        <v>80</v>
      </c>
      <c r="H4498" t="s">
        <v>68</v>
      </c>
      <c r="I4498" t="s">
        <v>97</v>
      </c>
      <c r="J4498" t="s">
        <v>70</v>
      </c>
      <c r="K4498" t="s">
        <v>38</v>
      </c>
      <c r="L4498">
        <v>3</v>
      </c>
      <c r="M4498">
        <v>846</v>
      </c>
      <c r="N4498">
        <v>84.6</v>
      </c>
      <c r="O4498">
        <v>0</v>
      </c>
      <c r="P4498">
        <v>2538</v>
      </c>
      <c r="Q4498">
        <v>2453.4</v>
      </c>
      <c r="R4498" t="s">
        <v>75</v>
      </c>
      <c r="S4498" t="s">
        <v>31</v>
      </c>
      <c r="T4498" t="s">
        <v>32</v>
      </c>
      <c r="U4498">
        <v>40</v>
      </c>
      <c r="V4498">
        <v>4.5999999999999996</v>
      </c>
      <c r="W4498">
        <f>Table2[[#This Row],[Quantity]]*Table2[[#This Row],[Item_Price]]</f>
        <v>2538</v>
      </c>
    </row>
    <row r="4499" spans="1:23" x14ac:dyDescent="0.25">
      <c r="A4499" t="s">
        <v>4603</v>
      </c>
      <c r="B4499" s="1">
        <v>45985</v>
      </c>
      <c r="C4499" t="s">
        <v>4265</v>
      </c>
      <c r="D4499">
        <v>11</v>
      </c>
      <c r="E4499">
        <v>24</v>
      </c>
      <c r="F4499" t="s">
        <v>168</v>
      </c>
      <c r="G4499" t="s">
        <v>73</v>
      </c>
      <c r="H4499" t="s">
        <v>68</v>
      </c>
      <c r="I4499" t="s">
        <v>57</v>
      </c>
      <c r="J4499" t="s">
        <v>66</v>
      </c>
      <c r="K4499" t="s">
        <v>45</v>
      </c>
      <c r="L4499">
        <v>2</v>
      </c>
      <c r="M4499">
        <v>188</v>
      </c>
      <c r="N4499">
        <v>9.4</v>
      </c>
      <c r="O4499">
        <v>20</v>
      </c>
      <c r="P4499">
        <v>376</v>
      </c>
      <c r="Q4499">
        <v>386.6</v>
      </c>
      <c r="R4499" t="s">
        <v>30</v>
      </c>
      <c r="S4499" t="s">
        <v>31</v>
      </c>
      <c r="T4499" t="s">
        <v>40</v>
      </c>
      <c r="U4499">
        <v>62</v>
      </c>
      <c r="V4499">
        <v>4.4000000000000004</v>
      </c>
      <c r="W4499">
        <f>Table2[[#This Row],[Quantity]]*Table2[[#This Row],[Item_Price]]</f>
        <v>376</v>
      </c>
    </row>
    <row r="4500" spans="1:23" x14ac:dyDescent="0.25">
      <c r="A4500" t="s">
        <v>4604</v>
      </c>
      <c r="B4500" s="1">
        <v>45985</v>
      </c>
      <c r="C4500" t="s">
        <v>4265</v>
      </c>
      <c r="D4500">
        <v>11</v>
      </c>
      <c r="E4500">
        <v>24</v>
      </c>
      <c r="F4500" t="s">
        <v>168</v>
      </c>
      <c r="G4500" t="s">
        <v>34</v>
      </c>
      <c r="H4500" t="s">
        <v>68</v>
      </c>
      <c r="I4500" t="s">
        <v>57</v>
      </c>
      <c r="J4500" t="s">
        <v>66</v>
      </c>
      <c r="K4500" t="s">
        <v>45</v>
      </c>
      <c r="L4500">
        <v>3</v>
      </c>
      <c r="M4500">
        <v>306</v>
      </c>
      <c r="N4500">
        <v>61.2</v>
      </c>
      <c r="O4500">
        <v>20</v>
      </c>
      <c r="P4500">
        <v>918</v>
      </c>
      <c r="Q4500">
        <v>876.8</v>
      </c>
      <c r="R4500" t="s">
        <v>112</v>
      </c>
      <c r="S4500" t="s">
        <v>31</v>
      </c>
      <c r="T4500" t="s">
        <v>32</v>
      </c>
      <c r="U4500">
        <v>59</v>
      </c>
      <c r="V4500">
        <v>2.8</v>
      </c>
      <c r="W4500">
        <f>Table2[[#This Row],[Quantity]]*Table2[[#This Row],[Item_Price]]</f>
        <v>918</v>
      </c>
    </row>
    <row r="4501" spans="1:23" x14ac:dyDescent="0.25">
      <c r="A4501" t="s">
        <v>4605</v>
      </c>
      <c r="B4501" s="1">
        <v>45985</v>
      </c>
      <c r="C4501" t="s">
        <v>4265</v>
      </c>
      <c r="D4501">
        <v>11</v>
      </c>
      <c r="E4501">
        <v>24</v>
      </c>
      <c r="F4501" t="s">
        <v>168</v>
      </c>
      <c r="G4501" t="s">
        <v>34</v>
      </c>
      <c r="H4501" t="s">
        <v>77</v>
      </c>
      <c r="I4501" t="s">
        <v>103</v>
      </c>
      <c r="J4501" t="s">
        <v>53</v>
      </c>
      <c r="K4501" t="s">
        <v>45</v>
      </c>
      <c r="L4501">
        <v>1</v>
      </c>
      <c r="M4501">
        <v>220</v>
      </c>
      <c r="N4501">
        <v>0</v>
      </c>
      <c r="O4501">
        <v>0</v>
      </c>
      <c r="P4501">
        <v>220</v>
      </c>
      <c r="Q4501">
        <v>220</v>
      </c>
      <c r="R4501" t="s">
        <v>39</v>
      </c>
      <c r="S4501" t="s">
        <v>31</v>
      </c>
      <c r="T4501" t="s">
        <v>40</v>
      </c>
      <c r="U4501">
        <v>57</v>
      </c>
      <c r="V4501">
        <v>4.7</v>
      </c>
      <c r="W4501">
        <f>Table2[[#This Row],[Quantity]]*Table2[[#This Row],[Item_Price]]</f>
        <v>220</v>
      </c>
    </row>
    <row r="4502" spans="1:23" x14ac:dyDescent="0.25">
      <c r="A4502" t="s">
        <v>4606</v>
      </c>
      <c r="B4502" s="1">
        <v>45985</v>
      </c>
      <c r="C4502" t="s">
        <v>4265</v>
      </c>
      <c r="D4502">
        <v>11</v>
      </c>
      <c r="E4502">
        <v>24</v>
      </c>
      <c r="F4502" t="s">
        <v>168</v>
      </c>
      <c r="G4502" t="s">
        <v>84</v>
      </c>
      <c r="H4502" t="s">
        <v>105</v>
      </c>
      <c r="I4502" t="s">
        <v>97</v>
      </c>
      <c r="J4502" t="s">
        <v>119</v>
      </c>
      <c r="K4502" t="s">
        <v>45</v>
      </c>
      <c r="L4502">
        <v>2</v>
      </c>
      <c r="M4502">
        <v>841</v>
      </c>
      <c r="N4502">
        <v>168.2</v>
      </c>
      <c r="O4502">
        <v>30</v>
      </c>
      <c r="P4502">
        <v>1682</v>
      </c>
      <c r="Q4502">
        <v>1543.8</v>
      </c>
      <c r="R4502" t="s">
        <v>39</v>
      </c>
      <c r="S4502" t="s">
        <v>31</v>
      </c>
      <c r="T4502" t="s">
        <v>40</v>
      </c>
      <c r="U4502">
        <v>63</v>
      </c>
      <c r="V4502">
        <v>4.3</v>
      </c>
      <c r="W4502">
        <f>Table2[[#This Row],[Quantity]]*Table2[[#This Row],[Item_Price]]</f>
        <v>1682</v>
      </c>
    </row>
    <row r="4503" spans="1:23" x14ac:dyDescent="0.25">
      <c r="A4503" t="s">
        <v>4607</v>
      </c>
      <c r="B4503" s="1">
        <v>45985</v>
      </c>
      <c r="C4503" t="s">
        <v>4265</v>
      </c>
      <c r="D4503">
        <v>11</v>
      </c>
      <c r="E4503">
        <v>24</v>
      </c>
      <c r="F4503" t="s">
        <v>168</v>
      </c>
      <c r="G4503" t="s">
        <v>80</v>
      </c>
      <c r="H4503" t="s">
        <v>68</v>
      </c>
      <c r="I4503" t="s">
        <v>97</v>
      </c>
      <c r="J4503" t="s">
        <v>50</v>
      </c>
      <c r="K4503" t="s">
        <v>38</v>
      </c>
      <c r="L4503">
        <v>1</v>
      </c>
      <c r="M4503">
        <v>429</v>
      </c>
      <c r="N4503">
        <v>21.45</v>
      </c>
      <c r="O4503">
        <v>30</v>
      </c>
      <c r="P4503">
        <v>429</v>
      </c>
      <c r="Q4503">
        <v>437.55</v>
      </c>
      <c r="R4503" t="s">
        <v>39</v>
      </c>
      <c r="S4503" t="s">
        <v>31</v>
      </c>
      <c r="T4503" t="s">
        <v>40</v>
      </c>
      <c r="U4503">
        <v>66</v>
      </c>
      <c r="V4503">
        <v>4</v>
      </c>
      <c r="W4503">
        <f>Table2[[#This Row],[Quantity]]*Table2[[#This Row],[Item_Price]]</f>
        <v>429</v>
      </c>
    </row>
    <row r="4504" spans="1:23" x14ac:dyDescent="0.25">
      <c r="A4504" t="s">
        <v>4608</v>
      </c>
      <c r="B4504" s="1">
        <v>45985</v>
      </c>
      <c r="C4504" t="s">
        <v>4265</v>
      </c>
      <c r="D4504">
        <v>11</v>
      </c>
      <c r="E4504">
        <v>24</v>
      </c>
      <c r="F4504" t="s">
        <v>168</v>
      </c>
      <c r="G4504" t="s">
        <v>73</v>
      </c>
      <c r="H4504" t="s">
        <v>68</v>
      </c>
      <c r="I4504" t="s">
        <v>61</v>
      </c>
      <c r="J4504" t="s">
        <v>50</v>
      </c>
      <c r="K4504" t="s">
        <v>38</v>
      </c>
      <c r="L4504">
        <v>2</v>
      </c>
      <c r="M4504">
        <v>474</v>
      </c>
      <c r="N4504">
        <v>118.5</v>
      </c>
      <c r="O4504">
        <v>40</v>
      </c>
      <c r="P4504">
        <v>948</v>
      </c>
      <c r="Q4504">
        <v>869.5</v>
      </c>
      <c r="R4504" t="s">
        <v>112</v>
      </c>
      <c r="S4504" t="s">
        <v>31</v>
      </c>
      <c r="T4504" t="s">
        <v>32</v>
      </c>
      <c r="U4504">
        <v>61</v>
      </c>
      <c r="V4504">
        <v>3.7</v>
      </c>
      <c r="W4504">
        <f>Table2[[#This Row],[Quantity]]*Table2[[#This Row],[Item_Price]]</f>
        <v>948</v>
      </c>
    </row>
    <row r="4505" spans="1:23" x14ac:dyDescent="0.25">
      <c r="A4505" t="s">
        <v>4609</v>
      </c>
      <c r="B4505" s="1">
        <v>45985</v>
      </c>
      <c r="C4505" t="s">
        <v>4265</v>
      </c>
      <c r="D4505">
        <v>11</v>
      </c>
      <c r="E4505">
        <v>24</v>
      </c>
      <c r="F4505" t="s">
        <v>168</v>
      </c>
      <c r="G4505" t="s">
        <v>55</v>
      </c>
      <c r="H4505" t="s">
        <v>60</v>
      </c>
      <c r="I4505" t="s">
        <v>85</v>
      </c>
      <c r="J4505" t="s">
        <v>53</v>
      </c>
      <c r="K4505" t="s">
        <v>38</v>
      </c>
      <c r="L4505">
        <v>2</v>
      </c>
      <c r="M4505">
        <v>900</v>
      </c>
      <c r="N4505">
        <v>90</v>
      </c>
      <c r="O4505">
        <v>20</v>
      </c>
      <c r="P4505">
        <v>1800</v>
      </c>
      <c r="Q4505">
        <v>1730</v>
      </c>
      <c r="R4505" t="s">
        <v>75</v>
      </c>
      <c r="S4505" t="s">
        <v>31</v>
      </c>
      <c r="T4505" t="s">
        <v>32</v>
      </c>
      <c r="U4505">
        <v>62</v>
      </c>
      <c r="V4505">
        <v>3.9</v>
      </c>
      <c r="W4505">
        <f>Table2[[#This Row],[Quantity]]*Table2[[#This Row],[Item_Price]]</f>
        <v>1800</v>
      </c>
    </row>
    <row r="4506" spans="1:23" x14ac:dyDescent="0.25">
      <c r="A4506" t="s">
        <v>4610</v>
      </c>
      <c r="B4506" s="1">
        <v>45985</v>
      </c>
      <c r="C4506" t="s">
        <v>4265</v>
      </c>
      <c r="D4506">
        <v>11</v>
      </c>
      <c r="E4506">
        <v>24</v>
      </c>
      <c r="F4506" t="s">
        <v>168</v>
      </c>
      <c r="G4506" t="s">
        <v>64</v>
      </c>
      <c r="H4506" t="s">
        <v>81</v>
      </c>
      <c r="I4506" t="s">
        <v>61</v>
      </c>
      <c r="J4506" t="s">
        <v>94</v>
      </c>
      <c r="K4506" t="s">
        <v>38</v>
      </c>
      <c r="L4506">
        <v>1</v>
      </c>
      <c r="M4506">
        <v>643</v>
      </c>
      <c r="N4506">
        <v>128.6</v>
      </c>
      <c r="O4506">
        <v>40</v>
      </c>
      <c r="P4506">
        <v>643</v>
      </c>
      <c r="Q4506">
        <v>554.4</v>
      </c>
      <c r="R4506" t="s">
        <v>98</v>
      </c>
      <c r="S4506" t="s">
        <v>31</v>
      </c>
      <c r="T4506" t="s">
        <v>40</v>
      </c>
      <c r="U4506">
        <v>39</v>
      </c>
      <c r="V4506">
        <v>4.4000000000000004</v>
      </c>
      <c r="W4506">
        <f>Table2[[#This Row],[Quantity]]*Table2[[#This Row],[Item_Price]]</f>
        <v>643</v>
      </c>
    </row>
    <row r="4507" spans="1:23" x14ac:dyDescent="0.25">
      <c r="A4507" t="s">
        <v>4611</v>
      </c>
      <c r="B4507" s="1">
        <v>45985</v>
      </c>
      <c r="C4507" t="s">
        <v>4265</v>
      </c>
      <c r="D4507">
        <v>11</v>
      </c>
      <c r="E4507">
        <v>24</v>
      </c>
      <c r="F4507" t="s">
        <v>168</v>
      </c>
      <c r="G4507" t="s">
        <v>80</v>
      </c>
      <c r="H4507" t="s">
        <v>68</v>
      </c>
      <c r="I4507" t="s">
        <v>43</v>
      </c>
      <c r="J4507" t="s">
        <v>28</v>
      </c>
      <c r="K4507" t="s">
        <v>29</v>
      </c>
      <c r="L4507">
        <v>3</v>
      </c>
      <c r="M4507">
        <v>300</v>
      </c>
      <c r="N4507">
        <v>45</v>
      </c>
      <c r="O4507">
        <v>0</v>
      </c>
      <c r="P4507">
        <v>900</v>
      </c>
      <c r="Q4507">
        <v>855</v>
      </c>
      <c r="R4507" t="s">
        <v>39</v>
      </c>
      <c r="S4507" t="s">
        <v>46</v>
      </c>
      <c r="T4507" t="s">
        <v>40</v>
      </c>
      <c r="U4507">
        <v>24</v>
      </c>
      <c r="W4507">
        <f>Table2[[#This Row],[Quantity]]*Table2[[#This Row],[Item_Price]]</f>
        <v>900</v>
      </c>
    </row>
    <row r="4508" spans="1:23" x14ac:dyDescent="0.25">
      <c r="A4508" t="s">
        <v>4612</v>
      </c>
      <c r="B4508" s="1">
        <v>45985</v>
      </c>
      <c r="C4508" t="s">
        <v>4265</v>
      </c>
      <c r="D4508">
        <v>11</v>
      </c>
      <c r="E4508">
        <v>24</v>
      </c>
      <c r="F4508" t="s">
        <v>168</v>
      </c>
      <c r="G4508" t="s">
        <v>80</v>
      </c>
      <c r="H4508" t="s">
        <v>52</v>
      </c>
      <c r="I4508" t="s">
        <v>49</v>
      </c>
      <c r="J4508" t="s">
        <v>37</v>
      </c>
      <c r="K4508" t="s">
        <v>38</v>
      </c>
      <c r="L4508">
        <v>2</v>
      </c>
      <c r="M4508">
        <v>596</v>
      </c>
      <c r="N4508">
        <v>119.2</v>
      </c>
      <c r="O4508">
        <v>30</v>
      </c>
      <c r="P4508">
        <v>1192</v>
      </c>
      <c r="Q4508">
        <v>1102.8</v>
      </c>
      <c r="R4508" t="s">
        <v>75</v>
      </c>
      <c r="S4508" t="s">
        <v>31</v>
      </c>
      <c r="T4508" t="s">
        <v>40</v>
      </c>
      <c r="U4508">
        <v>22</v>
      </c>
      <c r="V4508">
        <v>2.6</v>
      </c>
      <c r="W4508">
        <f>Table2[[#This Row],[Quantity]]*Table2[[#This Row],[Item_Price]]</f>
        <v>1192</v>
      </c>
    </row>
    <row r="4509" spans="1:23" x14ac:dyDescent="0.25">
      <c r="A4509" t="s">
        <v>4613</v>
      </c>
      <c r="B4509" s="1">
        <v>45985</v>
      </c>
      <c r="C4509" t="s">
        <v>4265</v>
      </c>
      <c r="D4509">
        <v>11</v>
      </c>
      <c r="E4509">
        <v>24</v>
      </c>
      <c r="F4509" t="s">
        <v>168</v>
      </c>
      <c r="G4509" t="s">
        <v>115</v>
      </c>
      <c r="H4509" t="s">
        <v>105</v>
      </c>
      <c r="I4509" t="s">
        <v>36</v>
      </c>
      <c r="J4509" t="s">
        <v>66</v>
      </c>
      <c r="K4509" t="s">
        <v>38</v>
      </c>
      <c r="L4509">
        <v>1</v>
      </c>
      <c r="M4509">
        <v>279</v>
      </c>
      <c r="N4509">
        <v>13.95</v>
      </c>
      <c r="O4509">
        <v>20</v>
      </c>
      <c r="P4509">
        <v>279</v>
      </c>
      <c r="Q4509">
        <v>285.05</v>
      </c>
      <c r="R4509" t="s">
        <v>30</v>
      </c>
      <c r="S4509" t="s">
        <v>31</v>
      </c>
      <c r="T4509" t="s">
        <v>40</v>
      </c>
      <c r="U4509">
        <v>52</v>
      </c>
      <c r="V4509">
        <v>3.9</v>
      </c>
      <c r="W4509">
        <f>Table2[[#This Row],[Quantity]]*Table2[[#This Row],[Item_Price]]</f>
        <v>279</v>
      </c>
    </row>
    <row r="4510" spans="1:23" x14ac:dyDescent="0.25">
      <c r="A4510" t="s">
        <v>4614</v>
      </c>
      <c r="B4510" s="1">
        <v>45986</v>
      </c>
      <c r="C4510" t="s">
        <v>4265</v>
      </c>
      <c r="D4510">
        <v>11</v>
      </c>
      <c r="E4510">
        <v>25</v>
      </c>
      <c r="F4510" t="s">
        <v>178</v>
      </c>
      <c r="G4510" t="s">
        <v>55</v>
      </c>
      <c r="H4510" t="s">
        <v>139</v>
      </c>
      <c r="I4510" t="s">
        <v>69</v>
      </c>
      <c r="J4510" t="s">
        <v>94</v>
      </c>
      <c r="K4510" t="s">
        <v>45</v>
      </c>
      <c r="L4510">
        <v>3</v>
      </c>
      <c r="M4510">
        <v>274</v>
      </c>
      <c r="N4510">
        <v>27.4</v>
      </c>
      <c r="O4510">
        <v>50</v>
      </c>
      <c r="P4510">
        <v>822</v>
      </c>
      <c r="Q4510">
        <v>844.6</v>
      </c>
      <c r="R4510" t="s">
        <v>39</v>
      </c>
      <c r="S4510" t="s">
        <v>31</v>
      </c>
      <c r="T4510" t="s">
        <v>40</v>
      </c>
      <c r="U4510">
        <v>62</v>
      </c>
      <c r="V4510">
        <v>3.8</v>
      </c>
      <c r="W4510">
        <f>Table2[[#This Row],[Quantity]]*Table2[[#This Row],[Item_Price]]</f>
        <v>822</v>
      </c>
    </row>
    <row r="4511" spans="1:23" x14ac:dyDescent="0.25">
      <c r="A4511" t="s">
        <v>4615</v>
      </c>
      <c r="B4511" s="1">
        <v>45986</v>
      </c>
      <c r="C4511" t="s">
        <v>4265</v>
      </c>
      <c r="D4511">
        <v>11</v>
      </c>
      <c r="E4511">
        <v>25</v>
      </c>
      <c r="F4511" t="s">
        <v>178</v>
      </c>
      <c r="G4511" t="s">
        <v>34</v>
      </c>
      <c r="H4511" t="s">
        <v>42</v>
      </c>
      <c r="I4511" t="s">
        <v>97</v>
      </c>
      <c r="J4511" t="s">
        <v>28</v>
      </c>
      <c r="K4511" t="s">
        <v>38</v>
      </c>
      <c r="L4511">
        <v>1</v>
      </c>
      <c r="M4511">
        <v>854</v>
      </c>
      <c r="N4511">
        <v>170.8</v>
      </c>
      <c r="O4511">
        <v>0</v>
      </c>
      <c r="P4511">
        <v>854</v>
      </c>
      <c r="Q4511">
        <v>683.2</v>
      </c>
      <c r="R4511" t="s">
        <v>30</v>
      </c>
      <c r="S4511" t="s">
        <v>31</v>
      </c>
      <c r="T4511" t="s">
        <v>40</v>
      </c>
      <c r="U4511">
        <v>31</v>
      </c>
      <c r="V4511">
        <v>3.8</v>
      </c>
      <c r="W4511">
        <f>Table2[[#This Row],[Quantity]]*Table2[[#This Row],[Item_Price]]</f>
        <v>854</v>
      </c>
    </row>
    <row r="4512" spans="1:23" x14ac:dyDescent="0.25">
      <c r="A4512" t="s">
        <v>4616</v>
      </c>
      <c r="B4512" s="1">
        <v>45986</v>
      </c>
      <c r="C4512" t="s">
        <v>4265</v>
      </c>
      <c r="D4512">
        <v>11</v>
      </c>
      <c r="E4512">
        <v>25</v>
      </c>
      <c r="F4512" t="s">
        <v>178</v>
      </c>
      <c r="G4512" t="s">
        <v>55</v>
      </c>
      <c r="H4512" t="s">
        <v>52</v>
      </c>
      <c r="I4512" t="s">
        <v>97</v>
      </c>
      <c r="J4512" t="s">
        <v>74</v>
      </c>
      <c r="K4512" t="s">
        <v>45</v>
      </c>
      <c r="L4512">
        <v>2</v>
      </c>
      <c r="M4512">
        <v>413</v>
      </c>
      <c r="N4512">
        <v>0</v>
      </c>
      <c r="O4512">
        <v>20</v>
      </c>
      <c r="P4512">
        <v>826</v>
      </c>
      <c r="Q4512">
        <v>846</v>
      </c>
      <c r="R4512" t="s">
        <v>30</v>
      </c>
      <c r="S4512" t="s">
        <v>46</v>
      </c>
      <c r="T4512" t="s">
        <v>32</v>
      </c>
      <c r="U4512">
        <v>60</v>
      </c>
      <c r="W4512">
        <f>Table2[[#This Row],[Quantity]]*Table2[[#This Row],[Item_Price]]</f>
        <v>826</v>
      </c>
    </row>
    <row r="4513" spans="1:23" x14ac:dyDescent="0.25">
      <c r="A4513" t="s">
        <v>4617</v>
      </c>
      <c r="B4513" s="1">
        <v>45986</v>
      </c>
      <c r="C4513" t="s">
        <v>4265</v>
      </c>
      <c r="D4513">
        <v>11</v>
      </c>
      <c r="E4513">
        <v>25</v>
      </c>
      <c r="F4513" t="s">
        <v>178</v>
      </c>
      <c r="G4513" t="s">
        <v>73</v>
      </c>
      <c r="H4513" t="s">
        <v>26</v>
      </c>
      <c r="I4513" t="s">
        <v>97</v>
      </c>
      <c r="J4513" t="s">
        <v>66</v>
      </c>
      <c r="K4513" t="s">
        <v>38</v>
      </c>
      <c r="L4513">
        <v>2</v>
      </c>
      <c r="M4513">
        <v>121</v>
      </c>
      <c r="N4513">
        <v>0</v>
      </c>
      <c r="O4513">
        <v>0</v>
      </c>
      <c r="P4513">
        <v>242</v>
      </c>
      <c r="Q4513">
        <v>242</v>
      </c>
      <c r="R4513" t="s">
        <v>98</v>
      </c>
      <c r="S4513" t="s">
        <v>91</v>
      </c>
      <c r="T4513" t="s">
        <v>40</v>
      </c>
      <c r="U4513">
        <v>34</v>
      </c>
      <c r="W4513">
        <f>Table2[[#This Row],[Quantity]]*Table2[[#This Row],[Item_Price]]</f>
        <v>242</v>
      </c>
    </row>
    <row r="4514" spans="1:23" x14ac:dyDescent="0.25">
      <c r="A4514" t="s">
        <v>4618</v>
      </c>
      <c r="B4514" s="1">
        <v>45986</v>
      </c>
      <c r="C4514" t="s">
        <v>4265</v>
      </c>
      <c r="D4514">
        <v>11</v>
      </c>
      <c r="E4514">
        <v>25</v>
      </c>
      <c r="F4514" t="s">
        <v>178</v>
      </c>
      <c r="G4514" t="s">
        <v>96</v>
      </c>
      <c r="H4514" t="s">
        <v>42</v>
      </c>
      <c r="I4514" t="s">
        <v>69</v>
      </c>
      <c r="J4514" t="s">
        <v>94</v>
      </c>
      <c r="K4514" t="s">
        <v>38</v>
      </c>
      <c r="L4514">
        <v>2</v>
      </c>
      <c r="M4514">
        <v>649</v>
      </c>
      <c r="N4514">
        <v>97.35</v>
      </c>
      <c r="O4514">
        <v>30</v>
      </c>
      <c r="P4514">
        <v>1298</v>
      </c>
      <c r="Q4514">
        <v>1230.6500000000001</v>
      </c>
      <c r="R4514" t="s">
        <v>75</v>
      </c>
      <c r="S4514" t="s">
        <v>31</v>
      </c>
      <c r="T4514" t="s">
        <v>40</v>
      </c>
      <c r="U4514">
        <v>61</v>
      </c>
      <c r="V4514">
        <v>3.8</v>
      </c>
      <c r="W4514">
        <f>Table2[[#This Row],[Quantity]]*Table2[[#This Row],[Item_Price]]</f>
        <v>1298</v>
      </c>
    </row>
    <row r="4515" spans="1:23" x14ac:dyDescent="0.25">
      <c r="A4515" t="s">
        <v>4619</v>
      </c>
      <c r="B4515" s="1">
        <v>45986</v>
      </c>
      <c r="C4515" t="s">
        <v>4265</v>
      </c>
      <c r="D4515">
        <v>11</v>
      </c>
      <c r="E4515">
        <v>25</v>
      </c>
      <c r="F4515" t="s">
        <v>178</v>
      </c>
      <c r="G4515" t="s">
        <v>55</v>
      </c>
      <c r="H4515" t="s">
        <v>77</v>
      </c>
      <c r="I4515" t="s">
        <v>61</v>
      </c>
      <c r="J4515" t="s">
        <v>101</v>
      </c>
      <c r="K4515" t="s">
        <v>29</v>
      </c>
      <c r="L4515">
        <v>2</v>
      </c>
      <c r="M4515">
        <v>226</v>
      </c>
      <c r="N4515">
        <v>56.5</v>
      </c>
      <c r="O4515">
        <v>0</v>
      </c>
      <c r="P4515">
        <v>452</v>
      </c>
      <c r="Q4515">
        <v>395.5</v>
      </c>
      <c r="R4515" t="s">
        <v>39</v>
      </c>
      <c r="S4515" t="s">
        <v>31</v>
      </c>
      <c r="T4515" t="s">
        <v>40</v>
      </c>
      <c r="U4515">
        <v>46</v>
      </c>
      <c r="V4515">
        <v>4.5999999999999996</v>
      </c>
      <c r="W4515">
        <f>Table2[[#This Row],[Quantity]]*Table2[[#This Row],[Item_Price]]</f>
        <v>452</v>
      </c>
    </row>
    <row r="4516" spans="1:23" x14ac:dyDescent="0.25">
      <c r="A4516" t="s">
        <v>4620</v>
      </c>
      <c r="B4516" s="1">
        <v>45986</v>
      </c>
      <c r="C4516" t="s">
        <v>4265</v>
      </c>
      <c r="D4516">
        <v>11</v>
      </c>
      <c r="E4516">
        <v>25</v>
      </c>
      <c r="F4516" t="s">
        <v>178</v>
      </c>
      <c r="G4516" t="s">
        <v>115</v>
      </c>
      <c r="H4516" t="s">
        <v>35</v>
      </c>
      <c r="I4516" t="s">
        <v>36</v>
      </c>
      <c r="J4516" t="s">
        <v>172</v>
      </c>
      <c r="K4516" t="s">
        <v>29</v>
      </c>
      <c r="L4516">
        <v>1</v>
      </c>
      <c r="M4516">
        <v>868</v>
      </c>
      <c r="N4516">
        <v>173.6</v>
      </c>
      <c r="O4516">
        <v>60</v>
      </c>
      <c r="P4516">
        <v>868</v>
      </c>
      <c r="Q4516">
        <v>754.4</v>
      </c>
      <c r="R4516" t="s">
        <v>30</v>
      </c>
      <c r="S4516" t="s">
        <v>31</v>
      </c>
      <c r="T4516" t="s">
        <v>40</v>
      </c>
      <c r="U4516">
        <v>36</v>
      </c>
      <c r="V4516">
        <v>4.0999999999999996</v>
      </c>
      <c r="W4516">
        <f>Table2[[#This Row],[Quantity]]*Table2[[#This Row],[Item_Price]]</f>
        <v>868</v>
      </c>
    </row>
    <row r="4517" spans="1:23" x14ac:dyDescent="0.25">
      <c r="A4517" t="s">
        <v>4621</v>
      </c>
      <c r="B4517" s="1">
        <v>45986</v>
      </c>
      <c r="C4517" t="s">
        <v>4265</v>
      </c>
      <c r="D4517">
        <v>11</v>
      </c>
      <c r="E4517">
        <v>25</v>
      </c>
      <c r="F4517" t="s">
        <v>178</v>
      </c>
      <c r="G4517" t="s">
        <v>25</v>
      </c>
      <c r="H4517" t="s">
        <v>77</v>
      </c>
      <c r="I4517" t="s">
        <v>85</v>
      </c>
      <c r="J4517" t="s">
        <v>53</v>
      </c>
      <c r="K4517" t="s">
        <v>38</v>
      </c>
      <c r="L4517">
        <v>2</v>
      </c>
      <c r="M4517">
        <v>665</v>
      </c>
      <c r="N4517">
        <v>0</v>
      </c>
      <c r="O4517">
        <v>20</v>
      </c>
      <c r="P4517">
        <v>1330</v>
      </c>
      <c r="Q4517">
        <v>1350</v>
      </c>
      <c r="R4517" t="s">
        <v>30</v>
      </c>
      <c r="S4517" t="s">
        <v>31</v>
      </c>
      <c r="T4517" t="s">
        <v>40</v>
      </c>
      <c r="U4517">
        <v>35</v>
      </c>
      <c r="V4517">
        <v>5</v>
      </c>
      <c r="W4517">
        <f>Table2[[#This Row],[Quantity]]*Table2[[#This Row],[Item_Price]]</f>
        <v>1330</v>
      </c>
    </row>
    <row r="4518" spans="1:23" x14ac:dyDescent="0.25">
      <c r="A4518" t="s">
        <v>4622</v>
      </c>
      <c r="B4518" s="1">
        <v>45987</v>
      </c>
      <c r="C4518" t="s">
        <v>4265</v>
      </c>
      <c r="D4518">
        <v>11</v>
      </c>
      <c r="E4518">
        <v>26</v>
      </c>
      <c r="F4518" t="s">
        <v>24</v>
      </c>
      <c r="G4518" t="s">
        <v>25</v>
      </c>
      <c r="H4518" t="s">
        <v>60</v>
      </c>
      <c r="I4518" t="s">
        <v>69</v>
      </c>
      <c r="J4518" t="s">
        <v>28</v>
      </c>
      <c r="K4518" t="s">
        <v>38</v>
      </c>
      <c r="L4518">
        <v>1</v>
      </c>
      <c r="M4518">
        <v>730</v>
      </c>
      <c r="N4518">
        <v>73</v>
      </c>
      <c r="O4518">
        <v>40</v>
      </c>
      <c r="P4518">
        <v>730</v>
      </c>
      <c r="Q4518">
        <v>697</v>
      </c>
      <c r="R4518" t="s">
        <v>30</v>
      </c>
      <c r="S4518" t="s">
        <v>31</v>
      </c>
      <c r="T4518" t="s">
        <v>40</v>
      </c>
      <c r="U4518">
        <v>26</v>
      </c>
      <c r="V4518">
        <v>5</v>
      </c>
      <c r="W4518">
        <f>Table2[[#This Row],[Quantity]]*Table2[[#This Row],[Item_Price]]</f>
        <v>730</v>
      </c>
    </row>
    <row r="4519" spans="1:23" x14ac:dyDescent="0.25">
      <c r="A4519" t="s">
        <v>4623</v>
      </c>
      <c r="B4519" s="1">
        <v>45987</v>
      </c>
      <c r="C4519" t="s">
        <v>4265</v>
      </c>
      <c r="D4519">
        <v>11</v>
      </c>
      <c r="E4519">
        <v>26</v>
      </c>
      <c r="F4519" t="s">
        <v>24</v>
      </c>
      <c r="G4519" t="s">
        <v>73</v>
      </c>
      <c r="H4519" t="s">
        <v>56</v>
      </c>
      <c r="I4519" t="s">
        <v>103</v>
      </c>
      <c r="J4519" t="s">
        <v>101</v>
      </c>
      <c r="K4519" t="s">
        <v>38</v>
      </c>
      <c r="L4519">
        <v>1</v>
      </c>
      <c r="M4519">
        <v>555</v>
      </c>
      <c r="N4519">
        <v>83.25</v>
      </c>
      <c r="O4519">
        <v>30</v>
      </c>
      <c r="P4519">
        <v>555</v>
      </c>
      <c r="Q4519">
        <v>501.75</v>
      </c>
      <c r="R4519" t="s">
        <v>39</v>
      </c>
      <c r="S4519" t="s">
        <v>31</v>
      </c>
      <c r="T4519" t="s">
        <v>32</v>
      </c>
      <c r="U4519">
        <v>33</v>
      </c>
      <c r="V4519">
        <v>4.3</v>
      </c>
      <c r="W4519">
        <f>Table2[[#This Row],[Quantity]]*Table2[[#This Row],[Item_Price]]</f>
        <v>555</v>
      </c>
    </row>
    <row r="4520" spans="1:23" x14ac:dyDescent="0.25">
      <c r="A4520" t="s">
        <v>4624</v>
      </c>
      <c r="B4520" s="1">
        <v>45987</v>
      </c>
      <c r="C4520" t="s">
        <v>4265</v>
      </c>
      <c r="D4520">
        <v>11</v>
      </c>
      <c r="E4520">
        <v>26</v>
      </c>
      <c r="F4520" t="s">
        <v>24</v>
      </c>
      <c r="G4520" t="s">
        <v>34</v>
      </c>
      <c r="H4520" t="s">
        <v>60</v>
      </c>
      <c r="I4520" t="s">
        <v>97</v>
      </c>
      <c r="J4520" t="s">
        <v>50</v>
      </c>
      <c r="K4520" t="s">
        <v>38</v>
      </c>
      <c r="L4520">
        <v>1</v>
      </c>
      <c r="M4520">
        <v>590</v>
      </c>
      <c r="N4520">
        <v>118</v>
      </c>
      <c r="O4520">
        <v>20</v>
      </c>
      <c r="P4520">
        <v>590</v>
      </c>
      <c r="Q4520">
        <v>492</v>
      </c>
      <c r="R4520" t="s">
        <v>39</v>
      </c>
      <c r="S4520" t="s">
        <v>91</v>
      </c>
      <c r="T4520" t="s">
        <v>32</v>
      </c>
      <c r="U4520">
        <v>54</v>
      </c>
      <c r="W4520">
        <f>Table2[[#This Row],[Quantity]]*Table2[[#This Row],[Item_Price]]</f>
        <v>590</v>
      </c>
    </row>
    <row r="4521" spans="1:23" x14ac:dyDescent="0.25">
      <c r="A4521" t="s">
        <v>4625</v>
      </c>
      <c r="B4521" s="1">
        <v>45987</v>
      </c>
      <c r="C4521" t="s">
        <v>4265</v>
      </c>
      <c r="D4521">
        <v>11</v>
      </c>
      <c r="E4521">
        <v>26</v>
      </c>
      <c r="F4521" t="s">
        <v>24</v>
      </c>
      <c r="G4521" t="s">
        <v>84</v>
      </c>
      <c r="H4521" t="s">
        <v>105</v>
      </c>
      <c r="I4521" t="s">
        <v>69</v>
      </c>
      <c r="J4521" t="s">
        <v>94</v>
      </c>
      <c r="K4521" t="s">
        <v>38</v>
      </c>
      <c r="L4521">
        <v>1</v>
      </c>
      <c r="M4521">
        <v>769</v>
      </c>
      <c r="N4521">
        <v>0</v>
      </c>
      <c r="O4521">
        <v>50</v>
      </c>
      <c r="P4521">
        <v>769</v>
      </c>
      <c r="Q4521">
        <v>819</v>
      </c>
      <c r="R4521" t="s">
        <v>39</v>
      </c>
      <c r="S4521" t="s">
        <v>31</v>
      </c>
      <c r="T4521" t="s">
        <v>40</v>
      </c>
      <c r="U4521">
        <v>23</v>
      </c>
      <c r="V4521">
        <v>4.2</v>
      </c>
      <c r="W4521">
        <f>Table2[[#This Row],[Quantity]]*Table2[[#This Row],[Item_Price]]</f>
        <v>769</v>
      </c>
    </row>
    <row r="4522" spans="1:23" x14ac:dyDescent="0.25">
      <c r="A4522" t="s">
        <v>4626</v>
      </c>
      <c r="B4522" s="1">
        <v>45987</v>
      </c>
      <c r="C4522" t="s">
        <v>4265</v>
      </c>
      <c r="D4522">
        <v>11</v>
      </c>
      <c r="E4522">
        <v>26</v>
      </c>
      <c r="F4522" t="s">
        <v>24</v>
      </c>
      <c r="G4522" t="s">
        <v>64</v>
      </c>
      <c r="H4522" t="s">
        <v>68</v>
      </c>
      <c r="I4522" t="s">
        <v>57</v>
      </c>
      <c r="J4522" t="s">
        <v>37</v>
      </c>
      <c r="K4522" t="s">
        <v>29</v>
      </c>
      <c r="L4522">
        <v>1</v>
      </c>
      <c r="M4522">
        <v>705</v>
      </c>
      <c r="N4522">
        <v>105.75</v>
      </c>
      <c r="O4522">
        <v>30</v>
      </c>
      <c r="P4522">
        <v>705</v>
      </c>
      <c r="Q4522">
        <v>629.25</v>
      </c>
      <c r="R4522" t="s">
        <v>39</v>
      </c>
      <c r="S4522" t="s">
        <v>46</v>
      </c>
      <c r="T4522" t="s">
        <v>40</v>
      </c>
      <c r="U4522">
        <v>26</v>
      </c>
      <c r="W4522">
        <f>Table2[[#This Row],[Quantity]]*Table2[[#This Row],[Item_Price]]</f>
        <v>705</v>
      </c>
    </row>
    <row r="4523" spans="1:23" x14ac:dyDescent="0.25">
      <c r="A4523" t="s">
        <v>4627</v>
      </c>
      <c r="B4523" s="1">
        <v>45987</v>
      </c>
      <c r="C4523" t="s">
        <v>4265</v>
      </c>
      <c r="D4523">
        <v>11</v>
      </c>
      <c r="E4523">
        <v>26</v>
      </c>
      <c r="F4523" t="s">
        <v>24</v>
      </c>
      <c r="G4523" t="s">
        <v>73</v>
      </c>
      <c r="H4523" t="s">
        <v>81</v>
      </c>
      <c r="I4523" t="s">
        <v>43</v>
      </c>
      <c r="J4523" t="s">
        <v>50</v>
      </c>
      <c r="K4523" t="s">
        <v>38</v>
      </c>
      <c r="L4523">
        <v>1</v>
      </c>
      <c r="M4523">
        <v>126</v>
      </c>
      <c r="N4523">
        <v>12.6</v>
      </c>
      <c r="O4523">
        <v>20</v>
      </c>
      <c r="P4523">
        <v>126</v>
      </c>
      <c r="Q4523">
        <v>133.4</v>
      </c>
      <c r="R4523" t="s">
        <v>112</v>
      </c>
      <c r="S4523" t="s">
        <v>31</v>
      </c>
      <c r="T4523" t="s">
        <v>32</v>
      </c>
      <c r="U4523">
        <v>37</v>
      </c>
      <c r="V4523">
        <v>5</v>
      </c>
      <c r="W4523">
        <f>Table2[[#This Row],[Quantity]]*Table2[[#This Row],[Item_Price]]</f>
        <v>126</v>
      </c>
    </row>
    <row r="4524" spans="1:23" x14ac:dyDescent="0.25">
      <c r="A4524" t="s">
        <v>4628</v>
      </c>
      <c r="B4524" s="1">
        <v>45987</v>
      </c>
      <c r="C4524" t="s">
        <v>4265</v>
      </c>
      <c r="D4524">
        <v>11</v>
      </c>
      <c r="E4524">
        <v>26</v>
      </c>
      <c r="F4524" t="s">
        <v>24</v>
      </c>
      <c r="G4524" t="s">
        <v>115</v>
      </c>
      <c r="H4524" t="s">
        <v>60</v>
      </c>
      <c r="I4524" t="s">
        <v>97</v>
      </c>
      <c r="J4524" t="s">
        <v>94</v>
      </c>
      <c r="K4524" t="s">
        <v>38</v>
      </c>
      <c r="L4524">
        <v>2</v>
      </c>
      <c r="M4524">
        <v>687</v>
      </c>
      <c r="N4524">
        <v>171.75</v>
      </c>
      <c r="O4524">
        <v>30</v>
      </c>
      <c r="P4524">
        <v>1374</v>
      </c>
      <c r="Q4524">
        <v>1232.25</v>
      </c>
      <c r="R4524" t="s">
        <v>75</v>
      </c>
      <c r="S4524" t="s">
        <v>31</v>
      </c>
      <c r="T4524" t="s">
        <v>40</v>
      </c>
      <c r="U4524">
        <v>25</v>
      </c>
      <c r="V4524">
        <v>4.0999999999999996</v>
      </c>
      <c r="W4524">
        <f>Table2[[#This Row],[Quantity]]*Table2[[#This Row],[Item_Price]]</f>
        <v>1374</v>
      </c>
    </row>
    <row r="4525" spans="1:23" x14ac:dyDescent="0.25">
      <c r="A4525" t="s">
        <v>4629</v>
      </c>
      <c r="B4525" s="1">
        <v>45987</v>
      </c>
      <c r="C4525" t="s">
        <v>4265</v>
      </c>
      <c r="D4525">
        <v>11</v>
      </c>
      <c r="E4525">
        <v>26</v>
      </c>
      <c r="F4525" t="s">
        <v>24</v>
      </c>
      <c r="G4525" t="s">
        <v>73</v>
      </c>
      <c r="H4525" t="s">
        <v>108</v>
      </c>
      <c r="I4525" t="s">
        <v>36</v>
      </c>
      <c r="J4525" t="s">
        <v>70</v>
      </c>
      <c r="K4525" t="s">
        <v>38</v>
      </c>
      <c r="L4525">
        <v>2</v>
      </c>
      <c r="M4525">
        <v>530</v>
      </c>
      <c r="N4525">
        <v>79.5</v>
      </c>
      <c r="O4525">
        <v>20</v>
      </c>
      <c r="P4525">
        <v>1060</v>
      </c>
      <c r="Q4525">
        <v>1000.5</v>
      </c>
      <c r="R4525" t="s">
        <v>39</v>
      </c>
      <c r="S4525" t="s">
        <v>31</v>
      </c>
      <c r="T4525" t="s">
        <v>32</v>
      </c>
      <c r="U4525">
        <v>32</v>
      </c>
      <c r="V4525">
        <v>3.3</v>
      </c>
      <c r="W4525">
        <f>Table2[[#This Row],[Quantity]]*Table2[[#This Row],[Item_Price]]</f>
        <v>1060</v>
      </c>
    </row>
    <row r="4526" spans="1:23" x14ac:dyDescent="0.25">
      <c r="A4526" t="s">
        <v>4630</v>
      </c>
      <c r="B4526" s="1">
        <v>45987</v>
      </c>
      <c r="C4526" t="s">
        <v>4265</v>
      </c>
      <c r="D4526">
        <v>11</v>
      </c>
      <c r="E4526">
        <v>26</v>
      </c>
      <c r="F4526" t="s">
        <v>24</v>
      </c>
      <c r="G4526" t="s">
        <v>34</v>
      </c>
      <c r="H4526" t="s">
        <v>108</v>
      </c>
      <c r="I4526" t="s">
        <v>27</v>
      </c>
      <c r="J4526" t="s">
        <v>101</v>
      </c>
      <c r="K4526" t="s">
        <v>38</v>
      </c>
      <c r="L4526">
        <v>1</v>
      </c>
      <c r="M4526">
        <v>713</v>
      </c>
      <c r="N4526">
        <v>142.6</v>
      </c>
      <c r="O4526">
        <v>0</v>
      </c>
      <c r="P4526">
        <v>713</v>
      </c>
      <c r="Q4526">
        <v>570.4</v>
      </c>
      <c r="R4526" t="s">
        <v>75</v>
      </c>
      <c r="S4526" t="s">
        <v>31</v>
      </c>
      <c r="T4526" t="s">
        <v>40</v>
      </c>
      <c r="U4526">
        <v>62</v>
      </c>
      <c r="V4526">
        <v>3.3</v>
      </c>
      <c r="W4526">
        <f>Table2[[#This Row],[Quantity]]*Table2[[#This Row],[Item_Price]]</f>
        <v>713</v>
      </c>
    </row>
    <row r="4527" spans="1:23" x14ac:dyDescent="0.25">
      <c r="A4527" t="s">
        <v>4631</v>
      </c>
      <c r="B4527" s="1">
        <v>45987</v>
      </c>
      <c r="C4527" t="s">
        <v>4265</v>
      </c>
      <c r="D4527">
        <v>11</v>
      </c>
      <c r="E4527">
        <v>26</v>
      </c>
      <c r="F4527" t="s">
        <v>24</v>
      </c>
      <c r="G4527" t="s">
        <v>73</v>
      </c>
      <c r="H4527" t="s">
        <v>42</v>
      </c>
      <c r="I4527" t="s">
        <v>97</v>
      </c>
      <c r="J4527" t="s">
        <v>70</v>
      </c>
      <c r="K4527" t="s">
        <v>58</v>
      </c>
      <c r="L4527">
        <v>1</v>
      </c>
      <c r="M4527">
        <v>791</v>
      </c>
      <c r="N4527">
        <v>39.549999999999997</v>
      </c>
      <c r="O4527">
        <v>20</v>
      </c>
      <c r="P4527">
        <v>791</v>
      </c>
      <c r="Q4527">
        <v>771.45</v>
      </c>
      <c r="R4527" t="s">
        <v>39</v>
      </c>
      <c r="S4527" t="s">
        <v>31</v>
      </c>
      <c r="T4527" t="s">
        <v>40</v>
      </c>
      <c r="U4527">
        <v>31</v>
      </c>
      <c r="V4527">
        <v>3.9</v>
      </c>
      <c r="W4527">
        <f>Table2[[#This Row],[Quantity]]*Table2[[#This Row],[Item_Price]]</f>
        <v>791</v>
      </c>
    </row>
    <row r="4528" spans="1:23" x14ac:dyDescent="0.25">
      <c r="A4528" t="s">
        <v>4632</v>
      </c>
      <c r="B4528" s="1">
        <v>45987</v>
      </c>
      <c r="C4528" t="s">
        <v>4265</v>
      </c>
      <c r="D4528">
        <v>11</v>
      </c>
      <c r="E4528">
        <v>26</v>
      </c>
      <c r="F4528" t="s">
        <v>24</v>
      </c>
      <c r="G4528" t="s">
        <v>84</v>
      </c>
      <c r="H4528" t="s">
        <v>56</v>
      </c>
      <c r="I4528" t="s">
        <v>36</v>
      </c>
      <c r="J4528" t="s">
        <v>37</v>
      </c>
      <c r="K4528" t="s">
        <v>38</v>
      </c>
      <c r="L4528">
        <v>3</v>
      </c>
      <c r="M4528">
        <v>829</v>
      </c>
      <c r="N4528">
        <v>0</v>
      </c>
      <c r="O4528">
        <v>30</v>
      </c>
      <c r="P4528">
        <v>2487</v>
      </c>
      <c r="Q4528">
        <v>2517</v>
      </c>
      <c r="R4528" t="s">
        <v>75</v>
      </c>
      <c r="S4528" t="s">
        <v>31</v>
      </c>
      <c r="T4528" t="s">
        <v>40</v>
      </c>
      <c r="U4528">
        <v>61</v>
      </c>
      <c r="V4528">
        <v>4.0999999999999996</v>
      </c>
      <c r="W4528">
        <f>Table2[[#This Row],[Quantity]]*Table2[[#This Row],[Item_Price]]</f>
        <v>2487</v>
      </c>
    </row>
    <row r="4529" spans="1:23" x14ac:dyDescent="0.25">
      <c r="A4529" t="s">
        <v>4633</v>
      </c>
      <c r="B4529" s="1">
        <v>45987</v>
      </c>
      <c r="C4529" t="s">
        <v>4265</v>
      </c>
      <c r="D4529">
        <v>11</v>
      </c>
      <c r="E4529">
        <v>26</v>
      </c>
      <c r="F4529" t="s">
        <v>24</v>
      </c>
      <c r="G4529" t="s">
        <v>115</v>
      </c>
      <c r="H4529" t="s">
        <v>48</v>
      </c>
      <c r="I4529" t="s">
        <v>85</v>
      </c>
      <c r="J4529" t="s">
        <v>50</v>
      </c>
      <c r="K4529" t="s">
        <v>38</v>
      </c>
      <c r="L4529">
        <v>2</v>
      </c>
      <c r="M4529">
        <v>168</v>
      </c>
      <c r="N4529">
        <v>25.2</v>
      </c>
      <c r="O4529">
        <v>40</v>
      </c>
      <c r="P4529">
        <v>336</v>
      </c>
      <c r="Q4529">
        <v>350.8</v>
      </c>
      <c r="R4529" t="s">
        <v>39</v>
      </c>
      <c r="S4529" t="s">
        <v>31</v>
      </c>
      <c r="T4529" t="s">
        <v>32</v>
      </c>
      <c r="U4529">
        <v>62</v>
      </c>
      <c r="V4529">
        <v>4.7</v>
      </c>
      <c r="W4529">
        <f>Table2[[#This Row],[Quantity]]*Table2[[#This Row],[Item_Price]]</f>
        <v>336</v>
      </c>
    </row>
    <row r="4530" spans="1:23" x14ac:dyDescent="0.25">
      <c r="A4530" t="s">
        <v>4634</v>
      </c>
      <c r="B4530" s="1">
        <v>45987</v>
      </c>
      <c r="C4530" t="s">
        <v>4265</v>
      </c>
      <c r="D4530">
        <v>11</v>
      </c>
      <c r="E4530">
        <v>26</v>
      </c>
      <c r="F4530" t="s">
        <v>24</v>
      </c>
      <c r="G4530" t="s">
        <v>25</v>
      </c>
      <c r="H4530" t="s">
        <v>42</v>
      </c>
      <c r="I4530" t="s">
        <v>49</v>
      </c>
      <c r="J4530" t="s">
        <v>123</v>
      </c>
      <c r="K4530" t="s">
        <v>45</v>
      </c>
      <c r="L4530">
        <v>1</v>
      </c>
      <c r="M4530">
        <v>716</v>
      </c>
      <c r="N4530">
        <v>107.4</v>
      </c>
      <c r="O4530">
        <v>0</v>
      </c>
      <c r="P4530">
        <v>716</v>
      </c>
      <c r="Q4530">
        <v>608.6</v>
      </c>
      <c r="R4530" t="s">
        <v>39</v>
      </c>
      <c r="S4530" t="s">
        <v>31</v>
      </c>
      <c r="T4530" t="s">
        <v>40</v>
      </c>
      <c r="U4530">
        <v>64</v>
      </c>
      <c r="V4530">
        <v>3.2</v>
      </c>
      <c r="W4530">
        <f>Table2[[#This Row],[Quantity]]*Table2[[#This Row],[Item_Price]]</f>
        <v>716</v>
      </c>
    </row>
    <row r="4531" spans="1:23" x14ac:dyDescent="0.25">
      <c r="A4531" t="s">
        <v>4635</v>
      </c>
      <c r="B4531" s="1">
        <v>45988</v>
      </c>
      <c r="C4531" t="s">
        <v>4265</v>
      </c>
      <c r="D4531">
        <v>11</v>
      </c>
      <c r="E4531">
        <v>27</v>
      </c>
      <c r="F4531" t="s">
        <v>88</v>
      </c>
      <c r="G4531" t="s">
        <v>25</v>
      </c>
      <c r="H4531" t="s">
        <v>135</v>
      </c>
      <c r="I4531" t="s">
        <v>69</v>
      </c>
      <c r="J4531" t="s">
        <v>74</v>
      </c>
      <c r="K4531" t="s">
        <v>38</v>
      </c>
      <c r="L4531">
        <v>1</v>
      </c>
      <c r="M4531">
        <v>642</v>
      </c>
      <c r="N4531">
        <v>96.3</v>
      </c>
      <c r="O4531">
        <v>20</v>
      </c>
      <c r="P4531">
        <v>642</v>
      </c>
      <c r="Q4531">
        <v>565.70000000000005</v>
      </c>
      <c r="R4531" t="s">
        <v>30</v>
      </c>
      <c r="S4531" t="s">
        <v>46</v>
      </c>
      <c r="T4531" t="s">
        <v>40</v>
      </c>
      <c r="U4531">
        <v>33</v>
      </c>
      <c r="W4531">
        <f>Table2[[#This Row],[Quantity]]*Table2[[#This Row],[Item_Price]]</f>
        <v>642</v>
      </c>
    </row>
    <row r="4532" spans="1:23" x14ac:dyDescent="0.25">
      <c r="A4532" t="s">
        <v>4636</v>
      </c>
      <c r="B4532" s="1">
        <v>45988</v>
      </c>
      <c r="C4532" t="s">
        <v>4265</v>
      </c>
      <c r="D4532">
        <v>11</v>
      </c>
      <c r="E4532">
        <v>27</v>
      </c>
      <c r="F4532" t="s">
        <v>88</v>
      </c>
      <c r="G4532" t="s">
        <v>25</v>
      </c>
      <c r="H4532" t="s">
        <v>135</v>
      </c>
      <c r="I4532" t="s">
        <v>69</v>
      </c>
      <c r="J4532" t="s">
        <v>28</v>
      </c>
      <c r="K4532" t="s">
        <v>29</v>
      </c>
      <c r="L4532">
        <v>1</v>
      </c>
      <c r="M4532">
        <v>895</v>
      </c>
      <c r="N4532">
        <v>89.5</v>
      </c>
      <c r="O4532">
        <v>50</v>
      </c>
      <c r="P4532">
        <v>895</v>
      </c>
      <c r="Q4532">
        <v>855.5</v>
      </c>
      <c r="R4532" t="s">
        <v>39</v>
      </c>
      <c r="S4532" t="s">
        <v>31</v>
      </c>
      <c r="T4532" t="s">
        <v>40</v>
      </c>
      <c r="U4532">
        <v>62</v>
      </c>
      <c r="V4532">
        <v>3.9</v>
      </c>
      <c r="W4532">
        <f>Table2[[#This Row],[Quantity]]*Table2[[#This Row],[Item_Price]]</f>
        <v>895</v>
      </c>
    </row>
    <row r="4533" spans="1:23" x14ac:dyDescent="0.25">
      <c r="A4533" t="s">
        <v>4637</v>
      </c>
      <c r="B4533" s="1">
        <v>45988</v>
      </c>
      <c r="C4533" t="s">
        <v>4265</v>
      </c>
      <c r="D4533">
        <v>11</v>
      </c>
      <c r="E4533">
        <v>27</v>
      </c>
      <c r="F4533" t="s">
        <v>88</v>
      </c>
      <c r="G4533" t="s">
        <v>64</v>
      </c>
      <c r="H4533" t="s">
        <v>135</v>
      </c>
      <c r="I4533" t="s">
        <v>57</v>
      </c>
      <c r="J4533" t="s">
        <v>66</v>
      </c>
      <c r="K4533" t="s">
        <v>38</v>
      </c>
      <c r="L4533">
        <v>2</v>
      </c>
      <c r="M4533">
        <v>136</v>
      </c>
      <c r="N4533">
        <v>6.8</v>
      </c>
      <c r="O4533">
        <v>20</v>
      </c>
      <c r="P4533">
        <v>272</v>
      </c>
      <c r="Q4533">
        <v>285.2</v>
      </c>
      <c r="R4533" t="s">
        <v>112</v>
      </c>
      <c r="S4533" t="s">
        <v>46</v>
      </c>
      <c r="T4533" t="s">
        <v>32</v>
      </c>
      <c r="U4533">
        <v>29</v>
      </c>
      <c r="W4533">
        <f>Table2[[#This Row],[Quantity]]*Table2[[#This Row],[Item_Price]]</f>
        <v>272</v>
      </c>
    </row>
    <row r="4534" spans="1:23" x14ac:dyDescent="0.25">
      <c r="A4534" t="s">
        <v>4638</v>
      </c>
      <c r="B4534" s="1">
        <v>45988</v>
      </c>
      <c r="C4534" t="s">
        <v>4265</v>
      </c>
      <c r="D4534">
        <v>11</v>
      </c>
      <c r="E4534">
        <v>27</v>
      </c>
      <c r="F4534" t="s">
        <v>88</v>
      </c>
      <c r="G4534" t="s">
        <v>64</v>
      </c>
      <c r="H4534" t="s">
        <v>60</v>
      </c>
      <c r="I4534" t="s">
        <v>103</v>
      </c>
      <c r="J4534" t="s">
        <v>94</v>
      </c>
      <c r="K4534" t="s">
        <v>38</v>
      </c>
      <c r="L4534">
        <v>1</v>
      </c>
      <c r="M4534">
        <v>178</v>
      </c>
      <c r="N4534">
        <v>8.9</v>
      </c>
      <c r="O4534">
        <v>30</v>
      </c>
      <c r="P4534">
        <v>178</v>
      </c>
      <c r="Q4534">
        <v>199.1</v>
      </c>
      <c r="R4534" t="s">
        <v>39</v>
      </c>
      <c r="S4534" t="s">
        <v>31</v>
      </c>
      <c r="T4534" t="s">
        <v>40</v>
      </c>
      <c r="U4534">
        <v>25</v>
      </c>
      <c r="V4534">
        <v>5</v>
      </c>
      <c r="W4534">
        <f>Table2[[#This Row],[Quantity]]*Table2[[#This Row],[Item_Price]]</f>
        <v>178</v>
      </c>
    </row>
    <row r="4535" spans="1:23" x14ac:dyDescent="0.25">
      <c r="A4535" t="s">
        <v>4639</v>
      </c>
      <c r="B4535" s="1">
        <v>45988</v>
      </c>
      <c r="C4535" t="s">
        <v>4265</v>
      </c>
      <c r="D4535">
        <v>11</v>
      </c>
      <c r="E4535">
        <v>27</v>
      </c>
      <c r="F4535" t="s">
        <v>88</v>
      </c>
      <c r="G4535" t="s">
        <v>34</v>
      </c>
      <c r="H4535" t="s">
        <v>65</v>
      </c>
      <c r="I4535" t="s">
        <v>61</v>
      </c>
      <c r="J4535" t="s">
        <v>82</v>
      </c>
      <c r="K4535" t="s">
        <v>38</v>
      </c>
      <c r="L4535">
        <v>2</v>
      </c>
      <c r="M4535">
        <v>675</v>
      </c>
      <c r="N4535">
        <v>67.5</v>
      </c>
      <c r="O4535">
        <v>60</v>
      </c>
      <c r="P4535">
        <v>1350</v>
      </c>
      <c r="Q4535">
        <v>1342.5</v>
      </c>
      <c r="R4535" t="s">
        <v>75</v>
      </c>
      <c r="S4535" t="s">
        <v>31</v>
      </c>
      <c r="T4535" t="s">
        <v>32</v>
      </c>
      <c r="U4535">
        <v>34</v>
      </c>
      <c r="V4535">
        <v>4.2</v>
      </c>
      <c r="W4535">
        <f>Table2[[#This Row],[Quantity]]*Table2[[#This Row],[Item_Price]]</f>
        <v>1350</v>
      </c>
    </row>
    <row r="4536" spans="1:23" x14ac:dyDescent="0.25">
      <c r="A4536" t="s">
        <v>4640</v>
      </c>
      <c r="B4536" s="1">
        <v>45988</v>
      </c>
      <c r="C4536" t="s">
        <v>4265</v>
      </c>
      <c r="D4536">
        <v>11</v>
      </c>
      <c r="E4536">
        <v>27</v>
      </c>
      <c r="F4536" t="s">
        <v>88</v>
      </c>
      <c r="G4536" t="s">
        <v>55</v>
      </c>
      <c r="H4536" t="s">
        <v>135</v>
      </c>
      <c r="I4536" t="s">
        <v>85</v>
      </c>
      <c r="J4536" t="s">
        <v>172</v>
      </c>
      <c r="K4536" t="s">
        <v>45</v>
      </c>
      <c r="L4536">
        <v>2</v>
      </c>
      <c r="M4536">
        <v>550</v>
      </c>
      <c r="N4536">
        <v>110</v>
      </c>
      <c r="O4536">
        <v>0</v>
      </c>
      <c r="P4536">
        <v>1100</v>
      </c>
      <c r="Q4536">
        <v>990</v>
      </c>
      <c r="R4536" t="s">
        <v>112</v>
      </c>
      <c r="S4536" t="s">
        <v>31</v>
      </c>
      <c r="T4536" t="s">
        <v>40</v>
      </c>
      <c r="U4536">
        <v>24</v>
      </c>
      <c r="V4536">
        <v>4.5999999999999996</v>
      </c>
      <c r="W4536">
        <f>Table2[[#This Row],[Quantity]]*Table2[[#This Row],[Item_Price]]</f>
        <v>1100</v>
      </c>
    </row>
    <row r="4537" spans="1:23" x14ac:dyDescent="0.25">
      <c r="A4537" t="s">
        <v>4641</v>
      </c>
      <c r="B4537" s="1">
        <v>45988</v>
      </c>
      <c r="C4537" t="s">
        <v>4265</v>
      </c>
      <c r="D4537">
        <v>11</v>
      </c>
      <c r="E4537">
        <v>27</v>
      </c>
      <c r="F4537" t="s">
        <v>88</v>
      </c>
      <c r="G4537" t="s">
        <v>90</v>
      </c>
      <c r="H4537" t="s">
        <v>60</v>
      </c>
      <c r="I4537" t="s">
        <v>27</v>
      </c>
      <c r="J4537" t="s">
        <v>53</v>
      </c>
      <c r="K4537" t="s">
        <v>38</v>
      </c>
      <c r="L4537">
        <v>2</v>
      </c>
      <c r="M4537">
        <v>414</v>
      </c>
      <c r="N4537">
        <v>41.4</v>
      </c>
      <c r="O4537">
        <v>60</v>
      </c>
      <c r="P4537">
        <v>828</v>
      </c>
      <c r="Q4537">
        <v>846.6</v>
      </c>
      <c r="R4537" t="s">
        <v>75</v>
      </c>
      <c r="S4537" t="s">
        <v>31</v>
      </c>
      <c r="T4537" t="s">
        <v>40</v>
      </c>
      <c r="U4537">
        <v>53</v>
      </c>
      <c r="V4537">
        <v>3.9</v>
      </c>
      <c r="W4537">
        <f>Table2[[#This Row],[Quantity]]*Table2[[#This Row],[Item_Price]]</f>
        <v>828</v>
      </c>
    </row>
    <row r="4538" spans="1:23" x14ac:dyDescent="0.25">
      <c r="A4538" t="s">
        <v>4642</v>
      </c>
      <c r="B4538" s="1">
        <v>45988</v>
      </c>
      <c r="C4538" t="s">
        <v>4265</v>
      </c>
      <c r="D4538">
        <v>11</v>
      </c>
      <c r="E4538">
        <v>27</v>
      </c>
      <c r="F4538" t="s">
        <v>88</v>
      </c>
      <c r="G4538" t="s">
        <v>34</v>
      </c>
      <c r="H4538" t="s">
        <v>108</v>
      </c>
      <c r="I4538" t="s">
        <v>43</v>
      </c>
      <c r="J4538" t="s">
        <v>62</v>
      </c>
      <c r="K4538" t="s">
        <v>38</v>
      </c>
      <c r="L4538">
        <v>1</v>
      </c>
      <c r="M4538">
        <v>132</v>
      </c>
      <c r="N4538">
        <v>33</v>
      </c>
      <c r="O4538">
        <v>30</v>
      </c>
      <c r="P4538">
        <v>132</v>
      </c>
      <c r="Q4538">
        <v>129</v>
      </c>
      <c r="R4538" t="s">
        <v>39</v>
      </c>
      <c r="S4538" t="s">
        <v>31</v>
      </c>
      <c r="T4538" t="s">
        <v>40</v>
      </c>
      <c r="U4538">
        <v>47</v>
      </c>
      <c r="V4538">
        <v>4.9000000000000004</v>
      </c>
      <c r="W4538">
        <f>Table2[[#This Row],[Quantity]]*Table2[[#This Row],[Item_Price]]</f>
        <v>132</v>
      </c>
    </row>
    <row r="4539" spans="1:23" x14ac:dyDescent="0.25">
      <c r="A4539" t="s">
        <v>4643</v>
      </c>
      <c r="B4539" s="1">
        <v>45988</v>
      </c>
      <c r="C4539" t="s">
        <v>4265</v>
      </c>
      <c r="D4539">
        <v>11</v>
      </c>
      <c r="E4539">
        <v>27</v>
      </c>
      <c r="F4539" t="s">
        <v>88</v>
      </c>
      <c r="G4539" t="s">
        <v>96</v>
      </c>
      <c r="H4539" t="s">
        <v>68</v>
      </c>
      <c r="I4539" t="s">
        <v>85</v>
      </c>
      <c r="J4539" t="s">
        <v>172</v>
      </c>
      <c r="K4539" t="s">
        <v>38</v>
      </c>
      <c r="L4539">
        <v>1</v>
      </c>
      <c r="M4539">
        <v>436</v>
      </c>
      <c r="N4539">
        <v>21.8</v>
      </c>
      <c r="O4539">
        <v>0</v>
      </c>
      <c r="P4539">
        <v>436</v>
      </c>
      <c r="Q4539">
        <v>414.2</v>
      </c>
      <c r="R4539" t="s">
        <v>39</v>
      </c>
      <c r="S4539" t="s">
        <v>46</v>
      </c>
      <c r="T4539" t="s">
        <v>40</v>
      </c>
      <c r="U4539">
        <v>45</v>
      </c>
      <c r="W4539">
        <f>Table2[[#This Row],[Quantity]]*Table2[[#This Row],[Item_Price]]</f>
        <v>436</v>
      </c>
    </row>
    <row r="4540" spans="1:23" x14ac:dyDescent="0.25">
      <c r="A4540" t="s">
        <v>4644</v>
      </c>
      <c r="B4540" s="1">
        <v>45988</v>
      </c>
      <c r="C4540" t="s">
        <v>4265</v>
      </c>
      <c r="D4540">
        <v>11</v>
      </c>
      <c r="E4540">
        <v>27</v>
      </c>
      <c r="F4540" t="s">
        <v>88</v>
      </c>
      <c r="G4540" t="s">
        <v>84</v>
      </c>
      <c r="H4540" t="s">
        <v>48</v>
      </c>
      <c r="I4540" t="s">
        <v>103</v>
      </c>
      <c r="J4540" t="s">
        <v>28</v>
      </c>
      <c r="K4540" t="s">
        <v>38</v>
      </c>
      <c r="L4540">
        <v>1</v>
      </c>
      <c r="M4540">
        <v>131</v>
      </c>
      <c r="N4540">
        <v>19.649999999999999</v>
      </c>
      <c r="O4540">
        <v>20</v>
      </c>
      <c r="P4540">
        <v>131</v>
      </c>
      <c r="Q4540">
        <v>131.35</v>
      </c>
      <c r="R4540" t="s">
        <v>30</v>
      </c>
      <c r="S4540" t="s">
        <v>31</v>
      </c>
      <c r="T4540" t="s">
        <v>40</v>
      </c>
      <c r="U4540">
        <v>24</v>
      </c>
      <c r="V4540">
        <v>4</v>
      </c>
      <c r="W4540">
        <f>Table2[[#This Row],[Quantity]]*Table2[[#This Row],[Item_Price]]</f>
        <v>131</v>
      </c>
    </row>
    <row r="4541" spans="1:23" x14ac:dyDescent="0.25">
      <c r="A4541" t="s">
        <v>4645</v>
      </c>
      <c r="B4541" s="1">
        <v>45988</v>
      </c>
      <c r="C4541" t="s">
        <v>4265</v>
      </c>
      <c r="D4541">
        <v>11</v>
      </c>
      <c r="E4541">
        <v>27</v>
      </c>
      <c r="F4541" t="s">
        <v>88</v>
      </c>
      <c r="G4541" t="s">
        <v>73</v>
      </c>
      <c r="H4541" t="s">
        <v>77</v>
      </c>
      <c r="I4541" t="s">
        <v>49</v>
      </c>
      <c r="J4541" t="s">
        <v>37</v>
      </c>
      <c r="K4541" t="s">
        <v>38</v>
      </c>
      <c r="L4541">
        <v>2</v>
      </c>
      <c r="M4541">
        <v>660</v>
      </c>
      <c r="N4541">
        <v>33</v>
      </c>
      <c r="O4541">
        <v>60</v>
      </c>
      <c r="P4541">
        <v>1320</v>
      </c>
      <c r="Q4541">
        <v>1347</v>
      </c>
      <c r="R4541" t="s">
        <v>75</v>
      </c>
      <c r="S4541" t="s">
        <v>31</v>
      </c>
      <c r="T4541" t="s">
        <v>40</v>
      </c>
      <c r="U4541">
        <v>62</v>
      </c>
      <c r="V4541">
        <v>4.7</v>
      </c>
      <c r="W4541">
        <f>Table2[[#This Row],[Quantity]]*Table2[[#This Row],[Item_Price]]</f>
        <v>1320</v>
      </c>
    </row>
    <row r="4542" spans="1:23" x14ac:dyDescent="0.25">
      <c r="A4542" t="s">
        <v>4646</v>
      </c>
      <c r="B4542" s="1">
        <v>45988</v>
      </c>
      <c r="C4542" t="s">
        <v>4265</v>
      </c>
      <c r="D4542">
        <v>11</v>
      </c>
      <c r="E4542">
        <v>27</v>
      </c>
      <c r="F4542" t="s">
        <v>88</v>
      </c>
      <c r="G4542" t="s">
        <v>34</v>
      </c>
      <c r="H4542" t="s">
        <v>60</v>
      </c>
      <c r="I4542" t="s">
        <v>97</v>
      </c>
      <c r="J4542" t="s">
        <v>172</v>
      </c>
      <c r="K4542" t="s">
        <v>29</v>
      </c>
      <c r="L4542">
        <v>2</v>
      </c>
      <c r="M4542">
        <v>478</v>
      </c>
      <c r="N4542">
        <v>47.8</v>
      </c>
      <c r="O4542">
        <v>60</v>
      </c>
      <c r="P4542">
        <v>956</v>
      </c>
      <c r="Q4542">
        <v>968.2</v>
      </c>
      <c r="R4542" t="s">
        <v>112</v>
      </c>
      <c r="S4542" t="s">
        <v>31</v>
      </c>
      <c r="T4542" t="s">
        <v>40</v>
      </c>
      <c r="U4542">
        <v>23</v>
      </c>
      <c r="V4542">
        <v>4.0999999999999996</v>
      </c>
      <c r="W4542">
        <f>Table2[[#This Row],[Quantity]]*Table2[[#This Row],[Item_Price]]</f>
        <v>956</v>
      </c>
    </row>
    <row r="4543" spans="1:23" x14ac:dyDescent="0.25">
      <c r="A4543" t="s">
        <v>4647</v>
      </c>
      <c r="B4543" s="1">
        <v>45988</v>
      </c>
      <c r="C4543" t="s">
        <v>4265</v>
      </c>
      <c r="D4543">
        <v>11</v>
      </c>
      <c r="E4543">
        <v>27</v>
      </c>
      <c r="F4543" t="s">
        <v>88</v>
      </c>
      <c r="G4543" t="s">
        <v>64</v>
      </c>
      <c r="H4543" t="s">
        <v>105</v>
      </c>
      <c r="I4543" t="s">
        <v>57</v>
      </c>
      <c r="J4543" t="s">
        <v>70</v>
      </c>
      <c r="K4543" t="s">
        <v>29</v>
      </c>
      <c r="L4543">
        <v>2</v>
      </c>
      <c r="M4543">
        <v>896</v>
      </c>
      <c r="N4543">
        <v>179.2</v>
      </c>
      <c r="O4543">
        <v>40</v>
      </c>
      <c r="P4543">
        <v>1792</v>
      </c>
      <c r="Q4543">
        <v>1652.8</v>
      </c>
      <c r="R4543" t="s">
        <v>30</v>
      </c>
      <c r="S4543" t="s">
        <v>31</v>
      </c>
      <c r="T4543" t="s">
        <v>32</v>
      </c>
      <c r="U4543">
        <v>42</v>
      </c>
      <c r="V4543">
        <v>4.8</v>
      </c>
      <c r="W4543">
        <f>Table2[[#This Row],[Quantity]]*Table2[[#This Row],[Item_Price]]</f>
        <v>1792</v>
      </c>
    </row>
    <row r="4544" spans="1:23" x14ac:dyDescent="0.25">
      <c r="A4544" t="s">
        <v>4648</v>
      </c>
      <c r="B4544" s="1">
        <v>45988</v>
      </c>
      <c r="C4544" t="s">
        <v>4265</v>
      </c>
      <c r="D4544">
        <v>11</v>
      </c>
      <c r="E4544">
        <v>27</v>
      </c>
      <c r="F4544" t="s">
        <v>88</v>
      </c>
      <c r="G4544" t="s">
        <v>73</v>
      </c>
      <c r="H4544" t="s">
        <v>77</v>
      </c>
      <c r="I4544" t="s">
        <v>69</v>
      </c>
      <c r="J4544" t="s">
        <v>119</v>
      </c>
      <c r="K4544" t="s">
        <v>38</v>
      </c>
      <c r="L4544">
        <v>2</v>
      </c>
      <c r="M4544">
        <v>647</v>
      </c>
      <c r="N4544">
        <v>0</v>
      </c>
      <c r="O4544">
        <v>0</v>
      </c>
      <c r="P4544">
        <v>1294</v>
      </c>
      <c r="Q4544">
        <v>1294</v>
      </c>
      <c r="R4544" t="s">
        <v>39</v>
      </c>
      <c r="S4544" t="s">
        <v>31</v>
      </c>
      <c r="T4544" t="s">
        <v>40</v>
      </c>
      <c r="U4544">
        <v>52</v>
      </c>
      <c r="V4544">
        <v>4.9000000000000004</v>
      </c>
      <c r="W4544">
        <f>Table2[[#This Row],[Quantity]]*Table2[[#This Row],[Item_Price]]</f>
        <v>1294</v>
      </c>
    </row>
    <row r="4545" spans="1:23" x14ac:dyDescent="0.25">
      <c r="A4545" t="s">
        <v>4649</v>
      </c>
      <c r="B4545" s="1">
        <v>45989</v>
      </c>
      <c r="C4545" t="s">
        <v>4265</v>
      </c>
      <c r="D4545">
        <v>11</v>
      </c>
      <c r="E4545">
        <v>28</v>
      </c>
      <c r="F4545" t="s">
        <v>114</v>
      </c>
      <c r="G4545" t="s">
        <v>115</v>
      </c>
      <c r="H4545" t="s">
        <v>26</v>
      </c>
      <c r="I4545" t="s">
        <v>61</v>
      </c>
      <c r="J4545" t="s">
        <v>70</v>
      </c>
      <c r="K4545" t="s">
        <v>45</v>
      </c>
      <c r="L4545">
        <v>3</v>
      </c>
      <c r="M4545">
        <v>369</v>
      </c>
      <c r="N4545">
        <v>55.35</v>
      </c>
      <c r="O4545">
        <v>50</v>
      </c>
      <c r="P4545">
        <v>1107</v>
      </c>
      <c r="Q4545">
        <v>1101.6500000000001</v>
      </c>
      <c r="R4545" t="s">
        <v>39</v>
      </c>
      <c r="S4545" t="s">
        <v>31</v>
      </c>
      <c r="T4545" t="s">
        <v>32</v>
      </c>
      <c r="U4545">
        <v>21</v>
      </c>
      <c r="V4545">
        <v>3.3</v>
      </c>
      <c r="W4545">
        <f>Table2[[#This Row],[Quantity]]*Table2[[#This Row],[Item_Price]]</f>
        <v>1107</v>
      </c>
    </row>
    <row r="4546" spans="1:23" x14ac:dyDescent="0.25">
      <c r="A4546" t="s">
        <v>4650</v>
      </c>
      <c r="B4546" s="1">
        <v>45989</v>
      </c>
      <c r="C4546" t="s">
        <v>4265</v>
      </c>
      <c r="D4546">
        <v>11</v>
      </c>
      <c r="E4546">
        <v>28</v>
      </c>
      <c r="F4546" t="s">
        <v>114</v>
      </c>
      <c r="G4546" t="s">
        <v>25</v>
      </c>
      <c r="H4546" t="s">
        <v>139</v>
      </c>
      <c r="I4546" t="s">
        <v>61</v>
      </c>
      <c r="J4546" t="s">
        <v>172</v>
      </c>
      <c r="K4546" t="s">
        <v>38</v>
      </c>
      <c r="L4546">
        <v>1</v>
      </c>
      <c r="M4546">
        <v>245</v>
      </c>
      <c r="N4546">
        <v>49</v>
      </c>
      <c r="O4546">
        <v>20</v>
      </c>
      <c r="P4546">
        <v>245</v>
      </c>
      <c r="Q4546">
        <v>216</v>
      </c>
      <c r="R4546" t="s">
        <v>39</v>
      </c>
      <c r="S4546" t="s">
        <v>110</v>
      </c>
      <c r="T4546" t="s">
        <v>40</v>
      </c>
      <c r="U4546">
        <v>56</v>
      </c>
      <c r="W4546">
        <f>Table2[[#This Row],[Quantity]]*Table2[[#This Row],[Item_Price]]</f>
        <v>245</v>
      </c>
    </row>
    <row r="4547" spans="1:23" x14ac:dyDescent="0.25">
      <c r="A4547" t="s">
        <v>4651</v>
      </c>
      <c r="B4547" s="1">
        <v>45989</v>
      </c>
      <c r="C4547" t="s">
        <v>4265</v>
      </c>
      <c r="D4547">
        <v>11</v>
      </c>
      <c r="E4547">
        <v>28</v>
      </c>
      <c r="F4547" t="s">
        <v>114</v>
      </c>
      <c r="G4547" t="s">
        <v>73</v>
      </c>
      <c r="H4547" t="s">
        <v>42</v>
      </c>
      <c r="I4547" t="s">
        <v>57</v>
      </c>
      <c r="J4547" t="s">
        <v>53</v>
      </c>
      <c r="K4547" t="s">
        <v>38</v>
      </c>
      <c r="L4547">
        <v>2</v>
      </c>
      <c r="M4547">
        <v>350</v>
      </c>
      <c r="N4547">
        <v>0</v>
      </c>
      <c r="O4547">
        <v>0</v>
      </c>
      <c r="P4547">
        <v>700</v>
      </c>
      <c r="Q4547">
        <v>700</v>
      </c>
      <c r="R4547" t="s">
        <v>98</v>
      </c>
      <c r="S4547" t="s">
        <v>91</v>
      </c>
      <c r="T4547" t="s">
        <v>32</v>
      </c>
      <c r="U4547">
        <v>40</v>
      </c>
      <c r="W4547">
        <f>Table2[[#This Row],[Quantity]]*Table2[[#This Row],[Item_Price]]</f>
        <v>700</v>
      </c>
    </row>
    <row r="4548" spans="1:23" x14ac:dyDescent="0.25">
      <c r="A4548" t="s">
        <v>4652</v>
      </c>
      <c r="B4548" s="1">
        <v>45989</v>
      </c>
      <c r="C4548" t="s">
        <v>4265</v>
      </c>
      <c r="D4548">
        <v>11</v>
      </c>
      <c r="E4548">
        <v>28</v>
      </c>
      <c r="F4548" t="s">
        <v>114</v>
      </c>
      <c r="G4548" t="s">
        <v>115</v>
      </c>
      <c r="H4548" t="s">
        <v>105</v>
      </c>
      <c r="I4548" t="s">
        <v>103</v>
      </c>
      <c r="J4548" t="s">
        <v>101</v>
      </c>
      <c r="K4548" t="s">
        <v>45</v>
      </c>
      <c r="L4548">
        <v>1</v>
      </c>
      <c r="M4548">
        <v>676</v>
      </c>
      <c r="N4548">
        <v>33.799999999999997</v>
      </c>
      <c r="O4548">
        <v>0</v>
      </c>
      <c r="P4548">
        <v>676</v>
      </c>
      <c r="Q4548">
        <v>642.20000000000005</v>
      </c>
      <c r="R4548" t="s">
        <v>39</v>
      </c>
      <c r="S4548" t="s">
        <v>91</v>
      </c>
      <c r="T4548" t="s">
        <v>32</v>
      </c>
      <c r="U4548">
        <v>70</v>
      </c>
      <c r="W4548">
        <f>Table2[[#This Row],[Quantity]]*Table2[[#This Row],[Item_Price]]</f>
        <v>676</v>
      </c>
    </row>
    <row r="4549" spans="1:23" x14ac:dyDescent="0.25">
      <c r="A4549" t="s">
        <v>4653</v>
      </c>
      <c r="B4549" s="1">
        <v>45989</v>
      </c>
      <c r="C4549" t="s">
        <v>4265</v>
      </c>
      <c r="D4549">
        <v>11</v>
      </c>
      <c r="E4549">
        <v>28</v>
      </c>
      <c r="F4549" t="s">
        <v>114</v>
      </c>
      <c r="G4549" t="s">
        <v>64</v>
      </c>
      <c r="H4549" t="s">
        <v>81</v>
      </c>
      <c r="I4549" t="s">
        <v>69</v>
      </c>
      <c r="J4549" t="s">
        <v>74</v>
      </c>
      <c r="K4549" t="s">
        <v>38</v>
      </c>
      <c r="L4549">
        <v>1</v>
      </c>
      <c r="M4549">
        <v>210</v>
      </c>
      <c r="N4549">
        <v>21</v>
      </c>
      <c r="O4549">
        <v>50</v>
      </c>
      <c r="P4549">
        <v>210</v>
      </c>
      <c r="Q4549">
        <v>239</v>
      </c>
      <c r="R4549" t="s">
        <v>75</v>
      </c>
      <c r="S4549" t="s">
        <v>31</v>
      </c>
      <c r="T4549" t="s">
        <v>40</v>
      </c>
      <c r="U4549">
        <v>35</v>
      </c>
      <c r="V4549">
        <v>4.5999999999999996</v>
      </c>
      <c r="W4549">
        <f>Table2[[#This Row],[Quantity]]*Table2[[#This Row],[Item_Price]]</f>
        <v>210</v>
      </c>
    </row>
    <row r="4550" spans="1:23" x14ac:dyDescent="0.25">
      <c r="A4550" t="s">
        <v>4654</v>
      </c>
      <c r="B4550" s="1">
        <v>45989</v>
      </c>
      <c r="C4550" t="s">
        <v>4265</v>
      </c>
      <c r="D4550">
        <v>11</v>
      </c>
      <c r="E4550">
        <v>28</v>
      </c>
      <c r="F4550" t="s">
        <v>114</v>
      </c>
      <c r="G4550" t="s">
        <v>115</v>
      </c>
      <c r="H4550" t="s">
        <v>135</v>
      </c>
      <c r="I4550" t="s">
        <v>97</v>
      </c>
      <c r="J4550" t="s">
        <v>53</v>
      </c>
      <c r="K4550" t="s">
        <v>38</v>
      </c>
      <c r="L4550">
        <v>1</v>
      </c>
      <c r="M4550">
        <v>322</v>
      </c>
      <c r="N4550">
        <v>48.3</v>
      </c>
      <c r="O4550">
        <v>40</v>
      </c>
      <c r="P4550">
        <v>322</v>
      </c>
      <c r="Q4550">
        <v>313.7</v>
      </c>
      <c r="R4550" t="s">
        <v>75</v>
      </c>
      <c r="S4550" t="s">
        <v>31</v>
      </c>
      <c r="T4550" t="s">
        <v>32</v>
      </c>
      <c r="U4550">
        <v>55</v>
      </c>
      <c r="V4550">
        <v>4.2</v>
      </c>
      <c r="W4550">
        <f>Table2[[#This Row],[Quantity]]*Table2[[#This Row],[Item_Price]]</f>
        <v>322</v>
      </c>
    </row>
    <row r="4551" spans="1:23" x14ac:dyDescent="0.25">
      <c r="A4551" t="s">
        <v>4655</v>
      </c>
      <c r="B4551" s="1">
        <v>45989</v>
      </c>
      <c r="C4551" t="s">
        <v>4265</v>
      </c>
      <c r="D4551">
        <v>11</v>
      </c>
      <c r="E4551">
        <v>28</v>
      </c>
      <c r="F4551" t="s">
        <v>114</v>
      </c>
      <c r="G4551" t="s">
        <v>73</v>
      </c>
      <c r="H4551" t="s">
        <v>105</v>
      </c>
      <c r="I4551" t="s">
        <v>36</v>
      </c>
      <c r="J4551" t="s">
        <v>50</v>
      </c>
      <c r="K4551" t="s">
        <v>45</v>
      </c>
      <c r="L4551">
        <v>1</v>
      </c>
      <c r="M4551">
        <v>712</v>
      </c>
      <c r="N4551">
        <v>71.2</v>
      </c>
      <c r="O4551">
        <v>30</v>
      </c>
      <c r="P4551">
        <v>712</v>
      </c>
      <c r="Q4551">
        <v>670.8</v>
      </c>
      <c r="R4551" t="s">
        <v>39</v>
      </c>
      <c r="S4551" t="s">
        <v>31</v>
      </c>
      <c r="T4551" t="s">
        <v>32</v>
      </c>
      <c r="U4551">
        <v>19</v>
      </c>
      <c r="V4551">
        <v>3.5</v>
      </c>
      <c r="W4551">
        <f>Table2[[#This Row],[Quantity]]*Table2[[#This Row],[Item_Price]]</f>
        <v>712</v>
      </c>
    </row>
    <row r="4552" spans="1:23" x14ac:dyDescent="0.25">
      <c r="A4552" t="s">
        <v>4656</v>
      </c>
      <c r="B4552" s="1">
        <v>45989</v>
      </c>
      <c r="C4552" t="s">
        <v>4265</v>
      </c>
      <c r="D4552">
        <v>11</v>
      </c>
      <c r="E4552">
        <v>28</v>
      </c>
      <c r="F4552" t="s">
        <v>114</v>
      </c>
      <c r="G4552" t="s">
        <v>73</v>
      </c>
      <c r="H4552" t="s">
        <v>139</v>
      </c>
      <c r="I4552" t="s">
        <v>97</v>
      </c>
      <c r="J4552" t="s">
        <v>74</v>
      </c>
      <c r="K4552" t="s">
        <v>58</v>
      </c>
      <c r="L4552">
        <v>1</v>
      </c>
      <c r="M4552">
        <v>647</v>
      </c>
      <c r="N4552">
        <v>129.4</v>
      </c>
      <c r="O4552">
        <v>40</v>
      </c>
      <c r="P4552">
        <v>647</v>
      </c>
      <c r="Q4552">
        <v>557.6</v>
      </c>
      <c r="R4552" t="s">
        <v>39</v>
      </c>
      <c r="S4552" t="s">
        <v>31</v>
      </c>
      <c r="T4552" t="s">
        <v>32</v>
      </c>
      <c r="U4552">
        <v>23</v>
      </c>
      <c r="V4552">
        <v>4.9000000000000004</v>
      </c>
      <c r="W4552">
        <f>Table2[[#This Row],[Quantity]]*Table2[[#This Row],[Item_Price]]</f>
        <v>647</v>
      </c>
    </row>
    <row r="4553" spans="1:23" x14ac:dyDescent="0.25">
      <c r="A4553" t="s">
        <v>4657</v>
      </c>
      <c r="B4553" s="1">
        <v>45989</v>
      </c>
      <c r="C4553" t="s">
        <v>4265</v>
      </c>
      <c r="D4553">
        <v>11</v>
      </c>
      <c r="E4553">
        <v>28</v>
      </c>
      <c r="F4553" t="s">
        <v>114</v>
      </c>
      <c r="G4553" t="s">
        <v>80</v>
      </c>
      <c r="H4553" t="s">
        <v>56</v>
      </c>
      <c r="I4553" t="s">
        <v>57</v>
      </c>
      <c r="J4553" t="s">
        <v>37</v>
      </c>
      <c r="K4553" t="s">
        <v>45</v>
      </c>
      <c r="L4553">
        <v>1</v>
      </c>
      <c r="M4553">
        <v>640</v>
      </c>
      <c r="N4553">
        <v>32</v>
      </c>
      <c r="O4553">
        <v>50</v>
      </c>
      <c r="P4553">
        <v>640</v>
      </c>
      <c r="Q4553">
        <v>658</v>
      </c>
      <c r="R4553" t="s">
        <v>39</v>
      </c>
      <c r="S4553" t="s">
        <v>110</v>
      </c>
      <c r="T4553" t="s">
        <v>40</v>
      </c>
      <c r="U4553">
        <v>61</v>
      </c>
      <c r="W4553">
        <f>Table2[[#This Row],[Quantity]]*Table2[[#This Row],[Item_Price]]</f>
        <v>640</v>
      </c>
    </row>
    <row r="4554" spans="1:23" x14ac:dyDescent="0.25">
      <c r="A4554" t="s">
        <v>4658</v>
      </c>
      <c r="B4554" s="1">
        <v>45989</v>
      </c>
      <c r="C4554" t="s">
        <v>4265</v>
      </c>
      <c r="D4554">
        <v>11</v>
      </c>
      <c r="E4554">
        <v>28</v>
      </c>
      <c r="F4554" t="s">
        <v>114</v>
      </c>
      <c r="G4554" t="s">
        <v>73</v>
      </c>
      <c r="H4554" t="s">
        <v>68</v>
      </c>
      <c r="I4554" t="s">
        <v>103</v>
      </c>
      <c r="J4554" t="s">
        <v>94</v>
      </c>
      <c r="K4554" t="s">
        <v>38</v>
      </c>
      <c r="L4554">
        <v>1</v>
      </c>
      <c r="M4554">
        <v>377</v>
      </c>
      <c r="N4554">
        <v>37.700000000000003</v>
      </c>
      <c r="O4554">
        <v>20</v>
      </c>
      <c r="P4554">
        <v>377</v>
      </c>
      <c r="Q4554">
        <v>359.3</v>
      </c>
      <c r="R4554" t="s">
        <v>98</v>
      </c>
      <c r="S4554" t="s">
        <v>31</v>
      </c>
      <c r="T4554" t="s">
        <v>40</v>
      </c>
      <c r="U4554">
        <v>68</v>
      </c>
      <c r="V4554">
        <v>3.6</v>
      </c>
      <c r="W4554">
        <f>Table2[[#This Row],[Quantity]]*Table2[[#This Row],[Item_Price]]</f>
        <v>377</v>
      </c>
    </row>
    <row r="4555" spans="1:23" x14ac:dyDescent="0.25">
      <c r="A4555" t="s">
        <v>4659</v>
      </c>
      <c r="B4555" s="1">
        <v>45990</v>
      </c>
      <c r="C4555" t="s">
        <v>4265</v>
      </c>
      <c r="D4555">
        <v>11</v>
      </c>
      <c r="E4555">
        <v>29</v>
      </c>
      <c r="F4555" t="s">
        <v>134</v>
      </c>
      <c r="G4555" t="s">
        <v>80</v>
      </c>
      <c r="H4555" t="s">
        <v>65</v>
      </c>
      <c r="I4555" t="s">
        <v>97</v>
      </c>
      <c r="J4555" t="s">
        <v>37</v>
      </c>
      <c r="K4555" t="s">
        <v>38</v>
      </c>
      <c r="L4555">
        <v>3</v>
      </c>
      <c r="M4555">
        <v>171</v>
      </c>
      <c r="N4555">
        <v>25.65</v>
      </c>
      <c r="O4555">
        <v>60</v>
      </c>
      <c r="P4555">
        <v>513</v>
      </c>
      <c r="Q4555">
        <v>547.35</v>
      </c>
      <c r="R4555" t="s">
        <v>39</v>
      </c>
      <c r="S4555" t="s">
        <v>46</v>
      </c>
      <c r="T4555" t="s">
        <v>40</v>
      </c>
      <c r="U4555">
        <v>23</v>
      </c>
      <c r="W4555">
        <f>Table2[[#This Row],[Quantity]]*Table2[[#This Row],[Item_Price]]</f>
        <v>513</v>
      </c>
    </row>
    <row r="4556" spans="1:23" x14ac:dyDescent="0.25">
      <c r="A4556" t="s">
        <v>4660</v>
      </c>
      <c r="B4556" s="1">
        <v>45990</v>
      </c>
      <c r="C4556" t="s">
        <v>4265</v>
      </c>
      <c r="D4556">
        <v>11</v>
      </c>
      <c r="E4556">
        <v>29</v>
      </c>
      <c r="F4556" t="s">
        <v>134</v>
      </c>
      <c r="G4556" t="s">
        <v>96</v>
      </c>
      <c r="H4556" t="s">
        <v>48</v>
      </c>
      <c r="I4556" t="s">
        <v>103</v>
      </c>
      <c r="J4556" t="s">
        <v>123</v>
      </c>
      <c r="K4556" t="s">
        <v>38</v>
      </c>
      <c r="L4556">
        <v>1</v>
      </c>
      <c r="M4556">
        <v>585</v>
      </c>
      <c r="N4556">
        <v>29.25</v>
      </c>
      <c r="O4556">
        <v>30</v>
      </c>
      <c r="P4556">
        <v>585</v>
      </c>
      <c r="Q4556">
        <v>585.75</v>
      </c>
      <c r="R4556" t="s">
        <v>39</v>
      </c>
      <c r="S4556" t="s">
        <v>91</v>
      </c>
      <c r="T4556" t="s">
        <v>40</v>
      </c>
      <c r="U4556">
        <v>24</v>
      </c>
      <c r="W4556">
        <f>Table2[[#This Row],[Quantity]]*Table2[[#This Row],[Item_Price]]</f>
        <v>585</v>
      </c>
    </row>
    <row r="4557" spans="1:23" x14ac:dyDescent="0.25">
      <c r="A4557" t="s">
        <v>4661</v>
      </c>
      <c r="B4557" s="1">
        <v>45990</v>
      </c>
      <c r="C4557" t="s">
        <v>4265</v>
      </c>
      <c r="D4557">
        <v>11</v>
      </c>
      <c r="E4557">
        <v>29</v>
      </c>
      <c r="F4557" t="s">
        <v>134</v>
      </c>
      <c r="G4557" t="s">
        <v>73</v>
      </c>
      <c r="H4557" t="s">
        <v>65</v>
      </c>
      <c r="I4557" t="s">
        <v>69</v>
      </c>
      <c r="J4557" t="s">
        <v>44</v>
      </c>
      <c r="K4557" t="s">
        <v>38</v>
      </c>
      <c r="L4557">
        <v>3</v>
      </c>
      <c r="M4557">
        <v>532</v>
      </c>
      <c r="N4557">
        <v>133</v>
      </c>
      <c r="O4557">
        <v>50</v>
      </c>
      <c r="P4557">
        <v>1596</v>
      </c>
      <c r="Q4557">
        <v>1513</v>
      </c>
      <c r="R4557" t="s">
        <v>39</v>
      </c>
      <c r="S4557" t="s">
        <v>31</v>
      </c>
      <c r="T4557" t="s">
        <v>40</v>
      </c>
      <c r="U4557">
        <v>36</v>
      </c>
      <c r="V4557">
        <v>4.5999999999999996</v>
      </c>
      <c r="W4557">
        <f>Table2[[#This Row],[Quantity]]*Table2[[#This Row],[Item_Price]]</f>
        <v>1596</v>
      </c>
    </row>
    <row r="4558" spans="1:23" x14ac:dyDescent="0.25">
      <c r="A4558" t="s">
        <v>4662</v>
      </c>
      <c r="B4558" s="1">
        <v>45990</v>
      </c>
      <c r="C4558" t="s">
        <v>4265</v>
      </c>
      <c r="D4558">
        <v>11</v>
      </c>
      <c r="E4558">
        <v>29</v>
      </c>
      <c r="F4558" t="s">
        <v>134</v>
      </c>
      <c r="G4558" t="s">
        <v>84</v>
      </c>
      <c r="H4558" t="s">
        <v>65</v>
      </c>
      <c r="I4558" t="s">
        <v>57</v>
      </c>
      <c r="J4558" t="s">
        <v>82</v>
      </c>
      <c r="K4558" t="s">
        <v>38</v>
      </c>
      <c r="L4558">
        <v>1</v>
      </c>
      <c r="M4558">
        <v>269</v>
      </c>
      <c r="N4558">
        <v>53.8</v>
      </c>
      <c r="O4558">
        <v>30</v>
      </c>
      <c r="P4558">
        <v>269</v>
      </c>
      <c r="Q4558">
        <v>245.2</v>
      </c>
      <c r="R4558" t="s">
        <v>39</v>
      </c>
      <c r="S4558" t="s">
        <v>31</v>
      </c>
      <c r="T4558" t="s">
        <v>40</v>
      </c>
      <c r="U4558">
        <v>21</v>
      </c>
      <c r="V4558">
        <v>3</v>
      </c>
      <c r="W4558">
        <f>Table2[[#This Row],[Quantity]]*Table2[[#This Row],[Item_Price]]</f>
        <v>269</v>
      </c>
    </row>
    <row r="4559" spans="1:23" x14ac:dyDescent="0.25">
      <c r="A4559" t="s">
        <v>4663</v>
      </c>
      <c r="B4559" s="1">
        <v>45990</v>
      </c>
      <c r="C4559" t="s">
        <v>4265</v>
      </c>
      <c r="D4559">
        <v>11</v>
      </c>
      <c r="E4559">
        <v>29</v>
      </c>
      <c r="F4559" t="s">
        <v>134</v>
      </c>
      <c r="G4559" t="s">
        <v>64</v>
      </c>
      <c r="H4559" t="s">
        <v>60</v>
      </c>
      <c r="I4559" t="s">
        <v>27</v>
      </c>
      <c r="J4559" t="s">
        <v>37</v>
      </c>
      <c r="K4559" t="s">
        <v>38</v>
      </c>
      <c r="L4559">
        <v>2</v>
      </c>
      <c r="M4559">
        <v>515</v>
      </c>
      <c r="N4559">
        <v>103</v>
      </c>
      <c r="O4559">
        <v>40</v>
      </c>
      <c r="P4559">
        <v>1030</v>
      </c>
      <c r="Q4559">
        <v>967</v>
      </c>
      <c r="R4559" t="s">
        <v>30</v>
      </c>
      <c r="S4559" t="s">
        <v>31</v>
      </c>
      <c r="T4559" t="s">
        <v>32</v>
      </c>
      <c r="U4559">
        <v>41</v>
      </c>
      <c r="V4559">
        <v>4</v>
      </c>
      <c r="W4559">
        <f>Table2[[#This Row],[Quantity]]*Table2[[#This Row],[Item_Price]]</f>
        <v>1030</v>
      </c>
    </row>
    <row r="4560" spans="1:23" x14ac:dyDescent="0.25">
      <c r="A4560" t="s">
        <v>4664</v>
      </c>
      <c r="B4560" s="1">
        <v>45990</v>
      </c>
      <c r="C4560" t="s">
        <v>4265</v>
      </c>
      <c r="D4560">
        <v>11</v>
      </c>
      <c r="E4560">
        <v>29</v>
      </c>
      <c r="F4560" t="s">
        <v>134</v>
      </c>
      <c r="G4560" t="s">
        <v>115</v>
      </c>
      <c r="H4560" t="s">
        <v>81</v>
      </c>
      <c r="I4560" t="s">
        <v>97</v>
      </c>
      <c r="J4560" t="s">
        <v>94</v>
      </c>
      <c r="K4560" t="s">
        <v>38</v>
      </c>
      <c r="L4560">
        <v>3</v>
      </c>
      <c r="M4560">
        <v>319</v>
      </c>
      <c r="N4560">
        <v>79.75</v>
      </c>
      <c r="O4560">
        <v>30</v>
      </c>
      <c r="P4560">
        <v>957</v>
      </c>
      <c r="Q4560">
        <v>907.25</v>
      </c>
      <c r="R4560" t="s">
        <v>112</v>
      </c>
      <c r="S4560" t="s">
        <v>31</v>
      </c>
      <c r="T4560" t="s">
        <v>40</v>
      </c>
      <c r="U4560">
        <v>67</v>
      </c>
      <c r="V4560">
        <v>4.9000000000000004</v>
      </c>
      <c r="W4560">
        <f>Table2[[#This Row],[Quantity]]*Table2[[#This Row],[Item_Price]]</f>
        <v>957</v>
      </c>
    </row>
    <row r="4561" spans="1:23" x14ac:dyDescent="0.25">
      <c r="A4561" t="s">
        <v>4665</v>
      </c>
      <c r="B4561" s="1">
        <v>45990</v>
      </c>
      <c r="C4561" t="s">
        <v>4265</v>
      </c>
      <c r="D4561">
        <v>11</v>
      </c>
      <c r="E4561">
        <v>29</v>
      </c>
      <c r="F4561" t="s">
        <v>134</v>
      </c>
      <c r="G4561" t="s">
        <v>80</v>
      </c>
      <c r="H4561" t="s">
        <v>65</v>
      </c>
      <c r="I4561" t="s">
        <v>69</v>
      </c>
      <c r="J4561" t="s">
        <v>82</v>
      </c>
      <c r="K4561" t="s">
        <v>38</v>
      </c>
      <c r="L4561">
        <v>1</v>
      </c>
      <c r="M4561">
        <v>193</v>
      </c>
      <c r="N4561">
        <v>28.95</v>
      </c>
      <c r="O4561">
        <v>30</v>
      </c>
      <c r="P4561">
        <v>193</v>
      </c>
      <c r="Q4561">
        <v>194.05</v>
      </c>
      <c r="R4561" t="s">
        <v>39</v>
      </c>
      <c r="S4561" t="s">
        <v>31</v>
      </c>
      <c r="T4561" t="s">
        <v>40</v>
      </c>
      <c r="U4561">
        <v>67</v>
      </c>
      <c r="V4561">
        <v>4.3</v>
      </c>
      <c r="W4561">
        <f>Table2[[#This Row],[Quantity]]*Table2[[#This Row],[Item_Price]]</f>
        <v>193</v>
      </c>
    </row>
    <row r="4562" spans="1:23" x14ac:dyDescent="0.25">
      <c r="A4562" t="s">
        <v>4666</v>
      </c>
      <c r="B4562" s="1">
        <v>45990</v>
      </c>
      <c r="C4562" t="s">
        <v>4265</v>
      </c>
      <c r="D4562">
        <v>11</v>
      </c>
      <c r="E4562">
        <v>29</v>
      </c>
      <c r="F4562" t="s">
        <v>134</v>
      </c>
      <c r="G4562" t="s">
        <v>115</v>
      </c>
      <c r="H4562" t="s">
        <v>139</v>
      </c>
      <c r="I4562" t="s">
        <v>36</v>
      </c>
      <c r="J4562" t="s">
        <v>70</v>
      </c>
      <c r="K4562" t="s">
        <v>38</v>
      </c>
      <c r="L4562">
        <v>1</v>
      </c>
      <c r="M4562">
        <v>272</v>
      </c>
      <c r="N4562">
        <v>40.799999999999997</v>
      </c>
      <c r="O4562">
        <v>20</v>
      </c>
      <c r="P4562">
        <v>272</v>
      </c>
      <c r="Q4562">
        <v>251.2</v>
      </c>
      <c r="R4562" t="s">
        <v>39</v>
      </c>
      <c r="S4562" t="s">
        <v>31</v>
      </c>
      <c r="T4562" t="s">
        <v>40</v>
      </c>
      <c r="U4562">
        <v>65</v>
      </c>
      <c r="V4562">
        <v>4.3</v>
      </c>
      <c r="W4562">
        <f>Table2[[#This Row],[Quantity]]*Table2[[#This Row],[Item_Price]]</f>
        <v>272</v>
      </c>
    </row>
    <row r="4563" spans="1:23" x14ac:dyDescent="0.25">
      <c r="A4563" t="s">
        <v>4667</v>
      </c>
      <c r="B4563" s="1">
        <v>45991</v>
      </c>
      <c r="C4563" t="s">
        <v>4265</v>
      </c>
      <c r="D4563">
        <v>11</v>
      </c>
      <c r="E4563">
        <v>30</v>
      </c>
      <c r="F4563" t="s">
        <v>149</v>
      </c>
      <c r="G4563" t="s">
        <v>90</v>
      </c>
      <c r="H4563" t="s">
        <v>26</v>
      </c>
      <c r="I4563" t="s">
        <v>27</v>
      </c>
      <c r="J4563" t="s">
        <v>74</v>
      </c>
      <c r="K4563" t="s">
        <v>38</v>
      </c>
      <c r="L4563">
        <v>1</v>
      </c>
      <c r="M4563">
        <v>800</v>
      </c>
      <c r="N4563">
        <v>80</v>
      </c>
      <c r="O4563">
        <v>40</v>
      </c>
      <c r="P4563">
        <v>800</v>
      </c>
      <c r="Q4563">
        <v>760</v>
      </c>
      <c r="R4563" t="s">
        <v>39</v>
      </c>
      <c r="S4563" t="s">
        <v>31</v>
      </c>
      <c r="T4563" t="s">
        <v>40</v>
      </c>
      <c r="U4563">
        <v>69</v>
      </c>
      <c r="V4563">
        <v>4.0999999999999996</v>
      </c>
      <c r="W4563">
        <f>Table2[[#This Row],[Quantity]]*Table2[[#This Row],[Item_Price]]</f>
        <v>800</v>
      </c>
    </row>
    <row r="4564" spans="1:23" x14ac:dyDescent="0.25">
      <c r="A4564" t="s">
        <v>4668</v>
      </c>
      <c r="B4564" s="1">
        <v>45991</v>
      </c>
      <c r="C4564" t="s">
        <v>4265</v>
      </c>
      <c r="D4564">
        <v>11</v>
      </c>
      <c r="E4564">
        <v>30</v>
      </c>
      <c r="F4564" t="s">
        <v>149</v>
      </c>
      <c r="G4564" t="s">
        <v>80</v>
      </c>
      <c r="H4564" t="s">
        <v>139</v>
      </c>
      <c r="I4564" t="s">
        <v>57</v>
      </c>
      <c r="J4564" t="s">
        <v>62</v>
      </c>
      <c r="K4564" t="s">
        <v>38</v>
      </c>
      <c r="L4564">
        <v>1</v>
      </c>
      <c r="M4564">
        <v>302</v>
      </c>
      <c r="N4564">
        <v>60.4</v>
      </c>
      <c r="O4564">
        <v>0</v>
      </c>
      <c r="P4564">
        <v>302</v>
      </c>
      <c r="Q4564">
        <v>241.6</v>
      </c>
      <c r="R4564" t="s">
        <v>98</v>
      </c>
      <c r="S4564" t="s">
        <v>91</v>
      </c>
      <c r="T4564" t="s">
        <v>40</v>
      </c>
      <c r="U4564">
        <v>62</v>
      </c>
      <c r="W4564">
        <f>Table2[[#This Row],[Quantity]]*Table2[[#This Row],[Item_Price]]</f>
        <v>302</v>
      </c>
    </row>
    <row r="4565" spans="1:23" x14ac:dyDescent="0.25">
      <c r="A4565" t="s">
        <v>4669</v>
      </c>
      <c r="B4565" s="1">
        <v>45991</v>
      </c>
      <c r="C4565" t="s">
        <v>4265</v>
      </c>
      <c r="D4565">
        <v>11</v>
      </c>
      <c r="E4565">
        <v>30</v>
      </c>
      <c r="F4565" t="s">
        <v>149</v>
      </c>
      <c r="G4565" t="s">
        <v>84</v>
      </c>
      <c r="H4565" t="s">
        <v>60</v>
      </c>
      <c r="I4565" t="s">
        <v>97</v>
      </c>
      <c r="J4565" t="s">
        <v>37</v>
      </c>
      <c r="K4565" t="s">
        <v>38</v>
      </c>
      <c r="L4565">
        <v>1</v>
      </c>
      <c r="M4565">
        <v>232</v>
      </c>
      <c r="N4565">
        <v>23.2</v>
      </c>
      <c r="O4565">
        <v>40</v>
      </c>
      <c r="P4565">
        <v>232</v>
      </c>
      <c r="Q4565">
        <v>248.8</v>
      </c>
      <c r="R4565" t="s">
        <v>75</v>
      </c>
      <c r="S4565" t="s">
        <v>31</v>
      </c>
      <c r="T4565" t="s">
        <v>32</v>
      </c>
      <c r="U4565">
        <v>60</v>
      </c>
      <c r="V4565">
        <v>4.3</v>
      </c>
      <c r="W4565">
        <f>Table2[[#This Row],[Quantity]]*Table2[[#This Row],[Item_Price]]</f>
        <v>232</v>
      </c>
    </row>
    <row r="4566" spans="1:23" x14ac:dyDescent="0.25">
      <c r="A4566" t="s">
        <v>4670</v>
      </c>
      <c r="B4566" s="1">
        <v>45991</v>
      </c>
      <c r="C4566" t="s">
        <v>4265</v>
      </c>
      <c r="D4566">
        <v>11</v>
      </c>
      <c r="E4566">
        <v>30</v>
      </c>
      <c r="F4566" t="s">
        <v>149</v>
      </c>
      <c r="G4566" t="s">
        <v>80</v>
      </c>
      <c r="H4566" t="s">
        <v>68</v>
      </c>
      <c r="I4566" t="s">
        <v>57</v>
      </c>
      <c r="J4566" t="s">
        <v>62</v>
      </c>
      <c r="K4566" t="s">
        <v>38</v>
      </c>
      <c r="L4566">
        <v>1</v>
      </c>
      <c r="M4566">
        <v>685</v>
      </c>
      <c r="N4566">
        <v>68.5</v>
      </c>
      <c r="O4566">
        <v>40</v>
      </c>
      <c r="P4566">
        <v>685</v>
      </c>
      <c r="Q4566">
        <v>656.5</v>
      </c>
      <c r="R4566" t="s">
        <v>30</v>
      </c>
      <c r="S4566" t="s">
        <v>31</v>
      </c>
      <c r="T4566" t="s">
        <v>40</v>
      </c>
      <c r="U4566">
        <v>64</v>
      </c>
      <c r="V4566">
        <v>4.2</v>
      </c>
      <c r="W4566">
        <f>Table2[[#This Row],[Quantity]]*Table2[[#This Row],[Item_Price]]</f>
        <v>685</v>
      </c>
    </row>
    <row r="4567" spans="1:23" x14ac:dyDescent="0.25">
      <c r="A4567" t="s">
        <v>4671</v>
      </c>
      <c r="B4567" s="1">
        <v>45991</v>
      </c>
      <c r="C4567" t="s">
        <v>4265</v>
      </c>
      <c r="D4567">
        <v>11</v>
      </c>
      <c r="E4567">
        <v>30</v>
      </c>
      <c r="F4567" t="s">
        <v>149</v>
      </c>
      <c r="G4567" t="s">
        <v>34</v>
      </c>
      <c r="H4567" t="s">
        <v>135</v>
      </c>
      <c r="I4567" t="s">
        <v>97</v>
      </c>
      <c r="J4567" t="s">
        <v>82</v>
      </c>
      <c r="K4567" t="s">
        <v>38</v>
      </c>
      <c r="L4567">
        <v>1</v>
      </c>
      <c r="M4567">
        <v>667</v>
      </c>
      <c r="N4567">
        <v>66.7</v>
      </c>
      <c r="O4567">
        <v>60</v>
      </c>
      <c r="P4567">
        <v>667</v>
      </c>
      <c r="Q4567">
        <v>660.3</v>
      </c>
      <c r="R4567" t="s">
        <v>39</v>
      </c>
      <c r="S4567" t="s">
        <v>31</v>
      </c>
      <c r="T4567" t="s">
        <v>40</v>
      </c>
      <c r="U4567">
        <v>32</v>
      </c>
      <c r="V4567">
        <v>3.6</v>
      </c>
      <c r="W4567">
        <f>Table2[[#This Row],[Quantity]]*Table2[[#This Row],[Item_Price]]</f>
        <v>667</v>
      </c>
    </row>
    <row r="4568" spans="1:23" x14ac:dyDescent="0.25">
      <c r="A4568" t="s">
        <v>4672</v>
      </c>
      <c r="B4568" s="1">
        <v>45991</v>
      </c>
      <c r="C4568" t="s">
        <v>4265</v>
      </c>
      <c r="D4568">
        <v>11</v>
      </c>
      <c r="E4568">
        <v>30</v>
      </c>
      <c r="F4568" t="s">
        <v>149</v>
      </c>
      <c r="G4568" t="s">
        <v>80</v>
      </c>
      <c r="H4568" t="s">
        <v>65</v>
      </c>
      <c r="I4568" t="s">
        <v>85</v>
      </c>
      <c r="J4568" t="s">
        <v>66</v>
      </c>
      <c r="K4568" t="s">
        <v>45</v>
      </c>
      <c r="L4568">
        <v>1</v>
      </c>
      <c r="M4568">
        <v>249</v>
      </c>
      <c r="N4568">
        <v>12.45</v>
      </c>
      <c r="O4568">
        <v>30</v>
      </c>
      <c r="P4568">
        <v>249</v>
      </c>
      <c r="Q4568">
        <v>266.55</v>
      </c>
      <c r="R4568" t="s">
        <v>98</v>
      </c>
      <c r="S4568" t="s">
        <v>46</v>
      </c>
      <c r="T4568" t="s">
        <v>32</v>
      </c>
      <c r="U4568">
        <v>47</v>
      </c>
      <c r="W4568">
        <f>Table2[[#This Row],[Quantity]]*Table2[[#This Row],[Item_Price]]</f>
        <v>249</v>
      </c>
    </row>
    <row r="4569" spans="1:23" x14ac:dyDescent="0.25">
      <c r="A4569" t="s">
        <v>4673</v>
      </c>
      <c r="B4569" s="1">
        <v>45991</v>
      </c>
      <c r="C4569" t="s">
        <v>4265</v>
      </c>
      <c r="D4569">
        <v>11</v>
      </c>
      <c r="E4569">
        <v>30</v>
      </c>
      <c r="F4569" t="s">
        <v>149</v>
      </c>
      <c r="G4569" t="s">
        <v>80</v>
      </c>
      <c r="H4569" t="s">
        <v>56</v>
      </c>
      <c r="I4569" t="s">
        <v>61</v>
      </c>
      <c r="J4569" t="s">
        <v>74</v>
      </c>
      <c r="K4569" t="s">
        <v>38</v>
      </c>
      <c r="L4569">
        <v>3</v>
      </c>
      <c r="M4569">
        <v>737</v>
      </c>
      <c r="N4569">
        <v>0</v>
      </c>
      <c r="O4569">
        <v>60</v>
      </c>
      <c r="P4569">
        <v>2211</v>
      </c>
      <c r="Q4569">
        <v>2271</v>
      </c>
      <c r="R4569" t="s">
        <v>39</v>
      </c>
      <c r="S4569" t="s">
        <v>31</v>
      </c>
      <c r="T4569" t="s">
        <v>40</v>
      </c>
      <c r="U4569">
        <v>32</v>
      </c>
      <c r="V4569">
        <v>4.4000000000000004</v>
      </c>
      <c r="W4569">
        <f>Table2[[#This Row],[Quantity]]*Table2[[#This Row],[Item_Price]]</f>
        <v>2211</v>
      </c>
    </row>
    <row r="4570" spans="1:23" x14ac:dyDescent="0.25">
      <c r="A4570" t="s">
        <v>4674</v>
      </c>
      <c r="B4570" s="1">
        <v>45991</v>
      </c>
      <c r="C4570" t="s">
        <v>4265</v>
      </c>
      <c r="D4570">
        <v>11</v>
      </c>
      <c r="E4570">
        <v>30</v>
      </c>
      <c r="F4570" t="s">
        <v>149</v>
      </c>
      <c r="G4570" t="s">
        <v>34</v>
      </c>
      <c r="H4570" t="s">
        <v>105</v>
      </c>
      <c r="I4570" t="s">
        <v>69</v>
      </c>
      <c r="J4570" t="s">
        <v>101</v>
      </c>
      <c r="K4570" t="s">
        <v>38</v>
      </c>
      <c r="L4570">
        <v>3</v>
      </c>
      <c r="M4570">
        <v>423</v>
      </c>
      <c r="N4570">
        <v>42.3</v>
      </c>
      <c r="O4570">
        <v>50</v>
      </c>
      <c r="P4570">
        <v>1269</v>
      </c>
      <c r="Q4570">
        <v>1276.7</v>
      </c>
      <c r="R4570" t="s">
        <v>75</v>
      </c>
      <c r="S4570" t="s">
        <v>31</v>
      </c>
      <c r="T4570" t="s">
        <v>32</v>
      </c>
      <c r="U4570">
        <v>38</v>
      </c>
      <c r="V4570">
        <v>4.8</v>
      </c>
      <c r="W4570">
        <f>Table2[[#This Row],[Quantity]]*Table2[[#This Row],[Item_Price]]</f>
        <v>1269</v>
      </c>
    </row>
    <row r="4571" spans="1:23" x14ac:dyDescent="0.25">
      <c r="A4571" t="s">
        <v>4675</v>
      </c>
      <c r="B4571" s="1">
        <v>45991</v>
      </c>
      <c r="C4571" t="s">
        <v>4265</v>
      </c>
      <c r="D4571">
        <v>11</v>
      </c>
      <c r="E4571">
        <v>30</v>
      </c>
      <c r="F4571" t="s">
        <v>149</v>
      </c>
      <c r="G4571" t="s">
        <v>115</v>
      </c>
      <c r="H4571" t="s">
        <v>65</v>
      </c>
      <c r="I4571" t="s">
        <v>69</v>
      </c>
      <c r="J4571" t="s">
        <v>66</v>
      </c>
      <c r="K4571" t="s">
        <v>38</v>
      </c>
      <c r="L4571">
        <v>1</v>
      </c>
      <c r="M4571">
        <v>625</v>
      </c>
      <c r="N4571">
        <v>156.25</v>
      </c>
      <c r="O4571">
        <v>40</v>
      </c>
      <c r="P4571">
        <v>625</v>
      </c>
      <c r="Q4571">
        <v>508.75</v>
      </c>
      <c r="R4571" t="s">
        <v>39</v>
      </c>
      <c r="S4571" t="s">
        <v>31</v>
      </c>
      <c r="T4571" t="s">
        <v>32</v>
      </c>
      <c r="U4571">
        <v>19</v>
      </c>
      <c r="V4571">
        <v>3.9</v>
      </c>
      <c r="W4571">
        <f>Table2[[#This Row],[Quantity]]*Table2[[#This Row],[Item_Price]]</f>
        <v>625</v>
      </c>
    </row>
    <row r="4572" spans="1:23" x14ac:dyDescent="0.25">
      <c r="A4572" t="s">
        <v>4676</v>
      </c>
      <c r="B4572" s="1">
        <v>45992</v>
      </c>
      <c r="C4572" t="s">
        <v>4677</v>
      </c>
      <c r="D4572">
        <v>12</v>
      </c>
      <c r="E4572">
        <v>1</v>
      </c>
      <c r="F4572" t="s">
        <v>168</v>
      </c>
      <c r="G4572" t="s">
        <v>25</v>
      </c>
      <c r="H4572" t="s">
        <v>108</v>
      </c>
      <c r="I4572" t="s">
        <v>97</v>
      </c>
      <c r="J4572" t="s">
        <v>78</v>
      </c>
      <c r="K4572" t="s">
        <v>45</v>
      </c>
      <c r="L4572">
        <v>3</v>
      </c>
      <c r="M4572">
        <v>828</v>
      </c>
      <c r="N4572">
        <v>124.2</v>
      </c>
      <c r="O4572">
        <v>20</v>
      </c>
      <c r="P4572">
        <v>2484</v>
      </c>
      <c r="Q4572">
        <v>2379.8000000000002</v>
      </c>
      <c r="R4572" t="s">
        <v>112</v>
      </c>
      <c r="S4572" t="s">
        <v>31</v>
      </c>
      <c r="T4572" t="s">
        <v>40</v>
      </c>
      <c r="U4572">
        <v>32</v>
      </c>
      <c r="V4572">
        <v>3.1</v>
      </c>
      <c r="W4572">
        <f>Table2[[#This Row],[Quantity]]*Table2[[#This Row],[Item_Price]]</f>
        <v>2484</v>
      </c>
    </row>
    <row r="4573" spans="1:23" x14ac:dyDescent="0.25">
      <c r="A4573" t="s">
        <v>4678</v>
      </c>
      <c r="B4573" s="1">
        <v>45992</v>
      </c>
      <c r="C4573" t="s">
        <v>4677</v>
      </c>
      <c r="D4573">
        <v>12</v>
      </c>
      <c r="E4573">
        <v>1</v>
      </c>
      <c r="F4573" t="s">
        <v>168</v>
      </c>
      <c r="G4573" t="s">
        <v>80</v>
      </c>
      <c r="H4573" t="s">
        <v>42</v>
      </c>
      <c r="I4573" t="s">
        <v>57</v>
      </c>
      <c r="J4573" t="s">
        <v>37</v>
      </c>
      <c r="K4573" t="s">
        <v>38</v>
      </c>
      <c r="L4573">
        <v>2</v>
      </c>
      <c r="M4573">
        <v>491</v>
      </c>
      <c r="N4573">
        <v>122.75</v>
      </c>
      <c r="O4573">
        <v>40</v>
      </c>
      <c r="P4573">
        <v>982</v>
      </c>
      <c r="Q4573">
        <v>899.25</v>
      </c>
      <c r="R4573" t="s">
        <v>112</v>
      </c>
      <c r="S4573" t="s">
        <v>110</v>
      </c>
      <c r="T4573" t="s">
        <v>32</v>
      </c>
      <c r="U4573">
        <v>20</v>
      </c>
      <c r="W4573">
        <f>Table2[[#This Row],[Quantity]]*Table2[[#This Row],[Item_Price]]</f>
        <v>982</v>
      </c>
    </row>
    <row r="4574" spans="1:23" x14ac:dyDescent="0.25">
      <c r="A4574" t="s">
        <v>4679</v>
      </c>
      <c r="B4574" s="1">
        <v>45992</v>
      </c>
      <c r="C4574" t="s">
        <v>4677</v>
      </c>
      <c r="D4574">
        <v>12</v>
      </c>
      <c r="E4574">
        <v>1</v>
      </c>
      <c r="F4574" t="s">
        <v>168</v>
      </c>
      <c r="G4574" t="s">
        <v>73</v>
      </c>
      <c r="H4574" t="s">
        <v>68</v>
      </c>
      <c r="I4574" t="s">
        <v>103</v>
      </c>
      <c r="J4574" t="s">
        <v>70</v>
      </c>
      <c r="K4574" t="s">
        <v>38</v>
      </c>
      <c r="L4574">
        <v>3</v>
      </c>
      <c r="M4574">
        <v>623</v>
      </c>
      <c r="N4574">
        <v>93.45</v>
      </c>
      <c r="O4574">
        <v>20</v>
      </c>
      <c r="P4574">
        <v>1869</v>
      </c>
      <c r="Q4574">
        <v>1795.55</v>
      </c>
      <c r="R4574" t="s">
        <v>98</v>
      </c>
      <c r="S4574" t="s">
        <v>91</v>
      </c>
      <c r="T4574" t="s">
        <v>32</v>
      </c>
      <c r="U4574">
        <v>31</v>
      </c>
      <c r="W4574">
        <f>Table2[[#This Row],[Quantity]]*Table2[[#This Row],[Item_Price]]</f>
        <v>1869</v>
      </c>
    </row>
    <row r="4575" spans="1:23" x14ac:dyDescent="0.25">
      <c r="A4575" t="s">
        <v>4680</v>
      </c>
      <c r="B4575" s="1">
        <v>45992</v>
      </c>
      <c r="C4575" t="s">
        <v>4677</v>
      </c>
      <c r="D4575">
        <v>12</v>
      </c>
      <c r="E4575">
        <v>1</v>
      </c>
      <c r="F4575" t="s">
        <v>168</v>
      </c>
      <c r="G4575" t="s">
        <v>90</v>
      </c>
      <c r="H4575" t="s">
        <v>26</v>
      </c>
      <c r="I4575" t="s">
        <v>36</v>
      </c>
      <c r="J4575" t="s">
        <v>74</v>
      </c>
      <c r="K4575" t="s">
        <v>38</v>
      </c>
      <c r="L4575">
        <v>1</v>
      </c>
      <c r="M4575">
        <v>622</v>
      </c>
      <c r="N4575">
        <v>31.1</v>
      </c>
      <c r="O4575">
        <v>40</v>
      </c>
      <c r="P4575">
        <v>622</v>
      </c>
      <c r="Q4575">
        <v>630.9</v>
      </c>
      <c r="R4575" t="s">
        <v>75</v>
      </c>
      <c r="S4575" t="s">
        <v>31</v>
      </c>
      <c r="T4575" t="s">
        <v>40</v>
      </c>
      <c r="U4575">
        <v>52</v>
      </c>
      <c r="V4575">
        <v>4.2</v>
      </c>
      <c r="W4575">
        <f>Table2[[#This Row],[Quantity]]*Table2[[#This Row],[Item_Price]]</f>
        <v>622</v>
      </c>
    </row>
    <row r="4576" spans="1:23" x14ac:dyDescent="0.25">
      <c r="A4576" t="s">
        <v>4681</v>
      </c>
      <c r="B4576" s="1">
        <v>45992</v>
      </c>
      <c r="C4576" t="s">
        <v>4677</v>
      </c>
      <c r="D4576">
        <v>12</v>
      </c>
      <c r="E4576">
        <v>1</v>
      </c>
      <c r="F4576" t="s">
        <v>168</v>
      </c>
      <c r="G4576" t="s">
        <v>73</v>
      </c>
      <c r="H4576" t="s">
        <v>139</v>
      </c>
      <c r="I4576" t="s">
        <v>85</v>
      </c>
      <c r="J4576" t="s">
        <v>78</v>
      </c>
      <c r="K4576" t="s">
        <v>38</v>
      </c>
      <c r="L4576">
        <v>3</v>
      </c>
      <c r="M4576">
        <v>809</v>
      </c>
      <c r="N4576">
        <v>80.900000000000006</v>
      </c>
      <c r="O4576">
        <v>60</v>
      </c>
      <c r="P4576">
        <v>2427</v>
      </c>
      <c r="Q4576">
        <v>2406.1</v>
      </c>
      <c r="R4576" t="s">
        <v>39</v>
      </c>
      <c r="S4576" t="s">
        <v>31</v>
      </c>
      <c r="T4576" t="s">
        <v>40</v>
      </c>
      <c r="U4576">
        <v>38</v>
      </c>
      <c r="V4576">
        <v>3.4</v>
      </c>
      <c r="W4576">
        <f>Table2[[#This Row],[Quantity]]*Table2[[#This Row],[Item_Price]]</f>
        <v>2427</v>
      </c>
    </row>
    <row r="4577" spans="1:23" x14ac:dyDescent="0.25">
      <c r="A4577" t="s">
        <v>4682</v>
      </c>
      <c r="B4577" s="1">
        <v>45992</v>
      </c>
      <c r="C4577" t="s">
        <v>4677</v>
      </c>
      <c r="D4577">
        <v>12</v>
      </c>
      <c r="E4577">
        <v>1</v>
      </c>
      <c r="F4577" t="s">
        <v>168</v>
      </c>
      <c r="G4577" t="s">
        <v>80</v>
      </c>
      <c r="H4577" t="s">
        <v>42</v>
      </c>
      <c r="I4577" t="s">
        <v>57</v>
      </c>
      <c r="J4577" t="s">
        <v>44</v>
      </c>
      <c r="K4577" t="s">
        <v>29</v>
      </c>
      <c r="L4577">
        <v>2</v>
      </c>
      <c r="M4577">
        <v>886</v>
      </c>
      <c r="N4577">
        <v>88.6</v>
      </c>
      <c r="O4577">
        <v>40</v>
      </c>
      <c r="P4577">
        <v>1772</v>
      </c>
      <c r="Q4577">
        <v>1723.4</v>
      </c>
      <c r="R4577" t="s">
        <v>39</v>
      </c>
      <c r="S4577" t="s">
        <v>31</v>
      </c>
      <c r="T4577" t="s">
        <v>32</v>
      </c>
      <c r="U4577">
        <v>38</v>
      </c>
      <c r="V4577">
        <v>5</v>
      </c>
      <c r="W4577">
        <f>Table2[[#This Row],[Quantity]]*Table2[[#This Row],[Item_Price]]</f>
        <v>1772</v>
      </c>
    </row>
    <row r="4578" spans="1:23" x14ac:dyDescent="0.25">
      <c r="A4578" t="s">
        <v>4683</v>
      </c>
      <c r="B4578" s="1">
        <v>45992</v>
      </c>
      <c r="C4578" t="s">
        <v>4677</v>
      </c>
      <c r="D4578">
        <v>12</v>
      </c>
      <c r="E4578">
        <v>1</v>
      </c>
      <c r="F4578" t="s">
        <v>168</v>
      </c>
      <c r="G4578" t="s">
        <v>90</v>
      </c>
      <c r="H4578" t="s">
        <v>26</v>
      </c>
      <c r="I4578" t="s">
        <v>61</v>
      </c>
      <c r="J4578" t="s">
        <v>66</v>
      </c>
      <c r="K4578" t="s">
        <v>58</v>
      </c>
      <c r="L4578">
        <v>2</v>
      </c>
      <c r="M4578">
        <v>687</v>
      </c>
      <c r="N4578">
        <v>103.05</v>
      </c>
      <c r="O4578">
        <v>60</v>
      </c>
      <c r="P4578">
        <v>1374</v>
      </c>
      <c r="Q4578">
        <v>1330.95</v>
      </c>
      <c r="R4578" t="s">
        <v>112</v>
      </c>
      <c r="S4578" t="s">
        <v>31</v>
      </c>
      <c r="T4578" t="s">
        <v>32</v>
      </c>
      <c r="U4578">
        <v>44</v>
      </c>
      <c r="V4578">
        <v>4</v>
      </c>
      <c r="W4578">
        <f>Table2[[#This Row],[Quantity]]*Table2[[#This Row],[Item_Price]]</f>
        <v>1374</v>
      </c>
    </row>
    <row r="4579" spans="1:23" x14ac:dyDescent="0.25">
      <c r="A4579" t="s">
        <v>4684</v>
      </c>
      <c r="B4579" s="1">
        <v>45992</v>
      </c>
      <c r="C4579" t="s">
        <v>4677</v>
      </c>
      <c r="D4579">
        <v>12</v>
      </c>
      <c r="E4579">
        <v>1</v>
      </c>
      <c r="F4579" t="s">
        <v>168</v>
      </c>
      <c r="G4579" t="s">
        <v>55</v>
      </c>
      <c r="H4579" t="s">
        <v>77</v>
      </c>
      <c r="I4579" t="s">
        <v>43</v>
      </c>
      <c r="J4579" t="s">
        <v>70</v>
      </c>
      <c r="K4579" t="s">
        <v>38</v>
      </c>
      <c r="L4579">
        <v>2</v>
      </c>
      <c r="M4579">
        <v>489</v>
      </c>
      <c r="N4579">
        <v>97.8</v>
      </c>
      <c r="O4579">
        <v>40</v>
      </c>
      <c r="P4579">
        <v>978</v>
      </c>
      <c r="Q4579">
        <v>920.2</v>
      </c>
      <c r="R4579" t="s">
        <v>39</v>
      </c>
      <c r="S4579" t="s">
        <v>31</v>
      </c>
      <c r="T4579" t="s">
        <v>40</v>
      </c>
      <c r="U4579">
        <v>66</v>
      </c>
      <c r="V4579">
        <v>3.5</v>
      </c>
      <c r="W4579">
        <f>Table2[[#This Row],[Quantity]]*Table2[[#This Row],[Item_Price]]</f>
        <v>978</v>
      </c>
    </row>
    <row r="4580" spans="1:23" x14ac:dyDescent="0.25">
      <c r="A4580" t="s">
        <v>4685</v>
      </c>
      <c r="B4580" s="1">
        <v>45992</v>
      </c>
      <c r="C4580" t="s">
        <v>4677</v>
      </c>
      <c r="D4580">
        <v>12</v>
      </c>
      <c r="E4580">
        <v>1</v>
      </c>
      <c r="F4580" t="s">
        <v>168</v>
      </c>
      <c r="G4580" t="s">
        <v>64</v>
      </c>
      <c r="H4580" t="s">
        <v>77</v>
      </c>
      <c r="I4580" t="s">
        <v>61</v>
      </c>
      <c r="J4580" t="s">
        <v>62</v>
      </c>
      <c r="K4580" t="s">
        <v>38</v>
      </c>
      <c r="L4580">
        <v>1</v>
      </c>
      <c r="M4580">
        <v>853</v>
      </c>
      <c r="N4580">
        <v>127.95</v>
      </c>
      <c r="O4580">
        <v>40</v>
      </c>
      <c r="P4580">
        <v>853</v>
      </c>
      <c r="Q4580">
        <v>765.05</v>
      </c>
      <c r="R4580" t="s">
        <v>39</v>
      </c>
      <c r="S4580" t="s">
        <v>31</v>
      </c>
      <c r="T4580" t="s">
        <v>32</v>
      </c>
      <c r="U4580">
        <v>67</v>
      </c>
      <c r="V4580">
        <v>4.4000000000000004</v>
      </c>
      <c r="W4580">
        <f>Table2[[#This Row],[Quantity]]*Table2[[#This Row],[Item_Price]]</f>
        <v>853</v>
      </c>
    </row>
    <row r="4581" spans="1:23" x14ac:dyDescent="0.25">
      <c r="A4581" t="s">
        <v>4686</v>
      </c>
      <c r="B4581" s="1">
        <v>45992</v>
      </c>
      <c r="C4581" t="s">
        <v>4677</v>
      </c>
      <c r="D4581">
        <v>12</v>
      </c>
      <c r="E4581">
        <v>1</v>
      </c>
      <c r="F4581" t="s">
        <v>168</v>
      </c>
      <c r="G4581" t="s">
        <v>34</v>
      </c>
      <c r="H4581" t="s">
        <v>52</v>
      </c>
      <c r="I4581" t="s">
        <v>49</v>
      </c>
      <c r="J4581" t="s">
        <v>44</v>
      </c>
      <c r="K4581" t="s">
        <v>38</v>
      </c>
      <c r="L4581">
        <v>2</v>
      </c>
      <c r="M4581">
        <v>226</v>
      </c>
      <c r="N4581">
        <v>33.9</v>
      </c>
      <c r="O4581">
        <v>70</v>
      </c>
      <c r="P4581">
        <v>452</v>
      </c>
      <c r="Q4581">
        <v>488.1</v>
      </c>
      <c r="R4581" t="s">
        <v>39</v>
      </c>
      <c r="S4581" t="s">
        <v>31</v>
      </c>
      <c r="T4581" t="s">
        <v>40</v>
      </c>
      <c r="U4581">
        <v>55</v>
      </c>
      <c r="V4581">
        <v>4.5999999999999996</v>
      </c>
      <c r="W4581">
        <f>Table2[[#This Row],[Quantity]]*Table2[[#This Row],[Item_Price]]</f>
        <v>452</v>
      </c>
    </row>
    <row r="4582" spans="1:23" x14ac:dyDescent="0.25">
      <c r="A4582" t="s">
        <v>4687</v>
      </c>
      <c r="B4582" s="1">
        <v>45992</v>
      </c>
      <c r="C4582" t="s">
        <v>4677</v>
      </c>
      <c r="D4582">
        <v>12</v>
      </c>
      <c r="E4582">
        <v>1</v>
      </c>
      <c r="F4582" t="s">
        <v>168</v>
      </c>
      <c r="G4582" t="s">
        <v>80</v>
      </c>
      <c r="H4582" t="s">
        <v>35</v>
      </c>
      <c r="I4582" t="s">
        <v>61</v>
      </c>
      <c r="J4582" t="s">
        <v>94</v>
      </c>
      <c r="K4582" t="s">
        <v>38</v>
      </c>
      <c r="L4582">
        <v>1</v>
      </c>
      <c r="M4582">
        <v>753</v>
      </c>
      <c r="N4582">
        <v>37.65</v>
      </c>
      <c r="O4582">
        <v>0</v>
      </c>
      <c r="P4582">
        <v>753</v>
      </c>
      <c r="Q4582">
        <v>715.35</v>
      </c>
      <c r="R4582" t="s">
        <v>98</v>
      </c>
      <c r="S4582" t="s">
        <v>31</v>
      </c>
      <c r="T4582" t="s">
        <v>40</v>
      </c>
      <c r="U4582">
        <v>43</v>
      </c>
      <c r="V4582">
        <v>3.8</v>
      </c>
      <c r="W4582">
        <f>Table2[[#This Row],[Quantity]]*Table2[[#This Row],[Item_Price]]</f>
        <v>753</v>
      </c>
    </row>
    <row r="4583" spans="1:23" x14ac:dyDescent="0.25">
      <c r="A4583" t="s">
        <v>4688</v>
      </c>
      <c r="B4583" s="1">
        <v>45992</v>
      </c>
      <c r="C4583" t="s">
        <v>4677</v>
      </c>
      <c r="D4583">
        <v>12</v>
      </c>
      <c r="E4583">
        <v>1</v>
      </c>
      <c r="F4583" t="s">
        <v>168</v>
      </c>
      <c r="G4583" t="s">
        <v>84</v>
      </c>
      <c r="H4583" t="s">
        <v>77</v>
      </c>
      <c r="I4583" t="s">
        <v>69</v>
      </c>
      <c r="J4583" t="s">
        <v>53</v>
      </c>
      <c r="K4583" t="s">
        <v>38</v>
      </c>
      <c r="L4583">
        <v>1</v>
      </c>
      <c r="M4583">
        <v>149</v>
      </c>
      <c r="N4583">
        <v>22.35</v>
      </c>
      <c r="O4583">
        <v>20</v>
      </c>
      <c r="P4583">
        <v>149</v>
      </c>
      <c r="Q4583">
        <v>146.65</v>
      </c>
      <c r="R4583" t="s">
        <v>30</v>
      </c>
      <c r="S4583" t="s">
        <v>31</v>
      </c>
      <c r="T4583" t="s">
        <v>40</v>
      </c>
      <c r="U4583">
        <v>35</v>
      </c>
      <c r="V4583">
        <v>5</v>
      </c>
      <c r="W4583">
        <f>Table2[[#This Row],[Quantity]]*Table2[[#This Row],[Item_Price]]</f>
        <v>149</v>
      </c>
    </row>
    <row r="4584" spans="1:23" x14ac:dyDescent="0.25">
      <c r="A4584" t="s">
        <v>4689</v>
      </c>
      <c r="B4584" s="1">
        <v>45993</v>
      </c>
      <c r="C4584" t="s">
        <v>4677</v>
      </c>
      <c r="D4584">
        <v>12</v>
      </c>
      <c r="E4584">
        <v>2</v>
      </c>
      <c r="F4584" t="s">
        <v>178</v>
      </c>
      <c r="G4584" t="s">
        <v>96</v>
      </c>
      <c r="H4584" t="s">
        <v>105</v>
      </c>
      <c r="I4584" t="s">
        <v>61</v>
      </c>
      <c r="J4584" t="s">
        <v>53</v>
      </c>
      <c r="K4584" t="s">
        <v>38</v>
      </c>
      <c r="L4584">
        <v>1</v>
      </c>
      <c r="M4584">
        <v>642</v>
      </c>
      <c r="N4584">
        <v>0</v>
      </c>
      <c r="O4584">
        <v>60</v>
      </c>
      <c r="P4584">
        <v>642</v>
      </c>
      <c r="Q4584">
        <v>702</v>
      </c>
      <c r="R4584" t="s">
        <v>39</v>
      </c>
      <c r="S4584" t="s">
        <v>31</v>
      </c>
      <c r="T4584" t="s">
        <v>40</v>
      </c>
      <c r="U4584">
        <v>55</v>
      </c>
      <c r="V4584">
        <v>4</v>
      </c>
      <c r="W4584">
        <f>Table2[[#This Row],[Quantity]]*Table2[[#This Row],[Item_Price]]</f>
        <v>642</v>
      </c>
    </row>
    <row r="4585" spans="1:23" x14ac:dyDescent="0.25">
      <c r="A4585" t="s">
        <v>4690</v>
      </c>
      <c r="B4585" s="1">
        <v>45993</v>
      </c>
      <c r="C4585" t="s">
        <v>4677</v>
      </c>
      <c r="D4585">
        <v>12</v>
      </c>
      <c r="E4585">
        <v>2</v>
      </c>
      <c r="F4585" t="s">
        <v>178</v>
      </c>
      <c r="G4585" t="s">
        <v>73</v>
      </c>
      <c r="H4585" t="s">
        <v>26</v>
      </c>
      <c r="I4585" t="s">
        <v>49</v>
      </c>
      <c r="J4585" t="s">
        <v>37</v>
      </c>
      <c r="K4585" t="s">
        <v>38</v>
      </c>
      <c r="L4585">
        <v>1</v>
      </c>
      <c r="M4585">
        <v>654</v>
      </c>
      <c r="N4585">
        <v>163.5</v>
      </c>
      <c r="O4585">
        <v>20</v>
      </c>
      <c r="P4585">
        <v>654</v>
      </c>
      <c r="Q4585">
        <v>510.5</v>
      </c>
      <c r="R4585" t="s">
        <v>39</v>
      </c>
      <c r="S4585" t="s">
        <v>91</v>
      </c>
      <c r="T4585" t="s">
        <v>32</v>
      </c>
      <c r="U4585">
        <v>28</v>
      </c>
      <c r="W4585">
        <f>Table2[[#This Row],[Quantity]]*Table2[[#This Row],[Item_Price]]</f>
        <v>654</v>
      </c>
    </row>
    <row r="4586" spans="1:23" x14ac:dyDescent="0.25">
      <c r="A4586" t="s">
        <v>4691</v>
      </c>
      <c r="B4586" s="1">
        <v>45993</v>
      </c>
      <c r="C4586" t="s">
        <v>4677</v>
      </c>
      <c r="D4586">
        <v>12</v>
      </c>
      <c r="E4586">
        <v>2</v>
      </c>
      <c r="F4586" t="s">
        <v>178</v>
      </c>
      <c r="G4586" t="s">
        <v>64</v>
      </c>
      <c r="H4586" t="s">
        <v>26</v>
      </c>
      <c r="I4586" t="s">
        <v>85</v>
      </c>
      <c r="J4586" t="s">
        <v>53</v>
      </c>
      <c r="K4586" t="s">
        <v>58</v>
      </c>
      <c r="L4586">
        <v>1</v>
      </c>
      <c r="M4586">
        <v>233</v>
      </c>
      <c r="N4586">
        <v>23.3</v>
      </c>
      <c r="O4586">
        <v>20</v>
      </c>
      <c r="P4586">
        <v>233</v>
      </c>
      <c r="Q4586">
        <v>229.7</v>
      </c>
      <c r="R4586" t="s">
        <v>112</v>
      </c>
      <c r="S4586" t="s">
        <v>46</v>
      </c>
      <c r="T4586" t="s">
        <v>40</v>
      </c>
      <c r="U4586">
        <v>64</v>
      </c>
      <c r="W4586">
        <f>Table2[[#This Row],[Quantity]]*Table2[[#This Row],[Item_Price]]</f>
        <v>233</v>
      </c>
    </row>
    <row r="4587" spans="1:23" x14ac:dyDescent="0.25">
      <c r="A4587" t="s">
        <v>4692</v>
      </c>
      <c r="B4587" s="1">
        <v>45993</v>
      </c>
      <c r="C4587" t="s">
        <v>4677</v>
      </c>
      <c r="D4587">
        <v>12</v>
      </c>
      <c r="E4587">
        <v>2</v>
      </c>
      <c r="F4587" t="s">
        <v>178</v>
      </c>
      <c r="G4587" t="s">
        <v>34</v>
      </c>
      <c r="H4587" t="s">
        <v>68</v>
      </c>
      <c r="I4587" t="s">
        <v>69</v>
      </c>
      <c r="J4587" t="s">
        <v>70</v>
      </c>
      <c r="K4587" t="s">
        <v>38</v>
      </c>
      <c r="L4587">
        <v>2</v>
      </c>
      <c r="M4587">
        <v>438</v>
      </c>
      <c r="N4587">
        <v>65.7</v>
      </c>
      <c r="O4587">
        <v>0</v>
      </c>
      <c r="P4587">
        <v>876</v>
      </c>
      <c r="Q4587">
        <v>810.3</v>
      </c>
      <c r="R4587" t="s">
        <v>30</v>
      </c>
      <c r="S4587" t="s">
        <v>31</v>
      </c>
      <c r="T4587" t="s">
        <v>32</v>
      </c>
      <c r="U4587">
        <v>35</v>
      </c>
      <c r="V4587">
        <v>4.5</v>
      </c>
      <c r="W4587">
        <f>Table2[[#This Row],[Quantity]]*Table2[[#This Row],[Item_Price]]</f>
        <v>876</v>
      </c>
    </row>
    <row r="4588" spans="1:23" x14ac:dyDescent="0.25">
      <c r="A4588" t="s">
        <v>4693</v>
      </c>
      <c r="B4588" s="1">
        <v>45993</v>
      </c>
      <c r="C4588" t="s">
        <v>4677</v>
      </c>
      <c r="D4588">
        <v>12</v>
      </c>
      <c r="E4588">
        <v>2</v>
      </c>
      <c r="F4588" t="s">
        <v>178</v>
      </c>
      <c r="G4588" t="s">
        <v>55</v>
      </c>
      <c r="H4588" t="s">
        <v>108</v>
      </c>
      <c r="I4588" t="s">
        <v>69</v>
      </c>
      <c r="J4588" t="s">
        <v>28</v>
      </c>
      <c r="K4588" t="s">
        <v>45</v>
      </c>
      <c r="L4588">
        <v>1</v>
      </c>
      <c r="M4588">
        <v>282</v>
      </c>
      <c r="N4588">
        <v>56.4</v>
      </c>
      <c r="O4588">
        <v>40</v>
      </c>
      <c r="P4588">
        <v>282</v>
      </c>
      <c r="Q4588">
        <v>265.60000000000002</v>
      </c>
      <c r="R4588" t="s">
        <v>39</v>
      </c>
      <c r="S4588" t="s">
        <v>31</v>
      </c>
      <c r="T4588" t="s">
        <v>32</v>
      </c>
      <c r="U4588">
        <v>59</v>
      </c>
      <c r="V4588">
        <v>4.0999999999999996</v>
      </c>
      <c r="W4588">
        <f>Table2[[#This Row],[Quantity]]*Table2[[#This Row],[Item_Price]]</f>
        <v>282</v>
      </c>
    </row>
    <row r="4589" spans="1:23" x14ac:dyDescent="0.25">
      <c r="A4589" t="s">
        <v>4694</v>
      </c>
      <c r="B4589" s="1">
        <v>45993</v>
      </c>
      <c r="C4589" t="s">
        <v>4677</v>
      </c>
      <c r="D4589">
        <v>12</v>
      </c>
      <c r="E4589">
        <v>2</v>
      </c>
      <c r="F4589" t="s">
        <v>178</v>
      </c>
      <c r="G4589" t="s">
        <v>84</v>
      </c>
      <c r="H4589" t="s">
        <v>139</v>
      </c>
      <c r="I4589" t="s">
        <v>85</v>
      </c>
      <c r="J4589" t="s">
        <v>94</v>
      </c>
      <c r="K4589" t="s">
        <v>38</v>
      </c>
      <c r="L4589">
        <v>2</v>
      </c>
      <c r="M4589">
        <v>654</v>
      </c>
      <c r="N4589">
        <v>98.1</v>
      </c>
      <c r="O4589">
        <v>60</v>
      </c>
      <c r="P4589">
        <v>1308</v>
      </c>
      <c r="Q4589">
        <v>1269.9000000000001</v>
      </c>
      <c r="R4589" t="s">
        <v>75</v>
      </c>
      <c r="S4589" t="s">
        <v>31</v>
      </c>
      <c r="T4589" t="s">
        <v>40</v>
      </c>
      <c r="U4589">
        <v>24</v>
      </c>
      <c r="V4589">
        <v>3.7</v>
      </c>
      <c r="W4589">
        <f>Table2[[#This Row],[Quantity]]*Table2[[#This Row],[Item_Price]]</f>
        <v>1308</v>
      </c>
    </row>
    <row r="4590" spans="1:23" x14ac:dyDescent="0.25">
      <c r="A4590" t="s">
        <v>4695</v>
      </c>
      <c r="B4590" s="1">
        <v>45993</v>
      </c>
      <c r="C4590" t="s">
        <v>4677</v>
      </c>
      <c r="D4590">
        <v>12</v>
      </c>
      <c r="E4590">
        <v>2</v>
      </c>
      <c r="F4590" t="s">
        <v>178</v>
      </c>
      <c r="G4590" t="s">
        <v>34</v>
      </c>
      <c r="H4590" t="s">
        <v>60</v>
      </c>
      <c r="I4590" t="s">
        <v>27</v>
      </c>
      <c r="J4590" t="s">
        <v>172</v>
      </c>
      <c r="K4590" t="s">
        <v>38</v>
      </c>
      <c r="L4590">
        <v>1</v>
      </c>
      <c r="M4590">
        <v>154</v>
      </c>
      <c r="N4590">
        <v>30.8</v>
      </c>
      <c r="O4590">
        <v>40</v>
      </c>
      <c r="P4590">
        <v>154</v>
      </c>
      <c r="Q4590">
        <v>163.19999999999999</v>
      </c>
      <c r="R4590" t="s">
        <v>39</v>
      </c>
      <c r="S4590" t="s">
        <v>31</v>
      </c>
      <c r="T4590" t="s">
        <v>40</v>
      </c>
      <c r="U4590">
        <v>50</v>
      </c>
      <c r="V4590">
        <v>4.8</v>
      </c>
      <c r="W4590">
        <f>Table2[[#This Row],[Quantity]]*Table2[[#This Row],[Item_Price]]</f>
        <v>154</v>
      </c>
    </row>
    <row r="4591" spans="1:23" x14ac:dyDescent="0.25">
      <c r="A4591" t="s">
        <v>4696</v>
      </c>
      <c r="B4591" s="1">
        <v>45993</v>
      </c>
      <c r="C4591" t="s">
        <v>4677</v>
      </c>
      <c r="D4591">
        <v>12</v>
      </c>
      <c r="E4591">
        <v>2</v>
      </c>
      <c r="F4591" t="s">
        <v>178</v>
      </c>
      <c r="G4591" t="s">
        <v>80</v>
      </c>
      <c r="H4591" t="s">
        <v>52</v>
      </c>
      <c r="I4591" t="s">
        <v>69</v>
      </c>
      <c r="J4591" t="s">
        <v>28</v>
      </c>
      <c r="K4591" t="s">
        <v>38</v>
      </c>
      <c r="L4591">
        <v>1</v>
      </c>
      <c r="M4591">
        <v>348</v>
      </c>
      <c r="N4591">
        <v>17.399999999999999</v>
      </c>
      <c r="O4591">
        <v>40</v>
      </c>
      <c r="P4591">
        <v>348</v>
      </c>
      <c r="Q4591">
        <v>370.6</v>
      </c>
      <c r="R4591" t="s">
        <v>75</v>
      </c>
      <c r="S4591" t="s">
        <v>31</v>
      </c>
      <c r="T4591" t="s">
        <v>32</v>
      </c>
      <c r="U4591">
        <v>42</v>
      </c>
      <c r="V4591">
        <v>4.0999999999999996</v>
      </c>
      <c r="W4591">
        <f>Table2[[#This Row],[Quantity]]*Table2[[#This Row],[Item_Price]]</f>
        <v>348</v>
      </c>
    </row>
    <row r="4592" spans="1:23" x14ac:dyDescent="0.25">
      <c r="A4592" t="s">
        <v>4697</v>
      </c>
      <c r="B4592" s="1">
        <v>45993</v>
      </c>
      <c r="C4592" t="s">
        <v>4677</v>
      </c>
      <c r="D4592">
        <v>12</v>
      </c>
      <c r="E4592">
        <v>2</v>
      </c>
      <c r="F4592" t="s">
        <v>178</v>
      </c>
      <c r="G4592" t="s">
        <v>25</v>
      </c>
      <c r="H4592" t="s">
        <v>68</v>
      </c>
      <c r="I4592" t="s">
        <v>103</v>
      </c>
      <c r="J4592" t="s">
        <v>53</v>
      </c>
      <c r="K4592" t="s">
        <v>58</v>
      </c>
      <c r="L4592">
        <v>1</v>
      </c>
      <c r="M4592">
        <v>663</v>
      </c>
      <c r="N4592">
        <v>0</v>
      </c>
      <c r="O4592">
        <v>50</v>
      </c>
      <c r="P4592">
        <v>663</v>
      </c>
      <c r="Q4592">
        <v>713</v>
      </c>
      <c r="R4592" t="s">
        <v>30</v>
      </c>
      <c r="S4592" t="s">
        <v>31</v>
      </c>
      <c r="T4592" t="s">
        <v>32</v>
      </c>
      <c r="U4592">
        <v>34</v>
      </c>
      <c r="V4592">
        <v>4.2</v>
      </c>
      <c r="W4592">
        <f>Table2[[#This Row],[Quantity]]*Table2[[#This Row],[Item_Price]]</f>
        <v>663</v>
      </c>
    </row>
    <row r="4593" spans="1:23" x14ac:dyDescent="0.25">
      <c r="A4593" t="s">
        <v>4698</v>
      </c>
      <c r="B4593" s="1">
        <v>45993</v>
      </c>
      <c r="C4593" t="s">
        <v>4677</v>
      </c>
      <c r="D4593">
        <v>12</v>
      </c>
      <c r="E4593">
        <v>2</v>
      </c>
      <c r="F4593" t="s">
        <v>178</v>
      </c>
      <c r="G4593" t="s">
        <v>84</v>
      </c>
      <c r="H4593" t="s">
        <v>65</v>
      </c>
      <c r="I4593" t="s">
        <v>103</v>
      </c>
      <c r="J4593" t="s">
        <v>78</v>
      </c>
      <c r="K4593" t="s">
        <v>45</v>
      </c>
      <c r="L4593">
        <v>2</v>
      </c>
      <c r="M4593">
        <v>765</v>
      </c>
      <c r="N4593">
        <v>153</v>
      </c>
      <c r="O4593">
        <v>40</v>
      </c>
      <c r="P4593">
        <v>1530</v>
      </c>
      <c r="Q4593">
        <v>1417</v>
      </c>
      <c r="R4593" t="s">
        <v>112</v>
      </c>
      <c r="S4593" t="s">
        <v>31</v>
      </c>
      <c r="T4593" t="s">
        <v>32</v>
      </c>
      <c r="U4593">
        <v>26</v>
      </c>
      <c r="V4593">
        <v>4.0999999999999996</v>
      </c>
      <c r="W4593">
        <f>Table2[[#This Row],[Quantity]]*Table2[[#This Row],[Item_Price]]</f>
        <v>1530</v>
      </c>
    </row>
    <row r="4594" spans="1:23" x14ac:dyDescent="0.25">
      <c r="A4594" t="s">
        <v>4699</v>
      </c>
      <c r="B4594" s="1">
        <v>45993</v>
      </c>
      <c r="C4594" t="s">
        <v>4677</v>
      </c>
      <c r="D4594">
        <v>12</v>
      </c>
      <c r="E4594">
        <v>2</v>
      </c>
      <c r="F4594" t="s">
        <v>178</v>
      </c>
      <c r="G4594" t="s">
        <v>90</v>
      </c>
      <c r="H4594" t="s">
        <v>108</v>
      </c>
      <c r="I4594" t="s">
        <v>49</v>
      </c>
      <c r="J4594" t="s">
        <v>74</v>
      </c>
      <c r="K4594" t="s">
        <v>38</v>
      </c>
      <c r="L4594">
        <v>3</v>
      </c>
      <c r="M4594">
        <v>256</v>
      </c>
      <c r="N4594">
        <v>0</v>
      </c>
      <c r="O4594">
        <v>50</v>
      </c>
      <c r="P4594">
        <v>768</v>
      </c>
      <c r="Q4594">
        <v>818</v>
      </c>
      <c r="R4594" t="s">
        <v>39</v>
      </c>
      <c r="S4594" t="s">
        <v>31</v>
      </c>
      <c r="T4594" t="s">
        <v>40</v>
      </c>
      <c r="U4594">
        <v>64</v>
      </c>
      <c r="V4594">
        <v>3.7</v>
      </c>
      <c r="W4594">
        <f>Table2[[#This Row],[Quantity]]*Table2[[#This Row],[Item_Price]]</f>
        <v>768</v>
      </c>
    </row>
    <row r="4595" spans="1:23" x14ac:dyDescent="0.25">
      <c r="A4595" t="s">
        <v>4700</v>
      </c>
      <c r="B4595" s="1">
        <v>45993</v>
      </c>
      <c r="C4595" t="s">
        <v>4677</v>
      </c>
      <c r="D4595">
        <v>12</v>
      </c>
      <c r="E4595">
        <v>2</v>
      </c>
      <c r="F4595" t="s">
        <v>178</v>
      </c>
      <c r="G4595" t="s">
        <v>115</v>
      </c>
      <c r="H4595" t="s">
        <v>56</v>
      </c>
      <c r="I4595" t="s">
        <v>97</v>
      </c>
      <c r="J4595" t="s">
        <v>123</v>
      </c>
      <c r="K4595" t="s">
        <v>38</v>
      </c>
      <c r="L4595">
        <v>3</v>
      </c>
      <c r="M4595">
        <v>248</v>
      </c>
      <c r="N4595">
        <v>49.6</v>
      </c>
      <c r="O4595">
        <v>40</v>
      </c>
      <c r="P4595">
        <v>744</v>
      </c>
      <c r="Q4595">
        <v>734.4</v>
      </c>
      <c r="R4595" t="s">
        <v>39</v>
      </c>
      <c r="S4595" t="s">
        <v>31</v>
      </c>
      <c r="T4595" t="s">
        <v>40</v>
      </c>
      <c r="U4595">
        <v>40</v>
      </c>
      <c r="V4595">
        <v>4.5999999999999996</v>
      </c>
      <c r="W4595">
        <f>Table2[[#This Row],[Quantity]]*Table2[[#This Row],[Item_Price]]</f>
        <v>744</v>
      </c>
    </row>
    <row r="4596" spans="1:23" x14ac:dyDescent="0.25">
      <c r="A4596" t="s">
        <v>4701</v>
      </c>
      <c r="B4596" s="1">
        <v>45993</v>
      </c>
      <c r="C4596" t="s">
        <v>4677</v>
      </c>
      <c r="D4596">
        <v>12</v>
      </c>
      <c r="E4596">
        <v>2</v>
      </c>
      <c r="F4596" t="s">
        <v>178</v>
      </c>
      <c r="G4596" t="s">
        <v>55</v>
      </c>
      <c r="H4596" t="s">
        <v>139</v>
      </c>
      <c r="I4596" t="s">
        <v>36</v>
      </c>
      <c r="J4596" t="s">
        <v>78</v>
      </c>
      <c r="K4596" t="s">
        <v>58</v>
      </c>
      <c r="L4596">
        <v>2</v>
      </c>
      <c r="M4596">
        <v>196</v>
      </c>
      <c r="N4596">
        <v>0</v>
      </c>
      <c r="O4596">
        <v>20</v>
      </c>
      <c r="P4596">
        <v>392</v>
      </c>
      <c r="Q4596">
        <v>412</v>
      </c>
      <c r="R4596" t="s">
        <v>75</v>
      </c>
      <c r="S4596" t="s">
        <v>31</v>
      </c>
      <c r="T4596" t="s">
        <v>40</v>
      </c>
      <c r="U4596">
        <v>39</v>
      </c>
      <c r="V4596">
        <v>3.7</v>
      </c>
      <c r="W4596">
        <f>Table2[[#This Row],[Quantity]]*Table2[[#This Row],[Item_Price]]</f>
        <v>392</v>
      </c>
    </row>
    <row r="4597" spans="1:23" x14ac:dyDescent="0.25">
      <c r="A4597" t="s">
        <v>4702</v>
      </c>
      <c r="B4597" s="1">
        <v>45993</v>
      </c>
      <c r="C4597" t="s">
        <v>4677</v>
      </c>
      <c r="D4597">
        <v>12</v>
      </c>
      <c r="E4597">
        <v>2</v>
      </c>
      <c r="F4597" t="s">
        <v>178</v>
      </c>
      <c r="G4597" t="s">
        <v>115</v>
      </c>
      <c r="H4597" t="s">
        <v>26</v>
      </c>
      <c r="I4597" t="s">
        <v>49</v>
      </c>
      <c r="J4597" t="s">
        <v>78</v>
      </c>
      <c r="K4597" t="s">
        <v>58</v>
      </c>
      <c r="L4597">
        <v>1</v>
      </c>
      <c r="M4597">
        <v>736</v>
      </c>
      <c r="N4597">
        <v>0</v>
      </c>
      <c r="O4597">
        <v>30</v>
      </c>
      <c r="P4597">
        <v>736</v>
      </c>
      <c r="Q4597">
        <v>766</v>
      </c>
      <c r="R4597" t="s">
        <v>30</v>
      </c>
      <c r="S4597" t="s">
        <v>31</v>
      </c>
      <c r="T4597" t="s">
        <v>40</v>
      </c>
      <c r="U4597">
        <v>43</v>
      </c>
      <c r="V4597">
        <v>3.6</v>
      </c>
      <c r="W4597">
        <f>Table2[[#This Row],[Quantity]]*Table2[[#This Row],[Item_Price]]</f>
        <v>736</v>
      </c>
    </row>
    <row r="4598" spans="1:23" x14ac:dyDescent="0.25">
      <c r="A4598" t="s">
        <v>4703</v>
      </c>
      <c r="B4598" s="1">
        <v>45993</v>
      </c>
      <c r="C4598" t="s">
        <v>4677</v>
      </c>
      <c r="D4598">
        <v>12</v>
      </c>
      <c r="E4598">
        <v>2</v>
      </c>
      <c r="F4598" t="s">
        <v>178</v>
      </c>
      <c r="G4598" t="s">
        <v>84</v>
      </c>
      <c r="H4598" t="s">
        <v>42</v>
      </c>
      <c r="I4598" t="s">
        <v>43</v>
      </c>
      <c r="J4598" t="s">
        <v>94</v>
      </c>
      <c r="K4598" t="s">
        <v>38</v>
      </c>
      <c r="L4598">
        <v>2</v>
      </c>
      <c r="M4598">
        <v>444</v>
      </c>
      <c r="N4598">
        <v>44.4</v>
      </c>
      <c r="O4598">
        <v>0</v>
      </c>
      <c r="P4598">
        <v>888</v>
      </c>
      <c r="Q4598">
        <v>843.6</v>
      </c>
      <c r="R4598" t="s">
        <v>39</v>
      </c>
      <c r="S4598" t="s">
        <v>91</v>
      </c>
      <c r="T4598" t="s">
        <v>40</v>
      </c>
      <c r="U4598">
        <v>27</v>
      </c>
      <c r="W4598">
        <f>Table2[[#This Row],[Quantity]]*Table2[[#This Row],[Item_Price]]</f>
        <v>888</v>
      </c>
    </row>
    <row r="4599" spans="1:23" x14ac:dyDescent="0.25">
      <c r="A4599" t="s">
        <v>4704</v>
      </c>
      <c r="B4599" s="1">
        <v>45994</v>
      </c>
      <c r="C4599" t="s">
        <v>4677</v>
      </c>
      <c r="D4599">
        <v>12</v>
      </c>
      <c r="E4599">
        <v>3</v>
      </c>
      <c r="F4599" t="s">
        <v>24</v>
      </c>
      <c r="G4599" t="s">
        <v>96</v>
      </c>
      <c r="H4599" t="s">
        <v>135</v>
      </c>
      <c r="I4599" t="s">
        <v>57</v>
      </c>
      <c r="J4599" t="s">
        <v>28</v>
      </c>
      <c r="K4599" t="s">
        <v>38</v>
      </c>
      <c r="L4599">
        <v>2</v>
      </c>
      <c r="M4599">
        <v>468</v>
      </c>
      <c r="N4599">
        <v>117</v>
      </c>
      <c r="O4599">
        <v>40</v>
      </c>
      <c r="P4599">
        <v>936</v>
      </c>
      <c r="Q4599">
        <v>859</v>
      </c>
      <c r="R4599" t="s">
        <v>39</v>
      </c>
      <c r="S4599" t="s">
        <v>31</v>
      </c>
      <c r="T4599" t="s">
        <v>32</v>
      </c>
      <c r="U4599">
        <v>67</v>
      </c>
      <c r="V4599">
        <v>5</v>
      </c>
      <c r="W4599">
        <f>Table2[[#This Row],[Quantity]]*Table2[[#This Row],[Item_Price]]</f>
        <v>936</v>
      </c>
    </row>
    <row r="4600" spans="1:23" x14ac:dyDescent="0.25">
      <c r="A4600" t="s">
        <v>4705</v>
      </c>
      <c r="B4600" s="1">
        <v>45994</v>
      </c>
      <c r="C4600" t="s">
        <v>4677</v>
      </c>
      <c r="D4600">
        <v>12</v>
      </c>
      <c r="E4600">
        <v>3</v>
      </c>
      <c r="F4600" t="s">
        <v>24</v>
      </c>
      <c r="G4600" t="s">
        <v>34</v>
      </c>
      <c r="H4600" t="s">
        <v>60</v>
      </c>
      <c r="I4600" t="s">
        <v>36</v>
      </c>
      <c r="J4600" t="s">
        <v>53</v>
      </c>
      <c r="K4600" t="s">
        <v>58</v>
      </c>
      <c r="L4600">
        <v>1</v>
      </c>
      <c r="M4600">
        <v>468</v>
      </c>
      <c r="N4600">
        <v>46.8</v>
      </c>
      <c r="O4600">
        <v>40</v>
      </c>
      <c r="P4600">
        <v>468</v>
      </c>
      <c r="Q4600">
        <v>461.2</v>
      </c>
      <c r="R4600" t="s">
        <v>39</v>
      </c>
      <c r="S4600" t="s">
        <v>31</v>
      </c>
      <c r="T4600" t="s">
        <v>32</v>
      </c>
      <c r="U4600">
        <v>66</v>
      </c>
      <c r="V4600">
        <v>4.5</v>
      </c>
      <c r="W4600">
        <f>Table2[[#This Row],[Quantity]]*Table2[[#This Row],[Item_Price]]</f>
        <v>468</v>
      </c>
    </row>
    <row r="4601" spans="1:23" x14ac:dyDescent="0.25">
      <c r="A4601" t="s">
        <v>4706</v>
      </c>
      <c r="B4601" s="1">
        <v>45994</v>
      </c>
      <c r="C4601" t="s">
        <v>4677</v>
      </c>
      <c r="D4601">
        <v>12</v>
      </c>
      <c r="E4601">
        <v>3</v>
      </c>
      <c r="F4601" t="s">
        <v>24</v>
      </c>
      <c r="G4601" t="s">
        <v>84</v>
      </c>
      <c r="H4601" t="s">
        <v>42</v>
      </c>
      <c r="I4601" t="s">
        <v>103</v>
      </c>
      <c r="J4601" t="s">
        <v>44</v>
      </c>
      <c r="K4601" t="s">
        <v>38</v>
      </c>
      <c r="L4601">
        <v>3</v>
      </c>
      <c r="M4601">
        <v>334</v>
      </c>
      <c r="N4601">
        <v>16.7</v>
      </c>
      <c r="O4601">
        <v>40</v>
      </c>
      <c r="P4601">
        <v>1002</v>
      </c>
      <c r="Q4601">
        <v>1025.3</v>
      </c>
      <c r="R4601" t="s">
        <v>112</v>
      </c>
      <c r="S4601" t="s">
        <v>31</v>
      </c>
      <c r="T4601" t="s">
        <v>40</v>
      </c>
      <c r="U4601">
        <v>24</v>
      </c>
      <c r="V4601">
        <v>4.5</v>
      </c>
      <c r="W4601">
        <f>Table2[[#This Row],[Quantity]]*Table2[[#This Row],[Item_Price]]</f>
        <v>1002</v>
      </c>
    </row>
    <row r="4602" spans="1:23" x14ac:dyDescent="0.25">
      <c r="A4602" t="s">
        <v>4707</v>
      </c>
      <c r="B4602" s="1">
        <v>45994</v>
      </c>
      <c r="C4602" t="s">
        <v>4677</v>
      </c>
      <c r="D4602">
        <v>12</v>
      </c>
      <c r="E4602">
        <v>3</v>
      </c>
      <c r="F4602" t="s">
        <v>24</v>
      </c>
      <c r="G4602" t="s">
        <v>80</v>
      </c>
      <c r="H4602" t="s">
        <v>77</v>
      </c>
      <c r="I4602" t="s">
        <v>27</v>
      </c>
      <c r="J4602" t="s">
        <v>44</v>
      </c>
      <c r="K4602" t="s">
        <v>38</v>
      </c>
      <c r="L4602">
        <v>1</v>
      </c>
      <c r="M4602">
        <v>340</v>
      </c>
      <c r="N4602">
        <v>17</v>
      </c>
      <c r="O4602">
        <v>20</v>
      </c>
      <c r="P4602">
        <v>340</v>
      </c>
      <c r="Q4602">
        <v>343</v>
      </c>
      <c r="R4602" t="s">
        <v>39</v>
      </c>
      <c r="S4602" t="s">
        <v>31</v>
      </c>
      <c r="T4602" t="s">
        <v>32</v>
      </c>
      <c r="U4602">
        <v>61</v>
      </c>
      <c r="V4602">
        <v>4</v>
      </c>
      <c r="W4602">
        <f>Table2[[#This Row],[Quantity]]*Table2[[#This Row],[Item_Price]]</f>
        <v>340</v>
      </c>
    </row>
    <row r="4603" spans="1:23" x14ac:dyDescent="0.25">
      <c r="A4603" t="s">
        <v>4708</v>
      </c>
      <c r="B4603" s="1">
        <v>45994</v>
      </c>
      <c r="C4603" t="s">
        <v>4677</v>
      </c>
      <c r="D4603">
        <v>12</v>
      </c>
      <c r="E4603">
        <v>3</v>
      </c>
      <c r="F4603" t="s">
        <v>24</v>
      </c>
      <c r="G4603" t="s">
        <v>64</v>
      </c>
      <c r="H4603" t="s">
        <v>60</v>
      </c>
      <c r="I4603" t="s">
        <v>61</v>
      </c>
      <c r="J4603" t="s">
        <v>78</v>
      </c>
      <c r="K4603" t="s">
        <v>38</v>
      </c>
      <c r="L4603">
        <v>1</v>
      </c>
      <c r="M4603">
        <v>624</v>
      </c>
      <c r="N4603">
        <v>31.2</v>
      </c>
      <c r="O4603">
        <v>30</v>
      </c>
      <c r="P4603">
        <v>624</v>
      </c>
      <c r="Q4603">
        <v>622.79999999999995</v>
      </c>
      <c r="R4603" t="s">
        <v>75</v>
      </c>
      <c r="S4603" t="s">
        <v>31</v>
      </c>
      <c r="T4603" t="s">
        <v>40</v>
      </c>
      <c r="U4603">
        <v>53</v>
      </c>
      <c r="V4603">
        <v>4.2</v>
      </c>
      <c r="W4603">
        <f>Table2[[#This Row],[Quantity]]*Table2[[#This Row],[Item_Price]]</f>
        <v>624</v>
      </c>
    </row>
    <row r="4604" spans="1:23" x14ac:dyDescent="0.25">
      <c r="A4604" t="s">
        <v>4709</v>
      </c>
      <c r="B4604" s="1">
        <v>45994</v>
      </c>
      <c r="C4604" t="s">
        <v>4677</v>
      </c>
      <c r="D4604">
        <v>12</v>
      </c>
      <c r="E4604">
        <v>3</v>
      </c>
      <c r="F4604" t="s">
        <v>24</v>
      </c>
      <c r="G4604" t="s">
        <v>64</v>
      </c>
      <c r="H4604" t="s">
        <v>81</v>
      </c>
      <c r="I4604" t="s">
        <v>61</v>
      </c>
      <c r="J4604" t="s">
        <v>50</v>
      </c>
      <c r="K4604" t="s">
        <v>45</v>
      </c>
      <c r="L4604">
        <v>1</v>
      </c>
      <c r="M4604">
        <v>202</v>
      </c>
      <c r="N4604">
        <v>30.3</v>
      </c>
      <c r="O4604">
        <v>0</v>
      </c>
      <c r="P4604">
        <v>202</v>
      </c>
      <c r="Q4604">
        <v>171.7</v>
      </c>
      <c r="R4604" t="s">
        <v>39</v>
      </c>
      <c r="S4604" t="s">
        <v>31</v>
      </c>
      <c r="T4604" t="s">
        <v>40</v>
      </c>
      <c r="U4604">
        <v>52</v>
      </c>
      <c r="V4604">
        <v>5</v>
      </c>
      <c r="W4604">
        <f>Table2[[#This Row],[Quantity]]*Table2[[#This Row],[Item_Price]]</f>
        <v>202</v>
      </c>
    </row>
    <row r="4605" spans="1:23" x14ac:dyDescent="0.25">
      <c r="A4605" t="s">
        <v>4710</v>
      </c>
      <c r="B4605" s="1">
        <v>45994</v>
      </c>
      <c r="C4605" t="s">
        <v>4677</v>
      </c>
      <c r="D4605">
        <v>12</v>
      </c>
      <c r="E4605">
        <v>3</v>
      </c>
      <c r="F4605" t="s">
        <v>24</v>
      </c>
      <c r="G4605" t="s">
        <v>84</v>
      </c>
      <c r="H4605" t="s">
        <v>48</v>
      </c>
      <c r="I4605" t="s">
        <v>36</v>
      </c>
      <c r="J4605" t="s">
        <v>50</v>
      </c>
      <c r="K4605" t="s">
        <v>45</v>
      </c>
      <c r="L4605">
        <v>3</v>
      </c>
      <c r="M4605">
        <v>237</v>
      </c>
      <c r="N4605">
        <v>23.7</v>
      </c>
      <c r="O4605">
        <v>30</v>
      </c>
      <c r="P4605">
        <v>711</v>
      </c>
      <c r="Q4605">
        <v>717.3</v>
      </c>
      <c r="R4605" t="s">
        <v>75</v>
      </c>
      <c r="S4605" t="s">
        <v>31</v>
      </c>
      <c r="T4605" t="s">
        <v>32</v>
      </c>
      <c r="U4605">
        <v>24</v>
      </c>
      <c r="V4605">
        <v>3.6</v>
      </c>
      <c r="W4605">
        <f>Table2[[#This Row],[Quantity]]*Table2[[#This Row],[Item_Price]]</f>
        <v>711</v>
      </c>
    </row>
    <row r="4606" spans="1:23" x14ac:dyDescent="0.25">
      <c r="A4606" t="s">
        <v>4711</v>
      </c>
      <c r="B4606" s="1">
        <v>45994</v>
      </c>
      <c r="C4606" t="s">
        <v>4677</v>
      </c>
      <c r="D4606">
        <v>12</v>
      </c>
      <c r="E4606">
        <v>3</v>
      </c>
      <c r="F4606" t="s">
        <v>24</v>
      </c>
      <c r="G4606" t="s">
        <v>73</v>
      </c>
      <c r="H4606" t="s">
        <v>77</v>
      </c>
      <c r="I4606" t="s">
        <v>103</v>
      </c>
      <c r="J4606" t="s">
        <v>82</v>
      </c>
      <c r="K4606" t="s">
        <v>38</v>
      </c>
      <c r="L4606">
        <v>3</v>
      </c>
      <c r="M4606">
        <v>625</v>
      </c>
      <c r="N4606">
        <v>125</v>
      </c>
      <c r="O4606">
        <v>50</v>
      </c>
      <c r="P4606">
        <v>1875</v>
      </c>
      <c r="Q4606">
        <v>1800</v>
      </c>
      <c r="R4606" t="s">
        <v>75</v>
      </c>
      <c r="S4606" t="s">
        <v>46</v>
      </c>
      <c r="T4606" t="s">
        <v>32</v>
      </c>
      <c r="U4606">
        <v>37</v>
      </c>
      <c r="W4606">
        <f>Table2[[#This Row],[Quantity]]*Table2[[#This Row],[Item_Price]]</f>
        <v>1875</v>
      </c>
    </row>
    <row r="4607" spans="1:23" x14ac:dyDescent="0.25">
      <c r="A4607" t="s">
        <v>4712</v>
      </c>
      <c r="B4607" s="1">
        <v>45994</v>
      </c>
      <c r="C4607" t="s">
        <v>4677</v>
      </c>
      <c r="D4607">
        <v>12</v>
      </c>
      <c r="E4607">
        <v>3</v>
      </c>
      <c r="F4607" t="s">
        <v>24</v>
      </c>
      <c r="G4607" t="s">
        <v>55</v>
      </c>
      <c r="H4607" t="s">
        <v>139</v>
      </c>
      <c r="I4607" t="s">
        <v>27</v>
      </c>
      <c r="J4607" t="s">
        <v>66</v>
      </c>
      <c r="K4607" t="s">
        <v>38</v>
      </c>
      <c r="L4607">
        <v>1</v>
      </c>
      <c r="M4607">
        <v>518</v>
      </c>
      <c r="N4607">
        <v>51.8</v>
      </c>
      <c r="O4607">
        <v>20</v>
      </c>
      <c r="P4607">
        <v>518</v>
      </c>
      <c r="Q4607">
        <v>486.2</v>
      </c>
      <c r="R4607" t="s">
        <v>39</v>
      </c>
      <c r="S4607" t="s">
        <v>31</v>
      </c>
      <c r="T4607" t="s">
        <v>32</v>
      </c>
      <c r="U4607">
        <v>37</v>
      </c>
      <c r="V4607">
        <v>4</v>
      </c>
      <c r="W4607">
        <f>Table2[[#This Row],[Quantity]]*Table2[[#This Row],[Item_Price]]</f>
        <v>518</v>
      </c>
    </row>
    <row r="4608" spans="1:23" x14ac:dyDescent="0.25">
      <c r="A4608" t="s">
        <v>4713</v>
      </c>
      <c r="B4608" s="1">
        <v>45994</v>
      </c>
      <c r="C4608" t="s">
        <v>4677</v>
      </c>
      <c r="D4608">
        <v>12</v>
      </c>
      <c r="E4608">
        <v>3</v>
      </c>
      <c r="F4608" t="s">
        <v>24</v>
      </c>
      <c r="G4608" t="s">
        <v>64</v>
      </c>
      <c r="H4608" t="s">
        <v>48</v>
      </c>
      <c r="I4608" t="s">
        <v>36</v>
      </c>
      <c r="J4608" t="s">
        <v>66</v>
      </c>
      <c r="K4608" t="s">
        <v>38</v>
      </c>
      <c r="L4608">
        <v>3</v>
      </c>
      <c r="M4608">
        <v>137</v>
      </c>
      <c r="N4608">
        <v>0</v>
      </c>
      <c r="O4608">
        <v>50</v>
      </c>
      <c r="P4608">
        <v>411</v>
      </c>
      <c r="Q4608">
        <v>461</v>
      </c>
      <c r="R4608" t="s">
        <v>39</v>
      </c>
      <c r="S4608" t="s">
        <v>31</v>
      </c>
      <c r="T4608" t="s">
        <v>32</v>
      </c>
      <c r="U4608">
        <v>43</v>
      </c>
      <c r="V4608">
        <v>3.3</v>
      </c>
      <c r="W4608">
        <f>Table2[[#This Row],[Quantity]]*Table2[[#This Row],[Item_Price]]</f>
        <v>411</v>
      </c>
    </row>
    <row r="4609" spans="1:23" x14ac:dyDescent="0.25">
      <c r="A4609" t="s">
        <v>4714</v>
      </c>
      <c r="B4609" s="1">
        <v>45994</v>
      </c>
      <c r="C4609" t="s">
        <v>4677</v>
      </c>
      <c r="D4609">
        <v>12</v>
      </c>
      <c r="E4609">
        <v>3</v>
      </c>
      <c r="F4609" t="s">
        <v>24</v>
      </c>
      <c r="G4609" t="s">
        <v>90</v>
      </c>
      <c r="H4609" t="s">
        <v>65</v>
      </c>
      <c r="I4609" t="s">
        <v>97</v>
      </c>
      <c r="J4609" t="s">
        <v>53</v>
      </c>
      <c r="K4609" t="s">
        <v>38</v>
      </c>
      <c r="L4609">
        <v>2</v>
      </c>
      <c r="M4609">
        <v>496</v>
      </c>
      <c r="N4609">
        <v>99.2</v>
      </c>
      <c r="O4609">
        <v>0</v>
      </c>
      <c r="P4609">
        <v>992</v>
      </c>
      <c r="Q4609">
        <v>892.8</v>
      </c>
      <c r="R4609" t="s">
        <v>39</v>
      </c>
      <c r="S4609" t="s">
        <v>31</v>
      </c>
      <c r="T4609" t="s">
        <v>40</v>
      </c>
      <c r="U4609">
        <v>23</v>
      </c>
      <c r="V4609">
        <v>3.9</v>
      </c>
      <c r="W4609">
        <f>Table2[[#This Row],[Quantity]]*Table2[[#This Row],[Item_Price]]</f>
        <v>992</v>
      </c>
    </row>
    <row r="4610" spans="1:23" x14ac:dyDescent="0.25">
      <c r="A4610" t="s">
        <v>4715</v>
      </c>
      <c r="B4610" s="1">
        <v>45994</v>
      </c>
      <c r="C4610" t="s">
        <v>4677</v>
      </c>
      <c r="D4610">
        <v>12</v>
      </c>
      <c r="E4610">
        <v>3</v>
      </c>
      <c r="F4610" t="s">
        <v>24</v>
      </c>
      <c r="G4610" t="s">
        <v>34</v>
      </c>
      <c r="H4610" t="s">
        <v>139</v>
      </c>
      <c r="I4610" t="s">
        <v>97</v>
      </c>
      <c r="J4610" t="s">
        <v>172</v>
      </c>
      <c r="K4610" t="s">
        <v>38</v>
      </c>
      <c r="L4610">
        <v>1</v>
      </c>
      <c r="M4610">
        <v>718</v>
      </c>
      <c r="N4610">
        <v>71.8</v>
      </c>
      <c r="O4610">
        <v>40</v>
      </c>
      <c r="P4610">
        <v>718</v>
      </c>
      <c r="Q4610">
        <v>686.2</v>
      </c>
      <c r="R4610" t="s">
        <v>98</v>
      </c>
      <c r="S4610" t="s">
        <v>31</v>
      </c>
      <c r="T4610" t="s">
        <v>40</v>
      </c>
      <c r="U4610">
        <v>22</v>
      </c>
      <c r="V4610">
        <v>4.5999999999999996</v>
      </c>
      <c r="W4610">
        <f>Table2[[#This Row],[Quantity]]*Table2[[#This Row],[Item_Price]]</f>
        <v>718</v>
      </c>
    </row>
    <row r="4611" spans="1:23" x14ac:dyDescent="0.25">
      <c r="A4611" t="s">
        <v>4716</v>
      </c>
      <c r="B4611" s="1">
        <v>45994</v>
      </c>
      <c r="C4611" t="s">
        <v>4677</v>
      </c>
      <c r="D4611">
        <v>12</v>
      </c>
      <c r="E4611">
        <v>3</v>
      </c>
      <c r="F4611" t="s">
        <v>24</v>
      </c>
      <c r="G4611" t="s">
        <v>34</v>
      </c>
      <c r="H4611" t="s">
        <v>48</v>
      </c>
      <c r="I4611" t="s">
        <v>57</v>
      </c>
      <c r="J4611" t="s">
        <v>123</v>
      </c>
      <c r="K4611" t="s">
        <v>45</v>
      </c>
      <c r="L4611">
        <v>2</v>
      </c>
      <c r="M4611">
        <v>835</v>
      </c>
      <c r="N4611">
        <v>83.5</v>
      </c>
      <c r="O4611">
        <v>30</v>
      </c>
      <c r="P4611">
        <v>1670</v>
      </c>
      <c r="Q4611">
        <v>1616.5</v>
      </c>
      <c r="R4611" t="s">
        <v>39</v>
      </c>
      <c r="S4611" t="s">
        <v>31</v>
      </c>
      <c r="T4611" t="s">
        <v>40</v>
      </c>
      <c r="U4611">
        <v>51</v>
      </c>
      <c r="V4611">
        <v>3.8</v>
      </c>
      <c r="W4611">
        <f>Table2[[#This Row],[Quantity]]*Table2[[#This Row],[Item_Price]]</f>
        <v>1670</v>
      </c>
    </row>
    <row r="4612" spans="1:23" x14ac:dyDescent="0.25">
      <c r="A4612" t="s">
        <v>4717</v>
      </c>
      <c r="B4612" s="1">
        <v>45995</v>
      </c>
      <c r="C4612" t="s">
        <v>4677</v>
      </c>
      <c r="D4612">
        <v>12</v>
      </c>
      <c r="E4612">
        <v>4</v>
      </c>
      <c r="F4612" t="s">
        <v>88</v>
      </c>
      <c r="G4612" t="s">
        <v>115</v>
      </c>
      <c r="H4612" t="s">
        <v>60</v>
      </c>
      <c r="I4612" t="s">
        <v>61</v>
      </c>
      <c r="J4612" t="s">
        <v>74</v>
      </c>
      <c r="K4612" t="s">
        <v>38</v>
      </c>
      <c r="L4612">
        <v>1</v>
      </c>
      <c r="M4612">
        <v>601</v>
      </c>
      <c r="N4612">
        <v>0</v>
      </c>
      <c r="O4612">
        <v>50</v>
      </c>
      <c r="P4612">
        <v>601</v>
      </c>
      <c r="Q4612">
        <v>651</v>
      </c>
      <c r="R4612" t="s">
        <v>75</v>
      </c>
      <c r="S4612" t="s">
        <v>91</v>
      </c>
      <c r="T4612" t="s">
        <v>40</v>
      </c>
      <c r="U4612">
        <v>70</v>
      </c>
      <c r="W4612">
        <f>Table2[[#This Row],[Quantity]]*Table2[[#This Row],[Item_Price]]</f>
        <v>601</v>
      </c>
    </row>
    <row r="4613" spans="1:23" x14ac:dyDescent="0.25">
      <c r="A4613" t="s">
        <v>4718</v>
      </c>
      <c r="B4613" s="1">
        <v>45995</v>
      </c>
      <c r="C4613" t="s">
        <v>4677</v>
      </c>
      <c r="D4613">
        <v>12</v>
      </c>
      <c r="E4613">
        <v>4</v>
      </c>
      <c r="F4613" t="s">
        <v>88</v>
      </c>
      <c r="G4613" t="s">
        <v>25</v>
      </c>
      <c r="H4613" t="s">
        <v>52</v>
      </c>
      <c r="I4613" t="s">
        <v>57</v>
      </c>
      <c r="J4613" t="s">
        <v>119</v>
      </c>
      <c r="K4613" t="s">
        <v>38</v>
      </c>
      <c r="L4613">
        <v>3</v>
      </c>
      <c r="M4613">
        <v>732</v>
      </c>
      <c r="N4613">
        <v>109.8</v>
      </c>
      <c r="O4613">
        <v>0</v>
      </c>
      <c r="P4613">
        <v>2196</v>
      </c>
      <c r="Q4613">
        <v>2086.1999999999998</v>
      </c>
      <c r="R4613" t="s">
        <v>39</v>
      </c>
      <c r="S4613" t="s">
        <v>31</v>
      </c>
      <c r="T4613" t="s">
        <v>40</v>
      </c>
      <c r="U4613">
        <v>34</v>
      </c>
      <c r="V4613">
        <v>3.9</v>
      </c>
      <c r="W4613">
        <f>Table2[[#This Row],[Quantity]]*Table2[[#This Row],[Item_Price]]</f>
        <v>2196</v>
      </c>
    </row>
    <row r="4614" spans="1:23" x14ac:dyDescent="0.25">
      <c r="A4614" t="s">
        <v>4719</v>
      </c>
      <c r="B4614" s="1">
        <v>45995</v>
      </c>
      <c r="C4614" t="s">
        <v>4677</v>
      </c>
      <c r="D4614">
        <v>12</v>
      </c>
      <c r="E4614">
        <v>4</v>
      </c>
      <c r="F4614" t="s">
        <v>88</v>
      </c>
      <c r="G4614" t="s">
        <v>73</v>
      </c>
      <c r="H4614" t="s">
        <v>81</v>
      </c>
      <c r="I4614" t="s">
        <v>85</v>
      </c>
      <c r="J4614" t="s">
        <v>74</v>
      </c>
      <c r="K4614" t="s">
        <v>38</v>
      </c>
      <c r="L4614">
        <v>2</v>
      </c>
      <c r="M4614">
        <v>611</v>
      </c>
      <c r="N4614">
        <v>91.65</v>
      </c>
      <c r="O4614">
        <v>40</v>
      </c>
      <c r="P4614">
        <v>1222</v>
      </c>
      <c r="Q4614">
        <v>1170.3499999999999</v>
      </c>
      <c r="R4614" t="s">
        <v>39</v>
      </c>
      <c r="S4614" t="s">
        <v>31</v>
      </c>
      <c r="T4614" t="s">
        <v>40</v>
      </c>
      <c r="U4614">
        <v>33</v>
      </c>
      <c r="V4614">
        <v>4.5999999999999996</v>
      </c>
      <c r="W4614">
        <f>Table2[[#This Row],[Quantity]]*Table2[[#This Row],[Item_Price]]</f>
        <v>1222</v>
      </c>
    </row>
    <row r="4615" spans="1:23" x14ac:dyDescent="0.25">
      <c r="A4615" t="s">
        <v>4720</v>
      </c>
      <c r="B4615" s="1">
        <v>45995</v>
      </c>
      <c r="C4615" t="s">
        <v>4677</v>
      </c>
      <c r="D4615">
        <v>12</v>
      </c>
      <c r="E4615">
        <v>4</v>
      </c>
      <c r="F4615" t="s">
        <v>88</v>
      </c>
      <c r="G4615" t="s">
        <v>96</v>
      </c>
      <c r="H4615" t="s">
        <v>60</v>
      </c>
      <c r="I4615" t="s">
        <v>27</v>
      </c>
      <c r="J4615" t="s">
        <v>53</v>
      </c>
      <c r="K4615" t="s">
        <v>38</v>
      </c>
      <c r="L4615">
        <v>2</v>
      </c>
      <c r="M4615">
        <v>296</v>
      </c>
      <c r="N4615">
        <v>29.6</v>
      </c>
      <c r="O4615">
        <v>50</v>
      </c>
      <c r="P4615">
        <v>592</v>
      </c>
      <c r="Q4615">
        <v>612.4</v>
      </c>
      <c r="R4615" t="s">
        <v>75</v>
      </c>
      <c r="S4615" t="s">
        <v>31</v>
      </c>
      <c r="T4615" t="s">
        <v>40</v>
      </c>
      <c r="U4615">
        <v>58</v>
      </c>
      <c r="V4615">
        <v>5</v>
      </c>
      <c r="W4615">
        <f>Table2[[#This Row],[Quantity]]*Table2[[#This Row],[Item_Price]]</f>
        <v>592</v>
      </c>
    </row>
    <row r="4616" spans="1:23" x14ac:dyDescent="0.25">
      <c r="A4616" t="s">
        <v>4721</v>
      </c>
      <c r="B4616" s="1">
        <v>45995</v>
      </c>
      <c r="C4616" t="s">
        <v>4677</v>
      </c>
      <c r="D4616">
        <v>12</v>
      </c>
      <c r="E4616">
        <v>4</v>
      </c>
      <c r="F4616" t="s">
        <v>88</v>
      </c>
      <c r="G4616" t="s">
        <v>73</v>
      </c>
      <c r="H4616" t="s">
        <v>65</v>
      </c>
      <c r="I4616" t="s">
        <v>97</v>
      </c>
      <c r="J4616" t="s">
        <v>119</v>
      </c>
      <c r="K4616" t="s">
        <v>45</v>
      </c>
      <c r="L4616">
        <v>1</v>
      </c>
      <c r="M4616">
        <v>121</v>
      </c>
      <c r="N4616">
        <v>6.05</v>
      </c>
      <c r="O4616">
        <v>30</v>
      </c>
      <c r="P4616">
        <v>121</v>
      </c>
      <c r="Q4616">
        <v>144.94999999999999</v>
      </c>
      <c r="R4616" t="s">
        <v>112</v>
      </c>
      <c r="S4616" t="s">
        <v>31</v>
      </c>
      <c r="T4616" t="s">
        <v>32</v>
      </c>
      <c r="U4616">
        <v>26</v>
      </c>
      <c r="V4616">
        <v>5</v>
      </c>
      <c r="W4616">
        <f>Table2[[#This Row],[Quantity]]*Table2[[#This Row],[Item_Price]]</f>
        <v>121</v>
      </c>
    </row>
    <row r="4617" spans="1:23" x14ac:dyDescent="0.25">
      <c r="A4617" t="s">
        <v>4722</v>
      </c>
      <c r="B4617" s="1">
        <v>45995</v>
      </c>
      <c r="C4617" t="s">
        <v>4677</v>
      </c>
      <c r="D4617">
        <v>12</v>
      </c>
      <c r="E4617">
        <v>4</v>
      </c>
      <c r="F4617" t="s">
        <v>88</v>
      </c>
      <c r="G4617" t="s">
        <v>80</v>
      </c>
      <c r="H4617" t="s">
        <v>26</v>
      </c>
      <c r="I4617" t="s">
        <v>36</v>
      </c>
      <c r="J4617" t="s">
        <v>123</v>
      </c>
      <c r="K4617" t="s">
        <v>38</v>
      </c>
      <c r="L4617">
        <v>1</v>
      </c>
      <c r="M4617">
        <v>668</v>
      </c>
      <c r="N4617">
        <v>33.4</v>
      </c>
      <c r="O4617">
        <v>20</v>
      </c>
      <c r="P4617">
        <v>668</v>
      </c>
      <c r="Q4617">
        <v>654.6</v>
      </c>
      <c r="R4617" t="s">
        <v>98</v>
      </c>
      <c r="S4617" t="s">
        <v>91</v>
      </c>
      <c r="T4617" t="s">
        <v>32</v>
      </c>
      <c r="U4617">
        <v>19</v>
      </c>
      <c r="W4617">
        <f>Table2[[#This Row],[Quantity]]*Table2[[#This Row],[Item_Price]]</f>
        <v>668</v>
      </c>
    </row>
    <row r="4618" spans="1:23" x14ac:dyDescent="0.25">
      <c r="A4618" t="s">
        <v>4723</v>
      </c>
      <c r="B4618" s="1">
        <v>45995</v>
      </c>
      <c r="C4618" t="s">
        <v>4677</v>
      </c>
      <c r="D4618">
        <v>12</v>
      </c>
      <c r="E4618">
        <v>4</v>
      </c>
      <c r="F4618" t="s">
        <v>88</v>
      </c>
      <c r="G4618" t="s">
        <v>73</v>
      </c>
      <c r="H4618" t="s">
        <v>139</v>
      </c>
      <c r="I4618" t="s">
        <v>57</v>
      </c>
      <c r="J4618" t="s">
        <v>94</v>
      </c>
      <c r="K4618" t="s">
        <v>38</v>
      </c>
      <c r="L4618">
        <v>2</v>
      </c>
      <c r="M4618">
        <v>844</v>
      </c>
      <c r="N4618">
        <v>0</v>
      </c>
      <c r="O4618">
        <v>50</v>
      </c>
      <c r="P4618">
        <v>1688</v>
      </c>
      <c r="Q4618">
        <v>1738</v>
      </c>
      <c r="R4618" t="s">
        <v>39</v>
      </c>
      <c r="S4618" t="s">
        <v>31</v>
      </c>
      <c r="T4618" t="s">
        <v>32</v>
      </c>
      <c r="U4618">
        <v>30</v>
      </c>
      <c r="V4618">
        <v>4.4000000000000004</v>
      </c>
      <c r="W4618">
        <f>Table2[[#This Row],[Quantity]]*Table2[[#This Row],[Item_Price]]</f>
        <v>1688</v>
      </c>
    </row>
    <row r="4619" spans="1:23" x14ac:dyDescent="0.25">
      <c r="A4619" t="s">
        <v>4724</v>
      </c>
      <c r="B4619" s="1">
        <v>45995</v>
      </c>
      <c r="C4619" t="s">
        <v>4677</v>
      </c>
      <c r="D4619">
        <v>12</v>
      </c>
      <c r="E4619">
        <v>4</v>
      </c>
      <c r="F4619" t="s">
        <v>88</v>
      </c>
      <c r="G4619" t="s">
        <v>73</v>
      </c>
      <c r="H4619" t="s">
        <v>56</v>
      </c>
      <c r="I4619" t="s">
        <v>43</v>
      </c>
      <c r="J4619" t="s">
        <v>50</v>
      </c>
      <c r="K4619" t="s">
        <v>38</v>
      </c>
      <c r="L4619">
        <v>2</v>
      </c>
      <c r="M4619">
        <v>406</v>
      </c>
      <c r="N4619">
        <v>20.3</v>
      </c>
      <c r="O4619">
        <v>40</v>
      </c>
      <c r="P4619">
        <v>812</v>
      </c>
      <c r="Q4619">
        <v>831.7</v>
      </c>
      <c r="R4619" t="s">
        <v>30</v>
      </c>
      <c r="S4619" t="s">
        <v>46</v>
      </c>
      <c r="T4619" t="s">
        <v>32</v>
      </c>
      <c r="U4619">
        <v>30</v>
      </c>
      <c r="W4619">
        <f>Table2[[#This Row],[Quantity]]*Table2[[#This Row],[Item_Price]]</f>
        <v>812</v>
      </c>
    </row>
    <row r="4620" spans="1:23" x14ac:dyDescent="0.25">
      <c r="A4620" t="s">
        <v>4725</v>
      </c>
      <c r="B4620" s="1">
        <v>45995</v>
      </c>
      <c r="C4620" t="s">
        <v>4677</v>
      </c>
      <c r="D4620">
        <v>12</v>
      </c>
      <c r="E4620">
        <v>4</v>
      </c>
      <c r="F4620" t="s">
        <v>88</v>
      </c>
      <c r="G4620" t="s">
        <v>115</v>
      </c>
      <c r="H4620" t="s">
        <v>81</v>
      </c>
      <c r="I4620" t="s">
        <v>49</v>
      </c>
      <c r="J4620" t="s">
        <v>37</v>
      </c>
      <c r="K4620" t="s">
        <v>45</v>
      </c>
      <c r="L4620">
        <v>1</v>
      </c>
      <c r="M4620">
        <v>872</v>
      </c>
      <c r="N4620">
        <v>174.4</v>
      </c>
      <c r="O4620">
        <v>30</v>
      </c>
      <c r="P4620">
        <v>872</v>
      </c>
      <c r="Q4620">
        <v>727.6</v>
      </c>
      <c r="R4620" t="s">
        <v>39</v>
      </c>
      <c r="S4620" t="s">
        <v>91</v>
      </c>
      <c r="T4620" t="s">
        <v>32</v>
      </c>
      <c r="U4620">
        <v>55</v>
      </c>
      <c r="W4620">
        <f>Table2[[#This Row],[Quantity]]*Table2[[#This Row],[Item_Price]]</f>
        <v>872</v>
      </c>
    </row>
    <row r="4621" spans="1:23" x14ac:dyDescent="0.25">
      <c r="A4621" t="s">
        <v>4726</v>
      </c>
      <c r="B4621" s="1">
        <v>45995</v>
      </c>
      <c r="C4621" t="s">
        <v>4677</v>
      </c>
      <c r="D4621">
        <v>12</v>
      </c>
      <c r="E4621">
        <v>4</v>
      </c>
      <c r="F4621" t="s">
        <v>88</v>
      </c>
      <c r="G4621" t="s">
        <v>84</v>
      </c>
      <c r="H4621" t="s">
        <v>81</v>
      </c>
      <c r="I4621" t="s">
        <v>57</v>
      </c>
      <c r="J4621" t="s">
        <v>172</v>
      </c>
      <c r="K4621" t="s">
        <v>38</v>
      </c>
      <c r="L4621">
        <v>3</v>
      </c>
      <c r="M4621">
        <v>647</v>
      </c>
      <c r="N4621">
        <v>0</v>
      </c>
      <c r="O4621">
        <v>20</v>
      </c>
      <c r="P4621">
        <v>1941</v>
      </c>
      <c r="Q4621">
        <v>1961</v>
      </c>
      <c r="R4621" t="s">
        <v>39</v>
      </c>
      <c r="S4621" t="s">
        <v>31</v>
      </c>
      <c r="T4621" t="s">
        <v>40</v>
      </c>
      <c r="U4621">
        <v>43</v>
      </c>
      <c r="V4621">
        <v>4.8</v>
      </c>
      <c r="W4621">
        <f>Table2[[#This Row],[Quantity]]*Table2[[#This Row],[Item_Price]]</f>
        <v>1941</v>
      </c>
    </row>
    <row r="4622" spans="1:23" x14ac:dyDescent="0.25">
      <c r="A4622" t="s">
        <v>4727</v>
      </c>
      <c r="B4622" s="1">
        <v>45995</v>
      </c>
      <c r="C4622" t="s">
        <v>4677</v>
      </c>
      <c r="D4622">
        <v>12</v>
      </c>
      <c r="E4622">
        <v>4</v>
      </c>
      <c r="F4622" t="s">
        <v>88</v>
      </c>
      <c r="G4622" t="s">
        <v>73</v>
      </c>
      <c r="H4622" t="s">
        <v>60</v>
      </c>
      <c r="I4622" t="s">
        <v>97</v>
      </c>
      <c r="J4622" t="s">
        <v>62</v>
      </c>
      <c r="K4622" t="s">
        <v>38</v>
      </c>
      <c r="L4622">
        <v>2</v>
      </c>
      <c r="M4622">
        <v>875</v>
      </c>
      <c r="N4622">
        <v>43.75</v>
      </c>
      <c r="O4622">
        <v>20</v>
      </c>
      <c r="P4622">
        <v>1750</v>
      </c>
      <c r="Q4622">
        <v>1726.25</v>
      </c>
      <c r="R4622" t="s">
        <v>75</v>
      </c>
      <c r="S4622" t="s">
        <v>46</v>
      </c>
      <c r="T4622" t="s">
        <v>40</v>
      </c>
      <c r="U4622">
        <v>65</v>
      </c>
      <c r="W4622">
        <f>Table2[[#This Row],[Quantity]]*Table2[[#This Row],[Item_Price]]</f>
        <v>1750</v>
      </c>
    </row>
    <row r="4623" spans="1:23" x14ac:dyDescent="0.25">
      <c r="A4623" t="s">
        <v>4728</v>
      </c>
      <c r="B4623" s="1">
        <v>45995</v>
      </c>
      <c r="C4623" t="s">
        <v>4677</v>
      </c>
      <c r="D4623">
        <v>12</v>
      </c>
      <c r="E4623">
        <v>4</v>
      </c>
      <c r="F4623" t="s">
        <v>88</v>
      </c>
      <c r="G4623" t="s">
        <v>90</v>
      </c>
      <c r="H4623" t="s">
        <v>56</v>
      </c>
      <c r="I4623" t="s">
        <v>49</v>
      </c>
      <c r="J4623" t="s">
        <v>66</v>
      </c>
      <c r="K4623" t="s">
        <v>45</v>
      </c>
      <c r="L4623">
        <v>1</v>
      </c>
      <c r="M4623">
        <v>896</v>
      </c>
      <c r="N4623">
        <v>0</v>
      </c>
      <c r="O4623">
        <v>20</v>
      </c>
      <c r="P4623">
        <v>896</v>
      </c>
      <c r="Q4623">
        <v>916</v>
      </c>
      <c r="R4623" t="s">
        <v>39</v>
      </c>
      <c r="S4623" t="s">
        <v>31</v>
      </c>
      <c r="T4623" t="s">
        <v>40</v>
      </c>
      <c r="U4623">
        <v>27</v>
      </c>
      <c r="V4623">
        <v>3.8</v>
      </c>
      <c r="W4623">
        <f>Table2[[#This Row],[Quantity]]*Table2[[#This Row],[Item_Price]]</f>
        <v>896</v>
      </c>
    </row>
    <row r="4624" spans="1:23" x14ac:dyDescent="0.25">
      <c r="A4624" t="s">
        <v>4729</v>
      </c>
      <c r="B4624" s="1">
        <v>45995</v>
      </c>
      <c r="C4624" t="s">
        <v>4677</v>
      </c>
      <c r="D4624">
        <v>12</v>
      </c>
      <c r="E4624">
        <v>4</v>
      </c>
      <c r="F4624" t="s">
        <v>88</v>
      </c>
      <c r="G4624" t="s">
        <v>25</v>
      </c>
      <c r="H4624" t="s">
        <v>60</v>
      </c>
      <c r="I4624" t="s">
        <v>27</v>
      </c>
      <c r="J4624" t="s">
        <v>74</v>
      </c>
      <c r="K4624" t="s">
        <v>38</v>
      </c>
      <c r="L4624">
        <v>1</v>
      </c>
      <c r="M4624">
        <v>180</v>
      </c>
      <c r="N4624">
        <v>45</v>
      </c>
      <c r="O4624">
        <v>0</v>
      </c>
      <c r="P4624">
        <v>180</v>
      </c>
      <c r="Q4624">
        <v>135</v>
      </c>
      <c r="R4624" t="s">
        <v>75</v>
      </c>
      <c r="S4624" t="s">
        <v>31</v>
      </c>
      <c r="T4624" t="s">
        <v>40</v>
      </c>
      <c r="U4624">
        <v>55</v>
      </c>
      <c r="V4624">
        <v>5</v>
      </c>
      <c r="W4624">
        <f>Table2[[#This Row],[Quantity]]*Table2[[#This Row],[Item_Price]]</f>
        <v>180</v>
      </c>
    </row>
    <row r="4625" spans="1:23" x14ac:dyDescent="0.25">
      <c r="A4625" t="s">
        <v>4730</v>
      </c>
      <c r="B4625" s="1">
        <v>45995</v>
      </c>
      <c r="C4625" t="s">
        <v>4677</v>
      </c>
      <c r="D4625">
        <v>12</v>
      </c>
      <c r="E4625">
        <v>4</v>
      </c>
      <c r="F4625" t="s">
        <v>88</v>
      </c>
      <c r="G4625" t="s">
        <v>80</v>
      </c>
      <c r="H4625" t="s">
        <v>35</v>
      </c>
      <c r="I4625" t="s">
        <v>103</v>
      </c>
      <c r="J4625" t="s">
        <v>123</v>
      </c>
      <c r="K4625" t="s">
        <v>29</v>
      </c>
      <c r="L4625">
        <v>1</v>
      </c>
      <c r="M4625">
        <v>680</v>
      </c>
      <c r="N4625">
        <v>34</v>
      </c>
      <c r="O4625">
        <v>0</v>
      </c>
      <c r="P4625">
        <v>680</v>
      </c>
      <c r="Q4625">
        <v>646</v>
      </c>
      <c r="R4625" t="s">
        <v>112</v>
      </c>
      <c r="S4625" t="s">
        <v>31</v>
      </c>
      <c r="T4625" t="s">
        <v>40</v>
      </c>
      <c r="U4625">
        <v>41</v>
      </c>
      <c r="V4625">
        <v>2.6</v>
      </c>
      <c r="W4625">
        <f>Table2[[#This Row],[Quantity]]*Table2[[#This Row],[Item_Price]]</f>
        <v>680</v>
      </c>
    </row>
    <row r="4626" spans="1:23" x14ac:dyDescent="0.25">
      <c r="A4626" t="s">
        <v>4731</v>
      </c>
      <c r="B4626" s="1">
        <v>45995</v>
      </c>
      <c r="C4626" t="s">
        <v>4677</v>
      </c>
      <c r="D4626">
        <v>12</v>
      </c>
      <c r="E4626">
        <v>4</v>
      </c>
      <c r="F4626" t="s">
        <v>88</v>
      </c>
      <c r="G4626" t="s">
        <v>64</v>
      </c>
      <c r="H4626" t="s">
        <v>135</v>
      </c>
      <c r="I4626" t="s">
        <v>57</v>
      </c>
      <c r="J4626" t="s">
        <v>53</v>
      </c>
      <c r="K4626" t="s">
        <v>45</v>
      </c>
      <c r="L4626">
        <v>1</v>
      </c>
      <c r="M4626">
        <v>730</v>
      </c>
      <c r="N4626">
        <v>109.5</v>
      </c>
      <c r="O4626">
        <v>20</v>
      </c>
      <c r="P4626">
        <v>730</v>
      </c>
      <c r="Q4626">
        <v>640.5</v>
      </c>
      <c r="R4626" t="s">
        <v>39</v>
      </c>
      <c r="S4626" t="s">
        <v>46</v>
      </c>
      <c r="T4626" t="s">
        <v>32</v>
      </c>
      <c r="U4626">
        <v>65</v>
      </c>
      <c r="W4626">
        <f>Table2[[#This Row],[Quantity]]*Table2[[#This Row],[Item_Price]]</f>
        <v>730</v>
      </c>
    </row>
    <row r="4627" spans="1:23" x14ac:dyDescent="0.25">
      <c r="A4627" t="s">
        <v>4732</v>
      </c>
      <c r="B4627" s="1">
        <v>45995</v>
      </c>
      <c r="C4627" t="s">
        <v>4677</v>
      </c>
      <c r="D4627">
        <v>12</v>
      </c>
      <c r="E4627">
        <v>4</v>
      </c>
      <c r="F4627" t="s">
        <v>88</v>
      </c>
      <c r="G4627" t="s">
        <v>64</v>
      </c>
      <c r="H4627" t="s">
        <v>60</v>
      </c>
      <c r="I4627" t="s">
        <v>49</v>
      </c>
      <c r="J4627" t="s">
        <v>70</v>
      </c>
      <c r="K4627" t="s">
        <v>38</v>
      </c>
      <c r="L4627">
        <v>1</v>
      </c>
      <c r="M4627">
        <v>426</v>
      </c>
      <c r="N4627">
        <v>85.2</v>
      </c>
      <c r="O4627">
        <v>0</v>
      </c>
      <c r="P4627">
        <v>426</v>
      </c>
      <c r="Q4627">
        <v>340.8</v>
      </c>
      <c r="R4627" t="s">
        <v>30</v>
      </c>
      <c r="S4627" t="s">
        <v>110</v>
      </c>
      <c r="T4627" t="s">
        <v>32</v>
      </c>
      <c r="U4627">
        <v>65</v>
      </c>
      <c r="W4627">
        <f>Table2[[#This Row],[Quantity]]*Table2[[#This Row],[Item_Price]]</f>
        <v>426</v>
      </c>
    </row>
    <row r="4628" spans="1:23" x14ac:dyDescent="0.25">
      <c r="A4628" t="s">
        <v>4733</v>
      </c>
      <c r="B4628" s="1">
        <v>45995</v>
      </c>
      <c r="C4628" t="s">
        <v>4677</v>
      </c>
      <c r="D4628">
        <v>12</v>
      </c>
      <c r="E4628">
        <v>4</v>
      </c>
      <c r="F4628" t="s">
        <v>88</v>
      </c>
      <c r="G4628" t="s">
        <v>115</v>
      </c>
      <c r="H4628" t="s">
        <v>68</v>
      </c>
      <c r="I4628" t="s">
        <v>61</v>
      </c>
      <c r="J4628" t="s">
        <v>70</v>
      </c>
      <c r="K4628" t="s">
        <v>38</v>
      </c>
      <c r="L4628">
        <v>1</v>
      </c>
      <c r="M4628">
        <v>760</v>
      </c>
      <c r="N4628">
        <v>114</v>
      </c>
      <c r="O4628">
        <v>50</v>
      </c>
      <c r="P4628">
        <v>760</v>
      </c>
      <c r="Q4628">
        <v>696</v>
      </c>
      <c r="R4628" t="s">
        <v>75</v>
      </c>
      <c r="S4628" t="s">
        <v>31</v>
      </c>
      <c r="T4628" t="s">
        <v>40</v>
      </c>
      <c r="U4628">
        <v>57</v>
      </c>
      <c r="V4628">
        <v>3.7</v>
      </c>
      <c r="W4628">
        <f>Table2[[#This Row],[Quantity]]*Table2[[#This Row],[Item_Price]]</f>
        <v>760</v>
      </c>
    </row>
    <row r="4629" spans="1:23" x14ac:dyDescent="0.25">
      <c r="A4629" t="s">
        <v>4734</v>
      </c>
      <c r="B4629" s="1">
        <v>45996</v>
      </c>
      <c r="C4629" t="s">
        <v>4677</v>
      </c>
      <c r="D4629">
        <v>12</v>
      </c>
      <c r="E4629">
        <v>5</v>
      </c>
      <c r="F4629" t="s">
        <v>114</v>
      </c>
      <c r="G4629" t="s">
        <v>34</v>
      </c>
      <c r="H4629" t="s">
        <v>105</v>
      </c>
      <c r="I4629" t="s">
        <v>85</v>
      </c>
      <c r="J4629" t="s">
        <v>74</v>
      </c>
      <c r="K4629" t="s">
        <v>38</v>
      </c>
      <c r="L4629">
        <v>2</v>
      </c>
      <c r="M4629">
        <v>302</v>
      </c>
      <c r="N4629">
        <v>15.1</v>
      </c>
      <c r="O4629">
        <v>0</v>
      </c>
      <c r="P4629">
        <v>604</v>
      </c>
      <c r="Q4629">
        <v>588.9</v>
      </c>
      <c r="R4629" t="s">
        <v>39</v>
      </c>
      <c r="S4629" t="s">
        <v>31</v>
      </c>
      <c r="T4629" t="s">
        <v>32</v>
      </c>
      <c r="U4629">
        <v>65</v>
      </c>
      <c r="V4629">
        <v>4.2</v>
      </c>
      <c r="W4629">
        <f>Table2[[#This Row],[Quantity]]*Table2[[#This Row],[Item_Price]]</f>
        <v>604</v>
      </c>
    </row>
    <row r="4630" spans="1:23" x14ac:dyDescent="0.25">
      <c r="A4630" t="s">
        <v>4735</v>
      </c>
      <c r="B4630" s="1">
        <v>45996</v>
      </c>
      <c r="C4630" t="s">
        <v>4677</v>
      </c>
      <c r="D4630">
        <v>12</v>
      </c>
      <c r="E4630">
        <v>5</v>
      </c>
      <c r="F4630" t="s">
        <v>114</v>
      </c>
      <c r="G4630" t="s">
        <v>73</v>
      </c>
      <c r="H4630" t="s">
        <v>135</v>
      </c>
      <c r="I4630" t="s">
        <v>97</v>
      </c>
      <c r="J4630" t="s">
        <v>172</v>
      </c>
      <c r="K4630" t="s">
        <v>45</v>
      </c>
      <c r="L4630">
        <v>1</v>
      </c>
      <c r="M4630">
        <v>781</v>
      </c>
      <c r="N4630">
        <v>0</v>
      </c>
      <c r="O4630">
        <v>30</v>
      </c>
      <c r="P4630">
        <v>781</v>
      </c>
      <c r="Q4630">
        <v>811</v>
      </c>
      <c r="R4630" t="s">
        <v>98</v>
      </c>
      <c r="S4630" t="s">
        <v>31</v>
      </c>
      <c r="T4630" t="s">
        <v>40</v>
      </c>
      <c r="U4630">
        <v>18</v>
      </c>
      <c r="V4630">
        <v>3.5</v>
      </c>
      <c r="W4630">
        <f>Table2[[#This Row],[Quantity]]*Table2[[#This Row],[Item_Price]]</f>
        <v>781</v>
      </c>
    </row>
    <row r="4631" spans="1:23" x14ac:dyDescent="0.25">
      <c r="A4631" t="s">
        <v>4736</v>
      </c>
      <c r="B4631" s="1">
        <v>45996</v>
      </c>
      <c r="C4631" t="s">
        <v>4677</v>
      </c>
      <c r="D4631">
        <v>12</v>
      </c>
      <c r="E4631">
        <v>5</v>
      </c>
      <c r="F4631" t="s">
        <v>114</v>
      </c>
      <c r="G4631" t="s">
        <v>34</v>
      </c>
      <c r="H4631" t="s">
        <v>60</v>
      </c>
      <c r="I4631" t="s">
        <v>57</v>
      </c>
      <c r="J4631" t="s">
        <v>70</v>
      </c>
      <c r="K4631" t="s">
        <v>45</v>
      </c>
      <c r="L4631">
        <v>2</v>
      </c>
      <c r="M4631">
        <v>674</v>
      </c>
      <c r="N4631">
        <v>101.1</v>
      </c>
      <c r="O4631">
        <v>30</v>
      </c>
      <c r="P4631">
        <v>1348</v>
      </c>
      <c r="Q4631">
        <v>1276.9000000000001</v>
      </c>
      <c r="R4631" t="s">
        <v>75</v>
      </c>
      <c r="S4631" t="s">
        <v>31</v>
      </c>
      <c r="T4631" t="s">
        <v>40</v>
      </c>
      <c r="U4631">
        <v>39</v>
      </c>
      <c r="V4631">
        <v>5</v>
      </c>
      <c r="W4631">
        <f>Table2[[#This Row],[Quantity]]*Table2[[#This Row],[Item_Price]]</f>
        <v>1348</v>
      </c>
    </row>
    <row r="4632" spans="1:23" x14ac:dyDescent="0.25">
      <c r="A4632" t="s">
        <v>4737</v>
      </c>
      <c r="B4632" s="1">
        <v>45996</v>
      </c>
      <c r="C4632" t="s">
        <v>4677</v>
      </c>
      <c r="D4632">
        <v>12</v>
      </c>
      <c r="E4632">
        <v>5</v>
      </c>
      <c r="F4632" t="s">
        <v>114</v>
      </c>
      <c r="G4632" t="s">
        <v>25</v>
      </c>
      <c r="H4632" t="s">
        <v>68</v>
      </c>
      <c r="I4632" t="s">
        <v>43</v>
      </c>
      <c r="J4632" t="s">
        <v>74</v>
      </c>
      <c r="K4632" t="s">
        <v>29</v>
      </c>
      <c r="L4632">
        <v>1</v>
      </c>
      <c r="M4632">
        <v>656</v>
      </c>
      <c r="N4632">
        <v>0</v>
      </c>
      <c r="O4632">
        <v>0</v>
      </c>
      <c r="P4632">
        <v>656</v>
      </c>
      <c r="Q4632">
        <v>656</v>
      </c>
      <c r="R4632" t="s">
        <v>98</v>
      </c>
      <c r="S4632" t="s">
        <v>31</v>
      </c>
      <c r="T4632" t="s">
        <v>40</v>
      </c>
      <c r="U4632">
        <v>64</v>
      </c>
      <c r="V4632">
        <v>4.7</v>
      </c>
      <c r="W4632">
        <f>Table2[[#This Row],[Quantity]]*Table2[[#This Row],[Item_Price]]</f>
        <v>656</v>
      </c>
    </row>
    <row r="4633" spans="1:23" x14ac:dyDescent="0.25">
      <c r="A4633" t="s">
        <v>4738</v>
      </c>
      <c r="B4633" s="1">
        <v>45996</v>
      </c>
      <c r="C4633" t="s">
        <v>4677</v>
      </c>
      <c r="D4633">
        <v>12</v>
      </c>
      <c r="E4633">
        <v>5</v>
      </c>
      <c r="F4633" t="s">
        <v>114</v>
      </c>
      <c r="G4633" t="s">
        <v>64</v>
      </c>
      <c r="H4633" t="s">
        <v>139</v>
      </c>
      <c r="I4633" t="s">
        <v>36</v>
      </c>
      <c r="J4633" t="s">
        <v>74</v>
      </c>
      <c r="K4633" t="s">
        <v>58</v>
      </c>
      <c r="L4633">
        <v>1</v>
      </c>
      <c r="M4633">
        <v>597</v>
      </c>
      <c r="N4633">
        <v>89.55</v>
      </c>
      <c r="O4633">
        <v>40</v>
      </c>
      <c r="P4633">
        <v>597</v>
      </c>
      <c r="Q4633">
        <v>547.45000000000005</v>
      </c>
      <c r="R4633" t="s">
        <v>98</v>
      </c>
      <c r="S4633" t="s">
        <v>31</v>
      </c>
      <c r="T4633" t="s">
        <v>32</v>
      </c>
      <c r="U4633">
        <v>38</v>
      </c>
      <c r="V4633">
        <v>2.9</v>
      </c>
      <c r="W4633">
        <f>Table2[[#This Row],[Quantity]]*Table2[[#This Row],[Item_Price]]</f>
        <v>597</v>
      </c>
    </row>
    <row r="4634" spans="1:23" x14ac:dyDescent="0.25">
      <c r="A4634" t="s">
        <v>4739</v>
      </c>
      <c r="B4634" s="1">
        <v>45996</v>
      </c>
      <c r="C4634" t="s">
        <v>4677</v>
      </c>
      <c r="D4634">
        <v>12</v>
      </c>
      <c r="E4634">
        <v>5</v>
      </c>
      <c r="F4634" t="s">
        <v>114</v>
      </c>
      <c r="G4634" t="s">
        <v>34</v>
      </c>
      <c r="H4634" t="s">
        <v>65</v>
      </c>
      <c r="I4634" t="s">
        <v>61</v>
      </c>
      <c r="J4634" t="s">
        <v>101</v>
      </c>
      <c r="K4634" t="s">
        <v>38</v>
      </c>
      <c r="L4634">
        <v>2</v>
      </c>
      <c r="M4634">
        <v>895</v>
      </c>
      <c r="N4634">
        <v>0</v>
      </c>
      <c r="O4634">
        <v>0</v>
      </c>
      <c r="P4634">
        <v>1790</v>
      </c>
      <c r="Q4634">
        <v>1790</v>
      </c>
      <c r="R4634" t="s">
        <v>39</v>
      </c>
      <c r="S4634" t="s">
        <v>31</v>
      </c>
      <c r="T4634" t="s">
        <v>32</v>
      </c>
      <c r="U4634">
        <v>64</v>
      </c>
      <c r="V4634">
        <v>2.9</v>
      </c>
      <c r="W4634">
        <f>Table2[[#This Row],[Quantity]]*Table2[[#This Row],[Item_Price]]</f>
        <v>1790</v>
      </c>
    </row>
    <row r="4635" spans="1:23" x14ac:dyDescent="0.25">
      <c r="A4635" t="s">
        <v>4740</v>
      </c>
      <c r="B4635" s="1">
        <v>45996</v>
      </c>
      <c r="C4635" t="s">
        <v>4677</v>
      </c>
      <c r="D4635">
        <v>12</v>
      </c>
      <c r="E4635">
        <v>5</v>
      </c>
      <c r="F4635" t="s">
        <v>114</v>
      </c>
      <c r="G4635" t="s">
        <v>115</v>
      </c>
      <c r="H4635" t="s">
        <v>108</v>
      </c>
      <c r="I4635" t="s">
        <v>57</v>
      </c>
      <c r="J4635" t="s">
        <v>50</v>
      </c>
      <c r="K4635" t="s">
        <v>45</v>
      </c>
      <c r="L4635">
        <v>2</v>
      </c>
      <c r="M4635">
        <v>879</v>
      </c>
      <c r="N4635">
        <v>87.9</v>
      </c>
      <c r="O4635">
        <v>60</v>
      </c>
      <c r="P4635">
        <v>1758</v>
      </c>
      <c r="Q4635">
        <v>1730.1</v>
      </c>
      <c r="R4635" t="s">
        <v>112</v>
      </c>
      <c r="S4635" t="s">
        <v>91</v>
      </c>
      <c r="T4635" t="s">
        <v>40</v>
      </c>
      <c r="U4635">
        <v>25</v>
      </c>
      <c r="W4635">
        <f>Table2[[#This Row],[Quantity]]*Table2[[#This Row],[Item_Price]]</f>
        <v>1758</v>
      </c>
    </row>
    <row r="4636" spans="1:23" x14ac:dyDescent="0.25">
      <c r="A4636" t="s">
        <v>4741</v>
      </c>
      <c r="B4636" s="1">
        <v>45996</v>
      </c>
      <c r="C4636" t="s">
        <v>4677</v>
      </c>
      <c r="D4636">
        <v>12</v>
      </c>
      <c r="E4636">
        <v>5</v>
      </c>
      <c r="F4636" t="s">
        <v>114</v>
      </c>
      <c r="G4636" t="s">
        <v>80</v>
      </c>
      <c r="H4636" t="s">
        <v>81</v>
      </c>
      <c r="I4636" t="s">
        <v>49</v>
      </c>
      <c r="J4636" t="s">
        <v>74</v>
      </c>
      <c r="K4636" t="s">
        <v>45</v>
      </c>
      <c r="L4636">
        <v>1</v>
      </c>
      <c r="M4636">
        <v>441</v>
      </c>
      <c r="N4636">
        <v>88.2</v>
      </c>
      <c r="O4636">
        <v>20</v>
      </c>
      <c r="P4636">
        <v>441</v>
      </c>
      <c r="Q4636">
        <v>372.8</v>
      </c>
      <c r="R4636" t="s">
        <v>112</v>
      </c>
      <c r="S4636" t="s">
        <v>31</v>
      </c>
      <c r="T4636" t="s">
        <v>40</v>
      </c>
      <c r="U4636">
        <v>38</v>
      </c>
      <c r="V4636">
        <v>4.0999999999999996</v>
      </c>
      <c r="W4636">
        <f>Table2[[#This Row],[Quantity]]*Table2[[#This Row],[Item_Price]]</f>
        <v>441</v>
      </c>
    </row>
    <row r="4637" spans="1:23" x14ac:dyDescent="0.25">
      <c r="A4637" t="s">
        <v>4742</v>
      </c>
      <c r="B4637" s="1">
        <v>45996</v>
      </c>
      <c r="C4637" t="s">
        <v>4677</v>
      </c>
      <c r="D4637">
        <v>12</v>
      </c>
      <c r="E4637">
        <v>5</v>
      </c>
      <c r="F4637" t="s">
        <v>114</v>
      </c>
      <c r="G4637" t="s">
        <v>73</v>
      </c>
      <c r="H4637" t="s">
        <v>108</v>
      </c>
      <c r="I4637" t="s">
        <v>103</v>
      </c>
      <c r="J4637" t="s">
        <v>123</v>
      </c>
      <c r="K4637" t="s">
        <v>45</v>
      </c>
      <c r="L4637">
        <v>1</v>
      </c>
      <c r="M4637">
        <v>900</v>
      </c>
      <c r="N4637">
        <v>0</v>
      </c>
      <c r="O4637">
        <v>40</v>
      </c>
      <c r="P4637">
        <v>900</v>
      </c>
      <c r="Q4637">
        <v>940</v>
      </c>
      <c r="R4637" t="s">
        <v>39</v>
      </c>
      <c r="S4637" t="s">
        <v>91</v>
      </c>
      <c r="T4637" t="s">
        <v>32</v>
      </c>
      <c r="U4637">
        <v>53</v>
      </c>
      <c r="W4637">
        <f>Table2[[#This Row],[Quantity]]*Table2[[#This Row],[Item_Price]]</f>
        <v>900</v>
      </c>
    </row>
    <row r="4638" spans="1:23" x14ac:dyDescent="0.25">
      <c r="A4638" t="s">
        <v>4743</v>
      </c>
      <c r="B4638" s="1">
        <v>45996</v>
      </c>
      <c r="C4638" t="s">
        <v>4677</v>
      </c>
      <c r="D4638">
        <v>12</v>
      </c>
      <c r="E4638">
        <v>5</v>
      </c>
      <c r="F4638" t="s">
        <v>114</v>
      </c>
      <c r="G4638" t="s">
        <v>96</v>
      </c>
      <c r="H4638" t="s">
        <v>77</v>
      </c>
      <c r="I4638" t="s">
        <v>69</v>
      </c>
      <c r="J4638" t="s">
        <v>123</v>
      </c>
      <c r="K4638" t="s">
        <v>29</v>
      </c>
      <c r="L4638">
        <v>1</v>
      </c>
      <c r="M4638">
        <v>736</v>
      </c>
      <c r="N4638">
        <v>147.19999999999999</v>
      </c>
      <c r="O4638">
        <v>50</v>
      </c>
      <c r="P4638">
        <v>736</v>
      </c>
      <c r="Q4638">
        <v>638.79999999999995</v>
      </c>
      <c r="R4638" t="s">
        <v>30</v>
      </c>
      <c r="S4638" t="s">
        <v>46</v>
      </c>
      <c r="T4638" t="s">
        <v>40</v>
      </c>
      <c r="U4638">
        <v>29</v>
      </c>
      <c r="W4638">
        <f>Table2[[#This Row],[Quantity]]*Table2[[#This Row],[Item_Price]]</f>
        <v>736</v>
      </c>
    </row>
    <row r="4639" spans="1:23" x14ac:dyDescent="0.25">
      <c r="A4639" t="s">
        <v>4744</v>
      </c>
      <c r="B4639" s="1">
        <v>45996</v>
      </c>
      <c r="C4639" t="s">
        <v>4677</v>
      </c>
      <c r="D4639">
        <v>12</v>
      </c>
      <c r="E4639">
        <v>5</v>
      </c>
      <c r="F4639" t="s">
        <v>114</v>
      </c>
      <c r="G4639" t="s">
        <v>25</v>
      </c>
      <c r="H4639" t="s">
        <v>65</v>
      </c>
      <c r="I4639" t="s">
        <v>103</v>
      </c>
      <c r="J4639" t="s">
        <v>82</v>
      </c>
      <c r="K4639" t="s">
        <v>38</v>
      </c>
      <c r="L4639">
        <v>1</v>
      </c>
      <c r="M4639">
        <v>472</v>
      </c>
      <c r="N4639">
        <v>23.6</v>
      </c>
      <c r="O4639">
        <v>0</v>
      </c>
      <c r="P4639">
        <v>472</v>
      </c>
      <c r="Q4639">
        <v>448.4</v>
      </c>
      <c r="R4639" t="s">
        <v>98</v>
      </c>
      <c r="S4639" t="s">
        <v>31</v>
      </c>
      <c r="T4639" t="s">
        <v>32</v>
      </c>
      <c r="U4639">
        <v>70</v>
      </c>
      <c r="V4639">
        <v>5</v>
      </c>
      <c r="W4639">
        <f>Table2[[#This Row],[Quantity]]*Table2[[#This Row],[Item_Price]]</f>
        <v>472</v>
      </c>
    </row>
    <row r="4640" spans="1:23" x14ac:dyDescent="0.25">
      <c r="A4640" t="s">
        <v>4745</v>
      </c>
      <c r="B4640" s="1">
        <v>45996</v>
      </c>
      <c r="C4640" t="s">
        <v>4677</v>
      </c>
      <c r="D4640">
        <v>12</v>
      </c>
      <c r="E4640">
        <v>5</v>
      </c>
      <c r="F4640" t="s">
        <v>114</v>
      </c>
      <c r="G4640" t="s">
        <v>55</v>
      </c>
      <c r="H4640" t="s">
        <v>108</v>
      </c>
      <c r="I4640" t="s">
        <v>27</v>
      </c>
      <c r="J4640" t="s">
        <v>28</v>
      </c>
      <c r="K4640" t="s">
        <v>58</v>
      </c>
      <c r="L4640">
        <v>1</v>
      </c>
      <c r="M4640">
        <v>251</v>
      </c>
      <c r="N4640">
        <v>0</v>
      </c>
      <c r="O4640">
        <v>30</v>
      </c>
      <c r="P4640">
        <v>251</v>
      </c>
      <c r="Q4640">
        <v>281</v>
      </c>
      <c r="R4640" t="s">
        <v>75</v>
      </c>
      <c r="S4640" t="s">
        <v>91</v>
      </c>
      <c r="T4640" t="s">
        <v>40</v>
      </c>
      <c r="U4640">
        <v>33</v>
      </c>
      <c r="W4640">
        <f>Table2[[#This Row],[Quantity]]*Table2[[#This Row],[Item_Price]]</f>
        <v>251</v>
      </c>
    </row>
    <row r="4641" spans="1:23" x14ac:dyDescent="0.25">
      <c r="A4641" t="s">
        <v>4746</v>
      </c>
      <c r="B4641" s="1">
        <v>45996</v>
      </c>
      <c r="C4641" t="s">
        <v>4677</v>
      </c>
      <c r="D4641">
        <v>12</v>
      </c>
      <c r="E4641">
        <v>5</v>
      </c>
      <c r="F4641" t="s">
        <v>114</v>
      </c>
      <c r="G4641" t="s">
        <v>64</v>
      </c>
      <c r="H4641" t="s">
        <v>68</v>
      </c>
      <c r="I4641" t="s">
        <v>103</v>
      </c>
      <c r="J4641" t="s">
        <v>78</v>
      </c>
      <c r="K4641" t="s">
        <v>45</v>
      </c>
      <c r="L4641">
        <v>1</v>
      </c>
      <c r="M4641">
        <v>382</v>
      </c>
      <c r="N4641">
        <v>57.3</v>
      </c>
      <c r="O4641">
        <v>0</v>
      </c>
      <c r="P4641">
        <v>382</v>
      </c>
      <c r="Q4641">
        <v>324.7</v>
      </c>
      <c r="R4641" t="s">
        <v>98</v>
      </c>
      <c r="S4641" t="s">
        <v>31</v>
      </c>
      <c r="T4641" t="s">
        <v>32</v>
      </c>
      <c r="U4641">
        <v>43</v>
      </c>
      <c r="V4641">
        <v>4.2</v>
      </c>
      <c r="W4641">
        <f>Table2[[#This Row],[Quantity]]*Table2[[#This Row],[Item_Price]]</f>
        <v>382</v>
      </c>
    </row>
    <row r="4642" spans="1:23" x14ac:dyDescent="0.25">
      <c r="A4642" t="s">
        <v>4747</v>
      </c>
      <c r="B4642" s="1">
        <v>45997</v>
      </c>
      <c r="C4642" t="s">
        <v>4677</v>
      </c>
      <c r="D4642">
        <v>12</v>
      </c>
      <c r="E4642">
        <v>6</v>
      </c>
      <c r="F4642" t="s">
        <v>134</v>
      </c>
      <c r="G4642" t="s">
        <v>64</v>
      </c>
      <c r="H4642" t="s">
        <v>48</v>
      </c>
      <c r="I4642" t="s">
        <v>61</v>
      </c>
      <c r="J4642" t="s">
        <v>66</v>
      </c>
      <c r="K4642" t="s">
        <v>38</v>
      </c>
      <c r="L4642">
        <v>1</v>
      </c>
      <c r="M4642">
        <v>546</v>
      </c>
      <c r="N4642">
        <v>54.6</v>
      </c>
      <c r="O4642">
        <v>30</v>
      </c>
      <c r="P4642">
        <v>546</v>
      </c>
      <c r="Q4642">
        <v>521.4</v>
      </c>
      <c r="R4642" t="s">
        <v>39</v>
      </c>
      <c r="S4642" t="s">
        <v>31</v>
      </c>
      <c r="T4642" t="s">
        <v>32</v>
      </c>
      <c r="U4642">
        <v>55</v>
      </c>
      <c r="V4642">
        <v>3</v>
      </c>
      <c r="W4642">
        <f>Table2[[#This Row],[Quantity]]*Table2[[#This Row],[Item_Price]]</f>
        <v>546</v>
      </c>
    </row>
    <row r="4643" spans="1:23" x14ac:dyDescent="0.25">
      <c r="A4643" t="s">
        <v>4748</v>
      </c>
      <c r="B4643" s="1">
        <v>45997</v>
      </c>
      <c r="C4643" t="s">
        <v>4677</v>
      </c>
      <c r="D4643">
        <v>12</v>
      </c>
      <c r="E4643">
        <v>6</v>
      </c>
      <c r="F4643" t="s">
        <v>134</v>
      </c>
      <c r="G4643" t="s">
        <v>34</v>
      </c>
      <c r="H4643" t="s">
        <v>135</v>
      </c>
      <c r="I4643" t="s">
        <v>85</v>
      </c>
      <c r="J4643" t="s">
        <v>28</v>
      </c>
      <c r="K4643" t="s">
        <v>45</v>
      </c>
      <c r="L4643">
        <v>2</v>
      </c>
      <c r="M4643">
        <v>708</v>
      </c>
      <c r="N4643">
        <v>35.4</v>
      </c>
      <c r="O4643">
        <v>0</v>
      </c>
      <c r="P4643">
        <v>1416</v>
      </c>
      <c r="Q4643">
        <v>1380.6</v>
      </c>
      <c r="R4643" t="s">
        <v>75</v>
      </c>
      <c r="S4643" t="s">
        <v>31</v>
      </c>
      <c r="T4643" t="s">
        <v>40</v>
      </c>
      <c r="U4643">
        <v>45</v>
      </c>
      <c r="V4643">
        <v>4.8</v>
      </c>
      <c r="W4643">
        <f>Table2[[#This Row],[Quantity]]*Table2[[#This Row],[Item_Price]]</f>
        <v>1416</v>
      </c>
    </row>
    <row r="4644" spans="1:23" x14ac:dyDescent="0.25">
      <c r="A4644" t="s">
        <v>4749</v>
      </c>
      <c r="B4644" s="1">
        <v>45997</v>
      </c>
      <c r="C4644" t="s">
        <v>4677</v>
      </c>
      <c r="D4644">
        <v>12</v>
      </c>
      <c r="E4644">
        <v>6</v>
      </c>
      <c r="F4644" t="s">
        <v>134</v>
      </c>
      <c r="G4644" t="s">
        <v>25</v>
      </c>
      <c r="H4644" t="s">
        <v>26</v>
      </c>
      <c r="I4644" t="s">
        <v>61</v>
      </c>
      <c r="J4644" t="s">
        <v>62</v>
      </c>
      <c r="K4644" t="s">
        <v>38</v>
      </c>
      <c r="L4644">
        <v>1</v>
      </c>
      <c r="M4644">
        <v>881</v>
      </c>
      <c r="N4644">
        <v>0</v>
      </c>
      <c r="O4644">
        <v>60</v>
      </c>
      <c r="P4644">
        <v>881</v>
      </c>
      <c r="Q4644">
        <v>941</v>
      </c>
      <c r="R4644" t="s">
        <v>30</v>
      </c>
      <c r="S4644" t="s">
        <v>31</v>
      </c>
      <c r="T4644" t="s">
        <v>40</v>
      </c>
      <c r="U4644">
        <v>37</v>
      </c>
      <c r="V4644">
        <v>3.2</v>
      </c>
      <c r="W4644">
        <f>Table2[[#This Row],[Quantity]]*Table2[[#This Row],[Item_Price]]</f>
        <v>881</v>
      </c>
    </row>
    <row r="4645" spans="1:23" x14ac:dyDescent="0.25">
      <c r="A4645" t="s">
        <v>4750</v>
      </c>
      <c r="B4645" s="1">
        <v>45997</v>
      </c>
      <c r="C4645" t="s">
        <v>4677</v>
      </c>
      <c r="D4645">
        <v>12</v>
      </c>
      <c r="E4645">
        <v>6</v>
      </c>
      <c r="F4645" t="s">
        <v>134</v>
      </c>
      <c r="G4645" t="s">
        <v>115</v>
      </c>
      <c r="H4645" t="s">
        <v>81</v>
      </c>
      <c r="I4645" t="s">
        <v>103</v>
      </c>
      <c r="J4645" t="s">
        <v>78</v>
      </c>
      <c r="K4645" t="s">
        <v>38</v>
      </c>
      <c r="L4645">
        <v>2</v>
      </c>
      <c r="M4645">
        <v>665</v>
      </c>
      <c r="N4645">
        <v>0</v>
      </c>
      <c r="O4645">
        <v>0</v>
      </c>
      <c r="P4645">
        <v>1330</v>
      </c>
      <c r="Q4645">
        <v>1330</v>
      </c>
      <c r="R4645" t="s">
        <v>112</v>
      </c>
      <c r="S4645" t="s">
        <v>31</v>
      </c>
      <c r="T4645" t="s">
        <v>32</v>
      </c>
      <c r="U4645">
        <v>38</v>
      </c>
      <c r="V4645">
        <v>4.2</v>
      </c>
      <c r="W4645">
        <f>Table2[[#This Row],[Quantity]]*Table2[[#This Row],[Item_Price]]</f>
        <v>1330</v>
      </c>
    </row>
    <row r="4646" spans="1:23" x14ac:dyDescent="0.25">
      <c r="A4646" t="s">
        <v>4751</v>
      </c>
      <c r="B4646" s="1">
        <v>45997</v>
      </c>
      <c r="C4646" t="s">
        <v>4677</v>
      </c>
      <c r="D4646">
        <v>12</v>
      </c>
      <c r="E4646">
        <v>6</v>
      </c>
      <c r="F4646" t="s">
        <v>134</v>
      </c>
      <c r="G4646" t="s">
        <v>115</v>
      </c>
      <c r="H4646" t="s">
        <v>56</v>
      </c>
      <c r="I4646" t="s">
        <v>27</v>
      </c>
      <c r="J4646" t="s">
        <v>50</v>
      </c>
      <c r="K4646" t="s">
        <v>38</v>
      </c>
      <c r="L4646">
        <v>2</v>
      </c>
      <c r="M4646">
        <v>757</v>
      </c>
      <c r="N4646">
        <v>113.55</v>
      </c>
      <c r="O4646">
        <v>60</v>
      </c>
      <c r="P4646">
        <v>1514</v>
      </c>
      <c r="Q4646">
        <v>1460.45</v>
      </c>
      <c r="R4646" t="s">
        <v>39</v>
      </c>
      <c r="S4646" t="s">
        <v>31</v>
      </c>
      <c r="T4646" t="s">
        <v>40</v>
      </c>
      <c r="U4646">
        <v>42</v>
      </c>
      <c r="V4646">
        <v>3.9</v>
      </c>
      <c r="W4646">
        <f>Table2[[#This Row],[Quantity]]*Table2[[#This Row],[Item_Price]]</f>
        <v>1514</v>
      </c>
    </row>
    <row r="4647" spans="1:23" x14ac:dyDescent="0.25">
      <c r="A4647" t="s">
        <v>4752</v>
      </c>
      <c r="B4647" s="1">
        <v>45997</v>
      </c>
      <c r="C4647" t="s">
        <v>4677</v>
      </c>
      <c r="D4647">
        <v>12</v>
      </c>
      <c r="E4647">
        <v>6</v>
      </c>
      <c r="F4647" t="s">
        <v>134</v>
      </c>
      <c r="G4647" t="s">
        <v>84</v>
      </c>
      <c r="H4647" t="s">
        <v>108</v>
      </c>
      <c r="I4647" t="s">
        <v>43</v>
      </c>
      <c r="J4647" t="s">
        <v>119</v>
      </c>
      <c r="K4647" t="s">
        <v>38</v>
      </c>
      <c r="L4647">
        <v>1</v>
      </c>
      <c r="M4647">
        <v>458</v>
      </c>
      <c r="N4647">
        <v>22.9</v>
      </c>
      <c r="O4647">
        <v>20</v>
      </c>
      <c r="P4647">
        <v>458</v>
      </c>
      <c r="Q4647">
        <v>455.1</v>
      </c>
      <c r="R4647" t="s">
        <v>112</v>
      </c>
      <c r="S4647" t="s">
        <v>31</v>
      </c>
      <c r="T4647" t="s">
        <v>40</v>
      </c>
      <c r="U4647">
        <v>45</v>
      </c>
      <c r="V4647">
        <v>3.9</v>
      </c>
      <c r="W4647">
        <f>Table2[[#This Row],[Quantity]]*Table2[[#This Row],[Item_Price]]</f>
        <v>458</v>
      </c>
    </row>
    <row r="4648" spans="1:23" x14ac:dyDescent="0.25">
      <c r="A4648" t="s">
        <v>4753</v>
      </c>
      <c r="B4648" s="1">
        <v>45997</v>
      </c>
      <c r="C4648" t="s">
        <v>4677</v>
      </c>
      <c r="D4648">
        <v>12</v>
      </c>
      <c r="E4648">
        <v>6</v>
      </c>
      <c r="F4648" t="s">
        <v>134</v>
      </c>
      <c r="G4648" t="s">
        <v>55</v>
      </c>
      <c r="H4648" t="s">
        <v>60</v>
      </c>
      <c r="I4648" t="s">
        <v>69</v>
      </c>
      <c r="J4648" t="s">
        <v>78</v>
      </c>
      <c r="K4648" t="s">
        <v>38</v>
      </c>
      <c r="L4648">
        <v>1</v>
      </c>
      <c r="M4648">
        <v>843</v>
      </c>
      <c r="N4648">
        <v>84.3</v>
      </c>
      <c r="O4648">
        <v>40</v>
      </c>
      <c r="P4648">
        <v>843</v>
      </c>
      <c r="Q4648">
        <v>798.7</v>
      </c>
      <c r="R4648" t="s">
        <v>98</v>
      </c>
      <c r="S4648" t="s">
        <v>110</v>
      </c>
      <c r="T4648" t="s">
        <v>40</v>
      </c>
      <c r="U4648">
        <v>61</v>
      </c>
      <c r="W4648">
        <f>Table2[[#This Row],[Quantity]]*Table2[[#This Row],[Item_Price]]</f>
        <v>843</v>
      </c>
    </row>
    <row r="4649" spans="1:23" x14ac:dyDescent="0.25">
      <c r="A4649" t="s">
        <v>4754</v>
      </c>
      <c r="B4649" s="1">
        <v>45997</v>
      </c>
      <c r="C4649" t="s">
        <v>4677</v>
      </c>
      <c r="D4649">
        <v>12</v>
      </c>
      <c r="E4649">
        <v>6</v>
      </c>
      <c r="F4649" t="s">
        <v>134</v>
      </c>
      <c r="G4649" t="s">
        <v>73</v>
      </c>
      <c r="H4649" t="s">
        <v>48</v>
      </c>
      <c r="I4649" t="s">
        <v>49</v>
      </c>
      <c r="J4649" t="s">
        <v>123</v>
      </c>
      <c r="K4649" t="s">
        <v>29</v>
      </c>
      <c r="L4649">
        <v>2</v>
      </c>
      <c r="M4649">
        <v>597</v>
      </c>
      <c r="N4649">
        <v>119.4</v>
      </c>
      <c r="O4649">
        <v>30</v>
      </c>
      <c r="P4649">
        <v>1194</v>
      </c>
      <c r="Q4649">
        <v>1104.5999999999999</v>
      </c>
      <c r="R4649" t="s">
        <v>39</v>
      </c>
      <c r="S4649" t="s">
        <v>31</v>
      </c>
      <c r="T4649" t="s">
        <v>40</v>
      </c>
      <c r="U4649">
        <v>47</v>
      </c>
      <c r="V4649">
        <v>4.9000000000000004</v>
      </c>
      <c r="W4649">
        <f>Table2[[#This Row],[Quantity]]*Table2[[#This Row],[Item_Price]]</f>
        <v>1194</v>
      </c>
    </row>
    <row r="4650" spans="1:23" x14ac:dyDescent="0.25">
      <c r="A4650" t="s">
        <v>4755</v>
      </c>
      <c r="B4650" s="1">
        <v>45997</v>
      </c>
      <c r="C4650" t="s">
        <v>4677</v>
      </c>
      <c r="D4650">
        <v>12</v>
      </c>
      <c r="E4650">
        <v>6</v>
      </c>
      <c r="F4650" t="s">
        <v>134</v>
      </c>
      <c r="G4650" t="s">
        <v>25</v>
      </c>
      <c r="H4650" t="s">
        <v>135</v>
      </c>
      <c r="I4650" t="s">
        <v>27</v>
      </c>
      <c r="J4650" t="s">
        <v>78</v>
      </c>
      <c r="K4650" t="s">
        <v>38</v>
      </c>
      <c r="L4650">
        <v>2</v>
      </c>
      <c r="M4650">
        <v>868</v>
      </c>
      <c r="N4650">
        <v>43.4</v>
      </c>
      <c r="O4650">
        <v>60</v>
      </c>
      <c r="P4650">
        <v>1736</v>
      </c>
      <c r="Q4650">
        <v>1752.6</v>
      </c>
      <c r="R4650" t="s">
        <v>30</v>
      </c>
      <c r="S4650" t="s">
        <v>31</v>
      </c>
      <c r="T4650" t="s">
        <v>40</v>
      </c>
      <c r="U4650">
        <v>43</v>
      </c>
      <c r="V4650">
        <v>3.7</v>
      </c>
      <c r="W4650">
        <f>Table2[[#This Row],[Quantity]]*Table2[[#This Row],[Item_Price]]</f>
        <v>1736</v>
      </c>
    </row>
    <row r="4651" spans="1:23" x14ac:dyDescent="0.25">
      <c r="A4651" t="s">
        <v>4756</v>
      </c>
      <c r="B4651" s="1">
        <v>45997</v>
      </c>
      <c r="C4651" t="s">
        <v>4677</v>
      </c>
      <c r="D4651">
        <v>12</v>
      </c>
      <c r="E4651">
        <v>6</v>
      </c>
      <c r="F4651" t="s">
        <v>134</v>
      </c>
      <c r="G4651" t="s">
        <v>73</v>
      </c>
      <c r="H4651" t="s">
        <v>35</v>
      </c>
      <c r="I4651" t="s">
        <v>69</v>
      </c>
      <c r="J4651" t="s">
        <v>172</v>
      </c>
      <c r="K4651" t="s">
        <v>38</v>
      </c>
      <c r="L4651">
        <v>1</v>
      </c>
      <c r="M4651">
        <v>634</v>
      </c>
      <c r="N4651">
        <v>95.1</v>
      </c>
      <c r="O4651">
        <v>30</v>
      </c>
      <c r="P4651">
        <v>634</v>
      </c>
      <c r="Q4651">
        <v>568.9</v>
      </c>
      <c r="R4651" t="s">
        <v>39</v>
      </c>
      <c r="S4651" t="s">
        <v>31</v>
      </c>
      <c r="T4651" t="s">
        <v>32</v>
      </c>
      <c r="U4651">
        <v>48</v>
      </c>
      <c r="V4651">
        <v>4.7</v>
      </c>
      <c r="W4651">
        <f>Table2[[#This Row],[Quantity]]*Table2[[#This Row],[Item_Price]]</f>
        <v>634</v>
      </c>
    </row>
    <row r="4652" spans="1:23" x14ac:dyDescent="0.25">
      <c r="A4652" t="s">
        <v>4757</v>
      </c>
      <c r="B4652" s="1">
        <v>45997</v>
      </c>
      <c r="C4652" t="s">
        <v>4677</v>
      </c>
      <c r="D4652">
        <v>12</v>
      </c>
      <c r="E4652">
        <v>6</v>
      </c>
      <c r="F4652" t="s">
        <v>134</v>
      </c>
      <c r="G4652" t="s">
        <v>73</v>
      </c>
      <c r="H4652" t="s">
        <v>60</v>
      </c>
      <c r="I4652" t="s">
        <v>85</v>
      </c>
      <c r="J4652" t="s">
        <v>119</v>
      </c>
      <c r="K4652" t="s">
        <v>38</v>
      </c>
      <c r="L4652">
        <v>3</v>
      </c>
      <c r="M4652">
        <v>356</v>
      </c>
      <c r="N4652">
        <v>17.8</v>
      </c>
      <c r="O4652">
        <v>0</v>
      </c>
      <c r="P4652">
        <v>1068</v>
      </c>
      <c r="Q4652">
        <v>1050.2</v>
      </c>
      <c r="R4652" t="s">
        <v>39</v>
      </c>
      <c r="S4652" t="s">
        <v>31</v>
      </c>
      <c r="T4652" t="s">
        <v>40</v>
      </c>
      <c r="U4652">
        <v>62</v>
      </c>
      <c r="V4652">
        <v>4.0999999999999996</v>
      </c>
      <c r="W4652">
        <f>Table2[[#This Row],[Quantity]]*Table2[[#This Row],[Item_Price]]</f>
        <v>1068</v>
      </c>
    </row>
    <row r="4653" spans="1:23" x14ac:dyDescent="0.25">
      <c r="A4653" t="s">
        <v>4758</v>
      </c>
      <c r="B4653" s="1">
        <v>45997</v>
      </c>
      <c r="C4653" t="s">
        <v>4677</v>
      </c>
      <c r="D4653">
        <v>12</v>
      </c>
      <c r="E4653">
        <v>6</v>
      </c>
      <c r="F4653" t="s">
        <v>134</v>
      </c>
      <c r="G4653" t="s">
        <v>90</v>
      </c>
      <c r="H4653" t="s">
        <v>35</v>
      </c>
      <c r="I4653" t="s">
        <v>85</v>
      </c>
      <c r="J4653" t="s">
        <v>37</v>
      </c>
      <c r="K4653" t="s">
        <v>38</v>
      </c>
      <c r="L4653">
        <v>1</v>
      </c>
      <c r="M4653">
        <v>391</v>
      </c>
      <c r="N4653">
        <v>97.75</v>
      </c>
      <c r="O4653">
        <v>0</v>
      </c>
      <c r="P4653">
        <v>391</v>
      </c>
      <c r="Q4653">
        <v>293.25</v>
      </c>
      <c r="R4653" t="s">
        <v>39</v>
      </c>
      <c r="S4653" t="s">
        <v>31</v>
      </c>
      <c r="T4653" t="s">
        <v>40</v>
      </c>
      <c r="U4653">
        <v>56</v>
      </c>
      <c r="V4653">
        <v>4.2</v>
      </c>
      <c r="W4653">
        <f>Table2[[#This Row],[Quantity]]*Table2[[#This Row],[Item_Price]]</f>
        <v>391</v>
      </c>
    </row>
    <row r="4654" spans="1:23" x14ac:dyDescent="0.25">
      <c r="A4654" t="s">
        <v>4759</v>
      </c>
      <c r="B4654" s="1">
        <v>45997</v>
      </c>
      <c r="C4654" t="s">
        <v>4677</v>
      </c>
      <c r="D4654">
        <v>12</v>
      </c>
      <c r="E4654">
        <v>6</v>
      </c>
      <c r="F4654" t="s">
        <v>134</v>
      </c>
      <c r="G4654" t="s">
        <v>90</v>
      </c>
      <c r="H4654" t="s">
        <v>108</v>
      </c>
      <c r="I4654" t="s">
        <v>85</v>
      </c>
      <c r="J4654" t="s">
        <v>66</v>
      </c>
      <c r="K4654" t="s">
        <v>38</v>
      </c>
      <c r="L4654">
        <v>1</v>
      </c>
      <c r="M4654">
        <v>881</v>
      </c>
      <c r="N4654">
        <v>44.05</v>
      </c>
      <c r="O4654">
        <v>30</v>
      </c>
      <c r="P4654">
        <v>881</v>
      </c>
      <c r="Q4654">
        <v>866.95</v>
      </c>
      <c r="R4654" t="s">
        <v>112</v>
      </c>
      <c r="S4654" t="s">
        <v>91</v>
      </c>
      <c r="T4654" t="s">
        <v>32</v>
      </c>
      <c r="U4654">
        <v>32</v>
      </c>
      <c r="W4654">
        <f>Table2[[#This Row],[Quantity]]*Table2[[#This Row],[Item_Price]]</f>
        <v>881</v>
      </c>
    </row>
    <row r="4655" spans="1:23" x14ac:dyDescent="0.25">
      <c r="A4655" t="s">
        <v>4760</v>
      </c>
      <c r="B4655" s="1">
        <v>45997</v>
      </c>
      <c r="C4655" t="s">
        <v>4677</v>
      </c>
      <c r="D4655">
        <v>12</v>
      </c>
      <c r="E4655">
        <v>6</v>
      </c>
      <c r="F4655" t="s">
        <v>134</v>
      </c>
      <c r="G4655" t="s">
        <v>115</v>
      </c>
      <c r="H4655" t="s">
        <v>48</v>
      </c>
      <c r="I4655" t="s">
        <v>57</v>
      </c>
      <c r="J4655" t="s">
        <v>70</v>
      </c>
      <c r="K4655" t="s">
        <v>29</v>
      </c>
      <c r="L4655">
        <v>1</v>
      </c>
      <c r="M4655">
        <v>900</v>
      </c>
      <c r="N4655">
        <v>90</v>
      </c>
      <c r="O4655">
        <v>40</v>
      </c>
      <c r="P4655">
        <v>900</v>
      </c>
      <c r="Q4655">
        <v>850</v>
      </c>
      <c r="R4655" t="s">
        <v>30</v>
      </c>
      <c r="S4655" t="s">
        <v>31</v>
      </c>
      <c r="T4655" t="s">
        <v>40</v>
      </c>
      <c r="U4655">
        <v>38</v>
      </c>
      <c r="V4655">
        <v>4.8</v>
      </c>
      <c r="W4655">
        <f>Table2[[#This Row],[Quantity]]*Table2[[#This Row],[Item_Price]]</f>
        <v>900</v>
      </c>
    </row>
    <row r="4656" spans="1:23" x14ac:dyDescent="0.25">
      <c r="A4656" t="s">
        <v>4761</v>
      </c>
      <c r="B4656" s="1">
        <v>45997</v>
      </c>
      <c r="C4656" t="s">
        <v>4677</v>
      </c>
      <c r="D4656">
        <v>12</v>
      </c>
      <c r="E4656">
        <v>6</v>
      </c>
      <c r="F4656" t="s">
        <v>134</v>
      </c>
      <c r="G4656" t="s">
        <v>55</v>
      </c>
      <c r="H4656" t="s">
        <v>35</v>
      </c>
      <c r="I4656" t="s">
        <v>61</v>
      </c>
      <c r="J4656" t="s">
        <v>37</v>
      </c>
      <c r="K4656" t="s">
        <v>38</v>
      </c>
      <c r="L4656">
        <v>1</v>
      </c>
      <c r="M4656">
        <v>134</v>
      </c>
      <c r="N4656">
        <v>0</v>
      </c>
      <c r="O4656">
        <v>60</v>
      </c>
      <c r="P4656">
        <v>134</v>
      </c>
      <c r="Q4656">
        <v>194</v>
      </c>
      <c r="R4656" t="s">
        <v>30</v>
      </c>
      <c r="S4656" t="s">
        <v>31</v>
      </c>
      <c r="T4656" t="s">
        <v>32</v>
      </c>
      <c r="U4656">
        <v>26</v>
      </c>
      <c r="V4656">
        <v>4.7</v>
      </c>
      <c r="W4656">
        <f>Table2[[#This Row],[Quantity]]*Table2[[#This Row],[Item_Price]]</f>
        <v>134</v>
      </c>
    </row>
    <row r="4657" spans="1:23" x14ac:dyDescent="0.25">
      <c r="A4657" t="s">
        <v>4762</v>
      </c>
      <c r="B4657" s="1">
        <v>45997</v>
      </c>
      <c r="C4657" t="s">
        <v>4677</v>
      </c>
      <c r="D4657">
        <v>12</v>
      </c>
      <c r="E4657">
        <v>6</v>
      </c>
      <c r="F4657" t="s">
        <v>134</v>
      </c>
      <c r="G4657" t="s">
        <v>25</v>
      </c>
      <c r="H4657" t="s">
        <v>56</v>
      </c>
      <c r="I4657" t="s">
        <v>43</v>
      </c>
      <c r="J4657" t="s">
        <v>101</v>
      </c>
      <c r="K4657" t="s">
        <v>45</v>
      </c>
      <c r="L4657">
        <v>2</v>
      </c>
      <c r="M4657">
        <v>767</v>
      </c>
      <c r="N4657">
        <v>153.4</v>
      </c>
      <c r="O4657">
        <v>0</v>
      </c>
      <c r="P4657">
        <v>1534</v>
      </c>
      <c r="Q4657">
        <v>1380.6</v>
      </c>
      <c r="R4657" t="s">
        <v>75</v>
      </c>
      <c r="S4657" t="s">
        <v>31</v>
      </c>
      <c r="T4657" t="s">
        <v>40</v>
      </c>
      <c r="U4657">
        <v>52</v>
      </c>
      <c r="V4657">
        <v>4.2</v>
      </c>
      <c r="W4657">
        <f>Table2[[#This Row],[Quantity]]*Table2[[#This Row],[Item_Price]]</f>
        <v>1534</v>
      </c>
    </row>
    <row r="4658" spans="1:23" x14ac:dyDescent="0.25">
      <c r="A4658" t="s">
        <v>4763</v>
      </c>
      <c r="B4658" s="1">
        <v>45998</v>
      </c>
      <c r="C4658" t="s">
        <v>4677</v>
      </c>
      <c r="D4658">
        <v>12</v>
      </c>
      <c r="E4658">
        <v>7</v>
      </c>
      <c r="F4658" t="s">
        <v>149</v>
      </c>
      <c r="G4658" t="s">
        <v>73</v>
      </c>
      <c r="H4658" t="s">
        <v>42</v>
      </c>
      <c r="I4658" t="s">
        <v>36</v>
      </c>
      <c r="J4658" t="s">
        <v>53</v>
      </c>
      <c r="K4658" t="s">
        <v>38</v>
      </c>
      <c r="L4658">
        <v>1</v>
      </c>
      <c r="M4658">
        <v>704</v>
      </c>
      <c r="N4658">
        <v>70.400000000000006</v>
      </c>
      <c r="O4658">
        <v>30</v>
      </c>
      <c r="P4658">
        <v>704</v>
      </c>
      <c r="Q4658">
        <v>663.6</v>
      </c>
      <c r="R4658" t="s">
        <v>112</v>
      </c>
      <c r="S4658" t="s">
        <v>31</v>
      </c>
      <c r="T4658" t="s">
        <v>32</v>
      </c>
      <c r="U4658">
        <v>18</v>
      </c>
      <c r="V4658">
        <v>4.5</v>
      </c>
      <c r="W4658">
        <f>Table2[[#This Row],[Quantity]]*Table2[[#This Row],[Item_Price]]</f>
        <v>704</v>
      </c>
    </row>
    <row r="4659" spans="1:23" x14ac:dyDescent="0.25">
      <c r="A4659" t="s">
        <v>4764</v>
      </c>
      <c r="B4659" s="1">
        <v>45998</v>
      </c>
      <c r="C4659" t="s">
        <v>4677</v>
      </c>
      <c r="D4659">
        <v>12</v>
      </c>
      <c r="E4659">
        <v>7</v>
      </c>
      <c r="F4659" t="s">
        <v>149</v>
      </c>
      <c r="G4659" t="s">
        <v>80</v>
      </c>
      <c r="H4659" t="s">
        <v>81</v>
      </c>
      <c r="I4659" t="s">
        <v>43</v>
      </c>
      <c r="J4659" t="s">
        <v>101</v>
      </c>
      <c r="K4659" t="s">
        <v>45</v>
      </c>
      <c r="L4659">
        <v>2</v>
      </c>
      <c r="M4659">
        <v>345</v>
      </c>
      <c r="N4659">
        <v>34.5</v>
      </c>
      <c r="O4659">
        <v>50</v>
      </c>
      <c r="P4659">
        <v>690</v>
      </c>
      <c r="Q4659">
        <v>705.5</v>
      </c>
      <c r="R4659" t="s">
        <v>39</v>
      </c>
      <c r="S4659" t="s">
        <v>46</v>
      </c>
      <c r="T4659" t="s">
        <v>32</v>
      </c>
      <c r="U4659">
        <v>35</v>
      </c>
      <c r="W4659">
        <f>Table2[[#This Row],[Quantity]]*Table2[[#This Row],[Item_Price]]</f>
        <v>690</v>
      </c>
    </row>
    <row r="4660" spans="1:23" x14ac:dyDescent="0.25">
      <c r="A4660" t="s">
        <v>4765</v>
      </c>
      <c r="B4660" s="1">
        <v>45998</v>
      </c>
      <c r="C4660" t="s">
        <v>4677</v>
      </c>
      <c r="D4660">
        <v>12</v>
      </c>
      <c r="E4660">
        <v>7</v>
      </c>
      <c r="F4660" t="s">
        <v>149</v>
      </c>
      <c r="G4660" t="s">
        <v>73</v>
      </c>
      <c r="H4660" t="s">
        <v>48</v>
      </c>
      <c r="I4660" t="s">
        <v>43</v>
      </c>
      <c r="J4660" t="s">
        <v>62</v>
      </c>
      <c r="K4660" t="s">
        <v>38</v>
      </c>
      <c r="L4660">
        <v>1</v>
      </c>
      <c r="M4660">
        <v>252</v>
      </c>
      <c r="N4660">
        <v>25.2</v>
      </c>
      <c r="O4660">
        <v>30</v>
      </c>
      <c r="P4660">
        <v>252</v>
      </c>
      <c r="Q4660">
        <v>256.8</v>
      </c>
      <c r="R4660" t="s">
        <v>39</v>
      </c>
      <c r="S4660" t="s">
        <v>31</v>
      </c>
      <c r="T4660" t="s">
        <v>32</v>
      </c>
      <c r="U4660">
        <v>51</v>
      </c>
      <c r="V4660">
        <v>3.2</v>
      </c>
      <c r="W4660">
        <f>Table2[[#This Row],[Quantity]]*Table2[[#This Row],[Item_Price]]</f>
        <v>252</v>
      </c>
    </row>
    <row r="4661" spans="1:23" x14ac:dyDescent="0.25">
      <c r="A4661" t="s">
        <v>4766</v>
      </c>
      <c r="B4661" s="1">
        <v>45998</v>
      </c>
      <c r="C4661" t="s">
        <v>4677</v>
      </c>
      <c r="D4661">
        <v>12</v>
      </c>
      <c r="E4661">
        <v>7</v>
      </c>
      <c r="F4661" t="s">
        <v>149</v>
      </c>
      <c r="G4661" t="s">
        <v>64</v>
      </c>
      <c r="H4661" t="s">
        <v>135</v>
      </c>
      <c r="I4661" t="s">
        <v>85</v>
      </c>
      <c r="J4661" t="s">
        <v>74</v>
      </c>
      <c r="K4661" t="s">
        <v>45</v>
      </c>
      <c r="L4661">
        <v>1</v>
      </c>
      <c r="M4661">
        <v>446</v>
      </c>
      <c r="N4661">
        <v>111.5</v>
      </c>
      <c r="O4661">
        <v>40</v>
      </c>
      <c r="P4661">
        <v>446</v>
      </c>
      <c r="Q4661">
        <v>374.5</v>
      </c>
      <c r="R4661" t="s">
        <v>30</v>
      </c>
      <c r="S4661" t="s">
        <v>91</v>
      </c>
      <c r="T4661" t="s">
        <v>32</v>
      </c>
      <c r="U4661">
        <v>41</v>
      </c>
      <c r="W4661">
        <f>Table2[[#This Row],[Quantity]]*Table2[[#This Row],[Item_Price]]</f>
        <v>446</v>
      </c>
    </row>
    <row r="4662" spans="1:23" x14ac:dyDescent="0.25">
      <c r="A4662" t="s">
        <v>4767</v>
      </c>
      <c r="B4662" s="1">
        <v>45998</v>
      </c>
      <c r="C4662" t="s">
        <v>4677</v>
      </c>
      <c r="D4662">
        <v>12</v>
      </c>
      <c r="E4662">
        <v>7</v>
      </c>
      <c r="F4662" t="s">
        <v>149</v>
      </c>
      <c r="G4662" t="s">
        <v>55</v>
      </c>
      <c r="H4662" t="s">
        <v>56</v>
      </c>
      <c r="I4662" t="s">
        <v>43</v>
      </c>
      <c r="J4662" t="s">
        <v>172</v>
      </c>
      <c r="K4662" t="s">
        <v>38</v>
      </c>
      <c r="L4662">
        <v>2</v>
      </c>
      <c r="M4662">
        <v>732</v>
      </c>
      <c r="N4662">
        <v>73.2</v>
      </c>
      <c r="O4662">
        <v>50</v>
      </c>
      <c r="P4662">
        <v>1464</v>
      </c>
      <c r="Q4662">
        <v>1440.8</v>
      </c>
      <c r="R4662" t="s">
        <v>75</v>
      </c>
      <c r="S4662" t="s">
        <v>31</v>
      </c>
      <c r="T4662" t="s">
        <v>32</v>
      </c>
      <c r="U4662">
        <v>68</v>
      </c>
      <c r="V4662">
        <v>4.9000000000000004</v>
      </c>
      <c r="W4662">
        <f>Table2[[#This Row],[Quantity]]*Table2[[#This Row],[Item_Price]]</f>
        <v>1464</v>
      </c>
    </row>
    <row r="4663" spans="1:23" x14ac:dyDescent="0.25">
      <c r="A4663" t="s">
        <v>4768</v>
      </c>
      <c r="B4663" s="1">
        <v>45998</v>
      </c>
      <c r="C4663" t="s">
        <v>4677</v>
      </c>
      <c r="D4663">
        <v>12</v>
      </c>
      <c r="E4663">
        <v>7</v>
      </c>
      <c r="F4663" t="s">
        <v>149</v>
      </c>
      <c r="G4663" t="s">
        <v>34</v>
      </c>
      <c r="H4663" t="s">
        <v>81</v>
      </c>
      <c r="I4663" t="s">
        <v>85</v>
      </c>
      <c r="J4663" t="s">
        <v>50</v>
      </c>
      <c r="K4663" t="s">
        <v>58</v>
      </c>
      <c r="L4663">
        <v>1</v>
      </c>
      <c r="M4663">
        <v>393</v>
      </c>
      <c r="N4663">
        <v>39.299999999999997</v>
      </c>
      <c r="O4663">
        <v>40</v>
      </c>
      <c r="P4663">
        <v>393</v>
      </c>
      <c r="Q4663">
        <v>393.7</v>
      </c>
      <c r="R4663" t="s">
        <v>75</v>
      </c>
      <c r="S4663" t="s">
        <v>31</v>
      </c>
      <c r="T4663" t="s">
        <v>32</v>
      </c>
      <c r="U4663">
        <v>51</v>
      </c>
      <c r="V4663">
        <v>4.3</v>
      </c>
      <c r="W4663">
        <f>Table2[[#This Row],[Quantity]]*Table2[[#This Row],[Item_Price]]</f>
        <v>393</v>
      </c>
    </row>
    <row r="4664" spans="1:23" x14ac:dyDescent="0.25">
      <c r="A4664" t="s">
        <v>4769</v>
      </c>
      <c r="B4664" s="1">
        <v>45998</v>
      </c>
      <c r="C4664" t="s">
        <v>4677</v>
      </c>
      <c r="D4664">
        <v>12</v>
      </c>
      <c r="E4664">
        <v>7</v>
      </c>
      <c r="F4664" t="s">
        <v>149</v>
      </c>
      <c r="G4664" t="s">
        <v>115</v>
      </c>
      <c r="H4664" t="s">
        <v>35</v>
      </c>
      <c r="I4664" t="s">
        <v>69</v>
      </c>
      <c r="J4664" t="s">
        <v>94</v>
      </c>
      <c r="K4664" t="s">
        <v>38</v>
      </c>
      <c r="L4664">
        <v>1</v>
      </c>
      <c r="M4664">
        <v>315</v>
      </c>
      <c r="N4664">
        <v>47.25</v>
      </c>
      <c r="O4664">
        <v>40</v>
      </c>
      <c r="P4664">
        <v>315</v>
      </c>
      <c r="Q4664">
        <v>307.75</v>
      </c>
      <c r="R4664" t="s">
        <v>75</v>
      </c>
      <c r="S4664" t="s">
        <v>31</v>
      </c>
      <c r="T4664" t="s">
        <v>32</v>
      </c>
      <c r="U4664">
        <v>56</v>
      </c>
      <c r="V4664">
        <v>4.9000000000000004</v>
      </c>
      <c r="W4664">
        <f>Table2[[#This Row],[Quantity]]*Table2[[#This Row],[Item_Price]]</f>
        <v>315</v>
      </c>
    </row>
    <row r="4665" spans="1:23" x14ac:dyDescent="0.25">
      <c r="A4665" t="s">
        <v>4770</v>
      </c>
      <c r="B4665" s="1">
        <v>45998</v>
      </c>
      <c r="C4665" t="s">
        <v>4677</v>
      </c>
      <c r="D4665">
        <v>12</v>
      </c>
      <c r="E4665">
        <v>7</v>
      </c>
      <c r="F4665" t="s">
        <v>149</v>
      </c>
      <c r="G4665" t="s">
        <v>115</v>
      </c>
      <c r="H4665" t="s">
        <v>26</v>
      </c>
      <c r="I4665" t="s">
        <v>103</v>
      </c>
      <c r="J4665" t="s">
        <v>119</v>
      </c>
      <c r="K4665" t="s">
        <v>38</v>
      </c>
      <c r="L4665">
        <v>2</v>
      </c>
      <c r="M4665">
        <v>871</v>
      </c>
      <c r="N4665">
        <v>87.1</v>
      </c>
      <c r="O4665">
        <v>60</v>
      </c>
      <c r="P4665">
        <v>1742</v>
      </c>
      <c r="Q4665">
        <v>1714.9</v>
      </c>
      <c r="R4665" t="s">
        <v>39</v>
      </c>
      <c r="S4665" t="s">
        <v>31</v>
      </c>
      <c r="T4665" t="s">
        <v>32</v>
      </c>
      <c r="U4665">
        <v>51</v>
      </c>
      <c r="V4665">
        <v>3.9</v>
      </c>
      <c r="W4665">
        <f>Table2[[#This Row],[Quantity]]*Table2[[#This Row],[Item_Price]]</f>
        <v>1742</v>
      </c>
    </row>
    <row r="4666" spans="1:23" x14ac:dyDescent="0.25">
      <c r="A4666" t="s">
        <v>4771</v>
      </c>
      <c r="B4666" s="1">
        <v>45998</v>
      </c>
      <c r="C4666" t="s">
        <v>4677</v>
      </c>
      <c r="D4666">
        <v>12</v>
      </c>
      <c r="E4666">
        <v>7</v>
      </c>
      <c r="F4666" t="s">
        <v>149</v>
      </c>
      <c r="G4666" t="s">
        <v>55</v>
      </c>
      <c r="H4666" t="s">
        <v>26</v>
      </c>
      <c r="I4666" t="s">
        <v>43</v>
      </c>
      <c r="J4666" t="s">
        <v>172</v>
      </c>
      <c r="K4666" t="s">
        <v>38</v>
      </c>
      <c r="L4666">
        <v>1</v>
      </c>
      <c r="M4666">
        <v>207</v>
      </c>
      <c r="N4666">
        <v>0</v>
      </c>
      <c r="O4666">
        <v>40</v>
      </c>
      <c r="P4666">
        <v>207</v>
      </c>
      <c r="Q4666">
        <v>247</v>
      </c>
      <c r="R4666" t="s">
        <v>39</v>
      </c>
      <c r="S4666" t="s">
        <v>31</v>
      </c>
      <c r="T4666" t="s">
        <v>40</v>
      </c>
      <c r="U4666">
        <v>46</v>
      </c>
      <c r="V4666">
        <v>3.2</v>
      </c>
      <c r="W4666">
        <f>Table2[[#This Row],[Quantity]]*Table2[[#This Row],[Item_Price]]</f>
        <v>207</v>
      </c>
    </row>
    <row r="4667" spans="1:23" x14ac:dyDescent="0.25">
      <c r="A4667" t="s">
        <v>4772</v>
      </c>
      <c r="B4667" s="1">
        <v>45998</v>
      </c>
      <c r="C4667" t="s">
        <v>4677</v>
      </c>
      <c r="D4667">
        <v>12</v>
      </c>
      <c r="E4667">
        <v>7</v>
      </c>
      <c r="F4667" t="s">
        <v>149</v>
      </c>
      <c r="G4667" t="s">
        <v>80</v>
      </c>
      <c r="H4667" t="s">
        <v>60</v>
      </c>
      <c r="I4667" t="s">
        <v>49</v>
      </c>
      <c r="J4667" t="s">
        <v>28</v>
      </c>
      <c r="K4667" t="s">
        <v>38</v>
      </c>
      <c r="L4667">
        <v>1</v>
      </c>
      <c r="M4667">
        <v>614</v>
      </c>
      <c r="N4667">
        <v>61.4</v>
      </c>
      <c r="O4667">
        <v>30</v>
      </c>
      <c r="P4667">
        <v>614</v>
      </c>
      <c r="Q4667">
        <v>582.6</v>
      </c>
      <c r="R4667" t="s">
        <v>39</v>
      </c>
      <c r="S4667" t="s">
        <v>31</v>
      </c>
      <c r="T4667" t="s">
        <v>32</v>
      </c>
      <c r="U4667">
        <v>62</v>
      </c>
      <c r="V4667">
        <v>3.6</v>
      </c>
      <c r="W4667">
        <f>Table2[[#This Row],[Quantity]]*Table2[[#This Row],[Item_Price]]</f>
        <v>614</v>
      </c>
    </row>
    <row r="4668" spans="1:23" x14ac:dyDescent="0.25">
      <c r="A4668" t="s">
        <v>4773</v>
      </c>
      <c r="B4668" s="1">
        <v>45998</v>
      </c>
      <c r="C4668" t="s">
        <v>4677</v>
      </c>
      <c r="D4668">
        <v>12</v>
      </c>
      <c r="E4668">
        <v>7</v>
      </c>
      <c r="F4668" t="s">
        <v>149</v>
      </c>
      <c r="G4668" t="s">
        <v>64</v>
      </c>
      <c r="H4668" t="s">
        <v>65</v>
      </c>
      <c r="I4668" t="s">
        <v>43</v>
      </c>
      <c r="J4668" t="s">
        <v>74</v>
      </c>
      <c r="K4668" t="s">
        <v>58</v>
      </c>
      <c r="L4668">
        <v>1</v>
      </c>
      <c r="M4668">
        <v>416</v>
      </c>
      <c r="N4668">
        <v>20.8</v>
      </c>
      <c r="O4668">
        <v>40</v>
      </c>
      <c r="P4668">
        <v>416</v>
      </c>
      <c r="Q4668">
        <v>435.2</v>
      </c>
      <c r="R4668" t="s">
        <v>30</v>
      </c>
      <c r="S4668" t="s">
        <v>46</v>
      </c>
      <c r="T4668" t="s">
        <v>32</v>
      </c>
      <c r="U4668">
        <v>65</v>
      </c>
      <c r="W4668">
        <f>Table2[[#This Row],[Quantity]]*Table2[[#This Row],[Item_Price]]</f>
        <v>416</v>
      </c>
    </row>
    <row r="4669" spans="1:23" x14ac:dyDescent="0.25">
      <c r="A4669" t="s">
        <v>4774</v>
      </c>
      <c r="B4669" s="1">
        <v>45998</v>
      </c>
      <c r="C4669" t="s">
        <v>4677</v>
      </c>
      <c r="D4669">
        <v>12</v>
      </c>
      <c r="E4669">
        <v>7</v>
      </c>
      <c r="F4669" t="s">
        <v>149</v>
      </c>
      <c r="G4669" t="s">
        <v>25</v>
      </c>
      <c r="H4669" t="s">
        <v>35</v>
      </c>
      <c r="I4669" t="s">
        <v>97</v>
      </c>
      <c r="J4669" t="s">
        <v>44</v>
      </c>
      <c r="K4669" t="s">
        <v>45</v>
      </c>
      <c r="L4669">
        <v>2</v>
      </c>
      <c r="M4669">
        <v>428</v>
      </c>
      <c r="N4669">
        <v>42.8</v>
      </c>
      <c r="O4669">
        <v>40</v>
      </c>
      <c r="P4669">
        <v>856</v>
      </c>
      <c r="Q4669">
        <v>853.2</v>
      </c>
      <c r="R4669" t="s">
        <v>39</v>
      </c>
      <c r="S4669" t="s">
        <v>31</v>
      </c>
      <c r="T4669" t="s">
        <v>40</v>
      </c>
      <c r="U4669">
        <v>46</v>
      </c>
      <c r="V4669">
        <v>4.3</v>
      </c>
      <c r="W4669">
        <f>Table2[[#This Row],[Quantity]]*Table2[[#This Row],[Item_Price]]</f>
        <v>856</v>
      </c>
    </row>
    <row r="4670" spans="1:23" x14ac:dyDescent="0.25">
      <c r="A4670" t="s">
        <v>4775</v>
      </c>
      <c r="B4670" s="1">
        <v>45998</v>
      </c>
      <c r="C4670" t="s">
        <v>4677</v>
      </c>
      <c r="D4670">
        <v>12</v>
      </c>
      <c r="E4670">
        <v>7</v>
      </c>
      <c r="F4670" t="s">
        <v>149</v>
      </c>
      <c r="G4670" t="s">
        <v>25</v>
      </c>
      <c r="H4670" t="s">
        <v>68</v>
      </c>
      <c r="I4670" t="s">
        <v>97</v>
      </c>
      <c r="J4670" t="s">
        <v>50</v>
      </c>
      <c r="K4670" t="s">
        <v>38</v>
      </c>
      <c r="L4670">
        <v>3</v>
      </c>
      <c r="M4670">
        <v>461</v>
      </c>
      <c r="N4670">
        <v>0</v>
      </c>
      <c r="O4670">
        <v>20</v>
      </c>
      <c r="P4670">
        <v>1383</v>
      </c>
      <c r="Q4670">
        <v>1403</v>
      </c>
      <c r="R4670" t="s">
        <v>75</v>
      </c>
      <c r="S4670" t="s">
        <v>31</v>
      </c>
      <c r="T4670" t="s">
        <v>32</v>
      </c>
      <c r="U4670">
        <v>32</v>
      </c>
      <c r="V4670">
        <v>4</v>
      </c>
      <c r="W4670">
        <f>Table2[[#This Row],[Quantity]]*Table2[[#This Row],[Item_Price]]</f>
        <v>1383</v>
      </c>
    </row>
    <row r="4671" spans="1:23" x14ac:dyDescent="0.25">
      <c r="A4671" t="s">
        <v>4776</v>
      </c>
      <c r="B4671" s="1">
        <v>45998</v>
      </c>
      <c r="C4671" t="s">
        <v>4677</v>
      </c>
      <c r="D4671">
        <v>12</v>
      </c>
      <c r="E4671">
        <v>7</v>
      </c>
      <c r="F4671" t="s">
        <v>149</v>
      </c>
      <c r="G4671" t="s">
        <v>84</v>
      </c>
      <c r="H4671" t="s">
        <v>26</v>
      </c>
      <c r="I4671" t="s">
        <v>69</v>
      </c>
      <c r="J4671" t="s">
        <v>123</v>
      </c>
      <c r="K4671" t="s">
        <v>38</v>
      </c>
      <c r="L4671">
        <v>1</v>
      </c>
      <c r="M4671">
        <v>896</v>
      </c>
      <c r="N4671">
        <v>0</v>
      </c>
      <c r="O4671">
        <v>40</v>
      </c>
      <c r="P4671">
        <v>896</v>
      </c>
      <c r="Q4671">
        <v>936</v>
      </c>
      <c r="R4671" t="s">
        <v>98</v>
      </c>
      <c r="S4671" t="s">
        <v>46</v>
      </c>
      <c r="T4671" t="s">
        <v>32</v>
      </c>
      <c r="U4671">
        <v>44</v>
      </c>
      <c r="W4671">
        <f>Table2[[#This Row],[Quantity]]*Table2[[#This Row],[Item_Price]]</f>
        <v>896</v>
      </c>
    </row>
    <row r="4672" spans="1:23" x14ac:dyDescent="0.25">
      <c r="A4672" t="s">
        <v>4777</v>
      </c>
      <c r="B4672" s="1">
        <v>45998</v>
      </c>
      <c r="C4672" t="s">
        <v>4677</v>
      </c>
      <c r="D4672">
        <v>12</v>
      </c>
      <c r="E4672">
        <v>7</v>
      </c>
      <c r="F4672" t="s">
        <v>149</v>
      </c>
      <c r="G4672" t="s">
        <v>34</v>
      </c>
      <c r="H4672" t="s">
        <v>48</v>
      </c>
      <c r="I4672" t="s">
        <v>69</v>
      </c>
      <c r="J4672" t="s">
        <v>44</v>
      </c>
      <c r="K4672" t="s">
        <v>38</v>
      </c>
      <c r="L4672">
        <v>3</v>
      </c>
      <c r="M4672">
        <v>225</v>
      </c>
      <c r="N4672">
        <v>0</v>
      </c>
      <c r="O4672">
        <v>30</v>
      </c>
      <c r="P4672">
        <v>675</v>
      </c>
      <c r="Q4672">
        <v>705</v>
      </c>
      <c r="R4672" t="s">
        <v>30</v>
      </c>
      <c r="S4672" t="s">
        <v>31</v>
      </c>
      <c r="T4672" t="s">
        <v>40</v>
      </c>
      <c r="U4672">
        <v>63</v>
      </c>
      <c r="V4672">
        <v>3</v>
      </c>
      <c r="W4672">
        <f>Table2[[#This Row],[Quantity]]*Table2[[#This Row],[Item_Price]]</f>
        <v>675</v>
      </c>
    </row>
    <row r="4673" spans="1:23" x14ac:dyDescent="0.25">
      <c r="A4673" t="s">
        <v>4778</v>
      </c>
      <c r="B4673" s="1">
        <v>45999</v>
      </c>
      <c r="C4673" t="s">
        <v>4677</v>
      </c>
      <c r="D4673">
        <v>12</v>
      </c>
      <c r="E4673">
        <v>8</v>
      </c>
      <c r="F4673" t="s">
        <v>168</v>
      </c>
      <c r="G4673" t="s">
        <v>25</v>
      </c>
      <c r="H4673" t="s">
        <v>135</v>
      </c>
      <c r="I4673" t="s">
        <v>97</v>
      </c>
      <c r="J4673" t="s">
        <v>101</v>
      </c>
      <c r="K4673" t="s">
        <v>38</v>
      </c>
      <c r="L4673">
        <v>1</v>
      </c>
      <c r="M4673">
        <v>721</v>
      </c>
      <c r="N4673">
        <v>108.15</v>
      </c>
      <c r="O4673">
        <v>0</v>
      </c>
      <c r="P4673">
        <v>721</v>
      </c>
      <c r="Q4673">
        <v>612.85</v>
      </c>
      <c r="R4673" t="s">
        <v>39</v>
      </c>
      <c r="S4673" t="s">
        <v>31</v>
      </c>
      <c r="T4673" t="s">
        <v>40</v>
      </c>
      <c r="U4673">
        <v>20</v>
      </c>
      <c r="V4673">
        <v>4.3</v>
      </c>
      <c r="W4673">
        <f>Table2[[#This Row],[Quantity]]*Table2[[#This Row],[Item_Price]]</f>
        <v>721</v>
      </c>
    </row>
    <row r="4674" spans="1:23" x14ac:dyDescent="0.25">
      <c r="A4674" t="s">
        <v>4779</v>
      </c>
      <c r="B4674" s="1">
        <v>45999</v>
      </c>
      <c r="C4674" t="s">
        <v>4677</v>
      </c>
      <c r="D4674">
        <v>12</v>
      </c>
      <c r="E4674">
        <v>8</v>
      </c>
      <c r="F4674" t="s">
        <v>168</v>
      </c>
      <c r="G4674" t="s">
        <v>34</v>
      </c>
      <c r="H4674" t="s">
        <v>56</v>
      </c>
      <c r="I4674" t="s">
        <v>97</v>
      </c>
      <c r="J4674" t="s">
        <v>101</v>
      </c>
      <c r="K4674" t="s">
        <v>38</v>
      </c>
      <c r="L4674">
        <v>1</v>
      </c>
      <c r="M4674">
        <v>712</v>
      </c>
      <c r="N4674">
        <v>178</v>
      </c>
      <c r="O4674">
        <v>0</v>
      </c>
      <c r="P4674">
        <v>712</v>
      </c>
      <c r="Q4674">
        <v>534</v>
      </c>
      <c r="R4674" t="s">
        <v>39</v>
      </c>
      <c r="S4674" t="s">
        <v>31</v>
      </c>
      <c r="T4674" t="s">
        <v>32</v>
      </c>
      <c r="U4674">
        <v>57</v>
      </c>
      <c r="V4674">
        <v>2.9</v>
      </c>
      <c r="W4674">
        <f>Table2[[#This Row],[Quantity]]*Table2[[#This Row],[Item_Price]]</f>
        <v>712</v>
      </c>
    </row>
    <row r="4675" spans="1:23" x14ac:dyDescent="0.25">
      <c r="A4675" t="s">
        <v>4780</v>
      </c>
      <c r="B4675" s="1">
        <v>45999</v>
      </c>
      <c r="C4675" t="s">
        <v>4677</v>
      </c>
      <c r="D4675">
        <v>12</v>
      </c>
      <c r="E4675">
        <v>8</v>
      </c>
      <c r="F4675" t="s">
        <v>168</v>
      </c>
      <c r="G4675" t="s">
        <v>64</v>
      </c>
      <c r="H4675" t="s">
        <v>77</v>
      </c>
      <c r="I4675" t="s">
        <v>69</v>
      </c>
      <c r="J4675" t="s">
        <v>70</v>
      </c>
      <c r="K4675" t="s">
        <v>38</v>
      </c>
      <c r="L4675">
        <v>3</v>
      </c>
      <c r="M4675">
        <v>900</v>
      </c>
      <c r="N4675">
        <v>0</v>
      </c>
      <c r="O4675">
        <v>20</v>
      </c>
      <c r="P4675">
        <v>2700</v>
      </c>
      <c r="Q4675">
        <v>2720</v>
      </c>
      <c r="R4675" t="s">
        <v>39</v>
      </c>
      <c r="S4675" t="s">
        <v>31</v>
      </c>
      <c r="T4675" t="s">
        <v>40</v>
      </c>
      <c r="U4675">
        <v>57</v>
      </c>
      <c r="V4675">
        <v>3.8</v>
      </c>
      <c r="W4675">
        <f>Table2[[#This Row],[Quantity]]*Table2[[#This Row],[Item_Price]]</f>
        <v>2700</v>
      </c>
    </row>
    <row r="4676" spans="1:23" x14ac:dyDescent="0.25">
      <c r="A4676" t="s">
        <v>4781</v>
      </c>
      <c r="B4676" s="1">
        <v>45999</v>
      </c>
      <c r="C4676" t="s">
        <v>4677</v>
      </c>
      <c r="D4676">
        <v>12</v>
      </c>
      <c r="E4676">
        <v>8</v>
      </c>
      <c r="F4676" t="s">
        <v>168</v>
      </c>
      <c r="G4676" t="s">
        <v>64</v>
      </c>
      <c r="H4676" t="s">
        <v>105</v>
      </c>
      <c r="I4676" t="s">
        <v>43</v>
      </c>
      <c r="J4676" t="s">
        <v>123</v>
      </c>
      <c r="K4676" t="s">
        <v>38</v>
      </c>
      <c r="L4676">
        <v>2</v>
      </c>
      <c r="M4676">
        <v>299</v>
      </c>
      <c r="N4676">
        <v>74.75</v>
      </c>
      <c r="O4676">
        <v>50</v>
      </c>
      <c r="P4676">
        <v>598</v>
      </c>
      <c r="Q4676">
        <v>573.25</v>
      </c>
      <c r="R4676" t="s">
        <v>39</v>
      </c>
      <c r="S4676" t="s">
        <v>110</v>
      </c>
      <c r="T4676" t="s">
        <v>40</v>
      </c>
      <c r="U4676">
        <v>44</v>
      </c>
      <c r="W4676">
        <f>Table2[[#This Row],[Quantity]]*Table2[[#This Row],[Item_Price]]</f>
        <v>598</v>
      </c>
    </row>
    <row r="4677" spans="1:23" x14ac:dyDescent="0.25">
      <c r="A4677" t="s">
        <v>4782</v>
      </c>
      <c r="B4677" s="1">
        <v>45999</v>
      </c>
      <c r="C4677" t="s">
        <v>4677</v>
      </c>
      <c r="D4677">
        <v>12</v>
      </c>
      <c r="E4677">
        <v>8</v>
      </c>
      <c r="F4677" t="s">
        <v>168</v>
      </c>
      <c r="G4677" t="s">
        <v>64</v>
      </c>
      <c r="H4677" t="s">
        <v>60</v>
      </c>
      <c r="I4677" t="s">
        <v>43</v>
      </c>
      <c r="J4677" t="s">
        <v>62</v>
      </c>
      <c r="K4677" t="s">
        <v>38</v>
      </c>
      <c r="L4677">
        <v>2</v>
      </c>
      <c r="M4677">
        <v>642</v>
      </c>
      <c r="N4677">
        <v>160.5</v>
      </c>
      <c r="O4677">
        <v>60</v>
      </c>
      <c r="P4677">
        <v>1284</v>
      </c>
      <c r="Q4677">
        <v>1183.5</v>
      </c>
      <c r="R4677" t="s">
        <v>75</v>
      </c>
      <c r="S4677" t="s">
        <v>31</v>
      </c>
      <c r="T4677" t="s">
        <v>40</v>
      </c>
      <c r="U4677">
        <v>20</v>
      </c>
      <c r="V4677">
        <v>3.1</v>
      </c>
      <c r="W4677">
        <f>Table2[[#This Row],[Quantity]]*Table2[[#This Row],[Item_Price]]</f>
        <v>1284</v>
      </c>
    </row>
    <row r="4678" spans="1:23" x14ac:dyDescent="0.25">
      <c r="A4678" t="s">
        <v>4783</v>
      </c>
      <c r="B4678" s="1">
        <v>45999</v>
      </c>
      <c r="C4678" t="s">
        <v>4677</v>
      </c>
      <c r="D4678">
        <v>12</v>
      </c>
      <c r="E4678">
        <v>8</v>
      </c>
      <c r="F4678" t="s">
        <v>168</v>
      </c>
      <c r="G4678" t="s">
        <v>73</v>
      </c>
      <c r="H4678" t="s">
        <v>56</v>
      </c>
      <c r="I4678" t="s">
        <v>85</v>
      </c>
      <c r="J4678" t="s">
        <v>101</v>
      </c>
      <c r="K4678" t="s">
        <v>38</v>
      </c>
      <c r="L4678">
        <v>2</v>
      </c>
      <c r="M4678">
        <v>757</v>
      </c>
      <c r="N4678">
        <v>113.55</v>
      </c>
      <c r="O4678">
        <v>60</v>
      </c>
      <c r="P4678">
        <v>1514</v>
      </c>
      <c r="Q4678">
        <v>1460.45</v>
      </c>
      <c r="R4678" t="s">
        <v>39</v>
      </c>
      <c r="S4678" t="s">
        <v>31</v>
      </c>
      <c r="T4678" t="s">
        <v>32</v>
      </c>
      <c r="U4678">
        <v>26</v>
      </c>
      <c r="V4678">
        <v>3.9</v>
      </c>
      <c r="W4678">
        <f>Table2[[#This Row],[Quantity]]*Table2[[#This Row],[Item_Price]]</f>
        <v>1514</v>
      </c>
    </row>
    <row r="4679" spans="1:23" x14ac:dyDescent="0.25">
      <c r="A4679" t="s">
        <v>4784</v>
      </c>
      <c r="B4679" s="1">
        <v>45999</v>
      </c>
      <c r="C4679" t="s">
        <v>4677</v>
      </c>
      <c r="D4679">
        <v>12</v>
      </c>
      <c r="E4679">
        <v>8</v>
      </c>
      <c r="F4679" t="s">
        <v>168</v>
      </c>
      <c r="G4679" t="s">
        <v>73</v>
      </c>
      <c r="H4679" t="s">
        <v>65</v>
      </c>
      <c r="I4679" t="s">
        <v>85</v>
      </c>
      <c r="J4679" t="s">
        <v>94</v>
      </c>
      <c r="K4679" t="s">
        <v>38</v>
      </c>
      <c r="L4679">
        <v>2</v>
      </c>
      <c r="M4679">
        <v>380</v>
      </c>
      <c r="N4679">
        <v>57</v>
      </c>
      <c r="O4679">
        <v>50</v>
      </c>
      <c r="P4679">
        <v>760</v>
      </c>
      <c r="Q4679">
        <v>753</v>
      </c>
      <c r="R4679" t="s">
        <v>98</v>
      </c>
      <c r="S4679" t="s">
        <v>31</v>
      </c>
      <c r="T4679" t="s">
        <v>32</v>
      </c>
      <c r="U4679">
        <v>20</v>
      </c>
      <c r="V4679">
        <v>5</v>
      </c>
      <c r="W4679">
        <f>Table2[[#This Row],[Quantity]]*Table2[[#This Row],[Item_Price]]</f>
        <v>760</v>
      </c>
    </row>
    <row r="4680" spans="1:23" x14ac:dyDescent="0.25">
      <c r="A4680" t="s">
        <v>4785</v>
      </c>
      <c r="B4680" s="1">
        <v>45999</v>
      </c>
      <c r="C4680" t="s">
        <v>4677</v>
      </c>
      <c r="D4680">
        <v>12</v>
      </c>
      <c r="E4680">
        <v>8</v>
      </c>
      <c r="F4680" t="s">
        <v>168</v>
      </c>
      <c r="G4680" t="s">
        <v>73</v>
      </c>
      <c r="H4680" t="s">
        <v>135</v>
      </c>
      <c r="I4680" t="s">
        <v>57</v>
      </c>
      <c r="J4680" t="s">
        <v>119</v>
      </c>
      <c r="K4680" t="s">
        <v>45</v>
      </c>
      <c r="L4680">
        <v>1</v>
      </c>
      <c r="M4680">
        <v>686</v>
      </c>
      <c r="N4680">
        <v>171.5</v>
      </c>
      <c r="O4680">
        <v>50</v>
      </c>
      <c r="P4680">
        <v>686</v>
      </c>
      <c r="Q4680">
        <v>564.5</v>
      </c>
      <c r="R4680" t="s">
        <v>30</v>
      </c>
      <c r="S4680" t="s">
        <v>31</v>
      </c>
      <c r="T4680" t="s">
        <v>40</v>
      </c>
      <c r="U4680">
        <v>58</v>
      </c>
      <c r="V4680">
        <v>4.8</v>
      </c>
      <c r="W4680">
        <f>Table2[[#This Row],[Quantity]]*Table2[[#This Row],[Item_Price]]</f>
        <v>686</v>
      </c>
    </row>
    <row r="4681" spans="1:23" x14ac:dyDescent="0.25">
      <c r="A4681" t="s">
        <v>4786</v>
      </c>
      <c r="B4681" s="1">
        <v>45999</v>
      </c>
      <c r="C4681" t="s">
        <v>4677</v>
      </c>
      <c r="D4681">
        <v>12</v>
      </c>
      <c r="E4681">
        <v>8</v>
      </c>
      <c r="F4681" t="s">
        <v>168</v>
      </c>
      <c r="G4681" t="s">
        <v>25</v>
      </c>
      <c r="H4681" t="s">
        <v>52</v>
      </c>
      <c r="I4681" t="s">
        <v>85</v>
      </c>
      <c r="J4681" t="s">
        <v>172</v>
      </c>
      <c r="K4681" t="s">
        <v>38</v>
      </c>
      <c r="L4681">
        <v>2</v>
      </c>
      <c r="M4681">
        <v>293</v>
      </c>
      <c r="N4681">
        <v>29.3</v>
      </c>
      <c r="O4681">
        <v>20</v>
      </c>
      <c r="P4681">
        <v>586</v>
      </c>
      <c r="Q4681">
        <v>576.70000000000005</v>
      </c>
      <c r="R4681" t="s">
        <v>98</v>
      </c>
      <c r="S4681" t="s">
        <v>31</v>
      </c>
      <c r="T4681" t="s">
        <v>32</v>
      </c>
      <c r="U4681">
        <v>68</v>
      </c>
      <c r="V4681">
        <v>4.0999999999999996</v>
      </c>
      <c r="W4681">
        <f>Table2[[#This Row],[Quantity]]*Table2[[#This Row],[Item_Price]]</f>
        <v>586</v>
      </c>
    </row>
    <row r="4682" spans="1:23" x14ac:dyDescent="0.25">
      <c r="A4682" t="s">
        <v>4787</v>
      </c>
      <c r="B4682" s="1">
        <v>45999</v>
      </c>
      <c r="C4682" t="s">
        <v>4677</v>
      </c>
      <c r="D4682">
        <v>12</v>
      </c>
      <c r="E4682">
        <v>8</v>
      </c>
      <c r="F4682" t="s">
        <v>168</v>
      </c>
      <c r="G4682" t="s">
        <v>73</v>
      </c>
      <c r="H4682" t="s">
        <v>42</v>
      </c>
      <c r="I4682" t="s">
        <v>49</v>
      </c>
      <c r="J4682" t="s">
        <v>70</v>
      </c>
      <c r="K4682" t="s">
        <v>45</v>
      </c>
      <c r="L4682">
        <v>1</v>
      </c>
      <c r="M4682">
        <v>727</v>
      </c>
      <c r="N4682">
        <v>145.4</v>
      </c>
      <c r="O4682">
        <v>30</v>
      </c>
      <c r="P4682">
        <v>727</v>
      </c>
      <c r="Q4682">
        <v>611.6</v>
      </c>
      <c r="R4682" t="s">
        <v>39</v>
      </c>
      <c r="S4682" t="s">
        <v>31</v>
      </c>
      <c r="T4682" t="s">
        <v>32</v>
      </c>
      <c r="U4682">
        <v>44</v>
      </c>
      <c r="V4682">
        <v>4</v>
      </c>
      <c r="W4682">
        <f>Table2[[#This Row],[Quantity]]*Table2[[#This Row],[Item_Price]]</f>
        <v>727</v>
      </c>
    </row>
    <row r="4683" spans="1:23" x14ac:dyDescent="0.25">
      <c r="A4683" t="s">
        <v>4788</v>
      </c>
      <c r="B4683" s="1">
        <v>45999</v>
      </c>
      <c r="C4683" t="s">
        <v>4677</v>
      </c>
      <c r="D4683">
        <v>12</v>
      </c>
      <c r="E4683">
        <v>8</v>
      </c>
      <c r="F4683" t="s">
        <v>168</v>
      </c>
      <c r="G4683" t="s">
        <v>90</v>
      </c>
      <c r="H4683" t="s">
        <v>35</v>
      </c>
      <c r="I4683" t="s">
        <v>49</v>
      </c>
      <c r="J4683" t="s">
        <v>53</v>
      </c>
      <c r="K4683" t="s">
        <v>38</v>
      </c>
      <c r="L4683">
        <v>1</v>
      </c>
      <c r="M4683">
        <v>789</v>
      </c>
      <c r="N4683">
        <v>0</v>
      </c>
      <c r="O4683">
        <v>20</v>
      </c>
      <c r="P4683">
        <v>789</v>
      </c>
      <c r="Q4683">
        <v>809</v>
      </c>
      <c r="R4683" t="s">
        <v>39</v>
      </c>
      <c r="S4683" t="s">
        <v>31</v>
      </c>
      <c r="T4683" t="s">
        <v>40</v>
      </c>
      <c r="U4683">
        <v>49</v>
      </c>
      <c r="V4683">
        <v>2.5</v>
      </c>
      <c r="W4683">
        <f>Table2[[#This Row],[Quantity]]*Table2[[#This Row],[Item_Price]]</f>
        <v>789</v>
      </c>
    </row>
    <row r="4684" spans="1:23" x14ac:dyDescent="0.25">
      <c r="A4684" t="s">
        <v>4789</v>
      </c>
      <c r="B4684" s="1">
        <v>45999</v>
      </c>
      <c r="C4684" t="s">
        <v>4677</v>
      </c>
      <c r="D4684">
        <v>12</v>
      </c>
      <c r="E4684">
        <v>8</v>
      </c>
      <c r="F4684" t="s">
        <v>168</v>
      </c>
      <c r="G4684" t="s">
        <v>80</v>
      </c>
      <c r="H4684" t="s">
        <v>60</v>
      </c>
      <c r="I4684" t="s">
        <v>27</v>
      </c>
      <c r="J4684" t="s">
        <v>74</v>
      </c>
      <c r="K4684" t="s">
        <v>38</v>
      </c>
      <c r="L4684">
        <v>1</v>
      </c>
      <c r="M4684">
        <v>720</v>
      </c>
      <c r="N4684">
        <v>108</v>
      </c>
      <c r="O4684">
        <v>30</v>
      </c>
      <c r="P4684">
        <v>720</v>
      </c>
      <c r="Q4684">
        <v>642</v>
      </c>
      <c r="R4684" t="s">
        <v>30</v>
      </c>
      <c r="S4684" t="s">
        <v>31</v>
      </c>
      <c r="T4684" t="s">
        <v>32</v>
      </c>
      <c r="U4684">
        <v>65</v>
      </c>
      <c r="V4684">
        <v>4.9000000000000004</v>
      </c>
      <c r="W4684">
        <f>Table2[[#This Row],[Quantity]]*Table2[[#This Row],[Item_Price]]</f>
        <v>720</v>
      </c>
    </row>
    <row r="4685" spans="1:23" x14ac:dyDescent="0.25">
      <c r="A4685" t="s">
        <v>4790</v>
      </c>
      <c r="B4685" s="1">
        <v>45999</v>
      </c>
      <c r="C4685" t="s">
        <v>4677</v>
      </c>
      <c r="D4685">
        <v>12</v>
      </c>
      <c r="E4685">
        <v>8</v>
      </c>
      <c r="F4685" t="s">
        <v>168</v>
      </c>
      <c r="G4685" t="s">
        <v>34</v>
      </c>
      <c r="H4685" t="s">
        <v>35</v>
      </c>
      <c r="I4685" t="s">
        <v>43</v>
      </c>
      <c r="J4685" t="s">
        <v>74</v>
      </c>
      <c r="K4685" t="s">
        <v>38</v>
      </c>
      <c r="L4685">
        <v>2</v>
      </c>
      <c r="M4685">
        <v>839</v>
      </c>
      <c r="N4685">
        <v>125.85</v>
      </c>
      <c r="O4685">
        <v>30</v>
      </c>
      <c r="P4685">
        <v>1678</v>
      </c>
      <c r="Q4685">
        <v>1582.15</v>
      </c>
      <c r="R4685" t="s">
        <v>30</v>
      </c>
      <c r="S4685" t="s">
        <v>91</v>
      </c>
      <c r="T4685" t="s">
        <v>40</v>
      </c>
      <c r="U4685">
        <v>25</v>
      </c>
      <c r="W4685">
        <f>Table2[[#This Row],[Quantity]]*Table2[[#This Row],[Item_Price]]</f>
        <v>1678</v>
      </c>
    </row>
    <row r="4686" spans="1:23" x14ac:dyDescent="0.25">
      <c r="A4686" t="s">
        <v>4791</v>
      </c>
      <c r="B4686" s="1">
        <v>45999</v>
      </c>
      <c r="C4686" t="s">
        <v>4677</v>
      </c>
      <c r="D4686">
        <v>12</v>
      </c>
      <c r="E4686">
        <v>8</v>
      </c>
      <c r="F4686" t="s">
        <v>168</v>
      </c>
      <c r="G4686" t="s">
        <v>25</v>
      </c>
      <c r="H4686" t="s">
        <v>135</v>
      </c>
      <c r="I4686" t="s">
        <v>36</v>
      </c>
      <c r="J4686" t="s">
        <v>66</v>
      </c>
      <c r="K4686" t="s">
        <v>38</v>
      </c>
      <c r="L4686">
        <v>1</v>
      </c>
      <c r="M4686">
        <v>504</v>
      </c>
      <c r="N4686">
        <v>25.2</v>
      </c>
      <c r="O4686">
        <v>20</v>
      </c>
      <c r="P4686">
        <v>504</v>
      </c>
      <c r="Q4686">
        <v>498.8</v>
      </c>
      <c r="R4686" t="s">
        <v>112</v>
      </c>
      <c r="S4686" t="s">
        <v>31</v>
      </c>
      <c r="T4686" t="s">
        <v>32</v>
      </c>
      <c r="U4686">
        <v>66</v>
      </c>
      <c r="V4686">
        <v>4.2</v>
      </c>
      <c r="W4686">
        <f>Table2[[#This Row],[Quantity]]*Table2[[#This Row],[Item_Price]]</f>
        <v>504</v>
      </c>
    </row>
    <row r="4687" spans="1:23" x14ac:dyDescent="0.25">
      <c r="A4687" t="s">
        <v>4792</v>
      </c>
      <c r="B4687" s="1">
        <v>45999</v>
      </c>
      <c r="C4687" t="s">
        <v>4677</v>
      </c>
      <c r="D4687">
        <v>12</v>
      </c>
      <c r="E4687">
        <v>8</v>
      </c>
      <c r="F4687" t="s">
        <v>168</v>
      </c>
      <c r="G4687" t="s">
        <v>80</v>
      </c>
      <c r="H4687" t="s">
        <v>56</v>
      </c>
      <c r="I4687" t="s">
        <v>61</v>
      </c>
      <c r="J4687" t="s">
        <v>70</v>
      </c>
      <c r="K4687" t="s">
        <v>38</v>
      </c>
      <c r="L4687">
        <v>1</v>
      </c>
      <c r="M4687">
        <v>644</v>
      </c>
      <c r="N4687">
        <v>32.200000000000003</v>
      </c>
      <c r="O4687">
        <v>40</v>
      </c>
      <c r="P4687">
        <v>644</v>
      </c>
      <c r="Q4687">
        <v>651.79999999999995</v>
      </c>
      <c r="R4687" t="s">
        <v>75</v>
      </c>
      <c r="S4687" t="s">
        <v>31</v>
      </c>
      <c r="T4687" t="s">
        <v>40</v>
      </c>
      <c r="U4687">
        <v>21</v>
      </c>
      <c r="V4687">
        <v>3.3</v>
      </c>
      <c r="W4687">
        <f>Table2[[#This Row],[Quantity]]*Table2[[#This Row],[Item_Price]]</f>
        <v>644</v>
      </c>
    </row>
    <row r="4688" spans="1:23" x14ac:dyDescent="0.25">
      <c r="A4688" t="s">
        <v>4793</v>
      </c>
      <c r="B4688" s="1">
        <v>45999</v>
      </c>
      <c r="C4688" t="s">
        <v>4677</v>
      </c>
      <c r="D4688">
        <v>12</v>
      </c>
      <c r="E4688">
        <v>8</v>
      </c>
      <c r="F4688" t="s">
        <v>168</v>
      </c>
      <c r="G4688" t="s">
        <v>34</v>
      </c>
      <c r="H4688" t="s">
        <v>135</v>
      </c>
      <c r="I4688" t="s">
        <v>97</v>
      </c>
      <c r="J4688" t="s">
        <v>123</v>
      </c>
      <c r="K4688" t="s">
        <v>38</v>
      </c>
      <c r="L4688">
        <v>1</v>
      </c>
      <c r="M4688">
        <v>540</v>
      </c>
      <c r="N4688">
        <v>108</v>
      </c>
      <c r="O4688">
        <v>30</v>
      </c>
      <c r="P4688">
        <v>540</v>
      </c>
      <c r="Q4688">
        <v>462</v>
      </c>
      <c r="R4688" t="s">
        <v>112</v>
      </c>
      <c r="S4688" t="s">
        <v>31</v>
      </c>
      <c r="T4688" t="s">
        <v>40</v>
      </c>
      <c r="U4688">
        <v>51</v>
      </c>
      <c r="V4688">
        <v>4.0999999999999996</v>
      </c>
      <c r="W4688">
        <f>Table2[[#This Row],[Quantity]]*Table2[[#This Row],[Item_Price]]</f>
        <v>540</v>
      </c>
    </row>
    <row r="4689" spans="1:23" x14ac:dyDescent="0.25">
      <c r="A4689" t="s">
        <v>4794</v>
      </c>
      <c r="B4689" s="1">
        <v>46000</v>
      </c>
      <c r="C4689" t="s">
        <v>4677</v>
      </c>
      <c r="D4689">
        <v>12</v>
      </c>
      <c r="E4689">
        <v>9</v>
      </c>
      <c r="F4689" t="s">
        <v>178</v>
      </c>
      <c r="G4689" t="s">
        <v>73</v>
      </c>
      <c r="H4689" t="s">
        <v>65</v>
      </c>
      <c r="I4689" t="s">
        <v>49</v>
      </c>
      <c r="J4689" t="s">
        <v>70</v>
      </c>
      <c r="K4689" t="s">
        <v>45</v>
      </c>
      <c r="L4689">
        <v>3</v>
      </c>
      <c r="M4689">
        <v>320</v>
      </c>
      <c r="N4689">
        <v>48</v>
      </c>
      <c r="O4689">
        <v>40</v>
      </c>
      <c r="P4689">
        <v>960</v>
      </c>
      <c r="Q4689">
        <v>952</v>
      </c>
      <c r="R4689" t="s">
        <v>39</v>
      </c>
      <c r="S4689" t="s">
        <v>31</v>
      </c>
      <c r="T4689" t="s">
        <v>40</v>
      </c>
      <c r="U4689">
        <v>29</v>
      </c>
      <c r="V4689">
        <v>3.6</v>
      </c>
      <c r="W4689">
        <f>Table2[[#This Row],[Quantity]]*Table2[[#This Row],[Item_Price]]</f>
        <v>960</v>
      </c>
    </row>
    <row r="4690" spans="1:23" x14ac:dyDescent="0.25">
      <c r="A4690" t="s">
        <v>4795</v>
      </c>
      <c r="B4690" s="1">
        <v>46000</v>
      </c>
      <c r="C4690" t="s">
        <v>4677</v>
      </c>
      <c r="D4690">
        <v>12</v>
      </c>
      <c r="E4690">
        <v>9</v>
      </c>
      <c r="F4690" t="s">
        <v>178</v>
      </c>
      <c r="G4690" t="s">
        <v>73</v>
      </c>
      <c r="H4690" t="s">
        <v>35</v>
      </c>
      <c r="I4690" t="s">
        <v>36</v>
      </c>
      <c r="J4690" t="s">
        <v>172</v>
      </c>
      <c r="K4690" t="s">
        <v>38</v>
      </c>
      <c r="L4690">
        <v>2</v>
      </c>
      <c r="M4690">
        <v>612</v>
      </c>
      <c r="N4690">
        <v>61.2</v>
      </c>
      <c r="O4690">
        <v>0</v>
      </c>
      <c r="P4690">
        <v>1224</v>
      </c>
      <c r="Q4690">
        <v>1162.8</v>
      </c>
      <c r="R4690" t="s">
        <v>39</v>
      </c>
      <c r="S4690" t="s">
        <v>31</v>
      </c>
      <c r="T4690" t="s">
        <v>40</v>
      </c>
      <c r="U4690">
        <v>19</v>
      </c>
      <c r="V4690">
        <v>4.2</v>
      </c>
      <c r="W4690">
        <f>Table2[[#This Row],[Quantity]]*Table2[[#This Row],[Item_Price]]</f>
        <v>1224</v>
      </c>
    </row>
    <row r="4691" spans="1:23" x14ac:dyDescent="0.25">
      <c r="A4691" t="s">
        <v>4796</v>
      </c>
      <c r="B4691" s="1">
        <v>46000</v>
      </c>
      <c r="C4691" t="s">
        <v>4677</v>
      </c>
      <c r="D4691">
        <v>12</v>
      </c>
      <c r="E4691">
        <v>9</v>
      </c>
      <c r="F4691" t="s">
        <v>178</v>
      </c>
      <c r="G4691" t="s">
        <v>80</v>
      </c>
      <c r="H4691" t="s">
        <v>65</v>
      </c>
      <c r="I4691" t="s">
        <v>43</v>
      </c>
      <c r="J4691" t="s">
        <v>172</v>
      </c>
      <c r="K4691" t="s">
        <v>38</v>
      </c>
      <c r="L4691">
        <v>3</v>
      </c>
      <c r="M4691">
        <v>815</v>
      </c>
      <c r="N4691">
        <v>163</v>
      </c>
      <c r="O4691">
        <v>0</v>
      </c>
      <c r="P4691">
        <v>2445</v>
      </c>
      <c r="Q4691">
        <v>2282</v>
      </c>
      <c r="R4691" t="s">
        <v>112</v>
      </c>
      <c r="S4691" t="s">
        <v>31</v>
      </c>
      <c r="T4691" t="s">
        <v>40</v>
      </c>
      <c r="U4691">
        <v>60</v>
      </c>
      <c r="V4691">
        <v>4.5</v>
      </c>
      <c r="W4691">
        <f>Table2[[#This Row],[Quantity]]*Table2[[#This Row],[Item_Price]]</f>
        <v>2445</v>
      </c>
    </row>
    <row r="4692" spans="1:23" x14ac:dyDescent="0.25">
      <c r="A4692" t="s">
        <v>4797</v>
      </c>
      <c r="B4692" s="1">
        <v>46000</v>
      </c>
      <c r="C4692" t="s">
        <v>4677</v>
      </c>
      <c r="D4692">
        <v>12</v>
      </c>
      <c r="E4692">
        <v>9</v>
      </c>
      <c r="F4692" t="s">
        <v>178</v>
      </c>
      <c r="G4692" t="s">
        <v>84</v>
      </c>
      <c r="H4692" t="s">
        <v>52</v>
      </c>
      <c r="I4692" t="s">
        <v>27</v>
      </c>
      <c r="J4692" t="s">
        <v>78</v>
      </c>
      <c r="K4692" t="s">
        <v>38</v>
      </c>
      <c r="L4692">
        <v>1</v>
      </c>
      <c r="M4692">
        <v>218</v>
      </c>
      <c r="N4692">
        <v>0</v>
      </c>
      <c r="O4692">
        <v>30</v>
      </c>
      <c r="P4692">
        <v>218</v>
      </c>
      <c r="Q4692">
        <v>248</v>
      </c>
      <c r="R4692" t="s">
        <v>30</v>
      </c>
      <c r="S4692" t="s">
        <v>31</v>
      </c>
      <c r="T4692" t="s">
        <v>40</v>
      </c>
      <c r="U4692">
        <v>46</v>
      </c>
      <c r="V4692">
        <v>3.9</v>
      </c>
      <c r="W4692">
        <f>Table2[[#This Row],[Quantity]]*Table2[[#This Row],[Item_Price]]</f>
        <v>218</v>
      </c>
    </row>
    <row r="4693" spans="1:23" x14ac:dyDescent="0.25">
      <c r="A4693" t="s">
        <v>4798</v>
      </c>
      <c r="B4693" s="1">
        <v>46000</v>
      </c>
      <c r="C4693" t="s">
        <v>4677</v>
      </c>
      <c r="D4693">
        <v>12</v>
      </c>
      <c r="E4693">
        <v>9</v>
      </c>
      <c r="F4693" t="s">
        <v>178</v>
      </c>
      <c r="G4693" t="s">
        <v>55</v>
      </c>
      <c r="H4693" t="s">
        <v>52</v>
      </c>
      <c r="I4693" t="s">
        <v>43</v>
      </c>
      <c r="J4693" t="s">
        <v>53</v>
      </c>
      <c r="K4693" t="s">
        <v>58</v>
      </c>
      <c r="L4693">
        <v>2</v>
      </c>
      <c r="M4693">
        <v>577</v>
      </c>
      <c r="N4693">
        <v>115.4</v>
      </c>
      <c r="O4693">
        <v>30</v>
      </c>
      <c r="P4693">
        <v>1154</v>
      </c>
      <c r="Q4693">
        <v>1068.5999999999999</v>
      </c>
      <c r="R4693" t="s">
        <v>30</v>
      </c>
      <c r="S4693" t="s">
        <v>31</v>
      </c>
      <c r="T4693" t="s">
        <v>40</v>
      </c>
      <c r="U4693">
        <v>64</v>
      </c>
      <c r="V4693">
        <v>4.3</v>
      </c>
      <c r="W4693">
        <f>Table2[[#This Row],[Quantity]]*Table2[[#This Row],[Item_Price]]</f>
        <v>1154</v>
      </c>
    </row>
    <row r="4694" spans="1:23" x14ac:dyDescent="0.25">
      <c r="A4694" t="s">
        <v>4799</v>
      </c>
      <c r="B4694" s="1">
        <v>46000</v>
      </c>
      <c r="C4694" t="s">
        <v>4677</v>
      </c>
      <c r="D4694">
        <v>12</v>
      </c>
      <c r="E4694">
        <v>9</v>
      </c>
      <c r="F4694" t="s">
        <v>178</v>
      </c>
      <c r="G4694" t="s">
        <v>64</v>
      </c>
      <c r="H4694" t="s">
        <v>42</v>
      </c>
      <c r="I4694" t="s">
        <v>57</v>
      </c>
      <c r="J4694" t="s">
        <v>70</v>
      </c>
      <c r="K4694" t="s">
        <v>38</v>
      </c>
      <c r="L4694">
        <v>1</v>
      </c>
      <c r="M4694">
        <v>577</v>
      </c>
      <c r="N4694">
        <v>0</v>
      </c>
      <c r="O4694">
        <v>40</v>
      </c>
      <c r="P4694">
        <v>577</v>
      </c>
      <c r="Q4694">
        <v>617</v>
      </c>
      <c r="R4694" t="s">
        <v>98</v>
      </c>
      <c r="S4694" t="s">
        <v>110</v>
      </c>
      <c r="T4694" t="s">
        <v>40</v>
      </c>
      <c r="U4694">
        <v>62</v>
      </c>
      <c r="W4694">
        <f>Table2[[#This Row],[Quantity]]*Table2[[#This Row],[Item_Price]]</f>
        <v>577</v>
      </c>
    </row>
    <row r="4695" spans="1:23" x14ac:dyDescent="0.25">
      <c r="A4695" t="s">
        <v>4800</v>
      </c>
      <c r="B4695" s="1">
        <v>46000</v>
      </c>
      <c r="C4695" t="s">
        <v>4677</v>
      </c>
      <c r="D4695">
        <v>12</v>
      </c>
      <c r="E4695">
        <v>9</v>
      </c>
      <c r="F4695" t="s">
        <v>178</v>
      </c>
      <c r="G4695" t="s">
        <v>73</v>
      </c>
      <c r="H4695" t="s">
        <v>26</v>
      </c>
      <c r="I4695" t="s">
        <v>36</v>
      </c>
      <c r="J4695" t="s">
        <v>70</v>
      </c>
      <c r="K4695" t="s">
        <v>38</v>
      </c>
      <c r="L4695">
        <v>2</v>
      </c>
      <c r="M4695">
        <v>166</v>
      </c>
      <c r="N4695">
        <v>16.600000000000001</v>
      </c>
      <c r="O4695">
        <v>20</v>
      </c>
      <c r="P4695">
        <v>332</v>
      </c>
      <c r="Q4695">
        <v>335.4</v>
      </c>
      <c r="R4695" t="s">
        <v>39</v>
      </c>
      <c r="S4695" t="s">
        <v>31</v>
      </c>
      <c r="T4695" t="s">
        <v>40</v>
      </c>
      <c r="U4695">
        <v>35</v>
      </c>
      <c r="V4695">
        <v>2.8</v>
      </c>
      <c r="W4695">
        <f>Table2[[#This Row],[Quantity]]*Table2[[#This Row],[Item_Price]]</f>
        <v>332</v>
      </c>
    </row>
    <row r="4696" spans="1:23" x14ac:dyDescent="0.25">
      <c r="A4696" t="s">
        <v>4801</v>
      </c>
      <c r="B4696" s="1">
        <v>46000</v>
      </c>
      <c r="C4696" t="s">
        <v>4677</v>
      </c>
      <c r="D4696">
        <v>12</v>
      </c>
      <c r="E4696">
        <v>9</v>
      </c>
      <c r="F4696" t="s">
        <v>178</v>
      </c>
      <c r="G4696" t="s">
        <v>64</v>
      </c>
      <c r="H4696" t="s">
        <v>56</v>
      </c>
      <c r="I4696" t="s">
        <v>97</v>
      </c>
      <c r="J4696" t="s">
        <v>28</v>
      </c>
      <c r="K4696" t="s">
        <v>38</v>
      </c>
      <c r="L4696">
        <v>1</v>
      </c>
      <c r="M4696">
        <v>355</v>
      </c>
      <c r="N4696">
        <v>0</v>
      </c>
      <c r="O4696">
        <v>30</v>
      </c>
      <c r="P4696">
        <v>355</v>
      </c>
      <c r="Q4696">
        <v>385</v>
      </c>
      <c r="R4696" t="s">
        <v>39</v>
      </c>
      <c r="S4696" t="s">
        <v>31</v>
      </c>
      <c r="T4696" t="s">
        <v>40</v>
      </c>
      <c r="U4696">
        <v>56</v>
      </c>
      <c r="V4696">
        <v>3.8</v>
      </c>
      <c r="W4696">
        <f>Table2[[#This Row],[Quantity]]*Table2[[#This Row],[Item_Price]]</f>
        <v>355</v>
      </c>
    </row>
    <row r="4697" spans="1:23" x14ac:dyDescent="0.25">
      <c r="A4697" t="s">
        <v>4802</v>
      </c>
      <c r="B4697" s="1">
        <v>46000</v>
      </c>
      <c r="C4697" t="s">
        <v>4677</v>
      </c>
      <c r="D4697">
        <v>12</v>
      </c>
      <c r="E4697">
        <v>9</v>
      </c>
      <c r="F4697" t="s">
        <v>178</v>
      </c>
      <c r="G4697" t="s">
        <v>64</v>
      </c>
      <c r="H4697" t="s">
        <v>42</v>
      </c>
      <c r="I4697" t="s">
        <v>69</v>
      </c>
      <c r="J4697" t="s">
        <v>123</v>
      </c>
      <c r="K4697" t="s">
        <v>45</v>
      </c>
      <c r="L4697">
        <v>1</v>
      </c>
      <c r="M4697">
        <v>256</v>
      </c>
      <c r="N4697">
        <v>25.6</v>
      </c>
      <c r="O4697">
        <v>70</v>
      </c>
      <c r="P4697">
        <v>256</v>
      </c>
      <c r="Q4697">
        <v>300.39999999999998</v>
      </c>
      <c r="R4697" t="s">
        <v>75</v>
      </c>
      <c r="S4697" t="s">
        <v>31</v>
      </c>
      <c r="T4697" t="s">
        <v>40</v>
      </c>
      <c r="U4697">
        <v>34</v>
      </c>
      <c r="V4697">
        <v>4.9000000000000004</v>
      </c>
      <c r="W4697">
        <f>Table2[[#This Row],[Quantity]]*Table2[[#This Row],[Item_Price]]</f>
        <v>256</v>
      </c>
    </row>
    <row r="4698" spans="1:23" x14ac:dyDescent="0.25">
      <c r="A4698" t="s">
        <v>4803</v>
      </c>
      <c r="B4698" s="1">
        <v>46000</v>
      </c>
      <c r="C4698" t="s">
        <v>4677</v>
      </c>
      <c r="D4698">
        <v>12</v>
      </c>
      <c r="E4698">
        <v>9</v>
      </c>
      <c r="F4698" t="s">
        <v>178</v>
      </c>
      <c r="G4698" t="s">
        <v>115</v>
      </c>
      <c r="H4698" t="s">
        <v>56</v>
      </c>
      <c r="I4698" t="s">
        <v>61</v>
      </c>
      <c r="J4698" t="s">
        <v>82</v>
      </c>
      <c r="K4698" t="s">
        <v>38</v>
      </c>
      <c r="L4698">
        <v>1</v>
      </c>
      <c r="M4698">
        <v>744</v>
      </c>
      <c r="N4698">
        <v>0</v>
      </c>
      <c r="O4698">
        <v>20</v>
      </c>
      <c r="P4698">
        <v>744</v>
      </c>
      <c r="Q4698">
        <v>764</v>
      </c>
      <c r="R4698" t="s">
        <v>112</v>
      </c>
      <c r="S4698" t="s">
        <v>31</v>
      </c>
      <c r="T4698" t="s">
        <v>40</v>
      </c>
      <c r="U4698">
        <v>49</v>
      </c>
      <c r="V4698">
        <v>5</v>
      </c>
      <c r="W4698">
        <f>Table2[[#This Row],[Quantity]]*Table2[[#This Row],[Item_Price]]</f>
        <v>744</v>
      </c>
    </row>
    <row r="4699" spans="1:23" x14ac:dyDescent="0.25">
      <c r="A4699" t="s">
        <v>4804</v>
      </c>
      <c r="B4699" s="1">
        <v>46000</v>
      </c>
      <c r="C4699" t="s">
        <v>4677</v>
      </c>
      <c r="D4699">
        <v>12</v>
      </c>
      <c r="E4699">
        <v>9</v>
      </c>
      <c r="F4699" t="s">
        <v>178</v>
      </c>
      <c r="G4699" t="s">
        <v>84</v>
      </c>
      <c r="H4699" t="s">
        <v>81</v>
      </c>
      <c r="I4699" t="s">
        <v>27</v>
      </c>
      <c r="J4699" t="s">
        <v>82</v>
      </c>
      <c r="K4699" t="s">
        <v>29</v>
      </c>
      <c r="L4699">
        <v>3</v>
      </c>
      <c r="M4699">
        <v>182</v>
      </c>
      <c r="N4699">
        <v>9.1</v>
      </c>
      <c r="O4699">
        <v>0</v>
      </c>
      <c r="P4699">
        <v>546</v>
      </c>
      <c r="Q4699">
        <v>536.9</v>
      </c>
      <c r="R4699" t="s">
        <v>75</v>
      </c>
      <c r="S4699" t="s">
        <v>31</v>
      </c>
      <c r="T4699" t="s">
        <v>40</v>
      </c>
      <c r="U4699">
        <v>20</v>
      </c>
      <c r="V4699">
        <v>5</v>
      </c>
      <c r="W4699">
        <f>Table2[[#This Row],[Quantity]]*Table2[[#This Row],[Item_Price]]</f>
        <v>546</v>
      </c>
    </row>
    <row r="4700" spans="1:23" x14ac:dyDescent="0.25">
      <c r="A4700" t="s">
        <v>4805</v>
      </c>
      <c r="B4700" s="1">
        <v>46000</v>
      </c>
      <c r="C4700" t="s">
        <v>4677</v>
      </c>
      <c r="D4700">
        <v>12</v>
      </c>
      <c r="E4700">
        <v>9</v>
      </c>
      <c r="F4700" t="s">
        <v>178</v>
      </c>
      <c r="G4700" t="s">
        <v>25</v>
      </c>
      <c r="H4700" t="s">
        <v>56</v>
      </c>
      <c r="I4700" t="s">
        <v>49</v>
      </c>
      <c r="J4700" t="s">
        <v>66</v>
      </c>
      <c r="K4700" t="s">
        <v>38</v>
      </c>
      <c r="L4700">
        <v>3</v>
      </c>
      <c r="M4700">
        <v>752</v>
      </c>
      <c r="N4700">
        <v>112.8</v>
      </c>
      <c r="O4700">
        <v>40</v>
      </c>
      <c r="P4700">
        <v>2256</v>
      </c>
      <c r="Q4700">
        <v>2183.1999999999998</v>
      </c>
      <c r="R4700" t="s">
        <v>39</v>
      </c>
      <c r="S4700" t="s">
        <v>31</v>
      </c>
      <c r="T4700" t="s">
        <v>40</v>
      </c>
      <c r="U4700">
        <v>28</v>
      </c>
      <c r="V4700">
        <v>4.5</v>
      </c>
      <c r="W4700">
        <f>Table2[[#This Row],[Quantity]]*Table2[[#This Row],[Item_Price]]</f>
        <v>2256</v>
      </c>
    </row>
    <row r="4701" spans="1:23" x14ac:dyDescent="0.25">
      <c r="A4701" t="s">
        <v>4806</v>
      </c>
      <c r="B4701" s="1">
        <v>46000</v>
      </c>
      <c r="C4701" t="s">
        <v>4677</v>
      </c>
      <c r="D4701">
        <v>12</v>
      </c>
      <c r="E4701">
        <v>9</v>
      </c>
      <c r="F4701" t="s">
        <v>178</v>
      </c>
      <c r="G4701" t="s">
        <v>80</v>
      </c>
      <c r="H4701" t="s">
        <v>60</v>
      </c>
      <c r="I4701" t="s">
        <v>97</v>
      </c>
      <c r="J4701" t="s">
        <v>37</v>
      </c>
      <c r="K4701" t="s">
        <v>38</v>
      </c>
      <c r="L4701">
        <v>1</v>
      </c>
      <c r="M4701">
        <v>356</v>
      </c>
      <c r="N4701">
        <v>35.6</v>
      </c>
      <c r="O4701">
        <v>60</v>
      </c>
      <c r="P4701">
        <v>356</v>
      </c>
      <c r="Q4701">
        <v>380.4</v>
      </c>
      <c r="R4701" t="s">
        <v>30</v>
      </c>
      <c r="S4701" t="s">
        <v>31</v>
      </c>
      <c r="T4701" t="s">
        <v>32</v>
      </c>
      <c r="U4701">
        <v>54</v>
      </c>
      <c r="V4701">
        <v>4.7</v>
      </c>
      <c r="W4701">
        <f>Table2[[#This Row],[Quantity]]*Table2[[#This Row],[Item_Price]]</f>
        <v>356</v>
      </c>
    </row>
    <row r="4702" spans="1:23" x14ac:dyDescent="0.25">
      <c r="A4702" t="s">
        <v>4807</v>
      </c>
      <c r="B4702" s="1">
        <v>46001</v>
      </c>
      <c r="C4702" t="s">
        <v>4677</v>
      </c>
      <c r="D4702">
        <v>12</v>
      </c>
      <c r="E4702">
        <v>10</v>
      </c>
      <c r="F4702" t="s">
        <v>24</v>
      </c>
      <c r="G4702" t="s">
        <v>84</v>
      </c>
      <c r="H4702" t="s">
        <v>48</v>
      </c>
      <c r="I4702" t="s">
        <v>27</v>
      </c>
      <c r="J4702" t="s">
        <v>78</v>
      </c>
      <c r="K4702" t="s">
        <v>38</v>
      </c>
      <c r="L4702">
        <v>1</v>
      </c>
      <c r="M4702">
        <v>249</v>
      </c>
      <c r="N4702">
        <v>37.35</v>
      </c>
      <c r="O4702">
        <v>20</v>
      </c>
      <c r="P4702">
        <v>249</v>
      </c>
      <c r="Q4702">
        <v>231.65</v>
      </c>
      <c r="R4702" t="s">
        <v>98</v>
      </c>
      <c r="S4702" t="s">
        <v>31</v>
      </c>
      <c r="T4702" t="s">
        <v>40</v>
      </c>
      <c r="U4702">
        <v>26</v>
      </c>
      <c r="V4702">
        <v>4.5999999999999996</v>
      </c>
      <c r="W4702">
        <f>Table2[[#This Row],[Quantity]]*Table2[[#This Row],[Item_Price]]</f>
        <v>249</v>
      </c>
    </row>
    <row r="4703" spans="1:23" x14ac:dyDescent="0.25">
      <c r="A4703" t="s">
        <v>4808</v>
      </c>
      <c r="B4703" s="1">
        <v>46001</v>
      </c>
      <c r="C4703" t="s">
        <v>4677</v>
      </c>
      <c r="D4703">
        <v>12</v>
      </c>
      <c r="E4703">
        <v>10</v>
      </c>
      <c r="F4703" t="s">
        <v>24</v>
      </c>
      <c r="G4703" t="s">
        <v>55</v>
      </c>
      <c r="H4703" t="s">
        <v>56</v>
      </c>
      <c r="I4703" t="s">
        <v>103</v>
      </c>
      <c r="J4703" t="s">
        <v>66</v>
      </c>
      <c r="K4703" t="s">
        <v>38</v>
      </c>
      <c r="L4703">
        <v>3</v>
      </c>
      <c r="M4703">
        <v>170</v>
      </c>
      <c r="N4703">
        <v>25.5</v>
      </c>
      <c r="O4703">
        <v>50</v>
      </c>
      <c r="P4703">
        <v>510</v>
      </c>
      <c r="Q4703">
        <v>534.5</v>
      </c>
      <c r="R4703" t="s">
        <v>39</v>
      </c>
      <c r="S4703" t="s">
        <v>31</v>
      </c>
      <c r="T4703" t="s">
        <v>40</v>
      </c>
      <c r="U4703">
        <v>38</v>
      </c>
      <c r="V4703">
        <v>4.0999999999999996</v>
      </c>
      <c r="W4703">
        <f>Table2[[#This Row],[Quantity]]*Table2[[#This Row],[Item_Price]]</f>
        <v>510</v>
      </c>
    </row>
    <row r="4704" spans="1:23" x14ac:dyDescent="0.25">
      <c r="A4704" t="s">
        <v>4809</v>
      </c>
      <c r="B4704" s="1">
        <v>46001</v>
      </c>
      <c r="C4704" t="s">
        <v>4677</v>
      </c>
      <c r="D4704">
        <v>12</v>
      </c>
      <c r="E4704">
        <v>10</v>
      </c>
      <c r="F4704" t="s">
        <v>24</v>
      </c>
      <c r="G4704" t="s">
        <v>25</v>
      </c>
      <c r="H4704" t="s">
        <v>135</v>
      </c>
      <c r="I4704" t="s">
        <v>97</v>
      </c>
      <c r="J4704" t="s">
        <v>94</v>
      </c>
      <c r="K4704" t="s">
        <v>29</v>
      </c>
      <c r="L4704">
        <v>2</v>
      </c>
      <c r="M4704">
        <v>436</v>
      </c>
      <c r="N4704">
        <v>87.2</v>
      </c>
      <c r="O4704">
        <v>50</v>
      </c>
      <c r="P4704">
        <v>872</v>
      </c>
      <c r="Q4704">
        <v>834.8</v>
      </c>
      <c r="R4704" t="s">
        <v>112</v>
      </c>
      <c r="S4704" t="s">
        <v>31</v>
      </c>
      <c r="T4704" t="s">
        <v>32</v>
      </c>
      <c r="U4704">
        <v>33</v>
      </c>
      <c r="V4704">
        <v>5</v>
      </c>
      <c r="W4704">
        <f>Table2[[#This Row],[Quantity]]*Table2[[#This Row],[Item_Price]]</f>
        <v>872</v>
      </c>
    </row>
    <row r="4705" spans="1:23" x14ac:dyDescent="0.25">
      <c r="A4705" t="s">
        <v>4810</v>
      </c>
      <c r="B4705" s="1">
        <v>46001</v>
      </c>
      <c r="C4705" t="s">
        <v>4677</v>
      </c>
      <c r="D4705">
        <v>12</v>
      </c>
      <c r="E4705">
        <v>10</v>
      </c>
      <c r="F4705" t="s">
        <v>24</v>
      </c>
      <c r="G4705" t="s">
        <v>84</v>
      </c>
      <c r="H4705" t="s">
        <v>81</v>
      </c>
      <c r="I4705" t="s">
        <v>49</v>
      </c>
      <c r="J4705" t="s">
        <v>53</v>
      </c>
      <c r="K4705" t="s">
        <v>38</v>
      </c>
      <c r="L4705">
        <v>2</v>
      </c>
      <c r="M4705">
        <v>807</v>
      </c>
      <c r="N4705">
        <v>201.75</v>
      </c>
      <c r="O4705">
        <v>70</v>
      </c>
      <c r="P4705">
        <v>1614</v>
      </c>
      <c r="Q4705">
        <v>1482.25</v>
      </c>
      <c r="R4705" t="s">
        <v>30</v>
      </c>
      <c r="S4705" t="s">
        <v>31</v>
      </c>
      <c r="T4705" t="s">
        <v>40</v>
      </c>
      <c r="U4705">
        <v>28</v>
      </c>
      <c r="V4705">
        <v>4.9000000000000004</v>
      </c>
      <c r="W4705">
        <f>Table2[[#This Row],[Quantity]]*Table2[[#This Row],[Item_Price]]</f>
        <v>1614</v>
      </c>
    </row>
    <row r="4706" spans="1:23" x14ac:dyDescent="0.25">
      <c r="A4706" t="s">
        <v>4811</v>
      </c>
      <c r="B4706" s="1">
        <v>46001</v>
      </c>
      <c r="C4706" t="s">
        <v>4677</v>
      </c>
      <c r="D4706">
        <v>12</v>
      </c>
      <c r="E4706">
        <v>10</v>
      </c>
      <c r="F4706" t="s">
        <v>24</v>
      </c>
      <c r="G4706" t="s">
        <v>115</v>
      </c>
      <c r="H4706" t="s">
        <v>81</v>
      </c>
      <c r="I4706" t="s">
        <v>36</v>
      </c>
      <c r="J4706" t="s">
        <v>101</v>
      </c>
      <c r="K4706" t="s">
        <v>38</v>
      </c>
      <c r="L4706">
        <v>1</v>
      </c>
      <c r="M4706">
        <v>604</v>
      </c>
      <c r="N4706">
        <v>30.2</v>
      </c>
      <c r="O4706">
        <v>0</v>
      </c>
      <c r="P4706">
        <v>604</v>
      </c>
      <c r="Q4706">
        <v>573.79999999999995</v>
      </c>
      <c r="R4706" t="s">
        <v>30</v>
      </c>
      <c r="S4706" t="s">
        <v>31</v>
      </c>
      <c r="T4706" t="s">
        <v>32</v>
      </c>
      <c r="U4706">
        <v>43</v>
      </c>
      <c r="V4706">
        <v>4.3</v>
      </c>
      <c r="W4706">
        <f>Table2[[#This Row],[Quantity]]*Table2[[#This Row],[Item_Price]]</f>
        <v>604</v>
      </c>
    </row>
    <row r="4707" spans="1:23" x14ac:dyDescent="0.25">
      <c r="A4707" t="s">
        <v>4812</v>
      </c>
      <c r="B4707" s="1">
        <v>46001</v>
      </c>
      <c r="C4707" t="s">
        <v>4677</v>
      </c>
      <c r="D4707">
        <v>12</v>
      </c>
      <c r="E4707">
        <v>10</v>
      </c>
      <c r="F4707" t="s">
        <v>24</v>
      </c>
      <c r="G4707" t="s">
        <v>80</v>
      </c>
      <c r="H4707" t="s">
        <v>35</v>
      </c>
      <c r="I4707" t="s">
        <v>49</v>
      </c>
      <c r="J4707" t="s">
        <v>44</v>
      </c>
      <c r="K4707" t="s">
        <v>38</v>
      </c>
      <c r="L4707">
        <v>1</v>
      </c>
      <c r="M4707">
        <v>441</v>
      </c>
      <c r="N4707">
        <v>44.1</v>
      </c>
      <c r="O4707">
        <v>50</v>
      </c>
      <c r="P4707">
        <v>441</v>
      </c>
      <c r="Q4707">
        <v>446.9</v>
      </c>
      <c r="R4707" t="s">
        <v>98</v>
      </c>
      <c r="S4707" t="s">
        <v>91</v>
      </c>
      <c r="T4707" t="s">
        <v>40</v>
      </c>
      <c r="U4707">
        <v>37</v>
      </c>
      <c r="W4707">
        <f>Table2[[#This Row],[Quantity]]*Table2[[#This Row],[Item_Price]]</f>
        <v>441</v>
      </c>
    </row>
    <row r="4708" spans="1:23" x14ac:dyDescent="0.25">
      <c r="A4708" t="s">
        <v>4813</v>
      </c>
      <c r="B4708" s="1">
        <v>46001</v>
      </c>
      <c r="C4708" t="s">
        <v>4677</v>
      </c>
      <c r="D4708">
        <v>12</v>
      </c>
      <c r="E4708">
        <v>10</v>
      </c>
      <c r="F4708" t="s">
        <v>24</v>
      </c>
      <c r="G4708" t="s">
        <v>80</v>
      </c>
      <c r="H4708" t="s">
        <v>81</v>
      </c>
      <c r="I4708" t="s">
        <v>85</v>
      </c>
      <c r="J4708" t="s">
        <v>123</v>
      </c>
      <c r="K4708" t="s">
        <v>38</v>
      </c>
      <c r="L4708">
        <v>1</v>
      </c>
      <c r="M4708">
        <v>445</v>
      </c>
      <c r="N4708">
        <v>22.25</v>
      </c>
      <c r="O4708">
        <v>20</v>
      </c>
      <c r="P4708">
        <v>445</v>
      </c>
      <c r="Q4708">
        <v>442.75</v>
      </c>
      <c r="R4708" t="s">
        <v>112</v>
      </c>
      <c r="S4708" t="s">
        <v>31</v>
      </c>
      <c r="T4708" t="s">
        <v>40</v>
      </c>
      <c r="U4708">
        <v>47</v>
      </c>
      <c r="V4708">
        <v>4.4000000000000004</v>
      </c>
      <c r="W4708">
        <f>Table2[[#This Row],[Quantity]]*Table2[[#This Row],[Item_Price]]</f>
        <v>445</v>
      </c>
    </row>
    <row r="4709" spans="1:23" x14ac:dyDescent="0.25">
      <c r="A4709" t="s">
        <v>4814</v>
      </c>
      <c r="B4709" s="1">
        <v>46001</v>
      </c>
      <c r="C4709" t="s">
        <v>4677</v>
      </c>
      <c r="D4709">
        <v>12</v>
      </c>
      <c r="E4709">
        <v>10</v>
      </c>
      <c r="F4709" t="s">
        <v>24</v>
      </c>
      <c r="G4709" t="s">
        <v>73</v>
      </c>
      <c r="H4709" t="s">
        <v>81</v>
      </c>
      <c r="I4709" t="s">
        <v>57</v>
      </c>
      <c r="J4709" t="s">
        <v>50</v>
      </c>
      <c r="K4709" t="s">
        <v>38</v>
      </c>
      <c r="L4709">
        <v>1</v>
      </c>
      <c r="M4709">
        <v>772</v>
      </c>
      <c r="N4709">
        <v>115.8</v>
      </c>
      <c r="O4709">
        <v>60</v>
      </c>
      <c r="P4709">
        <v>772</v>
      </c>
      <c r="Q4709">
        <v>716.2</v>
      </c>
      <c r="R4709" t="s">
        <v>30</v>
      </c>
      <c r="S4709" t="s">
        <v>31</v>
      </c>
      <c r="T4709" t="s">
        <v>40</v>
      </c>
      <c r="U4709">
        <v>26</v>
      </c>
      <c r="V4709">
        <v>4.2</v>
      </c>
      <c r="W4709">
        <f>Table2[[#This Row],[Quantity]]*Table2[[#This Row],[Item_Price]]</f>
        <v>772</v>
      </c>
    </row>
    <row r="4710" spans="1:23" x14ac:dyDescent="0.25">
      <c r="A4710" t="s">
        <v>4815</v>
      </c>
      <c r="B4710" s="1">
        <v>46001</v>
      </c>
      <c r="C4710" t="s">
        <v>4677</v>
      </c>
      <c r="D4710">
        <v>12</v>
      </c>
      <c r="E4710">
        <v>10</v>
      </c>
      <c r="F4710" t="s">
        <v>24</v>
      </c>
      <c r="G4710" t="s">
        <v>64</v>
      </c>
      <c r="H4710" t="s">
        <v>108</v>
      </c>
      <c r="I4710" t="s">
        <v>36</v>
      </c>
      <c r="J4710" t="s">
        <v>66</v>
      </c>
      <c r="K4710" t="s">
        <v>58</v>
      </c>
      <c r="L4710">
        <v>1</v>
      </c>
      <c r="M4710">
        <v>444</v>
      </c>
      <c r="N4710">
        <v>111</v>
      </c>
      <c r="O4710">
        <v>50</v>
      </c>
      <c r="P4710">
        <v>444</v>
      </c>
      <c r="Q4710">
        <v>383</v>
      </c>
      <c r="R4710" t="s">
        <v>39</v>
      </c>
      <c r="S4710" t="s">
        <v>31</v>
      </c>
      <c r="T4710" t="s">
        <v>40</v>
      </c>
      <c r="U4710">
        <v>57</v>
      </c>
      <c r="V4710">
        <v>3.2</v>
      </c>
      <c r="W4710">
        <f>Table2[[#This Row],[Quantity]]*Table2[[#This Row],[Item_Price]]</f>
        <v>444</v>
      </c>
    </row>
    <row r="4711" spans="1:23" x14ac:dyDescent="0.25">
      <c r="A4711" t="s">
        <v>4816</v>
      </c>
      <c r="B4711" s="1">
        <v>46001</v>
      </c>
      <c r="C4711" t="s">
        <v>4677</v>
      </c>
      <c r="D4711">
        <v>12</v>
      </c>
      <c r="E4711">
        <v>10</v>
      </c>
      <c r="F4711" t="s">
        <v>24</v>
      </c>
      <c r="G4711" t="s">
        <v>34</v>
      </c>
      <c r="H4711" t="s">
        <v>81</v>
      </c>
      <c r="I4711" t="s">
        <v>27</v>
      </c>
      <c r="J4711" t="s">
        <v>53</v>
      </c>
      <c r="K4711" t="s">
        <v>45</v>
      </c>
      <c r="L4711">
        <v>1</v>
      </c>
      <c r="M4711">
        <v>884</v>
      </c>
      <c r="N4711">
        <v>88.4</v>
      </c>
      <c r="O4711">
        <v>40</v>
      </c>
      <c r="P4711">
        <v>884</v>
      </c>
      <c r="Q4711">
        <v>835.6</v>
      </c>
      <c r="R4711" t="s">
        <v>30</v>
      </c>
      <c r="S4711" t="s">
        <v>31</v>
      </c>
      <c r="T4711" t="s">
        <v>40</v>
      </c>
      <c r="U4711">
        <v>34</v>
      </c>
      <c r="V4711">
        <v>3.7</v>
      </c>
      <c r="W4711">
        <f>Table2[[#This Row],[Quantity]]*Table2[[#This Row],[Item_Price]]</f>
        <v>884</v>
      </c>
    </row>
    <row r="4712" spans="1:23" x14ac:dyDescent="0.25">
      <c r="A4712" t="s">
        <v>4817</v>
      </c>
      <c r="B4712" s="1">
        <v>46001</v>
      </c>
      <c r="C4712" t="s">
        <v>4677</v>
      </c>
      <c r="D4712">
        <v>12</v>
      </c>
      <c r="E4712">
        <v>10</v>
      </c>
      <c r="F4712" t="s">
        <v>24</v>
      </c>
      <c r="G4712" t="s">
        <v>25</v>
      </c>
      <c r="H4712" t="s">
        <v>105</v>
      </c>
      <c r="I4712" t="s">
        <v>103</v>
      </c>
      <c r="J4712" t="s">
        <v>37</v>
      </c>
      <c r="K4712" t="s">
        <v>38</v>
      </c>
      <c r="L4712">
        <v>1</v>
      </c>
      <c r="M4712">
        <v>349</v>
      </c>
      <c r="N4712">
        <v>52.35</v>
      </c>
      <c r="O4712">
        <v>50</v>
      </c>
      <c r="P4712">
        <v>349</v>
      </c>
      <c r="Q4712">
        <v>346.65</v>
      </c>
      <c r="R4712" t="s">
        <v>112</v>
      </c>
      <c r="S4712" t="s">
        <v>31</v>
      </c>
      <c r="T4712" t="s">
        <v>40</v>
      </c>
      <c r="U4712">
        <v>67</v>
      </c>
      <c r="V4712">
        <v>5</v>
      </c>
      <c r="W4712">
        <f>Table2[[#This Row],[Quantity]]*Table2[[#This Row],[Item_Price]]</f>
        <v>349</v>
      </c>
    </row>
    <row r="4713" spans="1:23" x14ac:dyDescent="0.25">
      <c r="A4713" t="s">
        <v>4818</v>
      </c>
      <c r="B4713" s="1">
        <v>46001</v>
      </c>
      <c r="C4713" t="s">
        <v>4677</v>
      </c>
      <c r="D4713">
        <v>12</v>
      </c>
      <c r="E4713">
        <v>10</v>
      </c>
      <c r="F4713" t="s">
        <v>24</v>
      </c>
      <c r="G4713" t="s">
        <v>25</v>
      </c>
      <c r="H4713" t="s">
        <v>56</v>
      </c>
      <c r="I4713" t="s">
        <v>103</v>
      </c>
      <c r="J4713" t="s">
        <v>44</v>
      </c>
      <c r="K4713" t="s">
        <v>45</v>
      </c>
      <c r="L4713">
        <v>1</v>
      </c>
      <c r="M4713">
        <v>325</v>
      </c>
      <c r="N4713">
        <v>32.5</v>
      </c>
      <c r="O4713">
        <v>0</v>
      </c>
      <c r="P4713">
        <v>325</v>
      </c>
      <c r="Q4713">
        <v>292.5</v>
      </c>
      <c r="R4713" t="s">
        <v>39</v>
      </c>
      <c r="S4713" t="s">
        <v>31</v>
      </c>
      <c r="T4713" t="s">
        <v>40</v>
      </c>
      <c r="U4713">
        <v>48</v>
      </c>
      <c r="V4713">
        <v>5</v>
      </c>
      <c r="W4713">
        <f>Table2[[#This Row],[Quantity]]*Table2[[#This Row],[Item_Price]]</f>
        <v>325</v>
      </c>
    </row>
    <row r="4714" spans="1:23" x14ac:dyDescent="0.25">
      <c r="A4714" t="s">
        <v>4819</v>
      </c>
      <c r="B4714" s="1">
        <v>46001</v>
      </c>
      <c r="C4714" t="s">
        <v>4677</v>
      </c>
      <c r="D4714">
        <v>12</v>
      </c>
      <c r="E4714">
        <v>10</v>
      </c>
      <c r="F4714" t="s">
        <v>24</v>
      </c>
      <c r="G4714" t="s">
        <v>80</v>
      </c>
      <c r="H4714" t="s">
        <v>105</v>
      </c>
      <c r="I4714" t="s">
        <v>36</v>
      </c>
      <c r="J4714" t="s">
        <v>62</v>
      </c>
      <c r="K4714" t="s">
        <v>38</v>
      </c>
      <c r="L4714">
        <v>1</v>
      </c>
      <c r="M4714">
        <v>371</v>
      </c>
      <c r="N4714">
        <v>92.75</v>
      </c>
      <c r="O4714">
        <v>40</v>
      </c>
      <c r="P4714">
        <v>371</v>
      </c>
      <c r="Q4714">
        <v>318.25</v>
      </c>
      <c r="R4714" t="s">
        <v>112</v>
      </c>
      <c r="S4714" t="s">
        <v>31</v>
      </c>
      <c r="T4714" t="s">
        <v>40</v>
      </c>
      <c r="U4714">
        <v>37</v>
      </c>
      <c r="V4714">
        <v>3.2</v>
      </c>
      <c r="W4714">
        <f>Table2[[#This Row],[Quantity]]*Table2[[#This Row],[Item_Price]]</f>
        <v>371</v>
      </c>
    </row>
    <row r="4715" spans="1:23" x14ac:dyDescent="0.25">
      <c r="A4715" t="s">
        <v>4820</v>
      </c>
      <c r="B4715" s="1">
        <v>46001</v>
      </c>
      <c r="C4715" t="s">
        <v>4677</v>
      </c>
      <c r="D4715">
        <v>12</v>
      </c>
      <c r="E4715">
        <v>10</v>
      </c>
      <c r="F4715" t="s">
        <v>24</v>
      </c>
      <c r="G4715" t="s">
        <v>80</v>
      </c>
      <c r="H4715" t="s">
        <v>81</v>
      </c>
      <c r="I4715" t="s">
        <v>97</v>
      </c>
      <c r="J4715" t="s">
        <v>44</v>
      </c>
      <c r="K4715" t="s">
        <v>45</v>
      </c>
      <c r="L4715">
        <v>2</v>
      </c>
      <c r="M4715">
        <v>205</v>
      </c>
      <c r="N4715">
        <v>20.5</v>
      </c>
      <c r="O4715">
        <v>60</v>
      </c>
      <c r="P4715">
        <v>410</v>
      </c>
      <c r="Q4715">
        <v>449.5</v>
      </c>
      <c r="R4715" t="s">
        <v>112</v>
      </c>
      <c r="S4715" t="s">
        <v>31</v>
      </c>
      <c r="T4715" t="s">
        <v>32</v>
      </c>
      <c r="U4715">
        <v>50</v>
      </c>
      <c r="V4715">
        <v>3.5</v>
      </c>
      <c r="W4715">
        <f>Table2[[#This Row],[Quantity]]*Table2[[#This Row],[Item_Price]]</f>
        <v>410</v>
      </c>
    </row>
    <row r="4716" spans="1:23" x14ac:dyDescent="0.25">
      <c r="A4716" t="s">
        <v>4821</v>
      </c>
      <c r="B4716" s="1">
        <v>46001</v>
      </c>
      <c r="C4716" t="s">
        <v>4677</v>
      </c>
      <c r="D4716">
        <v>12</v>
      </c>
      <c r="E4716">
        <v>10</v>
      </c>
      <c r="F4716" t="s">
        <v>24</v>
      </c>
      <c r="G4716" t="s">
        <v>96</v>
      </c>
      <c r="H4716" t="s">
        <v>60</v>
      </c>
      <c r="I4716" t="s">
        <v>49</v>
      </c>
      <c r="J4716" t="s">
        <v>62</v>
      </c>
      <c r="K4716" t="s">
        <v>45</v>
      </c>
      <c r="L4716">
        <v>1</v>
      </c>
      <c r="M4716">
        <v>186</v>
      </c>
      <c r="N4716">
        <v>18.600000000000001</v>
      </c>
      <c r="O4716">
        <v>0</v>
      </c>
      <c r="P4716">
        <v>186</v>
      </c>
      <c r="Q4716">
        <v>167.4</v>
      </c>
      <c r="R4716" t="s">
        <v>112</v>
      </c>
      <c r="S4716" t="s">
        <v>31</v>
      </c>
      <c r="T4716" t="s">
        <v>40</v>
      </c>
      <c r="U4716">
        <v>28</v>
      </c>
      <c r="V4716">
        <v>2.4</v>
      </c>
      <c r="W4716">
        <f>Table2[[#This Row],[Quantity]]*Table2[[#This Row],[Item_Price]]</f>
        <v>186</v>
      </c>
    </row>
    <row r="4717" spans="1:23" x14ac:dyDescent="0.25">
      <c r="A4717" t="s">
        <v>4822</v>
      </c>
      <c r="B4717" s="1">
        <v>46001</v>
      </c>
      <c r="C4717" t="s">
        <v>4677</v>
      </c>
      <c r="D4717">
        <v>12</v>
      </c>
      <c r="E4717">
        <v>10</v>
      </c>
      <c r="F4717" t="s">
        <v>24</v>
      </c>
      <c r="G4717" t="s">
        <v>34</v>
      </c>
      <c r="H4717" t="s">
        <v>42</v>
      </c>
      <c r="I4717" t="s">
        <v>69</v>
      </c>
      <c r="J4717" t="s">
        <v>78</v>
      </c>
      <c r="K4717" t="s">
        <v>38</v>
      </c>
      <c r="L4717">
        <v>1</v>
      </c>
      <c r="M4717">
        <v>712</v>
      </c>
      <c r="N4717">
        <v>71.2</v>
      </c>
      <c r="O4717">
        <v>30</v>
      </c>
      <c r="P4717">
        <v>712</v>
      </c>
      <c r="Q4717">
        <v>670.8</v>
      </c>
      <c r="R4717" t="s">
        <v>39</v>
      </c>
      <c r="S4717" t="s">
        <v>31</v>
      </c>
      <c r="T4717" t="s">
        <v>32</v>
      </c>
      <c r="U4717">
        <v>48</v>
      </c>
      <c r="V4717">
        <v>4.3</v>
      </c>
      <c r="W4717">
        <f>Table2[[#This Row],[Quantity]]*Table2[[#This Row],[Item_Price]]</f>
        <v>712</v>
      </c>
    </row>
    <row r="4718" spans="1:23" x14ac:dyDescent="0.25">
      <c r="A4718" t="s">
        <v>4823</v>
      </c>
      <c r="B4718" s="1">
        <v>46002</v>
      </c>
      <c r="C4718" t="s">
        <v>4677</v>
      </c>
      <c r="D4718">
        <v>12</v>
      </c>
      <c r="E4718">
        <v>11</v>
      </c>
      <c r="F4718" t="s">
        <v>88</v>
      </c>
      <c r="G4718" t="s">
        <v>73</v>
      </c>
      <c r="H4718" t="s">
        <v>105</v>
      </c>
      <c r="I4718" t="s">
        <v>61</v>
      </c>
      <c r="J4718" t="s">
        <v>123</v>
      </c>
      <c r="K4718" t="s">
        <v>38</v>
      </c>
      <c r="L4718">
        <v>1</v>
      </c>
      <c r="M4718">
        <v>279</v>
      </c>
      <c r="N4718">
        <v>41.85</v>
      </c>
      <c r="O4718">
        <v>20</v>
      </c>
      <c r="P4718">
        <v>279</v>
      </c>
      <c r="Q4718">
        <v>257.14999999999998</v>
      </c>
      <c r="R4718" t="s">
        <v>75</v>
      </c>
      <c r="S4718" t="s">
        <v>31</v>
      </c>
      <c r="T4718" t="s">
        <v>40</v>
      </c>
      <c r="U4718">
        <v>45</v>
      </c>
      <c r="V4718">
        <v>2.9</v>
      </c>
      <c r="W4718">
        <f>Table2[[#This Row],[Quantity]]*Table2[[#This Row],[Item_Price]]</f>
        <v>279</v>
      </c>
    </row>
    <row r="4719" spans="1:23" x14ac:dyDescent="0.25">
      <c r="A4719" t="s">
        <v>4824</v>
      </c>
      <c r="B4719" s="1">
        <v>46002</v>
      </c>
      <c r="C4719" t="s">
        <v>4677</v>
      </c>
      <c r="D4719">
        <v>12</v>
      </c>
      <c r="E4719">
        <v>11</v>
      </c>
      <c r="F4719" t="s">
        <v>88</v>
      </c>
      <c r="G4719" t="s">
        <v>34</v>
      </c>
      <c r="H4719" t="s">
        <v>26</v>
      </c>
      <c r="I4719" t="s">
        <v>43</v>
      </c>
      <c r="J4719" t="s">
        <v>82</v>
      </c>
      <c r="K4719" t="s">
        <v>38</v>
      </c>
      <c r="L4719">
        <v>3</v>
      </c>
      <c r="M4719">
        <v>420</v>
      </c>
      <c r="N4719">
        <v>0</v>
      </c>
      <c r="O4719">
        <v>70</v>
      </c>
      <c r="P4719">
        <v>1260</v>
      </c>
      <c r="Q4719">
        <v>1330</v>
      </c>
      <c r="R4719" t="s">
        <v>39</v>
      </c>
      <c r="S4719" t="s">
        <v>31</v>
      </c>
      <c r="T4719" t="s">
        <v>40</v>
      </c>
      <c r="U4719">
        <v>68</v>
      </c>
      <c r="V4719">
        <v>3.9</v>
      </c>
      <c r="W4719">
        <f>Table2[[#This Row],[Quantity]]*Table2[[#This Row],[Item_Price]]</f>
        <v>1260</v>
      </c>
    </row>
    <row r="4720" spans="1:23" x14ac:dyDescent="0.25">
      <c r="A4720" t="s">
        <v>4825</v>
      </c>
      <c r="B4720" s="1">
        <v>46002</v>
      </c>
      <c r="C4720" t="s">
        <v>4677</v>
      </c>
      <c r="D4720">
        <v>12</v>
      </c>
      <c r="E4720">
        <v>11</v>
      </c>
      <c r="F4720" t="s">
        <v>88</v>
      </c>
      <c r="G4720" t="s">
        <v>73</v>
      </c>
      <c r="H4720" t="s">
        <v>81</v>
      </c>
      <c r="I4720" t="s">
        <v>103</v>
      </c>
      <c r="J4720" t="s">
        <v>119</v>
      </c>
      <c r="K4720" t="s">
        <v>38</v>
      </c>
      <c r="L4720">
        <v>2</v>
      </c>
      <c r="M4720">
        <v>826</v>
      </c>
      <c r="N4720">
        <v>41.3</v>
      </c>
      <c r="O4720">
        <v>20</v>
      </c>
      <c r="P4720">
        <v>1652</v>
      </c>
      <c r="Q4720">
        <v>1630.7</v>
      </c>
      <c r="R4720" t="s">
        <v>30</v>
      </c>
      <c r="S4720" t="s">
        <v>31</v>
      </c>
      <c r="T4720" t="s">
        <v>32</v>
      </c>
      <c r="U4720">
        <v>34</v>
      </c>
      <c r="V4720">
        <v>3.7</v>
      </c>
      <c r="W4720">
        <f>Table2[[#This Row],[Quantity]]*Table2[[#This Row],[Item_Price]]</f>
        <v>1652</v>
      </c>
    </row>
    <row r="4721" spans="1:23" x14ac:dyDescent="0.25">
      <c r="A4721" t="s">
        <v>4826</v>
      </c>
      <c r="B4721" s="1">
        <v>46002</v>
      </c>
      <c r="C4721" t="s">
        <v>4677</v>
      </c>
      <c r="D4721">
        <v>12</v>
      </c>
      <c r="E4721">
        <v>11</v>
      </c>
      <c r="F4721" t="s">
        <v>88</v>
      </c>
      <c r="G4721" t="s">
        <v>34</v>
      </c>
      <c r="H4721" t="s">
        <v>108</v>
      </c>
      <c r="I4721" t="s">
        <v>43</v>
      </c>
      <c r="J4721" t="s">
        <v>70</v>
      </c>
      <c r="K4721" t="s">
        <v>38</v>
      </c>
      <c r="L4721">
        <v>1</v>
      </c>
      <c r="M4721">
        <v>648</v>
      </c>
      <c r="N4721">
        <v>32.4</v>
      </c>
      <c r="O4721">
        <v>40</v>
      </c>
      <c r="P4721">
        <v>648</v>
      </c>
      <c r="Q4721">
        <v>655.6</v>
      </c>
      <c r="R4721" t="s">
        <v>112</v>
      </c>
      <c r="S4721" t="s">
        <v>31</v>
      </c>
      <c r="T4721" t="s">
        <v>40</v>
      </c>
      <c r="U4721">
        <v>37</v>
      </c>
      <c r="V4721">
        <v>3.9</v>
      </c>
      <c r="W4721">
        <f>Table2[[#This Row],[Quantity]]*Table2[[#This Row],[Item_Price]]</f>
        <v>648</v>
      </c>
    </row>
    <row r="4722" spans="1:23" x14ac:dyDescent="0.25">
      <c r="A4722" t="s">
        <v>4827</v>
      </c>
      <c r="B4722" s="1">
        <v>46002</v>
      </c>
      <c r="C4722" t="s">
        <v>4677</v>
      </c>
      <c r="D4722">
        <v>12</v>
      </c>
      <c r="E4722">
        <v>11</v>
      </c>
      <c r="F4722" t="s">
        <v>88</v>
      </c>
      <c r="G4722" t="s">
        <v>80</v>
      </c>
      <c r="H4722" t="s">
        <v>60</v>
      </c>
      <c r="I4722" t="s">
        <v>61</v>
      </c>
      <c r="J4722" t="s">
        <v>44</v>
      </c>
      <c r="K4722" t="s">
        <v>38</v>
      </c>
      <c r="L4722">
        <v>1</v>
      </c>
      <c r="M4722">
        <v>232</v>
      </c>
      <c r="N4722">
        <v>34.799999999999997</v>
      </c>
      <c r="O4722">
        <v>50</v>
      </c>
      <c r="P4722">
        <v>232</v>
      </c>
      <c r="Q4722">
        <v>247.2</v>
      </c>
      <c r="R4722" t="s">
        <v>98</v>
      </c>
      <c r="S4722" t="s">
        <v>31</v>
      </c>
      <c r="T4722" t="s">
        <v>32</v>
      </c>
      <c r="U4722">
        <v>23</v>
      </c>
      <c r="V4722">
        <v>3.6</v>
      </c>
      <c r="W4722">
        <f>Table2[[#This Row],[Quantity]]*Table2[[#This Row],[Item_Price]]</f>
        <v>232</v>
      </c>
    </row>
    <row r="4723" spans="1:23" x14ac:dyDescent="0.25">
      <c r="A4723" t="s">
        <v>4828</v>
      </c>
      <c r="B4723" s="1">
        <v>46002</v>
      </c>
      <c r="C4723" t="s">
        <v>4677</v>
      </c>
      <c r="D4723">
        <v>12</v>
      </c>
      <c r="E4723">
        <v>11</v>
      </c>
      <c r="F4723" t="s">
        <v>88</v>
      </c>
      <c r="G4723" t="s">
        <v>96</v>
      </c>
      <c r="H4723" t="s">
        <v>60</v>
      </c>
      <c r="I4723" t="s">
        <v>85</v>
      </c>
      <c r="J4723" t="s">
        <v>44</v>
      </c>
      <c r="K4723" t="s">
        <v>38</v>
      </c>
      <c r="L4723">
        <v>3</v>
      </c>
      <c r="M4723">
        <v>575</v>
      </c>
      <c r="N4723">
        <v>57.5</v>
      </c>
      <c r="O4723">
        <v>0</v>
      </c>
      <c r="P4723">
        <v>1725</v>
      </c>
      <c r="Q4723">
        <v>1667.5</v>
      </c>
      <c r="R4723" t="s">
        <v>39</v>
      </c>
      <c r="S4723" t="s">
        <v>46</v>
      </c>
      <c r="T4723" t="s">
        <v>32</v>
      </c>
      <c r="U4723">
        <v>43</v>
      </c>
      <c r="W4723">
        <f>Table2[[#This Row],[Quantity]]*Table2[[#This Row],[Item_Price]]</f>
        <v>1725</v>
      </c>
    </row>
    <row r="4724" spans="1:23" x14ac:dyDescent="0.25">
      <c r="A4724" t="s">
        <v>4829</v>
      </c>
      <c r="B4724" s="1">
        <v>46002</v>
      </c>
      <c r="C4724" t="s">
        <v>4677</v>
      </c>
      <c r="D4724">
        <v>12</v>
      </c>
      <c r="E4724">
        <v>11</v>
      </c>
      <c r="F4724" t="s">
        <v>88</v>
      </c>
      <c r="G4724" t="s">
        <v>55</v>
      </c>
      <c r="H4724" t="s">
        <v>48</v>
      </c>
      <c r="I4724" t="s">
        <v>57</v>
      </c>
      <c r="J4724" t="s">
        <v>66</v>
      </c>
      <c r="K4724" t="s">
        <v>38</v>
      </c>
      <c r="L4724">
        <v>3</v>
      </c>
      <c r="M4724">
        <v>399</v>
      </c>
      <c r="N4724">
        <v>79.8</v>
      </c>
      <c r="O4724">
        <v>0</v>
      </c>
      <c r="P4724">
        <v>1197</v>
      </c>
      <c r="Q4724">
        <v>1117.2</v>
      </c>
      <c r="R4724" t="s">
        <v>39</v>
      </c>
      <c r="S4724" t="s">
        <v>110</v>
      </c>
      <c r="T4724" t="s">
        <v>40</v>
      </c>
      <c r="U4724">
        <v>51</v>
      </c>
      <c r="W4724">
        <f>Table2[[#This Row],[Quantity]]*Table2[[#This Row],[Item_Price]]</f>
        <v>1197</v>
      </c>
    </row>
    <row r="4725" spans="1:23" x14ac:dyDescent="0.25">
      <c r="A4725" t="s">
        <v>4830</v>
      </c>
      <c r="B4725" s="1">
        <v>46002</v>
      </c>
      <c r="C4725" t="s">
        <v>4677</v>
      </c>
      <c r="D4725">
        <v>12</v>
      </c>
      <c r="E4725">
        <v>11</v>
      </c>
      <c r="F4725" t="s">
        <v>88</v>
      </c>
      <c r="G4725" t="s">
        <v>73</v>
      </c>
      <c r="H4725" t="s">
        <v>42</v>
      </c>
      <c r="I4725" t="s">
        <v>103</v>
      </c>
      <c r="J4725" t="s">
        <v>28</v>
      </c>
      <c r="K4725" t="s">
        <v>38</v>
      </c>
      <c r="L4725">
        <v>2</v>
      </c>
      <c r="M4725">
        <v>342</v>
      </c>
      <c r="N4725">
        <v>51.3</v>
      </c>
      <c r="O4725">
        <v>40</v>
      </c>
      <c r="P4725">
        <v>684</v>
      </c>
      <c r="Q4725">
        <v>672.7</v>
      </c>
      <c r="R4725" t="s">
        <v>98</v>
      </c>
      <c r="S4725" t="s">
        <v>31</v>
      </c>
      <c r="T4725" t="s">
        <v>32</v>
      </c>
      <c r="U4725">
        <v>50</v>
      </c>
      <c r="V4725">
        <v>3.8</v>
      </c>
      <c r="W4725">
        <f>Table2[[#This Row],[Quantity]]*Table2[[#This Row],[Item_Price]]</f>
        <v>684</v>
      </c>
    </row>
    <row r="4726" spans="1:23" x14ac:dyDescent="0.25">
      <c r="A4726" t="s">
        <v>4831</v>
      </c>
      <c r="B4726" s="1">
        <v>46002</v>
      </c>
      <c r="C4726" t="s">
        <v>4677</v>
      </c>
      <c r="D4726">
        <v>12</v>
      </c>
      <c r="E4726">
        <v>11</v>
      </c>
      <c r="F4726" t="s">
        <v>88</v>
      </c>
      <c r="G4726" t="s">
        <v>25</v>
      </c>
      <c r="H4726" t="s">
        <v>135</v>
      </c>
      <c r="I4726" t="s">
        <v>69</v>
      </c>
      <c r="J4726" t="s">
        <v>74</v>
      </c>
      <c r="K4726" t="s">
        <v>38</v>
      </c>
      <c r="L4726">
        <v>1</v>
      </c>
      <c r="M4726">
        <v>705</v>
      </c>
      <c r="N4726">
        <v>141</v>
      </c>
      <c r="O4726">
        <v>30</v>
      </c>
      <c r="P4726">
        <v>705</v>
      </c>
      <c r="Q4726">
        <v>594</v>
      </c>
      <c r="R4726" t="s">
        <v>30</v>
      </c>
      <c r="S4726" t="s">
        <v>31</v>
      </c>
      <c r="T4726" t="s">
        <v>32</v>
      </c>
      <c r="U4726">
        <v>25</v>
      </c>
      <c r="V4726">
        <v>4.5</v>
      </c>
      <c r="W4726">
        <f>Table2[[#This Row],[Quantity]]*Table2[[#This Row],[Item_Price]]</f>
        <v>705</v>
      </c>
    </row>
    <row r="4727" spans="1:23" x14ac:dyDescent="0.25">
      <c r="A4727" t="s">
        <v>4832</v>
      </c>
      <c r="B4727" s="1">
        <v>46002</v>
      </c>
      <c r="C4727" t="s">
        <v>4677</v>
      </c>
      <c r="D4727">
        <v>12</v>
      </c>
      <c r="E4727">
        <v>11</v>
      </c>
      <c r="F4727" t="s">
        <v>88</v>
      </c>
      <c r="G4727" t="s">
        <v>90</v>
      </c>
      <c r="H4727" t="s">
        <v>42</v>
      </c>
      <c r="I4727" t="s">
        <v>57</v>
      </c>
      <c r="J4727" t="s">
        <v>44</v>
      </c>
      <c r="K4727" t="s">
        <v>29</v>
      </c>
      <c r="L4727">
        <v>1</v>
      </c>
      <c r="M4727">
        <v>747</v>
      </c>
      <c r="N4727">
        <v>0</v>
      </c>
      <c r="O4727">
        <v>30</v>
      </c>
      <c r="P4727">
        <v>747</v>
      </c>
      <c r="Q4727">
        <v>777</v>
      </c>
      <c r="R4727" t="s">
        <v>75</v>
      </c>
      <c r="S4727" t="s">
        <v>91</v>
      </c>
      <c r="T4727" t="s">
        <v>40</v>
      </c>
      <c r="U4727">
        <v>48</v>
      </c>
      <c r="W4727">
        <f>Table2[[#This Row],[Quantity]]*Table2[[#This Row],[Item_Price]]</f>
        <v>747</v>
      </c>
    </row>
    <row r="4728" spans="1:23" x14ac:dyDescent="0.25">
      <c r="A4728" t="s">
        <v>4833</v>
      </c>
      <c r="B4728" s="1">
        <v>46002</v>
      </c>
      <c r="C4728" t="s">
        <v>4677</v>
      </c>
      <c r="D4728">
        <v>12</v>
      </c>
      <c r="E4728">
        <v>11</v>
      </c>
      <c r="F4728" t="s">
        <v>88</v>
      </c>
      <c r="G4728" t="s">
        <v>55</v>
      </c>
      <c r="H4728" t="s">
        <v>42</v>
      </c>
      <c r="I4728" t="s">
        <v>36</v>
      </c>
      <c r="J4728" t="s">
        <v>74</v>
      </c>
      <c r="K4728" t="s">
        <v>38</v>
      </c>
      <c r="L4728">
        <v>1</v>
      </c>
      <c r="M4728">
        <v>188</v>
      </c>
      <c r="N4728">
        <v>28.2</v>
      </c>
      <c r="O4728">
        <v>0</v>
      </c>
      <c r="P4728">
        <v>188</v>
      </c>
      <c r="Q4728">
        <v>159.80000000000001</v>
      </c>
      <c r="R4728" t="s">
        <v>39</v>
      </c>
      <c r="S4728" t="s">
        <v>31</v>
      </c>
      <c r="T4728" t="s">
        <v>32</v>
      </c>
      <c r="U4728">
        <v>29</v>
      </c>
      <c r="V4728">
        <v>4.4000000000000004</v>
      </c>
      <c r="W4728">
        <f>Table2[[#This Row],[Quantity]]*Table2[[#This Row],[Item_Price]]</f>
        <v>188</v>
      </c>
    </row>
    <row r="4729" spans="1:23" x14ac:dyDescent="0.25">
      <c r="A4729" t="s">
        <v>4834</v>
      </c>
      <c r="B4729" s="1">
        <v>46002</v>
      </c>
      <c r="C4729" t="s">
        <v>4677</v>
      </c>
      <c r="D4729">
        <v>12</v>
      </c>
      <c r="E4729">
        <v>11</v>
      </c>
      <c r="F4729" t="s">
        <v>88</v>
      </c>
      <c r="G4729" t="s">
        <v>115</v>
      </c>
      <c r="H4729" t="s">
        <v>108</v>
      </c>
      <c r="I4729" t="s">
        <v>69</v>
      </c>
      <c r="J4729" t="s">
        <v>78</v>
      </c>
      <c r="K4729" t="s">
        <v>45</v>
      </c>
      <c r="L4729">
        <v>1</v>
      </c>
      <c r="M4729">
        <v>154</v>
      </c>
      <c r="N4729">
        <v>7.7</v>
      </c>
      <c r="O4729">
        <v>0</v>
      </c>
      <c r="P4729">
        <v>154</v>
      </c>
      <c r="Q4729">
        <v>146.30000000000001</v>
      </c>
      <c r="R4729" t="s">
        <v>98</v>
      </c>
      <c r="S4729" t="s">
        <v>46</v>
      </c>
      <c r="T4729" t="s">
        <v>40</v>
      </c>
      <c r="U4729">
        <v>69</v>
      </c>
      <c r="W4729">
        <f>Table2[[#This Row],[Quantity]]*Table2[[#This Row],[Item_Price]]</f>
        <v>154</v>
      </c>
    </row>
    <row r="4730" spans="1:23" x14ac:dyDescent="0.25">
      <c r="A4730" t="s">
        <v>4835</v>
      </c>
      <c r="B4730" s="1">
        <v>46002</v>
      </c>
      <c r="C4730" t="s">
        <v>4677</v>
      </c>
      <c r="D4730">
        <v>12</v>
      </c>
      <c r="E4730">
        <v>11</v>
      </c>
      <c r="F4730" t="s">
        <v>88</v>
      </c>
      <c r="G4730" t="s">
        <v>96</v>
      </c>
      <c r="H4730" t="s">
        <v>42</v>
      </c>
      <c r="I4730" t="s">
        <v>49</v>
      </c>
      <c r="J4730" t="s">
        <v>70</v>
      </c>
      <c r="K4730" t="s">
        <v>38</v>
      </c>
      <c r="L4730">
        <v>1</v>
      </c>
      <c r="M4730">
        <v>243</v>
      </c>
      <c r="N4730">
        <v>24.3</v>
      </c>
      <c r="O4730">
        <v>40</v>
      </c>
      <c r="P4730">
        <v>243</v>
      </c>
      <c r="Q4730">
        <v>258.7</v>
      </c>
      <c r="R4730" t="s">
        <v>75</v>
      </c>
      <c r="S4730" t="s">
        <v>46</v>
      </c>
      <c r="T4730" t="s">
        <v>32</v>
      </c>
      <c r="U4730">
        <v>21</v>
      </c>
      <c r="W4730">
        <f>Table2[[#This Row],[Quantity]]*Table2[[#This Row],[Item_Price]]</f>
        <v>243</v>
      </c>
    </row>
    <row r="4731" spans="1:23" x14ac:dyDescent="0.25">
      <c r="A4731" t="s">
        <v>4836</v>
      </c>
      <c r="B4731" s="1">
        <v>46003</v>
      </c>
      <c r="C4731" t="s">
        <v>4677</v>
      </c>
      <c r="D4731">
        <v>12</v>
      </c>
      <c r="E4731">
        <v>12</v>
      </c>
      <c r="F4731" t="s">
        <v>114</v>
      </c>
      <c r="G4731" t="s">
        <v>115</v>
      </c>
      <c r="H4731" t="s">
        <v>60</v>
      </c>
      <c r="I4731" t="s">
        <v>85</v>
      </c>
      <c r="J4731" t="s">
        <v>82</v>
      </c>
      <c r="K4731" t="s">
        <v>38</v>
      </c>
      <c r="L4731">
        <v>1</v>
      </c>
      <c r="M4731">
        <v>628</v>
      </c>
      <c r="N4731">
        <v>62.8</v>
      </c>
      <c r="O4731">
        <v>0</v>
      </c>
      <c r="P4731">
        <v>628</v>
      </c>
      <c r="Q4731">
        <v>565.20000000000005</v>
      </c>
      <c r="R4731" t="s">
        <v>39</v>
      </c>
      <c r="S4731" t="s">
        <v>31</v>
      </c>
      <c r="T4731" t="s">
        <v>40</v>
      </c>
      <c r="U4731">
        <v>26</v>
      </c>
      <c r="V4731">
        <v>3.8</v>
      </c>
      <c r="W4731">
        <f>Table2[[#This Row],[Quantity]]*Table2[[#This Row],[Item_Price]]</f>
        <v>628</v>
      </c>
    </row>
    <row r="4732" spans="1:23" x14ac:dyDescent="0.25">
      <c r="A4732" t="s">
        <v>4837</v>
      </c>
      <c r="B4732" s="1">
        <v>46003</v>
      </c>
      <c r="C4732" t="s">
        <v>4677</v>
      </c>
      <c r="D4732">
        <v>12</v>
      </c>
      <c r="E4732">
        <v>12</v>
      </c>
      <c r="F4732" t="s">
        <v>114</v>
      </c>
      <c r="G4732" t="s">
        <v>55</v>
      </c>
      <c r="H4732" t="s">
        <v>135</v>
      </c>
      <c r="I4732" t="s">
        <v>61</v>
      </c>
      <c r="J4732" t="s">
        <v>28</v>
      </c>
      <c r="K4732" t="s">
        <v>38</v>
      </c>
      <c r="L4732">
        <v>2</v>
      </c>
      <c r="M4732">
        <v>735</v>
      </c>
      <c r="N4732">
        <v>36.75</v>
      </c>
      <c r="O4732">
        <v>40</v>
      </c>
      <c r="P4732">
        <v>1470</v>
      </c>
      <c r="Q4732">
        <v>1473.25</v>
      </c>
      <c r="R4732" t="s">
        <v>30</v>
      </c>
      <c r="S4732" t="s">
        <v>31</v>
      </c>
      <c r="T4732" t="s">
        <v>40</v>
      </c>
      <c r="U4732">
        <v>18</v>
      </c>
      <c r="V4732">
        <v>3.8</v>
      </c>
      <c r="W4732">
        <f>Table2[[#This Row],[Quantity]]*Table2[[#This Row],[Item_Price]]</f>
        <v>1470</v>
      </c>
    </row>
    <row r="4733" spans="1:23" x14ac:dyDescent="0.25">
      <c r="A4733" t="s">
        <v>4838</v>
      </c>
      <c r="B4733" s="1">
        <v>46003</v>
      </c>
      <c r="C4733" t="s">
        <v>4677</v>
      </c>
      <c r="D4733">
        <v>12</v>
      </c>
      <c r="E4733">
        <v>12</v>
      </c>
      <c r="F4733" t="s">
        <v>114</v>
      </c>
      <c r="G4733" t="s">
        <v>25</v>
      </c>
      <c r="H4733" t="s">
        <v>52</v>
      </c>
      <c r="I4733" t="s">
        <v>49</v>
      </c>
      <c r="J4733" t="s">
        <v>53</v>
      </c>
      <c r="K4733" t="s">
        <v>38</v>
      </c>
      <c r="L4733">
        <v>1</v>
      </c>
      <c r="M4733">
        <v>883</v>
      </c>
      <c r="N4733">
        <v>44.15</v>
      </c>
      <c r="O4733">
        <v>0</v>
      </c>
      <c r="P4733">
        <v>883</v>
      </c>
      <c r="Q4733">
        <v>838.85</v>
      </c>
      <c r="R4733" t="s">
        <v>75</v>
      </c>
      <c r="S4733" t="s">
        <v>31</v>
      </c>
      <c r="T4733" t="s">
        <v>32</v>
      </c>
      <c r="U4733">
        <v>68</v>
      </c>
      <c r="V4733">
        <v>3.4</v>
      </c>
      <c r="W4733">
        <f>Table2[[#This Row],[Quantity]]*Table2[[#This Row],[Item_Price]]</f>
        <v>883</v>
      </c>
    </row>
    <row r="4734" spans="1:23" x14ac:dyDescent="0.25">
      <c r="A4734" t="s">
        <v>4839</v>
      </c>
      <c r="B4734" s="1">
        <v>46003</v>
      </c>
      <c r="C4734" t="s">
        <v>4677</v>
      </c>
      <c r="D4734">
        <v>12</v>
      </c>
      <c r="E4734">
        <v>12</v>
      </c>
      <c r="F4734" t="s">
        <v>114</v>
      </c>
      <c r="G4734" t="s">
        <v>73</v>
      </c>
      <c r="H4734" t="s">
        <v>108</v>
      </c>
      <c r="I4734" t="s">
        <v>97</v>
      </c>
      <c r="J4734" t="s">
        <v>123</v>
      </c>
      <c r="K4734" t="s">
        <v>38</v>
      </c>
      <c r="L4734">
        <v>1</v>
      </c>
      <c r="M4734">
        <v>457</v>
      </c>
      <c r="N4734">
        <v>22.85</v>
      </c>
      <c r="O4734">
        <v>60</v>
      </c>
      <c r="P4734">
        <v>457</v>
      </c>
      <c r="Q4734">
        <v>494.15</v>
      </c>
      <c r="R4734" t="s">
        <v>30</v>
      </c>
      <c r="S4734" t="s">
        <v>31</v>
      </c>
      <c r="T4734" t="s">
        <v>40</v>
      </c>
      <c r="U4734">
        <v>25</v>
      </c>
      <c r="V4734">
        <v>3.4</v>
      </c>
      <c r="W4734">
        <f>Table2[[#This Row],[Quantity]]*Table2[[#This Row],[Item_Price]]</f>
        <v>457</v>
      </c>
    </row>
    <row r="4735" spans="1:23" x14ac:dyDescent="0.25">
      <c r="A4735" t="s">
        <v>4840</v>
      </c>
      <c r="B4735" s="1">
        <v>46003</v>
      </c>
      <c r="C4735" t="s">
        <v>4677</v>
      </c>
      <c r="D4735">
        <v>12</v>
      </c>
      <c r="E4735">
        <v>12</v>
      </c>
      <c r="F4735" t="s">
        <v>114</v>
      </c>
      <c r="G4735" t="s">
        <v>84</v>
      </c>
      <c r="H4735" t="s">
        <v>139</v>
      </c>
      <c r="I4735" t="s">
        <v>27</v>
      </c>
      <c r="J4735" t="s">
        <v>62</v>
      </c>
      <c r="K4735" t="s">
        <v>38</v>
      </c>
      <c r="L4735">
        <v>1</v>
      </c>
      <c r="M4735">
        <v>830</v>
      </c>
      <c r="N4735">
        <v>41.5</v>
      </c>
      <c r="O4735">
        <v>20</v>
      </c>
      <c r="P4735">
        <v>830</v>
      </c>
      <c r="Q4735">
        <v>808.5</v>
      </c>
      <c r="R4735" t="s">
        <v>30</v>
      </c>
      <c r="S4735" t="s">
        <v>31</v>
      </c>
      <c r="T4735" t="s">
        <v>32</v>
      </c>
      <c r="U4735">
        <v>66</v>
      </c>
      <c r="V4735">
        <v>4.4000000000000004</v>
      </c>
      <c r="W4735">
        <f>Table2[[#This Row],[Quantity]]*Table2[[#This Row],[Item_Price]]</f>
        <v>830</v>
      </c>
    </row>
    <row r="4736" spans="1:23" x14ac:dyDescent="0.25">
      <c r="A4736" t="s">
        <v>4841</v>
      </c>
      <c r="B4736" s="1">
        <v>46003</v>
      </c>
      <c r="C4736" t="s">
        <v>4677</v>
      </c>
      <c r="D4736">
        <v>12</v>
      </c>
      <c r="E4736">
        <v>12</v>
      </c>
      <c r="F4736" t="s">
        <v>114</v>
      </c>
      <c r="G4736" t="s">
        <v>73</v>
      </c>
      <c r="H4736" t="s">
        <v>60</v>
      </c>
      <c r="I4736" t="s">
        <v>27</v>
      </c>
      <c r="J4736" t="s">
        <v>53</v>
      </c>
      <c r="K4736" t="s">
        <v>38</v>
      </c>
      <c r="L4736">
        <v>2</v>
      </c>
      <c r="M4736">
        <v>403</v>
      </c>
      <c r="N4736">
        <v>80.599999999999994</v>
      </c>
      <c r="O4736">
        <v>40</v>
      </c>
      <c r="P4736">
        <v>806</v>
      </c>
      <c r="Q4736">
        <v>765.4</v>
      </c>
      <c r="R4736" t="s">
        <v>39</v>
      </c>
      <c r="S4736" t="s">
        <v>31</v>
      </c>
      <c r="T4736" t="s">
        <v>40</v>
      </c>
      <c r="U4736">
        <v>57</v>
      </c>
      <c r="V4736">
        <v>4.0999999999999996</v>
      </c>
      <c r="W4736">
        <f>Table2[[#This Row],[Quantity]]*Table2[[#This Row],[Item_Price]]</f>
        <v>806</v>
      </c>
    </row>
    <row r="4737" spans="1:23" x14ac:dyDescent="0.25">
      <c r="A4737" t="s">
        <v>4842</v>
      </c>
      <c r="B4737" s="1">
        <v>46003</v>
      </c>
      <c r="C4737" t="s">
        <v>4677</v>
      </c>
      <c r="D4737">
        <v>12</v>
      </c>
      <c r="E4737">
        <v>12</v>
      </c>
      <c r="F4737" t="s">
        <v>114</v>
      </c>
      <c r="G4737" t="s">
        <v>90</v>
      </c>
      <c r="H4737" t="s">
        <v>26</v>
      </c>
      <c r="I4737" t="s">
        <v>49</v>
      </c>
      <c r="J4737" t="s">
        <v>28</v>
      </c>
      <c r="K4737" t="s">
        <v>38</v>
      </c>
      <c r="L4737">
        <v>3</v>
      </c>
      <c r="M4737">
        <v>709</v>
      </c>
      <c r="N4737">
        <v>70.900000000000006</v>
      </c>
      <c r="O4737">
        <v>30</v>
      </c>
      <c r="P4737">
        <v>2127</v>
      </c>
      <c r="Q4737">
        <v>2086.1</v>
      </c>
      <c r="R4737" t="s">
        <v>75</v>
      </c>
      <c r="S4737" t="s">
        <v>46</v>
      </c>
      <c r="T4737" t="s">
        <v>40</v>
      </c>
      <c r="U4737">
        <v>38</v>
      </c>
      <c r="W4737">
        <f>Table2[[#This Row],[Quantity]]*Table2[[#This Row],[Item_Price]]</f>
        <v>2127</v>
      </c>
    </row>
    <row r="4738" spans="1:23" x14ac:dyDescent="0.25">
      <c r="A4738" t="s">
        <v>4843</v>
      </c>
      <c r="B4738" s="1">
        <v>46003</v>
      </c>
      <c r="C4738" t="s">
        <v>4677</v>
      </c>
      <c r="D4738">
        <v>12</v>
      </c>
      <c r="E4738">
        <v>12</v>
      </c>
      <c r="F4738" t="s">
        <v>114</v>
      </c>
      <c r="G4738" t="s">
        <v>115</v>
      </c>
      <c r="H4738" t="s">
        <v>108</v>
      </c>
      <c r="I4738" t="s">
        <v>103</v>
      </c>
      <c r="J4738" t="s">
        <v>172</v>
      </c>
      <c r="K4738" t="s">
        <v>38</v>
      </c>
      <c r="L4738">
        <v>2</v>
      </c>
      <c r="M4738">
        <v>192</v>
      </c>
      <c r="N4738">
        <v>28.8</v>
      </c>
      <c r="O4738">
        <v>50</v>
      </c>
      <c r="P4738">
        <v>384</v>
      </c>
      <c r="Q4738">
        <v>405.2</v>
      </c>
      <c r="R4738" t="s">
        <v>39</v>
      </c>
      <c r="S4738" t="s">
        <v>31</v>
      </c>
      <c r="T4738" t="s">
        <v>40</v>
      </c>
      <c r="U4738">
        <v>30</v>
      </c>
      <c r="V4738">
        <v>4.5999999999999996</v>
      </c>
      <c r="W4738">
        <f>Table2[[#This Row],[Quantity]]*Table2[[#This Row],[Item_Price]]</f>
        <v>384</v>
      </c>
    </row>
    <row r="4739" spans="1:23" x14ac:dyDescent="0.25">
      <c r="A4739" t="s">
        <v>4844</v>
      </c>
      <c r="B4739" s="1">
        <v>46003</v>
      </c>
      <c r="C4739" t="s">
        <v>4677</v>
      </c>
      <c r="D4739">
        <v>12</v>
      </c>
      <c r="E4739">
        <v>12</v>
      </c>
      <c r="F4739" t="s">
        <v>114</v>
      </c>
      <c r="G4739" t="s">
        <v>55</v>
      </c>
      <c r="H4739" t="s">
        <v>105</v>
      </c>
      <c r="I4739" t="s">
        <v>36</v>
      </c>
      <c r="J4739" t="s">
        <v>50</v>
      </c>
      <c r="K4739" t="s">
        <v>38</v>
      </c>
      <c r="L4739">
        <v>3</v>
      </c>
      <c r="M4739">
        <v>782</v>
      </c>
      <c r="N4739">
        <v>117.3</v>
      </c>
      <c r="O4739">
        <v>50</v>
      </c>
      <c r="P4739">
        <v>2346</v>
      </c>
      <c r="Q4739">
        <v>2278.6999999999998</v>
      </c>
      <c r="R4739" t="s">
        <v>112</v>
      </c>
      <c r="S4739" t="s">
        <v>31</v>
      </c>
      <c r="T4739" t="s">
        <v>32</v>
      </c>
      <c r="U4739">
        <v>67</v>
      </c>
      <c r="V4739">
        <v>3.8</v>
      </c>
      <c r="W4739">
        <f>Table2[[#This Row],[Quantity]]*Table2[[#This Row],[Item_Price]]</f>
        <v>2346</v>
      </c>
    </row>
    <row r="4740" spans="1:23" x14ac:dyDescent="0.25">
      <c r="A4740" t="s">
        <v>4845</v>
      </c>
      <c r="B4740" s="1">
        <v>46003</v>
      </c>
      <c r="C4740" t="s">
        <v>4677</v>
      </c>
      <c r="D4740">
        <v>12</v>
      </c>
      <c r="E4740">
        <v>12</v>
      </c>
      <c r="F4740" t="s">
        <v>114</v>
      </c>
      <c r="G4740" t="s">
        <v>55</v>
      </c>
      <c r="H4740" t="s">
        <v>77</v>
      </c>
      <c r="I4740" t="s">
        <v>27</v>
      </c>
      <c r="J4740" t="s">
        <v>78</v>
      </c>
      <c r="K4740" t="s">
        <v>45</v>
      </c>
      <c r="L4740">
        <v>2</v>
      </c>
      <c r="M4740">
        <v>701</v>
      </c>
      <c r="N4740">
        <v>35.049999999999997</v>
      </c>
      <c r="O4740">
        <v>50</v>
      </c>
      <c r="P4740">
        <v>1402</v>
      </c>
      <c r="Q4740">
        <v>1416.95</v>
      </c>
      <c r="R4740" t="s">
        <v>98</v>
      </c>
      <c r="S4740" t="s">
        <v>31</v>
      </c>
      <c r="T4740" t="s">
        <v>40</v>
      </c>
      <c r="U4740">
        <v>32</v>
      </c>
      <c r="V4740">
        <v>3.9</v>
      </c>
      <c r="W4740">
        <f>Table2[[#This Row],[Quantity]]*Table2[[#This Row],[Item_Price]]</f>
        <v>1402</v>
      </c>
    </row>
    <row r="4741" spans="1:23" x14ac:dyDescent="0.25">
      <c r="A4741" t="s">
        <v>4846</v>
      </c>
      <c r="B4741" s="1">
        <v>46003</v>
      </c>
      <c r="C4741" t="s">
        <v>4677</v>
      </c>
      <c r="D4741">
        <v>12</v>
      </c>
      <c r="E4741">
        <v>12</v>
      </c>
      <c r="F4741" t="s">
        <v>114</v>
      </c>
      <c r="G4741" t="s">
        <v>80</v>
      </c>
      <c r="H4741" t="s">
        <v>56</v>
      </c>
      <c r="I4741" t="s">
        <v>69</v>
      </c>
      <c r="J4741" t="s">
        <v>66</v>
      </c>
      <c r="K4741" t="s">
        <v>45</v>
      </c>
      <c r="L4741">
        <v>1</v>
      </c>
      <c r="M4741">
        <v>351</v>
      </c>
      <c r="N4741">
        <v>0</v>
      </c>
      <c r="O4741">
        <v>0</v>
      </c>
      <c r="P4741">
        <v>351</v>
      </c>
      <c r="Q4741">
        <v>351</v>
      </c>
      <c r="R4741" t="s">
        <v>98</v>
      </c>
      <c r="S4741" t="s">
        <v>46</v>
      </c>
      <c r="T4741" t="s">
        <v>32</v>
      </c>
      <c r="U4741">
        <v>20</v>
      </c>
      <c r="W4741">
        <f>Table2[[#This Row],[Quantity]]*Table2[[#This Row],[Item_Price]]</f>
        <v>351</v>
      </c>
    </row>
    <row r="4742" spans="1:23" x14ac:dyDescent="0.25">
      <c r="A4742" t="s">
        <v>4847</v>
      </c>
      <c r="B4742" s="1">
        <v>46003</v>
      </c>
      <c r="C4742" t="s">
        <v>4677</v>
      </c>
      <c r="D4742">
        <v>12</v>
      </c>
      <c r="E4742">
        <v>12</v>
      </c>
      <c r="F4742" t="s">
        <v>114</v>
      </c>
      <c r="G4742" t="s">
        <v>80</v>
      </c>
      <c r="H4742" t="s">
        <v>60</v>
      </c>
      <c r="I4742" t="s">
        <v>43</v>
      </c>
      <c r="J4742" t="s">
        <v>101</v>
      </c>
      <c r="K4742" t="s">
        <v>38</v>
      </c>
      <c r="L4742">
        <v>2</v>
      </c>
      <c r="M4742">
        <v>588</v>
      </c>
      <c r="N4742">
        <v>58.8</v>
      </c>
      <c r="O4742">
        <v>60</v>
      </c>
      <c r="P4742">
        <v>1176</v>
      </c>
      <c r="Q4742">
        <v>1177.2</v>
      </c>
      <c r="R4742" t="s">
        <v>39</v>
      </c>
      <c r="S4742" t="s">
        <v>31</v>
      </c>
      <c r="T4742" t="s">
        <v>40</v>
      </c>
      <c r="U4742">
        <v>39</v>
      </c>
      <c r="V4742">
        <v>4.3</v>
      </c>
      <c r="W4742">
        <f>Table2[[#This Row],[Quantity]]*Table2[[#This Row],[Item_Price]]</f>
        <v>1176</v>
      </c>
    </row>
    <row r="4743" spans="1:23" x14ac:dyDescent="0.25">
      <c r="A4743" t="s">
        <v>4848</v>
      </c>
      <c r="B4743" s="1">
        <v>46003</v>
      </c>
      <c r="C4743" t="s">
        <v>4677</v>
      </c>
      <c r="D4743">
        <v>12</v>
      </c>
      <c r="E4743">
        <v>12</v>
      </c>
      <c r="F4743" t="s">
        <v>114</v>
      </c>
      <c r="G4743" t="s">
        <v>115</v>
      </c>
      <c r="H4743" t="s">
        <v>56</v>
      </c>
      <c r="I4743" t="s">
        <v>103</v>
      </c>
      <c r="J4743" t="s">
        <v>44</v>
      </c>
      <c r="K4743" t="s">
        <v>38</v>
      </c>
      <c r="L4743">
        <v>2</v>
      </c>
      <c r="M4743">
        <v>352</v>
      </c>
      <c r="N4743">
        <v>0</v>
      </c>
      <c r="O4743">
        <v>50</v>
      </c>
      <c r="P4743">
        <v>704</v>
      </c>
      <c r="Q4743">
        <v>754</v>
      </c>
      <c r="R4743" t="s">
        <v>39</v>
      </c>
      <c r="S4743" t="s">
        <v>31</v>
      </c>
      <c r="T4743" t="s">
        <v>32</v>
      </c>
      <c r="U4743">
        <v>58</v>
      </c>
      <c r="V4743">
        <v>3.8</v>
      </c>
      <c r="W4743">
        <f>Table2[[#This Row],[Quantity]]*Table2[[#This Row],[Item_Price]]</f>
        <v>704</v>
      </c>
    </row>
    <row r="4744" spans="1:23" x14ac:dyDescent="0.25">
      <c r="A4744" t="s">
        <v>4849</v>
      </c>
      <c r="B4744" s="1">
        <v>46004</v>
      </c>
      <c r="C4744" t="s">
        <v>4677</v>
      </c>
      <c r="D4744">
        <v>12</v>
      </c>
      <c r="E4744">
        <v>13</v>
      </c>
      <c r="F4744" t="s">
        <v>134</v>
      </c>
      <c r="G4744" t="s">
        <v>80</v>
      </c>
      <c r="H4744" t="s">
        <v>56</v>
      </c>
      <c r="I4744" t="s">
        <v>85</v>
      </c>
      <c r="J4744" t="s">
        <v>53</v>
      </c>
      <c r="K4744" t="s">
        <v>38</v>
      </c>
      <c r="L4744">
        <v>1</v>
      </c>
      <c r="M4744">
        <v>664</v>
      </c>
      <c r="N4744">
        <v>132.80000000000001</v>
      </c>
      <c r="O4744">
        <v>30</v>
      </c>
      <c r="P4744">
        <v>664</v>
      </c>
      <c r="Q4744">
        <v>561.20000000000005</v>
      </c>
      <c r="R4744" t="s">
        <v>39</v>
      </c>
      <c r="S4744" t="s">
        <v>91</v>
      </c>
      <c r="T4744" t="s">
        <v>40</v>
      </c>
      <c r="U4744">
        <v>58</v>
      </c>
      <c r="W4744">
        <f>Table2[[#This Row],[Quantity]]*Table2[[#This Row],[Item_Price]]</f>
        <v>664</v>
      </c>
    </row>
    <row r="4745" spans="1:23" x14ac:dyDescent="0.25">
      <c r="A4745" t="s">
        <v>4850</v>
      </c>
      <c r="B4745" s="1">
        <v>46004</v>
      </c>
      <c r="C4745" t="s">
        <v>4677</v>
      </c>
      <c r="D4745">
        <v>12</v>
      </c>
      <c r="E4745">
        <v>13</v>
      </c>
      <c r="F4745" t="s">
        <v>134</v>
      </c>
      <c r="G4745" t="s">
        <v>34</v>
      </c>
      <c r="H4745" t="s">
        <v>139</v>
      </c>
      <c r="I4745" t="s">
        <v>69</v>
      </c>
      <c r="J4745" t="s">
        <v>37</v>
      </c>
      <c r="K4745" t="s">
        <v>38</v>
      </c>
      <c r="L4745">
        <v>3</v>
      </c>
      <c r="M4745">
        <v>774</v>
      </c>
      <c r="N4745">
        <v>77.400000000000006</v>
      </c>
      <c r="O4745">
        <v>70</v>
      </c>
      <c r="P4745">
        <v>2322</v>
      </c>
      <c r="Q4745">
        <v>2314.6</v>
      </c>
      <c r="R4745" t="s">
        <v>75</v>
      </c>
      <c r="S4745" t="s">
        <v>31</v>
      </c>
      <c r="T4745" t="s">
        <v>40</v>
      </c>
      <c r="U4745">
        <v>57</v>
      </c>
      <c r="V4745">
        <v>3.8</v>
      </c>
      <c r="W4745">
        <f>Table2[[#This Row],[Quantity]]*Table2[[#This Row],[Item_Price]]</f>
        <v>2322</v>
      </c>
    </row>
    <row r="4746" spans="1:23" x14ac:dyDescent="0.25">
      <c r="A4746" t="s">
        <v>4851</v>
      </c>
      <c r="B4746" s="1">
        <v>46004</v>
      </c>
      <c r="C4746" t="s">
        <v>4677</v>
      </c>
      <c r="D4746">
        <v>12</v>
      </c>
      <c r="E4746">
        <v>13</v>
      </c>
      <c r="F4746" t="s">
        <v>134</v>
      </c>
      <c r="G4746" t="s">
        <v>34</v>
      </c>
      <c r="H4746" t="s">
        <v>81</v>
      </c>
      <c r="I4746" t="s">
        <v>61</v>
      </c>
      <c r="J4746" t="s">
        <v>28</v>
      </c>
      <c r="K4746" t="s">
        <v>38</v>
      </c>
      <c r="L4746">
        <v>2</v>
      </c>
      <c r="M4746">
        <v>584</v>
      </c>
      <c r="N4746">
        <v>87.6</v>
      </c>
      <c r="O4746">
        <v>60</v>
      </c>
      <c r="P4746">
        <v>1168</v>
      </c>
      <c r="Q4746">
        <v>1140.4000000000001</v>
      </c>
      <c r="R4746" t="s">
        <v>39</v>
      </c>
      <c r="S4746" t="s">
        <v>31</v>
      </c>
      <c r="T4746" t="s">
        <v>40</v>
      </c>
      <c r="U4746">
        <v>61</v>
      </c>
      <c r="V4746">
        <v>4.3</v>
      </c>
      <c r="W4746">
        <f>Table2[[#This Row],[Quantity]]*Table2[[#This Row],[Item_Price]]</f>
        <v>1168</v>
      </c>
    </row>
    <row r="4747" spans="1:23" x14ac:dyDescent="0.25">
      <c r="A4747" t="s">
        <v>4852</v>
      </c>
      <c r="B4747" s="1">
        <v>46004</v>
      </c>
      <c r="C4747" t="s">
        <v>4677</v>
      </c>
      <c r="D4747">
        <v>12</v>
      </c>
      <c r="E4747">
        <v>13</v>
      </c>
      <c r="F4747" t="s">
        <v>134</v>
      </c>
      <c r="G4747" t="s">
        <v>96</v>
      </c>
      <c r="H4747" t="s">
        <v>105</v>
      </c>
      <c r="I4747" t="s">
        <v>36</v>
      </c>
      <c r="J4747" t="s">
        <v>66</v>
      </c>
      <c r="K4747" t="s">
        <v>38</v>
      </c>
      <c r="L4747">
        <v>2</v>
      </c>
      <c r="M4747">
        <v>170</v>
      </c>
      <c r="N4747">
        <v>17</v>
      </c>
      <c r="O4747">
        <v>30</v>
      </c>
      <c r="P4747">
        <v>340</v>
      </c>
      <c r="Q4747">
        <v>353</v>
      </c>
      <c r="R4747" t="s">
        <v>39</v>
      </c>
      <c r="S4747" t="s">
        <v>31</v>
      </c>
      <c r="T4747" t="s">
        <v>32</v>
      </c>
      <c r="U4747">
        <v>49</v>
      </c>
      <c r="V4747">
        <v>5</v>
      </c>
      <c r="W4747">
        <f>Table2[[#This Row],[Quantity]]*Table2[[#This Row],[Item_Price]]</f>
        <v>340</v>
      </c>
    </row>
    <row r="4748" spans="1:23" x14ac:dyDescent="0.25">
      <c r="A4748" t="s">
        <v>4853</v>
      </c>
      <c r="B4748" s="1">
        <v>46004</v>
      </c>
      <c r="C4748" t="s">
        <v>4677</v>
      </c>
      <c r="D4748">
        <v>12</v>
      </c>
      <c r="E4748">
        <v>13</v>
      </c>
      <c r="F4748" t="s">
        <v>134</v>
      </c>
      <c r="G4748" t="s">
        <v>73</v>
      </c>
      <c r="H4748" t="s">
        <v>48</v>
      </c>
      <c r="I4748" t="s">
        <v>49</v>
      </c>
      <c r="J4748" t="s">
        <v>28</v>
      </c>
      <c r="K4748" t="s">
        <v>38</v>
      </c>
      <c r="L4748">
        <v>1</v>
      </c>
      <c r="M4748">
        <v>346</v>
      </c>
      <c r="N4748">
        <v>86.5</v>
      </c>
      <c r="O4748">
        <v>60</v>
      </c>
      <c r="P4748">
        <v>346</v>
      </c>
      <c r="Q4748">
        <v>319.5</v>
      </c>
      <c r="R4748" t="s">
        <v>98</v>
      </c>
      <c r="S4748" t="s">
        <v>46</v>
      </c>
      <c r="T4748" t="s">
        <v>32</v>
      </c>
      <c r="U4748">
        <v>40</v>
      </c>
      <c r="W4748">
        <f>Table2[[#This Row],[Quantity]]*Table2[[#This Row],[Item_Price]]</f>
        <v>346</v>
      </c>
    </row>
    <row r="4749" spans="1:23" x14ac:dyDescent="0.25">
      <c r="A4749" t="s">
        <v>4854</v>
      </c>
      <c r="B4749" s="1">
        <v>46004</v>
      </c>
      <c r="C4749" t="s">
        <v>4677</v>
      </c>
      <c r="D4749">
        <v>12</v>
      </c>
      <c r="E4749">
        <v>13</v>
      </c>
      <c r="F4749" t="s">
        <v>134</v>
      </c>
      <c r="G4749" t="s">
        <v>115</v>
      </c>
      <c r="H4749" t="s">
        <v>26</v>
      </c>
      <c r="I4749" t="s">
        <v>85</v>
      </c>
      <c r="J4749" t="s">
        <v>66</v>
      </c>
      <c r="K4749" t="s">
        <v>38</v>
      </c>
      <c r="L4749">
        <v>2</v>
      </c>
      <c r="M4749">
        <v>675</v>
      </c>
      <c r="N4749">
        <v>33.75</v>
      </c>
      <c r="O4749">
        <v>20</v>
      </c>
      <c r="P4749">
        <v>1350</v>
      </c>
      <c r="Q4749">
        <v>1336.25</v>
      </c>
      <c r="R4749" t="s">
        <v>75</v>
      </c>
      <c r="S4749" t="s">
        <v>46</v>
      </c>
      <c r="T4749" t="s">
        <v>40</v>
      </c>
      <c r="U4749">
        <v>59</v>
      </c>
      <c r="W4749">
        <f>Table2[[#This Row],[Quantity]]*Table2[[#This Row],[Item_Price]]</f>
        <v>1350</v>
      </c>
    </row>
    <row r="4750" spans="1:23" x14ac:dyDescent="0.25">
      <c r="A4750" t="s">
        <v>4855</v>
      </c>
      <c r="B4750" s="1">
        <v>46004</v>
      </c>
      <c r="C4750" t="s">
        <v>4677</v>
      </c>
      <c r="D4750">
        <v>12</v>
      </c>
      <c r="E4750">
        <v>13</v>
      </c>
      <c r="F4750" t="s">
        <v>134</v>
      </c>
      <c r="G4750" t="s">
        <v>115</v>
      </c>
      <c r="H4750" t="s">
        <v>48</v>
      </c>
      <c r="I4750" t="s">
        <v>27</v>
      </c>
      <c r="J4750" t="s">
        <v>74</v>
      </c>
      <c r="K4750" t="s">
        <v>38</v>
      </c>
      <c r="L4750">
        <v>1</v>
      </c>
      <c r="M4750">
        <v>816</v>
      </c>
      <c r="N4750">
        <v>122.4</v>
      </c>
      <c r="O4750">
        <v>40</v>
      </c>
      <c r="P4750">
        <v>816</v>
      </c>
      <c r="Q4750">
        <v>733.6</v>
      </c>
      <c r="R4750" t="s">
        <v>98</v>
      </c>
      <c r="S4750" t="s">
        <v>31</v>
      </c>
      <c r="T4750" t="s">
        <v>40</v>
      </c>
      <c r="U4750">
        <v>28</v>
      </c>
      <c r="V4750">
        <v>2.2999999999999998</v>
      </c>
      <c r="W4750">
        <f>Table2[[#This Row],[Quantity]]*Table2[[#This Row],[Item_Price]]</f>
        <v>816</v>
      </c>
    </row>
    <row r="4751" spans="1:23" x14ac:dyDescent="0.25">
      <c r="A4751" t="s">
        <v>4856</v>
      </c>
      <c r="B4751" s="1">
        <v>46004</v>
      </c>
      <c r="C4751" t="s">
        <v>4677</v>
      </c>
      <c r="D4751">
        <v>12</v>
      </c>
      <c r="E4751">
        <v>13</v>
      </c>
      <c r="F4751" t="s">
        <v>134</v>
      </c>
      <c r="G4751" t="s">
        <v>96</v>
      </c>
      <c r="H4751" t="s">
        <v>139</v>
      </c>
      <c r="I4751" t="s">
        <v>27</v>
      </c>
      <c r="J4751" t="s">
        <v>37</v>
      </c>
      <c r="K4751" t="s">
        <v>38</v>
      </c>
      <c r="L4751">
        <v>2</v>
      </c>
      <c r="M4751">
        <v>412</v>
      </c>
      <c r="N4751">
        <v>41.2</v>
      </c>
      <c r="O4751">
        <v>50</v>
      </c>
      <c r="P4751">
        <v>824</v>
      </c>
      <c r="Q4751">
        <v>832.8</v>
      </c>
      <c r="R4751" t="s">
        <v>75</v>
      </c>
      <c r="S4751" t="s">
        <v>31</v>
      </c>
      <c r="T4751" t="s">
        <v>40</v>
      </c>
      <c r="U4751">
        <v>45</v>
      </c>
      <c r="V4751">
        <v>3.5</v>
      </c>
      <c r="W4751">
        <f>Table2[[#This Row],[Quantity]]*Table2[[#This Row],[Item_Price]]</f>
        <v>824</v>
      </c>
    </row>
    <row r="4752" spans="1:23" x14ac:dyDescent="0.25">
      <c r="A4752" t="s">
        <v>4857</v>
      </c>
      <c r="B4752" s="1">
        <v>46004</v>
      </c>
      <c r="C4752" t="s">
        <v>4677</v>
      </c>
      <c r="D4752">
        <v>12</v>
      </c>
      <c r="E4752">
        <v>13</v>
      </c>
      <c r="F4752" t="s">
        <v>134</v>
      </c>
      <c r="G4752" t="s">
        <v>64</v>
      </c>
      <c r="H4752" t="s">
        <v>81</v>
      </c>
      <c r="I4752" t="s">
        <v>43</v>
      </c>
      <c r="J4752" t="s">
        <v>101</v>
      </c>
      <c r="K4752" t="s">
        <v>38</v>
      </c>
      <c r="L4752">
        <v>1</v>
      </c>
      <c r="M4752">
        <v>889</v>
      </c>
      <c r="N4752">
        <v>88.9</v>
      </c>
      <c r="O4752">
        <v>40</v>
      </c>
      <c r="P4752">
        <v>889</v>
      </c>
      <c r="Q4752">
        <v>840.1</v>
      </c>
      <c r="R4752" t="s">
        <v>39</v>
      </c>
      <c r="S4752" t="s">
        <v>31</v>
      </c>
      <c r="T4752" t="s">
        <v>40</v>
      </c>
      <c r="U4752">
        <v>37</v>
      </c>
      <c r="V4752">
        <v>4.2</v>
      </c>
      <c r="W4752">
        <f>Table2[[#This Row],[Quantity]]*Table2[[#This Row],[Item_Price]]</f>
        <v>889</v>
      </c>
    </row>
    <row r="4753" spans="1:23" x14ac:dyDescent="0.25">
      <c r="A4753" t="s">
        <v>4858</v>
      </c>
      <c r="B4753" s="1">
        <v>46004</v>
      </c>
      <c r="C4753" t="s">
        <v>4677</v>
      </c>
      <c r="D4753">
        <v>12</v>
      </c>
      <c r="E4753">
        <v>13</v>
      </c>
      <c r="F4753" t="s">
        <v>134</v>
      </c>
      <c r="G4753" t="s">
        <v>73</v>
      </c>
      <c r="H4753" t="s">
        <v>68</v>
      </c>
      <c r="I4753" t="s">
        <v>69</v>
      </c>
      <c r="J4753" t="s">
        <v>94</v>
      </c>
      <c r="K4753" t="s">
        <v>38</v>
      </c>
      <c r="L4753">
        <v>1</v>
      </c>
      <c r="M4753">
        <v>159</v>
      </c>
      <c r="N4753">
        <v>15.9</v>
      </c>
      <c r="O4753">
        <v>50</v>
      </c>
      <c r="P4753">
        <v>159</v>
      </c>
      <c r="Q4753">
        <v>193.1</v>
      </c>
      <c r="R4753" t="s">
        <v>98</v>
      </c>
      <c r="S4753" t="s">
        <v>91</v>
      </c>
      <c r="T4753" t="s">
        <v>40</v>
      </c>
      <c r="U4753">
        <v>57</v>
      </c>
      <c r="W4753">
        <f>Table2[[#This Row],[Quantity]]*Table2[[#This Row],[Item_Price]]</f>
        <v>159</v>
      </c>
    </row>
    <row r="4754" spans="1:23" x14ac:dyDescent="0.25">
      <c r="A4754" t="s">
        <v>4859</v>
      </c>
      <c r="B4754" s="1">
        <v>46004</v>
      </c>
      <c r="C4754" t="s">
        <v>4677</v>
      </c>
      <c r="D4754">
        <v>12</v>
      </c>
      <c r="E4754">
        <v>13</v>
      </c>
      <c r="F4754" t="s">
        <v>134</v>
      </c>
      <c r="G4754" t="s">
        <v>25</v>
      </c>
      <c r="H4754" t="s">
        <v>77</v>
      </c>
      <c r="I4754" t="s">
        <v>69</v>
      </c>
      <c r="J4754" t="s">
        <v>37</v>
      </c>
      <c r="K4754" t="s">
        <v>38</v>
      </c>
      <c r="L4754">
        <v>1</v>
      </c>
      <c r="M4754">
        <v>881</v>
      </c>
      <c r="N4754">
        <v>0</v>
      </c>
      <c r="O4754">
        <v>50</v>
      </c>
      <c r="P4754">
        <v>881</v>
      </c>
      <c r="Q4754">
        <v>931</v>
      </c>
      <c r="R4754" t="s">
        <v>39</v>
      </c>
      <c r="S4754" t="s">
        <v>31</v>
      </c>
      <c r="T4754" t="s">
        <v>40</v>
      </c>
      <c r="U4754">
        <v>36</v>
      </c>
      <c r="V4754">
        <v>4.2</v>
      </c>
      <c r="W4754">
        <f>Table2[[#This Row],[Quantity]]*Table2[[#This Row],[Item_Price]]</f>
        <v>881</v>
      </c>
    </row>
    <row r="4755" spans="1:23" x14ac:dyDescent="0.25">
      <c r="A4755" t="s">
        <v>4860</v>
      </c>
      <c r="B4755" s="1">
        <v>46005</v>
      </c>
      <c r="C4755" t="s">
        <v>4677</v>
      </c>
      <c r="D4755">
        <v>12</v>
      </c>
      <c r="E4755">
        <v>14</v>
      </c>
      <c r="F4755" t="s">
        <v>149</v>
      </c>
      <c r="G4755" t="s">
        <v>25</v>
      </c>
      <c r="H4755" t="s">
        <v>52</v>
      </c>
      <c r="I4755" t="s">
        <v>27</v>
      </c>
      <c r="J4755" t="s">
        <v>82</v>
      </c>
      <c r="K4755" t="s">
        <v>38</v>
      </c>
      <c r="L4755">
        <v>3</v>
      </c>
      <c r="M4755">
        <v>694</v>
      </c>
      <c r="N4755">
        <v>69.400000000000006</v>
      </c>
      <c r="O4755">
        <v>0</v>
      </c>
      <c r="P4755">
        <v>2082</v>
      </c>
      <c r="Q4755">
        <v>2012.6</v>
      </c>
      <c r="R4755" t="s">
        <v>30</v>
      </c>
      <c r="S4755" t="s">
        <v>91</v>
      </c>
      <c r="T4755" t="s">
        <v>40</v>
      </c>
      <c r="U4755">
        <v>33</v>
      </c>
      <c r="W4755">
        <f>Table2[[#This Row],[Quantity]]*Table2[[#This Row],[Item_Price]]</f>
        <v>2082</v>
      </c>
    </row>
    <row r="4756" spans="1:23" x14ac:dyDescent="0.25">
      <c r="A4756" t="s">
        <v>4861</v>
      </c>
      <c r="B4756" s="1">
        <v>46005</v>
      </c>
      <c r="C4756" t="s">
        <v>4677</v>
      </c>
      <c r="D4756">
        <v>12</v>
      </c>
      <c r="E4756">
        <v>14</v>
      </c>
      <c r="F4756" t="s">
        <v>149</v>
      </c>
      <c r="G4756" t="s">
        <v>80</v>
      </c>
      <c r="H4756" t="s">
        <v>26</v>
      </c>
      <c r="I4756" t="s">
        <v>36</v>
      </c>
      <c r="J4756" t="s">
        <v>53</v>
      </c>
      <c r="K4756" t="s">
        <v>45</v>
      </c>
      <c r="L4756">
        <v>1</v>
      </c>
      <c r="M4756">
        <v>505</v>
      </c>
      <c r="N4756">
        <v>50.5</v>
      </c>
      <c r="O4756">
        <v>40</v>
      </c>
      <c r="P4756">
        <v>505</v>
      </c>
      <c r="Q4756">
        <v>494.5</v>
      </c>
      <c r="R4756" t="s">
        <v>112</v>
      </c>
      <c r="S4756" t="s">
        <v>31</v>
      </c>
      <c r="T4756" t="s">
        <v>32</v>
      </c>
      <c r="U4756">
        <v>18</v>
      </c>
      <c r="V4756">
        <v>4.7</v>
      </c>
      <c r="W4756">
        <f>Table2[[#This Row],[Quantity]]*Table2[[#This Row],[Item_Price]]</f>
        <v>505</v>
      </c>
    </row>
    <row r="4757" spans="1:23" x14ac:dyDescent="0.25">
      <c r="A4757" t="s">
        <v>4862</v>
      </c>
      <c r="B4757" s="1">
        <v>46005</v>
      </c>
      <c r="C4757" t="s">
        <v>4677</v>
      </c>
      <c r="D4757">
        <v>12</v>
      </c>
      <c r="E4757">
        <v>14</v>
      </c>
      <c r="F4757" t="s">
        <v>149</v>
      </c>
      <c r="G4757" t="s">
        <v>25</v>
      </c>
      <c r="H4757" t="s">
        <v>35</v>
      </c>
      <c r="I4757" t="s">
        <v>61</v>
      </c>
      <c r="J4757" t="s">
        <v>172</v>
      </c>
      <c r="K4757" t="s">
        <v>38</v>
      </c>
      <c r="L4757">
        <v>1</v>
      </c>
      <c r="M4757">
        <v>467</v>
      </c>
      <c r="N4757">
        <v>93.4</v>
      </c>
      <c r="O4757">
        <v>50</v>
      </c>
      <c r="P4757">
        <v>467</v>
      </c>
      <c r="Q4757">
        <v>423.6</v>
      </c>
      <c r="R4757" t="s">
        <v>112</v>
      </c>
      <c r="S4757" t="s">
        <v>110</v>
      </c>
      <c r="T4757" t="s">
        <v>32</v>
      </c>
      <c r="U4757">
        <v>37</v>
      </c>
      <c r="W4757">
        <f>Table2[[#This Row],[Quantity]]*Table2[[#This Row],[Item_Price]]</f>
        <v>467</v>
      </c>
    </row>
    <row r="4758" spans="1:23" x14ac:dyDescent="0.25">
      <c r="A4758" t="s">
        <v>4863</v>
      </c>
      <c r="B4758" s="1">
        <v>46005</v>
      </c>
      <c r="C4758" t="s">
        <v>4677</v>
      </c>
      <c r="D4758">
        <v>12</v>
      </c>
      <c r="E4758">
        <v>14</v>
      </c>
      <c r="F4758" t="s">
        <v>149</v>
      </c>
      <c r="G4758" t="s">
        <v>64</v>
      </c>
      <c r="H4758" t="s">
        <v>135</v>
      </c>
      <c r="I4758" t="s">
        <v>69</v>
      </c>
      <c r="J4758" t="s">
        <v>50</v>
      </c>
      <c r="K4758" t="s">
        <v>45</v>
      </c>
      <c r="L4758">
        <v>3</v>
      </c>
      <c r="M4758">
        <v>794</v>
      </c>
      <c r="N4758">
        <v>39.700000000000003</v>
      </c>
      <c r="O4758">
        <v>40</v>
      </c>
      <c r="P4758">
        <v>2382</v>
      </c>
      <c r="Q4758">
        <v>2382.3000000000002</v>
      </c>
      <c r="R4758" t="s">
        <v>75</v>
      </c>
      <c r="S4758" t="s">
        <v>31</v>
      </c>
      <c r="T4758" t="s">
        <v>32</v>
      </c>
      <c r="U4758">
        <v>35</v>
      </c>
      <c r="V4758">
        <v>3.3</v>
      </c>
      <c r="W4758">
        <f>Table2[[#This Row],[Quantity]]*Table2[[#This Row],[Item_Price]]</f>
        <v>2382</v>
      </c>
    </row>
    <row r="4759" spans="1:23" x14ac:dyDescent="0.25">
      <c r="A4759" t="s">
        <v>4864</v>
      </c>
      <c r="B4759" s="1">
        <v>46005</v>
      </c>
      <c r="C4759" t="s">
        <v>4677</v>
      </c>
      <c r="D4759">
        <v>12</v>
      </c>
      <c r="E4759">
        <v>14</v>
      </c>
      <c r="F4759" t="s">
        <v>149</v>
      </c>
      <c r="G4759" t="s">
        <v>96</v>
      </c>
      <c r="H4759" t="s">
        <v>52</v>
      </c>
      <c r="I4759" t="s">
        <v>57</v>
      </c>
      <c r="J4759" t="s">
        <v>74</v>
      </c>
      <c r="K4759" t="s">
        <v>38</v>
      </c>
      <c r="L4759">
        <v>1</v>
      </c>
      <c r="M4759">
        <v>470</v>
      </c>
      <c r="N4759">
        <v>0</v>
      </c>
      <c r="O4759">
        <v>40</v>
      </c>
      <c r="P4759">
        <v>470</v>
      </c>
      <c r="Q4759">
        <v>510</v>
      </c>
      <c r="R4759" t="s">
        <v>112</v>
      </c>
      <c r="S4759" t="s">
        <v>31</v>
      </c>
      <c r="T4759" t="s">
        <v>32</v>
      </c>
      <c r="U4759">
        <v>31</v>
      </c>
      <c r="V4759">
        <v>3.3</v>
      </c>
      <c r="W4759">
        <f>Table2[[#This Row],[Quantity]]*Table2[[#This Row],[Item_Price]]</f>
        <v>470</v>
      </c>
    </row>
    <row r="4760" spans="1:23" x14ac:dyDescent="0.25">
      <c r="A4760" t="s">
        <v>4865</v>
      </c>
      <c r="B4760" s="1">
        <v>46005</v>
      </c>
      <c r="C4760" t="s">
        <v>4677</v>
      </c>
      <c r="D4760">
        <v>12</v>
      </c>
      <c r="E4760">
        <v>14</v>
      </c>
      <c r="F4760" t="s">
        <v>149</v>
      </c>
      <c r="G4760" t="s">
        <v>55</v>
      </c>
      <c r="H4760" t="s">
        <v>60</v>
      </c>
      <c r="I4760" t="s">
        <v>103</v>
      </c>
      <c r="J4760" t="s">
        <v>82</v>
      </c>
      <c r="K4760" t="s">
        <v>38</v>
      </c>
      <c r="L4760">
        <v>1</v>
      </c>
      <c r="M4760">
        <v>554</v>
      </c>
      <c r="N4760">
        <v>83.1</v>
      </c>
      <c r="O4760">
        <v>40</v>
      </c>
      <c r="P4760">
        <v>554</v>
      </c>
      <c r="Q4760">
        <v>510.9</v>
      </c>
      <c r="R4760" t="s">
        <v>75</v>
      </c>
      <c r="S4760" t="s">
        <v>31</v>
      </c>
      <c r="T4760" t="s">
        <v>40</v>
      </c>
      <c r="U4760">
        <v>67</v>
      </c>
      <c r="V4760">
        <v>3.5</v>
      </c>
      <c r="W4760">
        <f>Table2[[#This Row],[Quantity]]*Table2[[#This Row],[Item_Price]]</f>
        <v>554</v>
      </c>
    </row>
    <row r="4761" spans="1:23" x14ac:dyDescent="0.25">
      <c r="A4761" t="s">
        <v>4866</v>
      </c>
      <c r="B4761" s="1">
        <v>46005</v>
      </c>
      <c r="C4761" t="s">
        <v>4677</v>
      </c>
      <c r="D4761">
        <v>12</v>
      </c>
      <c r="E4761">
        <v>14</v>
      </c>
      <c r="F4761" t="s">
        <v>149</v>
      </c>
      <c r="G4761" t="s">
        <v>84</v>
      </c>
      <c r="H4761" t="s">
        <v>77</v>
      </c>
      <c r="I4761" t="s">
        <v>85</v>
      </c>
      <c r="J4761" t="s">
        <v>82</v>
      </c>
      <c r="K4761" t="s">
        <v>38</v>
      </c>
      <c r="L4761">
        <v>3</v>
      </c>
      <c r="M4761">
        <v>863</v>
      </c>
      <c r="N4761">
        <v>86.3</v>
      </c>
      <c r="O4761">
        <v>50</v>
      </c>
      <c r="P4761">
        <v>2589</v>
      </c>
      <c r="Q4761">
        <v>2552.6999999999998</v>
      </c>
      <c r="R4761" t="s">
        <v>39</v>
      </c>
      <c r="S4761" t="s">
        <v>31</v>
      </c>
      <c r="T4761" t="s">
        <v>40</v>
      </c>
      <c r="U4761">
        <v>64</v>
      </c>
      <c r="V4761">
        <v>3.5</v>
      </c>
      <c r="W4761">
        <f>Table2[[#This Row],[Quantity]]*Table2[[#This Row],[Item_Price]]</f>
        <v>2589</v>
      </c>
    </row>
    <row r="4762" spans="1:23" x14ac:dyDescent="0.25">
      <c r="A4762" t="s">
        <v>4867</v>
      </c>
      <c r="B4762" s="1">
        <v>46005</v>
      </c>
      <c r="C4762" t="s">
        <v>4677</v>
      </c>
      <c r="D4762">
        <v>12</v>
      </c>
      <c r="E4762">
        <v>14</v>
      </c>
      <c r="F4762" t="s">
        <v>149</v>
      </c>
      <c r="G4762" t="s">
        <v>73</v>
      </c>
      <c r="H4762" t="s">
        <v>135</v>
      </c>
      <c r="I4762" t="s">
        <v>43</v>
      </c>
      <c r="J4762" t="s">
        <v>66</v>
      </c>
      <c r="K4762" t="s">
        <v>45</v>
      </c>
      <c r="L4762">
        <v>1</v>
      </c>
      <c r="M4762">
        <v>160</v>
      </c>
      <c r="N4762">
        <v>24</v>
      </c>
      <c r="O4762">
        <v>40</v>
      </c>
      <c r="P4762">
        <v>160</v>
      </c>
      <c r="Q4762">
        <v>176</v>
      </c>
      <c r="R4762" t="s">
        <v>112</v>
      </c>
      <c r="S4762" t="s">
        <v>31</v>
      </c>
      <c r="T4762" t="s">
        <v>40</v>
      </c>
      <c r="U4762">
        <v>36</v>
      </c>
      <c r="V4762">
        <v>4.2</v>
      </c>
      <c r="W4762">
        <f>Table2[[#This Row],[Quantity]]*Table2[[#This Row],[Item_Price]]</f>
        <v>160</v>
      </c>
    </row>
    <row r="4763" spans="1:23" x14ac:dyDescent="0.25">
      <c r="A4763" t="s">
        <v>4868</v>
      </c>
      <c r="B4763" s="1">
        <v>46005</v>
      </c>
      <c r="C4763" t="s">
        <v>4677</v>
      </c>
      <c r="D4763">
        <v>12</v>
      </c>
      <c r="E4763">
        <v>14</v>
      </c>
      <c r="F4763" t="s">
        <v>149</v>
      </c>
      <c r="G4763" t="s">
        <v>80</v>
      </c>
      <c r="H4763" t="s">
        <v>52</v>
      </c>
      <c r="I4763" t="s">
        <v>36</v>
      </c>
      <c r="J4763" t="s">
        <v>74</v>
      </c>
      <c r="K4763" t="s">
        <v>38</v>
      </c>
      <c r="L4763">
        <v>1</v>
      </c>
      <c r="M4763">
        <v>499</v>
      </c>
      <c r="N4763">
        <v>74.849999999999994</v>
      </c>
      <c r="O4763">
        <v>50</v>
      </c>
      <c r="P4763">
        <v>499</v>
      </c>
      <c r="Q4763">
        <v>474.15</v>
      </c>
      <c r="R4763" t="s">
        <v>75</v>
      </c>
      <c r="S4763" t="s">
        <v>31</v>
      </c>
      <c r="T4763" t="s">
        <v>40</v>
      </c>
      <c r="U4763">
        <v>19</v>
      </c>
      <c r="V4763">
        <v>3.1</v>
      </c>
      <c r="W4763">
        <f>Table2[[#This Row],[Quantity]]*Table2[[#This Row],[Item_Price]]</f>
        <v>499</v>
      </c>
    </row>
    <row r="4764" spans="1:23" x14ac:dyDescent="0.25">
      <c r="A4764" t="s">
        <v>4869</v>
      </c>
      <c r="B4764" s="1">
        <v>46005</v>
      </c>
      <c r="C4764" t="s">
        <v>4677</v>
      </c>
      <c r="D4764">
        <v>12</v>
      </c>
      <c r="E4764">
        <v>14</v>
      </c>
      <c r="F4764" t="s">
        <v>149</v>
      </c>
      <c r="G4764" t="s">
        <v>34</v>
      </c>
      <c r="H4764" t="s">
        <v>139</v>
      </c>
      <c r="I4764" t="s">
        <v>103</v>
      </c>
      <c r="J4764" t="s">
        <v>62</v>
      </c>
      <c r="K4764" t="s">
        <v>38</v>
      </c>
      <c r="L4764">
        <v>1</v>
      </c>
      <c r="M4764">
        <v>497</v>
      </c>
      <c r="N4764">
        <v>74.55</v>
      </c>
      <c r="O4764">
        <v>70</v>
      </c>
      <c r="P4764">
        <v>497</v>
      </c>
      <c r="Q4764">
        <v>492.45</v>
      </c>
      <c r="R4764" t="s">
        <v>30</v>
      </c>
      <c r="S4764" t="s">
        <v>31</v>
      </c>
      <c r="T4764" t="s">
        <v>40</v>
      </c>
      <c r="U4764">
        <v>56</v>
      </c>
      <c r="V4764">
        <v>3.6</v>
      </c>
      <c r="W4764">
        <f>Table2[[#This Row],[Quantity]]*Table2[[#This Row],[Item_Price]]</f>
        <v>497</v>
      </c>
    </row>
    <row r="4765" spans="1:23" x14ac:dyDescent="0.25">
      <c r="A4765" t="s">
        <v>4870</v>
      </c>
      <c r="B4765" s="1">
        <v>46005</v>
      </c>
      <c r="C4765" t="s">
        <v>4677</v>
      </c>
      <c r="D4765">
        <v>12</v>
      </c>
      <c r="E4765">
        <v>14</v>
      </c>
      <c r="F4765" t="s">
        <v>149</v>
      </c>
      <c r="G4765" t="s">
        <v>64</v>
      </c>
      <c r="H4765" t="s">
        <v>77</v>
      </c>
      <c r="I4765" t="s">
        <v>36</v>
      </c>
      <c r="J4765" t="s">
        <v>119</v>
      </c>
      <c r="K4765" t="s">
        <v>38</v>
      </c>
      <c r="L4765">
        <v>3</v>
      </c>
      <c r="M4765">
        <v>787</v>
      </c>
      <c r="N4765">
        <v>196.75</v>
      </c>
      <c r="O4765">
        <v>70</v>
      </c>
      <c r="P4765">
        <v>2361</v>
      </c>
      <c r="Q4765">
        <v>2234.25</v>
      </c>
      <c r="R4765" t="s">
        <v>75</v>
      </c>
      <c r="S4765" t="s">
        <v>31</v>
      </c>
      <c r="T4765" t="s">
        <v>40</v>
      </c>
      <c r="U4765">
        <v>33</v>
      </c>
      <c r="V4765">
        <v>4.3</v>
      </c>
      <c r="W4765">
        <f>Table2[[#This Row],[Quantity]]*Table2[[#This Row],[Item_Price]]</f>
        <v>2361</v>
      </c>
    </row>
    <row r="4766" spans="1:23" x14ac:dyDescent="0.25">
      <c r="A4766" t="s">
        <v>4871</v>
      </c>
      <c r="B4766" s="1">
        <v>46006</v>
      </c>
      <c r="C4766" t="s">
        <v>4677</v>
      </c>
      <c r="D4766">
        <v>12</v>
      </c>
      <c r="E4766">
        <v>15</v>
      </c>
      <c r="F4766" t="s">
        <v>168</v>
      </c>
      <c r="G4766" t="s">
        <v>64</v>
      </c>
      <c r="H4766" t="s">
        <v>108</v>
      </c>
      <c r="I4766" t="s">
        <v>43</v>
      </c>
      <c r="J4766" t="s">
        <v>172</v>
      </c>
      <c r="K4766" t="s">
        <v>38</v>
      </c>
      <c r="L4766">
        <v>3</v>
      </c>
      <c r="M4766">
        <v>520</v>
      </c>
      <c r="N4766">
        <v>78</v>
      </c>
      <c r="O4766">
        <v>50</v>
      </c>
      <c r="P4766">
        <v>1560</v>
      </c>
      <c r="Q4766">
        <v>1532</v>
      </c>
      <c r="R4766" t="s">
        <v>30</v>
      </c>
      <c r="S4766" t="s">
        <v>91</v>
      </c>
      <c r="T4766" t="s">
        <v>40</v>
      </c>
      <c r="U4766">
        <v>46</v>
      </c>
      <c r="W4766">
        <f>Table2[[#This Row],[Quantity]]*Table2[[#This Row],[Item_Price]]</f>
        <v>1560</v>
      </c>
    </row>
    <row r="4767" spans="1:23" x14ac:dyDescent="0.25">
      <c r="A4767" t="s">
        <v>4872</v>
      </c>
      <c r="B4767" s="1">
        <v>46006</v>
      </c>
      <c r="C4767" t="s">
        <v>4677</v>
      </c>
      <c r="D4767">
        <v>12</v>
      </c>
      <c r="E4767">
        <v>15</v>
      </c>
      <c r="F4767" t="s">
        <v>168</v>
      </c>
      <c r="G4767" t="s">
        <v>80</v>
      </c>
      <c r="H4767" t="s">
        <v>68</v>
      </c>
      <c r="I4767" t="s">
        <v>57</v>
      </c>
      <c r="J4767" t="s">
        <v>94</v>
      </c>
      <c r="K4767" t="s">
        <v>58</v>
      </c>
      <c r="L4767">
        <v>1</v>
      </c>
      <c r="M4767">
        <v>146</v>
      </c>
      <c r="N4767">
        <v>14.6</v>
      </c>
      <c r="O4767">
        <v>30</v>
      </c>
      <c r="P4767">
        <v>146</v>
      </c>
      <c r="Q4767">
        <v>161.4</v>
      </c>
      <c r="R4767" t="s">
        <v>39</v>
      </c>
      <c r="S4767" t="s">
        <v>31</v>
      </c>
      <c r="T4767" t="s">
        <v>40</v>
      </c>
      <c r="U4767">
        <v>32</v>
      </c>
      <c r="V4767">
        <v>3.9</v>
      </c>
      <c r="W4767">
        <f>Table2[[#This Row],[Quantity]]*Table2[[#This Row],[Item_Price]]</f>
        <v>146</v>
      </c>
    </row>
    <row r="4768" spans="1:23" x14ac:dyDescent="0.25">
      <c r="A4768" t="s">
        <v>4873</v>
      </c>
      <c r="B4768" s="1">
        <v>46006</v>
      </c>
      <c r="C4768" t="s">
        <v>4677</v>
      </c>
      <c r="D4768">
        <v>12</v>
      </c>
      <c r="E4768">
        <v>15</v>
      </c>
      <c r="F4768" t="s">
        <v>168</v>
      </c>
      <c r="G4768" t="s">
        <v>64</v>
      </c>
      <c r="H4768" t="s">
        <v>81</v>
      </c>
      <c r="I4768" t="s">
        <v>57</v>
      </c>
      <c r="J4768" t="s">
        <v>28</v>
      </c>
      <c r="K4768" t="s">
        <v>45</v>
      </c>
      <c r="L4768">
        <v>2</v>
      </c>
      <c r="M4768">
        <v>800</v>
      </c>
      <c r="N4768">
        <v>120</v>
      </c>
      <c r="O4768">
        <v>40</v>
      </c>
      <c r="P4768">
        <v>1600</v>
      </c>
      <c r="Q4768">
        <v>1520</v>
      </c>
      <c r="R4768" t="s">
        <v>75</v>
      </c>
      <c r="S4768" t="s">
        <v>31</v>
      </c>
      <c r="T4768" t="s">
        <v>32</v>
      </c>
      <c r="U4768">
        <v>69</v>
      </c>
      <c r="V4768">
        <v>2.8</v>
      </c>
      <c r="W4768">
        <f>Table2[[#This Row],[Quantity]]*Table2[[#This Row],[Item_Price]]</f>
        <v>1600</v>
      </c>
    </row>
    <row r="4769" spans="1:23" x14ac:dyDescent="0.25">
      <c r="A4769" t="s">
        <v>4874</v>
      </c>
      <c r="B4769" s="1">
        <v>46006</v>
      </c>
      <c r="C4769" t="s">
        <v>4677</v>
      </c>
      <c r="D4769">
        <v>12</v>
      </c>
      <c r="E4769">
        <v>15</v>
      </c>
      <c r="F4769" t="s">
        <v>168</v>
      </c>
      <c r="G4769" t="s">
        <v>25</v>
      </c>
      <c r="H4769" t="s">
        <v>108</v>
      </c>
      <c r="I4769" t="s">
        <v>57</v>
      </c>
      <c r="J4769" t="s">
        <v>172</v>
      </c>
      <c r="K4769" t="s">
        <v>38</v>
      </c>
      <c r="L4769">
        <v>1</v>
      </c>
      <c r="M4769">
        <v>442</v>
      </c>
      <c r="N4769">
        <v>110.5</v>
      </c>
      <c r="O4769">
        <v>50</v>
      </c>
      <c r="P4769">
        <v>442</v>
      </c>
      <c r="Q4769">
        <v>381.5</v>
      </c>
      <c r="R4769" t="s">
        <v>39</v>
      </c>
      <c r="S4769" t="s">
        <v>31</v>
      </c>
      <c r="T4769" t="s">
        <v>32</v>
      </c>
      <c r="U4769">
        <v>69</v>
      </c>
      <c r="V4769">
        <v>4</v>
      </c>
      <c r="W4769">
        <f>Table2[[#This Row],[Quantity]]*Table2[[#This Row],[Item_Price]]</f>
        <v>442</v>
      </c>
    </row>
    <row r="4770" spans="1:23" x14ac:dyDescent="0.25">
      <c r="A4770" t="s">
        <v>4875</v>
      </c>
      <c r="B4770" s="1">
        <v>46006</v>
      </c>
      <c r="C4770" t="s">
        <v>4677</v>
      </c>
      <c r="D4770">
        <v>12</v>
      </c>
      <c r="E4770">
        <v>15</v>
      </c>
      <c r="F4770" t="s">
        <v>168</v>
      </c>
      <c r="G4770" t="s">
        <v>55</v>
      </c>
      <c r="H4770" t="s">
        <v>65</v>
      </c>
      <c r="I4770" t="s">
        <v>27</v>
      </c>
      <c r="J4770" t="s">
        <v>37</v>
      </c>
      <c r="K4770" t="s">
        <v>38</v>
      </c>
      <c r="L4770">
        <v>1</v>
      </c>
      <c r="M4770">
        <v>186</v>
      </c>
      <c r="N4770">
        <v>37.200000000000003</v>
      </c>
      <c r="O4770">
        <v>40</v>
      </c>
      <c r="P4770">
        <v>186</v>
      </c>
      <c r="Q4770">
        <v>188.8</v>
      </c>
      <c r="R4770" t="s">
        <v>98</v>
      </c>
      <c r="S4770" t="s">
        <v>31</v>
      </c>
      <c r="T4770" t="s">
        <v>32</v>
      </c>
      <c r="U4770">
        <v>34</v>
      </c>
      <c r="V4770">
        <v>4.2</v>
      </c>
      <c r="W4770">
        <f>Table2[[#This Row],[Quantity]]*Table2[[#This Row],[Item_Price]]</f>
        <v>186</v>
      </c>
    </row>
    <row r="4771" spans="1:23" x14ac:dyDescent="0.25">
      <c r="A4771" t="s">
        <v>4876</v>
      </c>
      <c r="B4771" s="1">
        <v>46006</v>
      </c>
      <c r="C4771" t="s">
        <v>4677</v>
      </c>
      <c r="D4771">
        <v>12</v>
      </c>
      <c r="E4771">
        <v>15</v>
      </c>
      <c r="F4771" t="s">
        <v>168</v>
      </c>
      <c r="G4771" t="s">
        <v>64</v>
      </c>
      <c r="H4771" t="s">
        <v>135</v>
      </c>
      <c r="I4771" t="s">
        <v>69</v>
      </c>
      <c r="J4771" t="s">
        <v>101</v>
      </c>
      <c r="K4771" t="s">
        <v>38</v>
      </c>
      <c r="L4771">
        <v>1</v>
      </c>
      <c r="M4771">
        <v>374</v>
      </c>
      <c r="N4771">
        <v>37.4</v>
      </c>
      <c r="O4771">
        <v>0</v>
      </c>
      <c r="P4771">
        <v>374</v>
      </c>
      <c r="Q4771">
        <v>336.6</v>
      </c>
      <c r="R4771" t="s">
        <v>98</v>
      </c>
      <c r="S4771" t="s">
        <v>110</v>
      </c>
      <c r="T4771" t="s">
        <v>40</v>
      </c>
      <c r="U4771">
        <v>37</v>
      </c>
      <c r="W4771">
        <f>Table2[[#This Row],[Quantity]]*Table2[[#This Row],[Item_Price]]</f>
        <v>374</v>
      </c>
    </row>
    <row r="4772" spans="1:23" x14ac:dyDescent="0.25">
      <c r="A4772" t="s">
        <v>4877</v>
      </c>
      <c r="B4772" s="1">
        <v>46006</v>
      </c>
      <c r="C4772" t="s">
        <v>4677</v>
      </c>
      <c r="D4772">
        <v>12</v>
      </c>
      <c r="E4772">
        <v>15</v>
      </c>
      <c r="F4772" t="s">
        <v>168</v>
      </c>
      <c r="G4772" t="s">
        <v>80</v>
      </c>
      <c r="H4772" t="s">
        <v>35</v>
      </c>
      <c r="I4772" t="s">
        <v>43</v>
      </c>
      <c r="J4772" t="s">
        <v>172</v>
      </c>
      <c r="K4772" t="s">
        <v>38</v>
      </c>
      <c r="L4772">
        <v>2</v>
      </c>
      <c r="M4772">
        <v>144</v>
      </c>
      <c r="N4772">
        <v>0</v>
      </c>
      <c r="O4772">
        <v>20</v>
      </c>
      <c r="P4772">
        <v>288</v>
      </c>
      <c r="Q4772">
        <v>308</v>
      </c>
      <c r="R4772" t="s">
        <v>112</v>
      </c>
      <c r="S4772" t="s">
        <v>46</v>
      </c>
      <c r="T4772" t="s">
        <v>40</v>
      </c>
      <c r="U4772">
        <v>50</v>
      </c>
      <c r="W4772">
        <f>Table2[[#This Row],[Quantity]]*Table2[[#This Row],[Item_Price]]</f>
        <v>288</v>
      </c>
    </row>
    <row r="4773" spans="1:23" x14ac:dyDescent="0.25">
      <c r="A4773" t="s">
        <v>4878</v>
      </c>
      <c r="B4773" s="1">
        <v>46006</v>
      </c>
      <c r="C4773" t="s">
        <v>4677</v>
      </c>
      <c r="D4773">
        <v>12</v>
      </c>
      <c r="E4773">
        <v>15</v>
      </c>
      <c r="F4773" t="s">
        <v>168</v>
      </c>
      <c r="G4773" t="s">
        <v>55</v>
      </c>
      <c r="H4773" t="s">
        <v>60</v>
      </c>
      <c r="I4773" t="s">
        <v>97</v>
      </c>
      <c r="J4773" t="s">
        <v>50</v>
      </c>
      <c r="K4773" t="s">
        <v>45</v>
      </c>
      <c r="L4773">
        <v>1</v>
      </c>
      <c r="M4773">
        <v>298</v>
      </c>
      <c r="N4773">
        <v>44.7</v>
      </c>
      <c r="O4773">
        <v>40</v>
      </c>
      <c r="P4773">
        <v>298</v>
      </c>
      <c r="Q4773">
        <v>293.3</v>
      </c>
      <c r="R4773" t="s">
        <v>39</v>
      </c>
      <c r="S4773" t="s">
        <v>31</v>
      </c>
      <c r="T4773" t="s">
        <v>40</v>
      </c>
      <c r="U4773">
        <v>57</v>
      </c>
      <c r="V4773">
        <v>3.5</v>
      </c>
      <c r="W4773">
        <f>Table2[[#This Row],[Quantity]]*Table2[[#This Row],[Item_Price]]</f>
        <v>298</v>
      </c>
    </row>
    <row r="4774" spans="1:23" x14ac:dyDescent="0.25">
      <c r="A4774" t="s">
        <v>4879</v>
      </c>
      <c r="B4774" s="1">
        <v>46006</v>
      </c>
      <c r="C4774" t="s">
        <v>4677</v>
      </c>
      <c r="D4774">
        <v>12</v>
      </c>
      <c r="E4774">
        <v>15</v>
      </c>
      <c r="F4774" t="s">
        <v>168</v>
      </c>
      <c r="G4774" t="s">
        <v>64</v>
      </c>
      <c r="H4774" t="s">
        <v>108</v>
      </c>
      <c r="I4774" t="s">
        <v>69</v>
      </c>
      <c r="J4774" t="s">
        <v>44</v>
      </c>
      <c r="K4774" t="s">
        <v>38</v>
      </c>
      <c r="L4774">
        <v>1</v>
      </c>
      <c r="M4774">
        <v>251</v>
      </c>
      <c r="N4774">
        <v>25.1</v>
      </c>
      <c r="O4774">
        <v>40</v>
      </c>
      <c r="P4774">
        <v>251</v>
      </c>
      <c r="Q4774">
        <v>265.89999999999998</v>
      </c>
      <c r="R4774" t="s">
        <v>30</v>
      </c>
      <c r="S4774" t="s">
        <v>31</v>
      </c>
      <c r="T4774" t="s">
        <v>40</v>
      </c>
      <c r="U4774">
        <v>64</v>
      </c>
      <c r="V4774">
        <v>5</v>
      </c>
      <c r="W4774">
        <f>Table2[[#This Row],[Quantity]]*Table2[[#This Row],[Item_Price]]</f>
        <v>251</v>
      </c>
    </row>
    <row r="4775" spans="1:23" x14ac:dyDescent="0.25">
      <c r="A4775" t="s">
        <v>4880</v>
      </c>
      <c r="B4775" s="1">
        <v>46006</v>
      </c>
      <c r="C4775" t="s">
        <v>4677</v>
      </c>
      <c r="D4775">
        <v>12</v>
      </c>
      <c r="E4775">
        <v>15</v>
      </c>
      <c r="F4775" t="s">
        <v>168</v>
      </c>
      <c r="G4775" t="s">
        <v>90</v>
      </c>
      <c r="H4775" t="s">
        <v>81</v>
      </c>
      <c r="I4775" t="s">
        <v>85</v>
      </c>
      <c r="J4775" t="s">
        <v>82</v>
      </c>
      <c r="K4775" t="s">
        <v>38</v>
      </c>
      <c r="L4775">
        <v>1</v>
      </c>
      <c r="M4775">
        <v>700</v>
      </c>
      <c r="N4775">
        <v>70</v>
      </c>
      <c r="O4775">
        <v>20</v>
      </c>
      <c r="P4775">
        <v>700</v>
      </c>
      <c r="Q4775">
        <v>650</v>
      </c>
      <c r="R4775" t="s">
        <v>30</v>
      </c>
      <c r="S4775" t="s">
        <v>91</v>
      </c>
      <c r="T4775" t="s">
        <v>40</v>
      </c>
      <c r="U4775">
        <v>40</v>
      </c>
      <c r="W4775">
        <f>Table2[[#This Row],[Quantity]]*Table2[[#This Row],[Item_Price]]</f>
        <v>700</v>
      </c>
    </row>
    <row r="4776" spans="1:23" x14ac:dyDescent="0.25">
      <c r="A4776" t="s">
        <v>4881</v>
      </c>
      <c r="B4776" s="1">
        <v>46006</v>
      </c>
      <c r="C4776" t="s">
        <v>4677</v>
      </c>
      <c r="D4776">
        <v>12</v>
      </c>
      <c r="E4776">
        <v>15</v>
      </c>
      <c r="F4776" t="s">
        <v>168</v>
      </c>
      <c r="G4776" t="s">
        <v>55</v>
      </c>
      <c r="H4776" t="s">
        <v>77</v>
      </c>
      <c r="I4776" t="s">
        <v>85</v>
      </c>
      <c r="J4776" t="s">
        <v>123</v>
      </c>
      <c r="K4776" t="s">
        <v>45</v>
      </c>
      <c r="L4776">
        <v>3</v>
      </c>
      <c r="M4776">
        <v>765</v>
      </c>
      <c r="N4776">
        <v>76.5</v>
      </c>
      <c r="O4776">
        <v>30</v>
      </c>
      <c r="P4776">
        <v>2295</v>
      </c>
      <c r="Q4776">
        <v>2248.5</v>
      </c>
      <c r="R4776" t="s">
        <v>39</v>
      </c>
      <c r="S4776" t="s">
        <v>31</v>
      </c>
      <c r="T4776" t="s">
        <v>40</v>
      </c>
      <c r="U4776">
        <v>33</v>
      </c>
      <c r="V4776">
        <v>3.8</v>
      </c>
      <c r="W4776">
        <f>Table2[[#This Row],[Quantity]]*Table2[[#This Row],[Item_Price]]</f>
        <v>2295</v>
      </c>
    </row>
    <row r="4777" spans="1:23" x14ac:dyDescent="0.25">
      <c r="A4777" t="s">
        <v>4882</v>
      </c>
      <c r="B4777" s="1">
        <v>46006</v>
      </c>
      <c r="C4777" t="s">
        <v>4677</v>
      </c>
      <c r="D4777">
        <v>12</v>
      </c>
      <c r="E4777">
        <v>15</v>
      </c>
      <c r="F4777" t="s">
        <v>168</v>
      </c>
      <c r="G4777" t="s">
        <v>115</v>
      </c>
      <c r="H4777" t="s">
        <v>60</v>
      </c>
      <c r="I4777" t="s">
        <v>36</v>
      </c>
      <c r="J4777" t="s">
        <v>74</v>
      </c>
      <c r="K4777" t="s">
        <v>58</v>
      </c>
      <c r="L4777">
        <v>2</v>
      </c>
      <c r="M4777">
        <v>707</v>
      </c>
      <c r="N4777">
        <v>0</v>
      </c>
      <c r="O4777">
        <v>0</v>
      </c>
      <c r="P4777">
        <v>1414</v>
      </c>
      <c r="Q4777">
        <v>1414</v>
      </c>
      <c r="R4777" t="s">
        <v>112</v>
      </c>
      <c r="S4777" t="s">
        <v>31</v>
      </c>
      <c r="T4777" t="s">
        <v>40</v>
      </c>
      <c r="U4777">
        <v>40</v>
      </c>
      <c r="V4777">
        <v>4.7</v>
      </c>
      <c r="W4777">
        <f>Table2[[#This Row],[Quantity]]*Table2[[#This Row],[Item_Price]]</f>
        <v>1414</v>
      </c>
    </row>
    <row r="4778" spans="1:23" x14ac:dyDescent="0.25">
      <c r="A4778" t="s">
        <v>4883</v>
      </c>
      <c r="B4778" s="1">
        <v>46006</v>
      </c>
      <c r="C4778" t="s">
        <v>4677</v>
      </c>
      <c r="D4778">
        <v>12</v>
      </c>
      <c r="E4778">
        <v>15</v>
      </c>
      <c r="F4778" t="s">
        <v>168</v>
      </c>
      <c r="G4778" t="s">
        <v>80</v>
      </c>
      <c r="H4778" t="s">
        <v>35</v>
      </c>
      <c r="I4778" t="s">
        <v>49</v>
      </c>
      <c r="J4778" t="s">
        <v>53</v>
      </c>
      <c r="K4778" t="s">
        <v>58</v>
      </c>
      <c r="L4778">
        <v>1</v>
      </c>
      <c r="M4778">
        <v>761</v>
      </c>
      <c r="N4778">
        <v>0</v>
      </c>
      <c r="O4778">
        <v>30</v>
      </c>
      <c r="P4778">
        <v>761</v>
      </c>
      <c r="Q4778">
        <v>791</v>
      </c>
      <c r="R4778" t="s">
        <v>75</v>
      </c>
      <c r="S4778" t="s">
        <v>31</v>
      </c>
      <c r="T4778" t="s">
        <v>40</v>
      </c>
      <c r="U4778">
        <v>64</v>
      </c>
      <c r="V4778">
        <v>4.5</v>
      </c>
      <c r="W4778">
        <f>Table2[[#This Row],[Quantity]]*Table2[[#This Row],[Item_Price]]</f>
        <v>761</v>
      </c>
    </row>
    <row r="4779" spans="1:23" x14ac:dyDescent="0.25">
      <c r="A4779" t="s">
        <v>4884</v>
      </c>
      <c r="B4779" s="1">
        <v>46006</v>
      </c>
      <c r="C4779" t="s">
        <v>4677</v>
      </c>
      <c r="D4779">
        <v>12</v>
      </c>
      <c r="E4779">
        <v>15</v>
      </c>
      <c r="F4779" t="s">
        <v>168</v>
      </c>
      <c r="G4779" t="s">
        <v>55</v>
      </c>
      <c r="H4779" t="s">
        <v>81</v>
      </c>
      <c r="I4779" t="s">
        <v>103</v>
      </c>
      <c r="J4779" t="s">
        <v>50</v>
      </c>
      <c r="K4779" t="s">
        <v>38</v>
      </c>
      <c r="L4779">
        <v>1</v>
      </c>
      <c r="M4779">
        <v>541</v>
      </c>
      <c r="N4779">
        <v>81.150000000000006</v>
      </c>
      <c r="O4779">
        <v>50</v>
      </c>
      <c r="P4779">
        <v>541</v>
      </c>
      <c r="Q4779">
        <v>509.85</v>
      </c>
      <c r="R4779" t="s">
        <v>75</v>
      </c>
      <c r="S4779" t="s">
        <v>31</v>
      </c>
      <c r="T4779" t="s">
        <v>32</v>
      </c>
      <c r="U4779">
        <v>30</v>
      </c>
      <c r="V4779">
        <v>5</v>
      </c>
      <c r="W4779">
        <f>Table2[[#This Row],[Quantity]]*Table2[[#This Row],[Item_Price]]</f>
        <v>541</v>
      </c>
    </row>
    <row r="4780" spans="1:23" x14ac:dyDescent="0.25">
      <c r="A4780" t="s">
        <v>4885</v>
      </c>
      <c r="B4780" s="1">
        <v>46006</v>
      </c>
      <c r="C4780" t="s">
        <v>4677</v>
      </c>
      <c r="D4780">
        <v>12</v>
      </c>
      <c r="E4780">
        <v>15</v>
      </c>
      <c r="F4780" t="s">
        <v>168</v>
      </c>
      <c r="G4780" t="s">
        <v>64</v>
      </c>
      <c r="H4780" t="s">
        <v>42</v>
      </c>
      <c r="I4780" t="s">
        <v>103</v>
      </c>
      <c r="J4780" t="s">
        <v>74</v>
      </c>
      <c r="K4780" t="s">
        <v>38</v>
      </c>
      <c r="L4780">
        <v>2</v>
      </c>
      <c r="M4780">
        <v>159</v>
      </c>
      <c r="N4780">
        <v>0</v>
      </c>
      <c r="O4780">
        <v>30</v>
      </c>
      <c r="P4780">
        <v>318</v>
      </c>
      <c r="Q4780">
        <v>348</v>
      </c>
      <c r="R4780" t="s">
        <v>39</v>
      </c>
      <c r="S4780" t="s">
        <v>31</v>
      </c>
      <c r="T4780" t="s">
        <v>32</v>
      </c>
      <c r="U4780">
        <v>44</v>
      </c>
      <c r="V4780">
        <v>4.5</v>
      </c>
      <c r="W4780">
        <f>Table2[[#This Row],[Quantity]]*Table2[[#This Row],[Item_Price]]</f>
        <v>318</v>
      </c>
    </row>
    <row r="4781" spans="1:23" x14ac:dyDescent="0.25">
      <c r="A4781" t="s">
        <v>4886</v>
      </c>
      <c r="B4781" s="1">
        <v>46006</v>
      </c>
      <c r="C4781" t="s">
        <v>4677</v>
      </c>
      <c r="D4781">
        <v>12</v>
      </c>
      <c r="E4781">
        <v>15</v>
      </c>
      <c r="F4781" t="s">
        <v>168</v>
      </c>
      <c r="G4781" t="s">
        <v>73</v>
      </c>
      <c r="H4781" t="s">
        <v>65</v>
      </c>
      <c r="I4781" t="s">
        <v>61</v>
      </c>
      <c r="J4781" t="s">
        <v>123</v>
      </c>
      <c r="K4781" t="s">
        <v>38</v>
      </c>
      <c r="L4781">
        <v>2</v>
      </c>
      <c r="M4781">
        <v>699</v>
      </c>
      <c r="N4781">
        <v>104.85</v>
      </c>
      <c r="O4781">
        <v>40</v>
      </c>
      <c r="P4781">
        <v>1398</v>
      </c>
      <c r="Q4781">
        <v>1333.15</v>
      </c>
      <c r="R4781" t="s">
        <v>98</v>
      </c>
      <c r="S4781" t="s">
        <v>31</v>
      </c>
      <c r="T4781" t="s">
        <v>40</v>
      </c>
      <c r="U4781">
        <v>26</v>
      </c>
      <c r="V4781">
        <v>4</v>
      </c>
      <c r="W4781">
        <f>Table2[[#This Row],[Quantity]]*Table2[[#This Row],[Item_Price]]</f>
        <v>1398</v>
      </c>
    </row>
    <row r="4782" spans="1:23" x14ac:dyDescent="0.25">
      <c r="A4782" t="s">
        <v>4887</v>
      </c>
      <c r="B4782" s="1">
        <v>46006</v>
      </c>
      <c r="C4782" t="s">
        <v>4677</v>
      </c>
      <c r="D4782">
        <v>12</v>
      </c>
      <c r="E4782">
        <v>15</v>
      </c>
      <c r="F4782" t="s">
        <v>168</v>
      </c>
      <c r="G4782" t="s">
        <v>34</v>
      </c>
      <c r="H4782" t="s">
        <v>56</v>
      </c>
      <c r="I4782" t="s">
        <v>36</v>
      </c>
      <c r="J4782" t="s">
        <v>82</v>
      </c>
      <c r="K4782" t="s">
        <v>45</v>
      </c>
      <c r="L4782">
        <v>1</v>
      </c>
      <c r="M4782">
        <v>472</v>
      </c>
      <c r="N4782">
        <v>47.2</v>
      </c>
      <c r="O4782">
        <v>20</v>
      </c>
      <c r="P4782">
        <v>472</v>
      </c>
      <c r="Q4782">
        <v>444.8</v>
      </c>
      <c r="R4782" t="s">
        <v>75</v>
      </c>
      <c r="S4782" t="s">
        <v>91</v>
      </c>
      <c r="T4782" t="s">
        <v>32</v>
      </c>
      <c r="U4782">
        <v>24</v>
      </c>
      <c r="W4782">
        <f>Table2[[#This Row],[Quantity]]*Table2[[#This Row],[Item_Price]]</f>
        <v>472</v>
      </c>
    </row>
    <row r="4783" spans="1:23" x14ac:dyDescent="0.25">
      <c r="A4783" t="s">
        <v>4888</v>
      </c>
      <c r="B4783" s="1">
        <v>46007</v>
      </c>
      <c r="C4783" t="s">
        <v>4677</v>
      </c>
      <c r="D4783">
        <v>12</v>
      </c>
      <c r="E4783">
        <v>16</v>
      </c>
      <c r="F4783" t="s">
        <v>178</v>
      </c>
      <c r="G4783" t="s">
        <v>64</v>
      </c>
      <c r="H4783" t="s">
        <v>52</v>
      </c>
      <c r="I4783" t="s">
        <v>69</v>
      </c>
      <c r="J4783" t="s">
        <v>28</v>
      </c>
      <c r="K4783" t="s">
        <v>45</v>
      </c>
      <c r="L4783">
        <v>2</v>
      </c>
      <c r="M4783">
        <v>314</v>
      </c>
      <c r="N4783">
        <v>15.7</v>
      </c>
      <c r="O4783">
        <v>70</v>
      </c>
      <c r="P4783">
        <v>628</v>
      </c>
      <c r="Q4783">
        <v>682.3</v>
      </c>
      <c r="R4783" t="s">
        <v>39</v>
      </c>
      <c r="S4783" t="s">
        <v>31</v>
      </c>
      <c r="T4783" t="s">
        <v>32</v>
      </c>
      <c r="U4783">
        <v>27</v>
      </c>
      <c r="V4783">
        <v>4.7</v>
      </c>
      <c r="W4783">
        <f>Table2[[#This Row],[Quantity]]*Table2[[#This Row],[Item_Price]]</f>
        <v>628</v>
      </c>
    </row>
    <row r="4784" spans="1:23" x14ac:dyDescent="0.25">
      <c r="A4784" t="s">
        <v>4889</v>
      </c>
      <c r="B4784" s="1">
        <v>46007</v>
      </c>
      <c r="C4784" t="s">
        <v>4677</v>
      </c>
      <c r="D4784">
        <v>12</v>
      </c>
      <c r="E4784">
        <v>16</v>
      </c>
      <c r="F4784" t="s">
        <v>178</v>
      </c>
      <c r="G4784" t="s">
        <v>64</v>
      </c>
      <c r="H4784" t="s">
        <v>26</v>
      </c>
      <c r="I4784" t="s">
        <v>85</v>
      </c>
      <c r="J4784" t="s">
        <v>74</v>
      </c>
      <c r="K4784" t="s">
        <v>38</v>
      </c>
      <c r="L4784">
        <v>1</v>
      </c>
      <c r="M4784">
        <v>627</v>
      </c>
      <c r="N4784">
        <v>31.35</v>
      </c>
      <c r="O4784">
        <v>0</v>
      </c>
      <c r="P4784">
        <v>627</v>
      </c>
      <c r="Q4784">
        <v>595.65</v>
      </c>
      <c r="R4784" t="s">
        <v>39</v>
      </c>
      <c r="S4784" t="s">
        <v>110</v>
      </c>
      <c r="T4784" t="s">
        <v>32</v>
      </c>
      <c r="U4784">
        <v>64</v>
      </c>
      <c r="W4784">
        <f>Table2[[#This Row],[Quantity]]*Table2[[#This Row],[Item_Price]]</f>
        <v>627</v>
      </c>
    </row>
    <row r="4785" spans="1:23" x14ac:dyDescent="0.25">
      <c r="A4785" t="s">
        <v>4890</v>
      </c>
      <c r="B4785" s="1">
        <v>46007</v>
      </c>
      <c r="C4785" t="s">
        <v>4677</v>
      </c>
      <c r="D4785">
        <v>12</v>
      </c>
      <c r="E4785">
        <v>16</v>
      </c>
      <c r="F4785" t="s">
        <v>178</v>
      </c>
      <c r="G4785" t="s">
        <v>34</v>
      </c>
      <c r="H4785" t="s">
        <v>48</v>
      </c>
      <c r="I4785" t="s">
        <v>85</v>
      </c>
      <c r="J4785" t="s">
        <v>50</v>
      </c>
      <c r="K4785" t="s">
        <v>38</v>
      </c>
      <c r="L4785">
        <v>1</v>
      </c>
      <c r="M4785">
        <v>460</v>
      </c>
      <c r="N4785">
        <v>69</v>
      </c>
      <c r="O4785">
        <v>40</v>
      </c>
      <c r="P4785">
        <v>460</v>
      </c>
      <c r="Q4785">
        <v>431</v>
      </c>
      <c r="R4785" t="s">
        <v>98</v>
      </c>
      <c r="S4785" t="s">
        <v>31</v>
      </c>
      <c r="T4785" t="s">
        <v>40</v>
      </c>
      <c r="U4785">
        <v>51</v>
      </c>
      <c r="V4785">
        <v>3.9</v>
      </c>
      <c r="W4785">
        <f>Table2[[#This Row],[Quantity]]*Table2[[#This Row],[Item_Price]]</f>
        <v>460</v>
      </c>
    </row>
    <row r="4786" spans="1:23" x14ac:dyDescent="0.25">
      <c r="A4786" t="s">
        <v>4891</v>
      </c>
      <c r="B4786" s="1">
        <v>46007</v>
      </c>
      <c r="C4786" t="s">
        <v>4677</v>
      </c>
      <c r="D4786">
        <v>12</v>
      </c>
      <c r="E4786">
        <v>16</v>
      </c>
      <c r="F4786" t="s">
        <v>178</v>
      </c>
      <c r="G4786" t="s">
        <v>73</v>
      </c>
      <c r="H4786" t="s">
        <v>68</v>
      </c>
      <c r="I4786" t="s">
        <v>69</v>
      </c>
      <c r="J4786" t="s">
        <v>53</v>
      </c>
      <c r="K4786" t="s">
        <v>58</v>
      </c>
      <c r="L4786">
        <v>2</v>
      </c>
      <c r="M4786">
        <v>756</v>
      </c>
      <c r="N4786">
        <v>151.19999999999999</v>
      </c>
      <c r="O4786">
        <v>40</v>
      </c>
      <c r="P4786">
        <v>1512</v>
      </c>
      <c r="Q4786">
        <v>1400.8</v>
      </c>
      <c r="R4786" t="s">
        <v>112</v>
      </c>
      <c r="S4786" t="s">
        <v>31</v>
      </c>
      <c r="T4786" t="s">
        <v>40</v>
      </c>
      <c r="U4786">
        <v>59</v>
      </c>
      <c r="V4786">
        <v>3.9</v>
      </c>
      <c r="W4786">
        <f>Table2[[#This Row],[Quantity]]*Table2[[#This Row],[Item_Price]]</f>
        <v>1512</v>
      </c>
    </row>
    <row r="4787" spans="1:23" x14ac:dyDescent="0.25">
      <c r="A4787" t="s">
        <v>4892</v>
      </c>
      <c r="B4787" s="1">
        <v>46007</v>
      </c>
      <c r="C4787" t="s">
        <v>4677</v>
      </c>
      <c r="D4787">
        <v>12</v>
      </c>
      <c r="E4787">
        <v>16</v>
      </c>
      <c r="F4787" t="s">
        <v>178</v>
      </c>
      <c r="G4787" t="s">
        <v>55</v>
      </c>
      <c r="H4787" t="s">
        <v>48</v>
      </c>
      <c r="I4787" t="s">
        <v>36</v>
      </c>
      <c r="J4787" t="s">
        <v>37</v>
      </c>
      <c r="K4787" t="s">
        <v>58</v>
      </c>
      <c r="L4787">
        <v>2</v>
      </c>
      <c r="M4787">
        <v>230</v>
      </c>
      <c r="N4787">
        <v>23</v>
      </c>
      <c r="O4787">
        <v>40</v>
      </c>
      <c r="P4787">
        <v>460</v>
      </c>
      <c r="Q4787">
        <v>477</v>
      </c>
      <c r="R4787" t="s">
        <v>39</v>
      </c>
      <c r="S4787" t="s">
        <v>31</v>
      </c>
      <c r="T4787" t="s">
        <v>40</v>
      </c>
      <c r="U4787">
        <v>44</v>
      </c>
      <c r="V4787">
        <v>4.2</v>
      </c>
      <c r="W4787">
        <f>Table2[[#This Row],[Quantity]]*Table2[[#This Row],[Item_Price]]</f>
        <v>460</v>
      </c>
    </row>
    <row r="4788" spans="1:23" x14ac:dyDescent="0.25">
      <c r="A4788" t="s">
        <v>4893</v>
      </c>
      <c r="B4788" s="1">
        <v>46007</v>
      </c>
      <c r="C4788" t="s">
        <v>4677</v>
      </c>
      <c r="D4788">
        <v>12</v>
      </c>
      <c r="E4788">
        <v>16</v>
      </c>
      <c r="F4788" t="s">
        <v>178</v>
      </c>
      <c r="G4788" t="s">
        <v>73</v>
      </c>
      <c r="H4788" t="s">
        <v>135</v>
      </c>
      <c r="I4788" t="s">
        <v>103</v>
      </c>
      <c r="J4788" t="s">
        <v>101</v>
      </c>
      <c r="K4788" t="s">
        <v>38</v>
      </c>
      <c r="L4788">
        <v>1</v>
      </c>
      <c r="M4788">
        <v>243</v>
      </c>
      <c r="N4788">
        <v>36.450000000000003</v>
      </c>
      <c r="O4788">
        <v>50</v>
      </c>
      <c r="P4788">
        <v>243</v>
      </c>
      <c r="Q4788">
        <v>256.55</v>
      </c>
      <c r="R4788" t="s">
        <v>39</v>
      </c>
      <c r="S4788" t="s">
        <v>31</v>
      </c>
      <c r="T4788" t="s">
        <v>40</v>
      </c>
      <c r="U4788">
        <v>27</v>
      </c>
      <c r="V4788">
        <v>3.4</v>
      </c>
      <c r="W4788">
        <f>Table2[[#This Row],[Quantity]]*Table2[[#This Row],[Item_Price]]</f>
        <v>243</v>
      </c>
    </row>
    <row r="4789" spans="1:23" x14ac:dyDescent="0.25">
      <c r="A4789" t="s">
        <v>4894</v>
      </c>
      <c r="B4789" s="1">
        <v>46007</v>
      </c>
      <c r="C4789" t="s">
        <v>4677</v>
      </c>
      <c r="D4789">
        <v>12</v>
      </c>
      <c r="E4789">
        <v>16</v>
      </c>
      <c r="F4789" t="s">
        <v>178</v>
      </c>
      <c r="G4789" t="s">
        <v>55</v>
      </c>
      <c r="H4789" t="s">
        <v>77</v>
      </c>
      <c r="I4789" t="s">
        <v>43</v>
      </c>
      <c r="J4789" t="s">
        <v>62</v>
      </c>
      <c r="K4789" t="s">
        <v>38</v>
      </c>
      <c r="L4789">
        <v>2</v>
      </c>
      <c r="M4789">
        <v>529</v>
      </c>
      <c r="N4789">
        <v>0</v>
      </c>
      <c r="O4789">
        <v>30</v>
      </c>
      <c r="P4789">
        <v>1058</v>
      </c>
      <c r="Q4789">
        <v>1088</v>
      </c>
      <c r="R4789" t="s">
        <v>75</v>
      </c>
      <c r="S4789" t="s">
        <v>31</v>
      </c>
      <c r="T4789" t="s">
        <v>40</v>
      </c>
      <c r="U4789">
        <v>36</v>
      </c>
      <c r="V4789">
        <v>3.2</v>
      </c>
      <c r="W4789">
        <f>Table2[[#This Row],[Quantity]]*Table2[[#This Row],[Item_Price]]</f>
        <v>1058</v>
      </c>
    </row>
    <row r="4790" spans="1:23" x14ac:dyDescent="0.25">
      <c r="A4790" t="s">
        <v>4895</v>
      </c>
      <c r="B4790" s="1">
        <v>46007</v>
      </c>
      <c r="C4790" t="s">
        <v>4677</v>
      </c>
      <c r="D4790">
        <v>12</v>
      </c>
      <c r="E4790">
        <v>16</v>
      </c>
      <c r="F4790" t="s">
        <v>178</v>
      </c>
      <c r="G4790" t="s">
        <v>25</v>
      </c>
      <c r="H4790" t="s">
        <v>81</v>
      </c>
      <c r="I4790" t="s">
        <v>85</v>
      </c>
      <c r="J4790" t="s">
        <v>74</v>
      </c>
      <c r="K4790" t="s">
        <v>38</v>
      </c>
      <c r="L4790">
        <v>1</v>
      </c>
      <c r="M4790">
        <v>202</v>
      </c>
      <c r="N4790">
        <v>0</v>
      </c>
      <c r="O4790">
        <v>30</v>
      </c>
      <c r="P4790">
        <v>202</v>
      </c>
      <c r="Q4790">
        <v>232</v>
      </c>
      <c r="R4790" t="s">
        <v>39</v>
      </c>
      <c r="S4790" t="s">
        <v>31</v>
      </c>
      <c r="T4790" t="s">
        <v>40</v>
      </c>
      <c r="U4790">
        <v>63</v>
      </c>
      <c r="V4790">
        <v>4.5999999999999996</v>
      </c>
      <c r="W4790">
        <f>Table2[[#This Row],[Quantity]]*Table2[[#This Row],[Item_Price]]</f>
        <v>202</v>
      </c>
    </row>
    <row r="4791" spans="1:23" x14ac:dyDescent="0.25">
      <c r="A4791" t="s">
        <v>4896</v>
      </c>
      <c r="B4791" s="1">
        <v>46007</v>
      </c>
      <c r="C4791" t="s">
        <v>4677</v>
      </c>
      <c r="D4791">
        <v>12</v>
      </c>
      <c r="E4791">
        <v>16</v>
      </c>
      <c r="F4791" t="s">
        <v>178</v>
      </c>
      <c r="G4791" t="s">
        <v>80</v>
      </c>
      <c r="H4791" t="s">
        <v>60</v>
      </c>
      <c r="I4791" t="s">
        <v>97</v>
      </c>
      <c r="J4791" t="s">
        <v>44</v>
      </c>
      <c r="K4791" t="s">
        <v>38</v>
      </c>
      <c r="L4791">
        <v>2</v>
      </c>
      <c r="M4791">
        <v>525</v>
      </c>
      <c r="N4791">
        <v>131.25</v>
      </c>
      <c r="O4791">
        <v>30</v>
      </c>
      <c r="P4791">
        <v>1050</v>
      </c>
      <c r="Q4791">
        <v>948.75</v>
      </c>
      <c r="R4791" t="s">
        <v>30</v>
      </c>
      <c r="S4791" t="s">
        <v>31</v>
      </c>
      <c r="T4791" t="s">
        <v>40</v>
      </c>
      <c r="U4791">
        <v>45</v>
      </c>
      <c r="V4791">
        <v>4.2</v>
      </c>
      <c r="W4791">
        <f>Table2[[#This Row],[Quantity]]*Table2[[#This Row],[Item_Price]]</f>
        <v>1050</v>
      </c>
    </row>
    <row r="4792" spans="1:23" x14ac:dyDescent="0.25">
      <c r="A4792" t="s">
        <v>4897</v>
      </c>
      <c r="B4792" s="1">
        <v>46007</v>
      </c>
      <c r="C4792" t="s">
        <v>4677</v>
      </c>
      <c r="D4792">
        <v>12</v>
      </c>
      <c r="E4792">
        <v>16</v>
      </c>
      <c r="F4792" t="s">
        <v>178</v>
      </c>
      <c r="G4792" t="s">
        <v>55</v>
      </c>
      <c r="H4792" t="s">
        <v>26</v>
      </c>
      <c r="I4792" t="s">
        <v>36</v>
      </c>
      <c r="J4792" t="s">
        <v>37</v>
      </c>
      <c r="K4792" t="s">
        <v>38</v>
      </c>
      <c r="L4792">
        <v>2</v>
      </c>
      <c r="M4792">
        <v>306</v>
      </c>
      <c r="N4792">
        <v>45.9</v>
      </c>
      <c r="O4792">
        <v>0</v>
      </c>
      <c r="P4792">
        <v>612</v>
      </c>
      <c r="Q4792">
        <v>566.1</v>
      </c>
      <c r="R4792" t="s">
        <v>75</v>
      </c>
      <c r="S4792" t="s">
        <v>31</v>
      </c>
      <c r="T4792" t="s">
        <v>40</v>
      </c>
      <c r="U4792">
        <v>63</v>
      </c>
      <c r="V4792">
        <v>4.8</v>
      </c>
      <c r="W4792">
        <f>Table2[[#This Row],[Quantity]]*Table2[[#This Row],[Item_Price]]</f>
        <v>612</v>
      </c>
    </row>
    <row r="4793" spans="1:23" x14ac:dyDescent="0.25">
      <c r="A4793" t="s">
        <v>4898</v>
      </c>
      <c r="B4793" s="1">
        <v>46007</v>
      </c>
      <c r="C4793" t="s">
        <v>4677</v>
      </c>
      <c r="D4793">
        <v>12</v>
      </c>
      <c r="E4793">
        <v>16</v>
      </c>
      <c r="F4793" t="s">
        <v>178</v>
      </c>
      <c r="G4793" t="s">
        <v>80</v>
      </c>
      <c r="H4793" t="s">
        <v>48</v>
      </c>
      <c r="I4793" t="s">
        <v>69</v>
      </c>
      <c r="J4793" t="s">
        <v>78</v>
      </c>
      <c r="K4793" t="s">
        <v>38</v>
      </c>
      <c r="L4793">
        <v>2</v>
      </c>
      <c r="M4793">
        <v>501</v>
      </c>
      <c r="N4793">
        <v>50.1</v>
      </c>
      <c r="O4793">
        <v>30</v>
      </c>
      <c r="P4793">
        <v>1002</v>
      </c>
      <c r="Q4793">
        <v>981.9</v>
      </c>
      <c r="R4793" t="s">
        <v>39</v>
      </c>
      <c r="S4793" t="s">
        <v>31</v>
      </c>
      <c r="T4793" t="s">
        <v>32</v>
      </c>
      <c r="U4793">
        <v>22</v>
      </c>
      <c r="V4793">
        <v>4</v>
      </c>
      <c r="W4793">
        <f>Table2[[#This Row],[Quantity]]*Table2[[#This Row],[Item_Price]]</f>
        <v>1002</v>
      </c>
    </row>
    <row r="4794" spans="1:23" x14ac:dyDescent="0.25">
      <c r="A4794" t="s">
        <v>4899</v>
      </c>
      <c r="B4794" s="1">
        <v>46007</v>
      </c>
      <c r="C4794" t="s">
        <v>4677</v>
      </c>
      <c r="D4794">
        <v>12</v>
      </c>
      <c r="E4794">
        <v>16</v>
      </c>
      <c r="F4794" t="s">
        <v>178</v>
      </c>
      <c r="G4794" t="s">
        <v>64</v>
      </c>
      <c r="H4794" t="s">
        <v>26</v>
      </c>
      <c r="I4794" t="s">
        <v>27</v>
      </c>
      <c r="J4794" t="s">
        <v>70</v>
      </c>
      <c r="K4794" t="s">
        <v>38</v>
      </c>
      <c r="L4794">
        <v>3</v>
      </c>
      <c r="M4794">
        <v>795</v>
      </c>
      <c r="N4794">
        <v>79.5</v>
      </c>
      <c r="O4794">
        <v>50</v>
      </c>
      <c r="P4794">
        <v>2385</v>
      </c>
      <c r="Q4794">
        <v>2355.5</v>
      </c>
      <c r="R4794" t="s">
        <v>39</v>
      </c>
      <c r="S4794" t="s">
        <v>31</v>
      </c>
      <c r="T4794" t="s">
        <v>40</v>
      </c>
      <c r="U4794">
        <v>36</v>
      </c>
      <c r="V4794">
        <v>3.4</v>
      </c>
      <c r="W4794">
        <f>Table2[[#This Row],[Quantity]]*Table2[[#This Row],[Item_Price]]</f>
        <v>2385</v>
      </c>
    </row>
    <row r="4795" spans="1:23" x14ac:dyDescent="0.25">
      <c r="A4795" t="s">
        <v>4900</v>
      </c>
      <c r="B4795" s="1">
        <v>46007</v>
      </c>
      <c r="C4795" t="s">
        <v>4677</v>
      </c>
      <c r="D4795">
        <v>12</v>
      </c>
      <c r="E4795">
        <v>16</v>
      </c>
      <c r="F4795" t="s">
        <v>178</v>
      </c>
      <c r="G4795" t="s">
        <v>90</v>
      </c>
      <c r="H4795" t="s">
        <v>135</v>
      </c>
      <c r="I4795" t="s">
        <v>85</v>
      </c>
      <c r="J4795" t="s">
        <v>44</v>
      </c>
      <c r="K4795" t="s">
        <v>38</v>
      </c>
      <c r="L4795">
        <v>1</v>
      </c>
      <c r="M4795">
        <v>537</v>
      </c>
      <c r="N4795">
        <v>26.85</v>
      </c>
      <c r="O4795">
        <v>30</v>
      </c>
      <c r="P4795">
        <v>537</v>
      </c>
      <c r="Q4795">
        <v>540.15</v>
      </c>
      <c r="R4795" t="s">
        <v>112</v>
      </c>
      <c r="S4795" t="s">
        <v>91</v>
      </c>
      <c r="T4795" t="s">
        <v>32</v>
      </c>
      <c r="U4795">
        <v>34</v>
      </c>
      <c r="W4795">
        <f>Table2[[#This Row],[Quantity]]*Table2[[#This Row],[Item_Price]]</f>
        <v>537</v>
      </c>
    </row>
    <row r="4796" spans="1:23" x14ac:dyDescent="0.25">
      <c r="A4796" t="s">
        <v>4901</v>
      </c>
      <c r="B4796" s="1">
        <v>46008</v>
      </c>
      <c r="C4796" t="s">
        <v>4677</v>
      </c>
      <c r="D4796">
        <v>12</v>
      </c>
      <c r="E4796">
        <v>17</v>
      </c>
      <c r="F4796" t="s">
        <v>24</v>
      </c>
      <c r="G4796" t="s">
        <v>90</v>
      </c>
      <c r="H4796" t="s">
        <v>68</v>
      </c>
      <c r="I4796" t="s">
        <v>103</v>
      </c>
      <c r="J4796" t="s">
        <v>94</v>
      </c>
      <c r="K4796" t="s">
        <v>38</v>
      </c>
      <c r="L4796">
        <v>2</v>
      </c>
      <c r="M4796">
        <v>257</v>
      </c>
      <c r="N4796">
        <v>12.85</v>
      </c>
      <c r="O4796">
        <v>20</v>
      </c>
      <c r="P4796">
        <v>514</v>
      </c>
      <c r="Q4796">
        <v>521.15</v>
      </c>
      <c r="R4796" t="s">
        <v>98</v>
      </c>
      <c r="S4796" t="s">
        <v>31</v>
      </c>
      <c r="T4796" t="s">
        <v>32</v>
      </c>
      <c r="U4796">
        <v>32</v>
      </c>
      <c r="V4796">
        <v>5</v>
      </c>
      <c r="W4796">
        <f>Table2[[#This Row],[Quantity]]*Table2[[#This Row],[Item_Price]]</f>
        <v>514</v>
      </c>
    </row>
    <row r="4797" spans="1:23" x14ac:dyDescent="0.25">
      <c r="A4797" t="s">
        <v>4902</v>
      </c>
      <c r="B4797" s="1">
        <v>46008</v>
      </c>
      <c r="C4797" t="s">
        <v>4677</v>
      </c>
      <c r="D4797">
        <v>12</v>
      </c>
      <c r="E4797">
        <v>17</v>
      </c>
      <c r="F4797" t="s">
        <v>24</v>
      </c>
      <c r="G4797" t="s">
        <v>80</v>
      </c>
      <c r="H4797" t="s">
        <v>77</v>
      </c>
      <c r="I4797" t="s">
        <v>69</v>
      </c>
      <c r="J4797" t="s">
        <v>53</v>
      </c>
      <c r="K4797" t="s">
        <v>29</v>
      </c>
      <c r="L4797">
        <v>3</v>
      </c>
      <c r="M4797">
        <v>837</v>
      </c>
      <c r="N4797">
        <v>0</v>
      </c>
      <c r="O4797">
        <v>20</v>
      </c>
      <c r="P4797">
        <v>2511</v>
      </c>
      <c r="Q4797">
        <v>2531</v>
      </c>
      <c r="R4797" t="s">
        <v>30</v>
      </c>
      <c r="S4797" t="s">
        <v>31</v>
      </c>
      <c r="T4797" t="s">
        <v>40</v>
      </c>
      <c r="U4797">
        <v>69</v>
      </c>
      <c r="V4797">
        <v>4.8</v>
      </c>
      <c r="W4797">
        <f>Table2[[#This Row],[Quantity]]*Table2[[#This Row],[Item_Price]]</f>
        <v>2511</v>
      </c>
    </row>
    <row r="4798" spans="1:23" x14ac:dyDescent="0.25">
      <c r="A4798" t="s">
        <v>4903</v>
      </c>
      <c r="B4798" s="1">
        <v>46008</v>
      </c>
      <c r="C4798" t="s">
        <v>4677</v>
      </c>
      <c r="D4798">
        <v>12</v>
      </c>
      <c r="E4798">
        <v>17</v>
      </c>
      <c r="F4798" t="s">
        <v>24</v>
      </c>
      <c r="G4798" t="s">
        <v>34</v>
      </c>
      <c r="H4798" t="s">
        <v>48</v>
      </c>
      <c r="I4798" t="s">
        <v>69</v>
      </c>
      <c r="J4798" t="s">
        <v>74</v>
      </c>
      <c r="K4798" t="s">
        <v>45</v>
      </c>
      <c r="L4798">
        <v>1</v>
      </c>
      <c r="M4798">
        <v>615</v>
      </c>
      <c r="N4798">
        <v>61.5</v>
      </c>
      <c r="O4798">
        <v>40</v>
      </c>
      <c r="P4798">
        <v>615</v>
      </c>
      <c r="Q4798">
        <v>593.5</v>
      </c>
      <c r="R4798" t="s">
        <v>30</v>
      </c>
      <c r="S4798" t="s">
        <v>31</v>
      </c>
      <c r="T4798" t="s">
        <v>40</v>
      </c>
      <c r="U4798">
        <v>56</v>
      </c>
      <c r="V4798">
        <v>3</v>
      </c>
      <c r="W4798">
        <f>Table2[[#This Row],[Quantity]]*Table2[[#This Row],[Item_Price]]</f>
        <v>615</v>
      </c>
    </row>
    <row r="4799" spans="1:23" x14ac:dyDescent="0.25">
      <c r="A4799" t="s">
        <v>4904</v>
      </c>
      <c r="B4799" s="1">
        <v>46008</v>
      </c>
      <c r="C4799" t="s">
        <v>4677</v>
      </c>
      <c r="D4799">
        <v>12</v>
      </c>
      <c r="E4799">
        <v>17</v>
      </c>
      <c r="F4799" t="s">
        <v>24</v>
      </c>
      <c r="G4799" t="s">
        <v>80</v>
      </c>
      <c r="H4799" t="s">
        <v>26</v>
      </c>
      <c r="I4799" t="s">
        <v>61</v>
      </c>
      <c r="J4799" t="s">
        <v>53</v>
      </c>
      <c r="K4799" t="s">
        <v>29</v>
      </c>
      <c r="L4799">
        <v>1</v>
      </c>
      <c r="M4799">
        <v>272</v>
      </c>
      <c r="N4799">
        <v>40.799999999999997</v>
      </c>
      <c r="O4799">
        <v>70</v>
      </c>
      <c r="P4799">
        <v>272</v>
      </c>
      <c r="Q4799">
        <v>301.2</v>
      </c>
      <c r="R4799" t="s">
        <v>98</v>
      </c>
      <c r="S4799" t="s">
        <v>31</v>
      </c>
      <c r="T4799" t="s">
        <v>40</v>
      </c>
      <c r="U4799">
        <v>40</v>
      </c>
      <c r="V4799">
        <v>3.3</v>
      </c>
      <c r="W4799">
        <f>Table2[[#This Row],[Quantity]]*Table2[[#This Row],[Item_Price]]</f>
        <v>272</v>
      </c>
    </row>
    <row r="4800" spans="1:23" x14ac:dyDescent="0.25">
      <c r="A4800" t="s">
        <v>4905</v>
      </c>
      <c r="B4800" s="1">
        <v>46008</v>
      </c>
      <c r="C4800" t="s">
        <v>4677</v>
      </c>
      <c r="D4800">
        <v>12</v>
      </c>
      <c r="E4800">
        <v>17</v>
      </c>
      <c r="F4800" t="s">
        <v>24</v>
      </c>
      <c r="G4800" t="s">
        <v>73</v>
      </c>
      <c r="H4800" t="s">
        <v>77</v>
      </c>
      <c r="I4800" t="s">
        <v>43</v>
      </c>
      <c r="J4800" t="s">
        <v>74</v>
      </c>
      <c r="K4800" t="s">
        <v>38</v>
      </c>
      <c r="L4800">
        <v>1</v>
      </c>
      <c r="M4800">
        <v>131</v>
      </c>
      <c r="N4800">
        <v>6.55</v>
      </c>
      <c r="O4800">
        <v>70</v>
      </c>
      <c r="P4800">
        <v>131</v>
      </c>
      <c r="Q4800">
        <v>194.45</v>
      </c>
      <c r="R4800" t="s">
        <v>39</v>
      </c>
      <c r="S4800" t="s">
        <v>31</v>
      </c>
      <c r="T4800" t="s">
        <v>40</v>
      </c>
      <c r="U4800">
        <v>56</v>
      </c>
      <c r="V4800">
        <v>3.7</v>
      </c>
      <c r="W4800">
        <f>Table2[[#This Row],[Quantity]]*Table2[[#This Row],[Item_Price]]</f>
        <v>131</v>
      </c>
    </row>
    <row r="4801" spans="1:23" x14ac:dyDescent="0.25">
      <c r="A4801" t="s">
        <v>4906</v>
      </c>
      <c r="B4801" s="1">
        <v>46008</v>
      </c>
      <c r="C4801" t="s">
        <v>4677</v>
      </c>
      <c r="D4801">
        <v>12</v>
      </c>
      <c r="E4801">
        <v>17</v>
      </c>
      <c r="F4801" t="s">
        <v>24</v>
      </c>
      <c r="G4801" t="s">
        <v>73</v>
      </c>
      <c r="H4801" t="s">
        <v>81</v>
      </c>
      <c r="I4801" t="s">
        <v>49</v>
      </c>
      <c r="J4801" t="s">
        <v>70</v>
      </c>
      <c r="K4801" t="s">
        <v>45</v>
      </c>
      <c r="L4801">
        <v>1</v>
      </c>
      <c r="M4801">
        <v>644</v>
      </c>
      <c r="N4801">
        <v>96.6</v>
      </c>
      <c r="O4801">
        <v>30</v>
      </c>
      <c r="P4801">
        <v>644</v>
      </c>
      <c r="Q4801">
        <v>577.4</v>
      </c>
      <c r="R4801" t="s">
        <v>112</v>
      </c>
      <c r="S4801" t="s">
        <v>31</v>
      </c>
      <c r="T4801" t="s">
        <v>40</v>
      </c>
      <c r="U4801">
        <v>19</v>
      </c>
      <c r="V4801">
        <v>3.4</v>
      </c>
      <c r="W4801">
        <f>Table2[[#This Row],[Quantity]]*Table2[[#This Row],[Item_Price]]</f>
        <v>644</v>
      </c>
    </row>
    <row r="4802" spans="1:23" x14ac:dyDescent="0.25">
      <c r="A4802" t="s">
        <v>4907</v>
      </c>
      <c r="B4802" s="1">
        <v>46008</v>
      </c>
      <c r="C4802" t="s">
        <v>4677</v>
      </c>
      <c r="D4802">
        <v>12</v>
      </c>
      <c r="E4802">
        <v>17</v>
      </c>
      <c r="F4802" t="s">
        <v>24</v>
      </c>
      <c r="G4802" t="s">
        <v>64</v>
      </c>
      <c r="H4802" t="s">
        <v>52</v>
      </c>
      <c r="I4802" t="s">
        <v>97</v>
      </c>
      <c r="J4802" t="s">
        <v>172</v>
      </c>
      <c r="K4802" t="s">
        <v>29</v>
      </c>
      <c r="L4802">
        <v>1</v>
      </c>
      <c r="M4802">
        <v>775</v>
      </c>
      <c r="N4802">
        <v>116.25</v>
      </c>
      <c r="O4802">
        <v>40</v>
      </c>
      <c r="P4802">
        <v>775</v>
      </c>
      <c r="Q4802">
        <v>698.75</v>
      </c>
      <c r="R4802" t="s">
        <v>98</v>
      </c>
      <c r="S4802" t="s">
        <v>91</v>
      </c>
      <c r="T4802" t="s">
        <v>40</v>
      </c>
      <c r="U4802">
        <v>48</v>
      </c>
      <c r="W4802">
        <f>Table2[[#This Row],[Quantity]]*Table2[[#This Row],[Item_Price]]</f>
        <v>775</v>
      </c>
    </row>
    <row r="4803" spans="1:23" x14ac:dyDescent="0.25">
      <c r="A4803" t="s">
        <v>4908</v>
      </c>
      <c r="B4803" s="1">
        <v>46008</v>
      </c>
      <c r="C4803" t="s">
        <v>4677</v>
      </c>
      <c r="D4803">
        <v>12</v>
      </c>
      <c r="E4803">
        <v>17</v>
      </c>
      <c r="F4803" t="s">
        <v>24</v>
      </c>
      <c r="G4803" t="s">
        <v>64</v>
      </c>
      <c r="H4803" t="s">
        <v>42</v>
      </c>
      <c r="I4803" t="s">
        <v>43</v>
      </c>
      <c r="J4803" t="s">
        <v>50</v>
      </c>
      <c r="K4803" t="s">
        <v>38</v>
      </c>
      <c r="L4803">
        <v>3</v>
      </c>
      <c r="M4803">
        <v>223</v>
      </c>
      <c r="N4803">
        <v>33.450000000000003</v>
      </c>
      <c r="O4803">
        <v>60</v>
      </c>
      <c r="P4803">
        <v>669</v>
      </c>
      <c r="Q4803">
        <v>695.55</v>
      </c>
      <c r="R4803" t="s">
        <v>39</v>
      </c>
      <c r="S4803" t="s">
        <v>31</v>
      </c>
      <c r="T4803" t="s">
        <v>40</v>
      </c>
      <c r="U4803">
        <v>65</v>
      </c>
      <c r="V4803">
        <v>4.3</v>
      </c>
      <c r="W4803">
        <f>Table2[[#This Row],[Quantity]]*Table2[[#This Row],[Item_Price]]</f>
        <v>669</v>
      </c>
    </row>
    <row r="4804" spans="1:23" x14ac:dyDescent="0.25">
      <c r="A4804" t="s">
        <v>4909</v>
      </c>
      <c r="B4804" s="1">
        <v>46009</v>
      </c>
      <c r="C4804" t="s">
        <v>4677</v>
      </c>
      <c r="D4804">
        <v>12</v>
      </c>
      <c r="E4804">
        <v>18</v>
      </c>
      <c r="F4804" t="s">
        <v>88</v>
      </c>
      <c r="G4804" t="s">
        <v>73</v>
      </c>
      <c r="H4804" t="s">
        <v>139</v>
      </c>
      <c r="I4804" t="s">
        <v>103</v>
      </c>
      <c r="J4804" t="s">
        <v>123</v>
      </c>
      <c r="K4804" t="s">
        <v>38</v>
      </c>
      <c r="L4804">
        <v>2</v>
      </c>
      <c r="M4804">
        <v>133</v>
      </c>
      <c r="N4804">
        <v>19.95</v>
      </c>
      <c r="O4804">
        <v>30</v>
      </c>
      <c r="P4804">
        <v>266</v>
      </c>
      <c r="Q4804">
        <v>276.05</v>
      </c>
      <c r="R4804" t="s">
        <v>98</v>
      </c>
      <c r="S4804" t="s">
        <v>31</v>
      </c>
      <c r="T4804" t="s">
        <v>32</v>
      </c>
      <c r="U4804">
        <v>65</v>
      </c>
      <c r="V4804">
        <v>4.3</v>
      </c>
      <c r="W4804">
        <f>Table2[[#This Row],[Quantity]]*Table2[[#This Row],[Item_Price]]</f>
        <v>266</v>
      </c>
    </row>
    <row r="4805" spans="1:23" x14ac:dyDescent="0.25">
      <c r="A4805" t="s">
        <v>4910</v>
      </c>
      <c r="B4805" s="1">
        <v>46009</v>
      </c>
      <c r="C4805" t="s">
        <v>4677</v>
      </c>
      <c r="D4805">
        <v>12</v>
      </c>
      <c r="E4805">
        <v>18</v>
      </c>
      <c r="F4805" t="s">
        <v>88</v>
      </c>
      <c r="G4805" t="s">
        <v>25</v>
      </c>
      <c r="H4805" t="s">
        <v>77</v>
      </c>
      <c r="I4805" t="s">
        <v>57</v>
      </c>
      <c r="J4805" t="s">
        <v>62</v>
      </c>
      <c r="K4805" t="s">
        <v>38</v>
      </c>
      <c r="L4805">
        <v>1</v>
      </c>
      <c r="M4805">
        <v>329</v>
      </c>
      <c r="N4805">
        <v>0</v>
      </c>
      <c r="O4805">
        <v>30</v>
      </c>
      <c r="P4805">
        <v>329</v>
      </c>
      <c r="Q4805">
        <v>359</v>
      </c>
      <c r="R4805" t="s">
        <v>75</v>
      </c>
      <c r="S4805" t="s">
        <v>91</v>
      </c>
      <c r="T4805" t="s">
        <v>40</v>
      </c>
      <c r="U4805">
        <v>37</v>
      </c>
      <c r="W4805">
        <f>Table2[[#This Row],[Quantity]]*Table2[[#This Row],[Item_Price]]</f>
        <v>329</v>
      </c>
    </row>
    <row r="4806" spans="1:23" x14ac:dyDescent="0.25">
      <c r="A4806" t="s">
        <v>4911</v>
      </c>
      <c r="B4806" s="1">
        <v>46009</v>
      </c>
      <c r="C4806" t="s">
        <v>4677</v>
      </c>
      <c r="D4806">
        <v>12</v>
      </c>
      <c r="E4806">
        <v>18</v>
      </c>
      <c r="F4806" t="s">
        <v>88</v>
      </c>
      <c r="G4806" t="s">
        <v>55</v>
      </c>
      <c r="H4806" t="s">
        <v>56</v>
      </c>
      <c r="I4806" t="s">
        <v>69</v>
      </c>
      <c r="J4806" t="s">
        <v>44</v>
      </c>
      <c r="K4806" t="s">
        <v>38</v>
      </c>
      <c r="L4806">
        <v>1</v>
      </c>
      <c r="M4806">
        <v>166</v>
      </c>
      <c r="N4806">
        <v>33.200000000000003</v>
      </c>
      <c r="O4806">
        <v>0</v>
      </c>
      <c r="P4806">
        <v>166</v>
      </c>
      <c r="Q4806">
        <v>132.80000000000001</v>
      </c>
      <c r="R4806" t="s">
        <v>30</v>
      </c>
      <c r="S4806" t="s">
        <v>31</v>
      </c>
      <c r="T4806" t="s">
        <v>40</v>
      </c>
      <c r="U4806">
        <v>61</v>
      </c>
      <c r="V4806">
        <v>4.5999999999999996</v>
      </c>
      <c r="W4806">
        <f>Table2[[#This Row],[Quantity]]*Table2[[#This Row],[Item_Price]]</f>
        <v>166</v>
      </c>
    </row>
    <row r="4807" spans="1:23" x14ac:dyDescent="0.25">
      <c r="A4807" t="s">
        <v>4912</v>
      </c>
      <c r="B4807" s="1">
        <v>46009</v>
      </c>
      <c r="C4807" t="s">
        <v>4677</v>
      </c>
      <c r="D4807">
        <v>12</v>
      </c>
      <c r="E4807">
        <v>18</v>
      </c>
      <c r="F4807" t="s">
        <v>88</v>
      </c>
      <c r="G4807" t="s">
        <v>64</v>
      </c>
      <c r="H4807" t="s">
        <v>60</v>
      </c>
      <c r="I4807" t="s">
        <v>57</v>
      </c>
      <c r="J4807" t="s">
        <v>94</v>
      </c>
      <c r="K4807" t="s">
        <v>38</v>
      </c>
      <c r="L4807">
        <v>2</v>
      </c>
      <c r="M4807">
        <v>742</v>
      </c>
      <c r="N4807">
        <v>148.4</v>
      </c>
      <c r="O4807">
        <v>20</v>
      </c>
      <c r="P4807">
        <v>1484</v>
      </c>
      <c r="Q4807">
        <v>1355.6</v>
      </c>
      <c r="R4807" t="s">
        <v>98</v>
      </c>
      <c r="S4807" t="s">
        <v>31</v>
      </c>
      <c r="T4807" t="s">
        <v>40</v>
      </c>
      <c r="U4807">
        <v>67</v>
      </c>
      <c r="V4807">
        <v>4.2</v>
      </c>
      <c r="W4807">
        <f>Table2[[#This Row],[Quantity]]*Table2[[#This Row],[Item_Price]]</f>
        <v>1484</v>
      </c>
    </row>
    <row r="4808" spans="1:23" x14ac:dyDescent="0.25">
      <c r="A4808" t="s">
        <v>4913</v>
      </c>
      <c r="B4808" s="1">
        <v>46009</v>
      </c>
      <c r="C4808" t="s">
        <v>4677</v>
      </c>
      <c r="D4808">
        <v>12</v>
      </c>
      <c r="E4808">
        <v>18</v>
      </c>
      <c r="F4808" t="s">
        <v>88</v>
      </c>
      <c r="G4808" t="s">
        <v>64</v>
      </c>
      <c r="H4808" t="s">
        <v>60</v>
      </c>
      <c r="I4808" t="s">
        <v>61</v>
      </c>
      <c r="J4808" t="s">
        <v>70</v>
      </c>
      <c r="K4808" t="s">
        <v>38</v>
      </c>
      <c r="L4808">
        <v>1</v>
      </c>
      <c r="M4808">
        <v>872</v>
      </c>
      <c r="N4808">
        <v>87.2</v>
      </c>
      <c r="O4808">
        <v>0</v>
      </c>
      <c r="P4808">
        <v>872</v>
      </c>
      <c r="Q4808">
        <v>784.8</v>
      </c>
      <c r="R4808" t="s">
        <v>75</v>
      </c>
      <c r="S4808" t="s">
        <v>31</v>
      </c>
      <c r="T4808" t="s">
        <v>32</v>
      </c>
      <c r="U4808">
        <v>61</v>
      </c>
      <c r="V4808">
        <v>4.0999999999999996</v>
      </c>
      <c r="W4808">
        <f>Table2[[#This Row],[Quantity]]*Table2[[#This Row],[Item_Price]]</f>
        <v>872</v>
      </c>
    </row>
    <row r="4809" spans="1:23" x14ac:dyDescent="0.25">
      <c r="A4809" t="s">
        <v>4914</v>
      </c>
      <c r="B4809" s="1">
        <v>46009</v>
      </c>
      <c r="C4809" t="s">
        <v>4677</v>
      </c>
      <c r="D4809">
        <v>12</v>
      </c>
      <c r="E4809">
        <v>18</v>
      </c>
      <c r="F4809" t="s">
        <v>88</v>
      </c>
      <c r="G4809" t="s">
        <v>115</v>
      </c>
      <c r="H4809" t="s">
        <v>52</v>
      </c>
      <c r="I4809" t="s">
        <v>69</v>
      </c>
      <c r="J4809" t="s">
        <v>101</v>
      </c>
      <c r="K4809" t="s">
        <v>58</v>
      </c>
      <c r="L4809">
        <v>1</v>
      </c>
      <c r="M4809">
        <v>705</v>
      </c>
      <c r="N4809">
        <v>70.5</v>
      </c>
      <c r="O4809">
        <v>40</v>
      </c>
      <c r="P4809">
        <v>705</v>
      </c>
      <c r="Q4809">
        <v>674.5</v>
      </c>
      <c r="R4809" t="s">
        <v>98</v>
      </c>
      <c r="S4809" t="s">
        <v>31</v>
      </c>
      <c r="T4809" t="s">
        <v>32</v>
      </c>
      <c r="U4809">
        <v>37</v>
      </c>
      <c r="V4809">
        <v>5</v>
      </c>
      <c r="W4809">
        <f>Table2[[#This Row],[Quantity]]*Table2[[#This Row],[Item_Price]]</f>
        <v>705</v>
      </c>
    </row>
    <row r="4810" spans="1:23" x14ac:dyDescent="0.25">
      <c r="A4810" t="s">
        <v>4915</v>
      </c>
      <c r="B4810" s="1">
        <v>46009</v>
      </c>
      <c r="C4810" t="s">
        <v>4677</v>
      </c>
      <c r="D4810">
        <v>12</v>
      </c>
      <c r="E4810">
        <v>18</v>
      </c>
      <c r="F4810" t="s">
        <v>88</v>
      </c>
      <c r="G4810" t="s">
        <v>64</v>
      </c>
      <c r="H4810" t="s">
        <v>48</v>
      </c>
      <c r="I4810" t="s">
        <v>85</v>
      </c>
      <c r="J4810" t="s">
        <v>50</v>
      </c>
      <c r="K4810" t="s">
        <v>38</v>
      </c>
      <c r="L4810">
        <v>2</v>
      </c>
      <c r="M4810">
        <v>884</v>
      </c>
      <c r="N4810">
        <v>132.6</v>
      </c>
      <c r="O4810">
        <v>30</v>
      </c>
      <c r="P4810">
        <v>1768</v>
      </c>
      <c r="Q4810">
        <v>1665.4</v>
      </c>
      <c r="R4810" t="s">
        <v>39</v>
      </c>
      <c r="S4810" t="s">
        <v>31</v>
      </c>
      <c r="T4810" t="s">
        <v>32</v>
      </c>
      <c r="U4810">
        <v>65</v>
      </c>
      <c r="V4810">
        <v>4.0999999999999996</v>
      </c>
      <c r="W4810">
        <f>Table2[[#This Row],[Quantity]]*Table2[[#This Row],[Item_Price]]</f>
        <v>1768</v>
      </c>
    </row>
    <row r="4811" spans="1:23" x14ac:dyDescent="0.25">
      <c r="A4811" t="s">
        <v>4916</v>
      </c>
      <c r="B4811" s="1">
        <v>46009</v>
      </c>
      <c r="C4811" t="s">
        <v>4677</v>
      </c>
      <c r="D4811">
        <v>12</v>
      </c>
      <c r="E4811">
        <v>18</v>
      </c>
      <c r="F4811" t="s">
        <v>88</v>
      </c>
      <c r="G4811" t="s">
        <v>80</v>
      </c>
      <c r="H4811" t="s">
        <v>77</v>
      </c>
      <c r="I4811" t="s">
        <v>85</v>
      </c>
      <c r="J4811" t="s">
        <v>101</v>
      </c>
      <c r="K4811" t="s">
        <v>45</v>
      </c>
      <c r="L4811">
        <v>2</v>
      </c>
      <c r="M4811">
        <v>423</v>
      </c>
      <c r="N4811">
        <v>42.3</v>
      </c>
      <c r="O4811">
        <v>0</v>
      </c>
      <c r="P4811">
        <v>846</v>
      </c>
      <c r="Q4811">
        <v>803.7</v>
      </c>
      <c r="R4811" t="s">
        <v>98</v>
      </c>
      <c r="S4811" t="s">
        <v>110</v>
      </c>
      <c r="T4811" t="s">
        <v>32</v>
      </c>
      <c r="U4811">
        <v>62</v>
      </c>
      <c r="W4811">
        <f>Table2[[#This Row],[Quantity]]*Table2[[#This Row],[Item_Price]]</f>
        <v>846</v>
      </c>
    </row>
    <row r="4812" spans="1:23" x14ac:dyDescent="0.25">
      <c r="A4812" t="s">
        <v>4917</v>
      </c>
      <c r="B4812" s="1">
        <v>46009</v>
      </c>
      <c r="C4812" t="s">
        <v>4677</v>
      </c>
      <c r="D4812">
        <v>12</v>
      </c>
      <c r="E4812">
        <v>18</v>
      </c>
      <c r="F4812" t="s">
        <v>88</v>
      </c>
      <c r="G4812" t="s">
        <v>64</v>
      </c>
      <c r="H4812" t="s">
        <v>56</v>
      </c>
      <c r="I4812" t="s">
        <v>69</v>
      </c>
      <c r="J4812" t="s">
        <v>78</v>
      </c>
      <c r="K4812" t="s">
        <v>38</v>
      </c>
      <c r="L4812">
        <v>3</v>
      </c>
      <c r="M4812">
        <v>180</v>
      </c>
      <c r="N4812">
        <v>9</v>
      </c>
      <c r="O4812">
        <v>30</v>
      </c>
      <c r="P4812">
        <v>540</v>
      </c>
      <c r="Q4812">
        <v>561</v>
      </c>
      <c r="R4812" t="s">
        <v>39</v>
      </c>
      <c r="S4812" t="s">
        <v>31</v>
      </c>
      <c r="T4812" t="s">
        <v>32</v>
      </c>
      <c r="U4812">
        <v>44</v>
      </c>
      <c r="V4812">
        <v>4.5</v>
      </c>
      <c r="W4812">
        <f>Table2[[#This Row],[Quantity]]*Table2[[#This Row],[Item_Price]]</f>
        <v>540</v>
      </c>
    </row>
    <row r="4813" spans="1:23" x14ac:dyDescent="0.25">
      <c r="A4813" t="s">
        <v>4918</v>
      </c>
      <c r="B4813" s="1">
        <v>46009</v>
      </c>
      <c r="C4813" t="s">
        <v>4677</v>
      </c>
      <c r="D4813">
        <v>12</v>
      </c>
      <c r="E4813">
        <v>18</v>
      </c>
      <c r="F4813" t="s">
        <v>88</v>
      </c>
      <c r="G4813" t="s">
        <v>25</v>
      </c>
      <c r="H4813" t="s">
        <v>105</v>
      </c>
      <c r="I4813" t="s">
        <v>36</v>
      </c>
      <c r="J4813" t="s">
        <v>62</v>
      </c>
      <c r="K4813" t="s">
        <v>38</v>
      </c>
      <c r="L4813">
        <v>1</v>
      </c>
      <c r="M4813">
        <v>444</v>
      </c>
      <c r="N4813">
        <v>0</v>
      </c>
      <c r="O4813">
        <v>50</v>
      </c>
      <c r="P4813">
        <v>444</v>
      </c>
      <c r="Q4813">
        <v>494</v>
      </c>
      <c r="R4813" t="s">
        <v>30</v>
      </c>
      <c r="S4813" t="s">
        <v>31</v>
      </c>
      <c r="T4813" t="s">
        <v>32</v>
      </c>
      <c r="U4813">
        <v>44</v>
      </c>
      <c r="V4813">
        <v>3.9</v>
      </c>
      <c r="W4813">
        <f>Table2[[#This Row],[Quantity]]*Table2[[#This Row],[Item_Price]]</f>
        <v>444</v>
      </c>
    </row>
    <row r="4814" spans="1:23" x14ac:dyDescent="0.25">
      <c r="A4814" t="s">
        <v>4919</v>
      </c>
      <c r="B4814" s="1">
        <v>46009</v>
      </c>
      <c r="C4814" t="s">
        <v>4677</v>
      </c>
      <c r="D4814">
        <v>12</v>
      </c>
      <c r="E4814">
        <v>18</v>
      </c>
      <c r="F4814" t="s">
        <v>88</v>
      </c>
      <c r="G4814" t="s">
        <v>55</v>
      </c>
      <c r="H4814" t="s">
        <v>108</v>
      </c>
      <c r="I4814" t="s">
        <v>27</v>
      </c>
      <c r="J4814" t="s">
        <v>172</v>
      </c>
      <c r="K4814" t="s">
        <v>38</v>
      </c>
      <c r="L4814">
        <v>1</v>
      </c>
      <c r="M4814">
        <v>707</v>
      </c>
      <c r="N4814">
        <v>0</v>
      </c>
      <c r="O4814">
        <v>40</v>
      </c>
      <c r="P4814">
        <v>707</v>
      </c>
      <c r="Q4814">
        <v>747</v>
      </c>
      <c r="R4814" t="s">
        <v>39</v>
      </c>
      <c r="S4814" t="s">
        <v>31</v>
      </c>
      <c r="T4814" t="s">
        <v>40</v>
      </c>
      <c r="U4814">
        <v>41</v>
      </c>
      <c r="V4814">
        <v>4.5</v>
      </c>
      <c r="W4814">
        <f>Table2[[#This Row],[Quantity]]*Table2[[#This Row],[Item_Price]]</f>
        <v>707</v>
      </c>
    </row>
    <row r="4815" spans="1:23" x14ac:dyDescent="0.25">
      <c r="A4815" t="s">
        <v>4920</v>
      </c>
      <c r="B4815" s="1">
        <v>46009</v>
      </c>
      <c r="C4815" t="s">
        <v>4677</v>
      </c>
      <c r="D4815">
        <v>12</v>
      </c>
      <c r="E4815">
        <v>18</v>
      </c>
      <c r="F4815" t="s">
        <v>88</v>
      </c>
      <c r="G4815" t="s">
        <v>84</v>
      </c>
      <c r="H4815" t="s">
        <v>65</v>
      </c>
      <c r="I4815" t="s">
        <v>69</v>
      </c>
      <c r="J4815" t="s">
        <v>119</v>
      </c>
      <c r="K4815" t="s">
        <v>38</v>
      </c>
      <c r="L4815">
        <v>2</v>
      </c>
      <c r="M4815">
        <v>774</v>
      </c>
      <c r="N4815">
        <v>154.80000000000001</v>
      </c>
      <c r="O4815">
        <v>20</v>
      </c>
      <c r="P4815">
        <v>1548</v>
      </c>
      <c r="Q4815">
        <v>1413.2</v>
      </c>
      <c r="R4815" t="s">
        <v>98</v>
      </c>
      <c r="S4815" t="s">
        <v>31</v>
      </c>
      <c r="T4815" t="s">
        <v>40</v>
      </c>
      <c r="U4815">
        <v>62</v>
      </c>
      <c r="V4815">
        <v>3.6</v>
      </c>
      <c r="W4815">
        <f>Table2[[#This Row],[Quantity]]*Table2[[#This Row],[Item_Price]]</f>
        <v>1548</v>
      </c>
    </row>
    <row r="4816" spans="1:23" x14ac:dyDescent="0.25">
      <c r="A4816" t="s">
        <v>4921</v>
      </c>
      <c r="B4816" s="1">
        <v>46009</v>
      </c>
      <c r="C4816" t="s">
        <v>4677</v>
      </c>
      <c r="D4816">
        <v>12</v>
      </c>
      <c r="E4816">
        <v>18</v>
      </c>
      <c r="F4816" t="s">
        <v>88</v>
      </c>
      <c r="G4816" t="s">
        <v>84</v>
      </c>
      <c r="H4816" t="s">
        <v>68</v>
      </c>
      <c r="I4816" t="s">
        <v>27</v>
      </c>
      <c r="J4816" t="s">
        <v>78</v>
      </c>
      <c r="K4816" t="s">
        <v>38</v>
      </c>
      <c r="L4816">
        <v>1</v>
      </c>
      <c r="M4816">
        <v>377</v>
      </c>
      <c r="N4816">
        <v>18.850000000000001</v>
      </c>
      <c r="O4816">
        <v>20</v>
      </c>
      <c r="P4816">
        <v>377</v>
      </c>
      <c r="Q4816">
        <v>378.15</v>
      </c>
      <c r="R4816" t="s">
        <v>39</v>
      </c>
      <c r="S4816" t="s">
        <v>31</v>
      </c>
      <c r="T4816" t="s">
        <v>40</v>
      </c>
      <c r="U4816">
        <v>48</v>
      </c>
      <c r="V4816">
        <v>2.9</v>
      </c>
      <c r="W4816">
        <f>Table2[[#This Row],[Quantity]]*Table2[[#This Row],[Item_Price]]</f>
        <v>377</v>
      </c>
    </row>
    <row r="4817" spans="1:23" x14ac:dyDescent="0.25">
      <c r="A4817" t="s">
        <v>4922</v>
      </c>
      <c r="B4817" s="1">
        <v>46010</v>
      </c>
      <c r="C4817" t="s">
        <v>4677</v>
      </c>
      <c r="D4817">
        <v>12</v>
      </c>
      <c r="E4817">
        <v>19</v>
      </c>
      <c r="F4817" t="s">
        <v>114</v>
      </c>
      <c r="G4817" t="s">
        <v>34</v>
      </c>
      <c r="H4817" t="s">
        <v>108</v>
      </c>
      <c r="I4817" t="s">
        <v>61</v>
      </c>
      <c r="J4817" t="s">
        <v>82</v>
      </c>
      <c r="K4817" t="s">
        <v>38</v>
      </c>
      <c r="L4817">
        <v>2</v>
      </c>
      <c r="M4817">
        <v>620</v>
      </c>
      <c r="N4817">
        <v>155</v>
      </c>
      <c r="O4817">
        <v>50</v>
      </c>
      <c r="P4817">
        <v>1240</v>
      </c>
      <c r="Q4817">
        <v>1135</v>
      </c>
      <c r="R4817" t="s">
        <v>30</v>
      </c>
      <c r="S4817" t="s">
        <v>91</v>
      </c>
      <c r="T4817" t="s">
        <v>32</v>
      </c>
      <c r="U4817">
        <v>64</v>
      </c>
      <c r="W4817">
        <f>Table2[[#This Row],[Quantity]]*Table2[[#This Row],[Item_Price]]</f>
        <v>1240</v>
      </c>
    </row>
    <row r="4818" spans="1:23" x14ac:dyDescent="0.25">
      <c r="A4818" t="s">
        <v>4923</v>
      </c>
      <c r="B4818" s="1">
        <v>46010</v>
      </c>
      <c r="C4818" t="s">
        <v>4677</v>
      </c>
      <c r="D4818">
        <v>12</v>
      </c>
      <c r="E4818">
        <v>19</v>
      </c>
      <c r="F4818" t="s">
        <v>114</v>
      </c>
      <c r="G4818" t="s">
        <v>34</v>
      </c>
      <c r="H4818" t="s">
        <v>35</v>
      </c>
      <c r="I4818" t="s">
        <v>61</v>
      </c>
      <c r="J4818" t="s">
        <v>82</v>
      </c>
      <c r="K4818" t="s">
        <v>45</v>
      </c>
      <c r="L4818">
        <v>2</v>
      </c>
      <c r="M4818">
        <v>401</v>
      </c>
      <c r="N4818">
        <v>80.2</v>
      </c>
      <c r="O4818">
        <v>40</v>
      </c>
      <c r="P4818">
        <v>802</v>
      </c>
      <c r="Q4818">
        <v>761.8</v>
      </c>
      <c r="R4818" t="s">
        <v>39</v>
      </c>
      <c r="S4818" t="s">
        <v>46</v>
      </c>
      <c r="T4818" t="s">
        <v>32</v>
      </c>
      <c r="U4818">
        <v>45</v>
      </c>
      <c r="W4818">
        <f>Table2[[#This Row],[Quantity]]*Table2[[#This Row],[Item_Price]]</f>
        <v>802</v>
      </c>
    </row>
    <row r="4819" spans="1:23" x14ac:dyDescent="0.25">
      <c r="A4819" t="s">
        <v>4924</v>
      </c>
      <c r="B4819" s="1">
        <v>46010</v>
      </c>
      <c r="C4819" t="s">
        <v>4677</v>
      </c>
      <c r="D4819">
        <v>12</v>
      </c>
      <c r="E4819">
        <v>19</v>
      </c>
      <c r="F4819" t="s">
        <v>114</v>
      </c>
      <c r="G4819" t="s">
        <v>115</v>
      </c>
      <c r="H4819" t="s">
        <v>56</v>
      </c>
      <c r="I4819" t="s">
        <v>97</v>
      </c>
      <c r="J4819" t="s">
        <v>78</v>
      </c>
      <c r="K4819" t="s">
        <v>45</v>
      </c>
      <c r="L4819">
        <v>1</v>
      </c>
      <c r="M4819">
        <v>672</v>
      </c>
      <c r="N4819">
        <v>33.6</v>
      </c>
      <c r="O4819">
        <v>50</v>
      </c>
      <c r="P4819">
        <v>672</v>
      </c>
      <c r="Q4819">
        <v>688.4</v>
      </c>
      <c r="R4819" t="s">
        <v>39</v>
      </c>
      <c r="S4819" t="s">
        <v>31</v>
      </c>
      <c r="T4819" t="s">
        <v>32</v>
      </c>
      <c r="U4819">
        <v>58</v>
      </c>
      <c r="V4819">
        <v>4.7</v>
      </c>
      <c r="W4819">
        <f>Table2[[#This Row],[Quantity]]*Table2[[#This Row],[Item_Price]]</f>
        <v>672</v>
      </c>
    </row>
    <row r="4820" spans="1:23" x14ac:dyDescent="0.25">
      <c r="A4820" t="s">
        <v>4925</v>
      </c>
      <c r="B4820" s="1">
        <v>46010</v>
      </c>
      <c r="C4820" t="s">
        <v>4677</v>
      </c>
      <c r="D4820">
        <v>12</v>
      </c>
      <c r="E4820">
        <v>19</v>
      </c>
      <c r="F4820" t="s">
        <v>114</v>
      </c>
      <c r="G4820" t="s">
        <v>64</v>
      </c>
      <c r="H4820" t="s">
        <v>105</v>
      </c>
      <c r="I4820" t="s">
        <v>97</v>
      </c>
      <c r="J4820" t="s">
        <v>172</v>
      </c>
      <c r="K4820" t="s">
        <v>38</v>
      </c>
      <c r="L4820">
        <v>1</v>
      </c>
      <c r="M4820">
        <v>543</v>
      </c>
      <c r="N4820">
        <v>54.3</v>
      </c>
      <c r="O4820">
        <v>30</v>
      </c>
      <c r="P4820">
        <v>543</v>
      </c>
      <c r="Q4820">
        <v>518.70000000000005</v>
      </c>
      <c r="R4820" t="s">
        <v>75</v>
      </c>
      <c r="S4820" t="s">
        <v>31</v>
      </c>
      <c r="T4820" t="s">
        <v>32</v>
      </c>
      <c r="U4820">
        <v>53</v>
      </c>
      <c r="V4820">
        <v>4.4000000000000004</v>
      </c>
      <c r="W4820">
        <f>Table2[[#This Row],[Quantity]]*Table2[[#This Row],[Item_Price]]</f>
        <v>543</v>
      </c>
    </row>
    <row r="4821" spans="1:23" x14ac:dyDescent="0.25">
      <c r="A4821" t="s">
        <v>4926</v>
      </c>
      <c r="B4821" s="1">
        <v>46010</v>
      </c>
      <c r="C4821" t="s">
        <v>4677</v>
      </c>
      <c r="D4821">
        <v>12</v>
      </c>
      <c r="E4821">
        <v>19</v>
      </c>
      <c r="F4821" t="s">
        <v>114</v>
      </c>
      <c r="G4821" t="s">
        <v>25</v>
      </c>
      <c r="H4821" t="s">
        <v>108</v>
      </c>
      <c r="I4821" t="s">
        <v>27</v>
      </c>
      <c r="J4821" t="s">
        <v>53</v>
      </c>
      <c r="K4821" t="s">
        <v>38</v>
      </c>
      <c r="L4821">
        <v>2</v>
      </c>
      <c r="M4821">
        <v>289</v>
      </c>
      <c r="N4821">
        <v>28.9</v>
      </c>
      <c r="O4821">
        <v>0</v>
      </c>
      <c r="P4821">
        <v>578</v>
      </c>
      <c r="Q4821">
        <v>549.1</v>
      </c>
      <c r="R4821" t="s">
        <v>39</v>
      </c>
      <c r="S4821" t="s">
        <v>31</v>
      </c>
      <c r="T4821" t="s">
        <v>40</v>
      </c>
      <c r="U4821">
        <v>44</v>
      </c>
      <c r="V4821">
        <v>3.2</v>
      </c>
      <c r="W4821">
        <f>Table2[[#This Row],[Quantity]]*Table2[[#This Row],[Item_Price]]</f>
        <v>578</v>
      </c>
    </row>
    <row r="4822" spans="1:23" x14ac:dyDescent="0.25">
      <c r="A4822" t="s">
        <v>4927</v>
      </c>
      <c r="B4822" s="1">
        <v>46010</v>
      </c>
      <c r="C4822" t="s">
        <v>4677</v>
      </c>
      <c r="D4822">
        <v>12</v>
      </c>
      <c r="E4822">
        <v>19</v>
      </c>
      <c r="F4822" t="s">
        <v>114</v>
      </c>
      <c r="G4822" t="s">
        <v>80</v>
      </c>
      <c r="H4822" t="s">
        <v>68</v>
      </c>
      <c r="I4822" t="s">
        <v>85</v>
      </c>
      <c r="J4822" t="s">
        <v>37</v>
      </c>
      <c r="K4822" t="s">
        <v>45</v>
      </c>
      <c r="L4822">
        <v>1</v>
      </c>
      <c r="M4822">
        <v>403</v>
      </c>
      <c r="N4822">
        <v>80.599999999999994</v>
      </c>
      <c r="O4822">
        <v>30</v>
      </c>
      <c r="P4822">
        <v>403</v>
      </c>
      <c r="Q4822">
        <v>352.4</v>
      </c>
      <c r="R4822" t="s">
        <v>112</v>
      </c>
      <c r="S4822" t="s">
        <v>110</v>
      </c>
      <c r="T4822" t="s">
        <v>32</v>
      </c>
      <c r="U4822">
        <v>22</v>
      </c>
      <c r="W4822">
        <f>Table2[[#This Row],[Quantity]]*Table2[[#This Row],[Item_Price]]</f>
        <v>403</v>
      </c>
    </row>
    <row r="4823" spans="1:23" x14ac:dyDescent="0.25">
      <c r="A4823" t="s">
        <v>4928</v>
      </c>
      <c r="B4823" s="1">
        <v>46010</v>
      </c>
      <c r="C4823" t="s">
        <v>4677</v>
      </c>
      <c r="D4823">
        <v>12</v>
      </c>
      <c r="E4823">
        <v>19</v>
      </c>
      <c r="F4823" t="s">
        <v>114</v>
      </c>
      <c r="G4823" t="s">
        <v>34</v>
      </c>
      <c r="H4823" t="s">
        <v>52</v>
      </c>
      <c r="I4823" t="s">
        <v>61</v>
      </c>
      <c r="J4823" t="s">
        <v>94</v>
      </c>
      <c r="K4823" t="s">
        <v>45</v>
      </c>
      <c r="L4823">
        <v>3</v>
      </c>
      <c r="M4823">
        <v>814</v>
      </c>
      <c r="N4823">
        <v>162.80000000000001</v>
      </c>
      <c r="O4823">
        <v>40</v>
      </c>
      <c r="P4823">
        <v>2442</v>
      </c>
      <c r="Q4823">
        <v>2319.1999999999998</v>
      </c>
      <c r="R4823" t="s">
        <v>98</v>
      </c>
      <c r="S4823" t="s">
        <v>31</v>
      </c>
      <c r="T4823" t="s">
        <v>40</v>
      </c>
      <c r="U4823">
        <v>40</v>
      </c>
      <c r="V4823">
        <v>5</v>
      </c>
      <c r="W4823">
        <f>Table2[[#This Row],[Quantity]]*Table2[[#This Row],[Item_Price]]</f>
        <v>2442</v>
      </c>
    </row>
    <row r="4824" spans="1:23" x14ac:dyDescent="0.25">
      <c r="A4824" t="s">
        <v>4929</v>
      </c>
      <c r="B4824" s="1">
        <v>46010</v>
      </c>
      <c r="C4824" t="s">
        <v>4677</v>
      </c>
      <c r="D4824">
        <v>12</v>
      </c>
      <c r="E4824">
        <v>19</v>
      </c>
      <c r="F4824" t="s">
        <v>114</v>
      </c>
      <c r="G4824" t="s">
        <v>64</v>
      </c>
      <c r="H4824" t="s">
        <v>81</v>
      </c>
      <c r="I4824" t="s">
        <v>49</v>
      </c>
      <c r="J4824" t="s">
        <v>66</v>
      </c>
      <c r="K4824" t="s">
        <v>45</v>
      </c>
      <c r="L4824">
        <v>1</v>
      </c>
      <c r="M4824">
        <v>326</v>
      </c>
      <c r="N4824">
        <v>0</v>
      </c>
      <c r="O4824">
        <v>50</v>
      </c>
      <c r="P4824">
        <v>326</v>
      </c>
      <c r="Q4824">
        <v>376</v>
      </c>
      <c r="R4824" t="s">
        <v>112</v>
      </c>
      <c r="S4824" t="s">
        <v>110</v>
      </c>
      <c r="T4824" t="s">
        <v>40</v>
      </c>
      <c r="U4824">
        <v>45</v>
      </c>
      <c r="W4824">
        <f>Table2[[#This Row],[Quantity]]*Table2[[#This Row],[Item_Price]]</f>
        <v>326</v>
      </c>
    </row>
    <row r="4825" spans="1:23" x14ac:dyDescent="0.25">
      <c r="A4825" t="s">
        <v>4930</v>
      </c>
      <c r="B4825" s="1">
        <v>46010</v>
      </c>
      <c r="C4825" t="s">
        <v>4677</v>
      </c>
      <c r="D4825">
        <v>12</v>
      </c>
      <c r="E4825">
        <v>19</v>
      </c>
      <c r="F4825" t="s">
        <v>114</v>
      </c>
      <c r="G4825" t="s">
        <v>73</v>
      </c>
      <c r="H4825" t="s">
        <v>81</v>
      </c>
      <c r="I4825" t="s">
        <v>103</v>
      </c>
      <c r="J4825" t="s">
        <v>119</v>
      </c>
      <c r="K4825" t="s">
        <v>38</v>
      </c>
      <c r="L4825">
        <v>3</v>
      </c>
      <c r="M4825">
        <v>288</v>
      </c>
      <c r="N4825">
        <v>43.2</v>
      </c>
      <c r="O4825">
        <v>20</v>
      </c>
      <c r="P4825">
        <v>864</v>
      </c>
      <c r="Q4825">
        <v>840.8</v>
      </c>
      <c r="R4825" t="s">
        <v>98</v>
      </c>
      <c r="S4825" t="s">
        <v>31</v>
      </c>
      <c r="T4825" t="s">
        <v>40</v>
      </c>
      <c r="U4825">
        <v>61</v>
      </c>
      <c r="V4825">
        <v>4.8</v>
      </c>
      <c r="W4825">
        <f>Table2[[#This Row],[Quantity]]*Table2[[#This Row],[Item_Price]]</f>
        <v>864</v>
      </c>
    </row>
    <row r="4826" spans="1:23" x14ac:dyDescent="0.25">
      <c r="A4826" t="s">
        <v>4931</v>
      </c>
      <c r="B4826" s="1">
        <v>46010</v>
      </c>
      <c r="C4826" t="s">
        <v>4677</v>
      </c>
      <c r="D4826">
        <v>12</v>
      </c>
      <c r="E4826">
        <v>19</v>
      </c>
      <c r="F4826" t="s">
        <v>114</v>
      </c>
      <c r="G4826" t="s">
        <v>96</v>
      </c>
      <c r="H4826" t="s">
        <v>108</v>
      </c>
      <c r="I4826" t="s">
        <v>36</v>
      </c>
      <c r="J4826" t="s">
        <v>123</v>
      </c>
      <c r="K4826" t="s">
        <v>38</v>
      </c>
      <c r="L4826">
        <v>1</v>
      </c>
      <c r="M4826">
        <v>713</v>
      </c>
      <c r="N4826">
        <v>35.65</v>
      </c>
      <c r="O4826">
        <v>30</v>
      </c>
      <c r="P4826">
        <v>713</v>
      </c>
      <c r="Q4826">
        <v>707.35</v>
      </c>
      <c r="R4826" t="s">
        <v>112</v>
      </c>
      <c r="S4826" t="s">
        <v>31</v>
      </c>
      <c r="T4826" t="s">
        <v>32</v>
      </c>
      <c r="U4826">
        <v>24</v>
      </c>
      <c r="V4826">
        <v>4.9000000000000004</v>
      </c>
      <c r="W4826">
        <f>Table2[[#This Row],[Quantity]]*Table2[[#This Row],[Item_Price]]</f>
        <v>713</v>
      </c>
    </row>
    <row r="4827" spans="1:23" x14ac:dyDescent="0.25">
      <c r="A4827" t="s">
        <v>4932</v>
      </c>
      <c r="B4827" s="1">
        <v>46010</v>
      </c>
      <c r="C4827" t="s">
        <v>4677</v>
      </c>
      <c r="D4827">
        <v>12</v>
      </c>
      <c r="E4827">
        <v>19</v>
      </c>
      <c r="F4827" t="s">
        <v>114</v>
      </c>
      <c r="G4827" t="s">
        <v>34</v>
      </c>
      <c r="H4827" t="s">
        <v>68</v>
      </c>
      <c r="I4827" t="s">
        <v>103</v>
      </c>
      <c r="J4827" t="s">
        <v>123</v>
      </c>
      <c r="K4827" t="s">
        <v>38</v>
      </c>
      <c r="L4827">
        <v>2</v>
      </c>
      <c r="M4827">
        <v>376</v>
      </c>
      <c r="N4827">
        <v>18.8</v>
      </c>
      <c r="O4827">
        <v>0</v>
      </c>
      <c r="P4827">
        <v>752</v>
      </c>
      <c r="Q4827">
        <v>733.2</v>
      </c>
      <c r="R4827" t="s">
        <v>112</v>
      </c>
      <c r="S4827" t="s">
        <v>31</v>
      </c>
      <c r="T4827" t="s">
        <v>40</v>
      </c>
      <c r="U4827">
        <v>46</v>
      </c>
      <c r="V4827">
        <v>4.7</v>
      </c>
      <c r="W4827">
        <f>Table2[[#This Row],[Quantity]]*Table2[[#This Row],[Item_Price]]</f>
        <v>752</v>
      </c>
    </row>
    <row r="4828" spans="1:23" x14ac:dyDescent="0.25">
      <c r="A4828" t="s">
        <v>4933</v>
      </c>
      <c r="B4828" s="1">
        <v>46011</v>
      </c>
      <c r="C4828" t="s">
        <v>4677</v>
      </c>
      <c r="D4828">
        <v>12</v>
      </c>
      <c r="E4828">
        <v>20</v>
      </c>
      <c r="F4828" t="s">
        <v>134</v>
      </c>
      <c r="G4828" t="s">
        <v>80</v>
      </c>
      <c r="H4828" t="s">
        <v>60</v>
      </c>
      <c r="I4828" t="s">
        <v>27</v>
      </c>
      <c r="J4828" t="s">
        <v>119</v>
      </c>
      <c r="K4828" t="s">
        <v>45</v>
      </c>
      <c r="L4828">
        <v>2</v>
      </c>
      <c r="M4828">
        <v>358</v>
      </c>
      <c r="N4828">
        <v>89.5</v>
      </c>
      <c r="O4828">
        <v>30</v>
      </c>
      <c r="P4828">
        <v>716</v>
      </c>
      <c r="Q4828">
        <v>656.5</v>
      </c>
      <c r="R4828" t="s">
        <v>75</v>
      </c>
      <c r="S4828" t="s">
        <v>31</v>
      </c>
      <c r="T4828" t="s">
        <v>40</v>
      </c>
      <c r="U4828">
        <v>53</v>
      </c>
      <c r="V4828">
        <v>4.2</v>
      </c>
      <c r="W4828">
        <f>Table2[[#This Row],[Quantity]]*Table2[[#This Row],[Item_Price]]</f>
        <v>716</v>
      </c>
    </row>
    <row r="4829" spans="1:23" x14ac:dyDescent="0.25">
      <c r="A4829" t="s">
        <v>4934</v>
      </c>
      <c r="B4829" s="1">
        <v>46011</v>
      </c>
      <c r="C4829" t="s">
        <v>4677</v>
      </c>
      <c r="D4829">
        <v>12</v>
      </c>
      <c r="E4829">
        <v>20</v>
      </c>
      <c r="F4829" t="s">
        <v>134</v>
      </c>
      <c r="G4829" t="s">
        <v>80</v>
      </c>
      <c r="H4829" t="s">
        <v>52</v>
      </c>
      <c r="I4829" t="s">
        <v>103</v>
      </c>
      <c r="J4829" t="s">
        <v>70</v>
      </c>
      <c r="K4829" t="s">
        <v>45</v>
      </c>
      <c r="L4829">
        <v>1</v>
      </c>
      <c r="M4829">
        <v>282</v>
      </c>
      <c r="N4829">
        <v>0</v>
      </c>
      <c r="O4829">
        <v>40</v>
      </c>
      <c r="P4829">
        <v>282</v>
      </c>
      <c r="Q4829">
        <v>322</v>
      </c>
      <c r="R4829" t="s">
        <v>112</v>
      </c>
      <c r="S4829" t="s">
        <v>31</v>
      </c>
      <c r="T4829" t="s">
        <v>40</v>
      </c>
      <c r="U4829">
        <v>32</v>
      </c>
      <c r="V4829">
        <v>4.3</v>
      </c>
      <c r="W4829">
        <f>Table2[[#This Row],[Quantity]]*Table2[[#This Row],[Item_Price]]</f>
        <v>282</v>
      </c>
    </row>
    <row r="4830" spans="1:23" x14ac:dyDescent="0.25">
      <c r="A4830" t="s">
        <v>4935</v>
      </c>
      <c r="B4830" s="1">
        <v>46011</v>
      </c>
      <c r="C4830" t="s">
        <v>4677</v>
      </c>
      <c r="D4830">
        <v>12</v>
      </c>
      <c r="E4830">
        <v>20</v>
      </c>
      <c r="F4830" t="s">
        <v>134</v>
      </c>
      <c r="G4830" t="s">
        <v>55</v>
      </c>
      <c r="H4830" t="s">
        <v>60</v>
      </c>
      <c r="I4830" t="s">
        <v>36</v>
      </c>
      <c r="J4830" t="s">
        <v>37</v>
      </c>
      <c r="K4830" t="s">
        <v>38</v>
      </c>
      <c r="L4830">
        <v>1</v>
      </c>
      <c r="M4830">
        <v>650</v>
      </c>
      <c r="N4830">
        <v>65</v>
      </c>
      <c r="O4830">
        <v>30</v>
      </c>
      <c r="P4830">
        <v>650</v>
      </c>
      <c r="Q4830">
        <v>615</v>
      </c>
      <c r="R4830" t="s">
        <v>39</v>
      </c>
      <c r="S4830" t="s">
        <v>31</v>
      </c>
      <c r="T4830" t="s">
        <v>40</v>
      </c>
      <c r="U4830">
        <v>66</v>
      </c>
      <c r="V4830">
        <v>4.4000000000000004</v>
      </c>
      <c r="W4830">
        <f>Table2[[#This Row],[Quantity]]*Table2[[#This Row],[Item_Price]]</f>
        <v>650</v>
      </c>
    </row>
    <row r="4831" spans="1:23" x14ac:dyDescent="0.25">
      <c r="A4831" t="s">
        <v>4936</v>
      </c>
      <c r="B4831" s="1">
        <v>46011</v>
      </c>
      <c r="C4831" t="s">
        <v>4677</v>
      </c>
      <c r="D4831">
        <v>12</v>
      </c>
      <c r="E4831">
        <v>20</v>
      </c>
      <c r="F4831" t="s">
        <v>134</v>
      </c>
      <c r="G4831" t="s">
        <v>80</v>
      </c>
      <c r="H4831" t="s">
        <v>81</v>
      </c>
      <c r="I4831" t="s">
        <v>85</v>
      </c>
      <c r="J4831" t="s">
        <v>70</v>
      </c>
      <c r="K4831" t="s">
        <v>29</v>
      </c>
      <c r="L4831">
        <v>1</v>
      </c>
      <c r="M4831">
        <v>418</v>
      </c>
      <c r="N4831">
        <v>104.5</v>
      </c>
      <c r="O4831">
        <v>40</v>
      </c>
      <c r="P4831">
        <v>418</v>
      </c>
      <c r="Q4831">
        <v>353.5</v>
      </c>
      <c r="R4831" t="s">
        <v>39</v>
      </c>
      <c r="S4831" t="s">
        <v>31</v>
      </c>
      <c r="T4831" t="s">
        <v>32</v>
      </c>
      <c r="U4831">
        <v>51</v>
      </c>
      <c r="V4831">
        <v>4.2</v>
      </c>
      <c r="W4831">
        <f>Table2[[#This Row],[Quantity]]*Table2[[#This Row],[Item_Price]]</f>
        <v>418</v>
      </c>
    </row>
    <row r="4832" spans="1:23" x14ac:dyDescent="0.25">
      <c r="A4832" t="s">
        <v>4937</v>
      </c>
      <c r="B4832" s="1">
        <v>46011</v>
      </c>
      <c r="C4832" t="s">
        <v>4677</v>
      </c>
      <c r="D4832">
        <v>12</v>
      </c>
      <c r="E4832">
        <v>20</v>
      </c>
      <c r="F4832" t="s">
        <v>134</v>
      </c>
      <c r="G4832" t="s">
        <v>80</v>
      </c>
      <c r="H4832" t="s">
        <v>139</v>
      </c>
      <c r="I4832" t="s">
        <v>69</v>
      </c>
      <c r="J4832" t="s">
        <v>101</v>
      </c>
      <c r="K4832" t="s">
        <v>38</v>
      </c>
      <c r="L4832">
        <v>3</v>
      </c>
      <c r="M4832">
        <v>837</v>
      </c>
      <c r="N4832">
        <v>125.55</v>
      </c>
      <c r="O4832">
        <v>30</v>
      </c>
      <c r="P4832">
        <v>2511</v>
      </c>
      <c r="Q4832">
        <v>2415.4499999999998</v>
      </c>
      <c r="R4832" t="s">
        <v>98</v>
      </c>
      <c r="S4832" t="s">
        <v>31</v>
      </c>
      <c r="T4832" t="s">
        <v>32</v>
      </c>
      <c r="U4832">
        <v>41</v>
      </c>
      <c r="V4832">
        <v>3.9</v>
      </c>
      <c r="W4832">
        <f>Table2[[#This Row],[Quantity]]*Table2[[#This Row],[Item_Price]]</f>
        <v>2511</v>
      </c>
    </row>
    <row r="4833" spans="1:23" x14ac:dyDescent="0.25">
      <c r="A4833" t="s">
        <v>4938</v>
      </c>
      <c r="B4833" s="1">
        <v>46011</v>
      </c>
      <c r="C4833" t="s">
        <v>4677</v>
      </c>
      <c r="D4833">
        <v>12</v>
      </c>
      <c r="E4833">
        <v>20</v>
      </c>
      <c r="F4833" t="s">
        <v>134</v>
      </c>
      <c r="G4833" t="s">
        <v>25</v>
      </c>
      <c r="H4833" t="s">
        <v>56</v>
      </c>
      <c r="I4833" t="s">
        <v>27</v>
      </c>
      <c r="J4833" t="s">
        <v>78</v>
      </c>
      <c r="K4833" t="s">
        <v>45</v>
      </c>
      <c r="L4833">
        <v>1</v>
      </c>
      <c r="M4833">
        <v>326</v>
      </c>
      <c r="N4833">
        <v>0</v>
      </c>
      <c r="O4833">
        <v>70</v>
      </c>
      <c r="P4833">
        <v>326</v>
      </c>
      <c r="Q4833">
        <v>396</v>
      </c>
      <c r="R4833" t="s">
        <v>98</v>
      </c>
      <c r="S4833" t="s">
        <v>46</v>
      </c>
      <c r="T4833" t="s">
        <v>40</v>
      </c>
      <c r="U4833">
        <v>42</v>
      </c>
      <c r="W4833">
        <f>Table2[[#This Row],[Quantity]]*Table2[[#This Row],[Item_Price]]</f>
        <v>326</v>
      </c>
    </row>
    <row r="4834" spans="1:23" x14ac:dyDescent="0.25">
      <c r="A4834" t="s">
        <v>4939</v>
      </c>
      <c r="B4834" s="1">
        <v>46011</v>
      </c>
      <c r="C4834" t="s">
        <v>4677</v>
      </c>
      <c r="D4834">
        <v>12</v>
      </c>
      <c r="E4834">
        <v>20</v>
      </c>
      <c r="F4834" t="s">
        <v>134</v>
      </c>
      <c r="G4834" t="s">
        <v>64</v>
      </c>
      <c r="H4834" t="s">
        <v>68</v>
      </c>
      <c r="I4834" t="s">
        <v>97</v>
      </c>
      <c r="J4834" t="s">
        <v>66</v>
      </c>
      <c r="K4834" t="s">
        <v>38</v>
      </c>
      <c r="L4834">
        <v>1</v>
      </c>
      <c r="M4834">
        <v>169</v>
      </c>
      <c r="N4834">
        <v>25.35</v>
      </c>
      <c r="O4834">
        <v>50</v>
      </c>
      <c r="P4834">
        <v>169</v>
      </c>
      <c r="Q4834">
        <v>193.65</v>
      </c>
      <c r="R4834" t="s">
        <v>39</v>
      </c>
      <c r="S4834" t="s">
        <v>31</v>
      </c>
      <c r="T4834" t="s">
        <v>40</v>
      </c>
      <c r="U4834">
        <v>37</v>
      </c>
      <c r="V4834">
        <v>3.4</v>
      </c>
      <c r="W4834">
        <f>Table2[[#This Row],[Quantity]]*Table2[[#This Row],[Item_Price]]</f>
        <v>169</v>
      </c>
    </row>
    <row r="4835" spans="1:23" x14ac:dyDescent="0.25">
      <c r="A4835" t="s">
        <v>4940</v>
      </c>
      <c r="B4835" s="1">
        <v>46011</v>
      </c>
      <c r="C4835" t="s">
        <v>4677</v>
      </c>
      <c r="D4835">
        <v>12</v>
      </c>
      <c r="E4835">
        <v>20</v>
      </c>
      <c r="F4835" t="s">
        <v>134</v>
      </c>
      <c r="G4835" t="s">
        <v>115</v>
      </c>
      <c r="H4835" t="s">
        <v>56</v>
      </c>
      <c r="I4835" t="s">
        <v>85</v>
      </c>
      <c r="J4835" t="s">
        <v>53</v>
      </c>
      <c r="K4835" t="s">
        <v>45</v>
      </c>
      <c r="L4835">
        <v>1</v>
      </c>
      <c r="M4835">
        <v>593</v>
      </c>
      <c r="N4835">
        <v>59.3</v>
      </c>
      <c r="O4835">
        <v>30</v>
      </c>
      <c r="P4835">
        <v>593</v>
      </c>
      <c r="Q4835">
        <v>563.70000000000005</v>
      </c>
      <c r="R4835" t="s">
        <v>39</v>
      </c>
      <c r="S4835" t="s">
        <v>31</v>
      </c>
      <c r="T4835" t="s">
        <v>40</v>
      </c>
      <c r="U4835">
        <v>49</v>
      </c>
      <c r="V4835">
        <v>5</v>
      </c>
      <c r="W4835">
        <f>Table2[[#This Row],[Quantity]]*Table2[[#This Row],[Item_Price]]</f>
        <v>593</v>
      </c>
    </row>
    <row r="4836" spans="1:23" x14ac:dyDescent="0.25">
      <c r="A4836" t="s">
        <v>4941</v>
      </c>
      <c r="B4836" s="1">
        <v>46011</v>
      </c>
      <c r="C4836" t="s">
        <v>4677</v>
      </c>
      <c r="D4836">
        <v>12</v>
      </c>
      <c r="E4836">
        <v>20</v>
      </c>
      <c r="F4836" t="s">
        <v>134</v>
      </c>
      <c r="G4836" t="s">
        <v>34</v>
      </c>
      <c r="H4836" t="s">
        <v>52</v>
      </c>
      <c r="I4836" t="s">
        <v>97</v>
      </c>
      <c r="J4836" t="s">
        <v>44</v>
      </c>
      <c r="K4836" t="s">
        <v>38</v>
      </c>
      <c r="L4836">
        <v>1</v>
      </c>
      <c r="M4836">
        <v>786</v>
      </c>
      <c r="N4836">
        <v>78.599999999999994</v>
      </c>
      <c r="O4836">
        <v>20</v>
      </c>
      <c r="P4836">
        <v>786</v>
      </c>
      <c r="Q4836">
        <v>727.4</v>
      </c>
      <c r="R4836" t="s">
        <v>112</v>
      </c>
      <c r="S4836" t="s">
        <v>31</v>
      </c>
      <c r="T4836" t="s">
        <v>32</v>
      </c>
      <c r="U4836">
        <v>32</v>
      </c>
      <c r="V4836">
        <v>4.7</v>
      </c>
      <c r="W4836">
        <f>Table2[[#This Row],[Quantity]]*Table2[[#This Row],[Item_Price]]</f>
        <v>786</v>
      </c>
    </row>
    <row r="4837" spans="1:23" x14ac:dyDescent="0.25">
      <c r="A4837" t="s">
        <v>4942</v>
      </c>
      <c r="B4837" s="1">
        <v>46011</v>
      </c>
      <c r="C4837" t="s">
        <v>4677</v>
      </c>
      <c r="D4837">
        <v>12</v>
      </c>
      <c r="E4837">
        <v>20</v>
      </c>
      <c r="F4837" t="s">
        <v>134</v>
      </c>
      <c r="G4837" t="s">
        <v>55</v>
      </c>
      <c r="H4837" t="s">
        <v>65</v>
      </c>
      <c r="I4837" t="s">
        <v>103</v>
      </c>
      <c r="J4837" t="s">
        <v>123</v>
      </c>
      <c r="K4837" t="s">
        <v>38</v>
      </c>
      <c r="L4837">
        <v>2</v>
      </c>
      <c r="M4837">
        <v>683</v>
      </c>
      <c r="N4837">
        <v>170.75</v>
      </c>
      <c r="O4837">
        <v>20</v>
      </c>
      <c r="P4837">
        <v>1366</v>
      </c>
      <c r="Q4837">
        <v>1215.25</v>
      </c>
      <c r="R4837" t="s">
        <v>39</v>
      </c>
      <c r="S4837" t="s">
        <v>31</v>
      </c>
      <c r="T4837" t="s">
        <v>40</v>
      </c>
      <c r="U4837">
        <v>64</v>
      </c>
      <c r="V4837">
        <v>4.9000000000000004</v>
      </c>
      <c r="W4837">
        <f>Table2[[#This Row],[Quantity]]*Table2[[#This Row],[Item_Price]]</f>
        <v>1366</v>
      </c>
    </row>
    <row r="4838" spans="1:23" x14ac:dyDescent="0.25">
      <c r="A4838" t="s">
        <v>4943</v>
      </c>
      <c r="B4838" s="1">
        <v>46011</v>
      </c>
      <c r="C4838" t="s">
        <v>4677</v>
      </c>
      <c r="D4838">
        <v>12</v>
      </c>
      <c r="E4838">
        <v>20</v>
      </c>
      <c r="F4838" t="s">
        <v>134</v>
      </c>
      <c r="G4838" t="s">
        <v>84</v>
      </c>
      <c r="H4838" t="s">
        <v>108</v>
      </c>
      <c r="I4838" t="s">
        <v>27</v>
      </c>
      <c r="J4838" t="s">
        <v>74</v>
      </c>
      <c r="K4838" t="s">
        <v>58</v>
      </c>
      <c r="L4838">
        <v>2</v>
      </c>
      <c r="M4838">
        <v>827</v>
      </c>
      <c r="N4838">
        <v>124.05</v>
      </c>
      <c r="O4838">
        <v>30</v>
      </c>
      <c r="P4838">
        <v>1654</v>
      </c>
      <c r="Q4838">
        <v>1559.95</v>
      </c>
      <c r="R4838" t="s">
        <v>39</v>
      </c>
      <c r="S4838" t="s">
        <v>31</v>
      </c>
      <c r="T4838" t="s">
        <v>40</v>
      </c>
      <c r="U4838">
        <v>43</v>
      </c>
      <c r="V4838">
        <v>3.6</v>
      </c>
      <c r="W4838">
        <f>Table2[[#This Row],[Quantity]]*Table2[[#This Row],[Item_Price]]</f>
        <v>1654</v>
      </c>
    </row>
    <row r="4839" spans="1:23" x14ac:dyDescent="0.25">
      <c r="A4839" t="s">
        <v>4944</v>
      </c>
      <c r="B4839" s="1">
        <v>46011</v>
      </c>
      <c r="C4839" t="s">
        <v>4677</v>
      </c>
      <c r="D4839">
        <v>12</v>
      </c>
      <c r="E4839">
        <v>20</v>
      </c>
      <c r="F4839" t="s">
        <v>134</v>
      </c>
      <c r="G4839" t="s">
        <v>34</v>
      </c>
      <c r="H4839" t="s">
        <v>60</v>
      </c>
      <c r="I4839" t="s">
        <v>36</v>
      </c>
      <c r="J4839" t="s">
        <v>37</v>
      </c>
      <c r="K4839" t="s">
        <v>38</v>
      </c>
      <c r="L4839">
        <v>3</v>
      </c>
      <c r="M4839">
        <v>564</v>
      </c>
      <c r="N4839">
        <v>84.6</v>
      </c>
      <c r="O4839">
        <v>40</v>
      </c>
      <c r="P4839">
        <v>1692</v>
      </c>
      <c r="Q4839">
        <v>1647.4</v>
      </c>
      <c r="R4839" t="s">
        <v>30</v>
      </c>
      <c r="S4839" t="s">
        <v>31</v>
      </c>
      <c r="T4839" t="s">
        <v>40</v>
      </c>
      <c r="U4839">
        <v>69</v>
      </c>
      <c r="V4839">
        <v>4.3</v>
      </c>
      <c r="W4839">
        <f>Table2[[#This Row],[Quantity]]*Table2[[#This Row],[Item_Price]]</f>
        <v>1692</v>
      </c>
    </row>
    <row r="4840" spans="1:23" x14ac:dyDescent="0.25">
      <c r="A4840" t="s">
        <v>4945</v>
      </c>
      <c r="B4840" s="1">
        <v>46011</v>
      </c>
      <c r="C4840" t="s">
        <v>4677</v>
      </c>
      <c r="D4840">
        <v>12</v>
      </c>
      <c r="E4840">
        <v>20</v>
      </c>
      <c r="F4840" t="s">
        <v>134</v>
      </c>
      <c r="G4840" t="s">
        <v>115</v>
      </c>
      <c r="H4840" t="s">
        <v>52</v>
      </c>
      <c r="I4840" t="s">
        <v>69</v>
      </c>
      <c r="J4840" t="s">
        <v>101</v>
      </c>
      <c r="K4840" t="s">
        <v>38</v>
      </c>
      <c r="L4840">
        <v>2</v>
      </c>
      <c r="M4840">
        <v>509</v>
      </c>
      <c r="N4840">
        <v>50.9</v>
      </c>
      <c r="O4840">
        <v>40</v>
      </c>
      <c r="P4840">
        <v>1018</v>
      </c>
      <c r="Q4840">
        <v>1007.1</v>
      </c>
      <c r="R4840" t="s">
        <v>75</v>
      </c>
      <c r="S4840" t="s">
        <v>31</v>
      </c>
      <c r="T4840" t="s">
        <v>32</v>
      </c>
      <c r="U4840">
        <v>57</v>
      </c>
      <c r="V4840">
        <v>5</v>
      </c>
      <c r="W4840">
        <f>Table2[[#This Row],[Quantity]]*Table2[[#This Row],[Item_Price]]</f>
        <v>1018</v>
      </c>
    </row>
    <row r="4841" spans="1:23" x14ac:dyDescent="0.25">
      <c r="A4841" t="s">
        <v>4946</v>
      </c>
      <c r="B4841" s="1">
        <v>46011</v>
      </c>
      <c r="C4841" t="s">
        <v>4677</v>
      </c>
      <c r="D4841">
        <v>12</v>
      </c>
      <c r="E4841">
        <v>20</v>
      </c>
      <c r="F4841" t="s">
        <v>134</v>
      </c>
      <c r="G4841" t="s">
        <v>64</v>
      </c>
      <c r="H4841" t="s">
        <v>35</v>
      </c>
      <c r="I4841" t="s">
        <v>43</v>
      </c>
      <c r="J4841" t="s">
        <v>172</v>
      </c>
      <c r="K4841" t="s">
        <v>38</v>
      </c>
      <c r="L4841">
        <v>1</v>
      </c>
      <c r="M4841">
        <v>261</v>
      </c>
      <c r="N4841">
        <v>52.2</v>
      </c>
      <c r="O4841">
        <v>20</v>
      </c>
      <c r="P4841">
        <v>261</v>
      </c>
      <c r="Q4841">
        <v>228.8</v>
      </c>
      <c r="R4841" t="s">
        <v>39</v>
      </c>
      <c r="S4841" t="s">
        <v>31</v>
      </c>
      <c r="T4841" t="s">
        <v>40</v>
      </c>
      <c r="U4841">
        <v>22</v>
      </c>
      <c r="V4841">
        <v>2.8</v>
      </c>
      <c r="W4841">
        <f>Table2[[#This Row],[Quantity]]*Table2[[#This Row],[Item_Price]]</f>
        <v>261</v>
      </c>
    </row>
    <row r="4842" spans="1:23" x14ac:dyDescent="0.25">
      <c r="A4842" t="s">
        <v>4947</v>
      </c>
      <c r="B4842" s="1">
        <v>46011</v>
      </c>
      <c r="C4842" t="s">
        <v>4677</v>
      </c>
      <c r="D4842">
        <v>12</v>
      </c>
      <c r="E4842">
        <v>20</v>
      </c>
      <c r="F4842" t="s">
        <v>134</v>
      </c>
      <c r="G4842" t="s">
        <v>84</v>
      </c>
      <c r="H4842" t="s">
        <v>108</v>
      </c>
      <c r="I4842" t="s">
        <v>36</v>
      </c>
      <c r="J4842" t="s">
        <v>50</v>
      </c>
      <c r="K4842" t="s">
        <v>29</v>
      </c>
      <c r="L4842">
        <v>3</v>
      </c>
      <c r="M4842">
        <v>859</v>
      </c>
      <c r="N4842">
        <v>128.85</v>
      </c>
      <c r="O4842">
        <v>50</v>
      </c>
      <c r="P4842">
        <v>2577</v>
      </c>
      <c r="Q4842">
        <v>2498.15</v>
      </c>
      <c r="R4842" t="s">
        <v>39</v>
      </c>
      <c r="S4842" t="s">
        <v>110</v>
      </c>
      <c r="T4842" t="s">
        <v>32</v>
      </c>
      <c r="U4842">
        <v>61</v>
      </c>
      <c r="W4842">
        <f>Table2[[#This Row],[Quantity]]*Table2[[#This Row],[Item_Price]]</f>
        <v>2577</v>
      </c>
    </row>
    <row r="4843" spans="1:23" x14ac:dyDescent="0.25">
      <c r="A4843" t="s">
        <v>4948</v>
      </c>
      <c r="B4843" s="1">
        <v>46011</v>
      </c>
      <c r="C4843" t="s">
        <v>4677</v>
      </c>
      <c r="D4843">
        <v>12</v>
      </c>
      <c r="E4843">
        <v>20</v>
      </c>
      <c r="F4843" t="s">
        <v>134</v>
      </c>
      <c r="G4843" t="s">
        <v>96</v>
      </c>
      <c r="H4843" t="s">
        <v>52</v>
      </c>
      <c r="I4843" t="s">
        <v>61</v>
      </c>
      <c r="J4843" t="s">
        <v>66</v>
      </c>
      <c r="K4843" t="s">
        <v>38</v>
      </c>
      <c r="L4843">
        <v>2</v>
      </c>
      <c r="M4843">
        <v>636</v>
      </c>
      <c r="N4843">
        <v>127.2</v>
      </c>
      <c r="O4843">
        <v>0</v>
      </c>
      <c r="P4843">
        <v>1272</v>
      </c>
      <c r="Q4843">
        <v>1144.8</v>
      </c>
      <c r="R4843" t="s">
        <v>98</v>
      </c>
      <c r="S4843" t="s">
        <v>31</v>
      </c>
      <c r="T4843" t="s">
        <v>40</v>
      </c>
      <c r="U4843">
        <v>63</v>
      </c>
      <c r="V4843">
        <v>3.7</v>
      </c>
      <c r="W4843">
        <f>Table2[[#This Row],[Quantity]]*Table2[[#This Row],[Item_Price]]</f>
        <v>1272</v>
      </c>
    </row>
    <row r="4844" spans="1:23" x14ac:dyDescent="0.25">
      <c r="A4844" t="s">
        <v>4949</v>
      </c>
      <c r="B4844" s="1">
        <v>46011</v>
      </c>
      <c r="C4844" t="s">
        <v>4677</v>
      </c>
      <c r="D4844">
        <v>12</v>
      </c>
      <c r="E4844">
        <v>20</v>
      </c>
      <c r="F4844" t="s">
        <v>134</v>
      </c>
      <c r="G4844" t="s">
        <v>34</v>
      </c>
      <c r="H4844" t="s">
        <v>105</v>
      </c>
      <c r="I4844" t="s">
        <v>61</v>
      </c>
      <c r="J4844" t="s">
        <v>66</v>
      </c>
      <c r="K4844" t="s">
        <v>38</v>
      </c>
      <c r="L4844">
        <v>1</v>
      </c>
      <c r="M4844">
        <v>191</v>
      </c>
      <c r="N4844">
        <v>0</v>
      </c>
      <c r="O4844">
        <v>60</v>
      </c>
      <c r="P4844">
        <v>191</v>
      </c>
      <c r="Q4844">
        <v>251</v>
      </c>
      <c r="R4844" t="s">
        <v>39</v>
      </c>
      <c r="S4844" t="s">
        <v>46</v>
      </c>
      <c r="T4844" t="s">
        <v>40</v>
      </c>
      <c r="U4844">
        <v>66</v>
      </c>
      <c r="W4844">
        <f>Table2[[#This Row],[Quantity]]*Table2[[#This Row],[Item_Price]]</f>
        <v>191</v>
      </c>
    </row>
    <row r="4845" spans="1:23" x14ac:dyDescent="0.25">
      <c r="A4845" t="s">
        <v>4950</v>
      </c>
      <c r="B4845" s="1">
        <v>46011</v>
      </c>
      <c r="C4845" t="s">
        <v>4677</v>
      </c>
      <c r="D4845">
        <v>12</v>
      </c>
      <c r="E4845">
        <v>20</v>
      </c>
      <c r="F4845" t="s">
        <v>134</v>
      </c>
      <c r="G4845" t="s">
        <v>115</v>
      </c>
      <c r="H4845" t="s">
        <v>52</v>
      </c>
      <c r="I4845" t="s">
        <v>85</v>
      </c>
      <c r="J4845" t="s">
        <v>94</v>
      </c>
      <c r="K4845" t="s">
        <v>38</v>
      </c>
      <c r="L4845">
        <v>2</v>
      </c>
      <c r="M4845">
        <v>345</v>
      </c>
      <c r="N4845">
        <v>69</v>
      </c>
      <c r="O4845">
        <v>50</v>
      </c>
      <c r="P4845">
        <v>690</v>
      </c>
      <c r="Q4845">
        <v>671</v>
      </c>
      <c r="R4845" t="s">
        <v>39</v>
      </c>
      <c r="S4845" t="s">
        <v>110</v>
      </c>
      <c r="T4845" t="s">
        <v>32</v>
      </c>
      <c r="U4845">
        <v>60</v>
      </c>
      <c r="W4845">
        <f>Table2[[#This Row],[Quantity]]*Table2[[#This Row],[Item_Price]]</f>
        <v>690</v>
      </c>
    </row>
    <row r="4846" spans="1:23" x14ac:dyDescent="0.25">
      <c r="A4846" t="s">
        <v>4951</v>
      </c>
      <c r="B4846" s="1">
        <v>46012</v>
      </c>
      <c r="C4846" t="s">
        <v>4677</v>
      </c>
      <c r="D4846">
        <v>12</v>
      </c>
      <c r="E4846">
        <v>21</v>
      </c>
      <c r="F4846" t="s">
        <v>149</v>
      </c>
      <c r="G4846" t="s">
        <v>73</v>
      </c>
      <c r="H4846" t="s">
        <v>108</v>
      </c>
      <c r="I4846" t="s">
        <v>27</v>
      </c>
      <c r="J4846" t="s">
        <v>53</v>
      </c>
      <c r="K4846" t="s">
        <v>29</v>
      </c>
      <c r="L4846">
        <v>1</v>
      </c>
      <c r="M4846">
        <v>470</v>
      </c>
      <c r="N4846">
        <v>117.5</v>
      </c>
      <c r="O4846">
        <v>40</v>
      </c>
      <c r="P4846">
        <v>470</v>
      </c>
      <c r="Q4846">
        <v>392.5</v>
      </c>
      <c r="R4846" t="s">
        <v>75</v>
      </c>
      <c r="S4846" t="s">
        <v>31</v>
      </c>
      <c r="T4846" t="s">
        <v>40</v>
      </c>
      <c r="U4846">
        <v>45</v>
      </c>
      <c r="V4846">
        <v>5</v>
      </c>
      <c r="W4846">
        <f>Table2[[#This Row],[Quantity]]*Table2[[#This Row],[Item_Price]]</f>
        <v>470</v>
      </c>
    </row>
    <row r="4847" spans="1:23" x14ac:dyDescent="0.25">
      <c r="A4847" t="s">
        <v>4952</v>
      </c>
      <c r="B4847" s="1">
        <v>46012</v>
      </c>
      <c r="C4847" t="s">
        <v>4677</v>
      </c>
      <c r="D4847">
        <v>12</v>
      </c>
      <c r="E4847">
        <v>21</v>
      </c>
      <c r="F4847" t="s">
        <v>149</v>
      </c>
      <c r="G4847" t="s">
        <v>90</v>
      </c>
      <c r="H4847" t="s">
        <v>81</v>
      </c>
      <c r="I4847" t="s">
        <v>69</v>
      </c>
      <c r="J4847" t="s">
        <v>82</v>
      </c>
      <c r="K4847" t="s">
        <v>38</v>
      </c>
      <c r="L4847">
        <v>3</v>
      </c>
      <c r="M4847">
        <v>756</v>
      </c>
      <c r="N4847">
        <v>113.4</v>
      </c>
      <c r="O4847">
        <v>40</v>
      </c>
      <c r="P4847">
        <v>2268</v>
      </c>
      <c r="Q4847">
        <v>2194.6</v>
      </c>
      <c r="R4847" t="s">
        <v>30</v>
      </c>
      <c r="S4847" t="s">
        <v>31</v>
      </c>
      <c r="T4847" t="s">
        <v>32</v>
      </c>
      <c r="U4847">
        <v>22</v>
      </c>
      <c r="V4847">
        <v>5</v>
      </c>
      <c r="W4847">
        <f>Table2[[#This Row],[Quantity]]*Table2[[#This Row],[Item_Price]]</f>
        <v>2268</v>
      </c>
    </row>
    <row r="4848" spans="1:23" x14ac:dyDescent="0.25">
      <c r="A4848" t="s">
        <v>4953</v>
      </c>
      <c r="B4848" s="1">
        <v>46012</v>
      </c>
      <c r="C4848" t="s">
        <v>4677</v>
      </c>
      <c r="D4848">
        <v>12</v>
      </c>
      <c r="E4848">
        <v>21</v>
      </c>
      <c r="F4848" t="s">
        <v>149</v>
      </c>
      <c r="G4848" t="s">
        <v>80</v>
      </c>
      <c r="H4848" t="s">
        <v>81</v>
      </c>
      <c r="I4848" t="s">
        <v>103</v>
      </c>
      <c r="J4848" t="s">
        <v>74</v>
      </c>
      <c r="K4848" t="s">
        <v>38</v>
      </c>
      <c r="L4848">
        <v>1</v>
      </c>
      <c r="M4848">
        <v>888</v>
      </c>
      <c r="N4848">
        <v>44.4</v>
      </c>
      <c r="O4848">
        <v>20</v>
      </c>
      <c r="P4848">
        <v>888</v>
      </c>
      <c r="Q4848">
        <v>863.6</v>
      </c>
      <c r="R4848" t="s">
        <v>30</v>
      </c>
      <c r="S4848" t="s">
        <v>31</v>
      </c>
      <c r="T4848" t="s">
        <v>40</v>
      </c>
      <c r="U4848">
        <v>60</v>
      </c>
      <c r="V4848">
        <v>4</v>
      </c>
      <c r="W4848">
        <f>Table2[[#This Row],[Quantity]]*Table2[[#This Row],[Item_Price]]</f>
        <v>888</v>
      </c>
    </row>
    <row r="4849" spans="1:23" x14ac:dyDescent="0.25">
      <c r="A4849" t="s">
        <v>4954</v>
      </c>
      <c r="B4849" s="1">
        <v>46012</v>
      </c>
      <c r="C4849" t="s">
        <v>4677</v>
      </c>
      <c r="D4849">
        <v>12</v>
      </c>
      <c r="E4849">
        <v>21</v>
      </c>
      <c r="F4849" t="s">
        <v>149</v>
      </c>
      <c r="G4849" t="s">
        <v>73</v>
      </c>
      <c r="H4849" t="s">
        <v>65</v>
      </c>
      <c r="I4849" t="s">
        <v>57</v>
      </c>
      <c r="J4849" t="s">
        <v>172</v>
      </c>
      <c r="K4849" t="s">
        <v>38</v>
      </c>
      <c r="L4849">
        <v>2</v>
      </c>
      <c r="M4849">
        <v>757</v>
      </c>
      <c r="N4849">
        <v>0</v>
      </c>
      <c r="O4849">
        <v>20</v>
      </c>
      <c r="P4849">
        <v>1514</v>
      </c>
      <c r="Q4849">
        <v>1534</v>
      </c>
      <c r="R4849" t="s">
        <v>30</v>
      </c>
      <c r="S4849" t="s">
        <v>31</v>
      </c>
      <c r="T4849" t="s">
        <v>40</v>
      </c>
      <c r="U4849">
        <v>30</v>
      </c>
      <c r="V4849">
        <v>2.7</v>
      </c>
      <c r="W4849">
        <f>Table2[[#This Row],[Quantity]]*Table2[[#This Row],[Item_Price]]</f>
        <v>1514</v>
      </c>
    </row>
    <row r="4850" spans="1:23" x14ac:dyDescent="0.25">
      <c r="A4850" t="s">
        <v>4955</v>
      </c>
      <c r="B4850" s="1">
        <v>46012</v>
      </c>
      <c r="C4850" t="s">
        <v>4677</v>
      </c>
      <c r="D4850">
        <v>12</v>
      </c>
      <c r="E4850">
        <v>21</v>
      </c>
      <c r="F4850" t="s">
        <v>149</v>
      </c>
      <c r="G4850" t="s">
        <v>80</v>
      </c>
      <c r="H4850" t="s">
        <v>77</v>
      </c>
      <c r="I4850" t="s">
        <v>57</v>
      </c>
      <c r="J4850" t="s">
        <v>28</v>
      </c>
      <c r="K4850" t="s">
        <v>38</v>
      </c>
      <c r="L4850">
        <v>3</v>
      </c>
      <c r="M4850">
        <v>814</v>
      </c>
      <c r="N4850">
        <v>203.5</v>
      </c>
      <c r="O4850">
        <v>30</v>
      </c>
      <c r="P4850">
        <v>2442</v>
      </c>
      <c r="Q4850">
        <v>2268.5</v>
      </c>
      <c r="R4850" t="s">
        <v>39</v>
      </c>
      <c r="S4850" t="s">
        <v>31</v>
      </c>
      <c r="T4850" t="s">
        <v>40</v>
      </c>
      <c r="U4850">
        <v>31</v>
      </c>
      <c r="V4850">
        <v>3.7</v>
      </c>
      <c r="W4850">
        <f>Table2[[#This Row],[Quantity]]*Table2[[#This Row],[Item_Price]]</f>
        <v>2442</v>
      </c>
    </row>
    <row r="4851" spans="1:23" x14ac:dyDescent="0.25">
      <c r="A4851" t="s">
        <v>4956</v>
      </c>
      <c r="B4851" s="1">
        <v>46012</v>
      </c>
      <c r="C4851" t="s">
        <v>4677</v>
      </c>
      <c r="D4851">
        <v>12</v>
      </c>
      <c r="E4851">
        <v>21</v>
      </c>
      <c r="F4851" t="s">
        <v>149</v>
      </c>
      <c r="G4851" t="s">
        <v>115</v>
      </c>
      <c r="H4851" t="s">
        <v>108</v>
      </c>
      <c r="I4851" t="s">
        <v>43</v>
      </c>
      <c r="J4851" t="s">
        <v>53</v>
      </c>
      <c r="K4851" t="s">
        <v>29</v>
      </c>
      <c r="L4851">
        <v>2</v>
      </c>
      <c r="M4851">
        <v>744</v>
      </c>
      <c r="N4851">
        <v>0</v>
      </c>
      <c r="O4851">
        <v>30</v>
      </c>
      <c r="P4851">
        <v>1488</v>
      </c>
      <c r="Q4851">
        <v>1518</v>
      </c>
      <c r="R4851" t="s">
        <v>39</v>
      </c>
      <c r="S4851" t="s">
        <v>31</v>
      </c>
      <c r="T4851" t="s">
        <v>40</v>
      </c>
      <c r="U4851">
        <v>26</v>
      </c>
      <c r="V4851">
        <v>4.5</v>
      </c>
      <c r="W4851">
        <f>Table2[[#This Row],[Quantity]]*Table2[[#This Row],[Item_Price]]</f>
        <v>1488</v>
      </c>
    </row>
    <row r="4852" spans="1:23" x14ac:dyDescent="0.25">
      <c r="A4852" t="s">
        <v>4957</v>
      </c>
      <c r="B4852" s="1">
        <v>46012</v>
      </c>
      <c r="C4852" t="s">
        <v>4677</v>
      </c>
      <c r="D4852">
        <v>12</v>
      </c>
      <c r="E4852">
        <v>21</v>
      </c>
      <c r="F4852" t="s">
        <v>149</v>
      </c>
      <c r="G4852" t="s">
        <v>64</v>
      </c>
      <c r="H4852" t="s">
        <v>105</v>
      </c>
      <c r="I4852" t="s">
        <v>97</v>
      </c>
      <c r="J4852" t="s">
        <v>66</v>
      </c>
      <c r="K4852" t="s">
        <v>45</v>
      </c>
      <c r="L4852">
        <v>2</v>
      </c>
      <c r="M4852">
        <v>762</v>
      </c>
      <c r="N4852">
        <v>38.1</v>
      </c>
      <c r="O4852">
        <v>50</v>
      </c>
      <c r="P4852">
        <v>1524</v>
      </c>
      <c r="Q4852">
        <v>1535.9</v>
      </c>
      <c r="R4852" t="s">
        <v>98</v>
      </c>
      <c r="S4852" t="s">
        <v>31</v>
      </c>
      <c r="T4852" t="s">
        <v>32</v>
      </c>
      <c r="U4852">
        <v>25</v>
      </c>
      <c r="V4852">
        <v>4.7</v>
      </c>
      <c r="W4852">
        <f>Table2[[#This Row],[Quantity]]*Table2[[#This Row],[Item_Price]]</f>
        <v>1524</v>
      </c>
    </row>
    <row r="4853" spans="1:23" x14ac:dyDescent="0.25">
      <c r="A4853" t="s">
        <v>4958</v>
      </c>
      <c r="B4853" s="1">
        <v>46012</v>
      </c>
      <c r="C4853" t="s">
        <v>4677</v>
      </c>
      <c r="D4853">
        <v>12</v>
      </c>
      <c r="E4853">
        <v>21</v>
      </c>
      <c r="F4853" t="s">
        <v>149</v>
      </c>
      <c r="G4853" t="s">
        <v>84</v>
      </c>
      <c r="H4853" t="s">
        <v>77</v>
      </c>
      <c r="I4853" t="s">
        <v>49</v>
      </c>
      <c r="J4853" t="s">
        <v>44</v>
      </c>
      <c r="K4853" t="s">
        <v>38</v>
      </c>
      <c r="L4853">
        <v>1</v>
      </c>
      <c r="M4853">
        <v>879</v>
      </c>
      <c r="N4853">
        <v>131.85</v>
      </c>
      <c r="O4853">
        <v>20</v>
      </c>
      <c r="P4853">
        <v>879</v>
      </c>
      <c r="Q4853">
        <v>767.15</v>
      </c>
      <c r="R4853" t="s">
        <v>30</v>
      </c>
      <c r="S4853" t="s">
        <v>31</v>
      </c>
      <c r="T4853" t="s">
        <v>40</v>
      </c>
      <c r="U4853">
        <v>54</v>
      </c>
      <c r="V4853">
        <v>4.2</v>
      </c>
      <c r="W4853">
        <f>Table2[[#This Row],[Quantity]]*Table2[[#This Row],[Item_Price]]</f>
        <v>879</v>
      </c>
    </row>
    <row r="4854" spans="1:23" x14ac:dyDescent="0.25">
      <c r="A4854" t="s">
        <v>4959</v>
      </c>
      <c r="B4854" s="1">
        <v>46012</v>
      </c>
      <c r="C4854" t="s">
        <v>4677</v>
      </c>
      <c r="D4854">
        <v>12</v>
      </c>
      <c r="E4854">
        <v>21</v>
      </c>
      <c r="F4854" t="s">
        <v>149</v>
      </c>
      <c r="G4854" t="s">
        <v>115</v>
      </c>
      <c r="H4854" t="s">
        <v>108</v>
      </c>
      <c r="I4854" t="s">
        <v>97</v>
      </c>
      <c r="J4854" t="s">
        <v>94</v>
      </c>
      <c r="K4854" t="s">
        <v>38</v>
      </c>
      <c r="L4854">
        <v>1</v>
      </c>
      <c r="M4854">
        <v>624</v>
      </c>
      <c r="N4854">
        <v>31.2</v>
      </c>
      <c r="O4854">
        <v>50</v>
      </c>
      <c r="P4854">
        <v>624</v>
      </c>
      <c r="Q4854">
        <v>642.79999999999995</v>
      </c>
      <c r="R4854" t="s">
        <v>30</v>
      </c>
      <c r="S4854" t="s">
        <v>110</v>
      </c>
      <c r="T4854" t="s">
        <v>40</v>
      </c>
      <c r="U4854">
        <v>48</v>
      </c>
      <c r="W4854">
        <f>Table2[[#This Row],[Quantity]]*Table2[[#This Row],[Item_Price]]</f>
        <v>624</v>
      </c>
    </row>
    <row r="4855" spans="1:23" x14ac:dyDescent="0.25">
      <c r="A4855" t="s">
        <v>4960</v>
      </c>
      <c r="B4855" s="1">
        <v>46012</v>
      </c>
      <c r="C4855" t="s">
        <v>4677</v>
      </c>
      <c r="D4855">
        <v>12</v>
      </c>
      <c r="E4855">
        <v>21</v>
      </c>
      <c r="F4855" t="s">
        <v>149</v>
      </c>
      <c r="G4855" t="s">
        <v>115</v>
      </c>
      <c r="H4855" t="s">
        <v>65</v>
      </c>
      <c r="I4855" t="s">
        <v>97</v>
      </c>
      <c r="J4855" t="s">
        <v>62</v>
      </c>
      <c r="K4855" t="s">
        <v>38</v>
      </c>
      <c r="L4855">
        <v>2</v>
      </c>
      <c r="M4855">
        <v>282</v>
      </c>
      <c r="N4855">
        <v>42.3</v>
      </c>
      <c r="O4855">
        <v>40</v>
      </c>
      <c r="P4855">
        <v>564</v>
      </c>
      <c r="Q4855">
        <v>561.70000000000005</v>
      </c>
      <c r="R4855" t="s">
        <v>39</v>
      </c>
      <c r="S4855" t="s">
        <v>31</v>
      </c>
      <c r="T4855" t="s">
        <v>40</v>
      </c>
      <c r="U4855">
        <v>33</v>
      </c>
      <c r="V4855">
        <v>4</v>
      </c>
      <c r="W4855">
        <f>Table2[[#This Row],[Quantity]]*Table2[[#This Row],[Item_Price]]</f>
        <v>564</v>
      </c>
    </row>
    <row r="4856" spans="1:23" x14ac:dyDescent="0.25">
      <c r="A4856" t="s">
        <v>4961</v>
      </c>
      <c r="B4856" s="1">
        <v>46012</v>
      </c>
      <c r="C4856" t="s">
        <v>4677</v>
      </c>
      <c r="D4856">
        <v>12</v>
      </c>
      <c r="E4856">
        <v>21</v>
      </c>
      <c r="F4856" t="s">
        <v>149</v>
      </c>
      <c r="G4856" t="s">
        <v>25</v>
      </c>
      <c r="H4856" t="s">
        <v>60</v>
      </c>
      <c r="I4856" t="s">
        <v>85</v>
      </c>
      <c r="J4856" t="s">
        <v>37</v>
      </c>
      <c r="K4856" t="s">
        <v>38</v>
      </c>
      <c r="L4856">
        <v>1</v>
      </c>
      <c r="M4856">
        <v>280</v>
      </c>
      <c r="N4856">
        <v>28</v>
      </c>
      <c r="O4856">
        <v>40</v>
      </c>
      <c r="P4856">
        <v>280</v>
      </c>
      <c r="Q4856">
        <v>292</v>
      </c>
      <c r="R4856" t="s">
        <v>112</v>
      </c>
      <c r="S4856" t="s">
        <v>91</v>
      </c>
      <c r="T4856" t="s">
        <v>32</v>
      </c>
      <c r="U4856">
        <v>38</v>
      </c>
      <c r="W4856">
        <f>Table2[[#This Row],[Quantity]]*Table2[[#This Row],[Item_Price]]</f>
        <v>280</v>
      </c>
    </row>
    <row r="4857" spans="1:23" x14ac:dyDescent="0.25">
      <c r="A4857" t="s">
        <v>4962</v>
      </c>
      <c r="B4857" s="1">
        <v>46012</v>
      </c>
      <c r="C4857" t="s">
        <v>4677</v>
      </c>
      <c r="D4857">
        <v>12</v>
      </c>
      <c r="E4857">
        <v>21</v>
      </c>
      <c r="F4857" t="s">
        <v>149</v>
      </c>
      <c r="G4857" t="s">
        <v>55</v>
      </c>
      <c r="H4857" t="s">
        <v>65</v>
      </c>
      <c r="I4857" t="s">
        <v>61</v>
      </c>
      <c r="J4857" t="s">
        <v>37</v>
      </c>
      <c r="K4857" t="s">
        <v>38</v>
      </c>
      <c r="L4857">
        <v>2</v>
      </c>
      <c r="M4857">
        <v>317</v>
      </c>
      <c r="N4857">
        <v>47.55</v>
      </c>
      <c r="O4857">
        <v>40</v>
      </c>
      <c r="P4857">
        <v>634</v>
      </c>
      <c r="Q4857">
        <v>626.45000000000005</v>
      </c>
      <c r="R4857" t="s">
        <v>30</v>
      </c>
      <c r="S4857" t="s">
        <v>31</v>
      </c>
      <c r="T4857" t="s">
        <v>40</v>
      </c>
      <c r="U4857">
        <v>55</v>
      </c>
      <c r="V4857">
        <v>4.3</v>
      </c>
      <c r="W4857">
        <f>Table2[[#This Row],[Quantity]]*Table2[[#This Row],[Item_Price]]</f>
        <v>634</v>
      </c>
    </row>
    <row r="4858" spans="1:23" x14ac:dyDescent="0.25">
      <c r="A4858" t="s">
        <v>4963</v>
      </c>
      <c r="B4858" s="1">
        <v>46012</v>
      </c>
      <c r="C4858" t="s">
        <v>4677</v>
      </c>
      <c r="D4858">
        <v>12</v>
      </c>
      <c r="E4858">
        <v>21</v>
      </c>
      <c r="F4858" t="s">
        <v>149</v>
      </c>
      <c r="G4858" t="s">
        <v>80</v>
      </c>
      <c r="H4858" t="s">
        <v>42</v>
      </c>
      <c r="I4858" t="s">
        <v>103</v>
      </c>
      <c r="J4858" t="s">
        <v>37</v>
      </c>
      <c r="K4858" t="s">
        <v>38</v>
      </c>
      <c r="L4858">
        <v>2</v>
      </c>
      <c r="M4858">
        <v>453</v>
      </c>
      <c r="N4858">
        <v>67.95</v>
      </c>
      <c r="O4858">
        <v>30</v>
      </c>
      <c r="P4858">
        <v>906</v>
      </c>
      <c r="Q4858">
        <v>868.05</v>
      </c>
      <c r="R4858" t="s">
        <v>39</v>
      </c>
      <c r="S4858" t="s">
        <v>31</v>
      </c>
      <c r="T4858" t="s">
        <v>40</v>
      </c>
      <c r="U4858">
        <v>45</v>
      </c>
      <c r="V4858">
        <v>3.9</v>
      </c>
      <c r="W4858">
        <f>Table2[[#This Row],[Quantity]]*Table2[[#This Row],[Item_Price]]</f>
        <v>906</v>
      </c>
    </row>
    <row r="4859" spans="1:23" x14ac:dyDescent="0.25">
      <c r="A4859" t="s">
        <v>4964</v>
      </c>
      <c r="B4859" s="1">
        <v>46012</v>
      </c>
      <c r="C4859" t="s">
        <v>4677</v>
      </c>
      <c r="D4859">
        <v>12</v>
      </c>
      <c r="E4859">
        <v>21</v>
      </c>
      <c r="F4859" t="s">
        <v>149</v>
      </c>
      <c r="G4859" t="s">
        <v>34</v>
      </c>
      <c r="H4859" t="s">
        <v>81</v>
      </c>
      <c r="I4859" t="s">
        <v>43</v>
      </c>
      <c r="J4859" t="s">
        <v>37</v>
      </c>
      <c r="K4859" t="s">
        <v>38</v>
      </c>
      <c r="L4859">
        <v>1</v>
      </c>
      <c r="M4859">
        <v>470</v>
      </c>
      <c r="N4859">
        <v>47</v>
      </c>
      <c r="O4859">
        <v>40</v>
      </c>
      <c r="P4859">
        <v>470</v>
      </c>
      <c r="Q4859">
        <v>463</v>
      </c>
      <c r="R4859" t="s">
        <v>75</v>
      </c>
      <c r="S4859" t="s">
        <v>31</v>
      </c>
      <c r="T4859" t="s">
        <v>40</v>
      </c>
      <c r="U4859">
        <v>18</v>
      </c>
      <c r="V4859">
        <v>4.5999999999999996</v>
      </c>
      <c r="W4859">
        <f>Table2[[#This Row],[Quantity]]*Table2[[#This Row],[Item_Price]]</f>
        <v>470</v>
      </c>
    </row>
    <row r="4860" spans="1:23" x14ac:dyDescent="0.25">
      <c r="A4860" t="s">
        <v>4965</v>
      </c>
      <c r="B4860" s="1">
        <v>46013</v>
      </c>
      <c r="C4860" t="s">
        <v>4677</v>
      </c>
      <c r="D4860">
        <v>12</v>
      </c>
      <c r="E4860">
        <v>22</v>
      </c>
      <c r="F4860" t="s">
        <v>168</v>
      </c>
      <c r="G4860" t="s">
        <v>64</v>
      </c>
      <c r="H4860" t="s">
        <v>139</v>
      </c>
      <c r="I4860" t="s">
        <v>85</v>
      </c>
      <c r="J4860" t="s">
        <v>70</v>
      </c>
      <c r="K4860" t="s">
        <v>45</v>
      </c>
      <c r="L4860">
        <v>1</v>
      </c>
      <c r="M4860">
        <v>381</v>
      </c>
      <c r="N4860">
        <v>76.2</v>
      </c>
      <c r="O4860">
        <v>20</v>
      </c>
      <c r="P4860">
        <v>381</v>
      </c>
      <c r="Q4860">
        <v>324.8</v>
      </c>
      <c r="R4860" t="s">
        <v>98</v>
      </c>
      <c r="S4860" t="s">
        <v>31</v>
      </c>
      <c r="T4860" t="s">
        <v>32</v>
      </c>
      <c r="U4860">
        <v>56</v>
      </c>
      <c r="V4860">
        <v>5</v>
      </c>
      <c r="W4860">
        <f>Table2[[#This Row],[Quantity]]*Table2[[#This Row],[Item_Price]]</f>
        <v>381</v>
      </c>
    </row>
    <row r="4861" spans="1:23" x14ac:dyDescent="0.25">
      <c r="A4861" t="s">
        <v>4966</v>
      </c>
      <c r="B4861" s="1">
        <v>46013</v>
      </c>
      <c r="C4861" t="s">
        <v>4677</v>
      </c>
      <c r="D4861">
        <v>12</v>
      </c>
      <c r="E4861">
        <v>22</v>
      </c>
      <c r="F4861" t="s">
        <v>168</v>
      </c>
      <c r="G4861" t="s">
        <v>73</v>
      </c>
      <c r="H4861" t="s">
        <v>35</v>
      </c>
      <c r="I4861" t="s">
        <v>61</v>
      </c>
      <c r="J4861" t="s">
        <v>123</v>
      </c>
      <c r="K4861" t="s">
        <v>38</v>
      </c>
      <c r="L4861">
        <v>2</v>
      </c>
      <c r="M4861">
        <v>844</v>
      </c>
      <c r="N4861">
        <v>0</v>
      </c>
      <c r="O4861">
        <v>60</v>
      </c>
      <c r="P4861">
        <v>1688</v>
      </c>
      <c r="Q4861">
        <v>1748</v>
      </c>
      <c r="R4861" t="s">
        <v>30</v>
      </c>
      <c r="S4861" t="s">
        <v>110</v>
      </c>
      <c r="T4861" t="s">
        <v>40</v>
      </c>
      <c r="U4861">
        <v>53</v>
      </c>
      <c r="W4861">
        <f>Table2[[#This Row],[Quantity]]*Table2[[#This Row],[Item_Price]]</f>
        <v>1688</v>
      </c>
    </row>
    <row r="4862" spans="1:23" x14ac:dyDescent="0.25">
      <c r="A4862" t="s">
        <v>4967</v>
      </c>
      <c r="B4862" s="1">
        <v>46013</v>
      </c>
      <c r="C4862" t="s">
        <v>4677</v>
      </c>
      <c r="D4862">
        <v>12</v>
      </c>
      <c r="E4862">
        <v>22</v>
      </c>
      <c r="F4862" t="s">
        <v>168</v>
      </c>
      <c r="G4862" t="s">
        <v>34</v>
      </c>
      <c r="H4862" t="s">
        <v>42</v>
      </c>
      <c r="I4862" t="s">
        <v>103</v>
      </c>
      <c r="J4862" t="s">
        <v>123</v>
      </c>
      <c r="K4862" t="s">
        <v>38</v>
      </c>
      <c r="L4862">
        <v>1</v>
      </c>
      <c r="M4862">
        <v>144</v>
      </c>
      <c r="N4862">
        <v>7.2</v>
      </c>
      <c r="O4862">
        <v>40</v>
      </c>
      <c r="P4862">
        <v>144</v>
      </c>
      <c r="Q4862">
        <v>176.8</v>
      </c>
      <c r="R4862" t="s">
        <v>98</v>
      </c>
      <c r="S4862" t="s">
        <v>31</v>
      </c>
      <c r="T4862" t="s">
        <v>32</v>
      </c>
      <c r="U4862">
        <v>28</v>
      </c>
      <c r="V4862">
        <v>5</v>
      </c>
      <c r="W4862">
        <f>Table2[[#This Row],[Quantity]]*Table2[[#This Row],[Item_Price]]</f>
        <v>144</v>
      </c>
    </row>
    <row r="4863" spans="1:23" x14ac:dyDescent="0.25">
      <c r="A4863" t="s">
        <v>4968</v>
      </c>
      <c r="B4863" s="1">
        <v>46013</v>
      </c>
      <c r="C4863" t="s">
        <v>4677</v>
      </c>
      <c r="D4863">
        <v>12</v>
      </c>
      <c r="E4863">
        <v>22</v>
      </c>
      <c r="F4863" t="s">
        <v>168</v>
      </c>
      <c r="G4863" t="s">
        <v>80</v>
      </c>
      <c r="H4863" t="s">
        <v>60</v>
      </c>
      <c r="I4863" t="s">
        <v>61</v>
      </c>
      <c r="J4863" t="s">
        <v>78</v>
      </c>
      <c r="K4863" t="s">
        <v>45</v>
      </c>
      <c r="L4863">
        <v>3</v>
      </c>
      <c r="M4863">
        <v>652</v>
      </c>
      <c r="N4863">
        <v>0</v>
      </c>
      <c r="O4863">
        <v>0</v>
      </c>
      <c r="P4863">
        <v>1956</v>
      </c>
      <c r="Q4863">
        <v>1956</v>
      </c>
      <c r="R4863" t="s">
        <v>30</v>
      </c>
      <c r="S4863" t="s">
        <v>46</v>
      </c>
      <c r="T4863" t="s">
        <v>40</v>
      </c>
      <c r="U4863">
        <v>70</v>
      </c>
      <c r="W4863">
        <f>Table2[[#This Row],[Quantity]]*Table2[[#This Row],[Item_Price]]</f>
        <v>1956</v>
      </c>
    </row>
    <row r="4864" spans="1:23" x14ac:dyDescent="0.25">
      <c r="A4864" t="s">
        <v>4969</v>
      </c>
      <c r="B4864" s="1">
        <v>46013</v>
      </c>
      <c r="C4864" t="s">
        <v>4677</v>
      </c>
      <c r="D4864">
        <v>12</v>
      </c>
      <c r="E4864">
        <v>22</v>
      </c>
      <c r="F4864" t="s">
        <v>168</v>
      </c>
      <c r="G4864" t="s">
        <v>73</v>
      </c>
      <c r="H4864" t="s">
        <v>60</v>
      </c>
      <c r="I4864" t="s">
        <v>61</v>
      </c>
      <c r="J4864" t="s">
        <v>74</v>
      </c>
      <c r="K4864" t="s">
        <v>38</v>
      </c>
      <c r="L4864">
        <v>1</v>
      </c>
      <c r="M4864">
        <v>750</v>
      </c>
      <c r="N4864">
        <v>37.5</v>
      </c>
      <c r="O4864">
        <v>0</v>
      </c>
      <c r="P4864">
        <v>750</v>
      </c>
      <c r="Q4864">
        <v>712.5</v>
      </c>
      <c r="R4864" t="s">
        <v>39</v>
      </c>
      <c r="S4864" t="s">
        <v>31</v>
      </c>
      <c r="T4864" t="s">
        <v>40</v>
      </c>
      <c r="U4864">
        <v>20</v>
      </c>
      <c r="V4864">
        <v>3.4</v>
      </c>
      <c r="W4864">
        <f>Table2[[#This Row],[Quantity]]*Table2[[#This Row],[Item_Price]]</f>
        <v>750</v>
      </c>
    </row>
    <row r="4865" spans="1:23" x14ac:dyDescent="0.25">
      <c r="A4865" t="s">
        <v>4970</v>
      </c>
      <c r="B4865" s="1">
        <v>46013</v>
      </c>
      <c r="C4865" t="s">
        <v>4677</v>
      </c>
      <c r="D4865">
        <v>12</v>
      </c>
      <c r="E4865">
        <v>22</v>
      </c>
      <c r="F4865" t="s">
        <v>168</v>
      </c>
      <c r="G4865" t="s">
        <v>73</v>
      </c>
      <c r="H4865" t="s">
        <v>108</v>
      </c>
      <c r="I4865" t="s">
        <v>49</v>
      </c>
      <c r="J4865" t="s">
        <v>37</v>
      </c>
      <c r="K4865" t="s">
        <v>38</v>
      </c>
      <c r="L4865">
        <v>3</v>
      </c>
      <c r="M4865">
        <v>135</v>
      </c>
      <c r="N4865">
        <v>13.5</v>
      </c>
      <c r="O4865">
        <v>60</v>
      </c>
      <c r="P4865">
        <v>405</v>
      </c>
      <c r="Q4865">
        <v>451.5</v>
      </c>
      <c r="R4865" t="s">
        <v>39</v>
      </c>
      <c r="S4865" t="s">
        <v>110</v>
      </c>
      <c r="T4865" t="s">
        <v>40</v>
      </c>
      <c r="U4865">
        <v>25</v>
      </c>
      <c r="W4865">
        <f>Table2[[#This Row],[Quantity]]*Table2[[#This Row],[Item_Price]]</f>
        <v>405</v>
      </c>
    </row>
    <row r="4866" spans="1:23" x14ac:dyDescent="0.25">
      <c r="A4866" t="s">
        <v>4971</v>
      </c>
      <c r="B4866" s="1">
        <v>46013</v>
      </c>
      <c r="C4866" t="s">
        <v>4677</v>
      </c>
      <c r="D4866">
        <v>12</v>
      </c>
      <c r="E4866">
        <v>22</v>
      </c>
      <c r="F4866" t="s">
        <v>168</v>
      </c>
      <c r="G4866" t="s">
        <v>96</v>
      </c>
      <c r="H4866" t="s">
        <v>139</v>
      </c>
      <c r="I4866" t="s">
        <v>103</v>
      </c>
      <c r="J4866" t="s">
        <v>28</v>
      </c>
      <c r="K4866" t="s">
        <v>58</v>
      </c>
      <c r="L4866">
        <v>2</v>
      </c>
      <c r="M4866">
        <v>780</v>
      </c>
      <c r="N4866">
        <v>195</v>
      </c>
      <c r="O4866">
        <v>20</v>
      </c>
      <c r="P4866">
        <v>1560</v>
      </c>
      <c r="Q4866">
        <v>1385</v>
      </c>
      <c r="R4866" t="s">
        <v>98</v>
      </c>
      <c r="S4866" t="s">
        <v>31</v>
      </c>
      <c r="T4866" t="s">
        <v>40</v>
      </c>
      <c r="U4866">
        <v>36</v>
      </c>
      <c r="V4866">
        <v>4.8</v>
      </c>
      <c r="W4866">
        <f>Table2[[#This Row],[Quantity]]*Table2[[#This Row],[Item_Price]]</f>
        <v>1560</v>
      </c>
    </row>
    <row r="4867" spans="1:23" x14ac:dyDescent="0.25">
      <c r="A4867" t="s">
        <v>4972</v>
      </c>
      <c r="B4867" s="1">
        <v>46013</v>
      </c>
      <c r="C4867" t="s">
        <v>4677</v>
      </c>
      <c r="D4867">
        <v>12</v>
      </c>
      <c r="E4867">
        <v>22</v>
      </c>
      <c r="F4867" t="s">
        <v>168</v>
      </c>
      <c r="G4867" t="s">
        <v>73</v>
      </c>
      <c r="H4867" t="s">
        <v>35</v>
      </c>
      <c r="I4867" t="s">
        <v>57</v>
      </c>
      <c r="J4867" t="s">
        <v>82</v>
      </c>
      <c r="K4867" t="s">
        <v>38</v>
      </c>
      <c r="L4867">
        <v>2</v>
      </c>
      <c r="M4867">
        <v>348</v>
      </c>
      <c r="N4867">
        <v>69.599999999999994</v>
      </c>
      <c r="O4867">
        <v>60</v>
      </c>
      <c r="P4867">
        <v>696</v>
      </c>
      <c r="Q4867">
        <v>686.4</v>
      </c>
      <c r="R4867" t="s">
        <v>112</v>
      </c>
      <c r="S4867" t="s">
        <v>31</v>
      </c>
      <c r="T4867" t="s">
        <v>40</v>
      </c>
      <c r="U4867">
        <v>51</v>
      </c>
      <c r="V4867">
        <v>3.8</v>
      </c>
      <c r="W4867">
        <f>Table2[[#This Row],[Quantity]]*Table2[[#This Row],[Item_Price]]</f>
        <v>696</v>
      </c>
    </row>
    <row r="4868" spans="1:23" x14ac:dyDescent="0.25">
      <c r="A4868" t="s">
        <v>4973</v>
      </c>
      <c r="B4868" s="1">
        <v>46013</v>
      </c>
      <c r="C4868" t="s">
        <v>4677</v>
      </c>
      <c r="D4868">
        <v>12</v>
      </c>
      <c r="E4868">
        <v>22</v>
      </c>
      <c r="F4868" t="s">
        <v>168</v>
      </c>
      <c r="G4868" t="s">
        <v>96</v>
      </c>
      <c r="H4868" t="s">
        <v>139</v>
      </c>
      <c r="I4868" t="s">
        <v>49</v>
      </c>
      <c r="J4868" t="s">
        <v>70</v>
      </c>
      <c r="K4868" t="s">
        <v>38</v>
      </c>
      <c r="L4868">
        <v>2</v>
      </c>
      <c r="M4868">
        <v>721</v>
      </c>
      <c r="N4868">
        <v>36.049999999999997</v>
      </c>
      <c r="O4868">
        <v>40</v>
      </c>
      <c r="P4868">
        <v>1442</v>
      </c>
      <c r="Q4868">
        <v>1445.95</v>
      </c>
      <c r="R4868" t="s">
        <v>39</v>
      </c>
      <c r="S4868" t="s">
        <v>31</v>
      </c>
      <c r="T4868" t="s">
        <v>32</v>
      </c>
      <c r="U4868">
        <v>38</v>
      </c>
      <c r="V4868">
        <v>4.8</v>
      </c>
      <c r="W4868">
        <f>Table2[[#This Row],[Quantity]]*Table2[[#This Row],[Item_Price]]</f>
        <v>1442</v>
      </c>
    </row>
    <row r="4869" spans="1:23" x14ac:dyDescent="0.25">
      <c r="A4869" t="s">
        <v>4974</v>
      </c>
      <c r="B4869" s="1">
        <v>46013</v>
      </c>
      <c r="C4869" t="s">
        <v>4677</v>
      </c>
      <c r="D4869">
        <v>12</v>
      </c>
      <c r="E4869">
        <v>22</v>
      </c>
      <c r="F4869" t="s">
        <v>168</v>
      </c>
      <c r="G4869" t="s">
        <v>84</v>
      </c>
      <c r="H4869" t="s">
        <v>77</v>
      </c>
      <c r="I4869" t="s">
        <v>27</v>
      </c>
      <c r="J4869" t="s">
        <v>66</v>
      </c>
      <c r="K4869" t="s">
        <v>45</v>
      </c>
      <c r="L4869">
        <v>1</v>
      </c>
      <c r="M4869">
        <v>900</v>
      </c>
      <c r="N4869">
        <v>135</v>
      </c>
      <c r="O4869">
        <v>0</v>
      </c>
      <c r="P4869">
        <v>900</v>
      </c>
      <c r="Q4869">
        <v>765</v>
      </c>
      <c r="R4869" t="s">
        <v>30</v>
      </c>
      <c r="S4869" t="s">
        <v>31</v>
      </c>
      <c r="T4869" t="s">
        <v>32</v>
      </c>
      <c r="U4869">
        <v>20</v>
      </c>
      <c r="V4869">
        <v>4.5</v>
      </c>
      <c r="W4869">
        <f>Table2[[#This Row],[Quantity]]*Table2[[#This Row],[Item_Price]]</f>
        <v>900</v>
      </c>
    </row>
    <row r="4870" spans="1:23" x14ac:dyDescent="0.25">
      <c r="A4870" t="s">
        <v>4975</v>
      </c>
      <c r="B4870" s="1">
        <v>46013</v>
      </c>
      <c r="C4870" t="s">
        <v>4677</v>
      </c>
      <c r="D4870">
        <v>12</v>
      </c>
      <c r="E4870">
        <v>22</v>
      </c>
      <c r="F4870" t="s">
        <v>168</v>
      </c>
      <c r="G4870" t="s">
        <v>34</v>
      </c>
      <c r="H4870" t="s">
        <v>52</v>
      </c>
      <c r="I4870" t="s">
        <v>61</v>
      </c>
      <c r="J4870" t="s">
        <v>44</v>
      </c>
      <c r="K4870" t="s">
        <v>38</v>
      </c>
      <c r="L4870">
        <v>2</v>
      </c>
      <c r="M4870">
        <v>798</v>
      </c>
      <c r="N4870">
        <v>119.7</v>
      </c>
      <c r="O4870">
        <v>0</v>
      </c>
      <c r="P4870">
        <v>1596</v>
      </c>
      <c r="Q4870">
        <v>1476.3</v>
      </c>
      <c r="R4870" t="s">
        <v>39</v>
      </c>
      <c r="S4870" t="s">
        <v>31</v>
      </c>
      <c r="T4870" t="s">
        <v>32</v>
      </c>
      <c r="U4870">
        <v>56</v>
      </c>
      <c r="V4870">
        <v>4.4000000000000004</v>
      </c>
      <c r="W4870">
        <f>Table2[[#This Row],[Quantity]]*Table2[[#This Row],[Item_Price]]</f>
        <v>1596</v>
      </c>
    </row>
    <row r="4871" spans="1:23" x14ac:dyDescent="0.25">
      <c r="A4871" t="s">
        <v>4976</v>
      </c>
      <c r="B4871" s="1">
        <v>46013</v>
      </c>
      <c r="C4871" t="s">
        <v>4677</v>
      </c>
      <c r="D4871">
        <v>12</v>
      </c>
      <c r="E4871">
        <v>22</v>
      </c>
      <c r="F4871" t="s">
        <v>168</v>
      </c>
      <c r="G4871" t="s">
        <v>80</v>
      </c>
      <c r="H4871" t="s">
        <v>35</v>
      </c>
      <c r="I4871" t="s">
        <v>85</v>
      </c>
      <c r="J4871" t="s">
        <v>172</v>
      </c>
      <c r="K4871" t="s">
        <v>58</v>
      </c>
      <c r="L4871">
        <v>3</v>
      </c>
      <c r="M4871">
        <v>885</v>
      </c>
      <c r="N4871">
        <v>132.75</v>
      </c>
      <c r="O4871">
        <v>40</v>
      </c>
      <c r="P4871">
        <v>2655</v>
      </c>
      <c r="Q4871">
        <v>2562.25</v>
      </c>
      <c r="R4871" t="s">
        <v>112</v>
      </c>
      <c r="S4871" t="s">
        <v>31</v>
      </c>
      <c r="T4871" t="s">
        <v>40</v>
      </c>
      <c r="U4871">
        <v>21</v>
      </c>
      <c r="V4871">
        <v>4.2</v>
      </c>
      <c r="W4871">
        <f>Table2[[#This Row],[Quantity]]*Table2[[#This Row],[Item_Price]]</f>
        <v>2655</v>
      </c>
    </row>
    <row r="4872" spans="1:23" x14ac:dyDescent="0.25">
      <c r="A4872" t="s">
        <v>4977</v>
      </c>
      <c r="B4872" s="1">
        <v>46013</v>
      </c>
      <c r="C4872" t="s">
        <v>4677</v>
      </c>
      <c r="D4872">
        <v>12</v>
      </c>
      <c r="E4872">
        <v>22</v>
      </c>
      <c r="F4872" t="s">
        <v>168</v>
      </c>
      <c r="G4872" t="s">
        <v>115</v>
      </c>
      <c r="H4872" t="s">
        <v>65</v>
      </c>
      <c r="I4872" t="s">
        <v>27</v>
      </c>
      <c r="J4872" t="s">
        <v>50</v>
      </c>
      <c r="K4872" t="s">
        <v>45</v>
      </c>
      <c r="L4872">
        <v>1</v>
      </c>
      <c r="M4872">
        <v>749</v>
      </c>
      <c r="N4872">
        <v>0</v>
      </c>
      <c r="O4872">
        <v>50</v>
      </c>
      <c r="P4872">
        <v>749</v>
      </c>
      <c r="Q4872">
        <v>799</v>
      </c>
      <c r="R4872" t="s">
        <v>39</v>
      </c>
      <c r="S4872" t="s">
        <v>31</v>
      </c>
      <c r="T4872" t="s">
        <v>40</v>
      </c>
      <c r="U4872">
        <v>32</v>
      </c>
      <c r="V4872">
        <v>3.2</v>
      </c>
      <c r="W4872">
        <f>Table2[[#This Row],[Quantity]]*Table2[[#This Row],[Item_Price]]</f>
        <v>749</v>
      </c>
    </row>
    <row r="4873" spans="1:23" x14ac:dyDescent="0.25">
      <c r="A4873" t="s">
        <v>4978</v>
      </c>
      <c r="B4873" s="1">
        <v>46014</v>
      </c>
      <c r="C4873" t="s">
        <v>4677</v>
      </c>
      <c r="D4873">
        <v>12</v>
      </c>
      <c r="E4873">
        <v>23</v>
      </c>
      <c r="F4873" t="s">
        <v>178</v>
      </c>
      <c r="G4873" t="s">
        <v>64</v>
      </c>
      <c r="H4873" t="s">
        <v>42</v>
      </c>
      <c r="I4873" t="s">
        <v>103</v>
      </c>
      <c r="J4873" t="s">
        <v>70</v>
      </c>
      <c r="K4873" t="s">
        <v>38</v>
      </c>
      <c r="L4873">
        <v>3</v>
      </c>
      <c r="M4873">
        <v>728</v>
      </c>
      <c r="N4873">
        <v>109.2</v>
      </c>
      <c r="O4873">
        <v>0</v>
      </c>
      <c r="P4873">
        <v>2184</v>
      </c>
      <c r="Q4873">
        <v>2074.8000000000002</v>
      </c>
      <c r="R4873" t="s">
        <v>39</v>
      </c>
      <c r="S4873" t="s">
        <v>31</v>
      </c>
      <c r="T4873" t="s">
        <v>32</v>
      </c>
      <c r="U4873">
        <v>58</v>
      </c>
      <c r="V4873">
        <v>2.8</v>
      </c>
      <c r="W4873">
        <f>Table2[[#This Row],[Quantity]]*Table2[[#This Row],[Item_Price]]</f>
        <v>2184</v>
      </c>
    </row>
    <row r="4874" spans="1:23" x14ac:dyDescent="0.25">
      <c r="A4874" t="s">
        <v>4979</v>
      </c>
      <c r="B4874" s="1">
        <v>46014</v>
      </c>
      <c r="C4874" t="s">
        <v>4677</v>
      </c>
      <c r="D4874">
        <v>12</v>
      </c>
      <c r="E4874">
        <v>23</v>
      </c>
      <c r="F4874" t="s">
        <v>178</v>
      </c>
      <c r="G4874" t="s">
        <v>34</v>
      </c>
      <c r="H4874" t="s">
        <v>48</v>
      </c>
      <c r="I4874" t="s">
        <v>57</v>
      </c>
      <c r="J4874" t="s">
        <v>28</v>
      </c>
      <c r="K4874" t="s">
        <v>38</v>
      </c>
      <c r="L4874">
        <v>2</v>
      </c>
      <c r="M4874">
        <v>522</v>
      </c>
      <c r="N4874">
        <v>0</v>
      </c>
      <c r="O4874">
        <v>40</v>
      </c>
      <c r="P4874">
        <v>1044</v>
      </c>
      <c r="Q4874">
        <v>1084</v>
      </c>
      <c r="R4874" t="s">
        <v>39</v>
      </c>
      <c r="S4874" t="s">
        <v>31</v>
      </c>
      <c r="T4874" t="s">
        <v>32</v>
      </c>
      <c r="U4874">
        <v>38</v>
      </c>
      <c r="V4874">
        <v>5</v>
      </c>
      <c r="W4874">
        <f>Table2[[#This Row],[Quantity]]*Table2[[#This Row],[Item_Price]]</f>
        <v>1044</v>
      </c>
    </row>
    <row r="4875" spans="1:23" x14ac:dyDescent="0.25">
      <c r="A4875" t="s">
        <v>4980</v>
      </c>
      <c r="B4875" s="1">
        <v>46014</v>
      </c>
      <c r="C4875" t="s">
        <v>4677</v>
      </c>
      <c r="D4875">
        <v>12</v>
      </c>
      <c r="E4875">
        <v>23</v>
      </c>
      <c r="F4875" t="s">
        <v>178</v>
      </c>
      <c r="G4875" t="s">
        <v>80</v>
      </c>
      <c r="H4875" t="s">
        <v>105</v>
      </c>
      <c r="I4875" t="s">
        <v>27</v>
      </c>
      <c r="J4875" t="s">
        <v>119</v>
      </c>
      <c r="K4875" t="s">
        <v>38</v>
      </c>
      <c r="L4875">
        <v>1</v>
      </c>
      <c r="M4875">
        <v>699</v>
      </c>
      <c r="N4875">
        <v>104.85</v>
      </c>
      <c r="O4875">
        <v>50</v>
      </c>
      <c r="P4875">
        <v>699</v>
      </c>
      <c r="Q4875">
        <v>644.15</v>
      </c>
      <c r="R4875" t="s">
        <v>39</v>
      </c>
      <c r="S4875" t="s">
        <v>31</v>
      </c>
      <c r="T4875" t="s">
        <v>32</v>
      </c>
      <c r="U4875">
        <v>66</v>
      </c>
      <c r="V4875">
        <v>3.6</v>
      </c>
      <c r="W4875">
        <f>Table2[[#This Row],[Quantity]]*Table2[[#This Row],[Item_Price]]</f>
        <v>699</v>
      </c>
    </row>
    <row r="4876" spans="1:23" x14ac:dyDescent="0.25">
      <c r="A4876" t="s">
        <v>4981</v>
      </c>
      <c r="B4876" s="1">
        <v>46014</v>
      </c>
      <c r="C4876" t="s">
        <v>4677</v>
      </c>
      <c r="D4876">
        <v>12</v>
      </c>
      <c r="E4876">
        <v>23</v>
      </c>
      <c r="F4876" t="s">
        <v>178</v>
      </c>
      <c r="G4876" t="s">
        <v>80</v>
      </c>
      <c r="H4876" t="s">
        <v>108</v>
      </c>
      <c r="I4876" t="s">
        <v>36</v>
      </c>
      <c r="J4876" t="s">
        <v>74</v>
      </c>
      <c r="K4876" t="s">
        <v>38</v>
      </c>
      <c r="L4876">
        <v>3</v>
      </c>
      <c r="M4876">
        <v>322</v>
      </c>
      <c r="N4876">
        <v>48.3</v>
      </c>
      <c r="O4876">
        <v>50</v>
      </c>
      <c r="P4876">
        <v>966</v>
      </c>
      <c r="Q4876">
        <v>967.7</v>
      </c>
      <c r="R4876" t="s">
        <v>39</v>
      </c>
      <c r="S4876" t="s">
        <v>31</v>
      </c>
      <c r="T4876" t="s">
        <v>32</v>
      </c>
      <c r="U4876">
        <v>31</v>
      </c>
      <c r="V4876">
        <v>4.3</v>
      </c>
      <c r="W4876">
        <f>Table2[[#This Row],[Quantity]]*Table2[[#This Row],[Item_Price]]</f>
        <v>966</v>
      </c>
    </row>
    <row r="4877" spans="1:23" x14ac:dyDescent="0.25">
      <c r="A4877" t="s">
        <v>4982</v>
      </c>
      <c r="B4877" s="1">
        <v>46014</v>
      </c>
      <c r="C4877" t="s">
        <v>4677</v>
      </c>
      <c r="D4877">
        <v>12</v>
      </c>
      <c r="E4877">
        <v>23</v>
      </c>
      <c r="F4877" t="s">
        <v>178</v>
      </c>
      <c r="G4877" t="s">
        <v>64</v>
      </c>
      <c r="H4877" t="s">
        <v>135</v>
      </c>
      <c r="I4877" t="s">
        <v>27</v>
      </c>
      <c r="J4877" t="s">
        <v>44</v>
      </c>
      <c r="K4877" t="s">
        <v>38</v>
      </c>
      <c r="L4877">
        <v>1</v>
      </c>
      <c r="M4877">
        <v>293</v>
      </c>
      <c r="N4877">
        <v>29.3</v>
      </c>
      <c r="O4877">
        <v>0</v>
      </c>
      <c r="P4877">
        <v>293</v>
      </c>
      <c r="Q4877">
        <v>263.7</v>
      </c>
      <c r="R4877" t="s">
        <v>39</v>
      </c>
      <c r="S4877" t="s">
        <v>91</v>
      </c>
      <c r="T4877" t="s">
        <v>32</v>
      </c>
      <c r="U4877">
        <v>51</v>
      </c>
      <c r="W4877">
        <f>Table2[[#This Row],[Quantity]]*Table2[[#This Row],[Item_Price]]</f>
        <v>293</v>
      </c>
    </row>
    <row r="4878" spans="1:23" x14ac:dyDescent="0.25">
      <c r="A4878" t="s">
        <v>4983</v>
      </c>
      <c r="B4878" s="1">
        <v>46014</v>
      </c>
      <c r="C4878" t="s">
        <v>4677</v>
      </c>
      <c r="D4878">
        <v>12</v>
      </c>
      <c r="E4878">
        <v>23</v>
      </c>
      <c r="F4878" t="s">
        <v>178</v>
      </c>
      <c r="G4878" t="s">
        <v>34</v>
      </c>
      <c r="H4878" t="s">
        <v>139</v>
      </c>
      <c r="I4878" t="s">
        <v>43</v>
      </c>
      <c r="J4878" t="s">
        <v>28</v>
      </c>
      <c r="K4878" t="s">
        <v>38</v>
      </c>
      <c r="L4878">
        <v>3</v>
      </c>
      <c r="M4878">
        <v>838</v>
      </c>
      <c r="N4878">
        <v>83.8</v>
      </c>
      <c r="O4878">
        <v>40</v>
      </c>
      <c r="P4878">
        <v>2514</v>
      </c>
      <c r="Q4878">
        <v>2470.1999999999998</v>
      </c>
      <c r="R4878" t="s">
        <v>39</v>
      </c>
      <c r="S4878" t="s">
        <v>31</v>
      </c>
      <c r="T4878" t="s">
        <v>40</v>
      </c>
      <c r="U4878">
        <v>46</v>
      </c>
      <c r="V4878">
        <v>3.8</v>
      </c>
      <c r="W4878">
        <f>Table2[[#This Row],[Quantity]]*Table2[[#This Row],[Item_Price]]</f>
        <v>2514</v>
      </c>
    </row>
    <row r="4879" spans="1:23" x14ac:dyDescent="0.25">
      <c r="A4879" t="s">
        <v>4984</v>
      </c>
      <c r="B4879" s="1">
        <v>46014</v>
      </c>
      <c r="C4879" t="s">
        <v>4677</v>
      </c>
      <c r="D4879">
        <v>12</v>
      </c>
      <c r="E4879">
        <v>23</v>
      </c>
      <c r="F4879" t="s">
        <v>178</v>
      </c>
      <c r="G4879" t="s">
        <v>64</v>
      </c>
      <c r="H4879" t="s">
        <v>108</v>
      </c>
      <c r="I4879" t="s">
        <v>43</v>
      </c>
      <c r="J4879" t="s">
        <v>28</v>
      </c>
      <c r="K4879" t="s">
        <v>29</v>
      </c>
      <c r="L4879">
        <v>1</v>
      </c>
      <c r="M4879">
        <v>237</v>
      </c>
      <c r="N4879">
        <v>23.7</v>
      </c>
      <c r="O4879">
        <v>40</v>
      </c>
      <c r="P4879">
        <v>237</v>
      </c>
      <c r="Q4879">
        <v>253.3</v>
      </c>
      <c r="R4879" t="s">
        <v>30</v>
      </c>
      <c r="S4879" t="s">
        <v>31</v>
      </c>
      <c r="T4879" t="s">
        <v>32</v>
      </c>
      <c r="U4879">
        <v>44</v>
      </c>
      <c r="V4879">
        <v>3.9</v>
      </c>
      <c r="W4879">
        <f>Table2[[#This Row],[Quantity]]*Table2[[#This Row],[Item_Price]]</f>
        <v>237</v>
      </c>
    </row>
    <row r="4880" spans="1:23" x14ac:dyDescent="0.25">
      <c r="A4880" t="s">
        <v>4985</v>
      </c>
      <c r="B4880" s="1">
        <v>46014</v>
      </c>
      <c r="C4880" t="s">
        <v>4677</v>
      </c>
      <c r="D4880">
        <v>12</v>
      </c>
      <c r="E4880">
        <v>23</v>
      </c>
      <c r="F4880" t="s">
        <v>178</v>
      </c>
      <c r="G4880" t="s">
        <v>34</v>
      </c>
      <c r="H4880" t="s">
        <v>135</v>
      </c>
      <c r="I4880" t="s">
        <v>57</v>
      </c>
      <c r="J4880" t="s">
        <v>82</v>
      </c>
      <c r="K4880" t="s">
        <v>38</v>
      </c>
      <c r="L4880">
        <v>2</v>
      </c>
      <c r="M4880">
        <v>873</v>
      </c>
      <c r="N4880">
        <v>43.65</v>
      </c>
      <c r="O4880">
        <v>60</v>
      </c>
      <c r="P4880">
        <v>1746</v>
      </c>
      <c r="Q4880">
        <v>1762.35</v>
      </c>
      <c r="R4880" t="s">
        <v>30</v>
      </c>
      <c r="S4880" t="s">
        <v>91</v>
      </c>
      <c r="T4880" t="s">
        <v>32</v>
      </c>
      <c r="U4880">
        <v>28</v>
      </c>
      <c r="W4880">
        <f>Table2[[#This Row],[Quantity]]*Table2[[#This Row],[Item_Price]]</f>
        <v>1746</v>
      </c>
    </row>
    <row r="4881" spans="1:23" x14ac:dyDescent="0.25">
      <c r="A4881" t="s">
        <v>4986</v>
      </c>
      <c r="B4881" s="1">
        <v>46014</v>
      </c>
      <c r="C4881" t="s">
        <v>4677</v>
      </c>
      <c r="D4881">
        <v>12</v>
      </c>
      <c r="E4881">
        <v>23</v>
      </c>
      <c r="F4881" t="s">
        <v>178</v>
      </c>
      <c r="G4881" t="s">
        <v>80</v>
      </c>
      <c r="H4881" t="s">
        <v>42</v>
      </c>
      <c r="I4881" t="s">
        <v>49</v>
      </c>
      <c r="J4881" t="s">
        <v>70</v>
      </c>
      <c r="K4881" t="s">
        <v>38</v>
      </c>
      <c r="L4881">
        <v>2</v>
      </c>
      <c r="M4881">
        <v>571</v>
      </c>
      <c r="N4881">
        <v>57.1</v>
      </c>
      <c r="O4881">
        <v>0</v>
      </c>
      <c r="P4881">
        <v>1142</v>
      </c>
      <c r="Q4881">
        <v>1084.9000000000001</v>
      </c>
      <c r="R4881" t="s">
        <v>98</v>
      </c>
      <c r="S4881" t="s">
        <v>31</v>
      </c>
      <c r="T4881" t="s">
        <v>32</v>
      </c>
      <c r="U4881">
        <v>27</v>
      </c>
      <c r="V4881">
        <v>3.8</v>
      </c>
      <c r="W4881">
        <f>Table2[[#This Row],[Quantity]]*Table2[[#This Row],[Item_Price]]</f>
        <v>1142</v>
      </c>
    </row>
    <row r="4882" spans="1:23" x14ac:dyDescent="0.25">
      <c r="A4882" t="s">
        <v>4987</v>
      </c>
      <c r="B4882" s="1">
        <v>46014</v>
      </c>
      <c r="C4882" t="s">
        <v>4677</v>
      </c>
      <c r="D4882">
        <v>12</v>
      </c>
      <c r="E4882">
        <v>23</v>
      </c>
      <c r="F4882" t="s">
        <v>178</v>
      </c>
      <c r="G4882" t="s">
        <v>34</v>
      </c>
      <c r="H4882" t="s">
        <v>139</v>
      </c>
      <c r="I4882" t="s">
        <v>57</v>
      </c>
      <c r="J4882" t="s">
        <v>62</v>
      </c>
      <c r="K4882" t="s">
        <v>45</v>
      </c>
      <c r="L4882">
        <v>1</v>
      </c>
      <c r="M4882">
        <v>130</v>
      </c>
      <c r="N4882">
        <v>26</v>
      </c>
      <c r="O4882">
        <v>60</v>
      </c>
      <c r="P4882">
        <v>130</v>
      </c>
      <c r="Q4882">
        <v>164</v>
      </c>
      <c r="R4882" t="s">
        <v>39</v>
      </c>
      <c r="S4882" t="s">
        <v>31</v>
      </c>
      <c r="T4882" t="s">
        <v>40</v>
      </c>
      <c r="U4882">
        <v>45</v>
      </c>
      <c r="V4882">
        <v>3</v>
      </c>
      <c r="W4882">
        <f>Table2[[#This Row],[Quantity]]*Table2[[#This Row],[Item_Price]]</f>
        <v>130</v>
      </c>
    </row>
    <row r="4883" spans="1:23" x14ac:dyDescent="0.25">
      <c r="A4883" t="s">
        <v>4988</v>
      </c>
      <c r="B4883" s="1">
        <v>46014</v>
      </c>
      <c r="C4883" t="s">
        <v>4677</v>
      </c>
      <c r="D4883">
        <v>12</v>
      </c>
      <c r="E4883">
        <v>23</v>
      </c>
      <c r="F4883" t="s">
        <v>178</v>
      </c>
      <c r="G4883" t="s">
        <v>73</v>
      </c>
      <c r="H4883" t="s">
        <v>105</v>
      </c>
      <c r="I4883" t="s">
        <v>85</v>
      </c>
      <c r="J4883" t="s">
        <v>74</v>
      </c>
      <c r="K4883" t="s">
        <v>38</v>
      </c>
      <c r="L4883">
        <v>1</v>
      </c>
      <c r="M4883">
        <v>125</v>
      </c>
      <c r="N4883">
        <v>0</v>
      </c>
      <c r="O4883">
        <v>40</v>
      </c>
      <c r="P4883">
        <v>125</v>
      </c>
      <c r="Q4883">
        <v>165</v>
      </c>
      <c r="R4883" t="s">
        <v>39</v>
      </c>
      <c r="S4883" t="s">
        <v>31</v>
      </c>
      <c r="T4883" t="s">
        <v>40</v>
      </c>
      <c r="U4883">
        <v>60</v>
      </c>
      <c r="V4883">
        <v>3.9</v>
      </c>
      <c r="W4883">
        <f>Table2[[#This Row],[Quantity]]*Table2[[#This Row],[Item_Price]]</f>
        <v>125</v>
      </c>
    </row>
    <row r="4884" spans="1:23" x14ac:dyDescent="0.25">
      <c r="A4884" t="s">
        <v>4989</v>
      </c>
      <c r="B4884" s="1">
        <v>46014</v>
      </c>
      <c r="C4884" t="s">
        <v>4677</v>
      </c>
      <c r="D4884">
        <v>12</v>
      </c>
      <c r="E4884">
        <v>23</v>
      </c>
      <c r="F4884" t="s">
        <v>178</v>
      </c>
      <c r="G4884" t="s">
        <v>73</v>
      </c>
      <c r="H4884" t="s">
        <v>81</v>
      </c>
      <c r="I4884" t="s">
        <v>57</v>
      </c>
      <c r="J4884" t="s">
        <v>94</v>
      </c>
      <c r="K4884" t="s">
        <v>38</v>
      </c>
      <c r="L4884">
        <v>3</v>
      </c>
      <c r="M4884">
        <v>865</v>
      </c>
      <c r="N4884">
        <v>86.5</v>
      </c>
      <c r="O4884">
        <v>50</v>
      </c>
      <c r="P4884">
        <v>2595</v>
      </c>
      <c r="Q4884">
        <v>2558.5</v>
      </c>
      <c r="R4884" t="s">
        <v>39</v>
      </c>
      <c r="S4884" t="s">
        <v>31</v>
      </c>
      <c r="T4884" t="s">
        <v>40</v>
      </c>
      <c r="U4884">
        <v>19</v>
      </c>
      <c r="V4884">
        <v>4.5</v>
      </c>
      <c r="W4884">
        <f>Table2[[#This Row],[Quantity]]*Table2[[#This Row],[Item_Price]]</f>
        <v>2595</v>
      </c>
    </row>
    <row r="4885" spans="1:23" x14ac:dyDescent="0.25">
      <c r="A4885" t="s">
        <v>4990</v>
      </c>
      <c r="B4885" s="1">
        <v>46014</v>
      </c>
      <c r="C4885" t="s">
        <v>4677</v>
      </c>
      <c r="D4885">
        <v>12</v>
      </c>
      <c r="E4885">
        <v>23</v>
      </c>
      <c r="F4885" t="s">
        <v>178</v>
      </c>
      <c r="G4885" t="s">
        <v>115</v>
      </c>
      <c r="H4885" t="s">
        <v>26</v>
      </c>
      <c r="I4885" t="s">
        <v>103</v>
      </c>
      <c r="J4885" t="s">
        <v>82</v>
      </c>
      <c r="K4885" t="s">
        <v>45</v>
      </c>
      <c r="L4885">
        <v>1</v>
      </c>
      <c r="M4885">
        <v>473</v>
      </c>
      <c r="N4885">
        <v>94.6</v>
      </c>
      <c r="O4885">
        <v>50</v>
      </c>
      <c r="P4885">
        <v>473</v>
      </c>
      <c r="Q4885">
        <v>428.4</v>
      </c>
      <c r="R4885" t="s">
        <v>39</v>
      </c>
      <c r="S4885" t="s">
        <v>31</v>
      </c>
      <c r="T4885" t="s">
        <v>32</v>
      </c>
      <c r="U4885">
        <v>33</v>
      </c>
      <c r="V4885">
        <v>3.9</v>
      </c>
      <c r="W4885">
        <f>Table2[[#This Row],[Quantity]]*Table2[[#This Row],[Item_Price]]</f>
        <v>473</v>
      </c>
    </row>
    <row r="4886" spans="1:23" x14ac:dyDescent="0.25">
      <c r="A4886" t="s">
        <v>4991</v>
      </c>
      <c r="B4886" s="1">
        <v>46014</v>
      </c>
      <c r="C4886" t="s">
        <v>4677</v>
      </c>
      <c r="D4886">
        <v>12</v>
      </c>
      <c r="E4886">
        <v>23</v>
      </c>
      <c r="F4886" t="s">
        <v>178</v>
      </c>
      <c r="G4886" t="s">
        <v>25</v>
      </c>
      <c r="H4886" t="s">
        <v>77</v>
      </c>
      <c r="I4886" t="s">
        <v>36</v>
      </c>
      <c r="J4886" t="s">
        <v>66</v>
      </c>
      <c r="K4886" t="s">
        <v>45</v>
      </c>
      <c r="L4886">
        <v>1</v>
      </c>
      <c r="M4886">
        <v>510</v>
      </c>
      <c r="N4886">
        <v>0</v>
      </c>
      <c r="O4886">
        <v>50</v>
      </c>
      <c r="P4886">
        <v>510</v>
      </c>
      <c r="Q4886">
        <v>560</v>
      </c>
      <c r="R4886" t="s">
        <v>30</v>
      </c>
      <c r="S4886" t="s">
        <v>31</v>
      </c>
      <c r="T4886" t="s">
        <v>40</v>
      </c>
      <c r="U4886">
        <v>42</v>
      </c>
      <c r="V4886">
        <v>2.7</v>
      </c>
      <c r="W4886">
        <f>Table2[[#This Row],[Quantity]]*Table2[[#This Row],[Item_Price]]</f>
        <v>510</v>
      </c>
    </row>
    <row r="4887" spans="1:23" x14ac:dyDescent="0.25">
      <c r="A4887" t="s">
        <v>4992</v>
      </c>
      <c r="B4887" s="1">
        <v>46015</v>
      </c>
      <c r="C4887" t="s">
        <v>4677</v>
      </c>
      <c r="D4887">
        <v>12</v>
      </c>
      <c r="E4887">
        <v>24</v>
      </c>
      <c r="F4887" t="s">
        <v>24</v>
      </c>
      <c r="G4887" t="s">
        <v>64</v>
      </c>
      <c r="H4887" t="s">
        <v>135</v>
      </c>
      <c r="I4887" t="s">
        <v>57</v>
      </c>
      <c r="J4887" t="s">
        <v>74</v>
      </c>
      <c r="K4887" t="s">
        <v>45</v>
      </c>
      <c r="L4887">
        <v>2</v>
      </c>
      <c r="M4887">
        <v>476</v>
      </c>
      <c r="N4887">
        <v>47.6</v>
      </c>
      <c r="O4887">
        <v>0</v>
      </c>
      <c r="P4887">
        <v>952</v>
      </c>
      <c r="Q4887">
        <v>904.4</v>
      </c>
      <c r="R4887" t="s">
        <v>75</v>
      </c>
      <c r="S4887" t="s">
        <v>31</v>
      </c>
      <c r="T4887" t="s">
        <v>40</v>
      </c>
      <c r="U4887">
        <v>31</v>
      </c>
      <c r="V4887">
        <v>4.0999999999999996</v>
      </c>
      <c r="W4887">
        <f>Table2[[#This Row],[Quantity]]*Table2[[#This Row],[Item_Price]]</f>
        <v>952</v>
      </c>
    </row>
    <row r="4888" spans="1:23" x14ac:dyDescent="0.25">
      <c r="A4888" t="s">
        <v>4993</v>
      </c>
      <c r="B4888" s="1">
        <v>46015</v>
      </c>
      <c r="C4888" t="s">
        <v>4677</v>
      </c>
      <c r="D4888">
        <v>12</v>
      </c>
      <c r="E4888">
        <v>24</v>
      </c>
      <c r="F4888" t="s">
        <v>24</v>
      </c>
      <c r="G4888" t="s">
        <v>80</v>
      </c>
      <c r="H4888" t="s">
        <v>68</v>
      </c>
      <c r="I4888" t="s">
        <v>85</v>
      </c>
      <c r="J4888" t="s">
        <v>37</v>
      </c>
      <c r="K4888" t="s">
        <v>45</v>
      </c>
      <c r="L4888">
        <v>2</v>
      </c>
      <c r="M4888">
        <v>233</v>
      </c>
      <c r="N4888">
        <v>23.3</v>
      </c>
      <c r="O4888">
        <v>30</v>
      </c>
      <c r="P4888">
        <v>466</v>
      </c>
      <c r="Q4888">
        <v>472.7</v>
      </c>
      <c r="R4888" t="s">
        <v>30</v>
      </c>
      <c r="S4888" t="s">
        <v>46</v>
      </c>
      <c r="T4888" t="s">
        <v>32</v>
      </c>
      <c r="U4888">
        <v>40</v>
      </c>
      <c r="W4888">
        <f>Table2[[#This Row],[Quantity]]*Table2[[#This Row],[Item_Price]]</f>
        <v>466</v>
      </c>
    </row>
    <row r="4889" spans="1:23" x14ac:dyDescent="0.25">
      <c r="A4889" t="s">
        <v>4994</v>
      </c>
      <c r="B4889" s="1">
        <v>46015</v>
      </c>
      <c r="C4889" t="s">
        <v>4677</v>
      </c>
      <c r="D4889">
        <v>12</v>
      </c>
      <c r="E4889">
        <v>24</v>
      </c>
      <c r="F4889" t="s">
        <v>24</v>
      </c>
      <c r="G4889" t="s">
        <v>55</v>
      </c>
      <c r="H4889" t="s">
        <v>81</v>
      </c>
      <c r="I4889" t="s">
        <v>43</v>
      </c>
      <c r="J4889" t="s">
        <v>62</v>
      </c>
      <c r="K4889" t="s">
        <v>38</v>
      </c>
      <c r="L4889">
        <v>1</v>
      </c>
      <c r="M4889">
        <v>669</v>
      </c>
      <c r="N4889">
        <v>167.25</v>
      </c>
      <c r="O4889">
        <v>0</v>
      </c>
      <c r="P4889">
        <v>669</v>
      </c>
      <c r="Q4889">
        <v>501.75</v>
      </c>
      <c r="R4889" t="s">
        <v>39</v>
      </c>
      <c r="S4889" t="s">
        <v>31</v>
      </c>
      <c r="T4889" t="s">
        <v>40</v>
      </c>
      <c r="U4889">
        <v>62</v>
      </c>
      <c r="V4889">
        <v>4.3</v>
      </c>
      <c r="W4889">
        <f>Table2[[#This Row],[Quantity]]*Table2[[#This Row],[Item_Price]]</f>
        <v>669</v>
      </c>
    </row>
    <row r="4890" spans="1:23" x14ac:dyDescent="0.25">
      <c r="A4890" t="s">
        <v>4995</v>
      </c>
      <c r="B4890" s="1">
        <v>46015</v>
      </c>
      <c r="C4890" t="s">
        <v>4677</v>
      </c>
      <c r="D4890">
        <v>12</v>
      </c>
      <c r="E4890">
        <v>24</v>
      </c>
      <c r="F4890" t="s">
        <v>24</v>
      </c>
      <c r="G4890" t="s">
        <v>64</v>
      </c>
      <c r="H4890" t="s">
        <v>35</v>
      </c>
      <c r="I4890" t="s">
        <v>36</v>
      </c>
      <c r="J4890" t="s">
        <v>123</v>
      </c>
      <c r="K4890" t="s">
        <v>38</v>
      </c>
      <c r="L4890">
        <v>2</v>
      </c>
      <c r="M4890">
        <v>465</v>
      </c>
      <c r="N4890">
        <v>0</v>
      </c>
      <c r="O4890">
        <v>40</v>
      </c>
      <c r="P4890">
        <v>930</v>
      </c>
      <c r="Q4890">
        <v>970</v>
      </c>
      <c r="R4890" t="s">
        <v>39</v>
      </c>
      <c r="S4890" t="s">
        <v>31</v>
      </c>
      <c r="T4890" t="s">
        <v>40</v>
      </c>
      <c r="U4890">
        <v>34</v>
      </c>
      <c r="V4890">
        <v>3.3</v>
      </c>
      <c r="W4890">
        <f>Table2[[#This Row],[Quantity]]*Table2[[#This Row],[Item_Price]]</f>
        <v>930</v>
      </c>
    </row>
    <row r="4891" spans="1:23" x14ac:dyDescent="0.25">
      <c r="A4891" t="s">
        <v>4996</v>
      </c>
      <c r="B4891" s="1">
        <v>46015</v>
      </c>
      <c r="C4891" t="s">
        <v>4677</v>
      </c>
      <c r="D4891">
        <v>12</v>
      </c>
      <c r="E4891">
        <v>24</v>
      </c>
      <c r="F4891" t="s">
        <v>24</v>
      </c>
      <c r="G4891" t="s">
        <v>115</v>
      </c>
      <c r="H4891" t="s">
        <v>26</v>
      </c>
      <c r="I4891" t="s">
        <v>85</v>
      </c>
      <c r="J4891" t="s">
        <v>44</v>
      </c>
      <c r="K4891" t="s">
        <v>29</v>
      </c>
      <c r="L4891">
        <v>2</v>
      </c>
      <c r="M4891">
        <v>131</v>
      </c>
      <c r="N4891">
        <v>26.2</v>
      </c>
      <c r="O4891">
        <v>60</v>
      </c>
      <c r="P4891">
        <v>262</v>
      </c>
      <c r="Q4891">
        <v>295.8</v>
      </c>
      <c r="R4891" t="s">
        <v>39</v>
      </c>
      <c r="S4891" t="s">
        <v>31</v>
      </c>
      <c r="T4891" t="s">
        <v>40</v>
      </c>
      <c r="U4891">
        <v>33</v>
      </c>
      <c r="V4891">
        <v>5</v>
      </c>
      <c r="W4891">
        <f>Table2[[#This Row],[Quantity]]*Table2[[#This Row],[Item_Price]]</f>
        <v>262</v>
      </c>
    </row>
    <row r="4892" spans="1:23" x14ac:dyDescent="0.25">
      <c r="A4892" t="s">
        <v>4997</v>
      </c>
      <c r="B4892" s="1">
        <v>46015</v>
      </c>
      <c r="C4892" t="s">
        <v>4677</v>
      </c>
      <c r="D4892">
        <v>12</v>
      </c>
      <c r="E4892">
        <v>24</v>
      </c>
      <c r="F4892" t="s">
        <v>24</v>
      </c>
      <c r="G4892" t="s">
        <v>96</v>
      </c>
      <c r="H4892" t="s">
        <v>42</v>
      </c>
      <c r="I4892" t="s">
        <v>103</v>
      </c>
      <c r="J4892" t="s">
        <v>123</v>
      </c>
      <c r="K4892" t="s">
        <v>38</v>
      </c>
      <c r="L4892">
        <v>1</v>
      </c>
      <c r="M4892">
        <v>208</v>
      </c>
      <c r="N4892">
        <v>41.6</v>
      </c>
      <c r="O4892">
        <v>20</v>
      </c>
      <c r="P4892">
        <v>208</v>
      </c>
      <c r="Q4892">
        <v>186.4</v>
      </c>
      <c r="R4892" t="s">
        <v>112</v>
      </c>
      <c r="S4892" t="s">
        <v>31</v>
      </c>
      <c r="T4892" t="s">
        <v>40</v>
      </c>
      <c r="U4892">
        <v>36</v>
      </c>
      <c r="V4892">
        <v>4</v>
      </c>
      <c r="W4892">
        <f>Table2[[#This Row],[Quantity]]*Table2[[#This Row],[Item_Price]]</f>
        <v>208</v>
      </c>
    </row>
    <row r="4893" spans="1:23" x14ac:dyDescent="0.25">
      <c r="A4893" t="s">
        <v>4998</v>
      </c>
      <c r="B4893" s="1">
        <v>46015</v>
      </c>
      <c r="C4893" t="s">
        <v>4677</v>
      </c>
      <c r="D4893">
        <v>12</v>
      </c>
      <c r="E4893">
        <v>24</v>
      </c>
      <c r="F4893" t="s">
        <v>24</v>
      </c>
      <c r="G4893" t="s">
        <v>25</v>
      </c>
      <c r="H4893" t="s">
        <v>42</v>
      </c>
      <c r="I4893" t="s">
        <v>61</v>
      </c>
      <c r="J4893" t="s">
        <v>78</v>
      </c>
      <c r="K4893" t="s">
        <v>38</v>
      </c>
      <c r="L4893">
        <v>1</v>
      </c>
      <c r="M4893">
        <v>782</v>
      </c>
      <c r="N4893">
        <v>156.4</v>
      </c>
      <c r="O4893">
        <v>40</v>
      </c>
      <c r="P4893">
        <v>782</v>
      </c>
      <c r="Q4893">
        <v>665.6</v>
      </c>
      <c r="R4893" t="s">
        <v>39</v>
      </c>
      <c r="S4893" t="s">
        <v>31</v>
      </c>
      <c r="T4893" t="s">
        <v>32</v>
      </c>
      <c r="U4893">
        <v>42</v>
      </c>
      <c r="V4893">
        <v>4.4000000000000004</v>
      </c>
      <c r="W4893">
        <f>Table2[[#This Row],[Quantity]]*Table2[[#This Row],[Item_Price]]</f>
        <v>782</v>
      </c>
    </row>
    <row r="4894" spans="1:23" x14ac:dyDescent="0.25">
      <c r="A4894" t="s">
        <v>4999</v>
      </c>
      <c r="B4894" s="1">
        <v>46015</v>
      </c>
      <c r="C4894" t="s">
        <v>4677</v>
      </c>
      <c r="D4894">
        <v>12</v>
      </c>
      <c r="E4894">
        <v>24</v>
      </c>
      <c r="F4894" t="s">
        <v>24</v>
      </c>
      <c r="G4894" t="s">
        <v>96</v>
      </c>
      <c r="H4894" t="s">
        <v>48</v>
      </c>
      <c r="I4894" t="s">
        <v>57</v>
      </c>
      <c r="J4894" t="s">
        <v>66</v>
      </c>
      <c r="K4894" t="s">
        <v>38</v>
      </c>
      <c r="L4894">
        <v>2</v>
      </c>
      <c r="M4894">
        <v>700</v>
      </c>
      <c r="N4894">
        <v>70</v>
      </c>
      <c r="O4894">
        <v>50</v>
      </c>
      <c r="P4894">
        <v>1400</v>
      </c>
      <c r="Q4894">
        <v>1380</v>
      </c>
      <c r="R4894" t="s">
        <v>39</v>
      </c>
      <c r="S4894" t="s">
        <v>31</v>
      </c>
      <c r="T4894" t="s">
        <v>32</v>
      </c>
      <c r="U4894">
        <v>61</v>
      </c>
      <c r="V4894">
        <v>4.8</v>
      </c>
      <c r="W4894">
        <f>Table2[[#This Row],[Quantity]]*Table2[[#This Row],[Item_Price]]</f>
        <v>1400</v>
      </c>
    </row>
    <row r="4895" spans="1:23" x14ac:dyDescent="0.25">
      <c r="A4895" t="s">
        <v>5000</v>
      </c>
      <c r="B4895" s="1">
        <v>46015</v>
      </c>
      <c r="C4895" t="s">
        <v>4677</v>
      </c>
      <c r="D4895">
        <v>12</v>
      </c>
      <c r="E4895">
        <v>24</v>
      </c>
      <c r="F4895" t="s">
        <v>24</v>
      </c>
      <c r="G4895" t="s">
        <v>55</v>
      </c>
      <c r="H4895" t="s">
        <v>81</v>
      </c>
      <c r="I4895" t="s">
        <v>57</v>
      </c>
      <c r="J4895" t="s">
        <v>119</v>
      </c>
      <c r="K4895" t="s">
        <v>45</v>
      </c>
      <c r="L4895">
        <v>1</v>
      </c>
      <c r="M4895">
        <v>331</v>
      </c>
      <c r="N4895">
        <v>33.1</v>
      </c>
      <c r="O4895">
        <v>50</v>
      </c>
      <c r="P4895">
        <v>331</v>
      </c>
      <c r="Q4895">
        <v>347.9</v>
      </c>
      <c r="R4895" t="s">
        <v>112</v>
      </c>
      <c r="S4895" t="s">
        <v>31</v>
      </c>
      <c r="T4895" t="s">
        <v>40</v>
      </c>
      <c r="U4895">
        <v>64</v>
      </c>
      <c r="V4895">
        <v>3.8</v>
      </c>
      <c r="W4895">
        <f>Table2[[#This Row],[Quantity]]*Table2[[#This Row],[Item_Price]]</f>
        <v>331</v>
      </c>
    </row>
    <row r="4896" spans="1:23" x14ac:dyDescent="0.25">
      <c r="A4896" t="s">
        <v>5001</v>
      </c>
      <c r="B4896" s="1">
        <v>46016</v>
      </c>
      <c r="C4896" t="s">
        <v>4677</v>
      </c>
      <c r="D4896">
        <v>12</v>
      </c>
      <c r="E4896">
        <v>25</v>
      </c>
      <c r="F4896" t="s">
        <v>88</v>
      </c>
      <c r="G4896" t="s">
        <v>55</v>
      </c>
      <c r="H4896" t="s">
        <v>56</v>
      </c>
      <c r="I4896" t="s">
        <v>57</v>
      </c>
      <c r="J4896" t="s">
        <v>172</v>
      </c>
      <c r="K4896" t="s">
        <v>45</v>
      </c>
      <c r="L4896">
        <v>1</v>
      </c>
      <c r="M4896">
        <v>540</v>
      </c>
      <c r="N4896">
        <v>135</v>
      </c>
      <c r="O4896">
        <v>20</v>
      </c>
      <c r="P4896">
        <v>540</v>
      </c>
      <c r="Q4896">
        <v>425</v>
      </c>
      <c r="R4896" t="s">
        <v>39</v>
      </c>
      <c r="S4896" t="s">
        <v>31</v>
      </c>
      <c r="T4896" t="s">
        <v>40</v>
      </c>
      <c r="U4896">
        <v>69</v>
      </c>
      <c r="V4896">
        <v>4.7</v>
      </c>
      <c r="W4896">
        <f>Table2[[#This Row],[Quantity]]*Table2[[#This Row],[Item_Price]]</f>
        <v>540</v>
      </c>
    </row>
    <row r="4897" spans="1:23" x14ac:dyDescent="0.25">
      <c r="A4897" t="s">
        <v>5002</v>
      </c>
      <c r="B4897" s="1">
        <v>46016</v>
      </c>
      <c r="C4897" t="s">
        <v>4677</v>
      </c>
      <c r="D4897">
        <v>12</v>
      </c>
      <c r="E4897">
        <v>25</v>
      </c>
      <c r="F4897" t="s">
        <v>88</v>
      </c>
      <c r="G4897" t="s">
        <v>96</v>
      </c>
      <c r="H4897" t="s">
        <v>108</v>
      </c>
      <c r="I4897" t="s">
        <v>43</v>
      </c>
      <c r="J4897" t="s">
        <v>172</v>
      </c>
      <c r="K4897" t="s">
        <v>45</v>
      </c>
      <c r="L4897">
        <v>3</v>
      </c>
      <c r="M4897">
        <v>491</v>
      </c>
      <c r="N4897">
        <v>73.650000000000006</v>
      </c>
      <c r="O4897">
        <v>0</v>
      </c>
      <c r="P4897">
        <v>1473</v>
      </c>
      <c r="Q4897">
        <v>1399.35</v>
      </c>
      <c r="R4897" t="s">
        <v>112</v>
      </c>
      <c r="S4897" t="s">
        <v>31</v>
      </c>
      <c r="T4897" t="s">
        <v>32</v>
      </c>
      <c r="U4897">
        <v>70</v>
      </c>
      <c r="V4897">
        <v>4.2</v>
      </c>
      <c r="W4897">
        <f>Table2[[#This Row],[Quantity]]*Table2[[#This Row],[Item_Price]]</f>
        <v>1473</v>
      </c>
    </row>
    <row r="4898" spans="1:23" x14ac:dyDescent="0.25">
      <c r="A4898" t="s">
        <v>5003</v>
      </c>
      <c r="B4898" s="1">
        <v>46016</v>
      </c>
      <c r="C4898" t="s">
        <v>4677</v>
      </c>
      <c r="D4898">
        <v>12</v>
      </c>
      <c r="E4898">
        <v>25</v>
      </c>
      <c r="F4898" t="s">
        <v>88</v>
      </c>
      <c r="G4898" t="s">
        <v>80</v>
      </c>
      <c r="H4898" t="s">
        <v>77</v>
      </c>
      <c r="I4898" t="s">
        <v>103</v>
      </c>
      <c r="J4898" t="s">
        <v>82</v>
      </c>
      <c r="K4898" t="s">
        <v>38</v>
      </c>
      <c r="L4898">
        <v>1</v>
      </c>
      <c r="M4898">
        <v>142</v>
      </c>
      <c r="N4898">
        <v>14.2</v>
      </c>
      <c r="O4898">
        <v>40</v>
      </c>
      <c r="P4898">
        <v>142</v>
      </c>
      <c r="Q4898">
        <v>167.8</v>
      </c>
      <c r="R4898" t="s">
        <v>98</v>
      </c>
      <c r="S4898" t="s">
        <v>31</v>
      </c>
      <c r="T4898" t="s">
        <v>32</v>
      </c>
      <c r="U4898">
        <v>28</v>
      </c>
      <c r="V4898">
        <v>4.5999999999999996</v>
      </c>
      <c r="W4898">
        <f>Table2[[#This Row],[Quantity]]*Table2[[#This Row],[Item_Price]]</f>
        <v>142</v>
      </c>
    </row>
    <row r="4899" spans="1:23" x14ac:dyDescent="0.25">
      <c r="A4899" t="s">
        <v>5004</v>
      </c>
      <c r="B4899" s="1">
        <v>46016</v>
      </c>
      <c r="C4899" t="s">
        <v>4677</v>
      </c>
      <c r="D4899">
        <v>12</v>
      </c>
      <c r="E4899">
        <v>25</v>
      </c>
      <c r="F4899" t="s">
        <v>88</v>
      </c>
      <c r="G4899" t="s">
        <v>90</v>
      </c>
      <c r="H4899" t="s">
        <v>81</v>
      </c>
      <c r="I4899" t="s">
        <v>69</v>
      </c>
      <c r="J4899" t="s">
        <v>62</v>
      </c>
      <c r="K4899" t="s">
        <v>58</v>
      </c>
      <c r="L4899">
        <v>1</v>
      </c>
      <c r="M4899">
        <v>747</v>
      </c>
      <c r="N4899">
        <v>112.05</v>
      </c>
      <c r="O4899">
        <v>60</v>
      </c>
      <c r="P4899">
        <v>747</v>
      </c>
      <c r="Q4899">
        <v>694.95</v>
      </c>
      <c r="R4899" t="s">
        <v>39</v>
      </c>
      <c r="S4899" t="s">
        <v>110</v>
      </c>
      <c r="T4899" t="s">
        <v>32</v>
      </c>
      <c r="U4899">
        <v>37</v>
      </c>
      <c r="W4899">
        <f>Table2[[#This Row],[Quantity]]*Table2[[#This Row],[Item_Price]]</f>
        <v>747</v>
      </c>
    </row>
    <row r="4900" spans="1:23" x14ac:dyDescent="0.25">
      <c r="A4900" t="s">
        <v>5005</v>
      </c>
      <c r="B4900" s="1">
        <v>46016</v>
      </c>
      <c r="C4900" t="s">
        <v>4677</v>
      </c>
      <c r="D4900">
        <v>12</v>
      </c>
      <c r="E4900">
        <v>25</v>
      </c>
      <c r="F4900" t="s">
        <v>88</v>
      </c>
      <c r="G4900" t="s">
        <v>80</v>
      </c>
      <c r="H4900" t="s">
        <v>139</v>
      </c>
      <c r="I4900" t="s">
        <v>69</v>
      </c>
      <c r="J4900" t="s">
        <v>37</v>
      </c>
      <c r="K4900" t="s">
        <v>38</v>
      </c>
      <c r="L4900">
        <v>2</v>
      </c>
      <c r="M4900">
        <v>340</v>
      </c>
      <c r="N4900">
        <v>51</v>
      </c>
      <c r="O4900">
        <v>50</v>
      </c>
      <c r="P4900">
        <v>680</v>
      </c>
      <c r="Q4900">
        <v>679</v>
      </c>
      <c r="R4900" t="s">
        <v>39</v>
      </c>
      <c r="S4900" t="s">
        <v>31</v>
      </c>
      <c r="T4900" t="s">
        <v>32</v>
      </c>
      <c r="U4900">
        <v>24</v>
      </c>
      <c r="V4900">
        <v>4.4000000000000004</v>
      </c>
      <c r="W4900">
        <f>Table2[[#This Row],[Quantity]]*Table2[[#This Row],[Item_Price]]</f>
        <v>680</v>
      </c>
    </row>
    <row r="4901" spans="1:23" x14ac:dyDescent="0.25">
      <c r="A4901" t="s">
        <v>5006</v>
      </c>
      <c r="B4901" s="1">
        <v>46016</v>
      </c>
      <c r="C4901" t="s">
        <v>4677</v>
      </c>
      <c r="D4901">
        <v>12</v>
      </c>
      <c r="E4901">
        <v>25</v>
      </c>
      <c r="F4901" t="s">
        <v>88</v>
      </c>
      <c r="G4901" t="s">
        <v>80</v>
      </c>
      <c r="H4901" t="s">
        <v>139</v>
      </c>
      <c r="I4901" t="s">
        <v>61</v>
      </c>
      <c r="J4901" t="s">
        <v>94</v>
      </c>
      <c r="K4901" t="s">
        <v>58</v>
      </c>
      <c r="L4901">
        <v>1</v>
      </c>
      <c r="M4901">
        <v>389</v>
      </c>
      <c r="N4901">
        <v>0</v>
      </c>
      <c r="O4901">
        <v>60</v>
      </c>
      <c r="P4901">
        <v>389</v>
      </c>
      <c r="Q4901">
        <v>449</v>
      </c>
      <c r="R4901" t="s">
        <v>30</v>
      </c>
      <c r="S4901" t="s">
        <v>31</v>
      </c>
      <c r="T4901" t="s">
        <v>40</v>
      </c>
      <c r="U4901">
        <v>54</v>
      </c>
      <c r="V4901">
        <v>4.0999999999999996</v>
      </c>
      <c r="W4901">
        <f>Table2[[#This Row],[Quantity]]*Table2[[#This Row],[Item_Price]]</f>
        <v>389</v>
      </c>
    </row>
    <row r="4902" spans="1:23" x14ac:dyDescent="0.25">
      <c r="A4902" t="s">
        <v>5007</v>
      </c>
      <c r="B4902" s="1">
        <v>46016</v>
      </c>
      <c r="C4902" t="s">
        <v>4677</v>
      </c>
      <c r="D4902">
        <v>12</v>
      </c>
      <c r="E4902">
        <v>25</v>
      </c>
      <c r="F4902" t="s">
        <v>88</v>
      </c>
      <c r="G4902" t="s">
        <v>64</v>
      </c>
      <c r="H4902" t="s">
        <v>68</v>
      </c>
      <c r="I4902" t="s">
        <v>43</v>
      </c>
      <c r="J4902" t="s">
        <v>53</v>
      </c>
      <c r="K4902" t="s">
        <v>38</v>
      </c>
      <c r="L4902">
        <v>2</v>
      </c>
      <c r="M4902">
        <v>778</v>
      </c>
      <c r="N4902">
        <v>77.8</v>
      </c>
      <c r="O4902">
        <v>20</v>
      </c>
      <c r="P4902">
        <v>1556</v>
      </c>
      <c r="Q4902">
        <v>1498.2</v>
      </c>
      <c r="R4902" t="s">
        <v>30</v>
      </c>
      <c r="S4902" t="s">
        <v>31</v>
      </c>
      <c r="T4902" t="s">
        <v>40</v>
      </c>
      <c r="U4902">
        <v>18</v>
      </c>
      <c r="V4902">
        <v>3.1</v>
      </c>
      <c r="W4902">
        <f>Table2[[#This Row],[Quantity]]*Table2[[#This Row],[Item_Price]]</f>
        <v>1556</v>
      </c>
    </row>
    <row r="4903" spans="1:23" x14ac:dyDescent="0.25">
      <c r="A4903" t="s">
        <v>5008</v>
      </c>
      <c r="B4903" s="1">
        <v>46016</v>
      </c>
      <c r="C4903" t="s">
        <v>4677</v>
      </c>
      <c r="D4903">
        <v>12</v>
      </c>
      <c r="E4903">
        <v>25</v>
      </c>
      <c r="F4903" t="s">
        <v>88</v>
      </c>
      <c r="G4903" t="s">
        <v>25</v>
      </c>
      <c r="H4903" t="s">
        <v>60</v>
      </c>
      <c r="I4903" t="s">
        <v>97</v>
      </c>
      <c r="J4903" t="s">
        <v>44</v>
      </c>
      <c r="K4903" t="s">
        <v>38</v>
      </c>
      <c r="L4903">
        <v>2</v>
      </c>
      <c r="M4903">
        <v>371</v>
      </c>
      <c r="N4903">
        <v>74.2</v>
      </c>
      <c r="O4903">
        <v>60</v>
      </c>
      <c r="P4903">
        <v>742</v>
      </c>
      <c r="Q4903">
        <v>727.8</v>
      </c>
      <c r="R4903" t="s">
        <v>75</v>
      </c>
      <c r="S4903" t="s">
        <v>31</v>
      </c>
      <c r="T4903" t="s">
        <v>40</v>
      </c>
      <c r="U4903">
        <v>63</v>
      </c>
      <c r="V4903">
        <v>4.5999999999999996</v>
      </c>
      <c r="W4903">
        <f>Table2[[#This Row],[Quantity]]*Table2[[#This Row],[Item_Price]]</f>
        <v>742</v>
      </c>
    </row>
    <row r="4904" spans="1:23" x14ac:dyDescent="0.25">
      <c r="A4904" t="s">
        <v>5009</v>
      </c>
      <c r="B4904" s="1">
        <v>46016</v>
      </c>
      <c r="C4904" t="s">
        <v>4677</v>
      </c>
      <c r="D4904">
        <v>12</v>
      </c>
      <c r="E4904">
        <v>25</v>
      </c>
      <c r="F4904" t="s">
        <v>88</v>
      </c>
      <c r="G4904" t="s">
        <v>80</v>
      </c>
      <c r="H4904" t="s">
        <v>35</v>
      </c>
      <c r="I4904" t="s">
        <v>49</v>
      </c>
      <c r="J4904" t="s">
        <v>82</v>
      </c>
      <c r="K4904" t="s">
        <v>45</v>
      </c>
      <c r="L4904">
        <v>2</v>
      </c>
      <c r="M4904">
        <v>527</v>
      </c>
      <c r="N4904">
        <v>26.35</v>
      </c>
      <c r="O4904">
        <v>40</v>
      </c>
      <c r="P4904">
        <v>1054</v>
      </c>
      <c r="Q4904">
        <v>1067.6500000000001</v>
      </c>
      <c r="R4904" t="s">
        <v>30</v>
      </c>
      <c r="S4904" t="s">
        <v>31</v>
      </c>
      <c r="T4904" t="s">
        <v>40</v>
      </c>
      <c r="U4904">
        <v>26</v>
      </c>
      <c r="V4904">
        <v>3.3</v>
      </c>
      <c r="W4904">
        <f>Table2[[#This Row],[Quantity]]*Table2[[#This Row],[Item_Price]]</f>
        <v>1054</v>
      </c>
    </row>
    <row r="4905" spans="1:23" x14ac:dyDescent="0.25">
      <c r="A4905" t="s">
        <v>5010</v>
      </c>
      <c r="B4905" s="1">
        <v>46016</v>
      </c>
      <c r="C4905" t="s">
        <v>4677</v>
      </c>
      <c r="D4905">
        <v>12</v>
      </c>
      <c r="E4905">
        <v>25</v>
      </c>
      <c r="F4905" t="s">
        <v>88</v>
      </c>
      <c r="G4905" t="s">
        <v>34</v>
      </c>
      <c r="H4905" t="s">
        <v>26</v>
      </c>
      <c r="I4905" t="s">
        <v>61</v>
      </c>
      <c r="J4905" t="s">
        <v>66</v>
      </c>
      <c r="K4905" t="s">
        <v>38</v>
      </c>
      <c r="L4905">
        <v>2</v>
      </c>
      <c r="M4905">
        <v>149</v>
      </c>
      <c r="N4905">
        <v>7.45</v>
      </c>
      <c r="O4905">
        <v>40</v>
      </c>
      <c r="P4905">
        <v>298</v>
      </c>
      <c r="Q4905">
        <v>330.55</v>
      </c>
      <c r="R4905" t="s">
        <v>39</v>
      </c>
      <c r="S4905" t="s">
        <v>31</v>
      </c>
      <c r="T4905" t="s">
        <v>40</v>
      </c>
      <c r="U4905">
        <v>52</v>
      </c>
      <c r="V4905">
        <v>4.4000000000000004</v>
      </c>
      <c r="W4905">
        <f>Table2[[#This Row],[Quantity]]*Table2[[#This Row],[Item_Price]]</f>
        <v>298</v>
      </c>
    </row>
    <row r="4906" spans="1:23" x14ac:dyDescent="0.25">
      <c r="A4906" t="s">
        <v>5011</v>
      </c>
      <c r="B4906" s="1">
        <v>46016</v>
      </c>
      <c r="C4906" t="s">
        <v>4677</v>
      </c>
      <c r="D4906">
        <v>12</v>
      </c>
      <c r="E4906">
        <v>25</v>
      </c>
      <c r="F4906" t="s">
        <v>88</v>
      </c>
      <c r="G4906" t="s">
        <v>73</v>
      </c>
      <c r="H4906" t="s">
        <v>60</v>
      </c>
      <c r="I4906" t="s">
        <v>49</v>
      </c>
      <c r="J4906" t="s">
        <v>70</v>
      </c>
      <c r="K4906" t="s">
        <v>38</v>
      </c>
      <c r="L4906">
        <v>2</v>
      </c>
      <c r="M4906">
        <v>144</v>
      </c>
      <c r="N4906">
        <v>36</v>
      </c>
      <c r="O4906">
        <v>70</v>
      </c>
      <c r="P4906">
        <v>288</v>
      </c>
      <c r="Q4906">
        <v>322</v>
      </c>
      <c r="R4906" t="s">
        <v>75</v>
      </c>
      <c r="S4906" t="s">
        <v>31</v>
      </c>
      <c r="T4906" t="s">
        <v>40</v>
      </c>
      <c r="U4906">
        <v>22</v>
      </c>
      <c r="V4906">
        <v>4.2</v>
      </c>
      <c r="W4906">
        <f>Table2[[#This Row],[Quantity]]*Table2[[#This Row],[Item_Price]]</f>
        <v>288</v>
      </c>
    </row>
    <row r="4907" spans="1:23" x14ac:dyDescent="0.25">
      <c r="A4907" t="s">
        <v>5012</v>
      </c>
      <c r="B4907" s="1">
        <v>46016</v>
      </c>
      <c r="C4907" t="s">
        <v>4677</v>
      </c>
      <c r="D4907">
        <v>12</v>
      </c>
      <c r="E4907">
        <v>25</v>
      </c>
      <c r="F4907" t="s">
        <v>88</v>
      </c>
      <c r="G4907" t="s">
        <v>34</v>
      </c>
      <c r="H4907" t="s">
        <v>105</v>
      </c>
      <c r="I4907" t="s">
        <v>27</v>
      </c>
      <c r="J4907" t="s">
        <v>53</v>
      </c>
      <c r="K4907" t="s">
        <v>38</v>
      </c>
      <c r="L4907">
        <v>2</v>
      </c>
      <c r="M4907">
        <v>275</v>
      </c>
      <c r="N4907">
        <v>13.75</v>
      </c>
      <c r="O4907">
        <v>30</v>
      </c>
      <c r="P4907">
        <v>550</v>
      </c>
      <c r="Q4907">
        <v>566.25</v>
      </c>
      <c r="R4907" t="s">
        <v>30</v>
      </c>
      <c r="S4907" t="s">
        <v>110</v>
      </c>
      <c r="T4907" t="s">
        <v>40</v>
      </c>
      <c r="U4907">
        <v>52</v>
      </c>
      <c r="W4907">
        <f>Table2[[#This Row],[Quantity]]*Table2[[#This Row],[Item_Price]]</f>
        <v>550</v>
      </c>
    </row>
    <row r="4908" spans="1:23" x14ac:dyDescent="0.25">
      <c r="A4908" t="s">
        <v>5013</v>
      </c>
      <c r="B4908" s="1">
        <v>46016</v>
      </c>
      <c r="C4908" t="s">
        <v>4677</v>
      </c>
      <c r="D4908">
        <v>12</v>
      </c>
      <c r="E4908">
        <v>25</v>
      </c>
      <c r="F4908" t="s">
        <v>88</v>
      </c>
      <c r="G4908" t="s">
        <v>25</v>
      </c>
      <c r="H4908" t="s">
        <v>139</v>
      </c>
      <c r="I4908" t="s">
        <v>57</v>
      </c>
      <c r="J4908" t="s">
        <v>82</v>
      </c>
      <c r="K4908" t="s">
        <v>38</v>
      </c>
      <c r="L4908">
        <v>1</v>
      </c>
      <c r="M4908">
        <v>844</v>
      </c>
      <c r="N4908">
        <v>0</v>
      </c>
      <c r="O4908">
        <v>20</v>
      </c>
      <c r="P4908">
        <v>844</v>
      </c>
      <c r="Q4908">
        <v>864</v>
      </c>
      <c r="R4908" t="s">
        <v>75</v>
      </c>
      <c r="S4908" t="s">
        <v>31</v>
      </c>
      <c r="T4908" t="s">
        <v>40</v>
      </c>
      <c r="U4908">
        <v>22</v>
      </c>
      <c r="V4908">
        <v>4.5</v>
      </c>
      <c r="W4908">
        <f>Table2[[#This Row],[Quantity]]*Table2[[#This Row],[Item_Price]]</f>
        <v>844</v>
      </c>
    </row>
    <row r="4909" spans="1:23" x14ac:dyDescent="0.25">
      <c r="A4909" t="s">
        <v>5014</v>
      </c>
      <c r="B4909" s="1">
        <v>46017</v>
      </c>
      <c r="C4909" t="s">
        <v>4677</v>
      </c>
      <c r="D4909">
        <v>12</v>
      </c>
      <c r="E4909">
        <v>26</v>
      </c>
      <c r="F4909" t="s">
        <v>114</v>
      </c>
      <c r="G4909" t="s">
        <v>55</v>
      </c>
      <c r="H4909" t="s">
        <v>77</v>
      </c>
      <c r="I4909" t="s">
        <v>69</v>
      </c>
      <c r="J4909" t="s">
        <v>66</v>
      </c>
      <c r="K4909" t="s">
        <v>38</v>
      </c>
      <c r="L4909">
        <v>1</v>
      </c>
      <c r="M4909">
        <v>846</v>
      </c>
      <c r="N4909">
        <v>84.6</v>
      </c>
      <c r="O4909">
        <v>0</v>
      </c>
      <c r="P4909">
        <v>846</v>
      </c>
      <c r="Q4909">
        <v>761.4</v>
      </c>
      <c r="R4909" t="s">
        <v>98</v>
      </c>
      <c r="S4909" t="s">
        <v>31</v>
      </c>
      <c r="T4909" t="s">
        <v>40</v>
      </c>
      <c r="U4909">
        <v>33</v>
      </c>
      <c r="V4909">
        <v>4.4000000000000004</v>
      </c>
      <c r="W4909">
        <f>Table2[[#This Row],[Quantity]]*Table2[[#This Row],[Item_Price]]</f>
        <v>846</v>
      </c>
    </row>
    <row r="4910" spans="1:23" x14ac:dyDescent="0.25">
      <c r="A4910" t="s">
        <v>5015</v>
      </c>
      <c r="B4910" s="1">
        <v>46017</v>
      </c>
      <c r="C4910" t="s">
        <v>4677</v>
      </c>
      <c r="D4910">
        <v>12</v>
      </c>
      <c r="E4910">
        <v>26</v>
      </c>
      <c r="F4910" t="s">
        <v>114</v>
      </c>
      <c r="G4910" t="s">
        <v>64</v>
      </c>
      <c r="H4910" t="s">
        <v>77</v>
      </c>
      <c r="I4910" t="s">
        <v>27</v>
      </c>
      <c r="J4910" t="s">
        <v>172</v>
      </c>
      <c r="K4910" t="s">
        <v>38</v>
      </c>
      <c r="L4910">
        <v>2</v>
      </c>
      <c r="M4910">
        <v>315</v>
      </c>
      <c r="N4910">
        <v>63</v>
      </c>
      <c r="O4910">
        <v>40</v>
      </c>
      <c r="P4910">
        <v>630</v>
      </c>
      <c r="Q4910">
        <v>607</v>
      </c>
      <c r="R4910" t="s">
        <v>39</v>
      </c>
      <c r="S4910" t="s">
        <v>31</v>
      </c>
      <c r="T4910" t="s">
        <v>32</v>
      </c>
      <c r="U4910">
        <v>64</v>
      </c>
      <c r="V4910">
        <v>4.3</v>
      </c>
      <c r="W4910">
        <f>Table2[[#This Row],[Quantity]]*Table2[[#This Row],[Item_Price]]</f>
        <v>630</v>
      </c>
    </row>
    <row r="4911" spans="1:23" x14ac:dyDescent="0.25">
      <c r="A4911" t="s">
        <v>5016</v>
      </c>
      <c r="B4911" s="1">
        <v>46017</v>
      </c>
      <c r="C4911" t="s">
        <v>4677</v>
      </c>
      <c r="D4911">
        <v>12</v>
      </c>
      <c r="E4911">
        <v>26</v>
      </c>
      <c r="F4911" t="s">
        <v>114</v>
      </c>
      <c r="G4911" t="s">
        <v>64</v>
      </c>
      <c r="H4911" t="s">
        <v>65</v>
      </c>
      <c r="I4911" t="s">
        <v>61</v>
      </c>
      <c r="J4911" t="s">
        <v>37</v>
      </c>
      <c r="K4911" t="s">
        <v>38</v>
      </c>
      <c r="L4911">
        <v>2</v>
      </c>
      <c r="M4911">
        <v>212</v>
      </c>
      <c r="N4911">
        <v>10.6</v>
      </c>
      <c r="O4911">
        <v>40</v>
      </c>
      <c r="P4911">
        <v>424</v>
      </c>
      <c r="Q4911">
        <v>453.4</v>
      </c>
      <c r="R4911" t="s">
        <v>39</v>
      </c>
      <c r="S4911" t="s">
        <v>31</v>
      </c>
      <c r="T4911" t="s">
        <v>40</v>
      </c>
      <c r="U4911">
        <v>32</v>
      </c>
      <c r="V4911">
        <v>4.5</v>
      </c>
      <c r="W4911">
        <f>Table2[[#This Row],[Quantity]]*Table2[[#This Row],[Item_Price]]</f>
        <v>424</v>
      </c>
    </row>
    <row r="4912" spans="1:23" x14ac:dyDescent="0.25">
      <c r="A4912" t="s">
        <v>5017</v>
      </c>
      <c r="B4912" s="1">
        <v>46017</v>
      </c>
      <c r="C4912" t="s">
        <v>4677</v>
      </c>
      <c r="D4912">
        <v>12</v>
      </c>
      <c r="E4912">
        <v>26</v>
      </c>
      <c r="F4912" t="s">
        <v>114</v>
      </c>
      <c r="G4912" t="s">
        <v>73</v>
      </c>
      <c r="H4912" t="s">
        <v>81</v>
      </c>
      <c r="I4912" t="s">
        <v>61</v>
      </c>
      <c r="J4912" t="s">
        <v>94</v>
      </c>
      <c r="K4912" t="s">
        <v>45</v>
      </c>
      <c r="L4912">
        <v>2</v>
      </c>
      <c r="M4912">
        <v>793</v>
      </c>
      <c r="N4912">
        <v>118.95</v>
      </c>
      <c r="O4912">
        <v>40</v>
      </c>
      <c r="P4912">
        <v>1586</v>
      </c>
      <c r="Q4912">
        <v>1507.05</v>
      </c>
      <c r="R4912" t="s">
        <v>30</v>
      </c>
      <c r="S4912" t="s">
        <v>110</v>
      </c>
      <c r="T4912" t="s">
        <v>40</v>
      </c>
      <c r="U4912">
        <v>47</v>
      </c>
      <c r="W4912">
        <f>Table2[[#This Row],[Quantity]]*Table2[[#This Row],[Item_Price]]</f>
        <v>1586</v>
      </c>
    </row>
    <row r="4913" spans="1:23" x14ac:dyDescent="0.25">
      <c r="A4913" t="s">
        <v>5018</v>
      </c>
      <c r="B4913" s="1">
        <v>46017</v>
      </c>
      <c r="C4913" t="s">
        <v>4677</v>
      </c>
      <c r="D4913">
        <v>12</v>
      </c>
      <c r="E4913">
        <v>26</v>
      </c>
      <c r="F4913" t="s">
        <v>114</v>
      </c>
      <c r="G4913" t="s">
        <v>34</v>
      </c>
      <c r="H4913" t="s">
        <v>135</v>
      </c>
      <c r="I4913" t="s">
        <v>27</v>
      </c>
      <c r="J4913" t="s">
        <v>70</v>
      </c>
      <c r="K4913" t="s">
        <v>45</v>
      </c>
      <c r="L4913">
        <v>1</v>
      </c>
      <c r="M4913">
        <v>472</v>
      </c>
      <c r="N4913">
        <v>47.2</v>
      </c>
      <c r="O4913">
        <v>20</v>
      </c>
      <c r="P4913">
        <v>472</v>
      </c>
      <c r="Q4913">
        <v>444.8</v>
      </c>
      <c r="R4913" t="s">
        <v>39</v>
      </c>
      <c r="S4913" t="s">
        <v>31</v>
      </c>
      <c r="T4913" t="s">
        <v>32</v>
      </c>
      <c r="U4913">
        <v>43</v>
      </c>
      <c r="V4913">
        <v>4.8</v>
      </c>
      <c r="W4913">
        <f>Table2[[#This Row],[Quantity]]*Table2[[#This Row],[Item_Price]]</f>
        <v>472</v>
      </c>
    </row>
    <row r="4914" spans="1:23" x14ac:dyDescent="0.25">
      <c r="A4914" t="s">
        <v>5019</v>
      </c>
      <c r="B4914" s="1">
        <v>46017</v>
      </c>
      <c r="C4914" t="s">
        <v>4677</v>
      </c>
      <c r="D4914">
        <v>12</v>
      </c>
      <c r="E4914">
        <v>26</v>
      </c>
      <c r="F4914" t="s">
        <v>114</v>
      </c>
      <c r="G4914" t="s">
        <v>84</v>
      </c>
      <c r="H4914" t="s">
        <v>77</v>
      </c>
      <c r="I4914" t="s">
        <v>49</v>
      </c>
      <c r="J4914" t="s">
        <v>101</v>
      </c>
      <c r="K4914" t="s">
        <v>45</v>
      </c>
      <c r="L4914">
        <v>2</v>
      </c>
      <c r="M4914">
        <v>872</v>
      </c>
      <c r="N4914">
        <v>174.4</v>
      </c>
      <c r="O4914">
        <v>20</v>
      </c>
      <c r="P4914">
        <v>1744</v>
      </c>
      <c r="Q4914">
        <v>1589.6</v>
      </c>
      <c r="R4914" t="s">
        <v>39</v>
      </c>
      <c r="S4914" t="s">
        <v>31</v>
      </c>
      <c r="T4914" t="s">
        <v>32</v>
      </c>
      <c r="U4914">
        <v>55</v>
      </c>
      <c r="V4914">
        <v>3.5</v>
      </c>
      <c r="W4914">
        <f>Table2[[#This Row],[Quantity]]*Table2[[#This Row],[Item_Price]]</f>
        <v>1744</v>
      </c>
    </row>
    <row r="4915" spans="1:23" x14ac:dyDescent="0.25">
      <c r="A4915" t="s">
        <v>5020</v>
      </c>
      <c r="B4915" s="1">
        <v>46017</v>
      </c>
      <c r="C4915" t="s">
        <v>4677</v>
      </c>
      <c r="D4915">
        <v>12</v>
      </c>
      <c r="E4915">
        <v>26</v>
      </c>
      <c r="F4915" t="s">
        <v>114</v>
      </c>
      <c r="G4915" t="s">
        <v>115</v>
      </c>
      <c r="H4915" t="s">
        <v>105</v>
      </c>
      <c r="I4915" t="s">
        <v>97</v>
      </c>
      <c r="J4915" t="s">
        <v>50</v>
      </c>
      <c r="K4915" t="s">
        <v>38</v>
      </c>
      <c r="L4915">
        <v>2</v>
      </c>
      <c r="M4915">
        <v>422</v>
      </c>
      <c r="N4915">
        <v>105.5</v>
      </c>
      <c r="O4915">
        <v>20</v>
      </c>
      <c r="P4915">
        <v>844</v>
      </c>
      <c r="Q4915">
        <v>758.5</v>
      </c>
      <c r="R4915" t="s">
        <v>75</v>
      </c>
      <c r="S4915" t="s">
        <v>31</v>
      </c>
      <c r="T4915" t="s">
        <v>32</v>
      </c>
      <c r="U4915">
        <v>50</v>
      </c>
      <c r="V4915">
        <v>4.0999999999999996</v>
      </c>
      <c r="W4915">
        <f>Table2[[#This Row],[Quantity]]*Table2[[#This Row],[Item_Price]]</f>
        <v>844</v>
      </c>
    </row>
    <row r="4916" spans="1:23" x14ac:dyDescent="0.25">
      <c r="A4916" t="s">
        <v>5021</v>
      </c>
      <c r="B4916" s="1">
        <v>46017</v>
      </c>
      <c r="C4916" t="s">
        <v>4677</v>
      </c>
      <c r="D4916">
        <v>12</v>
      </c>
      <c r="E4916">
        <v>26</v>
      </c>
      <c r="F4916" t="s">
        <v>114</v>
      </c>
      <c r="G4916" t="s">
        <v>73</v>
      </c>
      <c r="H4916" t="s">
        <v>81</v>
      </c>
      <c r="I4916" t="s">
        <v>61</v>
      </c>
      <c r="J4916" t="s">
        <v>28</v>
      </c>
      <c r="K4916" t="s">
        <v>38</v>
      </c>
      <c r="L4916">
        <v>2</v>
      </c>
      <c r="M4916">
        <v>685</v>
      </c>
      <c r="N4916">
        <v>137</v>
      </c>
      <c r="O4916">
        <v>70</v>
      </c>
      <c r="P4916">
        <v>1370</v>
      </c>
      <c r="Q4916">
        <v>1303</v>
      </c>
      <c r="R4916" t="s">
        <v>39</v>
      </c>
      <c r="S4916" t="s">
        <v>31</v>
      </c>
      <c r="T4916" t="s">
        <v>40</v>
      </c>
      <c r="U4916">
        <v>20</v>
      </c>
      <c r="V4916">
        <v>4.5</v>
      </c>
      <c r="W4916">
        <f>Table2[[#This Row],[Quantity]]*Table2[[#This Row],[Item_Price]]</f>
        <v>1370</v>
      </c>
    </row>
    <row r="4917" spans="1:23" x14ac:dyDescent="0.25">
      <c r="A4917" t="s">
        <v>5022</v>
      </c>
      <c r="B4917" s="1">
        <v>46017</v>
      </c>
      <c r="C4917" t="s">
        <v>4677</v>
      </c>
      <c r="D4917">
        <v>12</v>
      </c>
      <c r="E4917">
        <v>26</v>
      </c>
      <c r="F4917" t="s">
        <v>114</v>
      </c>
      <c r="G4917" t="s">
        <v>90</v>
      </c>
      <c r="H4917" t="s">
        <v>77</v>
      </c>
      <c r="I4917" t="s">
        <v>36</v>
      </c>
      <c r="J4917" t="s">
        <v>94</v>
      </c>
      <c r="K4917" t="s">
        <v>38</v>
      </c>
      <c r="L4917">
        <v>3</v>
      </c>
      <c r="M4917">
        <v>527</v>
      </c>
      <c r="N4917">
        <v>0</v>
      </c>
      <c r="O4917">
        <v>50</v>
      </c>
      <c r="P4917">
        <v>1581</v>
      </c>
      <c r="Q4917">
        <v>1631</v>
      </c>
      <c r="R4917" t="s">
        <v>39</v>
      </c>
      <c r="S4917" t="s">
        <v>31</v>
      </c>
      <c r="T4917" t="s">
        <v>32</v>
      </c>
      <c r="U4917">
        <v>50</v>
      </c>
      <c r="V4917">
        <v>2.7</v>
      </c>
      <c r="W4917">
        <f>Table2[[#This Row],[Quantity]]*Table2[[#This Row],[Item_Price]]</f>
        <v>1581</v>
      </c>
    </row>
    <row r="4918" spans="1:23" x14ac:dyDescent="0.25">
      <c r="A4918" t="s">
        <v>5023</v>
      </c>
      <c r="B4918" s="1">
        <v>46017</v>
      </c>
      <c r="C4918" t="s">
        <v>4677</v>
      </c>
      <c r="D4918">
        <v>12</v>
      </c>
      <c r="E4918">
        <v>26</v>
      </c>
      <c r="F4918" t="s">
        <v>114</v>
      </c>
      <c r="G4918" t="s">
        <v>55</v>
      </c>
      <c r="H4918" t="s">
        <v>135</v>
      </c>
      <c r="I4918" t="s">
        <v>61</v>
      </c>
      <c r="J4918" t="s">
        <v>172</v>
      </c>
      <c r="K4918" t="s">
        <v>38</v>
      </c>
      <c r="L4918">
        <v>1</v>
      </c>
      <c r="M4918">
        <v>611</v>
      </c>
      <c r="N4918">
        <v>91.65</v>
      </c>
      <c r="O4918">
        <v>40</v>
      </c>
      <c r="P4918">
        <v>611</v>
      </c>
      <c r="Q4918">
        <v>559.35</v>
      </c>
      <c r="R4918" t="s">
        <v>39</v>
      </c>
      <c r="S4918" t="s">
        <v>31</v>
      </c>
      <c r="T4918" t="s">
        <v>32</v>
      </c>
      <c r="U4918">
        <v>59</v>
      </c>
      <c r="V4918">
        <v>4.4000000000000004</v>
      </c>
      <c r="W4918">
        <f>Table2[[#This Row],[Quantity]]*Table2[[#This Row],[Item_Price]]</f>
        <v>611</v>
      </c>
    </row>
    <row r="4919" spans="1:23" x14ac:dyDescent="0.25">
      <c r="A4919" t="s">
        <v>5024</v>
      </c>
      <c r="B4919" s="1">
        <v>46017</v>
      </c>
      <c r="C4919" t="s">
        <v>4677</v>
      </c>
      <c r="D4919">
        <v>12</v>
      </c>
      <c r="E4919">
        <v>26</v>
      </c>
      <c r="F4919" t="s">
        <v>114</v>
      </c>
      <c r="G4919" t="s">
        <v>55</v>
      </c>
      <c r="H4919" t="s">
        <v>105</v>
      </c>
      <c r="I4919" t="s">
        <v>61</v>
      </c>
      <c r="J4919" t="s">
        <v>119</v>
      </c>
      <c r="K4919" t="s">
        <v>45</v>
      </c>
      <c r="L4919">
        <v>1</v>
      </c>
      <c r="M4919">
        <v>389</v>
      </c>
      <c r="N4919">
        <v>0</v>
      </c>
      <c r="O4919">
        <v>30</v>
      </c>
      <c r="P4919">
        <v>389</v>
      </c>
      <c r="Q4919">
        <v>419</v>
      </c>
      <c r="R4919" t="s">
        <v>98</v>
      </c>
      <c r="S4919" t="s">
        <v>31</v>
      </c>
      <c r="T4919" t="s">
        <v>40</v>
      </c>
      <c r="U4919">
        <v>53</v>
      </c>
      <c r="V4919">
        <v>4.9000000000000004</v>
      </c>
      <c r="W4919">
        <f>Table2[[#This Row],[Quantity]]*Table2[[#This Row],[Item_Price]]</f>
        <v>389</v>
      </c>
    </row>
    <row r="4920" spans="1:23" x14ac:dyDescent="0.25">
      <c r="A4920" t="s">
        <v>5025</v>
      </c>
      <c r="B4920" s="1">
        <v>46017</v>
      </c>
      <c r="C4920" t="s">
        <v>4677</v>
      </c>
      <c r="D4920">
        <v>12</v>
      </c>
      <c r="E4920">
        <v>26</v>
      </c>
      <c r="F4920" t="s">
        <v>114</v>
      </c>
      <c r="G4920" t="s">
        <v>90</v>
      </c>
      <c r="H4920" t="s">
        <v>139</v>
      </c>
      <c r="I4920" t="s">
        <v>36</v>
      </c>
      <c r="J4920" t="s">
        <v>78</v>
      </c>
      <c r="K4920" t="s">
        <v>45</v>
      </c>
      <c r="L4920">
        <v>1</v>
      </c>
      <c r="M4920">
        <v>138</v>
      </c>
      <c r="N4920">
        <v>13.8</v>
      </c>
      <c r="O4920">
        <v>30</v>
      </c>
      <c r="P4920">
        <v>138</v>
      </c>
      <c r="Q4920">
        <v>154.19999999999999</v>
      </c>
      <c r="R4920" t="s">
        <v>39</v>
      </c>
      <c r="S4920" t="s">
        <v>31</v>
      </c>
      <c r="T4920" t="s">
        <v>32</v>
      </c>
      <c r="U4920">
        <v>62</v>
      </c>
      <c r="V4920">
        <v>5</v>
      </c>
      <c r="W4920">
        <f>Table2[[#This Row],[Quantity]]*Table2[[#This Row],[Item_Price]]</f>
        <v>138</v>
      </c>
    </row>
    <row r="4921" spans="1:23" x14ac:dyDescent="0.25">
      <c r="A4921" t="s">
        <v>5026</v>
      </c>
      <c r="B4921" s="1">
        <v>46017</v>
      </c>
      <c r="C4921" t="s">
        <v>4677</v>
      </c>
      <c r="D4921">
        <v>12</v>
      </c>
      <c r="E4921">
        <v>26</v>
      </c>
      <c r="F4921" t="s">
        <v>114</v>
      </c>
      <c r="G4921" t="s">
        <v>64</v>
      </c>
      <c r="H4921" t="s">
        <v>68</v>
      </c>
      <c r="I4921" t="s">
        <v>97</v>
      </c>
      <c r="J4921" t="s">
        <v>123</v>
      </c>
      <c r="K4921" t="s">
        <v>45</v>
      </c>
      <c r="L4921">
        <v>1</v>
      </c>
      <c r="M4921">
        <v>668</v>
      </c>
      <c r="N4921">
        <v>133.6</v>
      </c>
      <c r="O4921">
        <v>30</v>
      </c>
      <c r="P4921">
        <v>668</v>
      </c>
      <c r="Q4921">
        <v>564.4</v>
      </c>
      <c r="R4921" t="s">
        <v>30</v>
      </c>
      <c r="S4921" t="s">
        <v>31</v>
      </c>
      <c r="T4921" t="s">
        <v>40</v>
      </c>
      <c r="U4921">
        <v>61</v>
      </c>
      <c r="V4921">
        <v>3.6</v>
      </c>
      <c r="W4921">
        <f>Table2[[#This Row],[Quantity]]*Table2[[#This Row],[Item_Price]]</f>
        <v>668</v>
      </c>
    </row>
    <row r="4922" spans="1:23" x14ac:dyDescent="0.25">
      <c r="A4922" t="s">
        <v>5027</v>
      </c>
      <c r="B4922" s="1">
        <v>46017</v>
      </c>
      <c r="C4922" t="s">
        <v>4677</v>
      </c>
      <c r="D4922">
        <v>12</v>
      </c>
      <c r="E4922">
        <v>26</v>
      </c>
      <c r="F4922" t="s">
        <v>114</v>
      </c>
      <c r="G4922" t="s">
        <v>34</v>
      </c>
      <c r="H4922" t="s">
        <v>81</v>
      </c>
      <c r="I4922" t="s">
        <v>43</v>
      </c>
      <c r="J4922" t="s">
        <v>123</v>
      </c>
      <c r="K4922" t="s">
        <v>38</v>
      </c>
      <c r="L4922">
        <v>3</v>
      </c>
      <c r="M4922">
        <v>236</v>
      </c>
      <c r="N4922">
        <v>35.4</v>
      </c>
      <c r="O4922">
        <v>40</v>
      </c>
      <c r="P4922">
        <v>708</v>
      </c>
      <c r="Q4922">
        <v>712.6</v>
      </c>
      <c r="R4922" t="s">
        <v>39</v>
      </c>
      <c r="S4922" t="s">
        <v>31</v>
      </c>
      <c r="T4922" t="s">
        <v>40</v>
      </c>
      <c r="U4922">
        <v>28</v>
      </c>
      <c r="V4922">
        <v>3.5</v>
      </c>
      <c r="W4922">
        <f>Table2[[#This Row],[Quantity]]*Table2[[#This Row],[Item_Price]]</f>
        <v>708</v>
      </c>
    </row>
    <row r="4923" spans="1:23" x14ac:dyDescent="0.25">
      <c r="A4923" t="s">
        <v>5028</v>
      </c>
      <c r="B4923" s="1">
        <v>46017</v>
      </c>
      <c r="C4923" t="s">
        <v>4677</v>
      </c>
      <c r="D4923">
        <v>12</v>
      </c>
      <c r="E4923">
        <v>26</v>
      </c>
      <c r="F4923" t="s">
        <v>114</v>
      </c>
      <c r="G4923" t="s">
        <v>55</v>
      </c>
      <c r="H4923" t="s">
        <v>139</v>
      </c>
      <c r="I4923" t="s">
        <v>36</v>
      </c>
      <c r="J4923" t="s">
        <v>74</v>
      </c>
      <c r="K4923" t="s">
        <v>38</v>
      </c>
      <c r="L4923">
        <v>1</v>
      </c>
      <c r="M4923">
        <v>625</v>
      </c>
      <c r="N4923">
        <v>62.5</v>
      </c>
      <c r="O4923">
        <v>30</v>
      </c>
      <c r="P4923">
        <v>625</v>
      </c>
      <c r="Q4923">
        <v>592.5</v>
      </c>
      <c r="R4923" t="s">
        <v>39</v>
      </c>
      <c r="S4923" t="s">
        <v>31</v>
      </c>
      <c r="T4923" t="s">
        <v>32</v>
      </c>
      <c r="U4923">
        <v>31</v>
      </c>
      <c r="V4923">
        <v>4</v>
      </c>
      <c r="W4923">
        <f>Table2[[#This Row],[Quantity]]*Table2[[#This Row],[Item_Price]]</f>
        <v>625</v>
      </c>
    </row>
    <row r="4924" spans="1:23" x14ac:dyDescent="0.25">
      <c r="A4924" t="s">
        <v>5029</v>
      </c>
      <c r="B4924" s="1">
        <v>46017</v>
      </c>
      <c r="C4924" t="s">
        <v>4677</v>
      </c>
      <c r="D4924">
        <v>12</v>
      </c>
      <c r="E4924">
        <v>26</v>
      </c>
      <c r="F4924" t="s">
        <v>114</v>
      </c>
      <c r="G4924" t="s">
        <v>80</v>
      </c>
      <c r="H4924" t="s">
        <v>42</v>
      </c>
      <c r="I4924" t="s">
        <v>69</v>
      </c>
      <c r="J4924" t="s">
        <v>94</v>
      </c>
      <c r="K4924" t="s">
        <v>38</v>
      </c>
      <c r="L4924">
        <v>1</v>
      </c>
      <c r="M4924">
        <v>766</v>
      </c>
      <c r="N4924">
        <v>38.299999999999997</v>
      </c>
      <c r="O4924">
        <v>0</v>
      </c>
      <c r="P4924">
        <v>766</v>
      </c>
      <c r="Q4924">
        <v>727.7</v>
      </c>
      <c r="R4924" t="s">
        <v>39</v>
      </c>
      <c r="S4924" t="s">
        <v>31</v>
      </c>
      <c r="T4924" t="s">
        <v>32</v>
      </c>
      <c r="U4924">
        <v>18</v>
      </c>
      <c r="V4924">
        <v>3.9</v>
      </c>
      <c r="W4924">
        <f>Table2[[#This Row],[Quantity]]*Table2[[#This Row],[Item_Price]]</f>
        <v>766</v>
      </c>
    </row>
    <row r="4925" spans="1:23" x14ac:dyDescent="0.25">
      <c r="A4925" t="s">
        <v>5030</v>
      </c>
      <c r="B4925" s="1">
        <v>46017</v>
      </c>
      <c r="C4925" t="s">
        <v>4677</v>
      </c>
      <c r="D4925">
        <v>12</v>
      </c>
      <c r="E4925">
        <v>26</v>
      </c>
      <c r="F4925" t="s">
        <v>114</v>
      </c>
      <c r="G4925" t="s">
        <v>80</v>
      </c>
      <c r="H4925" t="s">
        <v>105</v>
      </c>
      <c r="I4925" t="s">
        <v>61</v>
      </c>
      <c r="J4925" t="s">
        <v>44</v>
      </c>
      <c r="K4925" t="s">
        <v>45</v>
      </c>
      <c r="L4925">
        <v>2</v>
      </c>
      <c r="M4925">
        <v>296</v>
      </c>
      <c r="N4925">
        <v>0</v>
      </c>
      <c r="O4925">
        <v>70</v>
      </c>
      <c r="P4925">
        <v>592</v>
      </c>
      <c r="Q4925">
        <v>662</v>
      </c>
      <c r="R4925" t="s">
        <v>98</v>
      </c>
      <c r="S4925" t="s">
        <v>31</v>
      </c>
      <c r="T4925" t="s">
        <v>40</v>
      </c>
      <c r="U4925">
        <v>50</v>
      </c>
      <c r="V4925">
        <v>2.5</v>
      </c>
      <c r="W4925">
        <f>Table2[[#This Row],[Quantity]]*Table2[[#This Row],[Item_Price]]</f>
        <v>592</v>
      </c>
    </row>
    <row r="4926" spans="1:23" x14ac:dyDescent="0.25">
      <c r="A4926" t="s">
        <v>5031</v>
      </c>
      <c r="B4926" s="1">
        <v>46017</v>
      </c>
      <c r="C4926" t="s">
        <v>4677</v>
      </c>
      <c r="D4926">
        <v>12</v>
      </c>
      <c r="E4926">
        <v>26</v>
      </c>
      <c r="F4926" t="s">
        <v>114</v>
      </c>
      <c r="G4926" t="s">
        <v>90</v>
      </c>
      <c r="H4926" t="s">
        <v>68</v>
      </c>
      <c r="I4926" t="s">
        <v>36</v>
      </c>
      <c r="J4926" t="s">
        <v>74</v>
      </c>
      <c r="K4926" t="s">
        <v>38</v>
      </c>
      <c r="L4926">
        <v>1</v>
      </c>
      <c r="M4926">
        <v>500</v>
      </c>
      <c r="N4926">
        <v>100</v>
      </c>
      <c r="O4926">
        <v>30</v>
      </c>
      <c r="P4926">
        <v>500</v>
      </c>
      <c r="Q4926">
        <v>430</v>
      </c>
      <c r="R4926" t="s">
        <v>39</v>
      </c>
      <c r="S4926" t="s">
        <v>31</v>
      </c>
      <c r="T4926" t="s">
        <v>40</v>
      </c>
      <c r="U4926">
        <v>31</v>
      </c>
      <c r="V4926">
        <v>1.9</v>
      </c>
      <c r="W4926">
        <f>Table2[[#This Row],[Quantity]]*Table2[[#This Row],[Item_Price]]</f>
        <v>500</v>
      </c>
    </row>
    <row r="4927" spans="1:23" x14ac:dyDescent="0.25">
      <c r="A4927" t="s">
        <v>5032</v>
      </c>
      <c r="B4927" s="1">
        <v>46018</v>
      </c>
      <c r="C4927" t="s">
        <v>4677</v>
      </c>
      <c r="D4927">
        <v>12</v>
      </c>
      <c r="E4927">
        <v>27</v>
      </c>
      <c r="F4927" t="s">
        <v>134</v>
      </c>
      <c r="G4927" t="s">
        <v>55</v>
      </c>
      <c r="H4927" t="s">
        <v>35</v>
      </c>
      <c r="I4927" t="s">
        <v>61</v>
      </c>
      <c r="J4927" t="s">
        <v>119</v>
      </c>
      <c r="K4927" t="s">
        <v>29</v>
      </c>
      <c r="L4927">
        <v>2</v>
      </c>
      <c r="M4927">
        <v>814</v>
      </c>
      <c r="N4927">
        <v>81.400000000000006</v>
      </c>
      <c r="O4927">
        <v>30</v>
      </c>
      <c r="P4927">
        <v>1628</v>
      </c>
      <c r="Q4927">
        <v>1576.6</v>
      </c>
      <c r="R4927" t="s">
        <v>39</v>
      </c>
      <c r="S4927" t="s">
        <v>46</v>
      </c>
      <c r="T4927" t="s">
        <v>40</v>
      </c>
      <c r="U4927">
        <v>44</v>
      </c>
      <c r="W4927">
        <f>Table2[[#This Row],[Quantity]]*Table2[[#This Row],[Item_Price]]</f>
        <v>1628</v>
      </c>
    </row>
    <row r="4928" spans="1:23" x14ac:dyDescent="0.25">
      <c r="A4928" t="s">
        <v>5033</v>
      </c>
      <c r="B4928" s="1">
        <v>46018</v>
      </c>
      <c r="C4928" t="s">
        <v>4677</v>
      </c>
      <c r="D4928">
        <v>12</v>
      </c>
      <c r="E4928">
        <v>27</v>
      </c>
      <c r="F4928" t="s">
        <v>134</v>
      </c>
      <c r="G4928" t="s">
        <v>34</v>
      </c>
      <c r="H4928" t="s">
        <v>105</v>
      </c>
      <c r="I4928" t="s">
        <v>36</v>
      </c>
      <c r="J4928" t="s">
        <v>44</v>
      </c>
      <c r="K4928" t="s">
        <v>45</v>
      </c>
      <c r="L4928">
        <v>1</v>
      </c>
      <c r="M4928">
        <v>832</v>
      </c>
      <c r="N4928">
        <v>208</v>
      </c>
      <c r="O4928">
        <v>50</v>
      </c>
      <c r="P4928">
        <v>832</v>
      </c>
      <c r="Q4928">
        <v>674</v>
      </c>
      <c r="R4928" t="s">
        <v>112</v>
      </c>
      <c r="S4928" t="s">
        <v>31</v>
      </c>
      <c r="T4928" t="s">
        <v>40</v>
      </c>
      <c r="U4928">
        <v>48</v>
      </c>
      <c r="V4928">
        <v>4.5999999999999996</v>
      </c>
      <c r="W4928">
        <f>Table2[[#This Row],[Quantity]]*Table2[[#This Row],[Item_Price]]</f>
        <v>832</v>
      </c>
    </row>
    <row r="4929" spans="1:23" x14ac:dyDescent="0.25">
      <c r="A4929" t="s">
        <v>5034</v>
      </c>
      <c r="B4929" s="1">
        <v>46018</v>
      </c>
      <c r="C4929" t="s">
        <v>4677</v>
      </c>
      <c r="D4929">
        <v>12</v>
      </c>
      <c r="E4929">
        <v>27</v>
      </c>
      <c r="F4929" t="s">
        <v>134</v>
      </c>
      <c r="G4929" t="s">
        <v>84</v>
      </c>
      <c r="H4929" t="s">
        <v>48</v>
      </c>
      <c r="I4929" t="s">
        <v>27</v>
      </c>
      <c r="J4929" t="s">
        <v>94</v>
      </c>
      <c r="K4929" t="s">
        <v>38</v>
      </c>
      <c r="L4929">
        <v>3</v>
      </c>
      <c r="M4929">
        <v>375</v>
      </c>
      <c r="N4929">
        <v>56.25</v>
      </c>
      <c r="O4929">
        <v>50</v>
      </c>
      <c r="P4929">
        <v>1125</v>
      </c>
      <c r="Q4929">
        <v>1118.75</v>
      </c>
      <c r="R4929" t="s">
        <v>30</v>
      </c>
      <c r="S4929" t="s">
        <v>31</v>
      </c>
      <c r="T4929" t="s">
        <v>32</v>
      </c>
      <c r="U4929">
        <v>21</v>
      </c>
      <c r="V4929">
        <v>4.5</v>
      </c>
      <c r="W4929">
        <f>Table2[[#This Row],[Quantity]]*Table2[[#This Row],[Item_Price]]</f>
        <v>1125</v>
      </c>
    </row>
    <row r="4930" spans="1:23" x14ac:dyDescent="0.25">
      <c r="A4930" t="s">
        <v>5035</v>
      </c>
      <c r="B4930" s="1">
        <v>46018</v>
      </c>
      <c r="C4930" t="s">
        <v>4677</v>
      </c>
      <c r="D4930">
        <v>12</v>
      </c>
      <c r="E4930">
        <v>27</v>
      </c>
      <c r="F4930" t="s">
        <v>134</v>
      </c>
      <c r="G4930" t="s">
        <v>80</v>
      </c>
      <c r="H4930" t="s">
        <v>48</v>
      </c>
      <c r="I4930" t="s">
        <v>97</v>
      </c>
      <c r="J4930" t="s">
        <v>172</v>
      </c>
      <c r="K4930" t="s">
        <v>38</v>
      </c>
      <c r="L4930">
        <v>2</v>
      </c>
      <c r="M4930">
        <v>289</v>
      </c>
      <c r="N4930">
        <v>28.9</v>
      </c>
      <c r="O4930">
        <v>50</v>
      </c>
      <c r="P4930">
        <v>578</v>
      </c>
      <c r="Q4930">
        <v>599.1</v>
      </c>
      <c r="R4930" t="s">
        <v>112</v>
      </c>
      <c r="S4930" t="s">
        <v>31</v>
      </c>
      <c r="T4930" t="s">
        <v>32</v>
      </c>
      <c r="U4930">
        <v>61</v>
      </c>
      <c r="V4930">
        <v>3</v>
      </c>
      <c r="W4930">
        <f>Table2[[#This Row],[Quantity]]*Table2[[#This Row],[Item_Price]]</f>
        <v>578</v>
      </c>
    </row>
    <row r="4931" spans="1:23" x14ac:dyDescent="0.25">
      <c r="A4931" t="s">
        <v>5036</v>
      </c>
      <c r="B4931" s="1">
        <v>46018</v>
      </c>
      <c r="C4931" t="s">
        <v>4677</v>
      </c>
      <c r="D4931">
        <v>12</v>
      </c>
      <c r="E4931">
        <v>27</v>
      </c>
      <c r="F4931" t="s">
        <v>134</v>
      </c>
      <c r="G4931" t="s">
        <v>115</v>
      </c>
      <c r="H4931" t="s">
        <v>26</v>
      </c>
      <c r="I4931" t="s">
        <v>103</v>
      </c>
      <c r="J4931" t="s">
        <v>28</v>
      </c>
      <c r="K4931" t="s">
        <v>38</v>
      </c>
      <c r="L4931">
        <v>1</v>
      </c>
      <c r="M4931">
        <v>582</v>
      </c>
      <c r="N4931">
        <v>87.3</v>
      </c>
      <c r="O4931">
        <v>20</v>
      </c>
      <c r="P4931">
        <v>582</v>
      </c>
      <c r="Q4931">
        <v>514.70000000000005</v>
      </c>
      <c r="R4931" t="s">
        <v>39</v>
      </c>
      <c r="S4931" t="s">
        <v>31</v>
      </c>
      <c r="T4931" t="s">
        <v>32</v>
      </c>
      <c r="U4931">
        <v>39</v>
      </c>
      <c r="V4931">
        <v>3.3</v>
      </c>
      <c r="W4931">
        <f>Table2[[#This Row],[Quantity]]*Table2[[#This Row],[Item_Price]]</f>
        <v>582</v>
      </c>
    </row>
    <row r="4932" spans="1:23" x14ac:dyDescent="0.25">
      <c r="A4932" t="s">
        <v>5037</v>
      </c>
      <c r="B4932" s="1">
        <v>46018</v>
      </c>
      <c r="C4932" t="s">
        <v>4677</v>
      </c>
      <c r="D4932">
        <v>12</v>
      </c>
      <c r="E4932">
        <v>27</v>
      </c>
      <c r="F4932" t="s">
        <v>134</v>
      </c>
      <c r="G4932" t="s">
        <v>115</v>
      </c>
      <c r="H4932" t="s">
        <v>65</v>
      </c>
      <c r="I4932" t="s">
        <v>103</v>
      </c>
      <c r="J4932" t="s">
        <v>50</v>
      </c>
      <c r="K4932" t="s">
        <v>38</v>
      </c>
      <c r="L4932">
        <v>1</v>
      </c>
      <c r="M4932">
        <v>366</v>
      </c>
      <c r="N4932">
        <v>36.6</v>
      </c>
      <c r="O4932">
        <v>30</v>
      </c>
      <c r="P4932">
        <v>366</v>
      </c>
      <c r="Q4932">
        <v>359.4</v>
      </c>
      <c r="R4932" t="s">
        <v>39</v>
      </c>
      <c r="S4932" t="s">
        <v>31</v>
      </c>
      <c r="T4932" t="s">
        <v>40</v>
      </c>
      <c r="U4932">
        <v>64</v>
      </c>
      <c r="V4932">
        <v>4</v>
      </c>
      <c r="W4932">
        <f>Table2[[#This Row],[Quantity]]*Table2[[#This Row],[Item_Price]]</f>
        <v>366</v>
      </c>
    </row>
    <row r="4933" spans="1:23" x14ac:dyDescent="0.25">
      <c r="A4933" t="s">
        <v>5038</v>
      </c>
      <c r="B4933" s="1">
        <v>46018</v>
      </c>
      <c r="C4933" t="s">
        <v>4677</v>
      </c>
      <c r="D4933">
        <v>12</v>
      </c>
      <c r="E4933">
        <v>27</v>
      </c>
      <c r="F4933" t="s">
        <v>134</v>
      </c>
      <c r="G4933" t="s">
        <v>34</v>
      </c>
      <c r="H4933" t="s">
        <v>56</v>
      </c>
      <c r="I4933" t="s">
        <v>43</v>
      </c>
      <c r="J4933" t="s">
        <v>74</v>
      </c>
      <c r="K4933" t="s">
        <v>38</v>
      </c>
      <c r="L4933">
        <v>1</v>
      </c>
      <c r="M4933">
        <v>411</v>
      </c>
      <c r="N4933">
        <v>41.1</v>
      </c>
      <c r="O4933">
        <v>60</v>
      </c>
      <c r="P4933">
        <v>411</v>
      </c>
      <c r="Q4933">
        <v>429.9</v>
      </c>
      <c r="R4933" t="s">
        <v>75</v>
      </c>
      <c r="S4933" t="s">
        <v>110</v>
      </c>
      <c r="T4933" t="s">
        <v>32</v>
      </c>
      <c r="U4933">
        <v>43</v>
      </c>
      <c r="W4933">
        <f>Table2[[#This Row],[Quantity]]*Table2[[#This Row],[Item_Price]]</f>
        <v>411</v>
      </c>
    </row>
    <row r="4934" spans="1:23" x14ac:dyDescent="0.25">
      <c r="A4934" t="s">
        <v>5039</v>
      </c>
      <c r="B4934" s="1">
        <v>46018</v>
      </c>
      <c r="C4934" t="s">
        <v>4677</v>
      </c>
      <c r="D4934">
        <v>12</v>
      </c>
      <c r="E4934">
        <v>27</v>
      </c>
      <c r="F4934" t="s">
        <v>134</v>
      </c>
      <c r="G4934" t="s">
        <v>55</v>
      </c>
      <c r="H4934" t="s">
        <v>77</v>
      </c>
      <c r="I4934" t="s">
        <v>43</v>
      </c>
      <c r="J4934" t="s">
        <v>62</v>
      </c>
      <c r="K4934" t="s">
        <v>38</v>
      </c>
      <c r="L4934">
        <v>2</v>
      </c>
      <c r="M4934">
        <v>773</v>
      </c>
      <c r="N4934">
        <v>0</v>
      </c>
      <c r="O4934">
        <v>40</v>
      </c>
      <c r="P4934">
        <v>1546</v>
      </c>
      <c r="Q4934">
        <v>1586</v>
      </c>
      <c r="R4934" t="s">
        <v>112</v>
      </c>
      <c r="S4934" t="s">
        <v>31</v>
      </c>
      <c r="T4934" t="s">
        <v>32</v>
      </c>
      <c r="U4934">
        <v>54</v>
      </c>
      <c r="V4934">
        <v>4.2</v>
      </c>
      <c r="W4934">
        <f>Table2[[#This Row],[Quantity]]*Table2[[#This Row],[Item_Price]]</f>
        <v>1546</v>
      </c>
    </row>
    <row r="4935" spans="1:23" x14ac:dyDescent="0.25">
      <c r="A4935" t="s">
        <v>5040</v>
      </c>
      <c r="B4935" s="1">
        <v>46018</v>
      </c>
      <c r="C4935" t="s">
        <v>4677</v>
      </c>
      <c r="D4935">
        <v>12</v>
      </c>
      <c r="E4935">
        <v>27</v>
      </c>
      <c r="F4935" t="s">
        <v>134</v>
      </c>
      <c r="G4935" t="s">
        <v>80</v>
      </c>
      <c r="H4935" t="s">
        <v>26</v>
      </c>
      <c r="I4935" t="s">
        <v>49</v>
      </c>
      <c r="J4935" t="s">
        <v>50</v>
      </c>
      <c r="K4935" t="s">
        <v>58</v>
      </c>
      <c r="L4935">
        <v>2</v>
      </c>
      <c r="M4935">
        <v>774</v>
      </c>
      <c r="N4935">
        <v>154.80000000000001</v>
      </c>
      <c r="O4935">
        <v>0</v>
      </c>
      <c r="P4935">
        <v>1548</v>
      </c>
      <c r="Q4935">
        <v>1393.2</v>
      </c>
      <c r="R4935" t="s">
        <v>39</v>
      </c>
      <c r="S4935" t="s">
        <v>31</v>
      </c>
      <c r="T4935" t="s">
        <v>40</v>
      </c>
      <c r="U4935">
        <v>20</v>
      </c>
      <c r="V4935">
        <v>3.1</v>
      </c>
      <c r="W4935">
        <f>Table2[[#This Row],[Quantity]]*Table2[[#This Row],[Item_Price]]</f>
        <v>1548</v>
      </c>
    </row>
    <row r="4936" spans="1:23" x14ac:dyDescent="0.25">
      <c r="A4936" t="s">
        <v>5041</v>
      </c>
      <c r="B4936" s="1">
        <v>46018</v>
      </c>
      <c r="C4936" t="s">
        <v>4677</v>
      </c>
      <c r="D4936">
        <v>12</v>
      </c>
      <c r="E4936">
        <v>27</v>
      </c>
      <c r="F4936" t="s">
        <v>134</v>
      </c>
      <c r="G4936" t="s">
        <v>55</v>
      </c>
      <c r="H4936" t="s">
        <v>108</v>
      </c>
      <c r="I4936" t="s">
        <v>85</v>
      </c>
      <c r="J4936" t="s">
        <v>82</v>
      </c>
      <c r="K4936" t="s">
        <v>45</v>
      </c>
      <c r="L4936">
        <v>1</v>
      </c>
      <c r="M4936">
        <v>628</v>
      </c>
      <c r="N4936">
        <v>62.8</v>
      </c>
      <c r="O4936">
        <v>40</v>
      </c>
      <c r="P4936">
        <v>628</v>
      </c>
      <c r="Q4936">
        <v>605.20000000000005</v>
      </c>
      <c r="R4936" t="s">
        <v>39</v>
      </c>
      <c r="S4936" t="s">
        <v>31</v>
      </c>
      <c r="T4936" t="s">
        <v>40</v>
      </c>
      <c r="U4936">
        <v>38</v>
      </c>
      <c r="V4936">
        <v>3.7</v>
      </c>
      <c r="W4936">
        <f>Table2[[#This Row],[Quantity]]*Table2[[#This Row],[Item_Price]]</f>
        <v>628</v>
      </c>
    </row>
    <row r="4937" spans="1:23" x14ac:dyDescent="0.25">
      <c r="A4937" t="s">
        <v>5042</v>
      </c>
      <c r="B4937" s="1">
        <v>46018</v>
      </c>
      <c r="C4937" t="s">
        <v>4677</v>
      </c>
      <c r="D4937">
        <v>12</v>
      </c>
      <c r="E4937">
        <v>27</v>
      </c>
      <c r="F4937" t="s">
        <v>134</v>
      </c>
      <c r="G4937" t="s">
        <v>34</v>
      </c>
      <c r="H4937" t="s">
        <v>56</v>
      </c>
      <c r="I4937" t="s">
        <v>103</v>
      </c>
      <c r="J4937" t="s">
        <v>119</v>
      </c>
      <c r="K4937" t="s">
        <v>38</v>
      </c>
      <c r="L4937">
        <v>2</v>
      </c>
      <c r="M4937">
        <v>354</v>
      </c>
      <c r="N4937">
        <v>35.4</v>
      </c>
      <c r="O4937">
        <v>20</v>
      </c>
      <c r="P4937">
        <v>708</v>
      </c>
      <c r="Q4937">
        <v>692.6</v>
      </c>
      <c r="R4937" t="s">
        <v>39</v>
      </c>
      <c r="S4937" t="s">
        <v>31</v>
      </c>
      <c r="T4937" t="s">
        <v>40</v>
      </c>
      <c r="U4937">
        <v>28</v>
      </c>
      <c r="V4937">
        <v>3.4</v>
      </c>
      <c r="W4937">
        <f>Table2[[#This Row],[Quantity]]*Table2[[#This Row],[Item_Price]]</f>
        <v>708</v>
      </c>
    </row>
    <row r="4938" spans="1:23" x14ac:dyDescent="0.25">
      <c r="A4938" t="s">
        <v>5043</v>
      </c>
      <c r="B4938" s="1">
        <v>46018</v>
      </c>
      <c r="C4938" t="s">
        <v>4677</v>
      </c>
      <c r="D4938">
        <v>12</v>
      </c>
      <c r="E4938">
        <v>27</v>
      </c>
      <c r="F4938" t="s">
        <v>134</v>
      </c>
      <c r="G4938" t="s">
        <v>115</v>
      </c>
      <c r="H4938" t="s">
        <v>52</v>
      </c>
      <c r="I4938" t="s">
        <v>43</v>
      </c>
      <c r="J4938" t="s">
        <v>37</v>
      </c>
      <c r="K4938" t="s">
        <v>45</v>
      </c>
      <c r="L4938">
        <v>1</v>
      </c>
      <c r="M4938">
        <v>199</v>
      </c>
      <c r="N4938">
        <v>9.9499999999999993</v>
      </c>
      <c r="O4938">
        <v>0</v>
      </c>
      <c r="P4938">
        <v>199</v>
      </c>
      <c r="Q4938">
        <v>189.05</v>
      </c>
      <c r="R4938" t="s">
        <v>39</v>
      </c>
      <c r="S4938" t="s">
        <v>31</v>
      </c>
      <c r="T4938" t="s">
        <v>40</v>
      </c>
      <c r="U4938">
        <v>39</v>
      </c>
      <c r="V4938">
        <v>4.2</v>
      </c>
      <c r="W4938">
        <f>Table2[[#This Row],[Quantity]]*Table2[[#This Row],[Item_Price]]</f>
        <v>199</v>
      </c>
    </row>
    <row r="4939" spans="1:23" x14ac:dyDescent="0.25">
      <c r="A4939" t="s">
        <v>5044</v>
      </c>
      <c r="B4939" s="1">
        <v>46018</v>
      </c>
      <c r="C4939" t="s">
        <v>4677</v>
      </c>
      <c r="D4939">
        <v>12</v>
      </c>
      <c r="E4939">
        <v>27</v>
      </c>
      <c r="F4939" t="s">
        <v>134</v>
      </c>
      <c r="G4939" t="s">
        <v>73</v>
      </c>
      <c r="H4939" t="s">
        <v>56</v>
      </c>
      <c r="I4939" t="s">
        <v>85</v>
      </c>
      <c r="J4939" t="s">
        <v>94</v>
      </c>
      <c r="K4939" t="s">
        <v>38</v>
      </c>
      <c r="L4939">
        <v>1</v>
      </c>
      <c r="M4939">
        <v>358</v>
      </c>
      <c r="N4939">
        <v>0</v>
      </c>
      <c r="O4939">
        <v>50</v>
      </c>
      <c r="P4939">
        <v>358</v>
      </c>
      <c r="Q4939">
        <v>408</v>
      </c>
      <c r="R4939" t="s">
        <v>39</v>
      </c>
      <c r="S4939" t="s">
        <v>31</v>
      </c>
      <c r="T4939" t="s">
        <v>32</v>
      </c>
      <c r="U4939">
        <v>49</v>
      </c>
      <c r="V4939">
        <v>3.9</v>
      </c>
      <c r="W4939">
        <f>Table2[[#This Row],[Quantity]]*Table2[[#This Row],[Item_Price]]</f>
        <v>358</v>
      </c>
    </row>
    <row r="4940" spans="1:23" x14ac:dyDescent="0.25">
      <c r="A4940" t="s">
        <v>5045</v>
      </c>
      <c r="B4940" s="1">
        <v>46018</v>
      </c>
      <c r="C4940" t="s">
        <v>4677</v>
      </c>
      <c r="D4940">
        <v>12</v>
      </c>
      <c r="E4940">
        <v>27</v>
      </c>
      <c r="F4940" t="s">
        <v>134</v>
      </c>
      <c r="G4940" t="s">
        <v>80</v>
      </c>
      <c r="H4940" t="s">
        <v>108</v>
      </c>
      <c r="I4940" t="s">
        <v>57</v>
      </c>
      <c r="J4940" t="s">
        <v>50</v>
      </c>
      <c r="K4940" t="s">
        <v>29</v>
      </c>
      <c r="L4940">
        <v>1</v>
      </c>
      <c r="M4940">
        <v>655</v>
      </c>
      <c r="N4940">
        <v>65.5</v>
      </c>
      <c r="O4940">
        <v>0</v>
      </c>
      <c r="P4940">
        <v>655</v>
      </c>
      <c r="Q4940">
        <v>589.5</v>
      </c>
      <c r="R4940" t="s">
        <v>39</v>
      </c>
      <c r="S4940" t="s">
        <v>31</v>
      </c>
      <c r="T4940" t="s">
        <v>32</v>
      </c>
      <c r="U4940">
        <v>32</v>
      </c>
      <c r="V4940">
        <v>3.6</v>
      </c>
      <c r="W4940">
        <f>Table2[[#This Row],[Quantity]]*Table2[[#This Row],[Item_Price]]</f>
        <v>655</v>
      </c>
    </row>
    <row r="4941" spans="1:23" x14ac:dyDescent="0.25">
      <c r="A4941" t="s">
        <v>5046</v>
      </c>
      <c r="B4941" s="1">
        <v>46018</v>
      </c>
      <c r="C4941" t="s">
        <v>4677</v>
      </c>
      <c r="D4941">
        <v>12</v>
      </c>
      <c r="E4941">
        <v>27</v>
      </c>
      <c r="F4941" t="s">
        <v>134</v>
      </c>
      <c r="G4941" t="s">
        <v>64</v>
      </c>
      <c r="H4941" t="s">
        <v>42</v>
      </c>
      <c r="I4941" t="s">
        <v>97</v>
      </c>
      <c r="J4941" t="s">
        <v>53</v>
      </c>
      <c r="K4941" t="s">
        <v>45</v>
      </c>
      <c r="L4941">
        <v>1</v>
      </c>
      <c r="M4941">
        <v>775</v>
      </c>
      <c r="N4941">
        <v>0</v>
      </c>
      <c r="O4941">
        <v>30</v>
      </c>
      <c r="P4941">
        <v>775</v>
      </c>
      <c r="Q4941">
        <v>805</v>
      </c>
      <c r="R4941" t="s">
        <v>39</v>
      </c>
      <c r="S4941" t="s">
        <v>31</v>
      </c>
      <c r="T4941" t="s">
        <v>32</v>
      </c>
      <c r="U4941">
        <v>35</v>
      </c>
      <c r="V4941">
        <v>4.9000000000000004</v>
      </c>
      <c r="W4941">
        <f>Table2[[#This Row],[Quantity]]*Table2[[#This Row],[Item_Price]]</f>
        <v>775</v>
      </c>
    </row>
    <row r="4942" spans="1:23" x14ac:dyDescent="0.25">
      <c r="A4942" t="s">
        <v>5047</v>
      </c>
      <c r="B4942" s="1">
        <v>46019</v>
      </c>
      <c r="C4942" t="s">
        <v>4677</v>
      </c>
      <c r="D4942">
        <v>12</v>
      </c>
      <c r="E4942">
        <v>28</v>
      </c>
      <c r="F4942" t="s">
        <v>149</v>
      </c>
      <c r="G4942" t="s">
        <v>73</v>
      </c>
      <c r="H4942" t="s">
        <v>81</v>
      </c>
      <c r="I4942" t="s">
        <v>69</v>
      </c>
      <c r="J4942" t="s">
        <v>74</v>
      </c>
      <c r="K4942" t="s">
        <v>38</v>
      </c>
      <c r="L4942">
        <v>1</v>
      </c>
      <c r="M4942">
        <v>366</v>
      </c>
      <c r="N4942">
        <v>36.6</v>
      </c>
      <c r="O4942">
        <v>50</v>
      </c>
      <c r="P4942">
        <v>366</v>
      </c>
      <c r="Q4942">
        <v>379.4</v>
      </c>
      <c r="R4942" t="s">
        <v>39</v>
      </c>
      <c r="S4942" t="s">
        <v>31</v>
      </c>
      <c r="T4942" t="s">
        <v>40</v>
      </c>
      <c r="U4942">
        <v>50</v>
      </c>
      <c r="V4942">
        <v>3.7</v>
      </c>
      <c r="W4942">
        <f>Table2[[#This Row],[Quantity]]*Table2[[#This Row],[Item_Price]]</f>
        <v>366</v>
      </c>
    </row>
    <row r="4943" spans="1:23" x14ac:dyDescent="0.25">
      <c r="A4943" t="s">
        <v>5048</v>
      </c>
      <c r="B4943" s="1">
        <v>46019</v>
      </c>
      <c r="C4943" t="s">
        <v>4677</v>
      </c>
      <c r="D4943">
        <v>12</v>
      </c>
      <c r="E4943">
        <v>28</v>
      </c>
      <c r="F4943" t="s">
        <v>149</v>
      </c>
      <c r="G4943" t="s">
        <v>90</v>
      </c>
      <c r="H4943" t="s">
        <v>56</v>
      </c>
      <c r="I4943" t="s">
        <v>49</v>
      </c>
      <c r="J4943" t="s">
        <v>66</v>
      </c>
      <c r="K4943" t="s">
        <v>38</v>
      </c>
      <c r="L4943">
        <v>2</v>
      </c>
      <c r="M4943">
        <v>667</v>
      </c>
      <c r="N4943">
        <v>66.7</v>
      </c>
      <c r="O4943">
        <v>40</v>
      </c>
      <c r="P4943">
        <v>1334</v>
      </c>
      <c r="Q4943">
        <v>1307.3</v>
      </c>
      <c r="R4943" t="s">
        <v>39</v>
      </c>
      <c r="S4943" t="s">
        <v>31</v>
      </c>
      <c r="T4943" t="s">
        <v>40</v>
      </c>
      <c r="U4943">
        <v>66</v>
      </c>
      <c r="V4943">
        <v>4.0999999999999996</v>
      </c>
      <c r="W4943">
        <f>Table2[[#This Row],[Quantity]]*Table2[[#This Row],[Item_Price]]</f>
        <v>1334</v>
      </c>
    </row>
    <row r="4944" spans="1:23" x14ac:dyDescent="0.25">
      <c r="A4944" t="s">
        <v>5049</v>
      </c>
      <c r="B4944" s="1">
        <v>46019</v>
      </c>
      <c r="C4944" t="s">
        <v>4677</v>
      </c>
      <c r="D4944">
        <v>12</v>
      </c>
      <c r="E4944">
        <v>28</v>
      </c>
      <c r="F4944" t="s">
        <v>149</v>
      </c>
      <c r="G4944" t="s">
        <v>90</v>
      </c>
      <c r="H4944" t="s">
        <v>81</v>
      </c>
      <c r="I4944" t="s">
        <v>36</v>
      </c>
      <c r="J4944" t="s">
        <v>123</v>
      </c>
      <c r="K4944" t="s">
        <v>38</v>
      </c>
      <c r="L4944">
        <v>1</v>
      </c>
      <c r="M4944">
        <v>392</v>
      </c>
      <c r="N4944">
        <v>78.400000000000006</v>
      </c>
      <c r="O4944">
        <v>0</v>
      </c>
      <c r="P4944">
        <v>392</v>
      </c>
      <c r="Q4944">
        <v>313.60000000000002</v>
      </c>
      <c r="R4944" t="s">
        <v>98</v>
      </c>
      <c r="S4944" t="s">
        <v>31</v>
      </c>
      <c r="T4944" t="s">
        <v>40</v>
      </c>
      <c r="U4944">
        <v>20</v>
      </c>
      <c r="V4944">
        <v>3.2</v>
      </c>
      <c r="W4944">
        <f>Table2[[#This Row],[Quantity]]*Table2[[#This Row],[Item_Price]]</f>
        <v>392</v>
      </c>
    </row>
    <row r="4945" spans="1:23" x14ac:dyDescent="0.25">
      <c r="A4945" t="s">
        <v>5050</v>
      </c>
      <c r="B4945" s="1">
        <v>46019</v>
      </c>
      <c r="C4945" t="s">
        <v>4677</v>
      </c>
      <c r="D4945">
        <v>12</v>
      </c>
      <c r="E4945">
        <v>28</v>
      </c>
      <c r="F4945" t="s">
        <v>149</v>
      </c>
      <c r="G4945" t="s">
        <v>73</v>
      </c>
      <c r="H4945" t="s">
        <v>68</v>
      </c>
      <c r="I4945" t="s">
        <v>27</v>
      </c>
      <c r="J4945" t="s">
        <v>94</v>
      </c>
      <c r="K4945" t="s">
        <v>58</v>
      </c>
      <c r="L4945">
        <v>1</v>
      </c>
      <c r="M4945">
        <v>554</v>
      </c>
      <c r="N4945">
        <v>27.7</v>
      </c>
      <c r="O4945">
        <v>40</v>
      </c>
      <c r="P4945">
        <v>554</v>
      </c>
      <c r="Q4945">
        <v>566.29999999999995</v>
      </c>
      <c r="R4945" t="s">
        <v>112</v>
      </c>
      <c r="S4945" t="s">
        <v>31</v>
      </c>
      <c r="T4945" t="s">
        <v>40</v>
      </c>
      <c r="U4945">
        <v>29</v>
      </c>
      <c r="V4945">
        <v>3.4</v>
      </c>
      <c r="W4945">
        <f>Table2[[#This Row],[Quantity]]*Table2[[#This Row],[Item_Price]]</f>
        <v>554</v>
      </c>
    </row>
    <row r="4946" spans="1:23" x14ac:dyDescent="0.25">
      <c r="A4946" t="s">
        <v>5051</v>
      </c>
      <c r="B4946" s="1">
        <v>46019</v>
      </c>
      <c r="C4946" t="s">
        <v>4677</v>
      </c>
      <c r="D4946">
        <v>12</v>
      </c>
      <c r="E4946">
        <v>28</v>
      </c>
      <c r="F4946" t="s">
        <v>149</v>
      </c>
      <c r="G4946" t="s">
        <v>25</v>
      </c>
      <c r="H4946" t="s">
        <v>77</v>
      </c>
      <c r="I4946" t="s">
        <v>61</v>
      </c>
      <c r="J4946" t="s">
        <v>123</v>
      </c>
      <c r="K4946" t="s">
        <v>38</v>
      </c>
      <c r="L4946">
        <v>2</v>
      </c>
      <c r="M4946">
        <v>374</v>
      </c>
      <c r="N4946">
        <v>37.4</v>
      </c>
      <c r="O4946">
        <v>30</v>
      </c>
      <c r="P4946">
        <v>748</v>
      </c>
      <c r="Q4946">
        <v>740.6</v>
      </c>
      <c r="R4946" t="s">
        <v>39</v>
      </c>
      <c r="S4946" t="s">
        <v>31</v>
      </c>
      <c r="T4946" t="s">
        <v>40</v>
      </c>
      <c r="U4946">
        <v>21</v>
      </c>
      <c r="V4946">
        <v>3.5</v>
      </c>
      <c r="W4946">
        <f>Table2[[#This Row],[Quantity]]*Table2[[#This Row],[Item_Price]]</f>
        <v>748</v>
      </c>
    </row>
    <row r="4947" spans="1:23" x14ac:dyDescent="0.25">
      <c r="A4947" t="s">
        <v>5052</v>
      </c>
      <c r="B4947" s="1">
        <v>46019</v>
      </c>
      <c r="C4947" t="s">
        <v>4677</v>
      </c>
      <c r="D4947">
        <v>12</v>
      </c>
      <c r="E4947">
        <v>28</v>
      </c>
      <c r="F4947" t="s">
        <v>149</v>
      </c>
      <c r="G4947" t="s">
        <v>80</v>
      </c>
      <c r="H4947" t="s">
        <v>42</v>
      </c>
      <c r="I4947" t="s">
        <v>85</v>
      </c>
      <c r="J4947" t="s">
        <v>62</v>
      </c>
      <c r="K4947" t="s">
        <v>38</v>
      </c>
      <c r="L4947">
        <v>2</v>
      </c>
      <c r="M4947">
        <v>881</v>
      </c>
      <c r="N4947">
        <v>220.25</v>
      </c>
      <c r="O4947">
        <v>0</v>
      </c>
      <c r="P4947">
        <v>1762</v>
      </c>
      <c r="Q4947">
        <v>1541.75</v>
      </c>
      <c r="R4947" t="s">
        <v>30</v>
      </c>
      <c r="S4947" t="s">
        <v>31</v>
      </c>
      <c r="T4947" t="s">
        <v>32</v>
      </c>
      <c r="U4947">
        <v>39</v>
      </c>
      <c r="V4947">
        <v>4.7</v>
      </c>
      <c r="W4947">
        <f>Table2[[#This Row],[Quantity]]*Table2[[#This Row],[Item_Price]]</f>
        <v>1762</v>
      </c>
    </row>
    <row r="4948" spans="1:23" x14ac:dyDescent="0.25">
      <c r="A4948" t="s">
        <v>5053</v>
      </c>
      <c r="B4948" s="1">
        <v>46019</v>
      </c>
      <c r="C4948" t="s">
        <v>4677</v>
      </c>
      <c r="D4948">
        <v>12</v>
      </c>
      <c r="E4948">
        <v>28</v>
      </c>
      <c r="F4948" t="s">
        <v>149</v>
      </c>
      <c r="G4948" t="s">
        <v>64</v>
      </c>
      <c r="H4948" t="s">
        <v>42</v>
      </c>
      <c r="I4948" t="s">
        <v>69</v>
      </c>
      <c r="J4948" t="s">
        <v>53</v>
      </c>
      <c r="K4948" t="s">
        <v>38</v>
      </c>
      <c r="L4948">
        <v>1</v>
      </c>
      <c r="M4948">
        <v>464</v>
      </c>
      <c r="N4948">
        <v>69.599999999999994</v>
      </c>
      <c r="O4948">
        <v>50</v>
      </c>
      <c r="P4948">
        <v>464</v>
      </c>
      <c r="Q4948">
        <v>444.4</v>
      </c>
      <c r="R4948" t="s">
        <v>30</v>
      </c>
      <c r="S4948" t="s">
        <v>46</v>
      </c>
      <c r="T4948" t="s">
        <v>32</v>
      </c>
      <c r="U4948">
        <v>31</v>
      </c>
      <c r="W4948">
        <f>Table2[[#This Row],[Quantity]]*Table2[[#This Row],[Item_Price]]</f>
        <v>464</v>
      </c>
    </row>
    <row r="4949" spans="1:23" x14ac:dyDescent="0.25">
      <c r="A4949" t="s">
        <v>5054</v>
      </c>
      <c r="B4949" s="1">
        <v>46019</v>
      </c>
      <c r="C4949" t="s">
        <v>4677</v>
      </c>
      <c r="D4949">
        <v>12</v>
      </c>
      <c r="E4949">
        <v>28</v>
      </c>
      <c r="F4949" t="s">
        <v>149</v>
      </c>
      <c r="G4949" t="s">
        <v>73</v>
      </c>
      <c r="H4949" t="s">
        <v>35</v>
      </c>
      <c r="I4949" t="s">
        <v>61</v>
      </c>
      <c r="J4949" t="s">
        <v>50</v>
      </c>
      <c r="K4949" t="s">
        <v>38</v>
      </c>
      <c r="L4949">
        <v>1</v>
      </c>
      <c r="M4949">
        <v>434</v>
      </c>
      <c r="N4949">
        <v>108.5</v>
      </c>
      <c r="O4949">
        <v>0</v>
      </c>
      <c r="P4949">
        <v>434</v>
      </c>
      <c r="Q4949">
        <v>325.5</v>
      </c>
      <c r="R4949" t="s">
        <v>75</v>
      </c>
      <c r="S4949" t="s">
        <v>31</v>
      </c>
      <c r="T4949" t="s">
        <v>40</v>
      </c>
      <c r="U4949">
        <v>55</v>
      </c>
      <c r="V4949">
        <v>3.7</v>
      </c>
      <c r="W4949">
        <f>Table2[[#This Row],[Quantity]]*Table2[[#This Row],[Item_Price]]</f>
        <v>434</v>
      </c>
    </row>
    <row r="4950" spans="1:23" x14ac:dyDescent="0.25">
      <c r="A4950" t="s">
        <v>5055</v>
      </c>
      <c r="B4950" s="1">
        <v>46019</v>
      </c>
      <c r="C4950" t="s">
        <v>4677</v>
      </c>
      <c r="D4950">
        <v>12</v>
      </c>
      <c r="E4950">
        <v>28</v>
      </c>
      <c r="F4950" t="s">
        <v>149</v>
      </c>
      <c r="G4950" t="s">
        <v>115</v>
      </c>
      <c r="H4950" t="s">
        <v>68</v>
      </c>
      <c r="I4950" t="s">
        <v>103</v>
      </c>
      <c r="J4950" t="s">
        <v>66</v>
      </c>
      <c r="K4950" t="s">
        <v>45</v>
      </c>
      <c r="L4950">
        <v>2</v>
      </c>
      <c r="M4950">
        <v>882</v>
      </c>
      <c r="N4950">
        <v>44.1</v>
      </c>
      <c r="O4950">
        <v>40</v>
      </c>
      <c r="P4950">
        <v>1764</v>
      </c>
      <c r="Q4950">
        <v>1759.9</v>
      </c>
      <c r="R4950" t="s">
        <v>39</v>
      </c>
      <c r="S4950" t="s">
        <v>31</v>
      </c>
      <c r="T4950" t="s">
        <v>32</v>
      </c>
      <c r="U4950">
        <v>34</v>
      </c>
      <c r="V4950">
        <v>4.4000000000000004</v>
      </c>
      <c r="W4950">
        <f>Table2[[#This Row],[Quantity]]*Table2[[#This Row],[Item_Price]]</f>
        <v>1764</v>
      </c>
    </row>
    <row r="4951" spans="1:23" x14ac:dyDescent="0.25">
      <c r="A4951" t="s">
        <v>5056</v>
      </c>
      <c r="B4951" s="1">
        <v>46019</v>
      </c>
      <c r="C4951" t="s">
        <v>4677</v>
      </c>
      <c r="D4951">
        <v>12</v>
      </c>
      <c r="E4951">
        <v>28</v>
      </c>
      <c r="F4951" t="s">
        <v>149</v>
      </c>
      <c r="G4951" t="s">
        <v>64</v>
      </c>
      <c r="H4951" t="s">
        <v>77</v>
      </c>
      <c r="I4951" t="s">
        <v>103</v>
      </c>
      <c r="J4951" t="s">
        <v>123</v>
      </c>
      <c r="K4951" t="s">
        <v>45</v>
      </c>
      <c r="L4951">
        <v>1</v>
      </c>
      <c r="M4951">
        <v>308</v>
      </c>
      <c r="N4951">
        <v>46.2</v>
      </c>
      <c r="O4951">
        <v>30</v>
      </c>
      <c r="P4951">
        <v>308</v>
      </c>
      <c r="Q4951">
        <v>291.8</v>
      </c>
      <c r="R4951" t="s">
        <v>98</v>
      </c>
      <c r="S4951" t="s">
        <v>31</v>
      </c>
      <c r="T4951" t="s">
        <v>40</v>
      </c>
      <c r="U4951">
        <v>63</v>
      </c>
      <c r="V4951">
        <v>4.7</v>
      </c>
      <c r="W4951">
        <f>Table2[[#This Row],[Quantity]]*Table2[[#This Row],[Item_Price]]</f>
        <v>308</v>
      </c>
    </row>
    <row r="4952" spans="1:23" x14ac:dyDescent="0.25">
      <c r="A4952" t="s">
        <v>5057</v>
      </c>
      <c r="B4952" s="1">
        <v>46020</v>
      </c>
      <c r="C4952" t="s">
        <v>4677</v>
      </c>
      <c r="D4952">
        <v>12</v>
      </c>
      <c r="E4952">
        <v>29</v>
      </c>
      <c r="F4952" t="s">
        <v>168</v>
      </c>
      <c r="G4952" t="s">
        <v>55</v>
      </c>
      <c r="H4952" t="s">
        <v>105</v>
      </c>
      <c r="I4952" t="s">
        <v>103</v>
      </c>
      <c r="J4952" t="s">
        <v>119</v>
      </c>
      <c r="K4952" t="s">
        <v>45</v>
      </c>
      <c r="L4952">
        <v>1</v>
      </c>
      <c r="M4952">
        <v>814</v>
      </c>
      <c r="N4952">
        <v>40.700000000000003</v>
      </c>
      <c r="O4952">
        <v>0</v>
      </c>
      <c r="P4952">
        <v>814</v>
      </c>
      <c r="Q4952">
        <v>773.3</v>
      </c>
      <c r="R4952" t="s">
        <v>30</v>
      </c>
      <c r="S4952" t="s">
        <v>31</v>
      </c>
      <c r="T4952" t="s">
        <v>40</v>
      </c>
      <c r="U4952">
        <v>41</v>
      </c>
      <c r="V4952">
        <v>4.5999999999999996</v>
      </c>
      <c r="W4952">
        <f>Table2[[#This Row],[Quantity]]*Table2[[#This Row],[Item_Price]]</f>
        <v>814</v>
      </c>
    </row>
    <row r="4953" spans="1:23" x14ac:dyDescent="0.25">
      <c r="A4953" t="s">
        <v>5058</v>
      </c>
      <c r="B4953" s="1">
        <v>46020</v>
      </c>
      <c r="C4953" t="s">
        <v>4677</v>
      </c>
      <c r="D4953">
        <v>12</v>
      </c>
      <c r="E4953">
        <v>29</v>
      </c>
      <c r="F4953" t="s">
        <v>168</v>
      </c>
      <c r="G4953" t="s">
        <v>25</v>
      </c>
      <c r="H4953" t="s">
        <v>60</v>
      </c>
      <c r="I4953" t="s">
        <v>36</v>
      </c>
      <c r="J4953" t="s">
        <v>62</v>
      </c>
      <c r="K4953" t="s">
        <v>38</v>
      </c>
      <c r="L4953">
        <v>1</v>
      </c>
      <c r="M4953">
        <v>163</v>
      </c>
      <c r="N4953">
        <v>8.15</v>
      </c>
      <c r="O4953">
        <v>20</v>
      </c>
      <c r="P4953">
        <v>163</v>
      </c>
      <c r="Q4953">
        <v>174.85</v>
      </c>
      <c r="R4953" t="s">
        <v>112</v>
      </c>
      <c r="S4953" t="s">
        <v>31</v>
      </c>
      <c r="T4953" t="s">
        <v>32</v>
      </c>
      <c r="U4953">
        <v>65</v>
      </c>
      <c r="V4953">
        <v>4.3</v>
      </c>
      <c r="W4953">
        <f>Table2[[#This Row],[Quantity]]*Table2[[#This Row],[Item_Price]]</f>
        <v>163</v>
      </c>
    </row>
    <row r="4954" spans="1:23" x14ac:dyDescent="0.25">
      <c r="A4954" t="s">
        <v>5059</v>
      </c>
      <c r="B4954" s="1">
        <v>46020</v>
      </c>
      <c r="C4954" t="s">
        <v>4677</v>
      </c>
      <c r="D4954">
        <v>12</v>
      </c>
      <c r="E4954">
        <v>29</v>
      </c>
      <c r="F4954" t="s">
        <v>168</v>
      </c>
      <c r="G4954" t="s">
        <v>80</v>
      </c>
      <c r="H4954" t="s">
        <v>60</v>
      </c>
      <c r="I4954" t="s">
        <v>27</v>
      </c>
      <c r="J4954" t="s">
        <v>119</v>
      </c>
      <c r="K4954" t="s">
        <v>45</v>
      </c>
      <c r="L4954">
        <v>2</v>
      </c>
      <c r="M4954">
        <v>458</v>
      </c>
      <c r="N4954">
        <v>45.8</v>
      </c>
      <c r="O4954">
        <v>30</v>
      </c>
      <c r="P4954">
        <v>916</v>
      </c>
      <c r="Q4954">
        <v>900.2</v>
      </c>
      <c r="R4954" t="s">
        <v>39</v>
      </c>
      <c r="S4954" t="s">
        <v>31</v>
      </c>
      <c r="T4954" t="s">
        <v>40</v>
      </c>
      <c r="U4954">
        <v>52</v>
      </c>
      <c r="V4954">
        <v>5</v>
      </c>
      <c r="W4954">
        <f>Table2[[#This Row],[Quantity]]*Table2[[#This Row],[Item_Price]]</f>
        <v>916</v>
      </c>
    </row>
    <row r="4955" spans="1:23" x14ac:dyDescent="0.25">
      <c r="A4955" t="s">
        <v>5060</v>
      </c>
      <c r="B4955" s="1">
        <v>46020</v>
      </c>
      <c r="C4955" t="s">
        <v>4677</v>
      </c>
      <c r="D4955">
        <v>12</v>
      </c>
      <c r="E4955">
        <v>29</v>
      </c>
      <c r="F4955" t="s">
        <v>168</v>
      </c>
      <c r="G4955" t="s">
        <v>25</v>
      </c>
      <c r="H4955" t="s">
        <v>35</v>
      </c>
      <c r="I4955" t="s">
        <v>36</v>
      </c>
      <c r="J4955" t="s">
        <v>78</v>
      </c>
      <c r="K4955" t="s">
        <v>38</v>
      </c>
      <c r="L4955">
        <v>1</v>
      </c>
      <c r="M4955">
        <v>287</v>
      </c>
      <c r="N4955">
        <v>0</v>
      </c>
      <c r="O4955">
        <v>20</v>
      </c>
      <c r="P4955">
        <v>287</v>
      </c>
      <c r="Q4955">
        <v>307</v>
      </c>
      <c r="R4955" t="s">
        <v>30</v>
      </c>
      <c r="S4955" t="s">
        <v>31</v>
      </c>
      <c r="T4955" t="s">
        <v>40</v>
      </c>
      <c r="U4955">
        <v>43</v>
      </c>
      <c r="V4955">
        <v>3.9</v>
      </c>
      <c r="W4955">
        <f>Table2[[#This Row],[Quantity]]*Table2[[#This Row],[Item_Price]]</f>
        <v>287</v>
      </c>
    </row>
    <row r="4956" spans="1:23" x14ac:dyDescent="0.25">
      <c r="A4956" t="s">
        <v>5061</v>
      </c>
      <c r="B4956" s="1">
        <v>46020</v>
      </c>
      <c r="C4956" t="s">
        <v>4677</v>
      </c>
      <c r="D4956">
        <v>12</v>
      </c>
      <c r="E4956">
        <v>29</v>
      </c>
      <c r="F4956" t="s">
        <v>168</v>
      </c>
      <c r="G4956" t="s">
        <v>90</v>
      </c>
      <c r="H4956" t="s">
        <v>135</v>
      </c>
      <c r="I4956" t="s">
        <v>69</v>
      </c>
      <c r="J4956" t="s">
        <v>44</v>
      </c>
      <c r="K4956" t="s">
        <v>45</v>
      </c>
      <c r="L4956">
        <v>2</v>
      </c>
      <c r="M4956">
        <v>889</v>
      </c>
      <c r="N4956">
        <v>88.9</v>
      </c>
      <c r="O4956">
        <v>70</v>
      </c>
      <c r="P4956">
        <v>1778</v>
      </c>
      <c r="Q4956">
        <v>1759.1</v>
      </c>
      <c r="R4956" t="s">
        <v>98</v>
      </c>
      <c r="S4956" t="s">
        <v>31</v>
      </c>
      <c r="T4956" t="s">
        <v>40</v>
      </c>
      <c r="U4956">
        <v>23</v>
      </c>
      <c r="V4956">
        <v>4.4000000000000004</v>
      </c>
      <c r="W4956">
        <f>Table2[[#This Row],[Quantity]]*Table2[[#This Row],[Item_Price]]</f>
        <v>1778</v>
      </c>
    </row>
    <row r="4957" spans="1:23" x14ac:dyDescent="0.25">
      <c r="A4957" t="s">
        <v>5062</v>
      </c>
      <c r="B4957" s="1">
        <v>46020</v>
      </c>
      <c r="C4957" t="s">
        <v>4677</v>
      </c>
      <c r="D4957">
        <v>12</v>
      </c>
      <c r="E4957">
        <v>29</v>
      </c>
      <c r="F4957" t="s">
        <v>168</v>
      </c>
      <c r="G4957" t="s">
        <v>115</v>
      </c>
      <c r="H4957" t="s">
        <v>105</v>
      </c>
      <c r="I4957" t="s">
        <v>97</v>
      </c>
      <c r="J4957" t="s">
        <v>172</v>
      </c>
      <c r="K4957" t="s">
        <v>58</v>
      </c>
      <c r="L4957">
        <v>1</v>
      </c>
      <c r="M4957">
        <v>462</v>
      </c>
      <c r="N4957">
        <v>69.3</v>
      </c>
      <c r="O4957">
        <v>60</v>
      </c>
      <c r="P4957">
        <v>462</v>
      </c>
      <c r="Q4957">
        <v>452.7</v>
      </c>
      <c r="R4957" t="s">
        <v>75</v>
      </c>
      <c r="S4957" t="s">
        <v>31</v>
      </c>
      <c r="T4957" t="s">
        <v>32</v>
      </c>
      <c r="U4957">
        <v>59</v>
      </c>
      <c r="V4957">
        <v>4.3</v>
      </c>
      <c r="W4957">
        <f>Table2[[#This Row],[Quantity]]*Table2[[#This Row],[Item_Price]]</f>
        <v>462</v>
      </c>
    </row>
    <row r="4958" spans="1:23" x14ac:dyDescent="0.25">
      <c r="A4958" t="s">
        <v>5063</v>
      </c>
      <c r="B4958" s="1">
        <v>46020</v>
      </c>
      <c r="C4958" t="s">
        <v>4677</v>
      </c>
      <c r="D4958">
        <v>12</v>
      </c>
      <c r="E4958">
        <v>29</v>
      </c>
      <c r="F4958" t="s">
        <v>168</v>
      </c>
      <c r="G4958" t="s">
        <v>64</v>
      </c>
      <c r="H4958" t="s">
        <v>48</v>
      </c>
      <c r="I4958" t="s">
        <v>43</v>
      </c>
      <c r="J4958" t="s">
        <v>82</v>
      </c>
      <c r="K4958" t="s">
        <v>38</v>
      </c>
      <c r="L4958">
        <v>1</v>
      </c>
      <c r="M4958">
        <v>510</v>
      </c>
      <c r="N4958">
        <v>0</v>
      </c>
      <c r="O4958">
        <v>40</v>
      </c>
      <c r="P4958">
        <v>510</v>
      </c>
      <c r="Q4958">
        <v>550</v>
      </c>
      <c r="R4958" t="s">
        <v>30</v>
      </c>
      <c r="S4958" t="s">
        <v>31</v>
      </c>
      <c r="T4958" t="s">
        <v>40</v>
      </c>
      <c r="U4958">
        <v>53</v>
      </c>
      <c r="V4958">
        <v>4.2</v>
      </c>
      <c r="W4958">
        <f>Table2[[#This Row],[Quantity]]*Table2[[#This Row],[Item_Price]]</f>
        <v>510</v>
      </c>
    </row>
    <row r="4959" spans="1:23" x14ac:dyDescent="0.25">
      <c r="A4959" t="s">
        <v>5064</v>
      </c>
      <c r="B4959" s="1">
        <v>46020</v>
      </c>
      <c r="C4959" t="s">
        <v>4677</v>
      </c>
      <c r="D4959">
        <v>12</v>
      </c>
      <c r="E4959">
        <v>29</v>
      </c>
      <c r="F4959" t="s">
        <v>168</v>
      </c>
      <c r="G4959" t="s">
        <v>90</v>
      </c>
      <c r="H4959" t="s">
        <v>135</v>
      </c>
      <c r="I4959" t="s">
        <v>97</v>
      </c>
      <c r="J4959" t="s">
        <v>123</v>
      </c>
      <c r="K4959" t="s">
        <v>38</v>
      </c>
      <c r="L4959">
        <v>1</v>
      </c>
      <c r="M4959">
        <v>663</v>
      </c>
      <c r="N4959">
        <v>0</v>
      </c>
      <c r="O4959">
        <v>70</v>
      </c>
      <c r="P4959">
        <v>663</v>
      </c>
      <c r="Q4959">
        <v>733</v>
      </c>
      <c r="R4959" t="s">
        <v>112</v>
      </c>
      <c r="S4959" t="s">
        <v>31</v>
      </c>
      <c r="T4959" t="s">
        <v>40</v>
      </c>
      <c r="U4959">
        <v>25</v>
      </c>
      <c r="V4959">
        <v>4.4000000000000004</v>
      </c>
      <c r="W4959">
        <f>Table2[[#This Row],[Quantity]]*Table2[[#This Row],[Item_Price]]</f>
        <v>663</v>
      </c>
    </row>
    <row r="4960" spans="1:23" x14ac:dyDescent="0.25">
      <c r="A4960" t="s">
        <v>5065</v>
      </c>
      <c r="B4960" s="1">
        <v>46020</v>
      </c>
      <c r="C4960" t="s">
        <v>4677</v>
      </c>
      <c r="D4960">
        <v>12</v>
      </c>
      <c r="E4960">
        <v>29</v>
      </c>
      <c r="F4960" t="s">
        <v>168</v>
      </c>
      <c r="G4960" t="s">
        <v>73</v>
      </c>
      <c r="H4960" t="s">
        <v>52</v>
      </c>
      <c r="I4960" t="s">
        <v>103</v>
      </c>
      <c r="J4960" t="s">
        <v>78</v>
      </c>
      <c r="K4960" t="s">
        <v>38</v>
      </c>
      <c r="L4960">
        <v>2</v>
      </c>
      <c r="M4960">
        <v>651</v>
      </c>
      <c r="N4960">
        <v>97.65</v>
      </c>
      <c r="O4960">
        <v>30</v>
      </c>
      <c r="P4960">
        <v>1302</v>
      </c>
      <c r="Q4960">
        <v>1234.3499999999999</v>
      </c>
      <c r="R4960" t="s">
        <v>30</v>
      </c>
      <c r="S4960" t="s">
        <v>31</v>
      </c>
      <c r="T4960" t="s">
        <v>40</v>
      </c>
      <c r="U4960">
        <v>18</v>
      </c>
      <c r="V4960">
        <v>5</v>
      </c>
      <c r="W4960">
        <f>Table2[[#This Row],[Quantity]]*Table2[[#This Row],[Item_Price]]</f>
        <v>1302</v>
      </c>
    </row>
    <row r="4961" spans="1:23" x14ac:dyDescent="0.25">
      <c r="A4961" t="s">
        <v>5066</v>
      </c>
      <c r="B4961" s="1">
        <v>46020</v>
      </c>
      <c r="C4961" t="s">
        <v>4677</v>
      </c>
      <c r="D4961">
        <v>12</v>
      </c>
      <c r="E4961">
        <v>29</v>
      </c>
      <c r="F4961" t="s">
        <v>168</v>
      </c>
      <c r="G4961" t="s">
        <v>80</v>
      </c>
      <c r="H4961" t="s">
        <v>105</v>
      </c>
      <c r="I4961" t="s">
        <v>36</v>
      </c>
      <c r="J4961" t="s">
        <v>172</v>
      </c>
      <c r="K4961" t="s">
        <v>45</v>
      </c>
      <c r="L4961">
        <v>2</v>
      </c>
      <c r="M4961">
        <v>530</v>
      </c>
      <c r="N4961">
        <v>53</v>
      </c>
      <c r="O4961">
        <v>40</v>
      </c>
      <c r="P4961">
        <v>1060</v>
      </c>
      <c r="Q4961">
        <v>1047</v>
      </c>
      <c r="R4961" t="s">
        <v>39</v>
      </c>
      <c r="S4961" t="s">
        <v>31</v>
      </c>
      <c r="T4961" t="s">
        <v>40</v>
      </c>
      <c r="U4961">
        <v>61</v>
      </c>
      <c r="V4961">
        <v>4</v>
      </c>
      <c r="W4961">
        <f>Table2[[#This Row],[Quantity]]*Table2[[#This Row],[Item_Price]]</f>
        <v>1060</v>
      </c>
    </row>
    <row r="4962" spans="1:23" x14ac:dyDescent="0.25">
      <c r="A4962" t="s">
        <v>5067</v>
      </c>
      <c r="B4962" s="1">
        <v>46020</v>
      </c>
      <c r="C4962" t="s">
        <v>4677</v>
      </c>
      <c r="D4962">
        <v>12</v>
      </c>
      <c r="E4962">
        <v>29</v>
      </c>
      <c r="F4962" t="s">
        <v>168</v>
      </c>
      <c r="G4962" t="s">
        <v>55</v>
      </c>
      <c r="H4962" t="s">
        <v>135</v>
      </c>
      <c r="I4962" t="s">
        <v>36</v>
      </c>
      <c r="J4962" t="s">
        <v>70</v>
      </c>
      <c r="K4962" t="s">
        <v>38</v>
      </c>
      <c r="L4962">
        <v>2</v>
      </c>
      <c r="M4962">
        <v>457</v>
      </c>
      <c r="N4962">
        <v>114.25</v>
      </c>
      <c r="O4962">
        <v>40</v>
      </c>
      <c r="P4962">
        <v>914</v>
      </c>
      <c r="Q4962">
        <v>839.75</v>
      </c>
      <c r="R4962" t="s">
        <v>75</v>
      </c>
      <c r="S4962" t="s">
        <v>31</v>
      </c>
      <c r="T4962" t="s">
        <v>40</v>
      </c>
      <c r="U4962">
        <v>44</v>
      </c>
      <c r="V4962">
        <v>4.8</v>
      </c>
      <c r="W4962">
        <f>Table2[[#This Row],[Quantity]]*Table2[[#This Row],[Item_Price]]</f>
        <v>914</v>
      </c>
    </row>
    <row r="4963" spans="1:23" x14ac:dyDescent="0.25">
      <c r="A4963" t="s">
        <v>5068</v>
      </c>
      <c r="B4963" s="1">
        <v>46020</v>
      </c>
      <c r="C4963" t="s">
        <v>4677</v>
      </c>
      <c r="D4963">
        <v>12</v>
      </c>
      <c r="E4963">
        <v>29</v>
      </c>
      <c r="F4963" t="s">
        <v>168</v>
      </c>
      <c r="G4963" t="s">
        <v>73</v>
      </c>
      <c r="H4963" t="s">
        <v>65</v>
      </c>
      <c r="I4963" t="s">
        <v>57</v>
      </c>
      <c r="J4963" t="s">
        <v>74</v>
      </c>
      <c r="K4963" t="s">
        <v>38</v>
      </c>
      <c r="L4963">
        <v>1</v>
      </c>
      <c r="M4963">
        <v>656</v>
      </c>
      <c r="N4963">
        <v>0</v>
      </c>
      <c r="O4963">
        <v>50</v>
      </c>
      <c r="P4963">
        <v>656</v>
      </c>
      <c r="Q4963">
        <v>706</v>
      </c>
      <c r="R4963" t="s">
        <v>75</v>
      </c>
      <c r="S4963" t="s">
        <v>91</v>
      </c>
      <c r="T4963" t="s">
        <v>40</v>
      </c>
      <c r="U4963">
        <v>50</v>
      </c>
      <c r="W4963">
        <f>Table2[[#This Row],[Quantity]]*Table2[[#This Row],[Item_Price]]</f>
        <v>656</v>
      </c>
    </row>
    <row r="4964" spans="1:23" x14ac:dyDescent="0.25">
      <c r="A4964" t="s">
        <v>5069</v>
      </c>
      <c r="B4964" s="1">
        <v>46021</v>
      </c>
      <c r="C4964" t="s">
        <v>4677</v>
      </c>
      <c r="D4964">
        <v>12</v>
      </c>
      <c r="E4964">
        <v>30</v>
      </c>
      <c r="F4964" t="s">
        <v>178</v>
      </c>
      <c r="G4964" t="s">
        <v>84</v>
      </c>
      <c r="H4964" t="s">
        <v>42</v>
      </c>
      <c r="I4964" t="s">
        <v>103</v>
      </c>
      <c r="J4964" t="s">
        <v>101</v>
      </c>
      <c r="K4964" t="s">
        <v>38</v>
      </c>
      <c r="L4964">
        <v>1</v>
      </c>
      <c r="M4964">
        <v>701</v>
      </c>
      <c r="N4964">
        <v>140.19999999999999</v>
      </c>
      <c r="O4964">
        <v>70</v>
      </c>
      <c r="P4964">
        <v>701</v>
      </c>
      <c r="Q4964">
        <v>630.79999999999995</v>
      </c>
      <c r="R4964" t="s">
        <v>75</v>
      </c>
      <c r="S4964" t="s">
        <v>31</v>
      </c>
      <c r="T4964" t="s">
        <v>32</v>
      </c>
      <c r="U4964">
        <v>33</v>
      </c>
      <c r="V4964">
        <v>4.2</v>
      </c>
      <c r="W4964">
        <f>Table2[[#This Row],[Quantity]]*Table2[[#This Row],[Item_Price]]</f>
        <v>701</v>
      </c>
    </row>
    <row r="4965" spans="1:23" x14ac:dyDescent="0.25">
      <c r="A4965" t="s">
        <v>5070</v>
      </c>
      <c r="B4965" s="1">
        <v>46021</v>
      </c>
      <c r="C4965" t="s">
        <v>4677</v>
      </c>
      <c r="D4965">
        <v>12</v>
      </c>
      <c r="E4965">
        <v>30</v>
      </c>
      <c r="F4965" t="s">
        <v>178</v>
      </c>
      <c r="G4965" t="s">
        <v>34</v>
      </c>
      <c r="H4965" t="s">
        <v>42</v>
      </c>
      <c r="I4965" t="s">
        <v>49</v>
      </c>
      <c r="J4965" t="s">
        <v>62</v>
      </c>
      <c r="K4965" t="s">
        <v>45</v>
      </c>
      <c r="L4965">
        <v>2</v>
      </c>
      <c r="M4965">
        <v>801</v>
      </c>
      <c r="N4965">
        <v>120.15</v>
      </c>
      <c r="O4965">
        <v>30</v>
      </c>
      <c r="P4965">
        <v>1602</v>
      </c>
      <c r="Q4965">
        <v>1511.85</v>
      </c>
      <c r="R4965" t="s">
        <v>39</v>
      </c>
      <c r="S4965" t="s">
        <v>31</v>
      </c>
      <c r="T4965" t="s">
        <v>40</v>
      </c>
      <c r="U4965">
        <v>42</v>
      </c>
      <c r="V4965">
        <v>5</v>
      </c>
      <c r="W4965">
        <f>Table2[[#This Row],[Quantity]]*Table2[[#This Row],[Item_Price]]</f>
        <v>1602</v>
      </c>
    </row>
    <row r="4966" spans="1:23" x14ac:dyDescent="0.25">
      <c r="A4966" t="s">
        <v>5071</v>
      </c>
      <c r="B4966" s="1">
        <v>46021</v>
      </c>
      <c r="C4966" t="s">
        <v>4677</v>
      </c>
      <c r="D4966">
        <v>12</v>
      </c>
      <c r="E4966">
        <v>30</v>
      </c>
      <c r="F4966" t="s">
        <v>178</v>
      </c>
      <c r="G4966" t="s">
        <v>90</v>
      </c>
      <c r="H4966" t="s">
        <v>26</v>
      </c>
      <c r="I4966" t="s">
        <v>57</v>
      </c>
      <c r="J4966" t="s">
        <v>28</v>
      </c>
      <c r="K4966" t="s">
        <v>38</v>
      </c>
      <c r="L4966">
        <v>1</v>
      </c>
      <c r="M4966">
        <v>716</v>
      </c>
      <c r="N4966">
        <v>35.799999999999997</v>
      </c>
      <c r="O4966">
        <v>30</v>
      </c>
      <c r="P4966">
        <v>716</v>
      </c>
      <c r="Q4966">
        <v>710.2</v>
      </c>
      <c r="R4966" t="s">
        <v>39</v>
      </c>
      <c r="S4966" t="s">
        <v>31</v>
      </c>
      <c r="T4966" t="s">
        <v>40</v>
      </c>
      <c r="U4966">
        <v>33</v>
      </c>
      <c r="V4966">
        <v>3.6</v>
      </c>
      <c r="W4966">
        <f>Table2[[#This Row],[Quantity]]*Table2[[#This Row],[Item_Price]]</f>
        <v>716</v>
      </c>
    </row>
    <row r="4967" spans="1:23" x14ac:dyDescent="0.25">
      <c r="A4967" t="s">
        <v>5072</v>
      </c>
      <c r="B4967" s="1">
        <v>46021</v>
      </c>
      <c r="C4967" t="s">
        <v>4677</v>
      </c>
      <c r="D4967">
        <v>12</v>
      </c>
      <c r="E4967">
        <v>30</v>
      </c>
      <c r="F4967" t="s">
        <v>178</v>
      </c>
      <c r="G4967" t="s">
        <v>80</v>
      </c>
      <c r="H4967" t="s">
        <v>56</v>
      </c>
      <c r="I4967" t="s">
        <v>49</v>
      </c>
      <c r="J4967" t="s">
        <v>119</v>
      </c>
      <c r="K4967" t="s">
        <v>45</v>
      </c>
      <c r="L4967">
        <v>2</v>
      </c>
      <c r="M4967">
        <v>385</v>
      </c>
      <c r="N4967">
        <v>0</v>
      </c>
      <c r="O4967">
        <v>0</v>
      </c>
      <c r="P4967">
        <v>770</v>
      </c>
      <c r="Q4967">
        <v>770</v>
      </c>
      <c r="R4967" t="s">
        <v>75</v>
      </c>
      <c r="S4967" t="s">
        <v>31</v>
      </c>
      <c r="T4967" t="s">
        <v>40</v>
      </c>
      <c r="U4967">
        <v>64</v>
      </c>
      <c r="V4967">
        <v>4.3</v>
      </c>
      <c r="W4967">
        <f>Table2[[#This Row],[Quantity]]*Table2[[#This Row],[Item_Price]]</f>
        <v>770</v>
      </c>
    </row>
    <row r="4968" spans="1:23" x14ac:dyDescent="0.25">
      <c r="A4968" t="s">
        <v>5073</v>
      </c>
      <c r="B4968" s="1">
        <v>46021</v>
      </c>
      <c r="C4968" t="s">
        <v>4677</v>
      </c>
      <c r="D4968">
        <v>12</v>
      </c>
      <c r="E4968">
        <v>30</v>
      </c>
      <c r="F4968" t="s">
        <v>178</v>
      </c>
      <c r="G4968" t="s">
        <v>80</v>
      </c>
      <c r="H4968" t="s">
        <v>139</v>
      </c>
      <c r="I4968" t="s">
        <v>103</v>
      </c>
      <c r="J4968" t="s">
        <v>94</v>
      </c>
      <c r="K4968" t="s">
        <v>45</v>
      </c>
      <c r="L4968">
        <v>1</v>
      </c>
      <c r="M4968">
        <v>393</v>
      </c>
      <c r="N4968">
        <v>19.649999999999999</v>
      </c>
      <c r="O4968">
        <v>20</v>
      </c>
      <c r="P4968">
        <v>393</v>
      </c>
      <c r="Q4968">
        <v>393.35</v>
      </c>
      <c r="R4968" t="s">
        <v>39</v>
      </c>
      <c r="S4968" t="s">
        <v>31</v>
      </c>
      <c r="T4968" t="s">
        <v>40</v>
      </c>
      <c r="U4968">
        <v>63</v>
      </c>
      <c r="V4968">
        <v>4.0999999999999996</v>
      </c>
      <c r="W4968">
        <f>Table2[[#This Row],[Quantity]]*Table2[[#This Row],[Item_Price]]</f>
        <v>393</v>
      </c>
    </row>
    <row r="4969" spans="1:23" x14ac:dyDescent="0.25">
      <c r="A4969" t="s">
        <v>5074</v>
      </c>
      <c r="B4969" s="1">
        <v>46021</v>
      </c>
      <c r="C4969" t="s">
        <v>4677</v>
      </c>
      <c r="D4969">
        <v>12</v>
      </c>
      <c r="E4969">
        <v>30</v>
      </c>
      <c r="F4969" t="s">
        <v>178</v>
      </c>
      <c r="G4969" t="s">
        <v>34</v>
      </c>
      <c r="H4969" t="s">
        <v>139</v>
      </c>
      <c r="I4969" t="s">
        <v>27</v>
      </c>
      <c r="J4969" t="s">
        <v>44</v>
      </c>
      <c r="K4969" t="s">
        <v>45</v>
      </c>
      <c r="L4969">
        <v>1</v>
      </c>
      <c r="M4969">
        <v>663</v>
      </c>
      <c r="N4969">
        <v>99.45</v>
      </c>
      <c r="O4969">
        <v>40</v>
      </c>
      <c r="P4969">
        <v>663</v>
      </c>
      <c r="Q4969">
        <v>603.54999999999995</v>
      </c>
      <c r="R4969" t="s">
        <v>30</v>
      </c>
      <c r="S4969" t="s">
        <v>46</v>
      </c>
      <c r="T4969" t="s">
        <v>40</v>
      </c>
      <c r="U4969">
        <v>44</v>
      </c>
      <c r="W4969">
        <f>Table2[[#This Row],[Quantity]]*Table2[[#This Row],[Item_Price]]</f>
        <v>663</v>
      </c>
    </row>
    <row r="4970" spans="1:23" x14ac:dyDescent="0.25">
      <c r="A4970" t="s">
        <v>5075</v>
      </c>
      <c r="B4970" s="1">
        <v>46021</v>
      </c>
      <c r="C4970" t="s">
        <v>4677</v>
      </c>
      <c r="D4970">
        <v>12</v>
      </c>
      <c r="E4970">
        <v>30</v>
      </c>
      <c r="F4970" t="s">
        <v>178</v>
      </c>
      <c r="G4970" t="s">
        <v>115</v>
      </c>
      <c r="H4970" t="s">
        <v>105</v>
      </c>
      <c r="I4970" t="s">
        <v>27</v>
      </c>
      <c r="J4970" t="s">
        <v>50</v>
      </c>
      <c r="K4970" t="s">
        <v>38</v>
      </c>
      <c r="L4970">
        <v>1</v>
      </c>
      <c r="M4970">
        <v>698</v>
      </c>
      <c r="N4970">
        <v>174.5</v>
      </c>
      <c r="O4970">
        <v>0</v>
      </c>
      <c r="P4970">
        <v>698</v>
      </c>
      <c r="Q4970">
        <v>523.5</v>
      </c>
      <c r="R4970" t="s">
        <v>30</v>
      </c>
      <c r="S4970" t="s">
        <v>31</v>
      </c>
      <c r="T4970" t="s">
        <v>40</v>
      </c>
      <c r="U4970">
        <v>20</v>
      </c>
      <c r="V4970">
        <v>4.5999999999999996</v>
      </c>
      <c r="W4970">
        <f>Table2[[#This Row],[Quantity]]*Table2[[#This Row],[Item_Price]]</f>
        <v>698</v>
      </c>
    </row>
    <row r="4971" spans="1:23" x14ac:dyDescent="0.25">
      <c r="A4971" t="s">
        <v>5076</v>
      </c>
      <c r="B4971" s="1">
        <v>46021</v>
      </c>
      <c r="C4971" t="s">
        <v>4677</v>
      </c>
      <c r="D4971">
        <v>12</v>
      </c>
      <c r="E4971">
        <v>30</v>
      </c>
      <c r="F4971" t="s">
        <v>178</v>
      </c>
      <c r="G4971" t="s">
        <v>64</v>
      </c>
      <c r="H4971" t="s">
        <v>135</v>
      </c>
      <c r="I4971" t="s">
        <v>103</v>
      </c>
      <c r="J4971" t="s">
        <v>123</v>
      </c>
      <c r="K4971" t="s">
        <v>29</v>
      </c>
      <c r="L4971">
        <v>2</v>
      </c>
      <c r="M4971">
        <v>484</v>
      </c>
      <c r="N4971">
        <v>24.2</v>
      </c>
      <c r="O4971">
        <v>40</v>
      </c>
      <c r="P4971">
        <v>968</v>
      </c>
      <c r="Q4971">
        <v>983.8</v>
      </c>
      <c r="R4971" t="s">
        <v>112</v>
      </c>
      <c r="S4971" t="s">
        <v>31</v>
      </c>
      <c r="T4971" t="s">
        <v>32</v>
      </c>
      <c r="U4971">
        <v>53</v>
      </c>
      <c r="V4971">
        <v>3.8</v>
      </c>
      <c r="W4971">
        <f>Table2[[#This Row],[Quantity]]*Table2[[#This Row],[Item_Price]]</f>
        <v>968</v>
      </c>
    </row>
    <row r="4972" spans="1:23" x14ac:dyDescent="0.25">
      <c r="A4972" t="s">
        <v>5077</v>
      </c>
      <c r="B4972" s="1">
        <v>46021</v>
      </c>
      <c r="C4972" t="s">
        <v>4677</v>
      </c>
      <c r="D4972">
        <v>12</v>
      </c>
      <c r="E4972">
        <v>30</v>
      </c>
      <c r="F4972" t="s">
        <v>178</v>
      </c>
      <c r="G4972" t="s">
        <v>73</v>
      </c>
      <c r="H4972" t="s">
        <v>68</v>
      </c>
      <c r="I4972" t="s">
        <v>49</v>
      </c>
      <c r="J4972" t="s">
        <v>74</v>
      </c>
      <c r="K4972" t="s">
        <v>38</v>
      </c>
      <c r="L4972">
        <v>3</v>
      </c>
      <c r="M4972">
        <v>700</v>
      </c>
      <c r="N4972">
        <v>70</v>
      </c>
      <c r="O4972">
        <v>50</v>
      </c>
      <c r="P4972">
        <v>2100</v>
      </c>
      <c r="Q4972">
        <v>2080</v>
      </c>
      <c r="R4972" t="s">
        <v>30</v>
      </c>
      <c r="S4972" t="s">
        <v>91</v>
      </c>
      <c r="T4972" t="s">
        <v>40</v>
      </c>
      <c r="U4972">
        <v>39</v>
      </c>
      <c r="W4972">
        <f>Table2[[#This Row],[Quantity]]*Table2[[#This Row],[Item_Price]]</f>
        <v>2100</v>
      </c>
    </row>
    <row r="4973" spans="1:23" x14ac:dyDescent="0.25">
      <c r="A4973" t="s">
        <v>5078</v>
      </c>
      <c r="B4973" s="1">
        <v>46021</v>
      </c>
      <c r="C4973" t="s">
        <v>4677</v>
      </c>
      <c r="D4973">
        <v>12</v>
      </c>
      <c r="E4973">
        <v>30</v>
      </c>
      <c r="F4973" t="s">
        <v>178</v>
      </c>
      <c r="G4973" t="s">
        <v>55</v>
      </c>
      <c r="H4973" t="s">
        <v>48</v>
      </c>
      <c r="I4973" t="s">
        <v>27</v>
      </c>
      <c r="J4973" t="s">
        <v>66</v>
      </c>
      <c r="K4973" t="s">
        <v>38</v>
      </c>
      <c r="L4973">
        <v>1</v>
      </c>
      <c r="M4973">
        <v>692</v>
      </c>
      <c r="N4973">
        <v>0</v>
      </c>
      <c r="O4973">
        <v>40</v>
      </c>
      <c r="P4973">
        <v>692</v>
      </c>
      <c r="Q4973">
        <v>732</v>
      </c>
      <c r="R4973" t="s">
        <v>75</v>
      </c>
      <c r="S4973" t="s">
        <v>91</v>
      </c>
      <c r="T4973" t="s">
        <v>40</v>
      </c>
      <c r="U4973">
        <v>44</v>
      </c>
      <c r="W4973">
        <f>Table2[[#This Row],[Quantity]]*Table2[[#This Row],[Item_Price]]</f>
        <v>692</v>
      </c>
    </row>
    <row r="4974" spans="1:23" x14ac:dyDescent="0.25">
      <c r="A4974" t="s">
        <v>5079</v>
      </c>
      <c r="B4974" s="1">
        <v>46021</v>
      </c>
      <c r="C4974" t="s">
        <v>4677</v>
      </c>
      <c r="D4974">
        <v>12</v>
      </c>
      <c r="E4974">
        <v>30</v>
      </c>
      <c r="F4974" t="s">
        <v>178</v>
      </c>
      <c r="G4974" t="s">
        <v>25</v>
      </c>
      <c r="H4974" t="s">
        <v>52</v>
      </c>
      <c r="I4974" t="s">
        <v>97</v>
      </c>
      <c r="J4974" t="s">
        <v>94</v>
      </c>
      <c r="K4974" t="s">
        <v>38</v>
      </c>
      <c r="L4974">
        <v>2</v>
      </c>
      <c r="M4974">
        <v>516</v>
      </c>
      <c r="N4974">
        <v>103.2</v>
      </c>
      <c r="O4974">
        <v>20</v>
      </c>
      <c r="P4974">
        <v>1032</v>
      </c>
      <c r="Q4974">
        <v>948.8</v>
      </c>
      <c r="R4974" t="s">
        <v>30</v>
      </c>
      <c r="S4974" t="s">
        <v>31</v>
      </c>
      <c r="T4974" t="s">
        <v>40</v>
      </c>
      <c r="U4974">
        <v>30</v>
      </c>
      <c r="V4974">
        <v>4.2</v>
      </c>
      <c r="W4974">
        <f>Table2[[#This Row],[Quantity]]*Table2[[#This Row],[Item_Price]]</f>
        <v>1032</v>
      </c>
    </row>
    <row r="4975" spans="1:23" x14ac:dyDescent="0.25">
      <c r="A4975" t="s">
        <v>5080</v>
      </c>
      <c r="B4975" s="1">
        <v>46021</v>
      </c>
      <c r="C4975" t="s">
        <v>4677</v>
      </c>
      <c r="D4975">
        <v>12</v>
      </c>
      <c r="E4975">
        <v>30</v>
      </c>
      <c r="F4975" t="s">
        <v>178</v>
      </c>
      <c r="G4975" t="s">
        <v>64</v>
      </c>
      <c r="H4975" t="s">
        <v>52</v>
      </c>
      <c r="I4975" t="s">
        <v>103</v>
      </c>
      <c r="J4975" t="s">
        <v>82</v>
      </c>
      <c r="K4975" t="s">
        <v>38</v>
      </c>
      <c r="L4975">
        <v>2</v>
      </c>
      <c r="M4975">
        <v>159</v>
      </c>
      <c r="N4975">
        <v>15.9</v>
      </c>
      <c r="O4975">
        <v>30</v>
      </c>
      <c r="P4975">
        <v>318</v>
      </c>
      <c r="Q4975">
        <v>332.1</v>
      </c>
      <c r="R4975" t="s">
        <v>112</v>
      </c>
      <c r="S4975" t="s">
        <v>31</v>
      </c>
      <c r="T4975" t="s">
        <v>40</v>
      </c>
      <c r="U4975">
        <v>30</v>
      </c>
      <c r="V4975">
        <v>4.0999999999999996</v>
      </c>
      <c r="W4975">
        <f>Table2[[#This Row],[Quantity]]*Table2[[#This Row],[Item_Price]]</f>
        <v>318</v>
      </c>
    </row>
    <row r="4976" spans="1:23" x14ac:dyDescent="0.25">
      <c r="A4976" t="s">
        <v>5081</v>
      </c>
      <c r="B4976" s="1">
        <v>46021</v>
      </c>
      <c r="C4976" t="s">
        <v>4677</v>
      </c>
      <c r="D4976">
        <v>12</v>
      </c>
      <c r="E4976">
        <v>30</v>
      </c>
      <c r="F4976" t="s">
        <v>178</v>
      </c>
      <c r="G4976" t="s">
        <v>80</v>
      </c>
      <c r="H4976" t="s">
        <v>81</v>
      </c>
      <c r="I4976" t="s">
        <v>43</v>
      </c>
      <c r="J4976" t="s">
        <v>70</v>
      </c>
      <c r="K4976" t="s">
        <v>29</v>
      </c>
      <c r="L4976">
        <v>2</v>
      </c>
      <c r="M4976">
        <v>221</v>
      </c>
      <c r="N4976">
        <v>44.2</v>
      </c>
      <c r="O4976">
        <v>30</v>
      </c>
      <c r="P4976">
        <v>442</v>
      </c>
      <c r="Q4976">
        <v>427.8</v>
      </c>
      <c r="R4976" t="s">
        <v>75</v>
      </c>
      <c r="S4976" t="s">
        <v>31</v>
      </c>
      <c r="T4976" t="s">
        <v>32</v>
      </c>
      <c r="U4976">
        <v>41</v>
      </c>
      <c r="V4976">
        <v>3.9</v>
      </c>
      <c r="W4976">
        <f>Table2[[#This Row],[Quantity]]*Table2[[#This Row],[Item_Price]]</f>
        <v>442</v>
      </c>
    </row>
    <row r="4977" spans="1:23" x14ac:dyDescent="0.25">
      <c r="A4977" t="s">
        <v>5082</v>
      </c>
      <c r="B4977" s="1">
        <v>46021</v>
      </c>
      <c r="C4977" t="s">
        <v>4677</v>
      </c>
      <c r="D4977">
        <v>12</v>
      </c>
      <c r="E4977">
        <v>30</v>
      </c>
      <c r="F4977" t="s">
        <v>178</v>
      </c>
      <c r="G4977" t="s">
        <v>80</v>
      </c>
      <c r="H4977" t="s">
        <v>42</v>
      </c>
      <c r="I4977" t="s">
        <v>43</v>
      </c>
      <c r="J4977" t="s">
        <v>94</v>
      </c>
      <c r="K4977" t="s">
        <v>45</v>
      </c>
      <c r="L4977">
        <v>1</v>
      </c>
      <c r="M4977">
        <v>762</v>
      </c>
      <c r="N4977">
        <v>0</v>
      </c>
      <c r="O4977">
        <v>30</v>
      </c>
      <c r="P4977">
        <v>762</v>
      </c>
      <c r="Q4977">
        <v>792</v>
      </c>
      <c r="R4977" t="s">
        <v>30</v>
      </c>
      <c r="S4977" t="s">
        <v>31</v>
      </c>
      <c r="T4977" t="s">
        <v>40</v>
      </c>
      <c r="U4977">
        <v>47</v>
      </c>
      <c r="V4977">
        <v>4.0999999999999996</v>
      </c>
      <c r="W4977">
        <f>Table2[[#This Row],[Quantity]]*Table2[[#This Row],[Item_Price]]</f>
        <v>762</v>
      </c>
    </row>
    <row r="4978" spans="1:23" x14ac:dyDescent="0.25">
      <c r="A4978" t="s">
        <v>5083</v>
      </c>
      <c r="B4978" s="1">
        <v>46021</v>
      </c>
      <c r="C4978" t="s">
        <v>4677</v>
      </c>
      <c r="D4978">
        <v>12</v>
      </c>
      <c r="E4978">
        <v>30</v>
      </c>
      <c r="F4978" t="s">
        <v>178</v>
      </c>
      <c r="G4978" t="s">
        <v>115</v>
      </c>
      <c r="H4978" t="s">
        <v>35</v>
      </c>
      <c r="I4978" t="s">
        <v>61</v>
      </c>
      <c r="J4978" t="s">
        <v>28</v>
      </c>
      <c r="K4978" t="s">
        <v>38</v>
      </c>
      <c r="L4978">
        <v>2</v>
      </c>
      <c r="M4978">
        <v>432</v>
      </c>
      <c r="N4978">
        <v>86.4</v>
      </c>
      <c r="O4978">
        <v>0</v>
      </c>
      <c r="P4978">
        <v>864</v>
      </c>
      <c r="Q4978">
        <v>777.6</v>
      </c>
      <c r="R4978" t="s">
        <v>39</v>
      </c>
      <c r="S4978" t="s">
        <v>31</v>
      </c>
      <c r="T4978" t="s">
        <v>40</v>
      </c>
      <c r="U4978">
        <v>70</v>
      </c>
      <c r="V4978">
        <v>3.9</v>
      </c>
      <c r="W4978">
        <f>Table2[[#This Row],[Quantity]]*Table2[[#This Row],[Item_Price]]</f>
        <v>864</v>
      </c>
    </row>
    <row r="4979" spans="1:23" x14ac:dyDescent="0.25">
      <c r="A4979" t="s">
        <v>5084</v>
      </c>
      <c r="B4979" s="1">
        <v>46021</v>
      </c>
      <c r="C4979" t="s">
        <v>4677</v>
      </c>
      <c r="D4979">
        <v>12</v>
      </c>
      <c r="E4979">
        <v>30</v>
      </c>
      <c r="F4979" t="s">
        <v>178</v>
      </c>
      <c r="G4979" t="s">
        <v>115</v>
      </c>
      <c r="H4979" t="s">
        <v>65</v>
      </c>
      <c r="I4979" t="s">
        <v>49</v>
      </c>
      <c r="J4979" t="s">
        <v>44</v>
      </c>
      <c r="K4979" t="s">
        <v>38</v>
      </c>
      <c r="L4979">
        <v>1</v>
      </c>
      <c r="M4979">
        <v>829</v>
      </c>
      <c r="N4979">
        <v>0</v>
      </c>
      <c r="O4979">
        <v>20</v>
      </c>
      <c r="P4979">
        <v>829</v>
      </c>
      <c r="Q4979">
        <v>849</v>
      </c>
      <c r="R4979" t="s">
        <v>98</v>
      </c>
      <c r="S4979" t="s">
        <v>31</v>
      </c>
      <c r="T4979" t="s">
        <v>32</v>
      </c>
      <c r="U4979">
        <v>53</v>
      </c>
      <c r="V4979">
        <v>3.5</v>
      </c>
      <c r="W4979">
        <f>Table2[[#This Row],[Quantity]]*Table2[[#This Row],[Item_Price]]</f>
        <v>829</v>
      </c>
    </row>
    <row r="4980" spans="1:23" x14ac:dyDescent="0.25">
      <c r="A4980" t="s">
        <v>5085</v>
      </c>
      <c r="B4980" s="1">
        <v>46021</v>
      </c>
      <c r="C4980" t="s">
        <v>4677</v>
      </c>
      <c r="D4980">
        <v>12</v>
      </c>
      <c r="E4980">
        <v>30</v>
      </c>
      <c r="F4980" t="s">
        <v>178</v>
      </c>
      <c r="G4980" t="s">
        <v>73</v>
      </c>
      <c r="H4980" t="s">
        <v>135</v>
      </c>
      <c r="I4980" t="s">
        <v>57</v>
      </c>
      <c r="J4980" t="s">
        <v>50</v>
      </c>
      <c r="K4980" t="s">
        <v>38</v>
      </c>
      <c r="L4980">
        <v>1</v>
      </c>
      <c r="M4980">
        <v>336</v>
      </c>
      <c r="N4980">
        <v>50.4</v>
      </c>
      <c r="O4980">
        <v>50</v>
      </c>
      <c r="P4980">
        <v>336</v>
      </c>
      <c r="Q4980">
        <v>335.6</v>
      </c>
      <c r="R4980" t="s">
        <v>98</v>
      </c>
      <c r="S4980" t="s">
        <v>46</v>
      </c>
      <c r="T4980" t="s">
        <v>32</v>
      </c>
      <c r="U4980">
        <v>47</v>
      </c>
      <c r="W4980">
        <f>Table2[[#This Row],[Quantity]]*Table2[[#This Row],[Item_Price]]</f>
        <v>336</v>
      </c>
    </row>
    <row r="4981" spans="1:23" x14ac:dyDescent="0.25">
      <c r="A4981" t="s">
        <v>5086</v>
      </c>
      <c r="B4981" s="1">
        <v>46021</v>
      </c>
      <c r="C4981" t="s">
        <v>4677</v>
      </c>
      <c r="D4981">
        <v>12</v>
      </c>
      <c r="E4981">
        <v>30</v>
      </c>
      <c r="F4981" t="s">
        <v>178</v>
      </c>
      <c r="G4981" t="s">
        <v>64</v>
      </c>
      <c r="H4981" t="s">
        <v>105</v>
      </c>
      <c r="I4981" t="s">
        <v>103</v>
      </c>
      <c r="J4981" t="s">
        <v>62</v>
      </c>
      <c r="K4981" t="s">
        <v>38</v>
      </c>
      <c r="L4981">
        <v>2</v>
      </c>
      <c r="M4981">
        <v>584</v>
      </c>
      <c r="N4981">
        <v>146</v>
      </c>
      <c r="O4981">
        <v>0</v>
      </c>
      <c r="P4981">
        <v>1168</v>
      </c>
      <c r="Q4981">
        <v>1022</v>
      </c>
      <c r="R4981" t="s">
        <v>98</v>
      </c>
      <c r="S4981" t="s">
        <v>31</v>
      </c>
      <c r="T4981" t="s">
        <v>40</v>
      </c>
      <c r="U4981">
        <v>39</v>
      </c>
      <c r="V4981">
        <v>4</v>
      </c>
      <c r="W4981">
        <f>Table2[[#This Row],[Quantity]]*Table2[[#This Row],[Item_Price]]</f>
        <v>1168</v>
      </c>
    </row>
    <row r="4982" spans="1:23" x14ac:dyDescent="0.25">
      <c r="A4982" t="s">
        <v>5087</v>
      </c>
      <c r="B4982" s="1">
        <v>46021</v>
      </c>
      <c r="C4982" t="s">
        <v>4677</v>
      </c>
      <c r="D4982">
        <v>12</v>
      </c>
      <c r="E4982">
        <v>30</v>
      </c>
      <c r="F4982" t="s">
        <v>178</v>
      </c>
      <c r="G4982" t="s">
        <v>115</v>
      </c>
      <c r="H4982" t="s">
        <v>26</v>
      </c>
      <c r="I4982" t="s">
        <v>69</v>
      </c>
      <c r="J4982" t="s">
        <v>82</v>
      </c>
      <c r="K4982" t="s">
        <v>29</v>
      </c>
      <c r="L4982">
        <v>3</v>
      </c>
      <c r="M4982">
        <v>465</v>
      </c>
      <c r="N4982">
        <v>46.5</v>
      </c>
      <c r="O4982">
        <v>0</v>
      </c>
      <c r="P4982">
        <v>1395</v>
      </c>
      <c r="Q4982">
        <v>1348.5</v>
      </c>
      <c r="R4982" t="s">
        <v>75</v>
      </c>
      <c r="S4982" t="s">
        <v>31</v>
      </c>
      <c r="T4982" t="s">
        <v>32</v>
      </c>
      <c r="U4982">
        <v>56</v>
      </c>
      <c r="V4982">
        <v>4.2</v>
      </c>
      <c r="W4982">
        <f>Table2[[#This Row],[Quantity]]*Table2[[#This Row],[Item_Price]]</f>
        <v>1395</v>
      </c>
    </row>
    <row r="4983" spans="1:23" x14ac:dyDescent="0.25">
      <c r="A4983" t="s">
        <v>5088</v>
      </c>
      <c r="B4983" s="1">
        <v>46022</v>
      </c>
      <c r="C4983" t="s">
        <v>4677</v>
      </c>
      <c r="D4983">
        <v>12</v>
      </c>
      <c r="E4983">
        <v>31</v>
      </c>
      <c r="F4983" t="s">
        <v>24</v>
      </c>
      <c r="G4983" t="s">
        <v>96</v>
      </c>
      <c r="H4983" t="s">
        <v>48</v>
      </c>
      <c r="I4983" t="s">
        <v>69</v>
      </c>
      <c r="J4983" t="s">
        <v>74</v>
      </c>
      <c r="K4983" t="s">
        <v>38</v>
      </c>
      <c r="L4983">
        <v>3</v>
      </c>
      <c r="M4983">
        <v>835</v>
      </c>
      <c r="N4983">
        <v>0</v>
      </c>
      <c r="O4983">
        <v>0</v>
      </c>
      <c r="P4983">
        <v>2505</v>
      </c>
      <c r="Q4983">
        <v>2505</v>
      </c>
      <c r="R4983" t="s">
        <v>75</v>
      </c>
      <c r="S4983" t="s">
        <v>31</v>
      </c>
      <c r="T4983" t="s">
        <v>40</v>
      </c>
      <c r="U4983">
        <v>30</v>
      </c>
      <c r="V4983">
        <v>3.5</v>
      </c>
      <c r="W4983">
        <f>Table2[[#This Row],[Quantity]]*Table2[[#This Row],[Item_Price]]</f>
        <v>2505</v>
      </c>
    </row>
    <row r="4984" spans="1:23" x14ac:dyDescent="0.25">
      <c r="A4984" t="s">
        <v>5089</v>
      </c>
      <c r="B4984" s="1">
        <v>46022</v>
      </c>
      <c r="C4984" t="s">
        <v>4677</v>
      </c>
      <c r="D4984">
        <v>12</v>
      </c>
      <c r="E4984">
        <v>31</v>
      </c>
      <c r="F4984" t="s">
        <v>24</v>
      </c>
      <c r="G4984" t="s">
        <v>64</v>
      </c>
      <c r="H4984" t="s">
        <v>108</v>
      </c>
      <c r="I4984" t="s">
        <v>43</v>
      </c>
      <c r="J4984" t="s">
        <v>119</v>
      </c>
      <c r="K4984" t="s">
        <v>45</v>
      </c>
      <c r="L4984">
        <v>2</v>
      </c>
      <c r="M4984">
        <v>636</v>
      </c>
      <c r="N4984">
        <v>95.4</v>
      </c>
      <c r="O4984">
        <v>70</v>
      </c>
      <c r="P4984">
        <v>1272</v>
      </c>
      <c r="Q4984">
        <v>1246.5999999999999</v>
      </c>
      <c r="R4984" t="s">
        <v>112</v>
      </c>
      <c r="S4984" t="s">
        <v>31</v>
      </c>
      <c r="T4984" t="s">
        <v>40</v>
      </c>
      <c r="U4984">
        <v>42</v>
      </c>
      <c r="V4984">
        <v>4</v>
      </c>
      <c r="W4984">
        <f>Table2[[#This Row],[Quantity]]*Table2[[#This Row],[Item_Price]]</f>
        <v>1272</v>
      </c>
    </row>
    <row r="4985" spans="1:23" x14ac:dyDescent="0.25">
      <c r="A4985" t="s">
        <v>5090</v>
      </c>
      <c r="B4985" s="1">
        <v>46022</v>
      </c>
      <c r="C4985" t="s">
        <v>4677</v>
      </c>
      <c r="D4985">
        <v>12</v>
      </c>
      <c r="E4985">
        <v>31</v>
      </c>
      <c r="F4985" t="s">
        <v>24</v>
      </c>
      <c r="G4985" t="s">
        <v>115</v>
      </c>
      <c r="H4985" t="s">
        <v>139</v>
      </c>
      <c r="I4985" t="s">
        <v>49</v>
      </c>
      <c r="J4985" t="s">
        <v>119</v>
      </c>
      <c r="K4985" t="s">
        <v>38</v>
      </c>
      <c r="L4985">
        <v>1</v>
      </c>
      <c r="M4985">
        <v>170</v>
      </c>
      <c r="N4985">
        <v>42.5</v>
      </c>
      <c r="O4985">
        <v>40</v>
      </c>
      <c r="P4985">
        <v>170</v>
      </c>
      <c r="Q4985">
        <v>167.5</v>
      </c>
      <c r="R4985" t="s">
        <v>75</v>
      </c>
      <c r="S4985" t="s">
        <v>31</v>
      </c>
      <c r="T4985" t="s">
        <v>40</v>
      </c>
      <c r="U4985">
        <v>20</v>
      </c>
      <c r="V4985">
        <v>3.9</v>
      </c>
      <c r="W4985">
        <f>Table2[[#This Row],[Quantity]]*Table2[[#This Row],[Item_Price]]</f>
        <v>170</v>
      </c>
    </row>
    <row r="4986" spans="1:23" x14ac:dyDescent="0.25">
      <c r="A4986" t="s">
        <v>5091</v>
      </c>
      <c r="B4986" s="1">
        <v>46022</v>
      </c>
      <c r="C4986" t="s">
        <v>4677</v>
      </c>
      <c r="D4986">
        <v>12</v>
      </c>
      <c r="E4986">
        <v>31</v>
      </c>
      <c r="F4986" t="s">
        <v>24</v>
      </c>
      <c r="G4986" t="s">
        <v>84</v>
      </c>
      <c r="H4986" t="s">
        <v>26</v>
      </c>
      <c r="I4986" t="s">
        <v>43</v>
      </c>
      <c r="J4986" t="s">
        <v>123</v>
      </c>
      <c r="K4986" t="s">
        <v>38</v>
      </c>
      <c r="L4986">
        <v>1</v>
      </c>
      <c r="M4986">
        <v>711</v>
      </c>
      <c r="N4986">
        <v>71.099999999999994</v>
      </c>
      <c r="O4986">
        <v>0</v>
      </c>
      <c r="P4986">
        <v>711</v>
      </c>
      <c r="Q4986">
        <v>639.9</v>
      </c>
      <c r="R4986" t="s">
        <v>39</v>
      </c>
      <c r="S4986" t="s">
        <v>31</v>
      </c>
      <c r="T4986" t="s">
        <v>32</v>
      </c>
      <c r="U4986">
        <v>48</v>
      </c>
      <c r="V4986">
        <v>3.9</v>
      </c>
      <c r="W4986">
        <f>Table2[[#This Row],[Quantity]]*Table2[[#This Row],[Item_Price]]</f>
        <v>711</v>
      </c>
    </row>
    <row r="4987" spans="1:23" x14ac:dyDescent="0.25">
      <c r="A4987" t="s">
        <v>5092</v>
      </c>
      <c r="B4987" s="1">
        <v>46022</v>
      </c>
      <c r="C4987" t="s">
        <v>4677</v>
      </c>
      <c r="D4987">
        <v>12</v>
      </c>
      <c r="E4987">
        <v>31</v>
      </c>
      <c r="F4987" t="s">
        <v>24</v>
      </c>
      <c r="G4987" t="s">
        <v>115</v>
      </c>
      <c r="H4987" t="s">
        <v>26</v>
      </c>
      <c r="I4987" t="s">
        <v>85</v>
      </c>
      <c r="J4987" t="s">
        <v>70</v>
      </c>
      <c r="K4987" t="s">
        <v>38</v>
      </c>
      <c r="L4987">
        <v>2</v>
      </c>
      <c r="M4987">
        <v>590</v>
      </c>
      <c r="N4987">
        <v>118</v>
      </c>
      <c r="O4987">
        <v>50</v>
      </c>
      <c r="P4987">
        <v>1180</v>
      </c>
      <c r="Q4987">
        <v>1112</v>
      </c>
      <c r="R4987" t="s">
        <v>39</v>
      </c>
      <c r="S4987" t="s">
        <v>31</v>
      </c>
      <c r="T4987" t="s">
        <v>40</v>
      </c>
      <c r="U4987">
        <v>25</v>
      </c>
      <c r="V4987">
        <v>4.2</v>
      </c>
      <c r="W4987">
        <f>Table2[[#This Row],[Quantity]]*Table2[[#This Row],[Item_Price]]</f>
        <v>1180</v>
      </c>
    </row>
    <row r="4988" spans="1:23" x14ac:dyDescent="0.25">
      <c r="A4988" t="s">
        <v>5093</v>
      </c>
      <c r="B4988" s="1">
        <v>46022</v>
      </c>
      <c r="C4988" t="s">
        <v>4677</v>
      </c>
      <c r="D4988">
        <v>12</v>
      </c>
      <c r="E4988">
        <v>31</v>
      </c>
      <c r="F4988" t="s">
        <v>24</v>
      </c>
      <c r="G4988" t="s">
        <v>34</v>
      </c>
      <c r="H4988" t="s">
        <v>68</v>
      </c>
      <c r="I4988" t="s">
        <v>103</v>
      </c>
      <c r="J4988" t="s">
        <v>82</v>
      </c>
      <c r="K4988" t="s">
        <v>38</v>
      </c>
      <c r="L4988">
        <v>2</v>
      </c>
      <c r="M4988">
        <v>656</v>
      </c>
      <c r="N4988">
        <v>65.599999999999994</v>
      </c>
      <c r="O4988">
        <v>40</v>
      </c>
      <c r="P4988">
        <v>1312</v>
      </c>
      <c r="Q4988">
        <v>1286.4000000000001</v>
      </c>
      <c r="R4988" t="s">
        <v>30</v>
      </c>
      <c r="S4988" t="s">
        <v>31</v>
      </c>
      <c r="T4988" t="s">
        <v>32</v>
      </c>
      <c r="U4988">
        <v>40</v>
      </c>
      <c r="V4988">
        <v>3.8</v>
      </c>
      <c r="W4988">
        <f>Table2[[#This Row],[Quantity]]*Table2[[#This Row],[Item_Price]]</f>
        <v>1312</v>
      </c>
    </row>
    <row r="4989" spans="1:23" x14ac:dyDescent="0.25">
      <c r="A4989" t="s">
        <v>5094</v>
      </c>
      <c r="B4989" s="1">
        <v>46022</v>
      </c>
      <c r="C4989" t="s">
        <v>4677</v>
      </c>
      <c r="D4989">
        <v>12</v>
      </c>
      <c r="E4989">
        <v>31</v>
      </c>
      <c r="F4989" t="s">
        <v>24</v>
      </c>
      <c r="G4989" t="s">
        <v>64</v>
      </c>
      <c r="H4989" t="s">
        <v>81</v>
      </c>
      <c r="I4989" t="s">
        <v>27</v>
      </c>
      <c r="J4989" t="s">
        <v>37</v>
      </c>
      <c r="K4989" t="s">
        <v>38</v>
      </c>
      <c r="L4989">
        <v>3</v>
      </c>
      <c r="M4989">
        <v>362</v>
      </c>
      <c r="N4989">
        <v>36.200000000000003</v>
      </c>
      <c r="O4989">
        <v>50</v>
      </c>
      <c r="P4989">
        <v>1086</v>
      </c>
      <c r="Q4989">
        <v>1099.8</v>
      </c>
      <c r="R4989" t="s">
        <v>39</v>
      </c>
      <c r="S4989" t="s">
        <v>31</v>
      </c>
      <c r="T4989" t="s">
        <v>32</v>
      </c>
      <c r="U4989">
        <v>21</v>
      </c>
      <c r="V4989">
        <v>4.5</v>
      </c>
      <c r="W4989">
        <f>Table2[[#This Row],[Quantity]]*Table2[[#This Row],[Item_Price]]</f>
        <v>1086</v>
      </c>
    </row>
    <row r="4990" spans="1:23" x14ac:dyDescent="0.25">
      <c r="A4990" t="s">
        <v>5095</v>
      </c>
      <c r="B4990" s="1">
        <v>46022</v>
      </c>
      <c r="C4990" t="s">
        <v>4677</v>
      </c>
      <c r="D4990">
        <v>12</v>
      </c>
      <c r="E4990">
        <v>31</v>
      </c>
      <c r="F4990" t="s">
        <v>24</v>
      </c>
      <c r="G4990" t="s">
        <v>90</v>
      </c>
      <c r="H4990" t="s">
        <v>135</v>
      </c>
      <c r="I4990" t="s">
        <v>36</v>
      </c>
      <c r="J4990" t="s">
        <v>82</v>
      </c>
      <c r="K4990" t="s">
        <v>58</v>
      </c>
      <c r="L4990">
        <v>2</v>
      </c>
      <c r="M4990">
        <v>827</v>
      </c>
      <c r="N4990">
        <v>82.7</v>
      </c>
      <c r="O4990">
        <v>30</v>
      </c>
      <c r="P4990">
        <v>1654</v>
      </c>
      <c r="Q4990">
        <v>1601.3</v>
      </c>
      <c r="R4990" t="s">
        <v>112</v>
      </c>
      <c r="S4990" t="s">
        <v>31</v>
      </c>
      <c r="T4990" t="s">
        <v>40</v>
      </c>
      <c r="U4990">
        <v>24</v>
      </c>
      <c r="V4990">
        <v>3.8</v>
      </c>
      <c r="W4990">
        <f>Table2[[#This Row],[Quantity]]*Table2[[#This Row],[Item_Price]]</f>
        <v>1654</v>
      </c>
    </row>
    <row r="4991" spans="1:23" x14ac:dyDescent="0.25">
      <c r="A4991" t="s">
        <v>5096</v>
      </c>
      <c r="B4991" s="1">
        <v>46022</v>
      </c>
      <c r="C4991" t="s">
        <v>4677</v>
      </c>
      <c r="D4991">
        <v>12</v>
      </c>
      <c r="E4991">
        <v>31</v>
      </c>
      <c r="F4991" t="s">
        <v>24</v>
      </c>
      <c r="G4991" t="s">
        <v>25</v>
      </c>
      <c r="H4991" t="s">
        <v>108</v>
      </c>
      <c r="I4991" t="s">
        <v>103</v>
      </c>
      <c r="J4991" t="s">
        <v>62</v>
      </c>
      <c r="K4991" t="s">
        <v>38</v>
      </c>
      <c r="L4991">
        <v>1</v>
      </c>
      <c r="M4991">
        <v>541</v>
      </c>
      <c r="N4991">
        <v>135.25</v>
      </c>
      <c r="O4991">
        <v>40</v>
      </c>
      <c r="P4991">
        <v>541</v>
      </c>
      <c r="Q4991">
        <v>445.75</v>
      </c>
      <c r="R4991" t="s">
        <v>98</v>
      </c>
      <c r="S4991" t="s">
        <v>91</v>
      </c>
      <c r="T4991" t="s">
        <v>40</v>
      </c>
      <c r="U4991">
        <v>54</v>
      </c>
      <c r="W4991">
        <f>Table2[[#This Row],[Quantity]]*Table2[[#This Row],[Item_Price]]</f>
        <v>541</v>
      </c>
    </row>
    <row r="4992" spans="1:23" x14ac:dyDescent="0.25">
      <c r="A4992" t="s">
        <v>5097</v>
      </c>
      <c r="B4992" s="1">
        <v>46022</v>
      </c>
      <c r="C4992" t="s">
        <v>4677</v>
      </c>
      <c r="D4992">
        <v>12</v>
      </c>
      <c r="E4992">
        <v>31</v>
      </c>
      <c r="F4992" t="s">
        <v>24</v>
      </c>
      <c r="G4992" t="s">
        <v>34</v>
      </c>
      <c r="H4992" t="s">
        <v>81</v>
      </c>
      <c r="I4992" t="s">
        <v>69</v>
      </c>
      <c r="J4992" t="s">
        <v>70</v>
      </c>
      <c r="K4992" t="s">
        <v>45</v>
      </c>
      <c r="L4992">
        <v>3</v>
      </c>
      <c r="M4992">
        <v>234</v>
      </c>
      <c r="N4992">
        <v>0</v>
      </c>
      <c r="O4992">
        <v>0</v>
      </c>
      <c r="P4992">
        <v>702</v>
      </c>
      <c r="Q4992">
        <v>702</v>
      </c>
      <c r="R4992" t="s">
        <v>39</v>
      </c>
      <c r="S4992" t="s">
        <v>110</v>
      </c>
      <c r="T4992" t="s">
        <v>32</v>
      </c>
      <c r="U4992">
        <v>20</v>
      </c>
      <c r="W4992">
        <f>Table2[[#This Row],[Quantity]]*Table2[[#This Row],[Item_Price]]</f>
        <v>702</v>
      </c>
    </row>
    <row r="4993" spans="1:23" x14ac:dyDescent="0.25">
      <c r="A4993" t="s">
        <v>5098</v>
      </c>
      <c r="B4993" s="1">
        <v>46022</v>
      </c>
      <c r="C4993" t="s">
        <v>4677</v>
      </c>
      <c r="D4993">
        <v>12</v>
      </c>
      <c r="E4993">
        <v>31</v>
      </c>
      <c r="F4993" t="s">
        <v>24</v>
      </c>
      <c r="G4993" t="s">
        <v>73</v>
      </c>
      <c r="H4993" t="s">
        <v>52</v>
      </c>
      <c r="I4993" t="s">
        <v>36</v>
      </c>
      <c r="J4993" t="s">
        <v>94</v>
      </c>
      <c r="K4993" t="s">
        <v>38</v>
      </c>
      <c r="L4993">
        <v>3</v>
      </c>
      <c r="M4993">
        <v>354</v>
      </c>
      <c r="N4993">
        <v>17.7</v>
      </c>
      <c r="O4993">
        <v>40</v>
      </c>
      <c r="P4993">
        <v>1062</v>
      </c>
      <c r="Q4993">
        <v>1084.3</v>
      </c>
      <c r="R4993" t="s">
        <v>75</v>
      </c>
      <c r="S4993" t="s">
        <v>46</v>
      </c>
      <c r="T4993" t="s">
        <v>32</v>
      </c>
      <c r="U4993">
        <v>24</v>
      </c>
      <c r="W4993">
        <f>Table2[[#This Row],[Quantity]]*Table2[[#This Row],[Item_Price]]</f>
        <v>1062</v>
      </c>
    </row>
    <row r="4994" spans="1:23" x14ac:dyDescent="0.25">
      <c r="A4994" t="s">
        <v>5099</v>
      </c>
      <c r="B4994" s="1">
        <v>46022</v>
      </c>
      <c r="C4994" t="s">
        <v>4677</v>
      </c>
      <c r="D4994">
        <v>12</v>
      </c>
      <c r="E4994">
        <v>31</v>
      </c>
      <c r="F4994" t="s">
        <v>24</v>
      </c>
      <c r="G4994" t="s">
        <v>84</v>
      </c>
      <c r="H4994" t="s">
        <v>81</v>
      </c>
      <c r="I4994" t="s">
        <v>27</v>
      </c>
      <c r="J4994" t="s">
        <v>94</v>
      </c>
      <c r="K4994" t="s">
        <v>38</v>
      </c>
      <c r="L4994">
        <v>1</v>
      </c>
      <c r="M4994">
        <v>742</v>
      </c>
      <c r="N4994">
        <v>148.4</v>
      </c>
      <c r="O4994">
        <v>30</v>
      </c>
      <c r="P4994">
        <v>742</v>
      </c>
      <c r="Q4994">
        <v>623.6</v>
      </c>
      <c r="R4994" t="s">
        <v>98</v>
      </c>
      <c r="S4994" t="s">
        <v>31</v>
      </c>
      <c r="T4994" t="s">
        <v>40</v>
      </c>
      <c r="U4994">
        <v>58</v>
      </c>
      <c r="V4994">
        <v>4.3</v>
      </c>
      <c r="W4994">
        <f>Table2[[#This Row],[Quantity]]*Table2[[#This Row],[Item_Price]]</f>
        <v>742</v>
      </c>
    </row>
    <row r="4995" spans="1:23" x14ac:dyDescent="0.25">
      <c r="A4995" t="s">
        <v>5100</v>
      </c>
      <c r="B4995" s="1">
        <v>46022</v>
      </c>
      <c r="C4995" t="s">
        <v>4677</v>
      </c>
      <c r="D4995">
        <v>12</v>
      </c>
      <c r="E4995">
        <v>31</v>
      </c>
      <c r="F4995" t="s">
        <v>24</v>
      </c>
      <c r="G4995" t="s">
        <v>64</v>
      </c>
      <c r="H4995" t="s">
        <v>35</v>
      </c>
      <c r="I4995" t="s">
        <v>36</v>
      </c>
      <c r="J4995" t="s">
        <v>37</v>
      </c>
      <c r="K4995" t="s">
        <v>38</v>
      </c>
      <c r="L4995">
        <v>1</v>
      </c>
      <c r="M4995">
        <v>132</v>
      </c>
      <c r="N4995">
        <v>13.2</v>
      </c>
      <c r="O4995">
        <v>0</v>
      </c>
      <c r="P4995">
        <v>132</v>
      </c>
      <c r="Q4995">
        <v>118.8</v>
      </c>
      <c r="R4995" t="s">
        <v>75</v>
      </c>
      <c r="S4995" t="s">
        <v>91</v>
      </c>
      <c r="T4995" t="s">
        <v>32</v>
      </c>
      <c r="U4995">
        <v>27</v>
      </c>
      <c r="W4995">
        <f>Table2[[#This Row],[Quantity]]*Table2[[#This Row],[Item_Price]]</f>
        <v>132</v>
      </c>
    </row>
    <row r="4996" spans="1:23" x14ac:dyDescent="0.25">
      <c r="A4996" t="s">
        <v>5101</v>
      </c>
      <c r="B4996" s="1">
        <v>46022</v>
      </c>
      <c r="C4996" t="s">
        <v>4677</v>
      </c>
      <c r="D4996">
        <v>12</v>
      </c>
      <c r="E4996">
        <v>31</v>
      </c>
      <c r="F4996" t="s">
        <v>24</v>
      </c>
      <c r="G4996" t="s">
        <v>90</v>
      </c>
      <c r="H4996" t="s">
        <v>108</v>
      </c>
      <c r="I4996" t="s">
        <v>36</v>
      </c>
      <c r="J4996" t="s">
        <v>62</v>
      </c>
      <c r="K4996" t="s">
        <v>38</v>
      </c>
      <c r="L4996">
        <v>1</v>
      </c>
      <c r="M4996">
        <v>610</v>
      </c>
      <c r="N4996">
        <v>152.5</v>
      </c>
      <c r="O4996">
        <v>40</v>
      </c>
      <c r="P4996">
        <v>610</v>
      </c>
      <c r="Q4996">
        <v>497.5</v>
      </c>
      <c r="R4996" t="s">
        <v>112</v>
      </c>
      <c r="S4996" t="s">
        <v>110</v>
      </c>
      <c r="T4996" t="s">
        <v>40</v>
      </c>
      <c r="U4996">
        <v>47</v>
      </c>
      <c r="W4996">
        <f>Table2[[#This Row],[Quantity]]*Table2[[#This Row],[Item_Price]]</f>
        <v>610</v>
      </c>
    </row>
    <row r="4997" spans="1:23" x14ac:dyDescent="0.25">
      <c r="A4997" t="s">
        <v>5102</v>
      </c>
      <c r="B4997" s="1">
        <v>46022</v>
      </c>
      <c r="C4997" t="s">
        <v>4677</v>
      </c>
      <c r="D4997">
        <v>12</v>
      </c>
      <c r="E4997">
        <v>31</v>
      </c>
      <c r="F4997" t="s">
        <v>24</v>
      </c>
      <c r="G4997" t="s">
        <v>115</v>
      </c>
      <c r="H4997" t="s">
        <v>52</v>
      </c>
      <c r="I4997" t="s">
        <v>61</v>
      </c>
      <c r="J4997" t="s">
        <v>70</v>
      </c>
      <c r="K4997" t="s">
        <v>38</v>
      </c>
      <c r="L4997">
        <v>1</v>
      </c>
      <c r="M4997">
        <v>526</v>
      </c>
      <c r="N4997">
        <v>26.3</v>
      </c>
      <c r="O4997">
        <v>0</v>
      </c>
      <c r="P4997">
        <v>526</v>
      </c>
      <c r="Q4997">
        <v>499.7</v>
      </c>
      <c r="R4997" t="s">
        <v>30</v>
      </c>
      <c r="S4997" t="s">
        <v>31</v>
      </c>
      <c r="T4997" t="s">
        <v>40</v>
      </c>
      <c r="U4997">
        <v>33</v>
      </c>
      <c r="V4997">
        <v>4.5</v>
      </c>
      <c r="W4997">
        <f>Table2[[#This Row],[Quantity]]*Table2[[#This Row],[Item_Price]]</f>
        <v>526</v>
      </c>
    </row>
    <row r="4998" spans="1:23" x14ac:dyDescent="0.25">
      <c r="A4998" t="s">
        <v>5103</v>
      </c>
      <c r="B4998" s="1">
        <v>46022</v>
      </c>
      <c r="C4998" t="s">
        <v>4677</v>
      </c>
      <c r="D4998">
        <v>12</v>
      </c>
      <c r="E4998">
        <v>31</v>
      </c>
      <c r="F4998" t="s">
        <v>24</v>
      </c>
      <c r="G4998" t="s">
        <v>90</v>
      </c>
      <c r="H4998" t="s">
        <v>35</v>
      </c>
      <c r="I4998" t="s">
        <v>97</v>
      </c>
      <c r="J4998" t="s">
        <v>66</v>
      </c>
      <c r="K4998" t="s">
        <v>38</v>
      </c>
      <c r="L4998">
        <v>2</v>
      </c>
      <c r="M4998">
        <v>370</v>
      </c>
      <c r="N4998">
        <v>18.5</v>
      </c>
      <c r="O4998">
        <v>20</v>
      </c>
      <c r="P4998">
        <v>740</v>
      </c>
      <c r="Q4998">
        <v>741.5</v>
      </c>
      <c r="R4998" t="s">
        <v>39</v>
      </c>
      <c r="S4998" t="s">
        <v>31</v>
      </c>
      <c r="T4998" t="s">
        <v>40</v>
      </c>
      <c r="U4998">
        <v>26</v>
      </c>
      <c r="V4998">
        <v>4.3</v>
      </c>
      <c r="W4998">
        <f>Table2[[#This Row],[Quantity]]*Table2[[#This Row],[Item_Price]]</f>
        <v>740</v>
      </c>
    </row>
    <row r="4999" spans="1:23" x14ac:dyDescent="0.25">
      <c r="A4999" t="s">
        <v>5104</v>
      </c>
      <c r="B4999" s="1">
        <v>46022</v>
      </c>
      <c r="C4999" t="s">
        <v>4677</v>
      </c>
      <c r="D4999">
        <v>12</v>
      </c>
      <c r="E4999">
        <v>31</v>
      </c>
      <c r="F4999" t="s">
        <v>24</v>
      </c>
      <c r="G4999" t="s">
        <v>34</v>
      </c>
      <c r="H4999" t="s">
        <v>26</v>
      </c>
      <c r="I4999" t="s">
        <v>36</v>
      </c>
      <c r="J4999" t="s">
        <v>119</v>
      </c>
      <c r="K4999" t="s">
        <v>38</v>
      </c>
      <c r="L4999">
        <v>2</v>
      </c>
      <c r="M4999">
        <v>570</v>
      </c>
      <c r="N4999">
        <v>85.5</v>
      </c>
      <c r="O4999">
        <v>50</v>
      </c>
      <c r="P4999">
        <v>1140</v>
      </c>
      <c r="Q4999">
        <v>1104.5</v>
      </c>
      <c r="R4999" t="s">
        <v>39</v>
      </c>
      <c r="S4999" t="s">
        <v>31</v>
      </c>
      <c r="T4999" t="s">
        <v>40</v>
      </c>
      <c r="U4999">
        <v>23</v>
      </c>
      <c r="V4999">
        <v>3.7</v>
      </c>
      <c r="W4999">
        <f>Table2[[#This Row],[Quantity]]*Table2[[#This Row],[Item_Price]]</f>
        <v>1140</v>
      </c>
    </row>
    <row r="5000" spans="1:23" x14ac:dyDescent="0.25">
      <c r="A5000" t="s">
        <v>5105</v>
      </c>
      <c r="B5000" s="1">
        <v>46022</v>
      </c>
      <c r="C5000" t="s">
        <v>4677</v>
      </c>
      <c r="D5000">
        <v>12</v>
      </c>
      <c r="E5000">
        <v>31</v>
      </c>
      <c r="F5000" t="s">
        <v>24</v>
      </c>
      <c r="G5000" t="s">
        <v>34</v>
      </c>
      <c r="H5000" t="s">
        <v>65</v>
      </c>
      <c r="I5000" t="s">
        <v>97</v>
      </c>
      <c r="J5000" t="s">
        <v>74</v>
      </c>
      <c r="K5000" t="s">
        <v>38</v>
      </c>
      <c r="L5000">
        <v>2</v>
      </c>
      <c r="M5000">
        <v>576</v>
      </c>
      <c r="N5000">
        <v>86.4</v>
      </c>
      <c r="O5000">
        <v>30</v>
      </c>
      <c r="P5000">
        <v>1152</v>
      </c>
      <c r="Q5000">
        <v>1095.5999999999999</v>
      </c>
      <c r="R5000" t="s">
        <v>30</v>
      </c>
      <c r="S5000" t="s">
        <v>31</v>
      </c>
      <c r="T5000" t="s">
        <v>40</v>
      </c>
      <c r="U5000">
        <v>48</v>
      </c>
      <c r="V5000">
        <v>3.7</v>
      </c>
      <c r="W5000">
        <f>Table2[[#This Row],[Quantity]]*Table2[[#This Row],[Item_Price]]</f>
        <v>1152</v>
      </c>
    </row>
    <row r="5001" spans="1:23" x14ac:dyDescent="0.25">
      <c r="A5001" t="s">
        <v>5106</v>
      </c>
      <c r="B5001" s="1">
        <v>46022</v>
      </c>
      <c r="C5001" t="s">
        <v>4677</v>
      </c>
      <c r="D5001">
        <v>12</v>
      </c>
      <c r="E5001">
        <v>31</v>
      </c>
      <c r="F5001" t="s">
        <v>24</v>
      </c>
      <c r="G5001" t="s">
        <v>64</v>
      </c>
      <c r="H5001" t="s">
        <v>48</v>
      </c>
      <c r="I5001" t="s">
        <v>61</v>
      </c>
      <c r="J5001" t="s">
        <v>123</v>
      </c>
      <c r="K5001" t="s">
        <v>38</v>
      </c>
      <c r="L5001">
        <v>1</v>
      </c>
      <c r="M5001">
        <v>353</v>
      </c>
      <c r="N5001">
        <v>52.95</v>
      </c>
      <c r="O5001">
        <v>30</v>
      </c>
      <c r="P5001">
        <v>353</v>
      </c>
      <c r="Q5001">
        <v>330.05</v>
      </c>
      <c r="R5001" t="s">
        <v>39</v>
      </c>
      <c r="S5001" t="s">
        <v>31</v>
      </c>
      <c r="T5001" t="s">
        <v>40</v>
      </c>
      <c r="U5001">
        <v>50</v>
      </c>
      <c r="V5001">
        <v>4.5</v>
      </c>
      <c r="W5001">
        <f>Table2[[#This Row],[Quantity]]*Table2[[#This Row],[Item_Price]]</f>
        <v>353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E304-E0B1-4A22-91C6-F5E923EE2018}">
  <dimension ref="A1:AF69"/>
  <sheetViews>
    <sheetView tabSelected="1" zoomScale="50" zoomScaleNormal="50" workbookViewId="0">
      <selection activeCell="AI31" sqref="AI31"/>
    </sheetView>
  </sheetViews>
  <sheetFormatPr defaultRowHeight="15" x14ac:dyDescent="0.25"/>
  <cols>
    <col min="1" max="1" width="26.5703125" customWidth="1"/>
    <col min="2" max="2" width="11.85546875" customWidth="1"/>
    <col min="3" max="3" width="19.140625" customWidth="1"/>
    <col min="4" max="4" width="30.7109375" customWidth="1"/>
    <col min="8" max="8" width="14.28515625" customWidth="1"/>
    <col min="11" max="11" width="14.5703125" customWidth="1"/>
    <col min="15" max="15" width="20.85546875" customWidth="1"/>
    <col min="27" max="27" width="0.85546875" customWidth="1"/>
    <col min="28" max="29" width="9.140625" hidden="1" customWidth="1"/>
    <col min="31" max="31" width="4.42578125" customWidth="1"/>
    <col min="32" max="32" width="9.140625" hidden="1" customWidth="1"/>
  </cols>
  <sheetData>
    <row r="1" spans="1:32" x14ac:dyDescent="0.2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row>
    <row r="2" spans="1:32" ht="15" customHeight="1" x14ac:dyDescent="0.25">
      <c r="A2" s="11"/>
      <c r="B2" s="11"/>
      <c r="C2" s="11"/>
      <c r="D2" s="10" t="s">
        <v>5137</v>
      </c>
      <c r="E2" s="10"/>
      <c r="F2" s="10"/>
      <c r="G2" s="10"/>
      <c r="H2" s="10"/>
      <c r="I2" s="10"/>
      <c r="J2" s="10"/>
      <c r="K2" s="10"/>
      <c r="L2" s="10"/>
      <c r="M2" s="10"/>
      <c r="N2" s="10"/>
      <c r="O2" s="10"/>
      <c r="P2" s="10"/>
      <c r="Q2" s="10"/>
      <c r="R2" s="10"/>
      <c r="S2" s="10"/>
      <c r="T2" s="10"/>
      <c r="U2" s="11"/>
      <c r="V2" s="11"/>
      <c r="W2" s="11"/>
      <c r="X2" s="11"/>
      <c r="Y2" s="11"/>
      <c r="Z2" s="11"/>
      <c r="AA2" s="11"/>
      <c r="AB2" s="11"/>
      <c r="AC2" s="11"/>
      <c r="AD2" s="11"/>
      <c r="AE2" s="11"/>
      <c r="AF2" s="11"/>
    </row>
    <row r="3" spans="1:32" ht="55.5" customHeight="1" x14ac:dyDescent="0.25">
      <c r="A3" s="11"/>
      <c r="B3" s="11"/>
      <c r="C3" s="11"/>
      <c r="D3" s="10"/>
      <c r="E3" s="10"/>
      <c r="F3" s="10"/>
      <c r="G3" s="10"/>
      <c r="H3" s="10"/>
      <c r="I3" s="10"/>
      <c r="J3" s="10"/>
      <c r="K3" s="10"/>
      <c r="L3" s="10"/>
      <c r="M3" s="10"/>
      <c r="N3" s="10"/>
      <c r="O3" s="10"/>
      <c r="P3" s="10"/>
      <c r="Q3" s="10"/>
      <c r="R3" s="10"/>
      <c r="S3" s="10"/>
      <c r="T3" s="10"/>
      <c r="U3" s="11"/>
      <c r="V3" s="11"/>
      <c r="W3" s="11"/>
      <c r="X3" s="11"/>
      <c r="Y3" s="11"/>
      <c r="Z3" s="11"/>
      <c r="AA3" s="11"/>
      <c r="AB3" s="11"/>
      <c r="AC3" s="11"/>
      <c r="AD3" s="11"/>
      <c r="AE3" s="11"/>
      <c r="AF3" s="11"/>
    </row>
    <row r="4" spans="1:32" ht="15" customHeight="1" x14ac:dyDescent="0.25">
      <c r="A4" s="11"/>
      <c r="B4" s="11"/>
      <c r="C4" s="11"/>
      <c r="D4" s="10"/>
      <c r="E4" s="10"/>
      <c r="F4" s="10"/>
      <c r="G4" s="10"/>
      <c r="H4" s="10"/>
      <c r="I4" s="10"/>
      <c r="J4" s="10"/>
      <c r="K4" s="10"/>
      <c r="L4" s="10"/>
      <c r="M4" s="10"/>
      <c r="N4" s="10"/>
      <c r="O4" s="10"/>
      <c r="P4" s="10"/>
      <c r="Q4" s="10"/>
      <c r="R4" s="10"/>
      <c r="S4" s="10"/>
      <c r="T4" s="10"/>
      <c r="U4" s="11"/>
      <c r="V4" s="11"/>
      <c r="W4" s="11"/>
      <c r="X4" s="11"/>
      <c r="Y4" s="11"/>
      <c r="Z4" s="11"/>
      <c r="AA4" s="11"/>
      <c r="AB4" s="11"/>
      <c r="AC4" s="11"/>
      <c r="AD4" s="11"/>
      <c r="AE4" s="11"/>
      <c r="AF4" s="11"/>
    </row>
    <row r="5" spans="1:32"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row>
    <row r="6" spans="1:32" x14ac:dyDescent="0.25">
      <c r="A6" s="11">
        <v>1</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row>
    <row r="7" spans="1:32"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row>
    <row r="8" spans="1:32"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spans="1:32"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row>
    <row r="10" spans="1:32"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row>
    <row r="11" spans="1:32"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row>
    <row r="13" spans="1:32"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row>
    <row r="14" spans="1:32"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row>
    <row r="15" spans="1:32"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row>
    <row r="16" spans="1:32"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row>
    <row r="17" spans="1:32"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row>
    <row r="18" spans="1:32"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row>
    <row r="19" spans="1:32"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row>
    <row r="20" spans="1:32"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row>
    <row r="21" spans="1:32"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row>
    <row r="22" spans="1:32"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row>
    <row r="23" spans="1:32"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row>
    <row r="24" spans="1:32"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row>
    <row r="25" spans="1:32"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row>
    <row r="26" spans="1:32"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row>
    <row r="27" spans="1:32"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row>
    <row r="28" spans="1:32"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row>
    <row r="29" spans="1:32"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row>
    <row r="30" spans="1:32"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row>
    <row r="31" spans="1:32"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row>
    <row r="32" spans="1:32"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row>
    <row r="33" spans="1:32"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row>
    <row r="34" spans="1:32"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row>
    <row r="35" spans="1:32"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row>
    <row r="36" spans="1:32"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row>
    <row r="37" spans="1:32"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row>
    <row r="38" spans="1:32"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row>
    <row r="39" spans="1:32"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row>
    <row r="40" spans="1:32"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row>
    <row r="41" spans="1:32"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row>
    <row r="42" spans="1:32"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row>
    <row r="43" spans="1:32"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row>
    <row r="44" spans="1:32"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row>
    <row r="45" spans="1:32"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row>
    <row r="46" spans="1:32"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row>
    <row r="47" spans="1:32"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row>
    <row r="48" spans="1:32"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row>
    <row r="49" spans="1:32"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row>
    <row r="50" spans="1:32"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row>
    <row r="51" spans="1:32"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row>
    <row r="52" spans="1:32"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row>
    <row r="53" spans="1:32"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row>
    <row r="54" spans="1:32"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row>
    <row r="55" spans="1:32"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row>
    <row r="56" spans="1:32"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row>
    <row r="57" spans="1:32"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spans="1:32"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spans="1:32"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spans="1:32"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spans="1:32"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spans="1:32"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spans="1:32"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spans="1:32"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row>
    <row r="65" spans="1:32"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spans="1:32"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spans="1:32"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spans="1:32"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spans="1:32"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sheetData>
  <mergeCells count="6">
    <mergeCell ref="D2:T4"/>
    <mergeCell ref="A6:AF69"/>
    <mergeCell ref="A1:C5"/>
    <mergeCell ref="U1:AF5"/>
    <mergeCell ref="D5:T5"/>
    <mergeCell ref="D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activeCell="F22" sqref="F22"/>
    </sheetView>
  </sheetViews>
  <sheetFormatPr defaultRowHeight="15" x14ac:dyDescent="0.25"/>
  <cols>
    <col min="1" max="1" width="18.5703125" bestFit="1" customWidth="1"/>
    <col min="2" max="2" width="25.28515625" bestFit="1" customWidth="1"/>
  </cols>
  <sheetData>
    <row r="1" spans="1:2" x14ac:dyDescent="0.25">
      <c r="A1" s="2" t="s">
        <v>5107</v>
      </c>
      <c r="B1" s="2" t="s">
        <v>5108</v>
      </c>
    </row>
    <row r="2" spans="1:2" x14ac:dyDescent="0.25">
      <c r="A2" t="s">
        <v>0</v>
      </c>
      <c r="B2" t="s">
        <v>5109</v>
      </c>
    </row>
    <row r="3" spans="1:2" x14ac:dyDescent="0.25">
      <c r="A3" t="s">
        <v>1</v>
      </c>
      <c r="B3" t="s">
        <v>5110</v>
      </c>
    </row>
    <row r="4" spans="1:2" x14ac:dyDescent="0.25">
      <c r="A4" t="s">
        <v>2</v>
      </c>
      <c r="B4" t="s">
        <v>5111</v>
      </c>
    </row>
    <row r="5" spans="1:2" x14ac:dyDescent="0.25">
      <c r="A5" t="s">
        <v>3</v>
      </c>
      <c r="B5" t="s">
        <v>5112</v>
      </c>
    </row>
    <row r="6" spans="1:2" x14ac:dyDescent="0.25">
      <c r="A6" t="s">
        <v>4</v>
      </c>
      <c r="B6" t="s">
        <v>5113</v>
      </c>
    </row>
    <row r="7" spans="1:2" x14ac:dyDescent="0.25">
      <c r="A7" t="s">
        <v>5</v>
      </c>
      <c r="B7" t="s">
        <v>5114</v>
      </c>
    </row>
    <row r="8" spans="1:2" x14ac:dyDescent="0.25">
      <c r="A8" t="s">
        <v>6</v>
      </c>
      <c r="B8" t="s">
        <v>5115</v>
      </c>
    </row>
    <row r="9" spans="1:2" x14ac:dyDescent="0.25">
      <c r="A9" t="s">
        <v>7</v>
      </c>
      <c r="B9" t="s">
        <v>5116</v>
      </c>
    </row>
    <row r="10" spans="1:2" x14ac:dyDescent="0.25">
      <c r="A10" t="s">
        <v>8</v>
      </c>
      <c r="B10" t="s">
        <v>5117</v>
      </c>
    </row>
    <row r="11" spans="1:2" x14ac:dyDescent="0.25">
      <c r="A11" t="s">
        <v>9</v>
      </c>
      <c r="B11" t="s">
        <v>5118</v>
      </c>
    </row>
    <row r="12" spans="1:2" x14ac:dyDescent="0.25">
      <c r="A12" t="s">
        <v>10</v>
      </c>
      <c r="B12" t="s">
        <v>5119</v>
      </c>
    </row>
    <row r="13" spans="1:2" x14ac:dyDescent="0.25">
      <c r="A13" t="s">
        <v>11</v>
      </c>
      <c r="B13" t="s">
        <v>5120</v>
      </c>
    </row>
    <row r="14" spans="1:2" x14ac:dyDescent="0.25">
      <c r="A14" t="s">
        <v>12</v>
      </c>
      <c r="B14" t="s">
        <v>5121</v>
      </c>
    </row>
    <row r="15" spans="1:2" x14ac:dyDescent="0.25">
      <c r="A15" t="s">
        <v>13</v>
      </c>
      <c r="B15" t="s">
        <v>5122</v>
      </c>
    </row>
    <row r="16" spans="1:2" x14ac:dyDescent="0.25">
      <c r="A16" t="s">
        <v>14</v>
      </c>
      <c r="B16" t="s">
        <v>5123</v>
      </c>
    </row>
    <row r="17" spans="1:2" x14ac:dyDescent="0.25">
      <c r="A17" t="s">
        <v>15</v>
      </c>
      <c r="B17" t="s">
        <v>5124</v>
      </c>
    </row>
    <row r="18" spans="1:2" x14ac:dyDescent="0.25">
      <c r="A18" t="s">
        <v>16</v>
      </c>
      <c r="B18" t="s">
        <v>5125</v>
      </c>
    </row>
    <row r="19" spans="1:2" x14ac:dyDescent="0.25">
      <c r="A19" t="s">
        <v>17</v>
      </c>
      <c r="B19" t="s">
        <v>5126</v>
      </c>
    </row>
    <row r="20" spans="1:2" x14ac:dyDescent="0.25">
      <c r="A20" t="s">
        <v>18</v>
      </c>
      <c r="B20" t="s">
        <v>5127</v>
      </c>
    </row>
    <row r="21" spans="1:2" x14ac:dyDescent="0.25">
      <c r="A21" t="s">
        <v>19</v>
      </c>
      <c r="B21" t="s">
        <v>5128</v>
      </c>
    </row>
    <row r="22" spans="1:2" x14ac:dyDescent="0.25">
      <c r="A22" t="s">
        <v>20</v>
      </c>
      <c r="B22" t="s">
        <v>5129</v>
      </c>
    </row>
    <row r="23" spans="1:2" x14ac:dyDescent="0.25">
      <c r="A23" t="s">
        <v>21</v>
      </c>
      <c r="B23" t="s">
        <v>5130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955E-942B-430F-96F3-8ACD14B85FCC}">
  <dimension ref="A1:B7"/>
  <sheetViews>
    <sheetView workbookViewId="0">
      <selection activeCell="P18" sqref="P18"/>
    </sheetView>
  </sheetViews>
  <sheetFormatPr defaultRowHeight="15" x14ac:dyDescent="0.25"/>
  <cols>
    <col min="1" max="1" width="15.85546875" bestFit="1" customWidth="1"/>
    <col min="2" max="2" width="17.28515625" bestFit="1" customWidth="1"/>
  </cols>
  <sheetData>
    <row r="1" spans="1:2" x14ac:dyDescent="0.25">
      <c r="A1" s="7" t="s">
        <v>5138</v>
      </c>
      <c r="B1" t="s">
        <v>5141</v>
      </c>
    </row>
    <row r="2" spans="1:2" x14ac:dyDescent="0.25">
      <c r="A2" s="8" t="s">
        <v>112</v>
      </c>
      <c r="B2" s="12">
        <v>619</v>
      </c>
    </row>
    <row r="3" spans="1:2" x14ac:dyDescent="0.25">
      <c r="A3" s="8" t="s">
        <v>75</v>
      </c>
      <c r="B3" s="12">
        <v>949</v>
      </c>
    </row>
    <row r="4" spans="1:2" x14ac:dyDescent="0.25">
      <c r="A4" s="8" t="s">
        <v>30</v>
      </c>
      <c r="B4" s="12">
        <v>846</v>
      </c>
    </row>
    <row r="5" spans="1:2" x14ac:dyDescent="0.25">
      <c r="A5" s="8" t="s">
        <v>39</v>
      </c>
      <c r="B5" s="12">
        <v>2070</v>
      </c>
    </row>
    <row r="6" spans="1:2" x14ac:dyDescent="0.25">
      <c r="A6" s="8" t="s">
        <v>98</v>
      </c>
      <c r="B6" s="12">
        <v>516</v>
      </c>
    </row>
    <row r="7" spans="1:2" x14ac:dyDescent="0.25">
      <c r="A7" s="8" t="s">
        <v>5139</v>
      </c>
      <c r="B7" s="12">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2C266-3907-44E2-B8E7-3576F309DC30}">
  <dimension ref="A3:B14"/>
  <sheetViews>
    <sheetView workbookViewId="0">
      <selection activeCell="Q31" sqref="Q31"/>
    </sheetView>
  </sheetViews>
  <sheetFormatPr defaultRowHeight="15" x14ac:dyDescent="0.25"/>
  <cols>
    <col min="1" max="1" width="13.140625" bestFit="1" customWidth="1"/>
    <col min="2" max="2" width="19.140625" bestFit="1" customWidth="1"/>
  </cols>
  <sheetData>
    <row r="3" spans="1:2" x14ac:dyDescent="0.25">
      <c r="A3" s="7" t="s">
        <v>5138</v>
      </c>
      <c r="B3" t="s">
        <v>5140</v>
      </c>
    </row>
    <row r="4" spans="1:2" x14ac:dyDescent="0.25">
      <c r="A4" s="8" t="s">
        <v>84</v>
      </c>
      <c r="B4" s="12">
        <v>267631</v>
      </c>
    </row>
    <row r="5" spans="1:2" x14ac:dyDescent="0.25">
      <c r="A5" s="8" t="s">
        <v>34</v>
      </c>
      <c r="B5" s="12">
        <v>596646</v>
      </c>
    </row>
    <row r="6" spans="1:2" x14ac:dyDescent="0.25">
      <c r="A6" s="8" t="s">
        <v>96</v>
      </c>
      <c r="B6" s="12">
        <v>174571</v>
      </c>
    </row>
    <row r="7" spans="1:2" x14ac:dyDescent="0.25">
      <c r="A7" s="8" t="s">
        <v>25</v>
      </c>
      <c r="B7" s="12">
        <v>410365</v>
      </c>
    </row>
    <row r="8" spans="1:2" x14ac:dyDescent="0.25">
      <c r="A8" s="8" t="s">
        <v>115</v>
      </c>
      <c r="B8" s="12">
        <v>358945</v>
      </c>
    </row>
    <row r="9" spans="1:2" x14ac:dyDescent="0.25">
      <c r="A9" s="8" t="s">
        <v>90</v>
      </c>
      <c r="B9" s="12">
        <v>266183</v>
      </c>
    </row>
    <row r="10" spans="1:2" x14ac:dyDescent="0.25">
      <c r="A10" s="8" t="s">
        <v>80</v>
      </c>
      <c r="B10" s="12">
        <v>721695</v>
      </c>
    </row>
    <row r="11" spans="1:2" x14ac:dyDescent="0.25">
      <c r="A11" s="8" t="s">
        <v>73</v>
      </c>
      <c r="B11" s="12">
        <v>497743</v>
      </c>
    </row>
    <row r="12" spans="1:2" x14ac:dyDescent="0.25">
      <c r="A12" s="8" t="s">
        <v>55</v>
      </c>
      <c r="B12" s="12">
        <v>354552</v>
      </c>
    </row>
    <row r="13" spans="1:2" x14ac:dyDescent="0.25">
      <c r="A13" s="8" t="s">
        <v>64</v>
      </c>
      <c r="B13" s="12">
        <v>598474</v>
      </c>
    </row>
    <row r="14" spans="1:2" x14ac:dyDescent="0.25">
      <c r="A14" s="8" t="s">
        <v>5139</v>
      </c>
      <c r="B14" s="12">
        <v>4246805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1575-95E2-48B3-810E-9F079B66EB15}">
  <dimension ref="A1:B6"/>
  <sheetViews>
    <sheetView workbookViewId="0">
      <selection activeCell="O20" sqref="O20"/>
    </sheetView>
  </sheetViews>
  <sheetFormatPr defaultRowHeight="15" x14ac:dyDescent="0.25"/>
  <cols>
    <col min="1" max="1" width="15.28515625" bestFit="1" customWidth="1"/>
    <col min="2" max="2" width="17.28515625" bestFit="1" customWidth="1"/>
  </cols>
  <sheetData>
    <row r="1" spans="1:2" x14ac:dyDescent="0.25">
      <c r="A1" s="7" t="s">
        <v>5138</v>
      </c>
      <c r="B1" t="s">
        <v>5141</v>
      </c>
    </row>
    <row r="2" spans="1:2" x14ac:dyDescent="0.25">
      <c r="A2" s="8" t="s">
        <v>46</v>
      </c>
      <c r="B2" s="12">
        <v>280</v>
      </c>
    </row>
    <row r="3" spans="1:2" x14ac:dyDescent="0.25">
      <c r="A3" s="8" t="s">
        <v>31</v>
      </c>
      <c r="B3" s="12">
        <v>4098</v>
      </c>
    </row>
    <row r="4" spans="1:2" x14ac:dyDescent="0.25">
      <c r="A4" s="8" t="s">
        <v>91</v>
      </c>
      <c r="B4" s="12">
        <v>380</v>
      </c>
    </row>
    <row r="5" spans="1:2" x14ac:dyDescent="0.25">
      <c r="A5" s="8" t="s">
        <v>110</v>
      </c>
      <c r="B5" s="12">
        <v>242</v>
      </c>
    </row>
    <row r="6" spans="1:2" x14ac:dyDescent="0.25">
      <c r="A6" s="8" t="s">
        <v>5139</v>
      </c>
      <c r="B6" s="12">
        <v>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A4952-5186-4788-9BBF-DBA7A4936ECF}">
  <dimension ref="A3:B16"/>
  <sheetViews>
    <sheetView workbookViewId="0">
      <selection activeCell="K30" sqref="K30"/>
    </sheetView>
  </sheetViews>
  <sheetFormatPr defaultRowHeight="15" x14ac:dyDescent="0.25"/>
  <cols>
    <col min="1" max="1" width="13.140625" bestFit="1" customWidth="1"/>
    <col min="2" max="2" width="17.28515625" bestFit="1" customWidth="1"/>
  </cols>
  <sheetData>
    <row r="3" spans="1:2" x14ac:dyDescent="0.25">
      <c r="A3" s="7" t="s">
        <v>5138</v>
      </c>
      <c r="B3" t="s">
        <v>5141</v>
      </c>
    </row>
    <row r="4" spans="1:2" x14ac:dyDescent="0.25">
      <c r="A4" s="8" t="s">
        <v>23</v>
      </c>
      <c r="B4" s="12">
        <v>420</v>
      </c>
    </row>
    <row r="5" spans="1:2" x14ac:dyDescent="0.25">
      <c r="A5" s="8" t="s">
        <v>517</v>
      </c>
      <c r="B5" s="12">
        <v>392</v>
      </c>
    </row>
    <row r="6" spans="1:2" x14ac:dyDescent="0.25">
      <c r="A6" s="8" t="s">
        <v>910</v>
      </c>
      <c r="B6" s="12">
        <v>404</v>
      </c>
    </row>
    <row r="7" spans="1:2" x14ac:dyDescent="0.25">
      <c r="A7" s="8" t="s">
        <v>1315</v>
      </c>
      <c r="B7" s="12">
        <v>433</v>
      </c>
    </row>
    <row r="8" spans="1:2" x14ac:dyDescent="0.25">
      <c r="A8" s="8" t="s">
        <v>1749</v>
      </c>
      <c r="B8" s="12">
        <v>441</v>
      </c>
    </row>
    <row r="9" spans="1:2" x14ac:dyDescent="0.25">
      <c r="A9" s="8" t="s">
        <v>2191</v>
      </c>
      <c r="B9" s="12">
        <v>440</v>
      </c>
    </row>
    <row r="10" spans="1:2" x14ac:dyDescent="0.25">
      <c r="A10" s="8" t="s">
        <v>2632</v>
      </c>
      <c r="B10" s="12">
        <v>375</v>
      </c>
    </row>
    <row r="11" spans="1:2" x14ac:dyDescent="0.25">
      <c r="A11" s="8" t="s">
        <v>3008</v>
      </c>
      <c r="B11" s="12">
        <v>441</v>
      </c>
    </row>
    <row r="12" spans="1:2" x14ac:dyDescent="0.25">
      <c r="A12" s="8" t="s">
        <v>3450</v>
      </c>
      <c r="B12" s="12">
        <v>395</v>
      </c>
    </row>
    <row r="13" spans="1:2" x14ac:dyDescent="0.25">
      <c r="A13" s="8" t="s">
        <v>3846</v>
      </c>
      <c r="B13" s="12">
        <v>418</v>
      </c>
    </row>
    <row r="14" spans="1:2" x14ac:dyDescent="0.25">
      <c r="A14" s="8" t="s">
        <v>4265</v>
      </c>
      <c r="B14" s="12">
        <v>411</v>
      </c>
    </row>
    <row r="15" spans="1:2" x14ac:dyDescent="0.25">
      <c r="A15" s="8" t="s">
        <v>4677</v>
      </c>
      <c r="B15" s="12">
        <v>430</v>
      </c>
    </row>
    <row r="16" spans="1:2" x14ac:dyDescent="0.25">
      <c r="A16" s="8" t="s">
        <v>5139</v>
      </c>
      <c r="B16" s="12">
        <v>5000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2CA0-BD9C-4106-868A-FBB575959C6C}">
  <dimension ref="A1:B6"/>
  <sheetViews>
    <sheetView workbookViewId="0">
      <selection activeCell="O19" sqref="O19"/>
    </sheetView>
  </sheetViews>
  <sheetFormatPr defaultRowHeight="15" x14ac:dyDescent="0.25"/>
  <cols>
    <col min="1" max="1" width="13.140625" bestFit="1" customWidth="1"/>
    <col min="2" max="2" width="17.28515625" bestFit="1" customWidth="1"/>
  </cols>
  <sheetData>
    <row r="1" spans="1:2" x14ac:dyDescent="0.25">
      <c r="A1" s="7" t="s">
        <v>5138</v>
      </c>
      <c r="B1" t="s">
        <v>5141</v>
      </c>
    </row>
    <row r="2" spans="1:2" x14ac:dyDescent="0.25">
      <c r="A2" s="8" t="s">
        <v>29</v>
      </c>
      <c r="B2" s="12">
        <v>294</v>
      </c>
    </row>
    <row r="3" spans="1:2" x14ac:dyDescent="0.25">
      <c r="A3" s="8" t="s">
        <v>58</v>
      </c>
      <c r="B3" s="12">
        <v>329</v>
      </c>
    </row>
    <row r="4" spans="1:2" x14ac:dyDescent="0.25">
      <c r="A4" s="8" t="s">
        <v>38</v>
      </c>
      <c r="B4" s="12">
        <v>3383</v>
      </c>
    </row>
    <row r="5" spans="1:2" x14ac:dyDescent="0.25">
      <c r="A5" s="8" t="s">
        <v>45</v>
      </c>
      <c r="B5" s="12">
        <v>994</v>
      </c>
    </row>
    <row r="6" spans="1:2" x14ac:dyDescent="0.25">
      <c r="A6" s="8" t="s">
        <v>5139</v>
      </c>
      <c r="B6" s="12">
        <v>5000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D3E9-8C40-4EA0-AFB1-37A86F138C40}">
  <dimension ref="A1:B17"/>
  <sheetViews>
    <sheetView workbookViewId="0">
      <selection activeCell="M6" sqref="M6"/>
    </sheetView>
  </sheetViews>
  <sheetFormatPr defaultRowHeight="15" x14ac:dyDescent="0.25"/>
  <cols>
    <col min="1" max="1" width="16.140625" bestFit="1" customWidth="1"/>
    <col min="2" max="2" width="20.28515625" bestFit="1" customWidth="1"/>
    <col min="3" max="3" width="19.140625" bestFit="1" customWidth="1"/>
  </cols>
  <sheetData>
    <row r="1" spans="1:2" x14ac:dyDescent="0.25">
      <c r="A1" s="7" t="s">
        <v>5138</v>
      </c>
      <c r="B1" t="s">
        <v>5143</v>
      </c>
    </row>
    <row r="2" spans="1:2" x14ac:dyDescent="0.25">
      <c r="A2" s="8" t="s">
        <v>35</v>
      </c>
      <c r="B2" s="12">
        <v>272449.64999999985</v>
      </c>
    </row>
    <row r="3" spans="1:2" x14ac:dyDescent="0.25">
      <c r="A3" s="8" t="s">
        <v>26</v>
      </c>
      <c r="B3" s="12">
        <v>257078.79999999981</v>
      </c>
    </row>
    <row r="4" spans="1:2" x14ac:dyDescent="0.25">
      <c r="A4" s="8" t="s">
        <v>56</v>
      </c>
      <c r="B4" s="12">
        <v>269019.05000000016</v>
      </c>
    </row>
    <row r="5" spans="1:2" x14ac:dyDescent="0.25">
      <c r="A5" s="8" t="s">
        <v>77</v>
      </c>
      <c r="B5" s="12">
        <v>306664.50000000006</v>
      </c>
    </row>
    <row r="6" spans="1:2" x14ac:dyDescent="0.25">
      <c r="A6" s="8" t="s">
        <v>65</v>
      </c>
      <c r="B6" s="12">
        <v>272514.95000000007</v>
      </c>
    </row>
    <row r="7" spans="1:2" x14ac:dyDescent="0.25">
      <c r="A7" s="8" t="s">
        <v>60</v>
      </c>
      <c r="B7" s="12">
        <v>267217.40000000002</v>
      </c>
    </row>
    <row r="8" spans="1:2" x14ac:dyDescent="0.25">
      <c r="A8" s="8" t="s">
        <v>68</v>
      </c>
      <c r="B8" s="12">
        <v>268905.25000000012</v>
      </c>
    </row>
    <row r="9" spans="1:2" x14ac:dyDescent="0.25">
      <c r="A9" s="8" t="s">
        <v>139</v>
      </c>
      <c r="B9" s="12">
        <v>240150.20000000013</v>
      </c>
    </row>
    <row r="10" spans="1:2" x14ac:dyDescent="0.25">
      <c r="A10" s="8" t="s">
        <v>42</v>
      </c>
      <c r="B10" s="12">
        <v>279938.04999999993</v>
      </c>
    </row>
    <row r="11" spans="1:2" x14ac:dyDescent="0.25">
      <c r="A11" s="8" t="s">
        <v>135</v>
      </c>
      <c r="B11" s="12">
        <v>301419.4499999999</v>
      </c>
    </row>
    <row r="12" spans="1:2" x14ac:dyDescent="0.25">
      <c r="A12" s="8" t="s">
        <v>108</v>
      </c>
      <c r="B12" s="12">
        <v>277607.64999999985</v>
      </c>
    </row>
    <row r="13" spans="1:2" x14ac:dyDescent="0.25">
      <c r="A13" s="8" t="s">
        <v>105</v>
      </c>
      <c r="B13" s="12">
        <v>255409.24999999983</v>
      </c>
    </row>
    <row r="14" spans="1:2" x14ac:dyDescent="0.25">
      <c r="A14" s="8" t="s">
        <v>48</v>
      </c>
      <c r="B14" s="12">
        <v>272834.99999999994</v>
      </c>
    </row>
    <row r="15" spans="1:2" x14ac:dyDescent="0.25">
      <c r="A15" s="8" t="s">
        <v>52</v>
      </c>
      <c r="B15" s="12">
        <v>272045.49999999988</v>
      </c>
    </row>
    <row r="16" spans="1:2" x14ac:dyDescent="0.25">
      <c r="A16" s="8" t="s">
        <v>81</v>
      </c>
      <c r="B16" s="12">
        <v>303971.10000000009</v>
      </c>
    </row>
    <row r="17" spans="1:2" x14ac:dyDescent="0.25">
      <c r="A17" s="8" t="s">
        <v>5139</v>
      </c>
      <c r="B17" s="12">
        <v>4117225.8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Swiggy_Data</vt:lpstr>
      <vt:lpstr>Swiggy Dashboard</vt:lpstr>
      <vt:lpstr>Data_Dictionary</vt:lpstr>
      <vt:lpstr>chart1</vt:lpstr>
      <vt:lpstr>chart2</vt:lpstr>
      <vt:lpstr>chart3</vt:lpstr>
      <vt:lpstr>chart4</vt:lpstr>
      <vt:lpstr>chart5</vt:lpstr>
      <vt:lpstr>chart6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mohitkarakanksha@gmail.com</cp:lastModifiedBy>
  <dcterms:created xsi:type="dcterms:W3CDTF">2026-09-01T14:26:31Z</dcterms:created>
  <dcterms:modified xsi:type="dcterms:W3CDTF">2026-10-16T04:44:29Z</dcterms:modified>
</cp:coreProperties>
</file>